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.DISTRILEC\Desktop\informes\"/>
    </mc:Choice>
  </mc:AlternateContent>
  <xr:revisionPtr revIDLastSave="0" documentId="8_{75114D41-9B02-4DF7-816C-3A6973722D1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Hoja2" sheetId="3" state="hidden" r:id="rId1"/>
    <sheet name="carteraharold201701 (2)" sheetId="4" r:id="rId2"/>
    <sheet name="Hoja3" sheetId="5" r:id="rId3"/>
    <sheet name="carteraharold201701" sheetId="2" state="hidden" r:id="rId4"/>
    <sheet name="Hoja1" sheetId="1" state="hidden" r:id="rId5"/>
  </sheets>
  <definedNames>
    <definedName name="_xlnm._FilterDatabase" localSheetId="3" hidden="1">carteraharold201701!$F$2834:$F$2834</definedName>
    <definedName name="DatosExternos_1" localSheetId="3">carteraharold201701!$A$1:$O$2822</definedName>
    <definedName name="DatosExternos_2" localSheetId="1" hidden="1">'carteraharold201701 (2)'!$A$1:$O$3129</definedName>
  </definedNames>
  <calcPr calcId="191029"/>
  <pivotCaches>
    <pivotCache cacheId="66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30" i="4" l="1"/>
  <c r="F2328" i="4"/>
  <c r="F2329" i="4"/>
  <c r="F2330" i="4"/>
  <c r="F2331" i="4"/>
  <c r="F2332" i="4"/>
  <c r="F2333" i="4"/>
  <c r="F2334" i="4"/>
  <c r="F2335" i="4"/>
  <c r="F626" i="4"/>
  <c r="F627" i="4"/>
  <c r="F1779" i="4"/>
  <c r="F1780" i="4"/>
  <c r="F1162" i="4"/>
  <c r="F1826" i="4"/>
  <c r="F491" i="4"/>
  <c r="F1124" i="4"/>
  <c r="F1125" i="4"/>
  <c r="F400" i="4"/>
  <c r="F401" i="4"/>
  <c r="F1126" i="4"/>
  <c r="F2970" i="4"/>
  <c r="F2917" i="4"/>
  <c r="F2918" i="4"/>
  <c r="F585" i="4"/>
  <c r="F3006" i="4"/>
  <c r="F2185" i="4"/>
  <c r="F1569" i="4"/>
  <c r="F1570" i="4"/>
  <c r="F285" i="4"/>
  <c r="F1827" i="4"/>
  <c r="F1092" i="4"/>
  <c r="F1273" i="4"/>
  <c r="F242" i="4"/>
  <c r="F996" i="4"/>
  <c r="F997" i="4"/>
  <c r="F2115" i="4"/>
  <c r="F1668" i="4"/>
  <c r="F1742" i="4"/>
  <c r="F733" i="4"/>
  <c r="F730" i="4"/>
  <c r="F411" i="4"/>
  <c r="F829" i="4"/>
  <c r="F548" i="4"/>
  <c r="F3014" i="4"/>
  <c r="F366" i="4"/>
  <c r="F2948" i="4"/>
  <c r="F734" i="4"/>
  <c r="F1669" i="4"/>
  <c r="F2934" i="4"/>
  <c r="F1743" i="4"/>
  <c r="F1011" i="4"/>
  <c r="F358" i="4"/>
  <c r="F359" i="4"/>
  <c r="F3015" i="4"/>
  <c r="F1187" i="4"/>
  <c r="F3016" i="4"/>
  <c r="F3017" i="4"/>
  <c r="F1425" i="4"/>
  <c r="F3007" i="4"/>
  <c r="F3018" i="4"/>
  <c r="F1792" i="4"/>
  <c r="F3082" i="4"/>
  <c r="F3077" i="4"/>
  <c r="F3078" i="4"/>
  <c r="F1666" i="4"/>
  <c r="F3019" i="4"/>
  <c r="F1667" i="4"/>
  <c r="F3020" i="4"/>
  <c r="F3021" i="4"/>
  <c r="F1781" i="4"/>
  <c r="F1782" i="4"/>
  <c r="F3022" i="4"/>
  <c r="F879" i="4"/>
  <c r="F412" i="4"/>
  <c r="F3023" i="4"/>
  <c r="F413" i="4"/>
  <c r="F414" i="4"/>
  <c r="F3024" i="4"/>
  <c r="F367" i="4"/>
  <c r="F2949" i="4"/>
  <c r="F735" i="4"/>
  <c r="F1997" i="4"/>
  <c r="F1204" i="4"/>
  <c r="F3083" i="4"/>
  <c r="F3084" i="4"/>
  <c r="F368" i="4"/>
  <c r="F369" i="4"/>
  <c r="F1865" i="4"/>
  <c r="F3085" i="4"/>
  <c r="F3086" i="4"/>
  <c r="F2971" i="4"/>
  <c r="F2972" i="4"/>
  <c r="F1132" i="4"/>
  <c r="F1133" i="4"/>
  <c r="F3066" i="4"/>
  <c r="F2142" i="4"/>
  <c r="F1549" i="4"/>
  <c r="F2973" i="4"/>
  <c r="F736" i="4"/>
  <c r="F1670" i="4"/>
  <c r="F1671" i="4"/>
  <c r="F243" i="4"/>
  <c r="F2974" i="4"/>
  <c r="F737" i="4"/>
  <c r="F3087" i="4"/>
  <c r="F998" i="4"/>
  <c r="F1798" i="4"/>
  <c r="F415" i="4"/>
  <c r="F1672" i="4"/>
  <c r="F1572" i="4"/>
  <c r="F256" i="4"/>
  <c r="F3079" i="4"/>
  <c r="F370" i="4"/>
  <c r="F738" i="4"/>
  <c r="F265" i="4"/>
  <c r="F244" i="4"/>
  <c r="F1737" i="4"/>
  <c r="F3097" i="4"/>
  <c r="F3098" i="4"/>
  <c r="F1744" i="4"/>
  <c r="F3099" i="4"/>
  <c r="F2975" i="4"/>
  <c r="F2976" i="4"/>
  <c r="F3025" i="4"/>
  <c r="F267" i="4"/>
  <c r="F2977" i="4"/>
  <c r="F1419" i="4"/>
  <c r="F2935" i="4"/>
  <c r="F2936" i="4"/>
  <c r="F2937" i="4"/>
  <c r="F416" i="4"/>
  <c r="F417" i="4"/>
  <c r="F3100" i="4"/>
  <c r="F2978" i="4"/>
  <c r="F3008" i="4"/>
  <c r="F3009" i="4"/>
  <c r="F3067" i="4"/>
  <c r="F71" i="4"/>
  <c r="F1127" i="4"/>
  <c r="F2979" i="4"/>
  <c r="F2980" i="4"/>
  <c r="F3026" i="4"/>
  <c r="F3027" i="4"/>
  <c r="F2981" i="4"/>
  <c r="F999" i="4"/>
  <c r="F190" i="4"/>
  <c r="F418" i="4"/>
  <c r="F419" i="4"/>
  <c r="F3028" i="4"/>
  <c r="F1426" i="4"/>
  <c r="F739" i="4"/>
  <c r="F3029" i="4"/>
  <c r="F1793" i="4"/>
  <c r="F1188" i="4"/>
  <c r="F1093" i="4"/>
  <c r="F1128" i="4"/>
  <c r="F36" i="4"/>
  <c r="F2077" i="4"/>
  <c r="F3030" i="4"/>
  <c r="F2982" i="4"/>
  <c r="F1998" i="4"/>
  <c r="F740" i="4"/>
  <c r="F1550" i="4"/>
  <c r="F1551" i="4"/>
  <c r="F3088" i="4"/>
  <c r="F670" i="4"/>
  <c r="F630" i="4"/>
  <c r="F2950" i="4"/>
  <c r="F360" i="4"/>
  <c r="F361" i="4"/>
  <c r="F3089" i="4"/>
  <c r="F2983" i="4"/>
  <c r="F1738" i="4"/>
  <c r="F120" i="4"/>
  <c r="F121" i="4"/>
  <c r="F371" i="4"/>
  <c r="F1552" i="4"/>
  <c r="F671" i="4"/>
  <c r="F877" i="4"/>
  <c r="F2984" i="4"/>
  <c r="F2985" i="4"/>
  <c r="F2986" i="4"/>
  <c r="F2987" i="4"/>
  <c r="F2988" i="4"/>
  <c r="F3068" i="4"/>
  <c r="F372" i="4"/>
  <c r="F2989" i="4"/>
  <c r="F402" i="4"/>
  <c r="F1553" i="4"/>
  <c r="F373" i="4"/>
  <c r="F1566" i="4"/>
  <c r="F2938" i="4"/>
  <c r="F1689" i="4"/>
  <c r="F1623" i="4"/>
  <c r="F1624" i="4"/>
  <c r="F3031" i="4"/>
  <c r="F1554" i="4"/>
  <c r="F266" i="4"/>
  <c r="F1567" i="4"/>
  <c r="F3032" i="4"/>
  <c r="F3033" i="4"/>
  <c r="F3090" i="4"/>
  <c r="F3091" i="4"/>
  <c r="F741" i="4"/>
  <c r="F420" i="4"/>
  <c r="F421" i="4"/>
  <c r="F3069" i="4"/>
  <c r="F1726" i="4"/>
  <c r="F1727" i="4"/>
  <c r="F3101" i="4"/>
  <c r="F2309" i="4"/>
  <c r="F2310" i="4"/>
  <c r="F1000" i="4"/>
  <c r="F3034" i="4"/>
  <c r="F3035" i="4"/>
  <c r="F1728" i="4"/>
  <c r="F3036" i="4"/>
  <c r="F742" i="4"/>
  <c r="F3080" i="4"/>
  <c r="F3081" i="4"/>
  <c r="F1745" i="4"/>
  <c r="F1436" i="4"/>
  <c r="F1437" i="4"/>
  <c r="F1783" i="4"/>
  <c r="F1784" i="4"/>
  <c r="F268" i="4"/>
  <c r="F1866" i="4"/>
  <c r="F1427" i="4"/>
  <c r="F549" i="4"/>
  <c r="F1181" i="4"/>
  <c r="F2990" i="4"/>
  <c r="F1001" i="4"/>
  <c r="F1828" i="4"/>
  <c r="F422" i="4"/>
  <c r="F1690" i="4"/>
  <c r="F3010" i="4"/>
  <c r="F1094" i="4"/>
  <c r="F109" i="4"/>
  <c r="F868" i="4"/>
  <c r="F122" i="4"/>
  <c r="F245" i="4"/>
  <c r="F1829" i="4"/>
  <c r="F2991" i="4"/>
  <c r="F3092" i="4"/>
  <c r="F3093" i="4"/>
  <c r="F191" i="4"/>
  <c r="F3037" i="4"/>
  <c r="F3102" i="4"/>
  <c r="F2992" i="4"/>
  <c r="F1931" i="4"/>
  <c r="F1428" i="4"/>
  <c r="F1519" i="4"/>
  <c r="F631" i="4"/>
  <c r="F423" i="4"/>
  <c r="F1830" i="4"/>
  <c r="F132" i="4"/>
  <c r="F1274" i="4"/>
  <c r="F878" i="4"/>
  <c r="F1438" i="4"/>
  <c r="F2951" i="4"/>
  <c r="F1831" i="4"/>
  <c r="F2943" i="4"/>
  <c r="F2944" i="4"/>
  <c r="F362" i="4"/>
  <c r="F363" i="4"/>
  <c r="F1439" i="4"/>
  <c r="F948" i="4"/>
  <c r="F3038" i="4"/>
  <c r="F133" i="4"/>
  <c r="F2993" i="4"/>
  <c r="F743" i="4"/>
  <c r="F269" i="4"/>
  <c r="F1555" i="4"/>
  <c r="F1556" i="4"/>
  <c r="F744" i="4"/>
  <c r="F769" i="4"/>
  <c r="F1424" i="4"/>
  <c r="F1791" i="4"/>
  <c r="F1867" i="4"/>
  <c r="F1635" i="4"/>
  <c r="F1636" i="4"/>
  <c r="F1052" i="4"/>
  <c r="F1520" i="4"/>
  <c r="F3103" i="4"/>
  <c r="F246" i="4"/>
  <c r="F1275" i="4"/>
  <c r="F1276" i="4"/>
  <c r="F247" i="4"/>
  <c r="F1746" i="4"/>
  <c r="F1932" i="4"/>
  <c r="F1420" i="4"/>
  <c r="F1747" i="4"/>
  <c r="F1002" i="4"/>
  <c r="F1003" i="4"/>
  <c r="F1344" i="4"/>
  <c r="F1205" i="4"/>
  <c r="F364" i="4"/>
  <c r="F365" i="4"/>
  <c r="F3039" i="4"/>
  <c r="F1673" i="4"/>
  <c r="F1674" i="4"/>
  <c r="F1675" i="4"/>
  <c r="F3073" i="4"/>
  <c r="F1489" i="4"/>
  <c r="F1277" i="4"/>
  <c r="F2019" i="4"/>
  <c r="F1785" i="4"/>
  <c r="F2008" i="4"/>
  <c r="F1338" i="4"/>
  <c r="F1291" i="4"/>
  <c r="F1440" i="4"/>
  <c r="F1868" i="4"/>
  <c r="F826" i="4"/>
  <c r="F988" i="4"/>
  <c r="F424" i="4"/>
  <c r="F1441" i="4"/>
  <c r="F1568" i="4"/>
  <c r="F1557" i="4"/>
  <c r="F1558" i="4"/>
  <c r="F2945" i="4"/>
  <c r="F2946" i="4"/>
  <c r="F1421" i="4"/>
  <c r="F1676" i="4"/>
  <c r="F3094" i="4"/>
  <c r="F1691" i="4"/>
  <c r="F1692" i="4"/>
  <c r="F270" i="4"/>
  <c r="F161" i="4"/>
  <c r="F493" i="4"/>
  <c r="F494" i="4"/>
  <c r="F1278" i="4"/>
  <c r="F464" i="4"/>
  <c r="F2188" i="4"/>
  <c r="F1677" i="4"/>
  <c r="F745" i="4"/>
  <c r="F1678" i="4"/>
  <c r="F3011" i="4"/>
  <c r="F672" i="4"/>
  <c r="F1206" i="4"/>
  <c r="F252" i="4"/>
  <c r="F253" i="4"/>
  <c r="F3070" i="4"/>
  <c r="F3071" i="4"/>
  <c r="F3072" i="4"/>
  <c r="F2189" i="4"/>
  <c r="F3040" i="4"/>
  <c r="F2190" i="4"/>
  <c r="F2191" i="4"/>
  <c r="F634" i="4"/>
  <c r="F1096" i="4"/>
  <c r="F134" i="4"/>
  <c r="F2319" i="4"/>
  <c r="F2192" i="4"/>
  <c r="F770" i="4"/>
  <c r="F1625" i="4"/>
  <c r="F1626" i="4"/>
  <c r="F1627" i="4"/>
  <c r="F2285" i="4"/>
  <c r="F1748" i="4"/>
  <c r="F1749" i="4"/>
  <c r="F1729" i="4"/>
  <c r="F1429" i="4"/>
  <c r="F2311" i="4"/>
  <c r="F2312" i="4"/>
  <c r="F2313" i="4"/>
  <c r="F2947" i="4"/>
  <c r="F328" i="4"/>
  <c r="F1559" i="4"/>
  <c r="F3095" i="4"/>
  <c r="F3096" i="4"/>
  <c r="F1799" i="4"/>
  <c r="F2994" i="4"/>
  <c r="F2939" i="4"/>
  <c r="F731" i="4"/>
  <c r="F732" i="4"/>
  <c r="F3041" i="4"/>
  <c r="F374" i="4"/>
  <c r="F375" i="4"/>
  <c r="F1560" i="4"/>
  <c r="F3042" i="4"/>
  <c r="F329" i="4"/>
  <c r="F2995" i="4"/>
  <c r="F2996" i="4"/>
  <c r="F495" i="4"/>
  <c r="F830" i="4"/>
  <c r="F68" i="4"/>
  <c r="F2997" i="4"/>
  <c r="F1794" i="4"/>
  <c r="F3043" i="4"/>
  <c r="F3044" i="4"/>
  <c r="F602" i="4"/>
  <c r="F2998" i="4"/>
  <c r="F2999" i="4"/>
  <c r="F827" i="4"/>
  <c r="F1750" i="4"/>
  <c r="F425" i="4"/>
  <c r="F1693" i="4"/>
  <c r="F1565" i="4"/>
  <c r="F1279" i="4"/>
  <c r="F978" i="4"/>
  <c r="F1724" i="4"/>
  <c r="F2193" i="4"/>
  <c r="F2112" i="4"/>
  <c r="F979" i="4"/>
  <c r="F980" i="4"/>
  <c r="F3045" i="4"/>
  <c r="F3074" i="4"/>
  <c r="F3012" i="4"/>
  <c r="F3075" i="4"/>
  <c r="F3013" i="4"/>
  <c r="F3076" i="4"/>
  <c r="F903" i="4"/>
  <c r="F192" i="4"/>
  <c r="F632" i="4"/>
  <c r="F283" i="4"/>
  <c r="F828" i="4"/>
  <c r="F2" i="4"/>
  <c r="F2194" i="4"/>
  <c r="F2195" i="4"/>
  <c r="F1679" i="4"/>
  <c r="F1680" i="4"/>
  <c r="F2940" i="4"/>
  <c r="F257" i="4"/>
  <c r="F2196" i="4"/>
  <c r="F2197" i="4"/>
  <c r="F1532" i="4"/>
  <c r="F281" i="4"/>
  <c r="F2198" i="4"/>
  <c r="F2199" i="4"/>
  <c r="F2200" i="4"/>
  <c r="F2201" i="4"/>
  <c r="F2113" i="4"/>
  <c r="F2202" i="4"/>
  <c r="F3046" i="4"/>
  <c r="F2315" i="4"/>
  <c r="F342" i="4"/>
  <c r="F1097" i="4"/>
  <c r="F3000" i="4"/>
  <c r="F1869" i="4"/>
  <c r="F2286" i="4"/>
  <c r="F1208" i="4"/>
  <c r="F1707" i="4"/>
  <c r="F3104" i="4"/>
  <c r="F3105" i="4"/>
  <c r="F376" i="4"/>
  <c r="F377" i="4"/>
  <c r="F904" i="4"/>
  <c r="F2203" i="4"/>
  <c r="F2143" i="4"/>
  <c r="F2204" i="4"/>
  <c r="F2205" i="4"/>
  <c r="F939" i="4"/>
  <c r="F940" i="4"/>
  <c r="F2206" i="4"/>
  <c r="F3106" i="4"/>
  <c r="F3001" i="4"/>
  <c r="F3002" i="4"/>
  <c r="F3003" i="4"/>
  <c r="F3004" i="4"/>
  <c r="F1795" i="4"/>
  <c r="F1796" i="4"/>
  <c r="F1797" i="4"/>
  <c r="F1521" i="4"/>
  <c r="F3107" i="4"/>
  <c r="F193" i="4"/>
  <c r="F194" i="4"/>
  <c r="F271" i="4"/>
  <c r="F1730" i="4"/>
  <c r="F3005" i="4"/>
  <c r="F1522" i="4"/>
  <c r="F3" i="4"/>
  <c r="F2207" i="4"/>
  <c r="F2208" i="4"/>
  <c r="F1012" i="4"/>
  <c r="F1129" i="4"/>
  <c r="F1095" i="4"/>
  <c r="F2287" i="4"/>
  <c r="F2209" i="4"/>
  <c r="F3108" i="4"/>
  <c r="F2210" i="4"/>
  <c r="F3109" i="4"/>
  <c r="F3047" i="4"/>
  <c r="F3048" i="4"/>
  <c r="F2211" i="4"/>
  <c r="F1434" i="4"/>
  <c r="F2212" i="4"/>
  <c r="F2213" i="4"/>
  <c r="F550" i="4"/>
  <c r="F2214" i="4"/>
  <c r="F2215" i="4"/>
  <c r="F2320" i="4"/>
  <c r="F1007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82" i="4"/>
  <c r="F2426" i="4"/>
  <c r="F2427" i="4"/>
  <c r="F1442" i="4"/>
  <c r="F1134" i="4"/>
  <c r="F1505" i="4"/>
  <c r="F183" i="4"/>
  <c r="F444" i="4"/>
  <c r="F152" i="4"/>
  <c r="F1405" i="4"/>
  <c r="F87" i="4"/>
  <c r="F88" i="4"/>
  <c r="F348" i="4"/>
  <c r="F261" i="4"/>
  <c r="F869" i="4"/>
  <c r="F2126" i="4"/>
  <c r="F384" i="4"/>
  <c r="F154" i="4"/>
  <c r="F1130" i="4"/>
  <c r="F1131" i="4"/>
  <c r="F187" i="4"/>
  <c r="F248" i="4"/>
  <c r="F1140" i="4"/>
  <c r="F1141" i="4"/>
  <c r="F1289" i="4"/>
  <c r="F1263" i="4"/>
  <c r="F750" i="4"/>
  <c r="F2127" i="4"/>
  <c r="F3065" i="4"/>
  <c r="F2128" i="4"/>
  <c r="F1290" i="4"/>
  <c r="F155" i="4"/>
  <c r="F3049" i="4"/>
  <c r="F189" i="4"/>
  <c r="F349" i="4"/>
  <c r="F2129" i="4"/>
  <c r="F2130" i="4"/>
  <c r="F106" i="4"/>
  <c r="F3110" i="4"/>
  <c r="F3111" i="4"/>
  <c r="F385" i="4"/>
  <c r="F3112" i="4"/>
  <c r="F153" i="4"/>
  <c r="F2167" i="4"/>
  <c r="F1008" i="4"/>
  <c r="F86" i="4"/>
  <c r="F323" i="4"/>
  <c r="F1207" i="4"/>
  <c r="F13" i="4"/>
  <c r="F14" i="4"/>
  <c r="F184" i="4"/>
  <c r="F185" i="4"/>
  <c r="F751" i="4"/>
  <c r="F1233" i="4"/>
  <c r="F836" i="4"/>
  <c r="F2216" i="4"/>
  <c r="F2217" i="4"/>
  <c r="F123" i="4"/>
  <c r="F561" i="4"/>
  <c r="F1363" i="4"/>
  <c r="F1364" i="4"/>
  <c r="F1418" i="4"/>
  <c r="F984" i="4"/>
  <c r="F1445" i="4"/>
  <c r="F1268" i="4"/>
  <c r="F1269" i="4"/>
  <c r="F15" i="4"/>
  <c r="F156" i="4"/>
  <c r="F1215" i="4"/>
  <c r="F1546" i="4"/>
  <c r="F2184" i="4"/>
  <c r="F324" i="4"/>
  <c r="F2114" i="4"/>
  <c r="F876" i="4"/>
  <c r="F61" i="4"/>
  <c r="F330" i="4"/>
  <c r="F1447" i="4"/>
  <c r="F825" i="4"/>
  <c r="F1244" i="4"/>
  <c r="F69" i="4"/>
  <c r="F70" i="4"/>
  <c r="F77" i="4"/>
  <c r="F2308" i="4"/>
  <c r="F676" i="4"/>
  <c r="F677" i="4"/>
  <c r="F2138" i="4"/>
  <c r="F2139" i="4"/>
  <c r="F2140" i="4"/>
  <c r="F1999" i="4"/>
  <c r="F1821" i="4"/>
  <c r="F1009" i="4"/>
  <c r="F1282" i="4"/>
  <c r="F2218" i="4"/>
  <c r="F2219" i="4"/>
  <c r="F1443" i="4"/>
  <c r="F1444" i="4"/>
  <c r="F2220" i="4"/>
  <c r="F4" i="4"/>
  <c r="F5" i="4"/>
  <c r="F709" i="4"/>
  <c r="F465" i="4"/>
  <c r="F669" i="4"/>
  <c r="F210" i="4"/>
  <c r="F2318" i="4"/>
  <c r="F1694" i="4"/>
  <c r="F1010" i="4"/>
  <c r="F771" i="4"/>
  <c r="F258" i="4"/>
  <c r="F586" i="4"/>
  <c r="F1422" i="4"/>
  <c r="F1523" i="4"/>
  <c r="F907" i="4"/>
  <c r="F908" i="4"/>
  <c r="F72" i="4"/>
  <c r="F1345" i="4"/>
  <c r="F1346" i="4"/>
  <c r="F1423" i="4"/>
  <c r="F2941" i="4"/>
  <c r="F790" i="4"/>
  <c r="F559" i="4"/>
  <c r="F560" i="4"/>
  <c r="F853" i="4"/>
  <c r="F2306" i="4"/>
  <c r="F2307" i="4"/>
  <c r="F551" i="4"/>
  <c r="F225" i="4"/>
  <c r="F1708" i="4"/>
  <c r="F1216" i="4"/>
  <c r="F1171" i="4"/>
  <c r="F1170" i="4"/>
  <c r="F2174" i="4"/>
  <c r="F612" i="4"/>
  <c r="F2942" i="4"/>
  <c r="F62" i="4"/>
  <c r="F710" i="4"/>
  <c r="F63" i="4"/>
  <c r="F2131" i="4"/>
  <c r="F2132" i="4"/>
  <c r="F107" i="4"/>
  <c r="F108" i="4"/>
  <c r="F1448" i="4"/>
  <c r="F2314" i="4"/>
  <c r="F458" i="4"/>
  <c r="F427" i="4"/>
  <c r="F1142" i="4"/>
  <c r="F2221" i="4"/>
  <c r="F985" i="4"/>
  <c r="F2107" i="4"/>
  <c r="F2108" i="4"/>
  <c r="F2109" i="4"/>
  <c r="F2110" i="4"/>
  <c r="F2428" i="4"/>
  <c r="F2429" i="4"/>
  <c r="F2051" i="4"/>
  <c r="F2052" i="4"/>
  <c r="F314" i="4"/>
  <c r="F315" i="4"/>
  <c r="F316" i="4"/>
  <c r="F317" i="4"/>
  <c r="F679" i="4"/>
  <c r="F140" i="4"/>
  <c r="F791" i="4"/>
  <c r="F3113" i="4"/>
  <c r="F141" i="4"/>
  <c r="F3114" i="4"/>
  <c r="F1077" i="4"/>
  <c r="F1533" i="4"/>
  <c r="F1534" i="4"/>
  <c r="F1697" i="4"/>
  <c r="F1481" i="4"/>
  <c r="F3115" i="4"/>
  <c r="F680" i="4"/>
  <c r="F1078" i="4"/>
  <c r="F1079" i="4"/>
  <c r="F1080" i="4"/>
  <c r="F1081" i="4"/>
  <c r="F1082" i="4"/>
  <c r="F1083" i="4"/>
  <c r="F633" i="4"/>
  <c r="F1535" i="4"/>
  <c r="F1156" i="4"/>
  <c r="F1482" i="4"/>
  <c r="F3116" i="4"/>
  <c r="F3117" i="4"/>
  <c r="F3118" i="4"/>
  <c r="F496" i="4"/>
  <c r="F3119" i="4"/>
  <c r="F1202" i="4"/>
  <c r="F1203" i="4"/>
  <c r="F681" i="4"/>
  <c r="F682" i="4"/>
  <c r="F1698" i="4"/>
  <c r="F1699" i="4"/>
  <c r="F1700" i="4"/>
  <c r="F683" i="4"/>
  <c r="F717" i="4"/>
  <c r="F1870" i="4"/>
  <c r="F1871" i="4"/>
  <c r="F1701" i="4"/>
  <c r="F2920" i="4"/>
  <c r="F792" i="4"/>
  <c r="F1629" i="4"/>
  <c r="F19" i="4"/>
  <c r="F428" i="4"/>
  <c r="F715" i="4"/>
  <c r="F716" i="4"/>
  <c r="F142" i="4"/>
  <c r="F143" i="4"/>
  <c r="F684" i="4"/>
  <c r="F2921" i="4"/>
  <c r="F685" i="4"/>
  <c r="F686" i="4"/>
  <c r="F1084" i="4"/>
  <c r="F1085" i="4"/>
  <c r="F687" i="4"/>
  <c r="F718" i="4"/>
  <c r="F1483" i="4"/>
  <c r="F660" i="4"/>
  <c r="F20" i="4"/>
  <c r="F719" i="4"/>
  <c r="F720" i="4"/>
  <c r="F235" i="4"/>
  <c r="F1536" i="4"/>
  <c r="F429" i="4"/>
  <c r="F1702" i="4"/>
  <c r="F1703" i="4"/>
  <c r="F1704" i="4"/>
  <c r="F1705" i="4"/>
  <c r="F1706" i="4"/>
  <c r="F793" i="4"/>
  <c r="F794" i="4"/>
  <c r="F2222" i="4"/>
  <c r="F806" i="4"/>
  <c r="F404" i="4"/>
  <c r="F144" i="4"/>
  <c r="F1086" i="4"/>
  <c r="F1087" i="4"/>
  <c r="F1088" i="4"/>
  <c r="F145" i="4"/>
  <c r="F1157" i="4"/>
  <c r="F1089" i="4"/>
  <c r="F1090" i="4"/>
  <c r="F1091" i="4"/>
  <c r="F1630" i="4"/>
  <c r="F2922" i="4"/>
  <c r="F2923" i="4"/>
  <c r="F2924" i="4"/>
  <c r="F2925" i="4"/>
  <c r="F1484" i="4"/>
  <c r="F1485" i="4"/>
  <c r="F1486" i="4"/>
  <c r="F21" i="4"/>
  <c r="F430" i="4"/>
  <c r="F3120" i="4"/>
  <c r="F3121" i="4"/>
  <c r="F3122" i="4"/>
  <c r="F3123" i="4"/>
  <c r="F3124" i="4"/>
  <c r="F1537" i="4"/>
  <c r="F1538" i="4"/>
  <c r="F1155" i="4"/>
  <c r="F2317" i="4"/>
  <c r="F1235" i="4"/>
  <c r="F1406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1763" i="4"/>
  <c r="F1764" i="4"/>
  <c r="F1765" i="4"/>
  <c r="F1766" i="4"/>
  <c r="F1767" i="4"/>
  <c r="F1768" i="4"/>
  <c r="F2053" i="4"/>
  <c r="F2054" i="4"/>
  <c r="F2664" i="4"/>
  <c r="F2665" i="4"/>
  <c r="F1114" i="4"/>
  <c r="F2116" i="4"/>
  <c r="F1407" i="4"/>
  <c r="F1209" i="4"/>
  <c r="F1408" i="4"/>
  <c r="F1409" i="4"/>
  <c r="F880" i="4"/>
  <c r="F2032" i="4"/>
  <c r="F1294" i="4"/>
  <c r="F1295" i="4"/>
  <c r="F2033" i="4"/>
  <c r="F1916" i="4"/>
  <c r="F1917" i="4"/>
  <c r="F1410" i="4"/>
  <c r="F1411" i="4"/>
  <c r="F1210" i="4"/>
  <c r="F1918" i="4"/>
  <c r="F881" i="4"/>
  <c r="F882" i="4"/>
  <c r="F1919" i="4"/>
  <c r="F2223" i="4"/>
  <c r="F2224" i="4"/>
  <c r="F1296" i="4"/>
  <c r="F1297" i="4"/>
  <c r="F1920" i="4"/>
  <c r="F1412" i="4"/>
  <c r="F2225" i="4"/>
  <c r="F497" i="4"/>
  <c r="F498" i="4"/>
  <c r="F883" i="4"/>
  <c r="F884" i="4"/>
  <c r="F2144" i="4"/>
  <c r="F1298" i="4"/>
  <c r="F1921" i="4"/>
  <c r="F2226" i="4"/>
  <c r="F2227" i="4"/>
  <c r="F2228" i="4"/>
  <c r="F1922" i="4"/>
  <c r="F2229" i="4"/>
  <c r="F833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1914" i="4"/>
  <c r="F2043" i="4"/>
  <c r="F2044" i="4"/>
  <c r="F1961" i="4"/>
  <c r="F1962" i="4"/>
  <c r="F1963" i="4"/>
  <c r="F1848" i="4"/>
  <c r="F1413" i="4"/>
  <c r="F2714" i="4"/>
  <c r="F1384" i="4"/>
  <c r="F1385" i="4"/>
  <c r="F885" i="4"/>
  <c r="F886" i="4"/>
  <c r="F887" i="4"/>
  <c r="F2230" i="4"/>
  <c r="F888" i="4"/>
  <c r="F889" i="4"/>
  <c r="F1386" i="4"/>
  <c r="F1387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1574" i="4"/>
  <c r="F1575" i="4"/>
  <c r="F1576" i="4"/>
  <c r="F1577" i="4"/>
  <c r="F1578" i="4"/>
  <c r="F139" i="4"/>
  <c r="F1579" i="4"/>
  <c r="F1580" i="4"/>
  <c r="F1581" i="4"/>
  <c r="F1582" i="4"/>
  <c r="F2186" i="4"/>
  <c r="F1583" i="4"/>
  <c r="F2187" i="4"/>
  <c r="F1584" i="4"/>
  <c r="F1585" i="4"/>
  <c r="F1586" i="4"/>
  <c r="F158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135" i="4"/>
  <c r="F136" i="4"/>
  <c r="F129" i="4"/>
  <c r="F130" i="4"/>
  <c r="F137" i="4"/>
  <c r="F1616" i="4"/>
  <c r="F558" i="4"/>
  <c r="F131" i="4"/>
  <c r="F1974" i="4"/>
  <c r="F749" i="4"/>
  <c r="F138" i="4"/>
  <c r="F1183" i="4"/>
  <c r="F1184" i="4"/>
  <c r="F1185" i="4"/>
  <c r="F1186" i="4"/>
  <c r="F1168" i="4"/>
  <c r="F694" i="4"/>
  <c r="F695" i="4"/>
  <c r="F272" i="4"/>
  <c r="F556" i="4"/>
  <c r="F905" i="4"/>
  <c r="F726" i="4"/>
  <c r="F273" i="4"/>
  <c r="F274" i="4"/>
  <c r="F1594" i="4"/>
  <c r="F112" i="4"/>
  <c r="F37" i="4"/>
  <c r="F1158" i="4"/>
  <c r="F1354" i="4"/>
  <c r="F1355" i="4"/>
  <c r="F1013" i="4"/>
  <c r="F637" i="4"/>
  <c r="F638" i="4"/>
  <c r="F639" i="4"/>
  <c r="F557" i="4"/>
  <c r="F2097" i="4"/>
  <c r="F1352" i="4"/>
  <c r="F1356" i="4"/>
  <c r="F1357" i="4"/>
  <c r="F1358" i="4"/>
  <c r="F696" i="4"/>
  <c r="F2927" i="4"/>
  <c r="F2928" i="4"/>
  <c r="F2929" i="4"/>
  <c r="F727" i="4"/>
  <c r="F275" i="4"/>
  <c r="F276" i="4"/>
  <c r="F113" i="4"/>
  <c r="F114" i="4"/>
  <c r="F38" i="4"/>
  <c r="F39" i="4"/>
  <c r="F40" i="4"/>
  <c r="F1280" i="4"/>
  <c r="F1924" i="4"/>
  <c r="F41" i="4"/>
  <c r="F484" i="4"/>
  <c r="F485" i="4"/>
  <c r="F1359" i="4"/>
  <c r="F729" i="4"/>
  <c r="F2930" i="4"/>
  <c r="F640" i="4"/>
  <c r="F641" i="4"/>
  <c r="F642" i="4"/>
  <c r="F697" i="4"/>
  <c r="F698" i="4"/>
  <c r="F1360" i="4"/>
  <c r="F1361" i="4"/>
  <c r="F1362" i="4"/>
  <c r="F2931" i="4"/>
  <c r="F2098" i="4"/>
  <c r="F2099" i="4"/>
  <c r="F2100" i="4"/>
  <c r="F42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1480" i="4"/>
  <c r="F921" i="4"/>
  <c r="F115" i="4"/>
  <c r="F116" i="4"/>
  <c r="F499" i="4"/>
  <c r="F2231" i="4"/>
  <c r="F2932" i="4"/>
  <c r="F2933" i="4"/>
  <c r="F1231" i="4"/>
  <c r="F1232" i="4"/>
  <c r="F486" i="4"/>
  <c r="F2168" i="4"/>
  <c r="F254" i="4"/>
  <c r="F1909" i="4"/>
  <c r="F228" i="4"/>
  <c r="F1786" i="4"/>
  <c r="F1787" i="4"/>
  <c r="F1788" i="4"/>
  <c r="F2150" i="4"/>
  <c r="F2151" i="4"/>
  <c r="F2152" i="4"/>
  <c r="F2133" i="4"/>
  <c r="F1769" i="4"/>
  <c r="F1934" i="4"/>
  <c r="F2134" i="4"/>
  <c r="F1975" i="4"/>
  <c r="F2135" i="4"/>
  <c r="F1774" i="4"/>
  <c r="F1775" i="4"/>
  <c r="F2020" i="4"/>
  <c r="F1993" i="4"/>
  <c r="F3058" i="4"/>
  <c r="F1976" i="4"/>
  <c r="F2136" i="4"/>
  <c r="F2012" i="4"/>
  <c r="F1843" i="4"/>
  <c r="F2021" i="4"/>
  <c r="F2022" i="4"/>
  <c r="F1004" i="4"/>
  <c r="F3059" i="4"/>
  <c r="F1935" i="4"/>
  <c r="F1936" i="4"/>
  <c r="F1977" i="4"/>
  <c r="F1995" i="4"/>
  <c r="F350" i="4"/>
  <c r="F351" i="4"/>
  <c r="F1776" i="4"/>
  <c r="F1005" i="4"/>
  <c r="F1006" i="4"/>
  <c r="F2023" i="4"/>
  <c r="F1770" i="4"/>
  <c r="F3060" i="4"/>
  <c r="F2013" i="4"/>
  <c r="F1172" i="4"/>
  <c r="F1771" i="4"/>
  <c r="F1264" i="4"/>
  <c r="F1265" i="4"/>
  <c r="F2024" i="4"/>
  <c r="F2025" i="4"/>
  <c r="F2026" i="4"/>
  <c r="F2014" i="4"/>
  <c r="F2015" i="4"/>
  <c r="F1937" i="4"/>
  <c r="F1938" i="4"/>
  <c r="F1844" i="4"/>
  <c r="F1266" i="4"/>
  <c r="F3061" i="4"/>
  <c r="F1845" i="4"/>
  <c r="F2092" i="4"/>
  <c r="F2093" i="4"/>
  <c r="F2094" i="4"/>
  <c r="F6" i="4"/>
  <c r="F203" i="4"/>
  <c r="F2232" i="4"/>
  <c r="F352" i="4"/>
  <c r="F353" i="4"/>
  <c r="F1846" i="4"/>
  <c r="F2926" i="4"/>
  <c r="F2027" i="4"/>
  <c r="F2148" i="4"/>
  <c r="F2304" i="4"/>
  <c r="F1151" i="4"/>
  <c r="F1152" i="4"/>
  <c r="F2233" i="4"/>
  <c r="F1994" i="4"/>
  <c r="F2169" i="4"/>
  <c r="F1789" i="4"/>
  <c r="F3062" i="4"/>
  <c r="F1772" i="4"/>
  <c r="F2028" i="4"/>
  <c r="F186" i="4"/>
  <c r="F1790" i="4"/>
  <c r="F906" i="4"/>
  <c r="F408" i="4"/>
  <c r="F409" i="4"/>
  <c r="F2234" i="4"/>
  <c r="F673" i="4"/>
  <c r="F1159" i="4"/>
  <c r="F1160" i="4"/>
  <c r="F2235" i="4"/>
  <c r="F2236" i="4"/>
  <c r="F2967" i="4"/>
  <c r="F1978" i="4"/>
  <c r="F2968" i="4"/>
  <c r="F2969" i="4"/>
  <c r="F1996" i="4"/>
  <c r="F354" i="4"/>
  <c r="F355" i="4"/>
  <c r="F2237" i="4"/>
  <c r="F2238" i="4"/>
  <c r="F2239" i="4"/>
  <c r="F2095" i="4"/>
  <c r="F1979" i="4"/>
  <c r="F1902" i="4"/>
  <c r="F1903" i="4"/>
  <c r="F2240" i="4"/>
  <c r="F2241" i="4"/>
  <c r="F1512" i="4"/>
  <c r="F2305" i="4"/>
  <c r="F33" i="4"/>
  <c r="F34" i="4"/>
  <c r="F1100" i="4"/>
  <c r="F1939" i="4"/>
  <c r="F1940" i="4"/>
  <c r="F165" i="4"/>
  <c r="F166" i="4"/>
  <c r="F278" i="4"/>
  <c r="F279" i="4"/>
  <c r="F767" i="4"/>
  <c r="F768" i="4"/>
  <c r="F48" i="4"/>
  <c r="F2242" i="4"/>
  <c r="F209" i="4"/>
  <c r="F2243" i="4"/>
  <c r="F7" i="4"/>
  <c r="F8" i="4"/>
  <c r="F456" i="4"/>
  <c r="F457" i="4"/>
  <c r="F1773" i="4"/>
  <c r="F2016" i="4"/>
  <c r="F2017" i="4"/>
  <c r="F1153" i="4"/>
  <c r="F1154" i="4"/>
  <c r="F2244" i="4"/>
  <c r="F1173" i="4"/>
  <c r="F2029" i="4"/>
  <c r="F2030" i="4"/>
  <c r="F2031" i="4"/>
  <c r="F127" i="4"/>
  <c r="F128" i="4"/>
  <c r="F1174" i="4"/>
  <c r="F2149" i="4"/>
  <c r="F448" i="4"/>
  <c r="F449" i="4"/>
  <c r="F2111" i="4"/>
  <c r="F1681" i="4"/>
  <c r="F1161" i="4"/>
  <c r="F255" i="4"/>
  <c r="F1910" i="4"/>
  <c r="F2245" i="4"/>
  <c r="F3063" i="4"/>
  <c r="F3064" i="4"/>
  <c r="F1175" i="4"/>
  <c r="F1176" i="4"/>
  <c r="F1446" i="4"/>
  <c r="F2246" i="4"/>
  <c r="F2247" i="4"/>
  <c r="F2248" i="4"/>
  <c r="F2249" i="4"/>
  <c r="F2250" i="4"/>
  <c r="F2137" i="4"/>
  <c r="F2251" i="4"/>
  <c r="F280" i="4"/>
  <c r="F443" i="4"/>
  <c r="F746" i="4"/>
  <c r="F711" i="4"/>
  <c r="F149" i="4"/>
  <c r="F712" i="4"/>
  <c r="F259" i="4"/>
  <c r="F481" i="4"/>
  <c r="F480" i="4"/>
  <c r="F805" i="4"/>
  <c r="F150" i="4"/>
  <c r="F260" i="4"/>
  <c r="F151" i="4"/>
  <c r="F713" i="4"/>
  <c r="F2153" i="4"/>
  <c r="F2839" i="4"/>
  <c r="F2840" i="4"/>
  <c r="F2841" i="4"/>
  <c r="F1182" i="4"/>
  <c r="F1400" i="4"/>
  <c r="F1401" i="4"/>
  <c r="F1402" i="4"/>
  <c r="F1403" i="4"/>
  <c r="F56" i="4"/>
  <c r="F981" i="4"/>
  <c r="F982" i="4"/>
  <c r="F57" i="4"/>
  <c r="F58" i="4"/>
  <c r="F2158" i="4"/>
  <c r="F2159" i="4"/>
  <c r="F2160" i="4"/>
  <c r="F59" i="4"/>
  <c r="F60" i="4"/>
  <c r="F500" i="4"/>
  <c r="F501" i="4"/>
  <c r="F674" i="4"/>
  <c r="F675" i="4"/>
  <c r="F2252" i="4"/>
  <c r="F983" i="4"/>
  <c r="F1404" i="4"/>
  <c r="F2253" i="4"/>
  <c r="F2254" i="4"/>
  <c r="F2255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652" i="4"/>
  <c r="F2161" i="4"/>
  <c r="F2162" i="4"/>
  <c r="F617" i="4"/>
  <c r="F2163" i="4"/>
  <c r="F653" i="4"/>
  <c r="F1872" i="4"/>
  <c r="F654" i="4"/>
  <c r="F618" i="4"/>
  <c r="F619" i="4"/>
  <c r="F1923" i="4"/>
  <c r="F1455" i="4"/>
  <c r="F1456" i="4"/>
  <c r="F2256" i="4"/>
  <c r="F229" i="4"/>
  <c r="F2257" i="4"/>
  <c r="F2258" i="4"/>
  <c r="F708" i="4"/>
  <c r="F575" i="4"/>
  <c r="F1696" i="4"/>
  <c r="F460" i="4"/>
  <c r="F461" i="4"/>
  <c r="F462" i="4"/>
  <c r="F463" i="4"/>
  <c r="F1221" i="4"/>
  <c r="F1222" i="4"/>
  <c r="F431" i="4"/>
  <c r="F410" i="4"/>
  <c r="F286" i="4"/>
  <c r="F287" i="4"/>
  <c r="F1330" i="4"/>
  <c r="F90" i="4"/>
  <c r="F390" i="4"/>
  <c r="F91" i="4"/>
  <c r="F92" i="4"/>
  <c r="F93" i="4"/>
  <c r="F94" i="4"/>
  <c r="F1874" i="4"/>
  <c r="F1875" i="4"/>
  <c r="F434" i="4"/>
  <c r="F1801" i="4"/>
  <c r="F1752" i="4"/>
  <c r="F1753" i="4"/>
  <c r="F1709" i="4"/>
  <c r="F435" i="4"/>
  <c r="F2117" i="4"/>
  <c r="F1331" i="4"/>
  <c r="F2118" i="4"/>
  <c r="F95" i="4"/>
  <c r="F96" i="4"/>
  <c r="F1710" i="4"/>
  <c r="F1711" i="4"/>
  <c r="F436" i="4"/>
  <c r="F1964" i="4"/>
  <c r="F1802" i="4"/>
  <c r="F1803" i="4"/>
  <c r="F1754" i="4"/>
  <c r="F1755" i="4"/>
  <c r="F2119" i="4"/>
  <c r="F288" i="4"/>
  <c r="F437" i="4"/>
  <c r="F989" i="4"/>
  <c r="F990" i="4"/>
  <c r="F97" i="4"/>
  <c r="F98" i="4"/>
  <c r="F438" i="4"/>
  <c r="F439" i="4"/>
  <c r="F1712" i="4"/>
  <c r="F1713" i="4"/>
  <c r="F1965" i="4"/>
  <c r="F1966" i="4"/>
  <c r="F1756" i="4"/>
  <c r="F1804" i="4"/>
  <c r="F1805" i="4"/>
  <c r="F2120" i="4"/>
  <c r="F289" i="4"/>
  <c r="F99" i="4"/>
  <c r="F991" i="4"/>
  <c r="F992" i="4"/>
  <c r="F100" i="4"/>
  <c r="F1714" i="4"/>
  <c r="F1806" i="4"/>
  <c r="F1807" i="4"/>
  <c r="F1715" i="4"/>
  <c r="F1716" i="4"/>
  <c r="F659" i="4"/>
  <c r="F440" i="4"/>
  <c r="F1808" i="4"/>
  <c r="F1967" i="4"/>
  <c r="F1717" i="4"/>
  <c r="F1718" i="4"/>
  <c r="F993" i="4"/>
  <c r="F994" i="4"/>
  <c r="F1719" i="4"/>
  <c r="F101" i="4"/>
  <c r="F2121" i="4"/>
  <c r="F2122" i="4"/>
  <c r="F1757" i="4"/>
  <c r="F1809" i="4"/>
  <c r="F226" i="4"/>
  <c r="F441" i="4"/>
  <c r="F1758" i="4"/>
  <c r="F1759" i="4"/>
  <c r="F290" i="4"/>
  <c r="F291" i="4"/>
  <c r="F1760" i="4"/>
  <c r="F1810" i="4"/>
  <c r="F1968" i="4"/>
  <c r="F1969" i="4"/>
  <c r="F1811" i="4"/>
  <c r="F1915" i="4"/>
  <c r="F442" i="4"/>
  <c r="F995" i="4"/>
  <c r="F1970" i="4"/>
  <c r="F1971" i="4"/>
  <c r="F76" i="4"/>
  <c r="F1720" i="4"/>
  <c r="F1721" i="4"/>
  <c r="F1812" i="4"/>
  <c r="F102" i="4"/>
  <c r="F103" i="4"/>
  <c r="F2303" i="4"/>
  <c r="F1842" i="4"/>
  <c r="F1119" i="4"/>
  <c r="F1014" i="4"/>
  <c r="F1015" i="4"/>
  <c r="F1813" i="4"/>
  <c r="F1814" i="4"/>
  <c r="F104" i="4"/>
  <c r="F704" i="4"/>
  <c r="F1453" i="4"/>
  <c r="F1120" i="4"/>
  <c r="F391" i="4"/>
  <c r="F227" i="4"/>
  <c r="F445" i="4"/>
  <c r="F1725" i="4"/>
  <c r="F292" i="4"/>
  <c r="F546" i="4"/>
  <c r="F547" i="4"/>
  <c r="F75" i="4"/>
  <c r="F1121" i="4"/>
  <c r="F1454" i="4"/>
  <c r="F446" i="4"/>
  <c r="F1399" i="4"/>
  <c r="F176" i="4"/>
  <c r="F1930" i="4"/>
  <c r="F2170" i="4"/>
  <c r="F2171" i="4"/>
  <c r="F699" i="4"/>
  <c r="F188" i="4"/>
  <c r="F1414" i="4"/>
  <c r="F1307" i="4"/>
  <c r="F483" i="4"/>
  <c r="F2101" i="4"/>
  <c r="F2102" i="4"/>
  <c r="F1122" i="4"/>
  <c r="F1123" i="4"/>
  <c r="F1972" i="4"/>
  <c r="F1973" i="4"/>
  <c r="F1622" i="4"/>
  <c r="F1283" i="4"/>
  <c r="F1487" i="4"/>
  <c r="F1488" i="4"/>
  <c r="F2259" i="4"/>
  <c r="F1631" i="4"/>
  <c r="F73" i="4"/>
  <c r="F74" i="4"/>
  <c r="F1169" i="4"/>
  <c r="F700" i="4"/>
  <c r="F701" i="4"/>
  <c r="F521" i="4"/>
  <c r="F1068" i="4"/>
  <c r="F1761" i="4"/>
  <c r="F871" i="4"/>
  <c r="F1016" i="4"/>
  <c r="F2123" i="4"/>
  <c r="F522" i="4"/>
  <c r="F523" i="4"/>
  <c r="F588" i="4"/>
  <c r="F589" i="4"/>
  <c r="F1017" i="4"/>
  <c r="F1018" i="4"/>
  <c r="F249" i="4"/>
  <c r="F262" i="4"/>
  <c r="F263" i="4"/>
  <c r="F1056" i="4"/>
  <c r="F1057" i="4"/>
  <c r="F772" i="4"/>
  <c r="F773" i="4"/>
  <c r="F1019" i="4"/>
  <c r="F1058" i="4"/>
  <c r="F1020" i="4"/>
  <c r="F1722" i="4"/>
  <c r="F1723" i="4"/>
  <c r="F774" i="4"/>
  <c r="F775" i="4"/>
  <c r="F23" i="4"/>
  <c r="F24" i="4"/>
  <c r="F524" i="4"/>
  <c r="F870" i="4"/>
  <c r="F590" i="4"/>
  <c r="F1021" i="4"/>
  <c r="F1022" i="4"/>
  <c r="F1023" i="4"/>
  <c r="F1069" i="4"/>
  <c r="F1070" i="4"/>
  <c r="F1059" i="4"/>
  <c r="F1060" i="4"/>
  <c r="F591" i="4"/>
  <c r="F776" i="4"/>
  <c r="F1371" i="4"/>
  <c r="F1372" i="4"/>
  <c r="F25" i="4"/>
  <c r="F1024" i="4"/>
  <c r="F1025" i="4"/>
  <c r="F1071" i="4"/>
  <c r="F1072" i="4"/>
  <c r="F1061" i="4"/>
  <c r="F525" i="4"/>
  <c r="F526" i="4"/>
  <c r="F250" i="4"/>
  <c r="F777" i="4"/>
  <c r="F778" i="4"/>
  <c r="F779" i="4"/>
  <c r="F592" i="4"/>
  <c r="F593" i="4"/>
  <c r="F594" i="4"/>
  <c r="F1026" i="4"/>
  <c r="F1027" i="4"/>
  <c r="F1062" i="4"/>
  <c r="F1028" i="4"/>
  <c r="F1063" i="4"/>
  <c r="F1029" i="4"/>
  <c r="F527" i="4"/>
  <c r="F1073" i="4"/>
  <c r="F1074" i="4"/>
  <c r="F780" i="4"/>
  <c r="F781" i="4"/>
  <c r="F782" i="4"/>
  <c r="F783" i="4"/>
  <c r="F595" i="4"/>
  <c r="F596" i="4"/>
  <c r="F1030" i="4"/>
  <c r="F597" i="4"/>
  <c r="F1031" i="4"/>
  <c r="F1032" i="4"/>
  <c r="F1033" i="4"/>
  <c r="F26" i="4"/>
  <c r="F784" i="4"/>
  <c r="F1034" i="4"/>
  <c r="F598" i="4"/>
  <c r="F1035" i="4"/>
  <c r="F528" i="4"/>
  <c r="F529" i="4"/>
  <c r="F785" i="4"/>
  <c r="F786" i="4"/>
  <c r="F787" i="4"/>
  <c r="F530" i="4"/>
  <c r="F1064" i="4"/>
  <c r="F1036" i="4"/>
  <c r="F1037" i="4"/>
  <c r="F1038" i="4"/>
  <c r="F1039" i="4"/>
  <c r="F1040" i="4"/>
  <c r="F27" i="4"/>
  <c r="F28" i="4"/>
  <c r="F599" i="4"/>
  <c r="F1065" i="4"/>
  <c r="F1041" i="4"/>
  <c r="F1042" i="4"/>
  <c r="F1379" i="4"/>
  <c r="F1380" i="4"/>
  <c r="F1381" i="4"/>
  <c r="F2011" i="4"/>
  <c r="F1220" i="4"/>
  <c r="F1452" i="4"/>
  <c r="F1800" i="4"/>
  <c r="F1628" i="4"/>
  <c r="F306" i="4"/>
  <c r="F307" i="4"/>
  <c r="F678" i="4"/>
  <c r="F1293" i="4"/>
  <c r="F381" i="4"/>
  <c r="F2145" i="4"/>
  <c r="F1849" i="4"/>
  <c r="F1850" i="4"/>
  <c r="F1815" i="4"/>
  <c r="F426" i="4"/>
  <c r="F29" i="4"/>
  <c r="F30" i="4"/>
  <c r="F873" i="4"/>
  <c r="F1043" i="4"/>
  <c r="F1044" i="4"/>
  <c r="F2260" i="4"/>
  <c r="F2261" i="4"/>
  <c r="F872" i="4"/>
  <c r="F788" i="4"/>
  <c r="F789" i="4"/>
  <c r="F1045" i="4"/>
  <c r="F1046" i="4"/>
  <c r="F600" i="4"/>
  <c r="F601" i="4"/>
  <c r="F531" i="4"/>
  <c r="F532" i="4"/>
  <c r="F1075" i="4"/>
  <c r="F1076" i="4"/>
  <c r="F447" i="4"/>
  <c r="F1047" i="4"/>
  <c r="F533" i="4"/>
  <c r="F603" i="4"/>
  <c r="F604" i="4"/>
  <c r="F605" i="4"/>
  <c r="F326" i="4"/>
  <c r="F1223" i="4"/>
  <c r="F620" i="4"/>
  <c r="F1547" i="4"/>
  <c r="F392" i="4"/>
  <c r="F923" i="4"/>
  <c r="F924" i="4"/>
  <c r="F621" i="4"/>
  <c r="F382" i="4"/>
  <c r="F31" i="4"/>
  <c r="F1066" i="4"/>
  <c r="F1067" i="4"/>
  <c r="F32" i="4"/>
  <c r="F1548" i="4"/>
  <c r="F1224" i="4"/>
  <c r="F622" i="4"/>
  <c r="F383" i="4"/>
  <c r="F1816" i="4"/>
  <c r="F264" i="4"/>
  <c r="F961" i="4"/>
  <c r="F64" i="4"/>
  <c r="F65" i="4"/>
  <c r="F66" i="4"/>
  <c r="F67" i="4"/>
  <c r="F2087" i="4"/>
  <c r="F2088" i="4"/>
  <c r="F1980" i="4"/>
  <c r="F1288" i="4"/>
  <c r="F1981" i="4"/>
  <c r="F1982" i="4"/>
  <c r="F2089" i="4"/>
  <c r="F1983" i="4"/>
  <c r="F2090" i="4"/>
  <c r="F1984" i="4"/>
  <c r="F1985" i="4"/>
  <c r="F1986" i="4"/>
  <c r="F1987" i="4"/>
  <c r="F1267" i="4"/>
  <c r="F1988" i="4"/>
  <c r="F1989" i="4"/>
  <c r="F1990" i="4"/>
  <c r="F1991" i="4"/>
  <c r="F1992" i="4"/>
  <c r="F843" i="4"/>
  <c r="F844" i="4"/>
  <c r="F1053" i="4"/>
  <c r="F1054" i="4"/>
  <c r="F1332" i="4"/>
  <c r="F845" i="4"/>
  <c r="F846" i="4"/>
  <c r="F847" i="4"/>
  <c r="F848" i="4"/>
  <c r="F343" i="4"/>
  <c r="F849" i="4"/>
  <c r="F1904" i="4"/>
  <c r="F1905" i="4"/>
  <c r="F1055" i="4"/>
  <c r="F1906" i="4"/>
  <c r="F489" i="4"/>
  <c r="F1907" i="4"/>
  <c r="F1236" i="4"/>
  <c r="F1237" i="4"/>
  <c r="F2297" i="4"/>
  <c r="F1238" i="4"/>
  <c r="F1239" i="4"/>
  <c r="F2298" i="4"/>
  <c r="F1240" i="4"/>
  <c r="F2299" i="4"/>
  <c r="F1241" i="4"/>
  <c r="F1242" i="4"/>
  <c r="F1817" i="4"/>
  <c r="F1524" i="4"/>
  <c r="F2045" i="4"/>
  <c r="F831" i="4"/>
  <c r="F1243" i="4"/>
  <c r="F22" i="4"/>
  <c r="F490" i="4"/>
  <c r="F1351" i="4"/>
  <c r="F2316" i="4"/>
  <c r="F752" i="4"/>
  <c r="F313" i="4"/>
  <c r="F160" i="4"/>
  <c r="F251" i="4"/>
  <c r="F2919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378" i="4"/>
  <c r="F379" i="4"/>
  <c r="F195" i="4"/>
  <c r="F196" i="4"/>
  <c r="F197" i="4"/>
  <c r="F198" i="4"/>
  <c r="F1777" i="4"/>
  <c r="F1778" i="4"/>
  <c r="F2262" i="4"/>
  <c r="F2263" i="4"/>
  <c r="F2264" i="4"/>
  <c r="F2265" i="4"/>
  <c r="F199" i="4"/>
  <c r="F222" i="4"/>
  <c r="F223" i="4"/>
  <c r="F200" i="4"/>
  <c r="F1217" i="4"/>
  <c r="F1201" i="4"/>
  <c r="F1695" i="4"/>
  <c r="F628" i="4"/>
  <c r="F1492" i="4"/>
  <c r="F1876" i="4"/>
  <c r="F1877" i="4"/>
  <c r="F1493" i="4"/>
  <c r="F110" i="4"/>
  <c r="F1494" i="4"/>
  <c r="F1878" i="4"/>
  <c r="F111" i="4"/>
  <c r="F1495" i="4"/>
  <c r="F1879" i="4"/>
  <c r="F1880" i="4"/>
  <c r="F1881" i="4"/>
  <c r="F1261" i="4"/>
  <c r="F1496" i="4"/>
  <c r="F1497" i="4"/>
  <c r="F1498" i="4"/>
  <c r="F1499" i="4"/>
  <c r="F1500" i="4"/>
  <c r="F1882" i="4"/>
  <c r="F1883" i="4"/>
  <c r="F1262" i="4"/>
  <c r="F1501" i="4"/>
  <c r="F922" i="4"/>
  <c r="F1884" i="4"/>
  <c r="F1885" i="4"/>
  <c r="F1502" i="4"/>
  <c r="F1503" i="4"/>
  <c r="F1504" i="4"/>
  <c r="F1873" i="4"/>
  <c r="F1271" i="4"/>
  <c r="F1415" i="4"/>
  <c r="F1416" i="4"/>
  <c r="F1350" i="4"/>
  <c r="F466" i="4"/>
  <c r="F240" i="4"/>
  <c r="F241" i="4"/>
  <c r="F955" i="4"/>
  <c r="F403" i="4"/>
  <c r="F177" i="4"/>
  <c r="F714" i="4"/>
  <c r="F3053" i="4"/>
  <c r="F765" i="4"/>
  <c r="F766" i="4"/>
  <c r="F405" i="4"/>
  <c r="F623" i="4"/>
  <c r="F1862" i="4"/>
  <c r="F3054" i="4"/>
  <c r="F2146" i="4"/>
  <c r="F3055" i="4"/>
  <c r="F230" i="4"/>
  <c r="F231" i="4"/>
  <c r="F1863" i="4"/>
  <c r="F406" i="4"/>
  <c r="F3056" i="4"/>
  <c r="F407" i="4"/>
  <c r="F624" i="4"/>
  <c r="F1822" i="4"/>
  <c r="F1823" i="4"/>
  <c r="F1824" i="4"/>
  <c r="F1825" i="4"/>
  <c r="F232" i="4"/>
  <c r="F233" i="4"/>
  <c r="F629" i="4"/>
  <c r="F625" i="4"/>
  <c r="F1284" i="4"/>
  <c r="F1227" i="4"/>
  <c r="F928" i="4"/>
  <c r="F929" i="4"/>
  <c r="F1228" i="4"/>
  <c r="F1285" i="4"/>
  <c r="F1573" i="4"/>
  <c r="F204" i="4"/>
  <c r="F205" i="4"/>
  <c r="F1539" i="4"/>
  <c r="F1540" i="4"/>
  <c r="F930" i="4"/>
  <c r="F931" i="4"/>
  <c r="F1886" i="4"/>
  <c r="F932" i="4"/>
  <c r="F933" i="4"/>
  <c r="F1887" i="4"/>
  <c r="F1286" i="4"/>
  <c r="F1229" i="4"/>
  <c r="F1541" i="4"/>
  <c r="F1287" i="4"/>
  <c r="F941" i="4"/>
  <c r="F942" i="4"/>
  <c r="F2266" i="4"/>
  <c r="F206" i="4"/>
  <c r="F207" i="4"/>
  <c r="F208" i="4"/>
  <c r="F2267" i="4"/>
  <c r="F1230" i="4"/>
  <c r="F1542" i="4"/>
  <c r="F1543" i="4"/>
  <c r="F934" i="4"/>
  <c r="F935" i="4"/>
  <c r="F936" i="4"/>
  <c r="F937" i="4"/>
  <c r="F1888" i="4"/>
  <c r="F938" i="4"/>
  <c r="F1143" i="4"/>
  <c r="F1144" i="4"/>
  <c r="F146" i="4"/>
  <c r="F147" i="4"/>
  <c r="F1270" i="4"/>
  <c r="F148" i="4"/>
  <c r="F795" i="4"/>
  <c r="F949" i="4"/>
  <c r="F950" i="4"/>
  <c r="F796" i="4"/>
  <c r="F1135" i="4"/>
  <c r="F807" i="4"/>
  <c r="F808" i="4"/>
  <c r="F809" i="4"/>
  <c r="F810" i="4"/>
  <c r="F1272" i="4"/>
  <c r="F1632" i="4"/>
  <c r="F811" i="4"/>
  <c r="F1526" i="4"/>
  <c r="F1544" i="4"/>
  <c r="F1545" i="4"/>
  <c r="F1637" i="4"/>
  <c r="F1638" i="4"/>
  <c r="F336" i="4"/>
  <c r="F1639" i="4"/>
  <c r="F2175" i="4"/>
  <c r="F2176" i="4"/>
  <c r="F1640" i="4"/>
  <c r="F1641" i="4"/>
  <c r="F1642" i="4"/>
  <c r="F951" i="4"/>
  <c r="F952" i="4"/>
  <c r="F3125" i="4"/>
  <c r="F3126" i="4"/>
  <c r="F3127" i="4"/>
  <c r="F1643" i="4"/>
  <c r="F812" i="4"/>
  <c r="F813" i="4"/>
  <c r="F393" i="4"/>
  <c r="F394" i="4"/>
  <c r="F356" i="4"/>
  <c r="F797" i="4"/>
  <c r="F798" i="4"/>
  <c r="F854" i="4"/>
  <c r="F855" i="4"/>
  <c r="F1299" i="4"/>
  <c r="F1300" i="4"/>
  <c r="F814" i="4"/>
  <c r="F815" i="4"/>
  <c r="F1281" i="4"/>
  <c r="F1527" i="4"/>
  <c r="F2910" i="4"/>
  <c r="F2911" i="4"/>
  <c r="F1136" i="4"/>
  <c r="F1137" i="4"/>
  <c r="F1528" i="4"/>
  <c r="F321" i="4"/>
  <c r="F2177" i="4"/>
  <c r="F2912" i="4"/>
  <c r="F816" i="4"/>
  <c r="F799" i="4"/>
  <c r="F1341" i="4"/>
  <c r="F817" i="4"/>
  <c r="F1644" i="4"/>
  <c r="F3128" i="4"/>
  <c r="F395" i="4"/>
  <c r="F396" i="4"/>
  <c r="F346" i="4"/>
  <c r="F1138" i="4"/>
  <c r="F1139" i="4"/>
  <c r="F2268" i="4"/>
  <c r="F337" i="4"/>
  <c r="F818" i="4"/>
  <c r="F819" i="4"/>
  <c r="F2178" i="4"/>
  <c r="F1198" i="4"/>
  <c r="F1199" i="4"/>
  <c r="F1200" i="4"/>
  <c r="F455" i="4"/>
  <c r="F338" i="4"/>
  <c r="F820" i="4"/>
  <c r="F2179" i="4"/>
  <c r="F3129" i="4"/>
  <c r="F2269" i="4"/>
  <c r="F1645" i="4"/>
  <c r="F1646" i="4"/>
  <c r="F1529" i="4"/>
  <c r="F1530" i="4"/>
  <c r="F2270" i="4"/>
  <c r="F800" i="4"/>
  <c r="F801" i="4"/>
  <c r="F856" i="4"/>
  <c r="F1301" i="4"/>
  <c r="F1302" i="4"/>
  <c r="F347" i="4"/>
  <c r="F1342" i="4"/>
  <c r="F1343" i="4"/>
  <c r="F821" i="4"/>
  <c r="F822" i="4"/>
  <c r="F357" i="4"/>
  <c r="F1633" i="4"/>
  <c r="F1634" i="4"/>
  <c r="F953" i="4"/>
  <c r="F954" i="4"/>
  <c r="F2180" i="4"/>
  <c r="F2181" i="4"/>
  <c r="F2182" i="4"/>
  <c r="F823" i="4"/>
  <c r="F824" i="4"/>
  <c r="F327" i="4"/>
  <c r="F802" i="4"/>
  <c r="F803" i="4"/>
  <c r="F2913" i="4"/>
  <c r="F804" i="4"/>
  <c r="F1647" i="4"/>
  <c r="F322" i="4"/>
  <c r="F1115" i="4"/>
  <c r="F1116" i="4"/>
  <c r="F397" i="4"/>
  <c r="F1531" i="4"/>
  <c r="F662" i="4"/>
  <c r="F663" i="4"/>
  <c r="F664" i="4"/>
  <c r="F2050" i="4"/>
  <c r="F1941" i="4"/>
  <c r="F1933" i="4"/>
  <c r="F2183" i="4"/>
  <c r="F587" i="4"/>
  <c r="F610" i="4"/>
  <c r="F534" i="4"/>
  <c r="F688" i="4"/>
  <c r="F665" i="4"/>
  <c r="F666" i="4"/>
  <c r="F535" i="4"/>
  <c r="F536" i="4"/>
  <c r="F537" i="4"/>
  <c r="F538" i="4"/>
  <c r="F2055" i="4"/>
  <c r="F2056" i="4"/>
  <c r="F16" i="4"/>
  <c r="F17" i="4"/>
  <c r="F167" i="4"/>
  <c r="F168" i="4"/>
  <c r="F1490" i="4"/>
  <c r="F986" i="4"/>
  <c r="F224" i="4"/>
  <c r="F643" i="4"/>
  <c r="F644" i="4"/>
  <c r="F1491" i="4"/>
  <c r="F645" i="4"/>
  <c r="F646" i="4"/>
  <c r="F647" i="4"/>
  <c r="F2057" i="4"/>
  <c r="F169" i="4"/>
  <c r="F1117" i="4"/>
  <c r="F1118" i="4"/>
  <c r="F539" i="4"/>
  <c r="F540" i="4"/>
  <c r="F655" i="4"/>
  <c r="F656" i="4"/>
  <c r="F2058" i="4"/>
  <c r="F2059" i="4"/>
  <c r="F2060" i="4"/>
  <c r="F2061" i="4"/>
  <c r="F2062" i="4"/>
  <c r="F162" i="4"/>
  <c r="F2063" i="4"/>
  <c r="F170" i="4"/>
  <c r="F171" i="4"/>
  <c r="F172" i="4"/>
  <c r="F163" i="4"/>
  <c r="F164" i="4"/>
  <c r="F173" i="4"/>
  <c r="F174" i="4"/>
  <c r="F2039" i="4"/>
  <c r="F2916" i="4"/>
  <c r="F657" i="4"/>
  <c r="F658" i="4"/>
  <c r="F2018" i="4"/>
  <c r="F178" i="4"/>
  <c r="F179" i="4"/>
  <c r="F1525" i="4"/>
  <c r="F689" i="4"/>
  <c r="F690" i="4"/>
  <c r="F541" i="4"/>
  <c r="F542" i="4"/>
  <c r="F2064" i="4"/>
  <c r="F2065" i="4"/>
  <c r="F648" i="4"/>
  <c r="F649" i="4"/>
  <c r="F650" i="4"/>
  <c r="F2066" i="4"/>
  <c r="F2067" i="4"/>
  <c r="F180" i="4"/>
  <c r="F181" i="4"/>
  <c r="F987" i="4"/>
  <c r="F2068" i="4"/>
  <c r="F2069" i="4"/>
  <c r="F2070" i="4"/>
  <c r="F543" i="4"/>
  <c r="F703" i="4"/>
  <c r="F544" i="4"/>
  <c r="F691" i="4"/>
  <c r="F545" i="4"/>
  <c r="F2914" i="4"/>
  <c r="F2915" i="4"/>
  <c r="F157" i="4"/>
  <c r="F1435" i="4"/>
  <c r="F692" i="4"/>
  <c r="F89" i="4"/>
  <c r="F2271" i="4"/>
  <c r="F18" i="4"/>
  <c r="F611" i="4"/>
  <c r="F702" i="4"/>
  <c r="F459" i="4"/>
  <c r="F2272" i="4"/>
  <c r="F2141" i="4"/>
  <c r="F158" i="4"/>
  <c r="F635" i="4"/>
  <c r="F576" i="4"/>
  <c r="F1615" i="4"/>
  <c r="F2040" i="4"/>
  <c r="F2041" i="4"/>
  <c r="F2042" i="4"/>
  <c r="F159" i="4"/>
  <c r="F2071" i="4"/>
  <c r="F2072" i="4"/>
  <c r="F667" i="4"/>
  <c r="F668" i="4"/>
  <c r="F2073" i="4"/>
  <c r="F2074" i="4"/>
  <c r="F175" i="4"/>
  <c r="F478" i="4"/>
  <c r="F693" i="4"/>
  <c r="F651" i="4"/>
  <c r="F636" i="4"/>
  <c r="F1901" i="4"/>
  <c r="F2075" i="4"/>
  <c r="F2076" i="4"/>
  <c r="F1819" i="4"/>
  <c r="F1942" i="4"/>
  <c r="F1943" i="4"/>
  <c r="F2154" i="4"/>
  <c r="F1449" i="4"/>
  <c r="F1333" i="4"/>
  <c r="F1334" i="4"/>
  <c r="F1335" i="4"/>
  <c r="F1336" i="4"/>
  <c r="F1337" i="4"/>
  <c r="F2003" i="4"/>
  <c r="F2004" i="4"/>
  <c r="F2273" i="4"/>
  <c r="F1225" i="4"/>
  <c r="F119" i="4"/>
  <c r="F1611" i="4"/>
  <c r="F492" i="4"/>
  <c r="F976" i="4"/>
  <c r="F977" i="4"/>
  <c r="F3057" i="4"/>
  <c r="F1612" i="4"/>
  <c r="F1613" i="4"/>
  <c r="F705" i="4"/>
  <c r="F706" i="4"/>
  <c r="F2301" i="4"/>
  <c r="F2274" i="4"/>
  <c r="F2275" i="4"/>
  <c r="F1614" i="4"/>
  <c r="F707" i="4"/>
  <c r="F2300" i="4"/>
  <c r="F1751" i="4"/>
  <c r="F2091" i="4"/>
  <c r="F9" i="4"/>
  <c r="F10" i="4"/>
  <c r="F11" i="4"/>
  <c r="F12" i="4"/>
  <c r="F1353" i="4"/>
  <c r="F310" i="4"/>
  <c r="F311" i="4"/>
  <c r="F312" i="4"/>
  <c r="F43" i="4"/>
  <c r="F44" i="4"/>
  <c r="F45" i="4"/>
  <c r="F46" i="4"/>
  <c r="F47" i="4"/>
  <c r="F1365" i="4"/>
  <c r="F1506" i="4"/>
  <c r="F293" i="4"/>
  <c r="F1177" i="4"/>
  <c r="F294" i="4"/>
  <c r="F1366" i="4"/>
  <c r="F295" i="4"/>
  <c r="F1507" i="4"/>
  <c r="F1508" i="4"/>
  <c r="F1098" i="4"/>
  <c r="F1509" i="4"/>
  <c r="F1367" i="4"/>
  <c r="F1178" i="4"/>
  <c r="F1179" i="4"/>
  <c r="F1099" i="4"/>
  <c r="F284" i="4"/>
  <c r="F1368" i="4"/>
  <c r="F1510" i="4"/>
  <c r="F1369" i="4"/>
  <c r="F1180" i="4"/>
  <c r="F1370" i="4"/>
  <c r="F1511" i="4"/>
  <c r="F892" i="4"/>
  <c r="F124" i="4"/>
  <c r="F125" i="4"/>
  <c r="F893" i="4"/>
  <c r="F894" i="4"/>
  <c r="F1189" i="4"/>
  <c r="F1190" i="4"/>
  <c r="F562" i="4"/>
  <c r="F236" i="4"/>
  <c r="F237" i="4"/>
  <c r="F747" i="4"/>
  <c r="F832" i="4"/>
  <c r="F834" i="4"/>
  <c r="F126" i="4"/>
  <c r="F895" i="4"/>
  <c r="F896" i="4"/>
  <c r="F897" i="4"/>
  <c r="F898" i="4"/>
  <c r="F1048" i="4"/>
  <c r="F1049" i="4"/>
  <c r="F1191" i="4"/>
  <c r="F1192" i="4"/>
  <c r="F432" i="4"/>
  <c r="F563" i="4"/>
  <c r="F1851" i="4"/>
  <c r="F1852" i="4"/>
  <c r="F309" i="4"/>
  <c r="F748" i="4"/>
  <c r="F1373" i="4"/>
  <c r="F1193" i="4"/>
  <c r="F1194" i="4"/>
  <c r="F899" i="4"/>
  <c r="F900" i="4"/>
  <c r="F835" i="4"/>
  <c r="F1050" i="4"/>
  <c r="F1051" i="4"/>
  <c r="F564" i="4"/>
  <c r="F433" i="4"/>
  <c r="F238" i="4"/>
  <c r="F239" i="4"/>
  <c r="F1853" i="4"/>
  <c r="F1854" i="4"/>
  <c r="F2096" i="4"/>
  <c r="F1195" i="4"/>
  <c r="F901" i="4"/>
  <c r="F1374" i="4"/>
  <c r="F1375" i="4"/>
  <c r="F1196" i="4"/>
  <c r="F1197" i="4"/>
  <c r="F902" i="4"/>
  <c r="F1513" i="4"/>
  <c r="F1617" i="4"/>
  <c r="F2034" i="4"/>
  <c r="F2035" i="4"/>
  <c r="F909" i="4"/>
  <c r="F1514" i="4"/>
  <c r="F1515" i="4"/>
  <c r="F2036" i="4"/>
  <c r="F2037" i="4"/>
  <c r="F2038" i="4"/>
  <c r="F1618" i="4"/>
  <c r="F1619" i="4"/>
  <c r="F1620" i="4"/>
  <c r="F728" i="4"/>
  <c r="F910" i="4"/>
  <c r="F331" i="4"/>
  <c r="F3050" i="4"/>
  <c r="F3051" i="4"/>
  <c r="F1516" i="4"/>
  <c r="F1517" i="4"/>
  <c r="F332" i="4"/>
  <c r="F2172" i="4"/>
  <c r="F911" i="4"/>
  <c r="F912" i="4"/>
  <c r="F333" i="4"/>
  <c r="F334" i="4"/>
  <c r="F1518" i="4"/>
  <c r="F3052" i="4"/>
  <c r="F2173" i="4"/>
  <c r="F913" i="4"/>
  <c r="F1621" i="4"/>
  <c r="F335" i="4"/>
  <c r="F308" i="4"/>
  <c r="F1648" i="4"/>
  <c r="F1430" i="4"/>
  <c r="F1431" i="4"/>
  <c r="F1432" i="4"/>
  <c r="F552" i="4"/>
  <c r="F1433" i="4"/>
  <c r="F1457" i="4"/>
  <c r="F1458" i="4"/>
  <c r="F1459" i="4"/>
  <c r="F553" i="4"/>
  <c r="F554" i="4"/>
  <c r="F1596" i="4"/>
  <c r="F566" i="4"/>
  <c r="F1460" i="4"/>
  <c r="F1461" i="4"/>
  <c r="F1462" i="4"/>
  <c r="F1463" i="4"/>
  <c r="F577" i="4"/>
  <c r="F1245" i="4"/>
  <c r="F857" i="4"/>
  <c r="F1376" i="4"/>
  <c r="F1597" i="4"/>
  <c r="F1347" i="4"/>
  <c r="F1464" i="4"/>
  <c r="F2078" i="4"/>
  <c r="F1598" i="4"/>
  <c r="F1465" i="4"/>
  <c r="F837" i="4"/>
  <c r="F1889" i="4"/>
  <c r="F1466" i="4"/>
  <c r="F1467" i="4"/>
  <c r="F1599" i="4"/>
  <c r="F2079" i="4"/>
  <c r="F2080" i="4"/>
  <c r="F2081" i="4"/>
  <c r="F1211" i="4"/>
  <c r="F212" i="4"/>
  <c r="F213" i="4"/>
  <c r="F613" i="4"/>
  <c r="F512" i="4"/>
  <c r="F513" i="4"/>
  <c r="F514" i="4"/>
  <c r="F858" i="4"/>
  <c r="F578" i="4"/>
  <c r="F579" i="4"/>
  <c r="F1649" i="4"/>
  <c r="F1650" i="4"/>
  <c r="F1651" i="4"/>
  <c r="F1652" i="4"/>
  <c r="F1468" i="4"/>
  <c r="F1600" i="4"/>
  <c r="F567" i="4"/>
  <c r="F1601" i="4"/>
  <c r="F568" i="4"/>
  <c r="F569" i="4"/>
  <c r="F1927" i="4"/>
  <c r="F1890" i="4"/>
  <c r="F1891" i="4"/>
  <c r="F2082" i="4"/>
  <c r="F555" i="4"/>
  <c r="F1377" i="4"/>
  <c r="F1378" i="4"/>
  <c r="F570" i="4"/>
  <c r="F571" i="4"/>
  <c r="F2961" i="4"/>
  <c r="F2962" i="4"/>
  <c r="F1469" i="4"/>
  <c r="F1470" i="4"/>
  <c r="F1246" i="4"/>
  <c r="F1892" i="4"/>
  <c r="F1893" i="4"/>
  <c r="F1894" i="4"/>
  <c r="F1895" i="4"/>
  <c r="F1247" i="4"/>
  <c r="F1248" i="4"/>
  <c r="F1249" i="4"/>
  <c r="F1250" i="4"/>
  <c r="F1251" i="4"/>
  <c r="F515" i="4"/>
  <c r="F516" i="4"/>
  <c r="F1602" i="4"/>
  <c r="F1603" i="4"/>
  <c r="F78" i="4"/>
  <c r="F79" i="4"/>
  <c r="F614" i="4"/>
  <c r="F859" i="4"/>
  <c r="F860" i="4"/>
  <c r="F580" i="4"/>
  <c r="F450" i="4"/>
  <c r="F1212" i="4"/>
  <c r="F1252" i="4"/>
  <c r="F211" i="4"/>
  <c r="F2083" i="4"/>
  <c r="F318" i="4"/>
  <c r="F861" i="4"/>
  <c r="F1736" i="4"/>
  <c r="F214" i="4"/>
  <c r="F1304" i="4"/>
  <c r="F2084" i="4"/>
  <c r="F838" i="4"/>
  <c r="F839" i="4"/>
  <c r="F925" i="4"/>
  <c r="F1683" i="4"/>
  <c r="F862" i="4"/>
  <c r="F840" i="4"/>
  <c r="F1653" i="4"/>
  <c r="F1654" i="4"/>
  <c r="F1655" i="4"/>
  <c r="F1656" i="4"/>
  <c r="F1657" i="4"/>
  <c r="F2000" i="4"/>
  <c r="F2001" i="4"/>
  <c r="F1348" i="4"/>
  <c r="F1349" i="4"/>
  <c r="F1604" i="4"/>
  <c r="F1605" i="4"/>
  <c r="F517" i="4"/>
  <c r="F1471" i="4"/>
  <c r="F1472" i="4"/>
  <c r="F1473" i="4"/>
  <c r="F80" i="4"/>
  <c r="F81" i="4"/>
  <c r="F82" i="4"/>
  <c r="F502" i="4"/>
  <c r="F503" i="4"/>
  <c r="F504" i="4"/>
  <c r="F615" i="4"/>
  <c r="F1606" i="4"/>
  <c r="F1607" i="4"/>
  <c r="F1896" i="4"/>
  <c r="F1897" i="4"/>
  <c r="F1253" i="4"/>
  <c r="F1254" i="4"/>
  <c r="F1255" i="4"/>
  <c r="F505" i="4"/>
  <c r="F506" i="4"/>
  <c r="F507" i="4"/>
  <c r="F518" i="4"/>
  <c r="F1474" i="4"/>
  <c r="F1475" i="4"/>
  <c r="F1476" i="4"/>
  <c r="F1477" i="4"/>
  <c r="F1478" i="4"/>
  <c r="F1479" i="4"/>
  <c r="F83" i="4"/>
  <c r="F84" i="4"/>
  <c r="F1658" i="4"/>
  <c r="F1659" i="4"/>
  <c r="F1660" i="4"/>
  <c r="F1661" i="4"/>
  <c r="F581" i="4"/>
  <c r="F582" i="4"/>
  <c r="F1928" i="4"/>
  <c r="F1929" i="4"/>
  <c r="F2276" i="4"/>
  <c r="F841" i="4"/>
  <c r="F842" i="4"/>
  <c r="F2085" i="4"/>
  <c r="F1662" i="4"/>
  <c r="F1663" i="4"/>
  <c r="F1664" i="4"/>
  <c r="F451" i="4"/>
  <c r="F452" i="4"/>
  <c r="F453" i="4"/>
  <c r="F1213" i="4"/>
  <c r="F1305" i="4"/>
  <c r="F926" i="4"/>
  <c r="F863" i="4"/>
  <c r="F864" i="4"/>
  <c r="F2086" i="4"/>
  <c r="F296" i="4"/>
  <c r="F297" i="4"/>
  <c r="F298" i="4"/>
  <c r="F299" i="4"/>
  <c r="F300" i="4"/>
  <c r="F301" i="4"/>
  <c r="F1234" i="4"/>
  <c r="F215" i="4"/>
  <c r="F216" i="4"/>
  <c r="F217" i="4"/>
  <c r="F218" i="4"/>
  <c r="F219" i="4"/>
  <c r="F1665" i="4"/>
  <c r="F85" i="4"/>
  <c r="F1608" i="4"/>
  <c r="F1609" i="4"/>
  <c r="F1898" i="4"/>
  <c r="F1684" i="4"/>
  <c r="F1685" i="4"/>
  <c r="F1682" i="4"/>
  <c r="F380" i="4"/>
  <c r="F2002" i="4"/>
  <c r="F319" i="4"/>
  <c r="F865" i="4"/>
  <c r="F1847" i="4"/>
  <c r="F2277" i="4"/>
  <c r="F2278" i="4"/>
  <c r="F1256" i="4"/>
  <c r="F1257" i="4"/>
  <c r="F1258" i="4"/>
  <c r="F1899" i="4"/>
  <c r="F1900" i="4"/>
  <c r="F866" i="4"/>
  <c r="F867" i="4"/>
  <c r="F508" i="4"/>
  <c r="F509" i="4"/>
  <c r="F510" i="4"/>
  <c r="F511" i="4"/>
  <c r="F519" i="4"/>
  <c r="F520" i="4"/>
  <c r="F572" i="4"/>
  <c r="F573" i="4"/>
  <c r="F574" i="4"/>
  <c r="F1259" i="4"/>
  <c r="F1417" i="4"/>
  <c r="F2279" i="4"/>
  <c r="F220" i="4"/>
  <c r="F221" i="4"/>
  <c r="F2963" i="4"/>
  <c r="F2964" i="4"/>
  <c r="F2965" i="4"/>
  <c r="F2966" i="4"/>
  <c r="F1260" i="4"/>
  <c r="F2280" i="4"/>
  <c r="F2281" i="4"/>
  <c r="F320" i="4"/>
  <c r="F302" i="4"/>
  <c r="F303" i="4"/>
  <c r="F583" i="4"/>
  <c r="F584" i="4"/>
  <c r="F1610" i="4"/>
  <c r="F1686" i="4"/>
  <c r="F1306" i="4"/>
  <c r="F2282" i="4"/>
  <c r="F454" i="4"/>
  <c r="F927" i="4"/>
  <c r="F304" i="4"/>
  <c r="F1214" i="4"/>
  <c r="F305" i="4"/>
  <c r="F2005" i="4"/>
  <c r="F2006" i="4"/>
  <c r="F2007" i="4"/>
  <c r="F1588" i="4"/>
  <c r="F1589" i="4"/>
  <c r="F1832" i="4"/>
  <c r="F1833" i="4"/>
  <c r="F1834" i="4"/>
  <c r="F1835" i="4"/>
  <c r="F1590" i="4"/>
  <c r="F1591" i="4"/>
  <c r="F2290" i="4"/>
  <c r="F2291" i="4"/>
  <c r="F2292" i="4"/>
  <c r="F1592" i="4"/>
  <c r="F1593" i="4"/>
  <c r="F1836" i="4"/>
  <c r="F1837" i="4"/>
  <c r="F1838" i="4"/>
  <c r="F1839" i="4"/>
  <c r="F2288" i="4"/>
  <c r="F2289" i="4"/>
  <c r="F2293" i="4"/>
  <c r="F2294" i="4"/>
  <c r="F2295" i="4"/>
  <c r="F2296" i="4"/>
  <c r="F1840" i="4"/>
  <c r="F1841" i="4"/>
  <c r="F1561" i="4"/>
  <c r="F1145" i="4"/>
  <c r="F1146" i="4"/>
  <c r="F1147" i="4"/>
  <c r="F1148" i="4"/>
  <c r="F1339" i="4"/>
  <c r="F2103" i="4"/>
  <c r="F2104" i="4"/>
  <c r="F1149" i="4"/>
  <c r="F1150" i="4"/>
  <c r="F2164" i="4"/>
  <c r="F1340" i="4"/>
  <c r="F890" i="4"/>
  <c r="F891" i="4"/>
  <c r="F2165" i="4"/>
  <c r="F2166" i="4"/>
  <c r="F1562" i="4"/>
  <c r="F2147" i="4"/>
  <c r="F386" i="4"/>
  <c r="F387" i="4"/>
  <c r="F388" i="4"/>
  <c r="F389" i="4"/>
  <c r="F2105" i="4"/>
  <c r="F2106" i="4"/>
  <c r="F850" i="4"/>
  <c r="F1563" i="4"/>
  <c r="F874" i="4"/>
  <c r="F875" i="4"/>
  <c r="F201" i="4"/>
  <c r="F182" i="4"/>
  <c r="F325" i="4"/>
  <c r="F959" i="4"/>
  <c r="F960" i="4"/>
  <c r="F35" i="4"/>
  <c r="F479" i="4"/>
  <c r="F2283" i="4"/>
  <c r="F202" i="4"/>
  <c r="F49" i="4"/>
  <c r="F50" i="4"/>
  <c r="F51" i="4"/>
  <c r="F52" i="4"/>
  <c r="F53" i="4"/>
  <c r="F54" i="4"/>
  <c r="F55" i="4"/>
  <c r="F1450" i="4"/>
  <c r="F1731" i="4"/>
  <c r="F1732" i="4"/>
  <c r="F1451" i="4"/>
  <c r="F1733" i="4"/>
  <c r="F1734" i="4"/>
  <c r="F1735" i="4"/>
  <c r="F1864" i="4"/>
  <c r="F234" i="4"/>
  <c r="F339" i="4"/>
  <c r="F340" i="4"/>
  <c r="F2009" i="4"/>
  <c r="F2010" i="4"/>
  <c r="F1571" i="4"/>
  <c r="F1163" i="4"/>
  <c r="F1164" i="4"/>
  <c r="F914" i="4"/>
  <c r="F471" i="4"/>
  <c r="F472" i="4"/>
  <c r="F1762" i="4"/>
  <c r="F1165" i="4"/>
  <c r="F915" i="4"/>
  <c r="F916" i="4"/>
  <c r="F943" i="4"/>
  <c r="F944" i="4"/>
  <c r="F473" i="4"/>
  <c r="F474" i="4"/>
  <c r="F475" i="4"/>
  <c r="F917" i="4"/>
  <c r="F918" i="4"/>
  <c r="F1166" i="4"/>
  <c r="F476" i="4"/>
  <c r="F945" i="4"/>
  <c r="F1925" i="4"/>
  <c r="F1926" i="4"/>
  <c r="F105" i="4"/>
  <c r="F1167" i="4"/>
  <c r="F2284" i="4"/>
  <c r="F946" i="4"/>
  <c r="F947" i="4"/>
  <c r="F919" i="4"/>
  <c r="F920" i="4"/>
  <c r="F477" i="4"/>
  <c r="F1218" i="4"/>
  <c r="F956" i="4"/>
  <c r="F1219" i="4"/>
  <c r="F957" i="4"/>
  <c r="F958" i="4"/>
  <c r="F1292" i="4"/>
  <c r="F1595" i="4"/>
  <c r="F277" i="4"/>
  <c r="F2124" i="4"/>
  <c r="F2125" i="4"/>
  <c r="F565" i="4"/>
  <c r="F1739" i="4"/>
  <c r="F1740" i="4"/>
  <c r="F1741" i="4"/>
  <c r="F851" i="4"/>
  <c r="F852" i="4"/>
  <c r="F1820" i="4"/>
  <c r="F1687" i="4"/>
  <c r="F1688" i="4"/>
  <c r="F606" i="4"/>
  <c r="F607" i="4"/>
  <c r="F608" i="4"/>
  <c r="F609" i="4"/>
  <c r="F1908" i="4"/>
  <c r="F1308" i="4"/>
  <c r="F1309" i="4"/>
  <c r="F467" i="4"/>
  <c r="F487" i="4"/>
  <c r="F488" i="4"/>
  <c r="F468" i="4"/>
  <c r="F469" i="4"/>
  <c r="F470" i="4"/>
  <c r="F341" i="4"/>
  <c r="F1303" i="4"/>
  <c r="F1855" i="4"/>
  <c r="F1856" i="4"/>
  <c r="F117" i="4"/>
  <c r="F118" i="4"/>
  <c r="F2155" i="4"/>
  <c r="F2156" i="4"/>
  <c r="F1857" i="4"/>
  <c r="F2157" i="4"/>
  <c r="F1858" i="4"/>
  <c r="F1859" i="4"/>
  <c r="F1860" i="4"/>
  <c r="F1861" i="4"/>
  <c r="F616" i="4"/>
  <c r="F1101" i="4"/>
  <c r="F1310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721" i="4"/>
  <c r="F722" i="4"/>
  <c r="F723" i="4"/>
  <c r="F724" i="4"/>
  <c r="F725" i="4"/>
  <c r="F1911" i="4"/>
  <c r="F1912" i="4"/>
  <c r="F1913" i="4"/>
  <c r="F962" i="4"/>
  <c r="F963" i="4"/>
  <c r="F964" i="4"/>
  <c r="F965" i="4"/>
  <c r="F966" i="4"/>
  <c r="F967" i="4"/>
  <c r="F968" i="4"/>
  <c r="F969" i="4"/>
  <c r="F970" i="4"/>
  <c r="F971" i="4"/>
  <c r="F1382" i="4"/>
  <c r="F1944" i="4"/>
  <c r="F1945" i="4"/>
  <c r="F1383" i="4"/>
  <c r="F972" i="4"/>
  <c r="F973" i="4"/>
  <c r="F974" i="4"/>
  <c r="F1946" i="4"/>
  <c r="F1947" i="4"/>
  <c r="F1948" i="4"/>
  <c r="F1949" i="4"/>
  <c r="F1950" i="4"/>
  <c r="F1951" i="4"/>
  <c r="F753" i="4"/>
  <c r="F975" i="4"/>
  <c r="F754" i="4"/>
  <c r="F755" i="4"/>
  <c r="F1952" i="4"/>
  <c r="F1953" i="4"/>
  <c r="F756" i="4"/>
  <c r="F757" i="4"/>
  <c r="F758" i="4"/>
  <c r="F1954" i="4"/>
  <c r="F1955" i="4"/>
  <c r="F1956" i="4"/>
  <c r="F759" i="4"/>
  <c r="F760" i="4"/>
  <c r="F761" i="4"/>
  <c r="F762" i="4"/>
  <c r="F763" i="4"/>
  <c r="F764" i="4"/>
  <c r="F1957" i="4"/>
  <c r="F1958" i="4"/>
  <c r="F1959" i="4"/>
  <c r="F1960" i="4"/>
  <c r="F1818" i="4"/>
  <c r="F1226" i="4"/>
  <c r="F1311" i="4"/>
  <c r="F1312" i="4"/>
  <c r="F1313" i="4"/>
  <c r="F1314" i="4"/>
  <c r="F1315" i="4"/>
  <c r="F1316" i="4"/>
  <c r="F1317" i="4"/>
  <c r="F1318" i="4"/>
  <c r="F482" i="4"/>
  <c r="F1319" i="4"/>
  <c r="F1320" i="4"/>
  <c r="F1321" i="4"/>
  <c r="F2302" i="4"/>
  <c r="F1322" i="4"/>
  <c r="F1323" i="4"/>
  <c r="F1324" i="4"/>
  <c r="F1325" i="4"/>
  <c r="F1326" i="4"/>
  <c r="F1327" i="4"/>
  <c r="F1328" i="4"/>
  <c r="F1329" i="4"/>
  <c r="F2321" i="4"/>
  <c r="F2322" i="4"/>
  <c r="F1388" i="4"/>
  <c r="F1389" i="4"/>
  <c r="F2323" i="4"/>
  <c r="F2324" i="4"/>
  <c r="F2325" i="4"/>
  <c r="F2326" i="4"/>
  <c r="F2327" i="4"/>
  <c r="F1390" i="4"/>
  <c r="F1391" i="4"/>
  <c r="F344" i="4"/>
  <c r="F1392" i="4"/>
  <c r="F1393" i="4"/>
  <c r="F1394" i="4"/>
  <c r="F1395" i="4"/>
  <c r="F1396" i="4"/>
  <c r="F345" i="4"/>
  <c r="F1397" i="4"/>
  <c r="F1398" i="4"/>
  <c r="F398" i="4"/>
  <c r="F399" i="4"/>
  <c r="F1564" i="4"/>
  <c r="F2952" i="4"/>
  <c r="F2953" i="4"/>
  <c r="F2958" i="4"/>
  <c r="F2959" i="4"/>
  <c r="F2046" i="4"/>
  <c r="F2047" i="4"/>
  <c r="F2954" i="4"/>
  <c r="F2955" i="4"/>
  <c r="F2956" i="4"/>
  <c r="F2960" i="4"/>
  <c r="F661" i="4"/>
  <c r="F2957" i="4"/>
  <c r="F2048" i="4"/>
  <c r="F2049" i="4"/>
  <c r="G2328" i="4"/>
  <c r="G2329" i="4"/>
  <c r="G2330" i="4"/>
  <c r="G2331" i="4"/>
  <c r="G2332" i="4"/>
  <c r="G2333" i="4"/>
  <c r="G2334" i="4"/>
  <c r="G2335" i="4"/>
  <c r="G626" i="4"/>
  <c r="G627" i="4"/>
  <c r="G1779" i="4"/>
  <c r="G1780" i="4"/>
  <c r="G1162" i="4"/>
  <c r="G1826" i="4"/>
  <c r="G491" i="4"/>
  <c r="G1124" i="4"/>
  <c r="G1125" i="4"/>
  <c r="G400" i="4"/>
  <c r="G401" i="4"/>
  <c r="G1126" i="4"/>
  <c r="G2970" i="4"/>
  <c r="G2917" i="4"/>
  <c r="G2918" i="4"/>
  <c r="G585" i="4"/>
  <c r="G3006" i="4"/>
  <c r="G2185" i="4"/>
  <c r="G1569" i="4"/>
  <c r="G1570" i="4"/>
  <c r="G285" i="4"/>
  <c r="G1827" i="4"/>
  <c r="G1092" i="4"/>
  <c r="G1273" i="4"/>
  <c r="G242" i="4"/>
  <c r="G996" i="4"/>
  <c r="G997" i="4"/>
  <c r="G2115" i="4"/>
  <c r="G1668" i="4"/>
  <c r="G1742" i="4"/>
  <c r="G733" i="4"/>
  <c r="G730" i="4"/>
  <c r="G411" i="4"/>
  <c r="G829" i="4"/>
  <c r="G548" i="4"/>
  <c r="G3014" i="4"/>
  <c r="G366" i="4"/>
  <c r="G2948" i="4"/>
  <c r="G734" i="4"/>
  <c r="G1669" i="4"/>
  <c r="G2934" i="4"/>
  <c r="G1743" i="4"/>
  <c r="G1011" i="4"/>
  <c r="G358" i="4"/>
  <c r="G359" i="4"/>
  <c r="G3015" i="4"/>
  <c r="G1187" i="4"/>
  <c r="G3016" i="4"/>
  <c r="G3017" i="4"/>
  <c r="G1425" i="4"/>
  <c r="G3007" i="4"/>
  <c r="G3018" i="4"/>
  <c r="G1792" i="4"/>
  <c r="G3082" i="4"/>
  <c r="G3077" i="4"/>
  <c r="G3078" i="4"/>
  <c r="G1666" i="4"/>
  <c r="G3019" i="4"/>
  <c r="G1667" i="4"/>
  <c r="G3020" i="4"/>
  <c r="G3021" i="4"/>
  <c r="G1781" i="4"/>
  <c r="G1782" i="4"/>
  <c r="G3022" i="4"/>
  <c r="G879" i="4"/>
  <c r="G412" i="4"/>
  <c r="G3023" i="4"/>
  <c r="G413" i="4"/>
  <c r="G414" i="4"/>
  <c r="G3024" i="4"/>
  <c r="G367" i="4"/>
  <c r="G2949" i="4"/>
  <c r="G735" i="4"/>
  <c r="G1997" i="4"/>
  <c r="G1204" i="4"/>
  <c r="G3083" i="4"/>
  <c r="G3084" i="4"/>
  <c r="G368" i="4"/>
  <c r="G369" i="4"/>
  <c r="G1865" i="4"/>
  <c r="G3085" i="4"/>
  <c r="G3086" i="4"/>
  <c r="G2971" i="4"/>
  <c r="G2972" i="4"/>
  <c r="G1132" i="4"/>
  <c r="G1133" i="4"/>
  <c r="G3066" i="4"/>
  <c r="G2142" i="4"/>
  <c r="G1549" i="4"/>
  <c r="G2973" i="4"/>
  <c r="G736" i="4"/>
  <c r="G1670" i="4"/>
  <c r="G1671" i="4"/>
  <c r="G243" i="4"/>
  <c r="G2974" i="4"/>
  <c r="G737" i="4"/>
  <c r="G3087" i="4"/>
  <c r="G998" i="4"/>
  <c r="G1798" i="4"/>
  <c r="G415" i="4"/>
  <c r="G1672" i="4"/>
  <c r="G1572" i="4"/>
  <c r="G256" i="4"/>
  <c r="G3079" i="4"/>
  <c r="G370" i="4"/>
  <c r="G738" i="4"/>
  <c r="G265" i="4"/>
  <c r="G244" i="4"/>
  <c r="G1737" i="4"/>
  <c r="G3097" i="4"/>
  <c r="G3098" i="4"/>
  <c r="G1744" i="4"/>
  <c r="G3099" i="4"/>
  <c r="G2975" i="4"/>
  <c r="G2976" i="4"/>
  <c r="G3025" i="4"/>
  <c r="G267" i="4"/>
  <c r="G2977" i="4"/>
  <c r="G1419" i="4"/>
  <c r="G2935" i="4"/>
  <c r="G2936" i="4"/>
  <c r="G2937" i="4"/>
  <c r="G416" i="4"/>
  <c r="G417" i="4"/>
  <c r="G3100" i="4"/>
  <c r="G2978" i="4"/>
  <c r="G3008" i="4"/>
  <c r="G3009" i="4"/>
  <c r="G3067" i="4"/>
  <c r="G71" i="4"/>
  <c r="G1127" i="4"/>
  <c r="G2979" i="4"/>
  <c r="G2980" i="4"/>
  <c r="G3026" i="4"/>
  <c r="G3027" i="4"/>
  <c r="G2981" i="4"/>
  <c r="G999" i="4"/>
  <c r="G190" i="4"/>
  <c r="G418" i="4"/>
  <c r="G419" i="4"/>
  <c r="G3028" i="4"/>
  <c r="G1426" i="4"/>
  <c r="G739" i="4"/>
  <c r="G3029" i="4"/>
  <c r="G1793" i="4"/>
  <c r="G1188" i="4"/>
  <c r="G1093" i="4"/>
  <c r="G1128" i="4"/>
  <c r="G36" i="4"/>
  <c r="G2077" i="4"/>
  <c r="G3030" i="4"/>
  <c r="G2982" i="4"/>
  <c r="G1998" i="4"/>
  <c r="G740" i="4"/>
  <c r="G1550" i="4"/>
  <c r="G1551" i="4"/>
  <c r="G3088" i="4"/>
  <c r="G670" i="4"/>
  <c r="G630" i="4"/>
  <c r="G2950" i="4"/>
  <c r="G360" i="4"/>
  <c r="G361" i="4"/>
  <c r="G3089" i="4"/>
  <c r="G2983" i="4"/>
  <c r="G1738" i="4"/>
  <c r="G120" i="4"/>
  <c r="G121" i="4"/>
  <c r="G371" i="4"/>
  <c r="G1552" i="4"/>
  <c r="G671" i="4"/>
  <c r="G877" i="4"/>
  <c r="G2984" i="4"/>
  <c r="G2985" i="4"/>
  <c r="G2986" i="4"/>
  <c r="G2987" i="4"/>
  <c r="G2988" i="4"/>
  <c r="G3068" i="4"/>
  <c r="G372" i="4"/>
  <c r="G2989" i="4"/>
  <c r="G402" i="4"/>
  <c r="G1553" i="4"/>
  <c r="G373" i="4"/>
  <c r="G1566" i="4"/>
  <c r="G2938" i="4"/>
  <c r="G1689" i="4"/>
  <c r="G1623" i="4"/>
  <c r="G1624" i="4"/>
  <c r="G3031" i="4"/>
  <c r="G1554" i="4"/>
  <c r="G266" i="4"/>
  <c r="G1567" i="4"/>
  <c r="G3032" i="4"/>
  <c r="G3033" i="4"/>
  <c r="G3090" i="4"/>
  <c r="G3091" i="4"/>
  <c r="G741" i="4"/>
  <c r="G420" i="4"/>
  <c r="G421" i="4"/>
  <c r="G3069" i="4"/>
  <c r="G1726" i="4"/>
  <c r="G1727" i="4"/>
  <c r="G3101" i="4"/>
  <c r="G2309" i="4"/>
  <c r="G2310" i="4"/>
  <c r="G1000" i="4"/>
  <c r="G3034" i="4"/>
  <c r="G3035" i="4"/>
  <c r="G1728" i="4"/>
  <c r="G3036" i="4"/>
  <c r="G742" i="4"/>
  <c r="G3080" i="4"/>
  <c r="G3081" i="4"/>
  <c r="G1745" i="4"/>
  <c r="G1436" i="4"/>
  <c r="G1437" i="4"/>
  <c r="G1783" i="4"/>
  <c r="G1784" i="4"/>
  <c r="G268" i="4"/>
  <c r="G1866" i="4"/>
  <c r="G1427" i="4"/>
  <c r="G549" i="4"/>
  <c r="G1181" i="4"/>
  <c r="G2990" i="4"/>
  <c r="G1001" i="4"/>
  <c r="G1828" i="4"/>
  <c r="G422" i="4"/>
  <c r="G1690" i="4"/>
  <c r="G3010" i="4"/>
  <c r="G1094" i="4"/>
  <c r="G109" i="4"/>
  <c r="G868" i="4"/>
  <c r="G122" i="4"/>
  <c r="G245" i="4"/>
  <c r="G1829" i="4"/>
  <c r="G2991" i="4"/>
  <c r="G3092" i="4"/>
  <c r="G3093" i="4"/>
  <c r="G191" i="4"/>
  <c r="G3037" i="4"/>
  <c r="G3102" i="4"/>
  <c r="G2992" i="4"/>
  <c r="G1931" i="4"/>
  <c r="G1428" i="4"/>
  <c r="G1519" i="4"/>
  <c r="G631" i="4"/>
  <c r="G423" i="4"/>
  <c r="G1830" i="4"/>
  <c r="G132" i="4"/>
  <c r="G1274" i="4"/>
  <c r="G878" i="4"/>
  <c r="G1438" i="4"/>
  <c r="G2951" i="4"/>
  <c r="G1831" i="4"/>
  <c r="G2943" i="4"/>
  <c r="G2944" i="4"/>
  <c r="G362" i="4"/>
  <c r="G363" i="4"/>
  <c r="G1439" i="4"/>
  <c r="G948" i="4"/>
  <c r="G3038" i="4"/>
  <c r="G133" i="4"/>
  <c r="G2993" i="4"/>
  <c r="G743" i="4"/>
  <c r="G269" i="4"/>
  <c r="G1555" i="4"/>
  <c r="G1556" i="4"/>
  <c r="G744" i="4"/>
  <c r="G769" i="4"/>
  <c r="G1424" i="4"/>
  <c r="G1791" i="4"/>
  <c r="G1867" i="4"/>
  <c r="G1635" i="4"/>
  <c r="G1636" i="4"/>
  <c r="G1052" i="4"/>
  <c r="G1520" i="4"/>
  <c r="G3103" i="4"/>
  <c r="G246" i="4"/>
  <c r="G1275" i="4"/>
  <c r="G1276" i="4"/>
  <c r="G247" i="4"/>
  <c r="G1746" i="4"/>
  <c r="G1932" i="4"/>
  <c r="G1420" i="4"/>
  <c r="G1747" i="4"/>
  <c r="G1002" i="4"/>
  <c r="G1003" i="4"/>
  <c r="G1344" i="4"/>
  <c r="G1205" i="4"/>
  <c r="G364" i="4"/>
  <c r="G365" i="4"/>
  <c r="G3039" i="4"/>
  <c r="G1673" i="4"/>
  <c r="G1674" i="4"/>
  <c r="G1675" i="4"/>
  <c r="G3073" i="4"/>
  <c r="G1489" i="4"/>
  <c r="G1277" i="4"/>
  <c r="G2019" i="4"/>
  <c r="G1785" i="4"/>
  <c r="G2008" i="4"/>
  <c r="G1338" i="4"/>
  <c r="G1291" i="4"/>
  <c r="G1440" i="4"/>
  <c r="G1868" i="4"/>
  <c r="G826" i="4"/>
  <c r="G988" i="4"/>
  <c r="G424" i="4"/>
  <c r="G1441" i="4"/>
  <c r="G1568" i="4"/>
  <c r="G1557" i="4"/>
  <c r="G1558" i="4"/>
  <c r="G2945" i="4"/>
  <c r="G2946" i="4"/>
  <c r="G1421" i="4"/>
  <c r="G1676" i="4"/>
  <c r="G3094" i="4"/>
  <c r="G1691" i="4"/>
  <c r="G1692" i="4"/>
  <c r="G270" i="4"/>
  <c r="G161" i="4"/>
  <c r="G493" i="4"/>
  <c r="G494" i="4"/>
  <c r="G1278" i="4"/>
  <c r="G464" i="4"/>
  <c r="G2188" i="4"/>
  <c r="G1677" i="4"/>
  <c r="G745" i="4"/>
  <c r="G1678" i="4"/>
  <c r="G3011" i="4"/>
  <c r="G672" i="4"/>
  <c r="G1206" i="4"/>
  <c r="G252" i="4"/>
  <c r="G253" i="4"/>
  <c r="G3070" i="4"/>
  <c r="G3071" i="4"/>
  <c r="G3072" i="4"/>
  <c r="G2189" i="4"/>
  <c r="G3040" i="4"/>
  <c r="G2190" i="4"/>
  <c r="G2191" i="4"/>
  <c r="G634" i="4"/>
  <c r="G1096" i="4"/>
  <c r="G134" i="4"/>
  <c r="G2319" i="4"/>
  <c r="G2192" i="4"/>
  <c r="G770" i="4"/>
  <c r="G1625" i="4"/>
  <c r="G1626" i="4"/>
  <c r="G1627" i="4"/>
  <c r="G2285" i="4"/>
  <c r="G1748" i="4"/>
  <c r="G1749" i="4"/>
  <c r="G1729" i="4"/>
  <c r="G1429" i="4"/>
  <c r="G2311" i="4"/>
  <c r="G2312" i="4"/>
  <c r="G2313" i="4"/>
  <c r="G2947" i="4"/>
  <c r="G328" i="4"/>
  <c r="G1559" i="4"/>
  <c r="G3095" i="4"/>
  <c r="G3096" i="4"/>
  <c r="G1799" i="4"/>
  <c r="G2994" i="4"/>
  <c r="G2939" i="4"/>
  <c r="G731" i="4"/>
  <c r="G732" i="4"/>
  <c r="G3041" i="4"/>
  <c r="G374" i="4"/>
  <c r="G375" i="4"/>
  <c r="G1560" i="4"/>
  <c r="G3042" i="4"/>
  <c r="G329" i="4"/>
  <c r="G2995" i="4"/>
  <c r="G2996" i="4"/>
  <c r="G495" i="4"/>
  <c r="G830" i="4"/>
  <c r="G68" i="4"/>
  <c r="G2997" i="4"/>
  <c r="G1794" i="4"/>
  <c r="G3043" i="4"/>
  <c r="G3044" i="4"/>
  <c r="G602" i="4"/>
  <c r="G2998" i="4"/>
  <c r="G2999" i="4"/>
  <c r="G827" i="4"/>
  <c r="G1750" i="4"/>
  <c r="G425" i="4"/>
  <c r="G1693" i="4"/>
  <c r="G1565" i="4"/>
  <c r="G1279" i="4"/>
  <c r="G978" i="4"/>
  <c r="G1724" i="4"/>
  <c r="G2193" i="4"/>
  <c r="G2112" i="4"/>
  <c r="G979" i="4"/>
  <c r="G980" i="4"/>
  <c r="G3045" i="4"/>
  <c r="G3074" i="4"/>
  <c r="G3012" i="4"/>
  <c r="G3075" i="4"/>
  <c r="G3013" i="4"/>
  <c r="G3076" i="4"/>
  <c r="G903" i="4"/>
  <c r="G192" i="4"/>
  <c r="G632" i="4"/>
  <c r="G283" i="4"/>
  <c r="G828" i="4"/>
  <c r="G2" i="4"/>
  <c r="G2194" i="4"/>
  <c r="G2195" i="4"/>
  <c r="G1679" i="4"/>
  <c r="G1680" i="4"/>
  <c r="G2940" i="4"/>
  <c r="G257" i="4"/>
  <c r="G2196" i="4"/>
  <c r="G2197" i="4"/>
  <c r="G1532" i="4"/>
  <c r="G281" i="4"/>
  <c r="G2198" i="4"/>
  <c r="G2199" i="4"/>
  <c r="G2200" i="4"/>
  <c r="G2201" i="4"/>
  <c r="G2113" i="4"/>
  <c r="G2202" i="4"/>
  <c r="G3046" i="4"/>
  <c r="G2315" i="4"/>
  <c r="G342" i="4"/>
  <c r="G1097" i="4"/>
  <c r="G3000" i="4"/>
  <c r="G1869" i="4"/>
  <c r="G2286" i="4"/>
  <c r="G1208" i="4"/>
  <c r="G1707" i="4"/>
  <c r="G3104" i="4"/>
  <c r="G3105" i="4"/>
  <c r="G376" i="4"/>
  <c r="G377" i="4"/>
  <c r="G904" i="4"/>
  <c r="G2203" i="4"/>
  <c r="G2143" i="4"/>
  <c r="G2204" i="4"/>
  <c r="G2205" i="4"/>
  <c r="G939" i="4"/>
  <c r="G940" i="4"/>
  <c r="G2206" i="4"/>
  <c r="G3106" i="4"/>
  <c r="G3001" i="4"/>
  <c r="G3002" i="4"/>
  <c r="G3003" i="4"/>
  <c r="G3004" i="4"/>
  <c r="G1795" i="4"/>
  <c r="G1796" i="4"/>
  <c r="G1797" i="4"/>
  <c r="G1521" i="4"/>
  <c r="G3107" i="4"/>
  <c r="G193" i="4"/>
  <c r="G194" i="4"/>
  <c r="G271" i="4"/>
  <c r="G1730" i="4"/>
  <c r="G3005" i="4"/>
  <c r="G1522" i="4"/>
  <c r="G3" i="4"/>
  <c r="G2207" i="4"/>
  <c r="G2208" i="4"/>
  <c r="G1012" i="4"/>
  <c r="G1129" i="4"/>
  <c r="G1095" i="4"/>
  <c r="G2287" i="4"/>
  <c r="G2209" i="4"/>
  <c r="G3108" i="4"/>
  <c r="G2210" i="4"/>
  <c r="G3109" i="4"/>
  <c r="G3047" i="4"/>
  <c r="G3048" i="4"/>
  <c r="G2211" i="4"/>
  <c r="G1434" i="4"/>
  <c r="G2212" i="4"/>
  <c r="G2213" i="4"/>
  <c r="G550" i="4"/>
  <c r="G2214" i="4"/>
  <c r="G2215" i="4"/>
  <c r="G2320" i="4"/>
  <c r="G1007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82" i="4"/>
  <c r="G2426" i="4"/>
  <c r="G2427" i="4"/>
  <c r="G1442" i="4"/>
  <c r="G1134" i="4"/>
  <c r="G1505" i="4"/>
  <c r="G183" i="4"/>
  <c r="G444" i="4"/>
  <c r="G152" i="4"/>
  <c r="G1405" i="4"/>
  <c r="G87" i="4"/>
  <c r="G88" i="4"/>
  <c r="G348" i="4"/>
  <c r="G261" i="4"/>
  <c r="G869" i="4"/>
  <c r="G2126" i="4"/>
  <c r="G384" i="4"/>
  <c r="G154" i="4"/>
  <c r="G1130" i="4"/>
  <c r="G1131" i="4"/>
  <c r="G187" i="4"/>
  <c r="G248" i="4"/>
  <c r="G1140" i="4"/>
  <c r="G1141" i="4"/>
  <c r="G1289" i="4"/>
  <c r="G1263" i="4"/>
  <c r="G750" i="4"/>
  <c r="G2127" i="4"/>
  <c r="G3065" i="4"/>
  <c r="G2128" i="4"/>
  <c r="G1290" i="4"/>
  <c r="G155" i="4"/>
  <c r="G3049" i="4"/>
  <c r="G189" i="4"/>
  <c r="G349" i="4"/>
  <c r="G2129" i="4"/>
  <c r="G2130" i="4"/>
  <c r="G106" i="4"/>
  <c r="G3110" i="4"/>
  <c r="G3111" i="4"/>
  <c r="G385" i="4"/>
  <c r="G3112" i="4"/>
  <c r="G153" i="4"/>
  <c r="G2167" i="4"/>
  <c r="G1008" i="4"/>
  <c r="G86" i="4"/>
  <c r="G323" i="4"/>
  <c r="G1207" i="4"/>
  <c r="G13" i="4"/>
  <c r="G14" i="4"/>
  <c r="G184" i="4"/>
  <c r="G185" i="4"/>
  <c r="G751" i="4"/>
  <c r="G1233" i="4"/>
  <c r="G836" i="4"/>
  <c r="G2216" i="4"/>
  <c r="G2217" i="4"/>
  <c r="G123" i="4"/>
  <c r="G561" i="4"/>
  <c r="G1363" i="4"/>
  <c r="G1364" i="4"/>
  <c r="G1418" i="4"/>
  <c r="G984" i="4"/>
  <c r="G1445" i="4"/>
  <c r="G1268" i="4"/>
  <c r="G1269" i="4"/>
  <c r="G15" i="4"/>
  <c r="G156" i="4"/>
  <c r="G1215" i="4"/>
  <c r="G1546" i="4"/>
  <c r="G2184" i="4"/>
  <c r="G324" i="4"/>
  <c r="G2114" i="4"/>
  <c r="G876" i="4"/>
  <c r="G61" i="4"/>
  <c r="G330" i="4"/>
  <c r="G1447" i="4"/>
  <c r="G825" i="4"/>
  <c r="G1244" i="4"/>
  <c r="G69" i="4"/>
  <c r="G70" i="4"/>
  <c r="G77" i="4"/>
  <c r="G2308" i="4"/>
  <c r="G676" i="4"/>
  <c r="G677" i="4"/>
  <c r="G2138" i="4"/>
  <c r="G2139" i="4"/>
  <c r="G2140" i="4"/>
  <c r="G1999" i="4"/>
  <c r="G1821" i="4"/>
  <c r="G1009" i="4"/>
  <c r="G1282" i="4"/>
  <c r="G2218" i="4"/>
  <c r="G2219" i="4"/>
  <c r="G1443" i="4"/>
  <c r="G1444" i="4"/>
  <c r="G2220" i="4"/>
  <c r="G4" i="4"/>
  <c r="G5" i="4"/>
  <c r="G709" i="4"/>
  <c r="G465" i="4"/>
  <c r="G669" i="4"/>
  <c r="G210" i="4"/>
  <c r="G2318" i="4"/>
  <c r="G1694" i="4"/>
  <c r="G1010" i="4"/>
  <c r="G771" i="4"/>
  <c r="G258" i="4"/>
  <c r="G586" i="4"/>
  <c r="G1422" i="4"/>
  <c r="G1523" i="4"/>
  <c r="G907" i="4"/>
  <c r="G908" i="4"/>
  <c r="G72" i="4"/>
  <c r="G1345" i="4"/>
  <c r="G1346" i="4"/>
  <c r="G1423" i="4"/>
  <c r="G2941" i="4"/>
  <c r="G790" i="4"/>
  <c r="G559" i="4"/>
  <c r="G560" i="4"/>
  <c r="G853" i="4"/>
  <c r="G2306" i="4"/>
  <c r="G2307" i="4"/>
  <c r="G551" i="4"/>
  <c r="G225" i="4"/>
  <c r="G1708" i="4"/>
  <c r="G1216" i="4"/>
  <c r="G1171" i="4"/>
  <c r="G1170" i="4"/>
  <c r="G2174" i="4"/>
  <c r="G612" i="4"/>
  <c r="G2942" i="4"/>
  <c r="G62" i="4"/>
  <c r="G710" i="4"/>
  <c r="G63" i="4"/>
  <c r="G2131" i="4"/>
  <c r="G2132" i="4"/>
  <c r="G107" i="4"/>
  <c r="G108" i="4"/>
  <c r="G1448" i="4"/>
  <c r="G2314" i="4"/>
  <c r="G458" i="4"/>
  <c r="G427" i="4"/>
  <c r="G1142" i="4"/>
  <c r="G2221" i="4"/>
  <c r="G985" i="4"/>
  <c r="G2107" i="4"/>
  <c r="G2108" i="4"/>
  <c r="G2109" i="4"/>
  <c r="G2110" i="4"/>
  <c r="G2428" i="4"/>
  <c r="G2429" i="4"/>
  <c r="G2051" i="4"/>
  <c r="G2052" i="4"/>
  <c r="G314" i="4"/>
  <c r="G315" i="4"/>
  <c r="G316" i="4"/>
  <c r="G317" i="4"/>
  <c r="G679" i="4"/>
  <c r="G140" i="4"/>
  <c r="G791" i="4"/>
  <c r="G3113" i="4"/>
  <c r="G141" i="4"/>
  <c r="G3114" i="4"/>
  <c r="G1077" i="4"/>
  <c r="G1533" i="4"/>
  <c r="G1534" i="4"/>
  <c r="G1697" i="4"/>
  <c r="G1481" i="4"/>
  <c r="G3115" i="4"/>
  <c r="G680" i="4"/>
  <c r="G1078" i="4"/>
  <c r="G1079" i="4"/>
  <c r="G1080" i="4"/>
  <c r="G1081" i="4"/>
  <c r="G1082" i="4"/>
  <c r="G1083" i="4"/>
  <c r="G633" i="4"/>
  <c r="G1535" i="4"/>
  <c r="G1156" i="4"/>
  <c r="G1482" i="4"/>
  <c r="G3116" i="4"/>
  <c r="G3117" i="4"/>
  <c r="G3118" i="4"/>
  <c r="G496" i="4"/>
  <c r="G3119" i="4"/>
  <c r="G1202" i="4"/>
  <c r="G1203" i="4"/>
  <c r="G681" i="4"/>
  <c r="G682" i="4"/>
  <c r="G1698" i="4"/>
  <c r="G1699" i="4"/>
  <c r="G1700" i="4"/>
  <c r="G683" i="4"/>
  <c r="G717" i="4"/>
  <c r="G1870" i="4"/>
  <c r="G1871" i="4"/>
  <c r="G1701" i="4"/>
  <c r="G2920" i="4"/>
  <c r="G792" i="4"/>
  <c r="G1629" i="4"/>
  <c r="G19" i="4"/>
  <c r="G428" i="4"/>
  <c r="G715" i="4"/>
  <c r="G716" i="4"/>
  <c r="G142" i="4"/>
  <c r="G143" i="4"/>
  <c r="G684" i="4"/>
  <c r="G2921" i="4"/>
  <c r="G685" i="4"/>
  <c r="G686" i="4"/>
  <c r="G1084" i="4"/>
  <c r="G1085" i="4"/>
  <c r="G687" i="4"/>
  <c r="G718" i="4"/>
  <c r="G1483" i="4"/>
  <c r="G660" i="4"/>
  <c r="G20" i="4"/>
  <c r="G719" i="4"/>
  <c r="G720" i="4"/>
  <c r="G235" i="4"/>
  <c r="G1536" i="4"/>
  <c r="G429" i="4"/>
  <c r="G1702" i="4"/>
  <c r="G1703" i="4"/>
  <c r="G1704" i="4"/>
  <c r="G1705" i="4"/>
  <c r="G1706" i="4"/>
  <c r="G793" i="4"/>
  <c r="G794" i="4"/>
  <c r="G2222" i="4"/>
  <c r="G806" i="4"/>
  <c r="G404" i="4"/>
  <c r="G144" i="4"/>
  <c r="G1086" i="4"/>
  <c r="G1087" i="4"/>
  <c r="G1088" i="4"/>
  <c r="G145" i="4"/>
  <c r="G1157" i="4"/>
  <c r="G1089" i="4"/>
  <c r="G1090" i="4"/>
  <c r="G1091" i="4"/>
  <c r="G1630" i="4"/>
  <c r="G2922" i="4"/>
  <c r="G2923" i="4"/>
  <c r="G2924" i="4"/>
  <c r="G2925" i="4"/>
  <c r="G1484" i="4"/>
  <c r="G1485" i="4"/>
  <c r="G1486" i="4"/>
  <c r="G21" i="4"/>
  <c r="G430" i="4"/>
  <c r="G3120" i="4"/>
  <c r="G3121" i="4"/>
  <c r="G3122" i="4"/>
  <c r="G3123" i="4"/>
  <c r="G3124" i="4"/>
  <c r="G1537" i="4"/>
  <c r="G1538" i="4"/>
  <c r="G1155" i="4"/>
  <c r="G2317" i="4"/>
  <c r="G1235" i="4"/>
  <c r="G1406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1763" i="4"/>
  <c r="G1764" i="4"/>
  <c r="G1765" i="4"/>
  <c r="G1766" i="4"/>
  <c r="G1767" i="4"/>
  <c r="G1768" i="4"/>
  <c r="G2053" i="4"/>
  <c r="G2054" i="4"/>
  <c r="G2664" i="4"/>
  <c r="G2665" i="4"/>
  <c r="G1114" i="4"/>
  <c r="G2116" i="4"/>
  <c r="G1407" i="4"/>
  <c r="G1209" i="4"/>
  <c r="G1408" i="4"/>
  <c r="G1409" i="4"/>
  <c r="G880" i="4"/>
  <c r="G2032" i="4"/>
  <c r="G1294" i="4"/>
  <c r="G1295" i="4"/>
  <c r="G2033" i="4"/>
  <c r="G1916" i="4"/>
  <c r="G1917" i="4"/>
  <c r="G1410" i="4"/>
  <c r="G1411" i="4"/>
  <c r="G1210" i="4"/>
  <c r="G1918" i="4"/>
  <c r="G881" i="4"/>
  <c r="G882" i="4"/>
  <c r="G1919" i="4"/>
  <c r="G2223" i="4"/>
  <c r="G2224" i="4"/>
  <c r="G1296" i="4"/>
  <c r="G1297" i="4"/>
  <c r="G1920" i="4"/>
  <c r="G1412" i="4"/>
  <c r="G2225" i="4"/>
  <c r="G497" i="4"/>
  <c r="G498" i="4"/>
  <c r="G883" i="4"/>
  <c r="G884" i="4"/>
  <c r="G2144" i="4"/>
  <c r="G1298" i="4"/>
  <c r="G1921" i="4"/>
  <c r="G2226" i="4"/>
  <c r="G2227" i="4"/>
  <c r="G2228" i="4"/>
  <c r="G1922" i="4"/>
  <c r="G2229" i="4"/>
  <c r="G833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1914" i="4"/>
  <c r="G2043" i="4"/>
  <c r="G2044" i="4"/>
  <c r="G1961" i="4"/>
  <c r="G1962" i="4"/>
  <c r="G1963" i="4"/>
  <c r="G1848" i="4"/>
  <c r="G1413" i="4"/>
  <c r="G2714" i="4"/>
  <c r="G1384" i="4"/>
  <c r="G1385" i="4"/>
  <c r="G885" i="4"/>
  <c r="G886" i="4"/>
  <c r="G887" i="4"/>
  <c r="G2230" i="4"/>
  <c r="G888" i="4"/>
  <c r="G889" i="4"/>
  <c r="G1386" i="4"/>
  <c r="G1387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1574" i="4"/>
  <c r="G1575" i="4"/>
  <c r="G1576" i="4"/>
  <c r="G1577" i="4"/>
  <c r="G1578" i="4"/>
  <c r="G139" i="4"/>
  <c r="G1579" i="4"/>
  <c r="G1580" i="4"/>
  <c r="G1581" i="4"/>
  <c r="G1582" i="4"/>
  <c r="G2186" i="4"/>
  <c r="G1583" i="4"/>
  <c r="G2187" i="4"/>
  <c r="G1584" i="4"/>
  <c r="G1585" i="4"/>
  <c r="G1586" i="4"/>
  <c r="G158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135" i="4"/>
  <c r="G136" i="4"/>
  <c r="G129" i="4"/>
  <c r="G130" i="4"/>
  <c r="G137" i="4"/>
  <c r="G1616" i="4"/>
  <c r="G558" i="4"/>
  <c r="G131" i="4"/>
  <c r="G1974" i="4"/>
  <c r="G749" i="4"/>
  <c r="G138" i="4"/>
  <c r="G1183" i="4"/>
  <c r="G1184" i="4"/>
  <c r="G1185" i="4"/>
  <c r="G1186" i="4"/>
  <c r="G1168" i="4"/>
  <c r="G694" i="4"/>
  <c r="G695" i="4"/>
  <c r="G272" i="4"/>
  <c r="G556" i="4"/>
  <c r="G905" i="4"/>
  <c r="G726" i="4"/>
  <c r="G273" i="4"/>
  <c r="G274" i="4"/>
  <c r="G1594" i="4"/>
  <c r="G112" i="4"/>
  <c r="G37" i="4"/>
  <c r="G1158" i="4"/>
  <c r="G1354" i="4"/>
  <c r="G1355" i="4"/>
  <c r="G1013" i="4"/>
  <c r="G637" i="4"/>
  <c r="G638" i="4"/>
  <c r="G639" i="4"/>
  <c r="G557" i="4"/>
  <c r="G2097" i="4"/>
  <c r="G1352" i="4"/>
  <c r="G1356" i="4"/>
  <c r="G1357" i="4"/>
  <c r="G1358" i="4"/>
  <c r="G696" i="4"/>
  <c r="G2927" i="4"/>
  <c r="G2928" i="4"/>
  <c r="G2929" i="4"/>
  <c r="G727" i="4"/>
  <c r="G275" i="4"/>
  <c r="G276" i="4"/>
  <c r="G113" i="4"/>
  <c r="G114" i="4"/>
  <c r="G38" i="4"/>
  <c r="G39" i="4"/>
  <c r="G40" i="4"/>
  <c r="G1280" i="4"/>
  <c r="G1924" i="4"/>
  <c r="G41" i="4"/>
  <c r="G484" i="4"/>
  <c r="G485" i="4"/>
  <c r="G1359" i="4"/>
  <c r="G729" i="4"/>
  <c r="G2930" i="4"/>
  <c r="G640" i="4"/>
  <c r="G641" i="4"/>
  <c r="G642" i="4"/>
  <c r="G697" i="4"/>
  <c r="G698" i="4"/>
  <c r="G1360" i="4"/>
  <c r="G1361" i="4"/>
  <c r="G1362" i="4"/>
  <c r="G2931" i="4"/>
  <c r="G2098" i="4"/>
  <c r="G2099" i="4"/>
  <c r="G2100" i="4"/>
  <c r="G42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1480" i="4"/>
  <c r="G921" i="4"/>
  <c r="G115" i="4"/>
  <c r="G116" i="4"/>
  <c r="G499" i="4"/>
  <c r="G2231" i="4"/>
  <c r="G2932" i="4"/>
  <c r="G2933" i="4"/>
  <c r="G1231" i="4"/>
  <c r="G1232" i="4"/>
  <c r="G486" i="4"/>
  <c r="G2168" i="4"/>
  <c r="G254" i="4"/>
  <c r="G1909" i="4"/>
  <c r="G228" i="4"/>
  <c r="G1786" i="4"/>
  <c r="G1787" i="4"/>
  <c r="G1788" i="4"/>
  <c r="G2150" i="4"/>
  <c r="G2151" i="4"/>
  <c r="G2152" i="4"/>
  <c r="G2133" i="4"/>
  <c r="G1769" i="4"/>
  <c r="G1934" i="4"/>
  <c r="G2134" i="4"/>
  <c r="G1975" i="4"/>
  <c r="G2135" i="4"/>
  <c r="G1774" i="4"/>
  <c r="G1775" i="4"/>
  <c r="G2020" i="4"/>
  <c r="G1993" i="4"/>
  <c r="G3058" i="4"/>
  <c r="G1976" i="4"/>
  <c r="G2136" i="4"/>
  <c r="G2012" i="4"/>
  <c r="G1843" i="4"/>
  <c r="G2021" i="4"/>
  <c r="G2022" i="4"/>
  <c r="G1004" i="4"/>
  <c r="G3059" i="4"/>
  <c r="G1935" i="4"/>
  <c r="G1936" i="4"/>
  <c r="G1977" i="4"/>
  <c r="G1995" i="4"/>
  <c r="G350" i="4"/>
  <c r="G351" i="4"/>
  <c r="G1776" i="4"/>
  <c r="G1005" i="4"/>
  <c r="G1006" i="4"/>
  <c r="G2023" i="4"/>
  <c r="G1770" i="4"/>
  <c r="G3060" i="4"/>
  <c r="G2013" i="4"/>
  <c r="G1172" i="4"/>
  <c r="G1771" i="4"/>
  <c r="G1264" i="4"/>
  <c r="G1265" i="4"/>
  <c r="G2024" i="4"/>
  <c r="G2025" i="4"/>
  <c r="G2026" i="4"/>
  <c r="G2014" i="4"/>
  <c r="G2015" i="4"/>
  <c r="G1937" i="4"/>
  <c r="G1938" i="4"/>
  <c r="G1844" i="4"/>
  <c r="G1266" i="4"/>
  <c r="G3061" i="4"/>
  <c r="G1845" i="4"/>
  <c r="G2092" i="4"/>
  <c r="G2093" i="4"/>
  <c r="G2094" i="4"/>
  <c r="G6" i="4"/>
  <c r="G203" i="4"/>
  <c r="G2232" i="4"/>
  <c r="G352" i="4"/>
  <c r="G353" i="4"/>
  <c r="G1846" i="4"/>
  <c r="G2926" i="4"/>
  <c r="G2027" i="4"/>
  <c r="G2148" i="4"/>
  <c r="G2304" i="4"/>
  <c r="G1151" i="4"/>
  <c r="G1152" i="4"/>
  <c r="G2233" i="4"/>
  <c r="G1994" i="4"/>
  <c r="G2169" i="4"/>
  <c r="G1789" i="4"/>
  <c r="G3062" i="4"/>
  <c r="G1772" i="4"/>
  <c r="G2028" i="4"/>
  <c r="G186" i="4"/>
  <c r="G1790" i="4"/>
  <c r="G906" i="4"/>
  <c r="G408" i="4"/>
  <c r="G409" i="4"/>
  <c r="G2234" i="4"/>
  <c r="G673" i="4"/>
  <c r="G1159" i="4"/>
  <c r="G1160" i="4"/>
  <c r="G2235" i="4"/>
  <c r="G2236" i="4"/>
  <c r="G2967" i="4"/>
  <c r="G1978" i="4"/>
  <c r="G2968" i="4"/>
  <c r="G2969" i="4"/>
  <c r="G1996" i="4"/>
  <c r="G354" i="4"/>
  <c r="G355" i="4"/>
  <c r="G2237" i="4"/>
  <c r="G2238" i="4"/>
  <c r="G2239" i="4"/>
  <c r="G2095" i="4"/>
  <c r="G1979" i="4"/>
  <c r="G1902" i="4"/>
  <c r="G1903" i="4"/>
  <c r="G2240" i="4"/>
  <c r="G2241" i="4"/>
  <c r="G1512" i="4"/>
  <c r="G2305" i="4"/>
  <c r="G33" i="4"/>
  <c r="G34" i="4"/>
  <c r="G1100" i="4"/>
  <c r="G1939" i="4"/>
  <c r="G1940" i="4"/>
  <c r="G165" i="4"/>
  <c r="G166" i="4"/>
  <c r="G278" i="4"/>
  <c r="G279" i="4"/>
  <c r="G767" i="4"/>
  <c r="G768" i="4"/>
  <c r="G48" i="4"/>
  <c r="G2242" i="4"/>
  <c r="G209" i="4"/>
  <c r="G2243" i="4"/>
  <c r="G7" i="4"/>
  <c r="G8" i="4"/>
  <c r="G456" i="4"/>
  <c r="G457" i="4"/>
  <c r="G1773" i="4"/>
  <c r="G2016" i="4"/>
  <c r="G2017" i="4"/>
  <c r="G1153" i="4"/>
  <c r="G1154" i="4"/>
  <c r="G2244" i="4"/>
  <c r="G1173" i="4"/>
  <c r="G2029" i="4"/>
  <c r="G2030" i="4"/>
  <c r="G2031" i="4"/>
  <c r="G127" i="4"/>
  <c r="G128" i="4"/>
  <c r="G1174" i="4"/>
  <c r="G2149" i="4"/>
  <c r="G448" i="4"/>
  <c r="G449" i="4"/>
  <c r="G2111" i="4"/>
  <c r="G1681" i="4"/>
  <c r="G1161" i="4"/>
  <c r="G255" i="4"/>
  <c r="G1910" i="4"/>
  <c r="G2245" i="4"/>
  <c r="G3063" i="4"/>
  <c r="G3064" i="4"/>
  <c r="G1175" i="4"/>
  <c r="G1176" i="4"/>
  <c r="G1446" i="4"/>
  <c r="G2246" i="4"/>
  <c r="G2247" i="4"/>
  <c r="G2248" i="4"/>
  <c r="G2249" i="4"/>
  <c r="G2250" i="4"/>
  <c r="G2137" i="4"/>
  <c r="G2251" i="4"/>
  <c r="G280" i="4"/>
  <c r="G443" i="4"/>
  <c r="G746" i="4"/>
  <c r="G711" i="4"/>
  <c r="G149" i="4"/>
  <c r="G712" i="4"/>
  <c r="G259" i="4"/>
  <c r="G481" i="4"/>
  <c r="G480" i="4"/>
  <c r="G805" i="4"/>
  <c r="G150" i="4"/>
  <c r="G260" i="4"/>
  <c r="G151" i="4"/>
  <c r="G713" i="4"/>
  <c r="G2153" i="4"/>
  <c r="G2839" i="4"/>
  <c r="G2840" i="4"/>
  <c r="G2841" i="4"/>
  <c r="G1182" i="4"/>
  <c r="G1400" i="4"/>
  <c r="G1401" i="4"/>
  <c r="G1402" i="4"/>
  <c r="G1403" i="4"/>
  <c r="G56" i="4"/>
  <c r="G981" i="4"/>
  <c r="G982" i="4"/>
  <c r="G57" i="4"/>
  <c r="G58" i="4"/>
  <c r="G2158" i="4"/>
  <c r="G2159" i="4"/>
  <c r="G2160" i="4"/>
  <c r="G59" i="4"/>
  <c r="G60" i="4"/>
  <c r="G500" i="4"/>
  <c r="G501" i="4"/>
  <c r="G674" i="4"/>
  <c r="G675" i="4"/>
  <c r="G2252" i="4"/>
  <c r="G983" i="4"/>
  <c r="G1404" i="4"/>
  <c r="G2253" i="4"/>
  <c r="G2254" i="4"/>
  <c r="G2255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652" i="4"/>
  <c r="G2161" i="4"/>
  <c r="G2162" i="4"/>
  <c r="G617" i="4"/>
  <c r="G2163" i="4"/>
  <c r="G653" i="4"/>
  <c r="G1872" i="4"/>
  <c r="G654" i="4"/>
  <c r="G618" i="4"/>
  <c r="G619" i="4"/>
  <c r="G1923" i="4"/>
  <c r="G1455" i="4"/>
  <c r="G1456" i="4"/>
  <c r="G2256" i="4"/>
  <c r="G229" i="4"/>
  <c r="G2257" i="4"/>
  <c r="G2258" i="4"/>
  <c r="G708" i="4"/>
  <c r="G575" i="4"/>
  <c r="G1696" i="4"/>
  <c r="G460" i="4"/>
  <c r="G461" i="4"/>
  <c r="G462" i="4"/>
  <c r="G463" i="4"/>
  <c r="G1221" i="4"/>
  <c r="G1222" i="4"/>
  <c r="G431" i="4"/>
  <c r="G410" i="4"/>
  <c r="G286" i="4"/>
  <c r="G287" i="4"/>
  <c r="G1330" i="4"/>
  <c r="G90" i="4"/>
  <c r="G390" i="4"/>
  <c r="G91" i="4"/>
  <c r="G92" i="4"/>
  <c r="G93" i="4"/>
  <c r="G94" i="4"/>
  <c r="G1874" i="4"/>
  <c r="G1875" i="4"/>
  <c r="G434" i="4"/>
  <c r="G1801" i="4"/>
  <c r="G1752" i="4"/>
  <c r="G1753" i="4"/>
  <c r="G1709" i="4"/>
  <c r="G435" i="4"/>
  <c r="G2117" i="4"/>
  <c r="G1331" i="4"/>
  <c r="G2118" i="4"/>
  <c r="G95" i="4"/>
  <c r="G96" i="4"/>
  <c r="G1710" i="4"/>
  <c r="G1711" i="4"/>
  <c r="G436" i="4"/>
  <c r="G1964" i="4"/>
  <c r="G1802" i="4"/>
  <c r="G1803" i="4"/>
  <c r="G1754" i="4"/>
  <c r="G1755" i="4"/>
  <c r="G2119" i="4"/>
  <c r="G288" i="4"/>
  <c r="G437" i="4"/>
  <c r="G989" i="4"/>
  <c r="G990" i="4"/>
  <c r="G97" i="4"/>
  <c r="G98" i="4"/>
  <c r="G438" i="4"/>
  <c r="G439" i="4"/>
  <c r="G1712" i="4"/>
  <c r="G1713" i="4"/>
  <c r="G1965" i="4"/>
  <c r="G1966" i="4"/>
  <c r="G1756" i="4"/>
  <c r="G1804" i="4"/>
  <c r="G1805" i="4"/>
  <c r="G2120" i="4"/>
  <c r="G289" i="4"/>
  <c r="G99" i="4"/>
  <c r="G991" i="4"/>
  <c r="G992" i="4"/>
  <c r="G100" i="4"/>
  <c r="G1714" i="4"/>
  <c r="G1806" i="4"/>
  <c r="G1807" i="4"/>
  <c r="G1715" i="4"/>
  <c r="G1716" i="4"/>
  <c r="G659" i="4"/>
  <c r="G440" i="4"/>
  <c r="G1808" i="4"/>
  <c r="G1967" i="4"/>
  <c r="G1717" i="4"/>
  <c r="G1718" i="4"/>
  <c r="G993" i="4"/>
  <c r="G994" i="4"/>
  <c r="G1719" i="4"/>
  <c r="G101" i="4"/>
  <c r="G2121" i="4"/>
  <c r="G2122" i="4"/>
  <c r="G1757" i="4"/>
  <c r="G1809" i="4"/>
  <c r="G226" i="4"/>
  <c r="G441" i="4"/>
  <c r="G1758" i="4"/>
  <c r="G1759" i="4"/>
  <c r="G290" i="4"/>
  <c r="G291" i="4"/>
  <c r="G1760" i="4"/>
  <c r="G1810" i="4"/>
  <c r="G1968" i="4"/>
  <c r="G1969" i="4"/>
  <c r="G1811" i="4"/>
  <c r="G1915" i="4"/>
  <c r="G442" i="4"/>
  <c r="G995" i="4"/>
  <c r="G1970" i="4"/>
  <c r="G1971" i="4"/>
  <c r="G76" i="4"/>
  <c r="G1720" i="4"/>
  <c r="G1721" i="4"/>
  <c r="G1812" i="4"/>
  <c r="G102" i="4"/>
  <c r="G103" i="4"/>
  <c r="G2303" i="4"/>
  <c r="G1842" i="4"/>
  <c r="G1119" i="4"/>
  <c r="G1014" i="4"/>
  <c r="G1015" i="4"/>
  <c r="G1813" i="4"/>
  <c r="G1814" i="4"/>
  <c r="G104" i="4"/>
  <c r="G704" i="4"/>
  <c r="G1453" i="4"/>
  <c r="G1120" i="4"/>
  <c r="G391" i="4"/>
  <c r="G227" i="4"/>
  <c r="G445" i="4"/>
  <c r="G1725" i="4"/>
  <c r="G292" i="4"/>
  <c r="G546" i="4"/>
  <c r="G547" i="4"/>
  <c r="G75" i="4"/>
  <c r="G1121" i="4"/>
  <c r="G1454" i="4"/>
  <c r="G446" i="4"/>
  <c r="G1399" i="4"/>
  <c r="G176" i="4"/>
  <c r="G1930" i="4"/>
  <c r="G2170" i="4"/>
  <c r="G2171" i="4"/>
  <c r="G699" i="4"/>
  <c r="G188" i="4"/>
  <c r="G1414" i="4"/>
  <c r="G1307" i="4"/>
  <c r="G483" i="4"/>
  <c r="G2101" i="4"/>
  <c r="G2102" i="4"/>
  <c r="G1122" i="4"/>
  <c r="G1123" i="4"/>
  <c r="G1972" i="4"/>
  <c r="G1973" i="4"/>
  <c r="G1622" i="4"/>
  <c r="G1283" i="4"/>
  <c r="G1487" i="4"/>
  <c r="G1488" i="4"/>
  <c r="G2259" i="4"/>
  <c r="G1631" i="4"/>
  <c r="G73" i="4"/>
  <c r="G74" i="4"/>
  <c r="G1169" i="4"/>
  <c r="G700" i="4"/>
  <c r="G701" i="4"/>
  <c r="G521" i="4"/>
  <c r="G1068" i="4"/>
  <c r="G1761" i="4"/>
  <c r="G871" i="4"/>
  <c r="G1016" i="4"/>
  <c r="G2123" i="4"/>
  <c r="G522" i="4"/>
  <c r="G523" i="4"/>
  <c r="G588" i="4"/>
  <c r="G589" i="4"/>
  <c r="G1017" i="4"/>
  <c r="G1018" i="4"/>
  <c r="G249" i="4"/>
  <c r="G262" i="4"/>
  <c r="G263" i="4"/>
  <c r="G1056" i="4"/>
  <c r="G1057" i="4"/>
  <c r="G772" i="4"/>
  <c r="G773" i="4"/>
  <c r="G1019" i="4"/>
  <c r="G1058" i="4"/>
  <c r="G1020" i="4"/>
  <c r="G1722" i="4"/>
  <c r="G1723" i="4"/>
  <c r="G774" i="4"/>
  <c r="G775" i="4"/>
  <c r="G23" i="4"/>
  <c r="G24" i="4"/>
  <c r="G524" i="4"/>
  <c r="G870" i="4"/>
  <c r="G590" i="4"/>
  <c r="G1021" i="4"/>
  <c r="G1022" i="4"/>
  <c r="G1023" i="4"/>
  <c r="G1069" i="4"/>
  <c r="G1070" i="4"/>
  <c r="G1059" i="4"/>
  <c r="G1060" i="4"/>
  <c r="G591" i="4"/>
  <c r="G776" i="4"/>
  <c r="G1371" i="4"/>
  <c r="G1372" i="4"/>
  <c r="G25" i="4"/>
  <c r="G1024" i="4"/>
  <c r="G1025" i="4"/>
  <c r="G1071" i="4"/>
  <c r="G1072" i="4"/>
  <c r="G1061" i="4"/>
  <c r="G525" i="4"/>
  <c r="G526" i="4"/>
  <c r="G250" i="4"/>
  <c r="G777" i="4"/>
  <c r="G778" i="4"/>
  <c r="G779" i="4"/>
  <c r="G592" i="4"/>
  <c r="G593" i="4"/>
  <c r="G594" i="4"/>
  <c r="G1026" i="4"/>
  <c r="G1027" i="4"/>
  <c r="G1062" i="4"/>
  <c r="G1028" i="4"/>
  <c r="G1063" i="4"/>
  <c r="G1029" i="4"/>
  <c r="G527" i="4"/>
  <c r="G1073" i="4"/>
  <c r="G1074" i="4"/>
  <c r="G780" i="4"/>
  <c r="G781" i="4"/>
  <c r="G782" i="4"/>
  <c r="G783" i="4"/>
  <c r="G595" i="4"/>
  <c r="G596" i="4"/>
  <c r="G1030" i="4"/>
  <c r="G597" i="4"/>
  <c r="G1031" i="4"/>
  <c r="G1032" i="4"/>
  <c r="G1033" i="4"/>
  <c r="G26" i="4"/>
  <c r="G784" i="4"/>
  <c r="G1034" i="4"/>
  <c r="G598" i="4"/>
  <c r="G1035" i="4"/>
  <c r="G528" i="4"/>
  <c r="G529" i="4"/>
  <c r="G785" i="4"/>
  <c r="G786" i="4"/>
  <c r="G787" i="4"/>
  <c r="G530" i="4"/>
  <c r="G1064" i="4"/>
  <c r="G1036" i="4"/>
  <c r="G1037" i="4"/>
  <c r="G1038" i="4"/>
  <c r="G1039" i="4"/>
  <c r="G1040" i="4"/>
  <c r="G27" i="4"/>
  <c r="G28" i="4"/>
  <c r="G599" i="4"/>
  <c r="G1065" i="4"/>
  <c r="G1041" i="4"/>
  <c r="G1042" i="4"/>
  <c r="G1379" i="4"/>
  <c r="G1380" i="4"/>
  <c r="G1381" i="4"/>
  <c r="G2011" i="4"/>
  <c r="G1220" i="4"/>
  <c r="G1452" i="4"/>
  <c r="G1800" i="4"/>
  <c r="G1628" i="4"/>
  <c r="G306" i="4"/>
  <c r="G307" i="4"/>
  <c r="G678" i="4"/>
  <c r="G1293" i="4"/>
  <c r="G381" i="4"/>
  <c r="G2145" i="4"/>
  <c r="G1849" i="4"/>
  <c r="G1850" i="4"/>
  <c r="G1815" i="4"/>
  <c r="G426" i="4"/>
  <c r="G29" i="4"/>
  <c r="G30" i="4"/>
  <c r="G873" i="4"/>
  <c r="G1043" i="4"/>
  <c r="G1044" i="4"/>
  <c r="G2260" i="4"/>
  <c r="G2261" i="4"/>
  <c r="G872" i="4"/>
  <c r="G788" i="4"/>
  <c r="G789" i="4"/>
  <c r="G1045" i="4"/>
  <c r="G1046" i="4"/>
  <c r="G600" i="4"/>
  <c r="G601" i="4"/>
  <c r="G531" i="4"/>
  <c r="G532" i="4"/>
  <c r="G1075" i="4"/>
  <c r="G1076" i="4"/>
  <c r="G447" i="4"/>
  <c r="G1047" i="4"/>
  <c r="G533" i="4"/>
  <c r="G603" i="4"/>
  <c r="G604" i="4"/>
  <c r="G605" i="4"/>
  <c r="G326" i="4"/>
  <c r="G1223" i="4"/>
  <c r="G620" i="4"/>
  <c r="G1547" i="4"/>
  <c r="G392" i="4"/>
  <c r="G923" i="4"/>
  <c r="G924" i="4"/>
  <c r="G621" i="4"/>
  <c r="G382" i="4"/>
  <c r="G31" i="4"/>
  <c r="G1066" i="4"/>
  <c r="G1067" i="4"/>
  <c r="G32" i="4"/>
  <c r="G1548" i="4"/>
  <c r="G1224" i="4"/>
  <c r="G622" i="4"/>
  <c r="G383" i="4"/>
  <c r="G1816" i="4"/>
  <c r="G264" i="4"/>
  <c r="G961" i="4"/>
  <c r="G64" i="4"/>
  <c r="G65" i="4"/>
  <c r="G66" i="4"/>
  <c r="G67" i="4"/>
  <c r="G2087" i="4"/>
  <c r="G2088" i="4"/>
  <c r="G1980" i="4"/>
  <c r="G1288" i="4"/>
  <c r="G1981" i="4"/>
  <c r="G1982" i="4"/>
  <c r="G2089" i="4"/>
  <c r="G1983" i="4"/>
  <c r="G2090" i="4"/>
  <c r="G1984" i="4"/>
  <c r="G1985" i="4"/>
  <c r="G1986" i="4"/>
  <c r="G1987" i="4"/>
  <c r="G1267" i="4"/>
  <c r="G1988" i="4"/>
  <c r="G1989" i="4"/>
  <c r="G1990" i="4"/>
  <c r="G1991" i="4"/>
  <c r="G1992" i="4"/>
  <c r="G843" i="4"/>
  <c r="G844" i="4"/>
  <c r="G1053" i="4"/>
  <c r="G1054" i="4"/>
  <c r="G1332" i="4"/>
  <c r="G845" i="4"/>
  <c r="G846" i="4"/>
  <c r="G847" i="4"/>
  <c r="G848" i="4"/>
  <c r="G343" i="4"/>
  <c r="G849" i="4"/>
  <c r="G1904" i="4"/>
  <c r="G1905" i="4"/>
  <c r="G1055" i="4"/>
  <c r="G1906" i="4"/>
  <c r="G489" i="4"/>
  <c r="G1907" i="4"/>
  <c r="G1236" i="4"/>
  <c r="G1237" i="4"/>
  <c r="G2297" i="4"/>
  <c r="G1238" i="4"/>
  <c r="G1239" i="4"/>
  <c r="G2298" i="4"/>
  <c r="G1240" i="4"/>
  <c r="G2299" i="4"/>
  <c r="G1241" i="4"/>
  <c r="G1242" i="4"/>
  <c r="G1817" i="4"/>
  <c r="G1524" i="4"/>
  <c r="G2045" i="4"/>
  <c r="G831" i="4"/>
  <c r="G1243" i="4"/>
  <c r="G22" i="4"/>
  <c r="G490" i="4"/>
  <c r="G1351" i="4"/>
  <c r="G2316" i="4"/>
  <c r="G752" i="4"/>
  <c r="G313" i="4"/>
  <c r="G160" i="4"/>
  <c r="G251" i="4"/>
  <c r="G2919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378" i="4"/>
  <c r="G379" i="4"/>
  <c r="G195" i="4"/>
  <c r="G196" i="4"/>
  <c r="G197" i="4"/>
  <c r="G198" i="4"/>
  <c r="G1777" i="4"/>
  <c r="G1778" i="4"/>
  <c r="G2262" i="4"/>
  <c r="G2263" i="4"/>
  <c r="G2264" i="4"/>
  <c r="G2265" i="4"/>
  <c r="G199" i="4"/>
  <c r="G222" i="4"/>
  <c r="G223" i="4"/>
  <c r="G200" i="4"/>
  <c r="G1217" i="4"/>
  <c r="G1201" i="4"/>
  <c r="G1695" i="4"/>
  <c r="G628" i="4"/>
  <c r="G1492" i="4"/>
  <c r="G1876" i="4"/>
  <c r="G1877" i="4"/>
  <c r="G1493" i="4"/>
  <c r="G110" i="4"/>
  <c r="G1494" i="4"/>
  <c r="G1878" i="4"/>
  <c r="G111" i="4"/>
  <c r="G1495" i="4"/>
  <c r="G1879" i="4"/>
  <c r="G1880" i="4"/>
  <c r="G1881" i="4"/>
  <c r="G1261" i="4"/>
  <c r="G1496" i="4"/>
  <c r="G1497" i="4"/>
  <c r="G1498" i="4"/>
  <c r="G1499" i="4"/>
  <c r="G1500" i="4"/>
  <c r="G1882" i="4"/>
  <c r="G1883" i="4"/>
  <c r="G1262" i="4"/>
  <c r="G1501" i="4"/>
  <c r="G922" i="4"/>
  <c r="G1884" i="4"/>
  <c r="G1885" i="4"/>
  <c r="G1502" i="4"/>
  <c r="G1503" i="4"/>
  <c r="G1504" i="4"/>
  <c r="G1873" i="4"/>
  <c r="G1271" i="4"/>
  <c r="G1415" i="4"/>
  <c r="G1416" i="4"/>
  <c r="G1350" i="4"/>
  <c r="G466" i="4"/>
  <c r="G240" i="4"/>
  <c r="G241" i="4"/>
  <c r="G955" i="4"/>
  <c r="G403" i="4"/>
  <c r="G177" i="4"/>
  <c r="G714" i="4"/>
  <c r="G3053" i="4"/>
  <c r="G765" i="4"/>
  <c r="G766" i="4"/>
  <c r="G405" i="4"/>
  <c r="G623" i="4"/>
  <c r="G1862" i="4"/>
  <c r="G3054" i="4"/>
  <c r="G2146" i="4"/>
  <c r="G3055" i="4"/>
  <c r="G230" i="4"/>
  <c r="G231" i="4"/>
  <c r="G1863" i="4"/>
  <c r="G406" i="4"/>
  <c r="G3056" i="4"/>
  <c r="G407" i="4"/>
  <c r="G624" i="4"/>
  <c r="G1822" i="4"/>
  <c r="G1823" i="4"/>
  <c r="G1824" i="4"/>
  <c r="G1825" i="4"/>
  <c r="G232" i="4"/>
  <c r="G233" i="4"/>
  <c r="G629" i="4"/>
  <c r="G625" i="4"/>
  <c r="G1284" i="4"/>
  <c r="G1227" i="4"/>
  <c r="G928" i="4"/>
  <c r="G929" i="4"/>
  <c r="G1228" i="4"/>
  <c r="G1285" i="4"/>
  <c r="G1573" i="4"/>
  <c r="G204" i="4"/>
  <c r="G205" i="4"/>
  <c r="G1539" i="4"/>
  <c r="G1540" i="4"/>
  <c r="G930" i="4"/>
  <c r="G931" i="4"/>
  <c r="G1886" i="4"/>
  <c r="G932" i="4"/>
  <c r="G933" i="4"/>
  <c r="G1887" i="4"/>
  <c r="G1286" i="4"/>
  <c r="G1229" i="4"/>
  <c r="G1541" i="4"/>
  <c r="G1287" i="4"/>
  <c r="G941" i="4"/>
  <c r="G942" i="4"/>
  <c r="G2266" i="4"/>
  <c r="G206" i="4"/>
  <c r="G207" i="4"/>
  <c r="G208" i="4"/>
  <c r="G2267" i="4"/>
  <c r="G1230" i="4"/>
  <c r="G1542" i="4"/>
  <c r="G1543" i="4"/>
  <c r="G934" i="4"/>
  <c r="G935" i="4"/>
  <c r="G936" i="4"/>
  <c r="G937" i="4"/>
  <c r="G1888" i="4"/>
  <c r="G938" i="4"/>
  <c r="G1143" i="4"/>
  <c r="G1144" i="4"/>
  <c r="G146" i="4"/>
  <c r="G147" i="4"/>
  <c r="G1270" i="4"/>
  <c r="G148" i="4"/>
  <c r="G795" i="4"/>
  <c r="G949" i="4"/>
  <c r="G950" i="4"/>
  <c r="G796" i="4"/>
  <c r="G1135" i="4"/>
  <c r="G807" i="4"/>
  <c r="G808" i="4"/>
  <c r="G809" i="4"/>
  <c r="G810" i="4"/>
  <c r="G1272" i="4"/>
  <c r="G1632" i="4"/>
  <c r="G811" i="4"/>
  <c r="G1526" i="4"/>
  <c r="G1544" i="4"/>
  <c r="G1545" i="4"/>
  <c r="G1637" i="4"/>
  <c r="G1638" i="4"/>
  <c r="G336" i="4"/>
  <c r="G1639" i="4"/>
  <c r="G2175" i="4"/>
  <c r="G2176" i="4"/>
  <c r="G1640" i="4"/>
  <c r="G1641" i="4"/>
  <c r="G1642" i="4"/>
  <c r="G951" i="4"/>
  <c r="G952" i="4"/>
  <c r="G3125" i="4"/>
  <c r="G3126" i="4"/>
  <c r="G3127" i="4"/>
  <c r="G1643" i="4"/>
  <c r="G812" i="4"/>
  <c r="G813" i="4"/>
  <c r="G393" i="4"/>
  <c r="G394" i="4"/>
  <c r="G356" i="4"/>
  <c r="G797" i="4"/>
  <c r="G798" i="4"/>
  <c r="G854" i="4"/>
  <c r="G855" i="4"/>
  <c r="G1299" i="4"/>
  <c r="G1300" i="4"/>
  <c r="G814" i="4"/>
  <c r="G815" i="4"/>
  <c r="G1281" i="4"/>
  <c r="G1527" i="4"/>
  <c r="G2910" i="4"/>
  <c r="G2911" i="4"/>
  <c r="G1136" i="4"/>
  <c r="G1137" i="4"/>
  <c r="G1528" i="4"/>
  <c r="G321" i="4"/>
  <c r="G2177" i="4"/>
  <c r="G2912" i="4"/>
  <c r="G816" i="4"/>
  <c r="G799" i="4"/>
  <c r="G1341" i="4"/>
  <c r="G817" i="4"/>
  <c r="G1644" i="4"/>
  <c r="G3128" i="4"/>
  <c r="G395" i="4"/>
  <c r="G396" i="4"/>
  <c r="G346" i="4"/>
  <c r="G1138" i="4"/>
  <c r="G1139" i="4"/>
  <c r="G2268" i="4"/>
  <c r="G337" i="4"/>
  <c r="G818" i="4"/>
  <c r="G819" i="4"/>
  <c r="G2178" i="4"/>
  <c r="G1198" i="4"/>
  <c r="G1199" i="4"/>
  <c r="G1200" i="4"/>
  <c r="G455" i="4"/>
  <c r="G338" i="4"/>
  <c r="G820" i="4"/>
  <c r="G2179" i="4"/>
  <c r="G3129" i="4"/>
  <c r="G2269" i="4"/>
  <c r="G1645" i="4"/>
  <c r="G1646" i="4"/>
  <c r="G1529" i="4"/>
  <c r="G1530" i="4"/>
  <c r="G2270" i="4"/>
  <c r="G800" i="4"/>
  <c r="G801" i="4"/>
  <c r="G856" i="4"/>
  <c r="G1301" i="4"/>
  <c r="G1302" i="4"/>
  <c r="G347" i="4"/>
  <c r="G1342" i="4"/>
  <c r="G1343" i="4"/>
  <c r="G821" i="4"/>
  <c r="G822" i="4"/>
  <c r="G357" i="4"/>
  <c r="G1633" i="4"/>
  <c r="G1634" i="4"/>
  <c r="G953" i="4"/>
  <c r="G954" i="4"/>
  <c r="G2180" i="4"/>
  <c r="G2181" i="4"/>
  <c r="G2182" i="4"/>
  <c r="G823" i="4"/>
  <c r="G824" i="4"/>
  <c r="G327" i="4"/>
  <c r="G802" i="4"/>
  <c r="G803" i="4"/>
  <c r="G2913" i="4"/>
  <c r="G804" i="4"/>
  <c r="G1647" i="4"/>
  <c r="G322" i="4"/>
  <c r="G1115" i="4"/>
  <c r="G1116" i="4"/>
  <c r="G397" i="4"/>
  <c r="G1531" i="4"/>
  <c r="G662" i="4"/>
  <c r="G663" i="4"/>
  <c r="G664" i="4"/>
  <c r="G2050" i="4"/>
  <c r="G1941" i="4"/>
  <c r="G1933" i="4"/>
  <c r="G2183" i="4"/>
  <c r="G587" i="4"/>
  <c r="G610" i="4"/>
  <c r="G534" i="4"/>
  <c r="G688" i="4"/>
  <c r="G665" i="4"/>
  <c r="G666" i="4"/>
  <c r="G535" i="4"/>
  <c r="G536" i="4"/>
  <c r="G537" i="4"/>
  <c r="G538" i="4"/>
  <c r="G2055" i="4"/>
  <c r="G2056" i="4"/>
  <c r="G16" i="4"/>
  <c r="G17" i="4"/>
  <c r="G167" i="4"/>
  <c r="G168" i="4"/>
  <c r="G1490" i="4"/>
  <c r="G986" i="4"/>
  <c r="G224" i="4"/>
  <c r="G643" i="4"/>
  <c r="G644" i="4"/>
  <c r="G1491" i="4"/>
  <c r="G645" i="4"/>
  <c r="G646" i="4"/>
  <c r="G647" i="4"/>
  <c r="G2057" i="4"/>
  <c r="G169" i="4"/>
  <c r="G1117" i="4"/>
  <c r="G1118" i="4"/>
  <c r="G539" i="4"/>
  <c r="G540" i="4"/>
  <c r="G655" i="4"/>
  <c r="G656" i="4"/>
  <c r="G2058" i="4"/>
  <c r="G2059" i="4"/>
  <c r="G2060" i="4"/>
  <c r="G2061" i="4"/>
  <c r="G2062" i="4"/>
  <c r="G162" i="4"/>
  <c r="G2063" i="4"/>
  <c r="G170" i="4"/>
  <c r="G171" i="4"/>
  <c r="G172" i="4"/>
  <c r="G163" i="4"/>
  <c r="G164" i="4"/>
  <c r="G173" i="4"/>
  <c r="G174" i="4"/>
  <c r="G2039" i="4"/>
  <c r="G2916" i="4"/>
  <c r="G657" i="4"/>
  <c r="G658" i="4"/>
  <c r="G2018" i="4"/>
  <c r="G178" i="4"/>
  <c r="G179" i="4"/>
  <c r="G1525" i="4"/>
  <c r="G689" i="4"/>
  <c r="G690" i="4"/>
  <c r="G541" i="4"/>
  <c r="G542" i="4"/>
  <c r="G2064" i="4"/>
  <c r="G2065" i="4"/>
  <c r="G648" i="4"/>
  <c r="G649" i="4"/>
  <c r="G650" i="4"/>
  <c r="G2066" i="4"/>
  <c r="G2067" i="4"/>
  <c r="G180" i="4"/>
  <c r="G181" i="4"/>
  <c r="G987" i="4"/>
  <c r="G2068" i="4"/>
  <c r="G2069" i="4"/>
  <c r="G2070" i="4"/>
  <c r="G543" i="4"/>
  <c r="G703" i="4"/>
  <c r="G544" i="4"/>
  <c r="G691" i="4"/>
  <c r="G545" i="4"/>
  <c r="G2914" i="4"/>
  <c r="G2915" i="4"/>
  <c r="G157" i="4"/>
  <c r="G1435" i="4"/>
  <c r="G692" i="4"/>
  <c r="G89" i="4"/>
  <c r="G2271" i="4"/>
  <c r="G18" i="4"/>
  <c r="G611" i="4"/>
  <c r="G702" i="4"/>
  <c r="G459" i="4"/>
  <c r="G2272" i="4"/>
  <c r="G2141" i="4"/>
  <c r="G158" i="4"/>
  <c r="G635" i="4"/>
  <c r="G576" i="4"/>
  <c r="G1615" i="4"/>
  <c r="G2040" i="4"/>
  <c r="G2041" i="4"/>
  <c r="G2042" i="4"/>
  <c r="G159" i="4"/>
  <c r="G2071" i="4"/>
  <c r="G2072" i="4"/>
  <c r="G667" i="4"/>
  <c r="G668" i="4"/>
  <c r="G2073" i="4"/>
  <c r="G2074" i="4"/>
  <c r="G175" i="4"/>
  <c r="G478" i="4"/>
  <c r="G693" i="4"/>
  <c r="G651" i="4"/>
  <c r="G636" i="4"/>
  <c r="G1901" i="4"/>
  <c r="G2075" i="4"/>
  <c r="G2076" i="4"/>
  <c r="G1819" i="4"/>
  <c r="G1942" i="4"/>
  <c r="G1943" i="4"/>
  <c r="G2154" i="4"/>
  <c r="G1449" i="4"/>
  <c r="G1333" i="4"/>
  <c r="G1334" i="4"/>
  <c r="G1335" i="4"/>
  <c r="G1336" i="4"/>
  <c r="G1337" i="4"/>
  <c r="G2003" i="4"/>
  <c r="G2004" i="4"/>
  <c r="G2273" i="4"/>
  <c r="G1225" i="4"/>
  <c r="G119" i="4"/>
  <c r="G1611" i="4"/>
  <c r="G492" i="4"/>
  <c r="G976" i="4"/>
  <c r="G977" i="4"/>
  <c r="G3057" i="4"/>
  <c r="G1612" i="4"/>
  <c r="G1613" i="4"/>
  <c r="G705" i="4"/>
  <c r="G706" i="4"/>
  <c r="G2301" i="4"/>
  <c r="G2274" i="4"/>
  <c r="G2275" i="4"/>
  <c r="G1614" i="4"/>
  <c r="G707" i="4"/>
  <c r="G2300" i="4"/>
  <c r="G1751" i="4"/>
  <c r="G2091" i="4"/>
  <c r="G9" i="4"/>
  <c r="G10" i="4"/>
  <c r="G11" i="4"/>
  <c r="G12" i="4"/>
  <c r="G1353" i="4"/>
  <c r="G310" i="4"/>
  <c r="G311" i="4"/>
  <c r="G312" i="4"/>
  <c r="G43" i="4"/>
  <c r="G44" i="4"/>
  <c r="G45" i="4"/>
  <c r="G46" i="4"/>
  <c r="G47" i="4"/>
  <c r="G1365" i="4"/>
  <c r="G1506" i="4"/>
  <c r="G293" i="4"/>
  <c r="G1177" i="4"/>
  <c r="G294" i="4"/>
  <c r="G1366" i="4"/>
  <c r="G295" i="4"/>
  <c r="G1507" i="4"/>
  <c r="G1508" i="4"/>
  <c r="G1098" i="4"/>
  <c r="G1509" i="4"/>
  <c r="G1367" i="4"/>
  <c r="G1178" i="4"/>
  <c r="G1179" i="4"/>
  <c r="G1099" i="4"/>
  <c r="G284" i="4"/>
  <c r="G1368" i="4"/>
  <c r="G1510" i="4"/>
  <c r="G1369" i="4"/>
  <c r="G1180" i="4"/>
  <c r="G1370" i="4"/>
  <c r="G1511" i="4"/>
  <c r="G892" i="4"/>
  <c r="G124" i="4"/>
  <c r="G125" i="4"/>
  <c r="G893" i="4"/>
  <c r="G894" i="4"/>
  <c r="G1189" i="4"/>
  <c r="G1190" i="4"/>
  <c r="G562" i="4"/>
  <c r="G236" i="4"/>
  <c r="G237" i="4"/>
  <c r="G747" i="4"/>
  <c r="G832" i="4"/>
  <c r="G834" i="4"/>
  <c r="G126" i="4"/>
  <c r="G895" i="4"/>
  <c r="G896" i="4"/>
  <c r="G897" i="4"/>
  <c r="G898" i="4"/>
  <c r="G1048" i="4"/>
  <c r="G1049" i="4"/>
  <c r="G1191" i="4"/>
  <c r="G1192" i="4"/>
  <c r="G432" i="4"/>
  <c r="G563" i="4"/>
  <c r="G1851" i="4"/>
  <c r="G1852" i="4"/>
  <c r="G309" i="4"/>
  <c r="G748" i="4"/>
  <c r="G1373" i="4"/>
  <c r="G1193" i="4"/>
  <c r="G1194" i="4"/>
  <c r="G899" i="4"/>
  <c r="G900" i="4"/>
  <c r="G835" i="4"/>
  <c r="G1050" i="4"/>
  <c r="G1051" i="4"/>
  <c r="G564" i="4"/>
  <c r="G433" i="4"/>
  <c r="G238" i="4"/>
  <c r="G239" i="4"/>
  <c r="G1853" i="4"/>
  <c r="G1854" i="4"/>
  <c r="G2096" i="4"/>
  <c r="G1195" i="4"/>
  <c r="G901" i="4"/>
  <c r="G1374" i="4"/>
  <c r="G1375" i="4"/>
  <c r="G1196" i="4"/>
  <c r="G1197" i="4"/>
  <c r="G902" i="4"/>
  <c r="G1513" i="4"/>
  <c r="G1617" i="4"/>
  <c r="G2034" i="4"/>
  <c r="G2035" i="4"/>
  <c r="G909" i="4"/>
  <c r="G1514" i="4"/>
  <c r="G1515" i="4"/>
  <c r="G2036" i="4"/>
  <c r="G2037" i="4"/>
  <c r="G2038" i="4"/>
  <c r="G1618" i="4"/>
  <c r="G1619" i="4"/>
  <c r="G1620" i="4"/>
  <c r="G728" i="4"/>
  <c r="G910" i="4"/>
  <c r="G331" i="4"/>
  <c r="G3050" i="4"/>
  <c r="G3051" i="4"/>
  <c r="G1516" i="4"/>
  <c r="G1517" i="4"/>
  <c r="G332" i="4"/>
  <c r="G2172" i="4"/>
  <c r="G911" i="4"/>
  <c r="G912" i="4"/>
  <c r="G333" i="4"/>
  <c r="G334" i="4"/>
  <c r="G1518" i="4"/>
  <c r="G3052" i="4"/>
  <c r="G2173" i="4"/>
  <c r="G913" i="4"/>
  <c r="G1621" i="4"/>
  <c r="G335" i="4"/>
  <c r="G308" i="4"/>
  <c r="G1648" i="4"/>
  <c r="G1430" i="4"/>
  <c r="G1431" i="4"/>
  <c r="G1432" i="4"/>
  <c r="G552" i="4"/>
  <c r="G1433" i="4"/>
  <c r="G1457" i="4"/>
  <c r="G1458" i="4"/>
  <c r="G1459" i="4"/>
  <c r="G553" i="4"/>
  <c r="G554" i="4"/>
  <c r="G1596" i="4"/>
  <c r="G566" i="4"/>
  <c r="G1460" i="4"/>
  <c r="G1461" i="4"/>
  <c r="G1462" i="4"/>
  <c r="G1463" i="4"/>
  <c r="G577" i="4"/>
  <c r="G1245" i="4"/>
  <c r="G857" i="4"/>
  <c r="G1376" i="4"/>
  <c r="G1597" i="4"/>
  <c r="G1347" i="4"/>
  <c r="G1464" i="4"/>
  <c r="G2078" i="4"/>
  <c r="G1598" i="4"/>
  <c r="G1465" i="4"/>
  <c r="G837" i="4"/>
  <c r="G1889" i="4"/>
  <c r="G1466" i="4"/>
  <c r="G1467" i="4"/>
  <c r="G1599" i="4"/>
  <c r="G2079" i="4"/>
  <c r="G2080" i="4"/>
  <c r="G2081" i="4"/>
  <c r="G1211" i="4"/>
  <c r="G212" i="4"/>
  <c r="G213" i="4"/>
  <c r="G613" i="4"/>
  <c r="G512" i="4"/>
  <c r="G513" i="4"/>
  <c r="G514" i="4"/>
  <c r="G858" i="4"/>
  <c r="G578" i="4"/>
  <c r="G579" i="4"/>
  <c r="G1649" i="4"/>
  <c r="G1650" i="4"/>
  <c r="G1651" i="4"/>
  <c r="G1652" i="4"/>
  <c r="G1468" i="4"/>
  <c r="G1600" i="4"/>
  <c r="G567" i="4"/>
  <c r="G1601" i="4"/>
  <c r="G568" i="4"/>
  <c r="G569" i="4"/>
  <c r="G1927" i="4"/>
  <c r="G1890" i="4"/>
  <c r="G1891" i="4"/>
  <c r="G2082" i="4"/>
  <c r="G555" i="4"/>
  <c r="G1377" i="4"/>
  <c r="G1378" i="4"/>
  <c r="G570" i="4"/>
  <c r="G571" i="4"/>
  <c r="G2961" i="4"/>
  <c r="G2962" i="4"/>
  <c r="G1469" i="4"/>
  <c r="G1470" i="4"/>
  <c r="G1246" i="4"/>
  <c r="G1892" i="4"/>
  <c r="G1893" i="4"/>
  <c r="G1894" i="4"/>
  <c r="G1895" i="4"/>
  <c r="G1247" i="4"/>
  <c r="G1248" i="4"/>
  <c r="G1249" i="4"/>
  <c r="G1250" i="4"/>
  <c r="G1251" i="4"/>
  <c r="G515" i="4"/>
  <c r="G516" i="4"/>
  <c r="G1602" i="4"/>
  <c r="G1603" i="4"/>
  <c r="G78" i="4"/>
  <c r="G79" i="4"/>
  <c r="G614" i="4"/>
  <c r="G859" i="4"/>
  <c r="G860" i="4"/>
  <c r="G580" i="4"/>
  <c r="G450" i="4"/>
  <c r="G1212" i="4"/>
  <c r="G1252" i="4"/>
  <c r="G211" i="4"/>
  <c r="G2083" i="4"/>
  <c r="G318" i="4"/>
  <c r="G861" i="4"/>
  <c r="G1736" i="4"/>
  <c r="G214" i="4"/>
  <c r="G1304" i="4"/>
  <c r="G2084" i="4"/>
  <c r="G838" i="4"/>
  <c r="G839" i="4"/>
  <c r="G925" i="4"/>
  <c r="G1683" i="4"/>
  <c r="G862" i="4"/>
  <c r="G840" i="4"/>
  <c r="G1653" i="4"/>
  <c r="G1654" i="4"/>
  <c r="G1655" i="4"/>
  <c r="G1656" i="4"/>
  <c r="G1657" i="4"/>
  <c r="G2000" i="4"/>
  <c r="G2001" i="4"/>
  <c r="G1348" i="4"/>
  <c r="G1349" i="4"/>
  <c r="G1604" i="4"/>
  <c r="G1605" i="4"/>
  <c r="G517" i="4"/>
  <c r="G1471" i="4"/>
  <c r="G1472" i="4"/>
  <c r="G1473" i="4"/>
  <c r="G80" i="4"/>
  <c r="G81" i="4"/>
  <c r="G82" i="4"/>
  <c r="G502" i="4"/>
  <c r="G503" i="4"/>
  <c r="G504" i="4"/>
  <c r="G615" i="4"/>
  <c r="G1606" i="4"/>
  <c r="G1607" i="4"/>
  <c r="G1896" i="4"/>
  <c r="G1897" i="4"/>
  <c r="G1253" i="4"/>
  <c r="G1254" i="4"/>
  <c r="G1255" i="4"/>
  <c r="G505" i="4"/>
  <c r="G506" i="4"/>
  <c r="G507" i="4"/>
  <c r="G518" i="4"/>
  <c r="G1474" i="4"/>
  <c r="G1475" i="4"/>
  <c r="G1476" i="4"/>
  <c r="G1477" i="4"/>
  <c r="G1478" i="4"/>
  <c r="G1479" i="4"/>
  <c r="G83" i="4"/>
  <c r="G84" i="4"/>
  <c r="G1658" i="4"/>
  <c r="G1659" i="4"/>
  <c r="G1660" i="4"/>
  <c r="G1661" i="4"/>
  <c r="G581" i="4"/>
  <c r="G582" i="4"/>
  <c r="G1928" i="4"/>
  <c r="G1929" i="4"/>
  <c r="G2276" i="4"/>
  <c r="G841" i="4"/>
  <c r="G842" i="4"/>
  <c r="G2085" i="4"/>
  <c r="G1662" i="4"/>
  <c r="G1663" i="4"/>
  <c r="G1664" i="4"/>
  <c r="G451" i="4"/>
  <c r="G452" i="4"/>
  <c r="G453" i="4"/>
  <c r="G1213" i="4"/>
  <c r="G1305" i="4"/>
  <c r="G926" i="4"/>
  <c r="G863" i="4"/>
  <c r="G864" i="4"/>
  <c r="G2086" i="4"/>
  <c r="G296" i="4"/>
  <c r="G297" i="4"/>
  <c r="G298" i="4"/>
  <c r="G299" i="4"/>
  <c r="G300" i="4"/>
  <c r="G301" i="4"/>
  <c r="G1234" i="4"/>
  <c r="G215" i="4"/>
  <c r="G216" i="4"/>
  <c r="G217" i="4"/>
  <c r="G218" i="4"/>
  <c r="G219" i="4"/>
  <c r="G1665" i="4"/>
  <c r="G85" i="4"/>
  <c r="G1608" i="4"/>
  <c r="G1609" i="4"/>
  <c r="G1898" i="4"/>
  <c r="G1684" i="4"/>
  <c r="G1685" i="4"/>
  <c r="G1682" i="4"/>
  <c r="G380" i="4"/>
  <c r="G2002" i="4"/>
  <c r="G319" i="4"/>
  <c r="G865" i="4"/>
  <c r="G1847" i="4"/>
  <c r="G2277" i="4"/>
  <c r="G2278" i="4"/>
  <c r="G1256" i="4"/>
  <c r="G1257" i="4"/>
  <c r="G1258" i="4"/>
  <c r="G1899" i="4"/>
  <c r="G1900" i="4"/>
  <c r="G866" i="4"/>
  <c r="G867" i="4"/>
  <c r="G508" i="4"/>
  <c r="G509" i="4"/>
  <c r="G510" i="4"/>
  <c r="G511" i="4"/>
  <c r="G519" i="4"/>
  <c r="G520" i="4"/>
  <c r="G572" i="4"/>
  <c r="G573" i="4"/>
  <c r="G574" i="4"/>
  <c r="G1259" i="4"/>
  <c r="G1417" i="4"/>
  <c r="G2279" i="4"/>
  <c r="G220" i="4"/>
  <c r="G221" i="4"/>
  <c r="G2963" i="4"/>
  <c r="G2964" i="4"/>
  <c r="G2965" i="4"/>
  <c r="G2966" i="4"/>
  <c r="G1260" i="4"/>
  <c r="G2280" i="4"/>
  <c r="G2281" i="4"/>
  <c r="G320" i="4"/>
  <c r="G302" i="4"/>
  <c r="G303" i="4"/>
  <c r="G583" i="4"/>
  <c r="G584" i="4"/>
  <c r="G1610" i="4"/>
  <c r="G1686" i="4"/>
  <c r="G1306" i="4"/>
  <c r="G2282" i="4"/>
  <c r="G454" i="4"/>
  <c r="G927" i="4"/>
  <c r="G304" i="4"/>
  <c r="G1214" i="4"/>
  <c r="G305" i="4"/>
  <c r="G2005" i="4"/>
  <c r="G2006" i="4"/>
  <c r="G2007" i="4"/>
  <c r="G1588" i="4"/>
  <c r="G1589" i="4"/>
  <c r="G1832" i="4"/>
  <c r="G1833" i="4"/>
  <c r="G1834" i="4"/>
  <c r="G1835" i="4"/>
  <c r="G1590" i="4"/>
  <c r="G1591" i="4"/>
  <c r="G2290" i="4"/>
  <c r="G2291" i="4"/>
  <c r="G2292" i="4"/>
  <c r="G1592" i="4"/>
  <c r="G1593" i="4"/>
  <c r="G1836" i="4"/>
  <c r="G1837" i="4"/>
  <c r="G1838" i="4"/>
  <c r="G1839" i="4"/>
  <c r="G2288" i="4"/>
  <c r="G2289" i="4"/>
  <c r="G2293" i="4"/>
  <c r="G2294" i="4"/>
  <c r="G2295" i="4"/>
  <c r="G2296" i="4"/>
  <c r="G1840" i="4"/>
  <c r="G1841" i="4"/>
  <c r="G1561" i="4"/>
  <c r="G1145" i="4"/>
  <c r="G1146" i="4"/>
  <c r="G1147" i="4"/>
  <c r="G1148" i="4"/>
  <c r="G1339" i="4"/>
  <c r="G2103" i="4"/>
  <c r="G2104" i="4"/>
  <c r="G1149" i="4"/>
  <c r="G1150" i="4"/>
  <c r="G2164" i="4"/>
  <c r="G1340" i="4"/>
  <c r="G890" i="4"/>
  <c r="G891" i="4"/>
  <c r="G2165" i="4"/>
  <c r="G2166" i="4"/>
  <c r="G1562" i="4"/>
  <c r="G2147" i="4"/>
  <c r="G386" i="4"/>
  <c r="G387" i="4"/>
  <c r="G388" i="4"/>
  <c r="G389" i="4"/>
  <c r="G2105" i="4"/>
  <c r="G2106" i="4"/>
  <c r="G850" i="4"/>
  <c r="G1563" i="4"/>
  <c r="G874" i="4"/>
  <c r="G875" i="4"/>
  <c r="G201" i="4"/>
  <c r="G182" i="4"/>
  <c r="G325" i="4"/>
  <c r="G959" i="4"/>
  <c r="G960" i="4"/>
  <c r="G35" i="4"/>
  <c r="G479" i="4"/>
  <c r="G2283" i="4"/>
  <c r="G202" i="4"/>
  <c r="G49" i="4"/>
  <c r="G50" i="4"/>
  <c r="G51" i="4"/>
  <c r="G52" i="4"/>
  <c r="G53" i="4"/>
  <c r="G54" i="4"/>
  <c r="G55" i="4"/>
  <c r="G1450" i="4"/>
  <c r="G1731" i="4"/>
  <c r="G1732" i="4"/>
  <c r="G1451" i="4"/>
  <c r="G1733" i="4"/>
  <c r="G1734" i="4"/>
  <c r="G1735" i="4"/>
  <c r="G1864" i="4"/>
  <c r="G234" i="4"/>
  <c r="G339" i="4"/>
  <c r="G340" i="4"/>
  <c r="G2009" i="4"/>
  <c r="G2010" i="4"/>
  <c r="G1571" i="4"/>
  <c r="G1163" i="4"/>
  <c r="G1164" i="4"/>
  <c r="G914" i="4"/>
  <c r="G471" i="4"/>
  <c r="G472" i="4"/>
  <c r="G1762" i="4"/>
  <c r="G1165" i="4"/>
  <c r="G915" i="4"/>
  <c r="G916" i="4"/>
  <c r="G943" i="4"/>
  <c r="G944" i="4"/>
  <c r="G473" i="4"/>
  <c r="G474" i="4"/>
  <c r="G475" i="4"/>
  <c r="G917" i="4"/>
  <c r="G918" i="4"/>
  <c r="G1166" i="4"/>
  <c r="G476" i="4"/>
  <c r="G945" i="4"/>
  <c r="G1925" i="4"/>
  <c r="G1926" i="4"/>
  <c r="G105" i="4"/>
  <c r="G1167" i="4"/>
  <c r="G2284" i="4"/>
  <c r="G946" i="4"/>
  <c r="G947" i="4"/>
  <c r="G919" i="4"/>
  <c r="G920" i="4"/>
  <c r="G477" i="4"/>
  <c r="G1218" i="4"/>
  <c r="G956" i="4"/>
  <c r="G1219" i="4"/>
  <c r="G957" i="4"/>
  <c r="G958" i="4"/>
  <c r="G1292" i="4"/>
  <c r="G1595" i="4"/>
  <c r="G277" i="4"/>
  <c r="G2124" i="4"/>
  <c r="G2125" i="4"/>
  <c r="G565" i="4"/>
  <c r="G1739" i="4"/>
  <c r="G1740" i="4"/>
  <c r="G1741" i="4"/>
  <c r="G851" i="4"/>
  <c r="G852" i="4"/>
  <c r="G1820" i="4"/>
  <c r="G1687" i="4"/>
  <c r="G1688" i="4"/>
  <c r="G606" i="4"/>
  <c r="G607" i="4"/>
  <c r="G608" i="4"/>
  <c r="G609" i="4"/>
  <c r="G1908" i="4"/>
  <c r="G1308" i="4"/>
  <c r="G1309" i="4"/>
  <c r="G467" i="4"/>
  <c r="G487" i="4"/>
  <c r="G488" i="4"/>
  <c r="G468" i="4"/>
  <c r="G469" i="4"/>
  <c r="G470" i="4"/>
  <c r="G341" i="4"/>
  <c r="G1303" i="4"/>
  <c r="G1855" i="4"/>
  <c r="G1856" i="4"/>
  <c r="G117" i="4"/>
  <c r="G118" i="4"/>
  <c r="G2155" i="4"/>
  <c r="G2156" i="4"/>
  <c r="G1857" i="4"/>
  <c r="G2157" i="4"/>
  <c r="G1858" i="4"/>
  <c r="G1859" i="4"/>
  <c r="G1860" i="4"/>
  <c r="G1861" i="4"/>
  <c r="G616" i="4"/>
  <c r="G1101" i="4"/>
  <c r="G1310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721" i="4"/>
  <c r="G722" i="4"/>
  <c r="G723" i="4"/>
  <c r="G724" i="4"/>
  <c r="G725" i="4"/>
  <c r="G1911" i="4"/>
  <c r="G1912" i="4"/>
  <c r="G1913" i="4"/>
  <c r="G962" i="4"/>
  <c r="G963" i="4"/>
  <c r="G964" i="4"/>
  <c r="G965" i="4"/>
  <c r="G966" i="4"/>
  <c r="G967" i="4"/>
  <c r="G968" i="4"/>
  <c r="G969" i="4"/>
  <c r="G970" i="4"/>
  <c r="G971" i="4"/>
  <c r="G1382" i="4"/>
  <c r="G1944" i="4"/>
  <c r="G1945" i="4"/>
  <c r="G1383" i="4"/>
  <c r="G972" i="4"/>
  <c r="G973" i="4"/>
  <c r="G974" i="4"/>
  <c r="G1946" i="4"/>
  <c r="G1947" i="4"/>
  <c r="G1948" i="4"/>
  <c r="G1949" i="4"/>
  <c r="G1950" i="4"/>
  <c r="G1951" i="4"/>
  <c r="G753" i="4"/>
  <c r="G975" i="4"/>
  <c r="G754" i="4"/>
  <c r="G755" i="4"/>
  <c r="G1952" i="4"/>
  <c r="G1953" i="4"/>
  <c r="G756" i="4"/>
  <c r="G757" i="4"/>
  <c r="G758" i="4"/>
  <c r="G1954" i="4"/>
  <c r="G1955" i="4"/>
  <c r="G1956" i="4"/>
  <c r="G759" i="4"/>
  <c r="G760" i="4"/>
  <c r="G761" i="4"/>
  <c r="G762" i="4"/>
  <c r="G763" i="4"/>
  <c r="G764" i="4"/>
  <c r="G1957" i="4"/>
  <c r="G1958" i="4"/>
  <c r="G1959" i="4"/>
  <c r="G1960" i="4"/>
  <c r="G1818" i="4"/>
  <c r="G1226" i="4"/>
  <c r="G1311" i="4"/>
  <c r="G1312" i="4"/>
  <c r="G1313" i="4"/>
  <c r="G1314" i="4"/>
  <c r="G1315" i="4"/>
  <c r="G1316" i="4"/>
  <c r="G1317" i="4"/>
  <c r="G1318" i="4"/>
  <c r="G482" i="4"/>
  <c r="G1319" i="4"/>
  <c r="G1320" i="4"/>
  <c r="G1321" i="4"/>
  <c r="G2302" i="4"/>
  <c r="G1322" i="4"/>
  <c r="G1323" i="4"/>
  <c r="G1324" i="4"/>
  <c r="G1325" i="4"/>
  <c r="G1326" i="4"/>
  <c r="G1327" i="4"/>
  <c r="G1328" i="4"/>
  <c r="G1329" i="4"/>
  <c r="G2321" i="4"/>
  <c r="G2322" i="4"/>
  <c r="G1388" i="4"/>
  <c r="G1389" i="4"/>
  <c r="G2323" i="4"/>
  <c r="G2324" i="4"/>
  <c r="G2325" i="4"/>
  <c r="G2326" i="4"/>
  <c r="G2327" i="4"/>
  <c r="G1390" i="4"/>
  <c r="G1391" i="4"/>
  <c r="G344" i="4"/>
  <c r="G1392" i="4"/>
  <c r="G1393" i="4"/>
  <c r="G1394" i="4"/>
  <c r="G1395" i="4"/>
  <c r="G1396" i="4"/>
  <c r="G345" i="4"/>
  <c r="G1397" i="4"/>
  <c r="G1398" i="4"/>
  <c r="G398" i="4"/>
  <c r="G399" i="4"/>
  <c r="G1564" i="4"/>
  <c r="G2952" i="4"/>
  <c r="G2953" i="4"/>
  <c r="G2958" i="4"/>
  <c r="G2959" i="4"/>
  <c r="G2046" i="4"/>
  <c r="G2047" i="4"/>
  <c r="G2954" i="4"/>
  <c r="G2955" i="4"/>
  <c r="G2956" i="4"/>
  <c r="G2960" i="4"/>
  <c r="G661" i="4"/>
  <c r="G2957" i="4"/>
  <c r="G2048" i="4"/>
  <c r="G2049" i="4"/>
  <c r="B13" i="5" l="1"/>
  <c r="F2823" i="2"/>
  <c r="G470" i="2"/>
  <c r="G471" i="2"/>
  <c r="G1181" i="2"/>
  <c r="G2318" i="2"/>
  <c r="G220" i="2"/>
  <c r="G308" i="2"/>
  <c r="G309" i="2"/>
  <c r="G311" i="2"/>
  <c r="G312" i="2"/>
  <c r="G472" i="2"/>
  <c r="G680" i="2"/>
  <c r="G683" i="2"/>
  <c r="G684" i="2"/>
  <c r="G687" i="2"/>
  <c r="G697" i="2"/>
  <c r="G771" i="2"/>
  <c r="G772" i="2"/>
  <c r="G777" i="2"/>
  <c r="G778" i="2"/>
  <c r="G799" i="2"/>
  <c r="G872" i="2"/>
  <c r="G873" i="2"/>
  <c r="G874" i="2"/>
  <c r="G875" i="2"/>
  <c r="G894" i="2"/>
  <c r="G895" i="2"/>
  <c r="G896" i="2"/>
  <c r="G897" i="2"/>
  <c r="G898" i="2"/>
  <c r="G971" i="2"/>
  <c r="G972" i="2"/>
  <c r="G973" i="2"/>
  <c r="G974" i="2"/>
  <c r="G1008" i="2"/>
  <c r="G1009" i="2"/>
  <c r="G1010" i="2"/>
  <c r="G1011" i="2"/>
  <c r="G1029" i="2"/>
  <c r="G1030" i="2"/>
  <c r="G1031" i="2"/>
  <c r="G1032" i="2"/>
  <c r="G1033" i="2"/>
  <c r="G1034" i="2"/>
  <c r="G1056" i="2"/>
  <c r="G1057" i="2"/>
  <c r="G1058" i="2"/>
  <c r="G1059" i="2"/>
  <c r="G1060" i="2"/>
  <c r="G1061" i="2"/>
  <c r="G1062" i="2"/>
  <c r="G1072" i="2"/>
  <c r="G1073" i="2"/>
  <c r="G1074" i="2"/>
  <c r="G1075" i="2"/>
  <c r="G1076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63" i="2"/>
  <c r="G1164" i="2"/>
  <c r="G1182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92" i="2"/>
  <c r="G1393" i="2"/>
  <c r="G1394" i="2"/>
  <c r="G1395" i="2"/>
  <c r="G1407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38" i="2"/>
  <c r="G2139" i="2"/>
  <c r="G2140" i="2"/>
  <c r="G2141" i="2"/>
  <c r="G2142" i="2"/>
  <c r="G2143" i="2"/>
  <c r="G2144" i="2"/>
  <c r="G2145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193" i="2"/>
  <c r="G194" i="2"/>
  <c r="G195" i="2"/>
  <c r="G196" i="2"/>
  <c r="G198" i="2"/>
  <c r="G211" i="2"/>
  <c r="G227" i="2"/>
  <c r="G236" i="2"/>
  <c r="G237" i="2"/>
  <c r="G248" i="2"/>
  <c r="G249" i="2"/>
  <c r="G250" i="2"/>
  <c r="G251" i="2"/>
  <c r="G260" i="2"/>
  <c r="G261" i="2"/>
  <c r="G262" i="2"/>
  <c r="G266" i="2"/>
  <c r="G269" i="2"/>
  <c r="G275" i="2"/>
  <c r="G276" i="2"/>
  <c r="G290" i="2"/>
  <c r="G291" i="2"/>
  <c r="G293" i="2"/>
  <c r="G302" i="2"/>
  <c r="G314" i="2"/>
  <c r="G315" i="2"/>
  <c r="G317" i="2"/>
  <c r="G327" i="2"/>
  <c r="G328" i="2"/>
  <c r="G333" i="2"/>
  <c r="G334" i="2"/>
  <c r="G335" i="2"/>
  <c r="G340" i="2"/>
  <c r="G341" i="2"/>
  <c r="G354" i="2"/>
  <c r="G357" i="2"/>
  <c r="G364" i="2"/>
  <c r="G367" i="2"/>
  <c r="G369" i="2"/>
  <c r="G376" i="2"/>
  <c r="G379" i="2"/>
  <c r="G381" i="2"/>
  <c r="G388" i="2"/>
  <c r="G393" i="2"/>
  <c r="G400" i="2"/>
  <c r="G403" i="2"/>
  <c r="G404" i="2"/>
  <c r="G412" i="2"/>
  <c r="G417" i="2"/>
  <c r="G418" i="2"/>
  <c r="G425" i="2"/>
  <c r="G426" i="2"/>
  <c r="G428" i="2"/>
  <c r="G431" i="2"/>
  <c r="G433" i="2"/>
  <c r="G434" i="2"/>
  <c r="G436" i="2"/>
  <c r="G442" i="2"/>
  <c r="G443" i="2"/>
  <c r="G444" i="2"/>
  <c r="G446" i="2"/>
  <c r="G459" i="2"/>
  <c r="G460" i="2"/>
  <c r="G467" i="2"/>
  <c r="G473" i="2"/>
  <c r="G492" i="2"/>
  <c r="G506" i="2"/>
  <c r="G507" i="2"/>
  <c r="G513" i="2"/>
  <c r="G518" i="2"/>
  <c r="G522" i="2"/>
  <c r="G523" i="2"/>
  <c r="G534" i="2"/>
  <c r="G535" i="2"/>
  <c r="G538" i="2"/>
  <c r="G539" i="2"/>
  <c r="G540" i="2"/>
  <c r="G541" i="2"/>
  <c r="G550" i="2"/>
  <c r="G551" i="2"/>
  <c r="G561" i="2"/>
  <c r="G570" i="2"/>
  <c r="G580" i="2"/>
  <c r="G581" i="2"/>
  <c r="G582" i="2"/>
  <c r="G590" i="2"/>
  <c r="G591" i="2"/>
  <c r="G592" i="2"/>
  <c r="G602" i="2"/>
  <c r="G612" i="2"/>
  <c r="G619" i="2"/>
  <c r="G622" i="2"/>
  <c r="G624" i="2"/>
  <c r="G912" i="2"/>
  <c r="G1140" i="2"/>
  <c r="G1141" i="2"/>
  <c r="G1165" i="2"/>
  <c r="G1243" i="2"/>
  <c r="G1244" i="2"/>
  <c r="G1245" i="2"/>
  <c r="G1347" i="2"/>
  <c r="G1348" i="2"/>
  <c r="G1396" i="2"/>
  <c r="G1408" i="2"/>
  <c r="G1409" i="2"/>
  <c r="G1410" i="2"/>
  <c r="G1411" i="2"/>
  <c r="G1412" i="2"/>
  <c r="G1413" i="2"/>
  <c r="G1414" i="2"/>
  <c r="G1415" i="2"/>
  <c r="G1416" i="2"/>
  <c r="G1474" i="2"/>
  <c r="G1542" i="2"/>
  <c r="G1543" i="2"/>
  <c r="G1594" i="2"/>
  <c r="G1635" i="2"/>
  <c r="G1636" i="2"/>
  <c r="G1692" i="2"/>
  <c r="G1693" i="2"/>
  <c r="G1694" i="2"/>
  <c r="G1729" i="2"/>
  <c r="G1730" i="2"/>
  <c r="G1731" i="2"/>
  <c r="G1732" i="2"/>
  <c r="G1733" i="2"/>
  <c r="G1734" i="2"/>
  <c r="G1735" i="2"/>
  <c r="G1736" i="2"/>
  <c r="G1821" i="2"/>
  <c r="G1822" i="2"/>
  <c r="G1823" i="2"/>
  <c r="G1824" i="2"/>
  <c r="G1825" i="2"/>
  <c r="G1929" i="2"/>
  <c r="G1930" i="2"/>
  <c r="G1931" i="2"/>
  <c r="G1932" i="2"/>
  <c r="G1933" i="2"/>
  <c r="G1934" i="2"/>
  <c r="G1935" i="2"/>
  <c r="G1936" i="2"/>
  <c r="G1937" i="2"/>
  <c r="G1938" i="2"/>
  <c r="G1939" i="2"/>
  <c r="G2104" i="2"/>
  <c r="G2105" i="2"/>
  <c r="G2106" i="2"/>
  <c r="G2107" i="2"/>
  <c r="G2108" i="2"/>
  <c r="G2109" i="2"/>
  <c r="G2146" i="2"/>
  <c r="G2147" i="2"/>
  <c r="G2148" i="2"/>
  <c r="G2205" i="2"/>
  <c r="G2206" i="2"/>
  <c r="G2207" i="2"/>
  <c r="G2208" i="2"/>
  <c r="G2209" i="2"/>
  <c r="G2210" i="2"/>
  <c r="G2211" i="2"/>
  <c r="G2212" i="2"/>
  <c r="G2265" i="2"/>
  <c r="G2266" i="2"/>
  <c r="G2267" i="2"/>
  <c r="G2268" i="2"/>
  <c r="G2269" i="2"/>
  <c r="G2270" i="2"/>
  <c r="G2271" i="2"/>
  <c r="G2336" i="2"/>
  <c r="G2337" i="2"/>
  <c r="G2430" i="2"/>
  <c r="G2431" i="2"/>
  <c r="G2432" i="2"/>
  <c r="G2433" i="2"/>
  <c r="G2434" i="2"/>
  <c r="G2435" i="2"/>
  <c r="G2528" i="2"/>
  <c r="G2529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21" i="2"/>
  <c r="G387" i="2"/>
  <c r="G648" i="2"/>
  <c r="G649" i="2"/>
  <c r="G653" i="2"/>
  <c r="G654" i="2"/>
  <c r="G658" i="2"/>
  <c r="G659" i="2"/>
  <c r="G716" i="2"/>
  <c r="G731" i="2"/>
  <c r="G779" i="2"/>
  <c r="G829" i="2"/>
  <c r="G913" i="2"/>
  <c r="G914" i="2"/>
  <c r="G915" i="2"/>
  <c r="G916" i="2"/>
  <c r="G917" i="2"/>
  <c r="G918" i="2"/>
  <c r="G919" i="2"/>
  <c r="G1012" i="2"/>
  <c r="G1013" i="2"/>
  <c r="G1014" i="2"/>
  <c r="G1015" i="2"/>
  <c r="G1016" i="2"/>
  <c r="G1017" i="2"/>
  <c r="G1018" i="2"/>
  <c r="G1019" i="2"/>
  <c r="G1020" i="2"/>
  <c r="G1063" i="2"/>
  <c r="G1064" i="2"/>
  <c r="G1246" i="2"/>
  <c r="G1247" i="2"/>
  <c r="G1248" i="2"/>
  <c r="G1249" i="2"/>
  <c r="G1250" i="2"/>
  <c r="G1251" i="2"/>
  <c r="G1252" i="2"/>
  <c r="G1253" i="2"/>
  <c r="G1254" i="2"/>
  <c r="G1349" i="2"/>
  <c r="G1350" i="2"/>
  <c r="G1351" i="2"/>
  <c r="G1352" i="2"/>
  <c r="G1353" i="2"/>
  <c r="G1354" i="2"/>
  <c r="G1355" i="2"/>
  <c r="G1356" i="2"/>
  <c r="G1357" i="2"/>
  <c r="G1358" i="2"/>
  <c r="G1637" i="2"/>
  <c r="G1638" i="2"/>
  <c r="G1826" i="2"/>
  <c r="G1827" i="2"/>
  <c r="G1828" i="2"/>
  <c r="G1829" i="2"/>
  <c r="G1830" i="2"/>
  <c r="G1831" i="2"/>
  <c r="G1832" i="2"/>
  <c r="G1833" i="2"/>
  <c r="G1940" i="2"/>
  <c r="G1941" i="2"/>
  <c r="G1942" i="2"/>
  <c r="G1943" i="2"/>
  <c r="G1944" i="2"/>
  <c r="G1945" i="2"/>
  <c r="G1946" i="2"/>
  <c r="G1947" i="2"/>
  <c r="G1948" i="2"/>
  <c r="G2028" i="2"/>
  <c r="G2029" i="2"/>
  <c r="G2030" i="2"/>
  <c r="G2031" i="2"/>
  <c r="G2032" i="2"/>
  <c r="G2033" i="2"/>
  <c r="G2034" i="2"/>
  <c r="G2035" i="2"/>
  <c r="G2036" i="2"/>
  <c r="G203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39" i="2"/>
  <c r="G40" i="2"/>
  <c r="G46" i="2"/>
  <c r="G47" i="2"/>
  <c r="G48" i="2"/>
  <c r="G49" i="2"/>
  <c r="G55" i="2"/>
  <c r="G56" i="2"/>
  <c r="G57" i="2"/>
  <c r="G58" i="2"/>
  <c r="G66" i="2"/>
  <c r="G67" i="2"/>
  <c r="G68" i="2"/>
  <c r="G69" i="2"/>
  <c r="G70" i="2"/>
  <c r="G72" i="2"/>
  <c r="G78" i="2"/>
  <c r="G79" i="2"/>
  <c r="G80" i="2"/>
  <c r="G81" i="2"/>
  <c r="G93" i="2"/>
  <c r="G94" i="2"/>
  <c r="G95" i="2"/>
  <c r="G96" i="2"/>
  <c r="G97" i="2"/>
  <c r="G106" i="2"/>
  <c r="G107" i="2"/>
  <c r="G108" i="2"/>
  <c r="G109" i="2"/>
  <c r="G123" i="2"/>
  <c r="G124" i="2"/>
  <c r="G125" i="2"/>
  <c r="G132" i="2"/>
  <c r="G133" i="2"/>
  <c r="G134" i="2"/>
  <c r="G135" i="2"/>
  <c r="G136" i="2"/>
  <c r="G148" i="2"/>
  <c r="G149" i="2"/>
  <c r="G150" i="2"/>
  <c r="G151" i="2"/>
  <c r="G160" i="2"/>
  <c r="G161" i="2"/>
  <c r="G162" i="2"/>
  <c r="G163" i="2"/>
  <c r="G175" i="2"/>
  <c r="G176" i="2"/>
  <c r="G177" i="2"/>
  <c r="G178" i="2"/>
  <c r="G180" i="2"/>
  <c r="G181" i="2"/>
  <c r="G182" i="2"/>
  <c r="G188" i="2"/>
  <c r="G189" i="2"/>
  <c r="G190" i="2"/>
  <c r="G192" i="2"/>
  <c r="G207" i="2"/>
  <c r="G208" i="2"/>
  <c r="G209" i="2"/>
  <c r="G210" i="2"/>
  <c r="G215" i="2"/>
  <c r="G216" i="2"/>
  <c r="G217" i="2"/>
  <c r="G218" i="2"/>
  <c r="G228" i="2"/>
  <c r="G229" i="2"/>
  <c r="G230" i="2"/>
  <c r="G231" i="2"/>
  <c r="G234" i="2"/>
  <c r="G238" i="2"/>
  <c r="G239" i="2"/>
  <c r="G240" i="2"/>
  <c r="G241" i="2"/>
  <c r="G242" i="2"/>
  <c r="G252" i="2"/>
  <c r="G253" i="2"/>
  <c r="G254" i="2"/>
  <c r="G255" i="2"/>
  <c r="G256" i="2"/>
  <c r="G257" i="2"/>
  <c r="G258" i="2"/>
  <c r="G259" i="2"/>
  <c r="G270" i="2"/>
  <c r="G271" i="2"/>
  <c r="G272" i="2"/>
  <c r="G273" i="2"/>
  <c r="G282" i="2"/>
  <c r="G283" i="2"/>
  <c r="G284" i="2"/>
  <c r="G285" i="2"/>
  <c r="G286" i="2"/>
  <c r="G295" i="2"/>
  <c r="G296" i="2"/>
  <c r="G297" i="2"/>
  <c r="G298" i="2"/>
  <c r="G304" i="2"/>
  <c r="G305" i="2"/>
  <c r="G306" i="2"/>
  <c r="G307" i="2"/>
  <c r="G318" i="2"/>
  <c r="G319" i="2"/>
  <c r="G320" i="2"/>
  <c r="G321" i="2"/>
  <c r="G322" i="2"/>
  <c r="G323" i="2"/>
  <c r="G324" i="2"/>
  <c r="G330" i="2"/>
  <c r="G331" i="2"/>
  <c r="G332" i="2"/>
  <c r="G342" i="2"/>
  <c r="G343" i="2"/>
  <c r="G344" i="2"/>
  <c r="G345" i="2"/>
  <c r="G346" i="2"/>
  <c r="G347" i="2"/>
  <c r="G358" i="2"/>
  <c r="G359" i="2"/>
  <c r="G360" i="2"/>
  <c r="G361" i="2"/>
  <c r="G362" i="2"/>
  <c r="G363" i="2"/>
  <c r="G370" i="2"/>
  <c r="G371" i="2"/>
  <c r="G372" i="2"/>
  <c r="G373" i="2"/>
  <c r="G374" i="2"/>
  <c r="G375" i="2"/>
  <c r="G382" i="2"/>
  <c r="G383" i="2"/>
  <c r="G384" i="2"/>
  <c r="G385" i="2"/>
  <c r="G386" i="2"/>
  <c r="G394" i="2"/>
  <c r="G395" i="2"/>
  <c r="G396" i="2"/>
  <c r="G397" i="2"/>
  <c r="G398" i="2"/>
  <c r="G399" i="2"/>
  <c r="G405" i="2"/>
  <c r="G406" i="2"/>
  <c r="G407" i="2"/>
  <c r="G408" i="2"/>
  <c r="G409" i="2"/>
  <c r="G410" i="2"/>
  <c r="G411" i="2"/>
  <c r="G419" i="2"/>
  <c r="G420" i="2"/>
  <c r="G421" i="2"/>
  <c r="G422" i="2"/>
  <c r="G423" i="2"/>
  <c r="G424" i="2"/>
  <c r="G427" i="2"/>
  <c r="G429" i="2"/>
  <c r="G437" i="2"/>
  <c r="G438" i="2"/>
  <c r="G439" i="2"/>
  <c r="G440" i="2"/>
  <c r="G441" i="2"/>
  <c r="G447" i="2"/>
  <c r="G448" i="2"/>
  <c r="G449" i="2"/>
  <c r="G450" i="2"/>
  <c r="G451" i="2"/>
  <c r="G452" i="2"/>
  <c r="G453" i="2"/>
  <c r="G457" i="2"/>
  <c r="G461" i="2"/>
  <c r="G462" i="2"/>
  <c r="G463" i="2"/>
  <c r="G464" i="2"/>
  <c r="G465" i="2"/>
  <c r="G482" i="2"/>
  <c r="G483" i="2"/>
  <c r="G484" i="2"/>
  <c r="G485" i="2"/>
  <c r="G486" i="2"/>
  <c r="G493" i="2"/>
  <c r="G494" i="2"/>
  <c r="G495" i="2"/>
  <c r="G496" i="2"/>
  <c r="G500" i="2"/>
  <c r="G508" i="2"/>
  <c r="G509" i="2"/>
  <c r="G510" i="2"/>
  <c r="G511" i="2"/>
  <c r="G512" i="2"/>
  <c r="G524" i="2"/>
  <c r="G525" i="2"/>
  <c r="G526" i="2"/>
  <c r="G527" i="2"/>
  <c r="G528" i="2"/>
  <c r="G529" i="2"/>
  <c r="G530" i="2"/>
  <c r="G531" i="2"/>
  <c r="G532" i="2"/>
  <c r="G536" i="2"/>
  <c r="G542" i="2"/>
  <c r="G543" i="2"/>
  <c r="G544" i="2"/>
  <c r="G545" i="2"/>
  <c r="G554" i="2"/>
  <c r="G555" i="2"/>
  <c r="G556" i="2"/>
  <c r="G557" i="2"/>
  <c r="G558" i="2"/>
  <c r="G560" i="2"/>
  <c r="G571" i="2"/>
  <c r="G572" i="2"/>
  <c r="G573" i="2"/>
  <c r="G574" i="2"/>
  <c r="G575" i="2"/>
  <c r="G576" i="2"/>
  <c r="G577" i="2"/>
  <c r="G583" i="2"/>
  <c r="G584" i="2"/>
  <c r="G585" i="2"/>
  <c r="G586" i="2"/>
  <c r="G587" i="2"/>
  <c r="G588" i="2"/>
  <c r="G589" i="2"/>
  <c r="G596" i="2"/>
  <c r="G603" i="2"/>
  <c r="G604" i="2"/>
  <c r="G605" i="2"/>
  <c r="G606" i="2"/>
  <c r="G607" i="2"/>
  <c r="G613" i="2"/>
  <c r="G614" i="2"/>
  <c r="G615" i="2"/>
  <c r="G616" i="2"/>
  <c r="G617" i="2"/>
  <c r="G625" i="2"/>
  <c r="G626" i="2"/>
  <c r="G627" i="2"/>
  <c r="G630" i="2"/>
  <c r="G631" i="2"/>
  <c r="G632" i="2"/>
  <c r="G633" i="2"/>
  <c r="G642" i="2"/>
  <c r="G643" i="2"/>
  <c r="G645" i="2"/>
  <c r="G646" i="2"/>
  <c r="G1639" i="2"/>
  <c r="G111" i="2"/>
  <c r="G127" i="2"/>
  <c r="G2338" i="2"/>
  <c r="G2339" i="2"/>
  <c r="G668" i="2"/>
  <c r="G759" i="2"/>
  <c r="G849" i="2"/>
  <c r="G850" i="2"/>
  <c r="G851" i="2"/>
  <c r="G1077" i="2"/>
  <c r="G1142" i="2"/>
  <c r="G1143" i="2"/>
  <c r="G1144" i="2"/>
  <c r="G1145" i="2"/>
  <c r="G1397" i="2"/>
  <c r="G1595" i="2"/>
  <c r="G1596" i="2"/>
  <c r="G1597" i="2"/>
  <c r="G1598" i="2"/>
  <c r="G1599" i="2"/>
  <c r="G1600" i="2"/>
  <c r="G1695" i="2"/>
  <c r="G2340" i="2"/>
  <c r="G2341" i="2"/>
  <c r="G2342" i="2"/>
  <c r="G2343" i="2"/>
  <c r="G2344" i="2"/>
  <c r="G2345" i="2"/>
  <c r="G2346" i="2"/>
  <c r="G2347" i="2"/>
  <c r="G2348" i="2"/>
  <c r="G2349" i="2"/>
  <c r="G2350" i="2"/>
  <c r="G33" i="2"/>
  <c r="G38" i="2"/>
  <c r="G41" i="2"/>
  <c r="G42" i="2"/>
  <c r="G43" i="2"/>
  <c r="G50" i="2"/>
  <c r="G59" i="2"/>
  <c r="G62" i="2"/>
  <c r="G63" i="2"/>
  <c r="G71" i="2"/>
  <c r="G73" i="2"/>
  <c r="G75" i="2"/>
  <c r="G76" i="2"/>
  <c r="G82" i="2"/>
  <c r="G89" i="2"/>
  <c r="G92" i="2"/>
  <c r="G100" i="2"/>
  <c r="G101" i="2"/>
  <c r="G104" i="2"/>
  <c r="G110" i="2"/>
  <c r="G112" i="2"/>
  <c r="G118" i="2"/>
  <c r="G121" i="2"/>
  <c r="G122" i="2"/>
  <c r="G128" i="2"/>
  <c r="G137" i="2"/>
  <c r="G144" i="2"/>
  <c r="G145" i="2"/>
  <c r="G146" i="2"/>
  <c r="G156" i="2"/>
  <c r="G164" i="2"/>
  <c r="G165" i="2"/>
  <c r="G167" i="2"/>
  <c r="G170" i="2"/>
  <c r="G179" i="2"/>
  <c r="G184" i="2"/>
  <c r="G355" i="2"/>
  <c r="G478" i="2"/>
  <c r="G489" i="2"/>
  <c r="G502" i="2"/>
  <c r="G519" i="2"/>
  <c r="G552" i="2"/>
  <c r="G562" i="2"/>
  <c r="G597" i="2"/>
  <c r="G598" i="2"/>
  <c r="G599" i="2"/>
  <c r="G610" i="2"/>
  <c r="G620" i="2"/>
  <c r="G1601" i="2"/>
  <c r="G2038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530" i="2"/>
  <c r="G2531" i="2"/>
  <c r="G2532" i="2"/>
  <c r="G2533" i="2"/>
  <c r="G2534" i="2"/>
  <c r="G310" i="2"/>
  <c r="G1475" i="2"/>
  <c r="G1476" i="2"/>
  <c r="G1477" i="2"/>
  <c r="G1478" i="2"/>
  <c r="G1544" i="2"/>
  <c r="G1545" i="2"/>
  <c r="G1546" i="2"/>
  <c r="G1547" i="2"/>
  <c r="G2272" i="2"/>
  <c r="G2273" i="2"/>
  <c r="G34" i="2"/>
  <c r="G44" i="2"/>
  <c r="G51" i="2"/>
  <c r="G74" i="2"/>
  <c r="G83" i="2"/>
  <c r="G102" i="2"/>
  <c r="G114" i="2"/>
  <c r="G126" i="2"/>
  <c r="G138" i="2"/>
  <c r="G152" i="2"/>
  <c r="G168" i="2"/>
  <c r="G199" i="2"/>
  <c r="G200" i="2"/>
  <c r="G223" i="2"/>
  <c r="G232" i="2"/>
  <c r="G244" i="2"/>
  <c r="G263" i="2"/>
  <c r="G277" i="2"/>
  <c r="G287" i="2"/>
  <c r="G300" i="2"/>
  <c r="G336" i="2"/>
  <c r="G348" i="2"/>
  <c r="G349" i="2"/>
  <c r="G377" i="2"/>
  <c r="G389" i="2"/>
  <c r="G432" i="2"/>
  <c r="G454" i="2"/>
  <c r="G468" i="2"/>
  <c r="G469" i="2"/>
  <c r="G479" i="2"/>
  <c r="G487" i="2"/>
  <c r="G498" i="2"/>
  <c r="G503" i="2"/>
  <c r="G514" i="2"/>
  <c r="G515" i="2"/>
  <c r="G547" i="2"/>
  <c r="G563" i="2"/>
  <c r="G565" i="2"/>
  <c r="G578" i="2"/>
  <c r="G593" i="2"/>
  <c r="G600" i="2"/>
  <c r="G608" i="2"/>
  <c r="G618" i="2"/>
  <c r="G1078" i="2"/>
  <c r="G1079" i="2"/>
  <c r="G1080" i="2"/>
  <c r="G1479" i="2"/>
  <c r="G1480" i="2"/>
  <c r="G1481" i="2"/>
  <c r="G1482" i="2"/>
  <c r="G2274" i="2"/>
  <c r="G35" i="2"/>
  <c r="G36" i="2"/>
  <c r="G45" i="2"/>
  <c r="G52" i="2"/>
  <c r="G53" i="2"/>
  <c r="G60" i="2"/>
  <c r="G61" i="2"/>
  <c r="G84" i="2"/>
  <c r="G85" i="2"/>
  <c r="G98" i="2"/>
  <c r="G99" i="2"/>
  <c r="G115" i="2"/>
  <c r="G116" i="2"/>
  <c r="G139" i="2"/>
  <c r="G140" i="2"/>
  <c r="G153" i="2"/>
  <c r="G154" i="2"/>
  <c r="G155" i="2"/>
  <c r="G169" i="2"/>
  <c r="G183" i="2"/>
  <c r="G201" i="2"/>
  <c r="G202" i="2"/>
  <c r="G203" i="2"/>
  <c r="G212" i="2"/>
  <c r="G213" i="2"/>
  <c r="G224" i="2"/>
  <c r="G225" i="2"/>
  <c r="G233" i="2"/>
  <c r="G245" i="2"/>
  <c r="G246" i="2"/>
  <c r="G264" i="2"/>
  <c r="G265" i="2"/>
  <c r="G278" i="2"/>
  <c r="G279" i="2"/>
  <c r="G288" i="2"/>
  <c r="G301" i="2"/>
  <c r="G303" i="2"/>
  <c r="G337" i="2"/>
  <c r="G338" i="2"/>
  <c r="G350" i="2"/>
  <c r="G351" i="2"/>
  <c r="G352" i="2"/>
  <c r="G365" i="2"/>
  <c r="G366" i="2"/>
  <c r="G378" i="2"/>
  <c r="G390" i="2"/>
  <c r="G391" i="2"/>
  <c r="G401" i="2"/>
  <c r="G402" i="2"/>
  <c r="G413" i="2"/>
  <c r="G414" i="2"/>
  <c r="G415" i="2"/>
  <c r="G430" i="2"/>
  <c r="G480" i="2"/>
  <c r="G488" i="2"/>
  <c r="G499" i="2"/>
  <c r="G504" i="2"/>
  <c r="G516" i="2"/>
  <c r="G517" i="2"/>
  <c r="G533" i="2"/>
  <c r="G548" i="2"/>
  <c r="G549" i="2"/>
  <c r="G564" i="2"/>
  <c r="G566" i="2"/>
  <c r="G567" i="2"/>
  <c r="G594" i="2"/>
  <c r="G595" i="2"/>
  <c r="G609" i="2"/>
  <c r="G662" i="2"/>
  <c r="G664" i="2"/>
  <c r="G1483" i="2"/>
  <c r="G1484" i="2"/>
  <c r="G2275" i="2"/>
  <c r="G2276" i="2"/>
  <c r="G655" i="2"/>
  <c r="G656" i="2"/>
  <c r="G657" i="2"/>
  <c r="G660" i="2"/>
  <c r="G661" i="2"/>
  <c r="G671" i="2"/>
  <c r="G707" i="2"/>
  <c r="G717" i="2"/>
  <c r="G741" i="2"/>
  <c r="G803" i="2"/>
  <c r="G804" i="2"/>
  <c r="G805" i="2"/>
  <c r="G806" i="2"/>
  <c r="G821" i="2"/>
  <c r="G1035" i="2"/>
  <c r="G1036" i="2"/>
  <c r="G1037" i="2"/>
  <c r="G1038" i="2"/>
  <c r="G1039" i="2"/>
  <c r="G1065" i="2"/>
  <c r="G1066" i="2"/>
  <c r="G1067" i="2"/>
  <c r="G1068" i="2"/>
  <c r="G1069" i="2"/>
  <c r="G1070" i="2"/>
  <c r="G1359" i="2"/>
  <c r="G1360" i="2"/>
  <c r="G1361" i="2"/>
  <c r="G1398" i="2"/>
  <c r="G1399" i="2"/>
  <c r="G1400" i="2"/>
  <c r="G1401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213" i="2"/>
  <c r="G2214" i="2"/>
  <c r="G2722" i="2"/>
  <c r="G2723" i="2"/>
  <c r="G105" i="2"/>
  <c r="G120" i="2"/>
  <c r="G129" i="2"/>
  <c r="G130" i="2"/>
  <c r="G157" i="2"/>
  <c r="G159" i="2"/>
  <c r="G172" i="2"/>
  <c r="G173" i="2"/>
  <c r="G174" i="2"/>
  <c r="G185" i="2"/>
  <c r="G186" i="2"/>
  <c r="G204" i="2"/>
  <c r="G313" i="2"/>
  <c r="G628" i="2"/>
  <c r="G640" i="2"/>
  <c r="G546" i="2"/>
  <c r="G1402" i="2"/>
  <c r="G2535" i="2"/>
  <c r="G672" i="2"/>
  <c r="G681" i="2"/>
  <c r="G685" i="2"/>
  <c r="G688" i="2"/>
  <c r="G920" i="2"/>
  <c r="G1081" i="2"/>
  <c r="G1082" i="2"/>
  <c r="G1083" i="2"/>
  <c r="G1084" i="2"/>
  <c r="G1085" i="2"/>
  <c r="G1086" i="2"/>
  <c r="G1087" i="2"/>
  <c r="G1088" i="2"/>
  <c r="G1255" i="2"/>
  <c r="G1256" i="2"/>
  <c r="G1257" i="2"/>
  <c r="G1258" i="2"/>
  <c r="G1259" i="2"/>
  <c r="G1260" i="2"/>
  <c r="G1261" i="2"/>
  <c r="G1262" i="2"/>
  <c r="G1263" i="2"/>
  <c r="G126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666" i="2"/>
  <c r="G709" i="2"/>
  <c r="G724" i="2"/>
  <c r="G780" i="2"/>
  <c r="G781" i="2"/>
  <c r="G1183" i="2"/>
  <c r="G1184" i="2"/>
  <c r="G2039" i="2"/>
  <c r="G2040" i="2"/>
  <c r="G2041" i="2"/>
  <c r="G2436" i="2"/>
  <c r="G2437" i="2"/>
  <c r="G131" i="2"/>
  <c r="G474" i="2"/>
  <c r="G475" i="2"/>
  <c r="G852" i="2"/>
  <c r="G853" i="2"/>
  <c r="G1602" i="2"/>
  <c r="G1603" i="2"/>
  <c r="G2369" i="2"/>
  <c r="G2370" i="2"/>
  <c r="G2371" i="2"/>
  <c r="G2372" i="2"/>
  <c r="G2373" i="2"/>
  <c r="G37" i="2"/>
  <c r="G54" i="2"/>
  <c r="G64" i="2"/>
  <c r="G77" i="2"/>
  <c r="G86" i="2"/>
  <c r="G90" i="2"/>
  <c r="G91" i="2"/>
  <c r="G103" i="2"/>
  <c r="G119" i="2"/>
  <c r="G147" i="2"/>
  <c r="G158" i="2"/>
  <c r="G171" i="2"/>
  <c r="G187" i="2"/>
  <c r="G191" i="2"/>
  <c r="G205" i="2"/>
  <c r="G206" i="2"/>
  <c r="G214" i="2"/>
  <c r="G226" i="2"/>
  <c r="G235" i="2"/>
  <c r="G267" i="2"/>
  <c r="G280" i="2"/>
  <c r="G292" i="2"/>
  <c r="G294" i="2"/>
  <c r="G316" i="2"/>
  <c r="G329" i="2"/>
  <c r="G339" i="2"/>
  <c r="G353" i="2"/>
  <c r="G356" i="2"/>
  <c r="G368" i="2"/>
  <c r="G380" i="2"/>
  <c r="G392" i="2"/>
  <c r="G416" i="2"/>
  <c r="G435" i="2"/>
  <c r="G445" i="2"/>
  <c r="G458" i="2"/>
  <c r="G466" i="2"/>
  <c r="G476" i="2"/>
  <c r="G477" i="2"/>
  <c r="G481" i="2"/>
  <c r="G490" i="2"/>
  <c r="G491" i="2"/>
  <c r="G501" i="2"/>
  <c r="G505" i="2"/>
  <c r="G520" i="2"/>
  <c r="G521" i="2"/>
  <c r="G553" i="2"/>
  <c r="G568" i="2"/>
  <c r="G569" i="2"/>
  <c r="G579" i="2"/>
  <c r="G601" i="2"/>
  <c r="G611" i="2"/>
  <c r="G621" i="2"/>
  <c r="G623" i="2"/>
  <c r="G629" i="2"/>
  <c r="G1604" i="2"/>
  <c r="G2042" i="2"/>
  <c r="G2128" i="2"/>
  <c r="G2277" i="2"/>
  <c r="G2278" i="2"/>
  <c r="G2374" i="2"/>
  <c r="G2375" i="2"/>
  <c r="G2376" i="2"/>
  <c r="G2377" i="2"/>
  <c r="G2378" i="2"/>
  <c r="G2379" i="2"/>
  <c r="G2380" i="2"/>
  <c r="G2381" i="2"/>
  <c r="G2382" i="2"/>
  <c r="G2536" i="2"/>
  <c r="G2537" i="2"/>
  <c r="G2538" i="2"/>
  <c r="G2539" i="2"/>
  <c r="G2540" i="2"/>
  <c r="G854" i="2"/>
  <c r="G1949" i="2"/>
  <c r="G1950" i="2"/>
  <c r="G2777" i="2"/>
  <c r="G4" i="2"/>
  <c r="G5" i="2"/>
  <c r="G32" i="2"/>
  <c r="G9" i="2"/>
  <c r="G10" i="2"/>
  <c r="G11" i="2"/>
  <c r="G12" i="2"/>
  <c r="G6" i="2"/>
  <c r="G7" i="2"/>
  <c r="G652" i="2"/>
  <c r="G691" i="2"/>
  <c r="G692" i="2"/>
  <c r="G693" i="2"/>
  <c r="G782" i="2"/>
  <c r="G783" i="2"/>
  <c r="G784" i="2"/>
  <c r="G785" i="2"/>
  <c r="G855" i="2"/>
  <c r="G921" i="2"/>
  <c r="G975" i="2"/>
  <c r="G976" i="2"/>
  <c r="G1146" i="2"/>
  <c r="G1147" i="2"/>
  <c r="G1148" i="2"/>
  <c r="G1149" i="2"/>
  <c r="G1150" i="2"/>
  <c r="G1151" i="2"/>
  <c r="G1152" i="2"/>
  <c r="G1153" i="2"/>
  <c r="G1154" i="2"/>
  <c r="G1166" i="2"/>
  <c r="G1167" i="2"/>
  <c r="G1168" i="2"/>
  <c r="G1362" i="2"/>
  <c r="G1363" i="2"/>
  <c r="G1364" i="2"/>
  <c r="G1365" i="2"/>
  <c r="G1366" i="2"/>
  <c r="G1367" i="2"/>
  <c r="G1368" i="2"/>
  <c r="G1369" i="2"/>
  <c r="G1503" i="2"/>
  <c r="G1504" i="2"/>
  <c r="G1505" i="2"/>
  <c r="G1506" i="2"/>
  <c r="G1507" i="2"/>
  <c r="G1548" i="2"/>
  <c r="G1549" i="2"/>
  <c r="G1550" i="2"/>
  <c r="G1551" i="2"/>
  <c r="G1552" i="2"/>
  <c r="G1553" i="2"/>
  <c r="G1554" i="2"/>
  <c r="G1555" i="2"/>
  <c r="G1556" i="2"/>
  <c r="G1557" i="2"/>
  <c r="G1558" i="2"/>
  <c r="G1605" i="2"/>
  <c r="G1606" i="2"/>
  <c r="G1607" i="2"/>
  <c r="G1757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951" i="2"/>
  <c r="G1952" i="2"/>
  <c r="G1953" i="2"/>
  <c r="G2232" i="2"/>
  <c r="G2233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541" i="2"/>
  <c r="G2778" i="2"/>
  <c r="G718" i="2"/>
  <c r="G719" i="2"/>
  <c r="G720" i="2"/>
  <c r="G727" i="2"/>
  <c r="G856" i="2"/>
  <c r="G977" i="2"/>
  <c r="G978" i="2"/>
  <c r="G1265" i="2"/>
  <c r="G1508" i="2"/>
  <c r="G1608" i="2"/>
  <c r="G1696" i="2"/>
  <c r="G2043" i="2"/>
  <c r="G2044" i="2"/>
  <c r="G2045" i="2"/>
  <c r="G2046" i="2"/>
  <c r="G2234" i="2"/>
  <c r="G2235" i="2"/>
  <c r="G2236" i="2"/>
  <c r="G2383" i="2"/>
  <c r="G2384" i="2"/>
  <c r="G2438" i="2"/>
  <c r="G2542" i="2"/>
  <c r="G2543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773" i="2"/>
  <c r="G824" i="2"/>
  <c r="G825" i="2"/>
  <c r="G826" i="2"/>
  <c r="G922" i="2"/>
  <c r="G923" i="2"/>
  <c r="G924" i="2"/>
  <c r="G925" i="2"/>
  <c r="G926" i="2"/>
  <c r="G927" i="2"/>
  <c r="G928" i="2"/>
  <c r="G1071" i="2"/>
  <c r="G1089" i="2"/>
  <c r="G1090" i="2"/>
  <c r="G1091" i="2"/>
  <c r="G1092" i="2"/>
  <c r="G1093" i="2"/>
  <c r="G1094" i="2"/>
  <c r="G1370" i="2"/>
  <c r="G1371" i="2"/>
  <c r="G1372" i="2"/>
  <c r="G1373" i="2"/>
  <c r="G1374" i="2"/>
  <c r="G1375" i="2"/>
  <c r="G1376" i="2"/>
  <c r="G1377" i="2"/>
  <c r="G1378" i="2"/>
  <c r="G1379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758" i="2"/>
  <c r="G1759" i="2"/>
  <c r="G1760" i="2"/>
  <c r="G1761" i="2"/>
  <c r="G1762" i="2"/>
  <c r="G1763" i="2"/>
  <c r="G1764" i="2"/>
  <c r="G1765" i="2"/>
  <c r="G1766" i="2"/>
  <c r="G1767" i="2"/>
  <c r="G1768" i="2"/>
  <c r="G2047" i="2"/>
  <c r="G2149" i="2"/>
  <c r="G2150" i="2"/>
  <c r="G2151" i="2"/>
  <c r="G2152" i="2"/>
  <c r="G2153" i="2"/>
  <c r="G2154" i="2"/>
  <c r="G2155" i="2"/>
  <c r="G2156" i="2"/>
  <c r="G2157" i="2"/>
  <c r="G2158" i="2"/>
  <c r="G2159" i="2"/>
  <c r="G2237" i="2"/>
  <c r="G2238" i="2"/>
  <c r="G2239" i="2"/>
  <c r="G238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638" i="2"/>
  <c r="G639" i="2"/>
  <c r="G641" i="2"/>
  <c r="G711" i="2"/>
  <c r="G1040" i="2"/>
  <c r="G1095" i="2"/>
  <c r="G1096" i="2"/>
  <c r="G1640" i="2"/>
  <c r="G1641" i="2"/>
  <c r="G2048" i="2"/>
  <c r="G2049" i="2"/>
  <c r="G2050" i="2"/>
  <c r="G2051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544" i="2"/>
  <c r="G2545" i="2"/>
  <c r="G2546" i="2"/>
  <c r="G2547" i="2"/>
  <c r="G2548" i="2"/>
  <c r="G2549" i="2"/>
  <c r="G2550" i="2"/>
  <c r="G669" i="2"/>
  <c r="G743" i="2"/>
  <c r="G744" i="2"/>
  <c r="G830" i="2"/>
  <c r="G831" i="2"/>
  <c r="G832" i="2"/>
  <c r="G833" i="2"/>
  <c r="G1097" i="2"/>
  <c r="G1098" i="2"/>
  <c r="G1099" i="2"/>
  <c r="G1100" i="2"/>
  <c r="G1101" i="2"/>
  <c r="G1509" i="2"/>
  <c r="G1510" i="2"/>
  <c r="G1511" i="2"/>
  <c r="G1512" i="2"/>
  <c r="G1513" i="2"/>
  <c r="G2160" i="2"/>
  <c r="G2161" i="2"/>
  <c r="G2162" i="2"/>
  <c r="G219" i="2"/>
  <c r="G703" i="2"/>
  <c r="G822" i="2"/>
  <c r="G857" i="2"/>
  <c r="G876" i="2"/>
  <c r="G1185" i="2"/>
  <c r="G1186" i="2"/>
  <c r="G1187" i="2"/>
  <c r="G1188" i="2"/>
  <c r="G1189" i="2"/>
  <c r="G1380" i="2"/>
  <c r="G1381" i="2"/>
  <c r="G1382" i="2"/>
  <c r="G1642" i="2"/>
  <c r="G1643" i="2"/>
  <c r="G1644" i="2"/>
  <c r="G1645" i="2"/>
  <c r="G1646" i="2"/>
  <c r="G1647" i="2"/>
  <c r="G2052" i="2"/>
  <c r="G2053" i="2"/>
  <c r="G2054" i="2"/>
  <c r="G2055" i="2"/>
  <c r="G1383" i="2"/>
  <c r="G1559" i="2"/>
  <c r="G1560" i="2"/>
  <c r="G1954" i="2"/>
  <c r="G1955" i="2"/>
  <c r="G1956" i="2"/>
  <c r="G1957" i="2"/>
  <c r="G2293" i="2"/>
  <c r="G2386" i="2"/>
  <c r="G2387" i="2"/>
  <c r="G2388" i="2"/>
  <c r="G2459" i="2"/>
  <c r="G699" i="2"/>
  <c r="G87" i="2"/>
  <c r="G88" i="2"/>
  <c r="G113" i="2"/>
  <c r="G141" i="2"/>
  <c r="G142" i="2"/>
  <c r="G143" i="2"/>
  <c r="G166" i="2"/>
  <c r="G197" i="2"/>
  <c r="G222" i="2"/>
  <c r="G243" i="2"/>
  <c r="G247" i="2"/>
  <c r="G274" i="2"/>
  <c r="G325" i="2"/>
  <c r="G326" i="2"/>
  <c r="G1155" i="2"/>
  <c r="G1169" i="2"/>
  <c r="G2389" i="2"/>
  <c r="G2460" i="2"/>
  <c r="G634" i="2"/>
  <c r="G635" i="2"/>
  <c r="G1609" i="2"/>
  <c r="G1610" i="2"/>
  <c r="G1611" i="2"/>
  <c r="G1612" i="2"/>
  <c r="G2461" i="2"/>
  <c r="G2462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834" i="2"/>
  <c r="G835" i="2"/>
  <c r="G877" i="2"/>
  <c r="G878" i="2"/>
  <c r="G879" i="2"/>
  <c r="G979" i="2"/>
  <c r="G980" i="2"/>
  <c r="G1041" i="2"/>
  <c r="G1042" i="2"/>
  <c r="G1190" i="2"/>
  <c r="G1191" i="2"/>
  <c r="G1403" i="2"/>
  <c r="G1404" i="2"/>
  <c r="G1648" i="2"/>
  <c r="G1649" i="2"/>
  <c r="G1650" i="2"/>
  <c r="G1651" i="2"/>
  <c r="G2056" i="2"/>
  <c r="G2057" i="2"/>
  <c r="G2058" i="2"/>
  <c r="G2059" i="2"/>
  <c r="G2060" i="2"/>
  <c r="G2061" i="2"/>
  <c r="G2568" i="2"/>
  <c r="G2569" i="2"/>
  <c r="G2570" i="2"/>
  <c r="G2571" i="2"/>
  <c r="G2572" i="2"/>
  <c r="G2573" i="2"/>
  <c r="G2649" i="2"/>
  <c r="G700" i="2"/>
  <c r="G1405" i="2"/>
  <c r="G1406" i="2"/>
  <c r="G2574" i="2"/>
  <c r="G2575" i="2"/>
  <c r="G2576" i="2"/>
  <c r="G670" i="2"/>
  <c r="G679" i="2"/>
  <c r="G702" i="2"/>
  <c r="G858" i="2"/>
  <c r="G859" i="2"/>
  <c r="G880" i="2"/>
  <c r="G881" i="2"/>
  <c r="G882" i="2"/>
  <c r="G883" i="2"/>
  <c r="G1192" i="2"/>
  <c r="G1193" i="2"/>
  <c r="G1194" i="2"/>
  <c r="G1195" i="2"/>
  <c r="G1196" i="2"/>
  <c r="G1384" i="2"/>
  <c r="G1847" i="2"/>
  <c r="G1848" i="2"/>
  <c r="G1849" i="2"/>
  <c r="G1850" i="2"/>
  <c r="G1851" i="2"/>
  <c r="G1852" i="2"/>
  <c r="G1958" i="2"/>
  <c r="G1959" i="2"/>
  <c r="G268" i="2"/>
  <c r="G281" i="2"/>
  <c r="G289" i="2"/>
  <c r="G299" i="2"/>
  <c r="G929" i="2"/>
  <c r="G930" i="2"/>
  <c r="G931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769" i="2"/>
  <c r="G1770" i="2"/>
  <c r="G1771" i="2"/>
  <c r="G1772" i="2"/>
  <c r="G1773" i="2"/>
  <c r="G1774" i="2"/>
  <c r="G1775" i="2"/>
  <c r="G1776" i="2"/>
  <c r="G1853" i="2"/>
  <c r="G2240" i="2"/>
  <c r="G2577" i="2"/>
  <c r="G1777" i="2"/>
  <c r="G1778" i="2"/>
  <c r="G1779" i="2"/>
  <c r="G675" i="2"/>
  <c r="G676" i="2"/>
  <c r="G673" i="2"/>
  <c r="G674" i="2"/>
  <c r="G786" i="2"/>
  <c r="G787" i="2"/>
  <c r="G788" i="2"/>
  <c r="G789" i="2"/>
  <c r="G807" i="2"/>
  <c r="G981" i="2"/>
  <c r="G982" i="2"/>
  <c r="G983" i="2"/>
  <c r="G1043" i="2"/>
  <c r="G1044" i="2"/>
  <c r="G1045" i="2"/>
  <c r="G1046" i="2"/>
  <c r="G1047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385" i="2"/>
  <c r="G1386" i="2"/>
  <c r="G1387" i="2"/>
  <c r="G1388" i="2"/>
  <c r="G1389" i="2"/>
  <c r="G1854" i="2"/>
  <c r="G1855" i="2"/>
  <c r="G1856" i="2"/>
  <c r="G1857" i="2"/>
  <c r="G1858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2062" i="2"/>
  <c r="G2063" i="2"/>
  <c r="G2064" i="2"/>
  <c r="G2065" i="2"/>
  <c r="G2066" i="2"/>
  <c r="G2129" i="2"/>
  <c r="G2163" i="2"/>
  <c r="G2164" i="2"/>
  <c r="G2165" i="2"/>
  <c r="G2166" i="2"/>
  <c r="G2167" i="2"/>
  <c r="G2578" i="2"/>
  <c r="G2579" i="2"/>
  <c r="G2580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9" i="2"/>
  <c r="G30" i="2"/>
  <c r="G31" i="2"/>
  <c r="G497" i="2"/>
  <c r="G559" i="2"/>
  <c r="G13" i="2"/>
  <c r="G2390" i="2"/>
  <c r="G677" i="2"/>
  <c r="G725" i="2"/>
  <c r="G860" i="2"/>
  <c r="G861" i="2"/>
  <c r="G862" i="2"/>
  <c r="G863" i="2"/>
  <c r="G884" i="2"/>
  <c r="G1156" i="2"/>
  <c r="G1157" i="2"/>
  <c r="G1158" i="2"/>
  <c r="G1159" i="2"/>
  <c r="G1160" i="2"/>
  <c r="G1161" i="2"/>
  <c r="G1162" i="2"/>
  <c r="G1170" i="2"/>
  <c r="G1171" i="2"/>
  <c r="G1172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613" i="2"/>
  <c r="G1614" i="2"/>
  <c r="G1615" i="2"/>
  <c r="G1616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780" i="2"/>
  <c r="G1859" i="2"/>
  <c r="G1860" i="2"/>
  <c r="G1861" i="2"/>
  <c r="G1862" i="2"/>
  <c r="G2168" i="2"/>
  <c r="G2169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63" i="2"/>
  <c r="G2464" i="2"/>
  <c r="G2465" i="2"/>
  <c r="G2466" i="2"/>
  <c r="G2467" i="2"/>
  <c r="G2468" i="2"/>
  <c r="G2469" i="2"/>
  <c r="G2470" i="2"/>
  <c r="G2471" i="2"/>
  <c r="G2472" i="2"/>
  <c r="G2820" i="2"/>
  <c r="G2821" i="2"/>
  <c r="G2822" i="2"/>
  <c r="G636" i="2"/>
  <c r="G637" i="2"/>
  <c r="G864" i="2"/>
  <c r="G1863" i="2"/>
  <c r="G865" i="2"/>
  <c r="G866" i="2"/>
  <c r="G867" i="2"/>
  <c r="G868" i="2"/>
  <c r="G869" i="2"/>
  <c r="G1048" i="2"/>
  <c r="G1102" i="2"/>
  <c r="G1103" i="2"/>
  <c r="G2130" i="2"/>
  <c r="G2473" i="2"/>
  <c r="G2474" i="2"/>
  <c r="G2475" i="2"/>
  <c r="G2476" i="2"/>
  <c r="G665" i="2"/>
  <c r="G667" i="2"/>
  <c r="G712" i="2"/>
  <c r="G745" i="2"/>
  <c r="G746" i="2"/>
  <c r="G760" i="2"/>
  <c r="G761" i="2"/>
  <c r="G767" i="2"/>
  <c r="G768" i="2"/>
  <c r="G827" i="2"/>
  <c r="G1049" i="2"/>
  <c r="G1050" i="2"/>
  <c r="G1051" i="2"/>
  <c r="G1104" i="2"/>
  <c r="G1105" i="2"/>
  <c r="G1106" i="2"/>
  <c r="G1437" i="2"/>
  <c r="G1438" i="2"/>
  <c r="G1439" i="2"/>
  <c r="G1440" i="2"/>
  <c r="G1864" i="2"/>
  <c r="G2067" i="2"/>
  <c r="G2131" i="2"/>
  <c r="G2132" i="2"/>
  <c r="G2294" i="2"/>
  <c r="G2295" i="2"/>
  <c r="G117" i="2"/>
  <c r="G537" i="2"/>
  <c r="G1107" i="2"/>
  <c r="G1108" i="2"/>
  <c r="G2477" i="2"/>
  <c r="G678" i="2"/>
  <c r="G706" i="2"/>
  <c r="G2478" i="2"/>
  <c r="G690" i="2"/>
  <c r="G762" i="2"/>
  <c r="G763" i="2"/>
  <c r="G885" i="2"/>
  <c r="G1697" i="2"/>
  <c r="G764" i="2"/>
  <c r="G886" i="2"/>
  <c r="G1173" i="2"/>
  <c r="G1174" i="2"/>
  <c r="G1175" i="2"/>
  <c r="G1176" i="2"/>
  <c r="G1666" i="2"/>
  <c r="G1698" i="2"/>
  <c r="G1699" i="2"/>
  <c r="G1700" i="2"/>
  <c r="G1701" i="2"/>
  <c r="G1702" i="2"/>
  <c r="G1703" i="2"/>
  <c r="G1704" i="2"/>
  <c r="G2479" i="2"/>
  <c r="G2480" i="2"/>
  <c r="G2481" i="2"/>
  <c r="G2482" i="2"/>
  <c r="G2483" i="2"/>
  <c r="G2484" i="2"/>
  <c r="G2485" i="2"/>
  <c r="G800" i="2"/>
  <c r="G1021" i="2"/>
  <c r="G1022" i="2"/>
  <c r="G1023" i="2"/>
  <c r="G1024" i="2"/>
  <c r="G1025" i="2"/>
  <c r="G1026" i="2"/>
  <c r="G1441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644" i="2"/>
  <c r="G1285" i="2"/>
  <c r="G1286" i="2"/>
  <c r="G1287" i="2"/>
  <c r="G1288" i="2"/>
  <c r="G1289" i="2"/>
  <c r="G1290" i="2"/>
  <c r="G1291" i="2"/>
  <c r="G1292" i="2"/>
  <c r="G1293" i="2"/>
  <c r="G1294" i="2"/>
  <c r="G1988" i="2"/>
  <c r="G1989" i="2"/>
  <c r="G1990" i="2"/>
  <c r="G1991" i="2"/>
  <c r="G1992" i="2"/>
  <c r="G1993" i="2"/>
  <c r="G701" i="2"/>
  <c r="G705" i="2"/>
  <c r="G708" i="2"/>
  <c r="G721" i="2"/>
  <c r="G722" i="2"/>
  <c r="G747" i="2"/>
  <c r="G748" i="2"/>
  <c r="G749" i="2"/>
  <c r="G750" i="2"/>
  <c r="G836" i="2"/>
  <c r="G837" i="2"/>
  <c r="G838" i="2"/>
  <c r="G839" i="2"/>
  <c r="G840" i="2"/>
  <c r="G841" i="2"/>
  <c r="G842" i="2"/>
  <c r="G899" i="2"/>
  <c r="G1109" i="2"/>
  <c r="G1110" i="2"/>
  <c r="G1111" i="2"/>
  <c r="G1209" i="2"/>
  <c r="G1210" i="2"/>
  <c r="G1211" i="2"/>
  <c r="G1212" i="2"/>
  <c r="G1514" i="2"/>
  <c r="G1515" i="2"/>
  <c r="G2170" i="2"/>
  <c r="G2171" i="2"/>
  <c r="G2172" i="2"/>
  <c r="G2296" i="2"/>
  <c r="G2297" i="2"/>
  <c r="G2298" i="2"/>
  <c r="G2299" i="2"/>
  <c r="G1516" i="2"/>
  <c r="G1517" i="2"/>
  <c r="G1518" i="2"/>
  <c r="G8" i="2"/>
  <c r="G714" i="2"/>
  <c r="G729" i="2"/>
  <c r="G774" i="2"/>
  <c r="G775" i="2"/>
  <c r="G776" i="2"/>
  <c r="G790" i="2"/>
  <c r="G791" i="2"/>
  <c r="G792" i="2"/>
  <c r="G793" i="2"/>
  <c r="G794" i="2"/>
  <c r="G795" i="2"/>
  <c r="G796" i="2"/>
  <c r="G797" i="2"/>
  <c r="G801" i="2"/>
  <c r="G802" i="2"/>
  <c r="G808" i="2"/>
  <c r="G809" i="2"/>
  <c r="G810" i="2"/>
  <c r="G811" i="2"/>
  <c r="G812" i="2"/>
  <c r="G813" i="2"/>
  <c r="G814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27" i="2"/>
  <c r="G1052" i="2"/>
  <c r="G1053" i="2"/>
  <c r="G1213" i="2"/>
  <c r="G1214" i="2"/>
  <c r="G1215" i="2"/>
  <c r="G1216" i="2"/>
  <c r="G1217" i="2"/>
  <c r="G1218" i="2"/>
  <c r="G1219" i="2"/>
  <c r="G1220" i="2"/>
  <c r="G1221" i="2"/>
  <c r="G1222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442" i="2"/>
  <c r="G1443" i="2"/>
  <c r="G1444" i="2"/>
  <c r="G1445" i="2"/>
  <c r="G1446" i="2"/>
  <c r="G1447" i="2"/>
  <c r="G1448" i="2"/>
  <c r="G1449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68" i="2"/>
  <c r="G2069" i="2"/>
  <c r="G2070" i="2"/>
  <c r="G2071" i="2"/>
  <c r="G2072" i="2"/>
  <c r="G2073" i="2"/>
  <c r="G2074" i="2"/>
  <c r="G2075" i="2"/>
  <c r="G2133" i="2"/>
  <c r="G2134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65" i="2"/>
  <c r="G1323" i="2"/>
  <c r="G1324" i="2"/>
  <c r="G1325" i="2"/>
  <c r="G2135" i="2"/>
  <c r="G2136" i="2"/>
  <c r="G2486" i="2"/>
  <c r="G2487" i="2"/>
  <c r="G2488" i="2"/>
  <c r="G2489" i="2"/>
  <c r="G2490" i="2"/>
  <c r="G2491" i="2"/>
  <c r="G647" i="2"/>
  <c r="G650" i="2"/>
  <c r="G651" i="2"/>
  <c r="G742" i="2"/>
  <c r="G815" i="2"/>
  <c r="G816" i="2"/>
  <c r="G817" i="2"/>
  <c r="G818" i="2"/>
  <c r="G819" i="2"/>
  <c r="G820" i="2"/>
  <c r="G1028" i="2"/>
  <c r="G1054" i="2"/>
  <c r="G1055" i="2"/>
  <c r="G1450" i="2"/>
  <c r="G1451" i="2"/>
  <c r="G1452" i="2"/>
  <c r="G1453" i="2"/>
  <c r="G2076" i="2"/>
  <c r="G2077" i="2"/>
  <c r="G2078" i="2"/>
  <c r="G2079" i="2"/>
  <c r="G2080" i="2"/>
  <c r="G2081" i="2"/>
  <c r="G2082" i="2"/>
  <c r="G2083" i="2"/>
  <c r="G1112" i="2"/>
  <c r="G1113" i="2"/>
  <c r="G1519" i="2"/>
  <c r="G1520" i="2"/>
  <c r="G1521" i="2"/>
  <c r="G1522" i="2"/>
  <c r="G2241" i="2"/>
  <c r="G2242" i="2"/>
  <c r="G2243" i="2"/>
  <c r="G2244" i="2"/>
  <c r="G2245" i="2"/>
  <c r="G2246" i="2"/>
  <c r="G2247" i="2"/>
  <c r="G2248" i="2"/>
  <c r="G2249" i="2"/>
  <c r="G2250" i="2"/>
  <c r="G2251" i="2"/>
  <c r="G455" i="2"/>
  <c r="G456" i="2"/>
  <c r="G2404" i="2"/>
  <c r="G2405" i="2"/>
  <c r="G696" i="2"/>
  <c r="G704" i="2"/>
  <c r="G798" i="2"/>
  <c r="G828" i="2"/>
  <c r="G1454" i="2"/>
  <c r="G1455" i="2"/>
  <c r="G1456" i="2"/>
  <c r="G1573" i="2"/>
  <c r="G1574" i="2"/>
  <c r="G1575" i="2"/>
  <c r="G1576" i="2"/>
  <c r="G1577" i="2"/>
  <c r="G1578" i="2"/>
  <c r="G1579" i="2"/>
  <c r="G1580" i="2"/>
  <c r="G2300" i="2"/>
  <c r="G2301" i="2"/>
  <c r="G2302" i="2"/>
  <c r="G2303" i="2"/>
  <c r="G2304" i="2"/>
  <c r="G1390" i="2"/>
  <c r="G694" i="2"/>
  <c r="G695" i="2"/>
  <c r="G1004" i="2"/>
  <c r="G2305" i="2"/>
  <c r="G2306" i="2"/>
  <c r="G2307" i="2"/>
  <c r="G1223" i="2"/>
  <c r="G1224" i="2"/>
  <c r="G1225" i="2"/>
  <c r="G1667" i="2"/>
  <c r="G1668" i="2"/>
  <c r="G1669" i="2"/>
  <c r="G1670" i="2"/>
  <c r="G1671" i="2"/>
  <c r="G2084" i="2"/>
  <c r="G2085" i="2"/>
  <c r="G2086" i="2"/>
  <c r="G2087" i="2"/>
  <c r="G2088" i="2"/>
  <c r="G2089" i="2"/>
  <c r="G2492" i="2"/>
  <c r="G2493" i="2"/>
  <c r="G2494" i="2"/>
  <c r="G2495" i="2"/>
  <c r="G2496" i="2"/>
  <c r="G2497" i="2"/>
  <c r="G823" i="2"/>
  <c r="G1672" i="2"/>
  <c r="G1705" i="2"/>
  <c r="G2090" i="2"/>
  <c r="G2091" i="2"/>
  <c r="G2137" i="2"/>
  <c r="G2581" i="2"/>
  <c r="G2582" i="2"/>
  <c r="G2583" i="2"/>
  <c r="G2584" i="2"/>
  <c r="G2585" i="2"/>
  <c r="G2586" i="2"/>
  <c r="G2587" i="2"/>
  <c r="G2588" i="2"/>
  <c r="G2589" i="2"/>
  <c r="G20" i="2"/>
  <c r="G22" i="2"/>
  <c r="G26" i="2"/>
  <c r="G27" i="2"/>
  <c r="G23" i="2"/>
  <c r="G14" i="2"/>
  <c r="G19" i="2"/>
  <c r="G28" i="2"/>
  <c r="G24" i="2"/>
  <c r="G21" i="2"/>
  <c r="G25" i="2"/>
  <c r="G2" i="2"/>
  <c r="G3" i="2"/>
  <c r="G15" i="2"/>
  <c r="G16" i="2"/>
  <c r="G17" i="2"/>
  <c r="G18" i="2"/>
  <c r="G663" i="2"/>
  <c r="G1226" i="2"/>
  <c r="G887" i="2"/>
  <c r="G888" i="2"/>
  <c r="G954" i="2"/>
  <c r="G955" i="2"/>
  <c r="G1227" i="2"/>
  <c r="G1457" i="2"/>
  <c r="G2308" i="2"/>
  <c r="G2498" i="2"/>
  <c r="G698" i="2"/>
  <c r="G710" i="2"/>
  <c r="G726" i="2"/>
  <c r="G870" i="2"/>
  <c r="G871" i="2"/>
  <c r="G889" i="2"/>
  <c r="G1228" i="2"/>
  <c r="G1884" i="2"/>
  <c r="G1885" i="2"/>
  <c r="G1886" i="2"/>
  <c r="G1887" i="2"/>
  <c r="G1888" i="2"/>
  <c r="G1889" i="2"/>
  <c r="G1890" i="2"/>
  <c r="G1891" i="2"/>
  <c r="G728" i="2"/>
  <c r="G890" i="2"/>
  <c r="G891" i="2"/>
  <c r="G1673" i="2"/>
  <c r="G2590" i="2"/>
  <c r="G682" i="2"/>
  <c r="G686" i="2"/>
  <c r="G689" i="2"/>
  <c r="G713" i="2"/>
  <c r="G723" i="2"/>
  <c r="G730" i="2"/>
  <c r="G732" i="2"/>
  <c r="G733" i="2"/>
  <c r="G734" i="2"/>
  <c r="G735" i="2"/>
  <c r="G736" i="2"/>
  <c r="G737" i="2"/>
  <c r="G751" i="2"/>
  <c r="G752" i="2"/>
  <c r="G753" i="2"/>
  <c r="G754" i="2"/>
  <c r="G755" i="2"/>
  <c r="G756" i="2"/>
  <c r="G757" i="2"/>
  <c r="G769" i="2"/>
  <c r="G843" i="2"/>
  <c r="G844" i="2"/>
  <c r="G845" i="2"/>
  <c r="G846" i="2"/>
  <c r="G847" i="2"/>
  <c r="G1005" i="2"/>
  <c r="G1006" i="2"/>
  <c r="G1007" i="2"/>
  <c r="G1114" i="2"/>
  <c r="G1115" i="2"/>
  <c r="G1116" i="2"/>
  <c r="G1117" i="2"/>
  <c r="G1118" i="2"/>
  <c r="G1119" i="2"/>
  <c r="G1120" i="2"/>
  <c r="G1121" i="2"/>
  <c r="G1523" i="2"/>
  <c r="G1524" i="2"/>
  <c r="G1525" i="2"/>
  <c r="G1526" i="2"/>
  <c r="G1798" i="2"/>
  <c r="G1799" i="2"/>
  <c r="G2173" i="2"/>
  <c r="G2309" i="2"/>
  <c r="G2310" i="2"/>
  <c r="G2311" i="2"/>
  <c r="G2312" i="2"/>
  <c r="G2313" i="2"/>
  <c r="G2499" i="2"/>
  <c r="G1229" i="2"/>
  <c r="G1230" i="2"/>
  <c r="G1892" i="2"/>
  <c r="G1893" i="2"/>
  <c r="G758" i="2"/>
  <c r="G770" i="2"/>
  <c r="G956" i="2"/>
  <c r="G957" i="2"/>
  <c r="G958" i="2"/>
  <c r="G959" i="2"/>
  <c r="G960" i="2"/>
  <c r="G961" i="2"/>
  <c r="G962" i="2"/>
  <c r="G963" i="2"/>
  <c r="G964" i="2"/>
  <c r="G2500" i="2"/>
  <c r="G2501" i="2"/>
  <c r="G2591" i="2"/>
  <c r="G2592" i="2"/>
  <c r="G2593" i="2"/>
  <c r="G2594" i="2"/>
  <c r="G848" i="2"/>
  <c r="G1177" i="2"/>
  <c r="G1178" i="2"/>
  <c r="G1674" i="2"/>
  <c r="G2502" i="2"/>
  <c r="G765" i="2"/>
  <c r="G766" i="2"/>
  <c r="G892" i="2"/>
  <c r="G893" i="2"/>
  <c r="G1179" i="2"/>
  <c r="G1180" i="2"/>
  <c r="G1675" i="2"/>
  <c r="G1706" i="2"/>
  <c r="G2503" i="2"/>
  <c r="G715" i="2"/>
  <c r="G738" i="2"/>
  <c r="G739" i="2"/>
  <c r="G740" i="2"/>
  <c r="G965" i="2"/>
  <c r="G966" i="2"/>
  <c r="G967" i="2"/>
  <c r="G968" i="2"/>
  <c r="G969" i="2"/>
  <c r="G970" i="2"/>
  <c r="G1391" i="2"/>
  <c r="G1458" i="2"/>
  <c r="G1459" i="2"/>
  <c r="G2314" i="2"/>
  <c r="G2315" i="2"/>
  <c r="G2316" i="2"/>
  <c r="G2317" i="2"/>
  <c r="H470" i="2"/>
  <c r="H471" i="2"/>
  <c r="H1181" i="2"/>
  <c r="H2318" i="2"/>
  <c r="H220" i="2"/>
  <c r="H308" i="2"/>
  <c r="H309" i="2"/>
  <c r="H311" i="2"/>
  <c r="H312" i="2"/>
  <c r="H472" i="2"/>
  <c r="H680" i="2"/>
  <c r="H683" i="2"/>
  <c r="H684" i="2"/>
  <c r="H687" i="2"/>
  <c r="H697" i="2"/>
  <c r="H771" i="2"/>
  <c r="H772" i="2"/>
  <c r="H777" i="2"/>
  <c r="H778" i="2"/>
  <c r="H799" i="2"/>
  <c r="H872" i="2"/>
  <c r="H873" i="2"/>
  <c r="H874" i="2"/>
  <c r="H875" i="2"/>
  <c r="H894" i="2"/>
  <c r="H895" i="2"/>
  <c r="H896" i="2"/>
  <c r="H897" i="2"/>
  <c r="H898" i="2"/>
  <c r="H971" i="2"/>
  <c r="H972" i="2"/>
  <c r="H973" i="2"/>
  <c r="H974" i="2"/>
  <c r="H1008" i="2"/>
  <c r="H1009" i="2"/>
  <c r="H1010" i="2"/>
  <c r="H1011" i="2"/>
  <c r="H1029" i="2"/>
  <c r="H1030" i="2"/>
  <c r="H1031" i="2"/>
  <c r="H1032" i="2"/>
  <c r="H1033" i="2"/>
  <c r="H1034" i="2"/>
  <c r="H1056" i="2"/>
  <c r="H1057" i="2"/>
  <c r="H1058" i="2"/>
  <c r="H1059" i="2"/>
  <c r="H1060" i="2"/>
  <c r="H1061" i="2"/>
  <c r="H1062" i="2"/>
  <c r="H1072" i="2"/>
  <c r="H1073" i="2"/>
  <c r="H1074" i="2"/>
  <c r="H1075" i="2"/>
  <c r="H1076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63" i="2"/>
  <c r="H1164" i="2"/>
  <c r="H1182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92" i="2"/>
  <c r="H1393" i="2"/>
  <c r="H1394" i="2"/>
  <c r="H1395" i="2"/>
  <c r="H1407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38" i="2"/>
  <c r="H2139" i="2"/>
  <c r="H2140" i="2"/>
  <c r="H2141" i="2"/>
  <c r="H2142" i="2"/>
  <c r="H2143" i="2"/>
  <c r="H2144" i="2"/>
  <c r="H2145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193" i="2"/>
  <c r="H194" i="2"/>
  <c r="H195" i="2"/>
  <c r="H196" i="2"/>
  <c r="H198" i="2"/>
  <c r="H211" i="2"/>
  <c r="H227" i="2"/>
  <c r="H236" i="2"/>
  <c r="H237" i="2"/>
  <c r="H248" i="2"/>
  <c r="H249" i="2"/>
  <c r="H250" i="2"/>
  <c r="H251" i="2"/>
  <c r="H260" i="2"/>
  <c r="H261" i="2"/>
  <c r="H262" i="2"/>
  <c r="H266" i="2"/>
  <c r="H269" i="2"/>
  <c r="H275" i="2"/>
  <c r="H276" i="2"/>
  <c r="H290" i="2"/>
  <c r="H291" i="2"/>
  <c r="H293" i="2"/>
  <c r="H302" i="2"/>
  <c r="H314" i="2"/>
  <c r="H315" i="2"/>
  <c r="H317" i="2"/>
  <c r="H327" i="2"/>
  <c r="H328" i="2"/>
  <c r="H333" i="2"/>
  <c r="H334" i="2"/>
  <c r="H335" i="2"/>
  <c r="H340" i="2"/>
  <c r="H341" i="2"/>
  <c r="H354" i="2"/>
  <c r="H357" i="2"/>
  <c r="H364" i="2"/>
  <c r="H367" i="2"/>
  <c r="H369" i="2"/>
  <c r="H376" i="2"/>
  <c r="H379" i="2"/>
  <c r="H381" i="2"/>
  <c r="H388" i="2"/>
  <c r="H393" i="2"/>
  <c r="H400" i="2"/>
  <c r="H403" i="2"/>
  <c r="H404" i="2"/>
  <c r="H412" i="2"/>
  <c r="H417" i="2"/>
  <c r="H418" i="2"/>
  <c r="H425" i="2"/>
  <c r="H426" i="2"/>
  <c r="H428" i="2"/>
  <c r="H431" i="2"/>
  <c r="H433" i="2"/>
  <c r="H434" i="2"/>
  <c r="H436" i="2"/>
  <c r="H442" i="2"/>
  <c r="H443" i="2"/>
  <c r="H444" i="2"/>
  <c r="H446" i="2"/>
  <c r="H459" i="2"/>
  <c r="H460" i="2"/>
  <c r="H467" i="2"/>
  <c r="H473" i="2"/>
  <c r="H492" i="2"/>
  <c r="H506" i="2"/>
  <c r="H507" i="2"/>
  <c r="H513" i="2"/>
  <c r="H518" i="2"/>
  <c r="H522" i="2"/>
  <c r="H523" i="2"/>
  <c r="H534" i="2"/>
  <c r="H535" i="2"/>
  <c r="H538" i="2"/>
  <c r="H539" i="2"/>
  <c r="H540" i="2"/>
  <c r="H541" i="2"/>
  <c r="H550" i="2"/>
  <c r="H551" i="2"/>
  <c r="H561" i="2"/>
  <c r="H570" i="2"/>
  <c r="H580" i="2"/>
  <c r="H581" i="2"/>
  <c r="H582" i="2"/>
  <c r="H590" i="2"/>
  <c r="H591" i="2"/>
  <c r="H592" i="2"/>
  <c r="H602" i="2"/>
  <c r="H612" i="2"/>
  <c r="H619" i="2"/>
  <c r="H622" i="2"/>
  <c r="H624" i="2"/>
  <c r="H912" i="2"/>
  <c r="H1140" i="2"/>
  <c r="H1141" i="2"/>
  <c r="H1165" i="2"/>
  <c r="H1243" i="2"/>
  <c r="H1244" i="2"/>
  <c r="H1245" i="2"/>
  <c r="H1347" i="2"/>
  <c r="H1348" i="2"/>
  <c r="H1396" i="2"/>
  <c r="H1408" i="2"/>
  <c r="H1409" i="2"/>
  <c r="H1410" i="2"/>
  <c r="H1411" i="2"/>
  <c r="H1412" i="2"/>
  <c r="H1413" i="2"/>
  <c r="H1414" i="2"/>
  <c r="H1415" i="2"/>
  <c r="H1416" i="2"/>
  <c r="H1474" i="2"/>
  <c r="H1542" i="2"/>
  <c r="H1543" i="2"/>
  <c r="H1594" i="2"/>
  <c r="H1635" i="2"/>
  <c r="H1636" i="2"/>
  <c r="H1692" i="2"/>
  <c r="H1693" i="2"/>
  <c r="H1694" i="2"/>
  <c r="H1729" i="2"/>
  <c r="H1730" i="2"/>
  <c r="H1731" i="2"/>
  <c r="H1732" i="2"/>
  <c r="H1733" i="2"/>
  <c r="H1734" i="2"/>
  <c r="H1735" i="2"/>
  <c r="H1736" i="2"/>
  <c r="H1821" i="2"/>
  <c r="H1822" i="2"/>
  <c r="H1823" i="2"/>
  <c r="H1824" i="2"/>
  <c r="H1825" i="2"/>
  <c r="H1929" i="2"/>
  <c r="H1930" i="2"/>
  <c r="H1931" i="2"/>
  <c r="H1932" i="2"/>
  <c r="H1933" i="2"/>
  <c r="H1934" i="2"/>
  <c r="H1935" i="2"/>
  <c r="H1936" i="2"/>
  <c r="H1937" i="2"/>
  <c r="H1938" i="2"/>
  <c r="H1939" i="2"/>
  <c r="H2104" i="2"/>
  <c r="H2105" i="2"/>
  <c r="H2106" i="2"/>
  <c r="H2107" i="2"/>
  <c r="H2108" i="2"/>
  <c r="H2109" i="2"/>
  <c r="H2146" i="2"/>
  <c r="H2147" i="2"/>
  <c r="H2148" i="2"/>
  <c r="H2205" i="2"/>
  <c r="H2206" i="2"/>
  <c r="H2207" i="2"/>
  <c r="H2208" i="2"/>
  <c r="H2209" i="2"/>
  <c r="H2210" i="2"/>
  <c r="H2211" i="2"/>
  <c r="H2212" i="2"/>
  <c r="H2265" i="2"/>
  <c r="H2266" i="2"/>
  <c r="H2267" i="2"/>
  <c r="H2268" i="2"/>
  <c r="H2269" i="2"/>
  <c r="H2270" i="2"/>
  <c r="H2271" i="2"/>
  <c r="H2336" i="2"/>
  <c r="H2337" i="2"/>
  <c r="H2430" i="2"/>
  <c r="H2431" i="2"/>
  <c r="H2432" i="2"/>
  <c r="H2433" i="2"/>
  <c r="H2434" i="2"/>
  <c r="H2435" i="2"/>
  <c r="H2528" i="2"/>
  <c r="H2529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21" i="2"/>
  <c r="H387" i="2"/>
  <c r="H648" i="2"/>
  <c r="H649" i="2"/>
  <c r="H653" i="2"/>
  <c r="H654" i="2"/>
  <c r="H658" i="2"/>
  <c r="H659" i="2"/>
  <c r="H716" i="2"/>
  <c r="H731" i="2"/>
  <c r="H779" i="2"/>
  <c r="H829" i="2"/>
  <c r="H913" i="2"/>
  <c r="H914" i="2"/>
  <c r="H915" i="2"/>
  <c r="H916" i="2"/>
  <c r="H917" i="2"/>
  <c r="H918" i="2"/>
  <c r="H919" i="2"/>
  <c r="H1012" i="2"/>
  <c r="H1013" i="2"/>
  <c r="H1014" i="2"/>
  <c r="H1015" i="2"/>
  <c r="H1016" i="2"/>
  <c r="H1017" i="2"/>
  <c r="H1018" i="2"/>
  <c r="H1019" i="2"/>
  <c r="H1020" i="2"/>
  <c r="H1063" i="2"/>
  <c r="H1064" i="2"/>
  <c r="H1246" i="2"/>
  <c r="H1247" i="2"/>
  <c r="H1248" i="2"/>
  <c r="H1249" i="2"/>
  <c r="H1250" i="2"/>
  <c r="H1251" i="2"/>
  <c r="H1252" i="2"/>
  <c r="H1253" i="2"/>
  <c r="H1254" i="2"/>
  <c r="H1349" i="2"/>
  <c r="H1350" i="2"/>
  <c r="H1351" i="2"/>
  <c r="H1352" i="2"/>
  <c r="H1353" i="2"/>
  <c r="H1354" i="2"/>
  <c r="H1355" i="2"/>
  <c r="H1356" i="2"/>
  <c r="H1357" i="2"/>
  <c r="H1358" i="2"/>
  <c r="H1637" i="2"/>
  <c r="H1638" i="2"/>
  <c r="H1826" i="2"/>
  <c r="H1827" i="2"/>
  <c r="H1828" i="2"/>
  <c r="H1829" i="2"/>
  <c r="H1830" i="2"/>
  <c r="H1831" i="2"/>
  <c r="H1832" i="2"/>
  <c r="H1833" i="2"/>
  <c r="H1940" i="2"/>
  <c r="H1941" i="2"/>
  <c r="H1942" i="2"/>
  <c r="H1943" i="2"/>
  <c r="H1944" i="2"/>
  <c r="H1945" i="2"/>
  <c r="H1946" i="2"/>
  <c r="H1947" i="2"/>
  <c r="H1948" i="2"/>
  <c r="H2028" i="2"/>
  <c r="H2029" i="2"/>
  <c r="H2030" i="2"/>
  <c r="H2031" i="2"/>
  <c r="H2032" i="2"/>
  <c r="H2033" i="2"/>
  <c r="H2034" i="2"/>
  <c r="H2035" i="2"/>
  <c r="H2036" i="2"/>
  <c r="H203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39" i="2"/>
  <c r="H40" i="2"/>
  <c r="H46" i="2"/>
  <c r="H47" i="2"/>
  <c r="H48" i="2"/>
  <c r="H49" i="2"/>
  <c r="H55" i="2"/>
  <c r="H56" i="2"/>
  <c r="H57" i="2"/>
  <c r="H58" i="2"/>
  <c r="H66" i="2"/>
  <c r="H67" i="2"/>
  <c r="H68" i="2"/>
  <c r="H69" i="2"/>
  <c r="H70" i="2"/>
  <c r="H72" i="2"/>
  <c r="H78" i="2"/>
  <c r="H79" i="2"/>
  <c r="H80" i="2"/>
  <c r="H81" i="2"/>
  <c r="H93" i="2"/>
  <c r="H94" i="2"/>
  <c r="H95" i="2"/>
  <c r="H96" i="2"/>
  <c r="H97" i="2"/>
  <c r="H106" i="2"/>
  <c r="H107" i="2"/>
  <c r="H108" i="2"/>
  <c r="H109" i="2"/>
  <c r="H123" i="2"/>
  <c r="H124" i="2"/>
  <c r="H125" i="2"/>
  <c r="H132" i="2"/>
  <c r="H133" i="2"/>
  <c r="H134" i="2"/>
  <c r="H135" i="2"/>
  <c r="H136" i="2"/>
  <c r="H148" i="2"/>
  <c r="H149" i="2"/>
  <c r="H150" i="2"/>
  <c r="H151" i="2"/>
  <c r="H160" i="2"/>
  <c r="H161" i="2"/>
  <c r="H162" i="2"/>
  <c r="H163" i="2"/>
  <c r="H175" i="2"/>
  <c r="H176" i="2"/>
  <c r="H177" i="2"/>
  <c r="H178" i="2"/>
  <c r="H180" i="2"/>
  <c r="H181" i="2"/>
  <c r="H182" i="2"/>
  <c r="H188" i="2"/>
  <c r="H189" i="2"/>
  <c r="H190" i="2"/>
  <c r="H192" i="2"/>
  <c r="H207" i="2"/>
  <c r="H208" i="2"/>
  <c r="H209" i="2"/>
  <c r="H210" i="2"/>
  <c r="H215" i="2"/>
  <c r="H216" i="2"/>
  <c r="H217" i="2"/>
  <c r="H218" i="2"/>
  <c r="H228" i="2"/>
  <c r="H229" i="2"/>
  <c r="H230" i="2"/>
  <c r="H231" i="2"/>
  <c r="H234" i="2"/>
  <c r="H238" i="2"/>
  <c r="H239" i="2"/>
  <c r="H240" i="2"/>
  <c r="H241" i="2"/>
  <c r="H242" i="2"/>
  <c r="H252" i="2"/>
  <c r="H253" i="2"/>
  <c r="H254" i="2"/>
  <c r="H255" i="2"/>
  <c r="H256" i="2"/>
  <c r="H257" i="2"/>
  <c r="H258" i="2"/>
  <c r="H259" i="2"/>
  <c r="H270" i="2"/>
  <c r="H271" i="2"/>
  <c r="H272" i="2"/>
  <c r="H273" i="2"/>
  <c r="H282" i="2"/>
  <c r="H283" i="2"/>
  <c r="H284" i="2"/>
  <c r="H285" i="2"/>
  <c r="H286" i="2"/>
  <c r="H295" i="2"/>
  <c r="H296" i="2"/>
  <c r="H297" i="2"/>
  <c r="H298" i="2"/>
  <c r="H304" i="2"/>
  <c r="H305" i="2"/>
  <c r="H306" i="2"/>
  <c r="H307" i="2"/>
  <c r="H318" i="2"/>
  <c r="H319" i="2"/>
  <c r="H320" i="2"/>
  <c r="H321" i="2"/>
  <c r="H322" i="2"/>
  <c r="H323" i="2"/>
  <c r="H324" i="2"/>
  <c r="H330" i="2"/>
  <c r="H331" i="2"/>
  <c r="H332" i="2"/>
  <c r="H342" i="2"/>
  <c r="H343" i="2"/>
  <c r="H344" i="2"/>
  <c r="H345" i="2"/>
  <c r="H346" i="2"/>
  <c r="H347" i="2"/>
  <c r="H358" i="2"/>
  <c r="H359" i="2"/>
  <c r="H360" i="2"/>
  <c r="H361" i="2"/>
  <c r="H362" i="2"/>
  <c r="H363" i="2"/>
  <c r="H370" i="2"/>
  <c r="H371" i="2"/>
  <c r="H372" i="2"/>
  <c r="H373" i="2"/>
  <c r="H374" i="2"/>
  <c r="H375" i="2"/>
  <c r="H382" i="2"/>
  <c r="H383" i="2"/>
  <c r="H384" i="2"/>
  <c r="H385" i="2"/>
  <c r="H386" i="2"/>
  <c r="H394" i="2"/>
  <c r="H395" i="2"/>
  <c r="H396" i="2"/>
  <c r="H397" i="2"/>
  <c r="H398" i="2"/>
  <c r="H399" i="2"/>
  <c r="H405" i="2"/>
  <c r="H406" i="2"/>
  <c r="H407" i="2"/>
  <c r="H408" i="2"/>
  <c r="H409" i="2"/>
  <c r="H410" i="2"/>
  <c r="H411" i="2"/>
  <c r="H419" i="2"/>
  <c r="H420" i="2"/>
  <c r="H421" i="2"/>
  <c r="H422" i="2"/>
  <c r="H423" i="2"/>
  <c r="H424" i="2"/>
  <c r="H427" i="2"/>
  <c r="H429" i="2"/>
  <c r="H437" i="2"/>
  <c r="H438" i="2"/>
  <c r="H439" i="2"/>
  <c r="H440" i="2"/>
  <c r="H441" i="2"/>
  <c r="H447" i="2"/>
  <c r="H448" i="2"/>
  <c r="H449" i="2"/>
  <c r="H450" i="2"/>
  <c r="H451" i="2"/>
  <c r="H452" i="2"/>
  <c r="H453" i="2"/>
  <c r="H457" i="2"/>
  <c r="H461" i="2"/>
  <c r="H462" i="2"/>
  <c r="H463" i="2"/>
  <c r="H464" i="2"/>
  <c r="H465" i="2"/>
  <c r="H482" i="2"/>
  <c r="H483" i="2"/>
  <c r="H484" i="2"/>
  <c r="H485" i="2"/>
  <c r="H486" i="2"/>
  <c r="H493" i="2"/>
  <c r="H494" i="2"/>
  <c r="H495" i="2"/>
  <c r="H496" i="2"/>
  <c r="H500" i="2"/>
  <c r="H508" i="2"/>
  <c r="H509" i="2"/>
  <c r="H510" i="2"/>
  <c r="H511" i="2"/>
  <c r="H512" i="2"/>
  <c r="H524" i="2"/>
  <c r="H525" i="2"/>
  <c r="H526" i="2"/>
  <c r="H527" i="2"/>
  <c r="H528" i="2"/>
  <c r="H529" i="2"/>
  <c r="H530" i="2"/>
  <c r="H531" i="2"/>
  <c r="H532" i="2"/>
  <c r="H536" i="2"/>
  <c r="H542" i="2"/>
  <c r="H543" i="2"/>
  <c r="H544" i="2"/>
  <c r="H545" i="2"/>
  <c r="H554" i="2"/>
  <c r="H555" i="2"/>
  <c r="H556" i="2"/>
  <c r="H557" i="2"/>
  <c r="H558" i="2"/>
  <c r="H560" i="2"/>
  <c r="H571" i="2"/>
  <c r="H572" i="2"/>
  <c r="H573" i="2"/>
  <c r="H574" i="2"/>
  <c r="H575" i="2"/>
  <c r="H576" i="2"/>
  <c r="H577" i="2"/>
  <c r="H583" i="2"/>
  <c r="H584" i="2"/>
  <c r="H585" i="2"/>
  <c r="H586" i="2"/>
  <c r="H587" i="2"/>
  <c r="H588" i="2"/>
  <c r="H589" i="2"/>
  <c r="H596" i="2"/>
  <c r="H603" i="2"/>
  <c r="H604" i="2"/>
  <c r="H605" i="2"/>
  <c r="H606" i="2"/>
  <c r="H607" i="2"/>
  <c r="H613" i="2"/>
  <c r="H614" i="2"/>
  <c r="H615" i="2"/>
  <c r="H616" i="2"/>
  <c r="H617" i="2"/>
  <c r="H625" i="2"/>
  <c r="H626" i="2"/>
  <c r="H627" i="2"/>
  <c r="H630" i="2"/>
  <c r="H631" i="2"/>
  <c r="H632" i="2"/>
  <c r="H633" i="2"/>
  <c r="H642" i="2"/>
  <c r="H643" i="2"/>
  <c r="H645" i="2"/>
  <c r="H646" i="2"/>
  <c r="H1639" i="2"/>
  <c r="H111" i="2"/>
  <c r="H127" i="2"/>
  <c r="H2338" i="2"/>
  <c r="H2339" i="2"/>
  <c r="H668" i="2"/>
  <c r="H759" i="2"/>
  <c r="H849" i="2"/>
  <c r="H850" i="2"/>
  <c r="H851" i="2"/>
  <c r="H1077" i="2"/>
  <c r="H1142" i="2"/>
  <c r="H1143" i="2"/>
  <c r="H1144" i="2"/>
  <c r="H1145" i="2"/>
  <c r="H1397" i="2"/>
  <c r="H1595" i="2"/>
  <c r="H1596" i="2"/>
  <c r="H1597" i="2"/>
  <c r="H1598" i="2"/>
  <c r="H1599" i="2"/>
  <c r="H1600" i="2"/>
  <c r="H1695" i="2"/>
  <c r="H2340" i="2"/>
  <c r="H2341" i="2"/>
  <c r="H2342" i="2"/>
  <c r="H2343" i="2"/>
  <c r="H2344" i="2"/>
  <c r="H2345" i="2"/>
  <c r="H2346" i="2"/>
  <c r="H2347" i="2"/>
  <c r="H2348" i="2"/>
  <c r="H2349" i="2"/>
  <c r="H2350" i="2"/>
  <c r="H33" i="2"/>
  <c r="H38" i="2"/>
  <c r="H41" i="2"/>
  <c r="H42" i="2"/>
  <c r="H43" i="2"/>
  <c r="H50" i="2"/>
  <c r="H59" i="2"/>
  <c r="H62" i="2"/>
  <c r="H63" i="2"/>
  <c r="H71" i="2"/>
  <c r="H73" i="2"/>
  <c r="H75" i="2"/>
  <c r="H76" i="2"/>
  <c r="H82" i="2"/>
  <c r="H89" i="2"/>
  <c r="H92" i="2"/>
  <c r="H100" i="2"/>
  <c r="H101" i="2"/>
  <c r="H104" i="2"/>
  <c r="H110" i="2"/>
  <c r="H112" i="2"/>
  <c r="H118" i="2"/>
  <c r="H121" i="2"/>
  <c r="H122" i="2"/>
  <c r="H128" i="2"/>
  <c r="H137" i="2"/>
  <c r="H144" i="2"/>
  <c r="H145" i="2"/>
  <c r="H146" i="2"/>
  <c r="H156" i="2"/>
  <c r="H164" i="2"/>
  <c r="H165" i="2"/>
  <c r="H167" i="2"/>
  <c r="H170" i="2"/>
  <c r="H179" i="2"/>
  <c r="H184" i="2"/>
  <c r="H355" i="2"/>
  <c r="H478" i="2"/>
  <c r="H489" i="2"/>
  <c r="H502" i="2"/>
  <c r="H519" i="2"/>
  <c r="H552" i="2"/>
  <c r="H562" i="2"/>
  <c r="H597" i="2"/>
  <c r="H598" i="2"/>
  <c r="H599" i="2"/>
  <c r="H610" i="2"/>
  <c r="H620" i="2"/>
  <c r="H1601" i="2"/>
  <c r="H2038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530" i="2"/>
  <c r="H2531" i="2"/>
  <c r="H2532" i="2"/>
  <c r="H2533" i="2"/>
  <c r="H2534" i="2"/>
  <c r="H310" i="2"/>
  <c r="H1475" i="2"/>
  <c r="H1476" i="2"/>
  <c r="H1477" i="2"/>
  <c r="H1478" i="2"/>
  <c r="H1544" i="2"/>
  <c r="H1545" i="2"/>
  <c r="H1546" i="2"/>
  <c r="H1547" i="2"/>
  <c r="H2272" i="2"/>
  <c r="H2273" i="2"/>
  <c r="H34" i="2"/>
  <c r="H44" i="2"/>
  <c r="H51" i="2"/>
  <c r="H74" i="2"/>
  <c r="H83" i="2"/>
  <c r="H102" i="2"/>
  <c r="H114" i="2"/>
  <c r="H126" i="2"/>
  <c r="H138" i="2"/>
  <c r="H152" i="2"/>
  <c r="H168" i="2"/>
  <c r="H199" i="2"/>
  <c r="H200" i="2"/>
  <c r="H223" i="2"/>
  <c r="H232" i="2"/>
  <c r="H244" i="2"/>
  <c r="H263" i="2"/>
  <c r="H277" i="2"/>
  <c r="H287" i="2"/>
  <c r="H300" i="2"/>
  <c r="H336" i="2"/>
  <c r="H348" i="2"/>
  <c r="H349" i="2"/>
  <c r="H377" i="2"/>
  <c r="H389" i="2"/>
  <c r="H432" i="2"/>
  <c r="H454" i="2"/>
  <c r="H468" i="2"/>
  <c r="H469" i="2"/>
  <c r="H479" i="2"/>
  <c r="H487" i="2"/>
  <c r="H498" i="2"/>
  <c r="H503" i="2"/>
  <c r="H514" i="2"/>
  <c r="H515" i="2"/>
  <c r="H547" i="2"/>
  <c r="H563" i="2"/>
  <c r="H565" i="2"/>
  <c r="H578" i="2"/>
  <c r="H593" i="2"/>
  <c r="H600" i="2"/>
  <c r="H608" i="2"/>
  <c r="H618" i="2"/>
  <c r="H1078" i="2"/>
  <c r="H1079" i="2"/>
  <c r="H1080" i="2"/>
  <c r="H1479" i="2"/>
  <c r="H1480" i="2"/>
  <c r="H1481" i="2"/>
  <c r="H1482" i="2"/>
  <c r="H2274" i="2"/>
  <c r="H35" i="2"/>
  <c r="H36" i="2"/>
  <c r="H45" i="2"/>
  <c r="H52" i="2"/>
  <c r="H53" i="2"/>
  <c r="H60" i="2"/>
  <c r="H61" i="2"/>
  <c r="H84" i="2"/>
  <c r="H85" i="2"/>
  <c r="H98" i="2"/>
  <c r="H99" i="2"/>
  <c r="H115" i="2"/>
  <c r="H116" i="2"/>
  <c r="H139" i="2"/>
  <c r="H140" i="2"/>
  <c r="H153" i="2"/>
  <c r="H154" i="2"/>
  <c r="H155" i="2"/>
  <c r="H169" i="2"/>
  <c r="H183" i="2"/>
  <c r="H201" i="2"/>
  <c r="H202" i="2"/>
  <c r="H203" i="2"/>
  <c r="H212" i="2"/>
  <c r="H213" i="2"/>
  <c r="H224" i="2"/>
  <c r="H225" i="2"/>
  <c r="H233" i="2"/>
  <c r="H245" i="2"/>
  <c r="H246" i="2"/>
  <c r="H264" i="2"/>
  <c r="H265" i="2"/>
  <c r="H278" i="2"/>
  <c r="H279" i="2"/>
  <c r="H288" i="2"/>
  <c r="H301" i="2"/>
  <c r="H303" i="2"/>
  <c r="H337" i="2"/>
  <c r="H338" i="2"/>
  <c r="H350" i="2"/>
  <c r="H351" i="2"/>
  <c r="H352" i="2"/>
  <c r="H365" i="2"/>
  <c r="H366" i="2"/>
  <c r="H378" i="2"/>
  <c r="H390" i="2"/>
  <c r="H391" i="2"/>
  <c r="H401" i="2"/>
  <c r="H402" i="2"/>
  <c r="H413" i="2"/>
  <c r="H414" i="2"/>
  <c r="H415" i="2"/>
  <c r="H430" i="2"/>
  <c r="H480" i="2"/>
  <c r="H488" i="2"/>
  <c r="H499" i="2"/>
  <c r="H504" i="2"/>
  <c r="H516" i="2"/>
  <c r="H517" i="2"/>
  <c r="H533" i="2"/>
  <c r="H548" i="2"/>
  <c r="H549" i="2"/>
  <c r="H564" i="2"/>
  <c r="H566" i="2"/>
  <c r="H567" i="2"/>
  <c r="H594" i="2"/>
  <c r="H595" i="2"/>
  <c r="H609" i="2"/>
  <c r="H662" i="2"/>
  <c r="H664" i="2"/>
  <c r="H1483" i="2"/>
  <c r="H1484" i="2"/>
  <c r="H2275" i="2"/>
  <c r="H2276" i="2"/>
  <c r="H655" i="2"/>
  <c r="H656" i="2"/>
  <c r="H657" i="2"/>
  <c r="H660" i="2"/>
  <c r="H661" i="2"/>
  <c r="H671" i="2"/>
  <c r="H707" i="2"/>
  <c r="H717" i="2"/>
  <c r="H741" i="2"/>
  <c r="H803" i="2"/>
  <c r="H804" i="2"/>
  <c r="H805" i="2"/>
  <c r="H806" i="2"/>
  <c r="H821" i="2"/>
  <c r="H1035" i="2"/>
  <c r="H1036" i="2"/>
  <c r="H1037" i="2"/>
  <c r="H1038" i="2"/>
  <c r="H1039" i="2"/>
  <c r="H1065" i="2"/>
  <c r="H1066" i="2"/>
  <c r="H1067" i="2"/>
  <c r="H1068" i="2"/>
  <c r="H1069" i="2"/>
  <c r="H1070" i="2"/>
  <c r="H1359" i="2"/>
  <c r="H1360" i="2"/>
  <c r="H1361" i="2"/>
  <c r="H1398" i="2"/>
  <c r="H1399" i="2"/>
  <c r="H1400" i="2"/>
  <c r="H1401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213" i="2"/>
  <c r="H2214" i="2"/>
  <c r="H2722" i="2"/>
  <c r="H2723" i="2"/>
  <c r="H105" i="2"/>
  <c r="H120" i="2"/>
  <c r="H129" i="2"/>
  <c r="H130" i="2"/>
  <c r="H157" i="2"/>
  <c r="H159" i="2"/>
  <c r="H172" i="2"/>
  <c r="H173" i="2"/>
  <c r="H174" i="2"/>
  <c r="H185" i="2"/>
  <c r="H186" i="2"/>
  <c r="H204" i="2"/>
  <c r="H313" i="2"/>
  <c r="H628" i="2"/>
  <c r="H640" i="2"/>
  <c r="H546" i="2"/>
  <c r="H1402" i="2"/>
  <c r="H2535" i="2"/>
  <c r="H672" i="2"/>
  <c r="H681" i="2"/>
  <c r="H685" i="2"/>
  <c r="H688" i="2"/>
  <c r="H920" i="2"/>
  <c r="H1081" i="2"/>
  <c r="H1082" i="2"/>
  <c r="H1083" i="2"/>
  <c r="H1084" i="2"/>
  <c r="H1085" i="2"/>
  <c r="H1086" i="2"/>
  <c r="H1087" i="2"/>
  <c r="H1088" i="2"/>
  <c r="H1255" i="2"/>
  <c r="H1256" i="2"/>
  <c r="H1257" i="2"/>
  <c r="H1258" i="2"/>
  <c r="H1259" i="2"/>
  <c r="H1260" i="2"/>
  <c r="H1261" i="2"/>
  <c r="H1262" i="2"/>
  <c r="H1263" i="2"/>
  <c r="H126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666" i="2"/>
  <c r="H709" i="2"/>
  <c r="H724" i="2"/>
  <c r="H780" i="2"/>
  <c r="H781" i="2"/>
  <c r="H1183" i="2"/>
  <c r="H1184" i="2"/>
  <c r="H2039" i="2"/>
  <c r="H2040" i="2"/>
  <c r="H2041" i="2"/>
  <c r="H2436" i="2"/>
  <c r="H2437" i="2"/>
  <c r="H131" i="2"/>
  <c r="H474" i="2"/>
  <c r="H475" i="2"/>
  <c r="H852" i="2"/>
  <c r="H853" i="2"/>
  <c r="H1602" i="2"/>
  <c r="H1603" i="2"/>
  <c r="H2369" i="2"/>
  <c r="H2370" i="2"/>
  <c r="H2371" i="2"/>
  <c r="H2372" i="2"/>
  <c r="H2373" i="2"/>
  <c r="H37" i="2"/>
  <c r="H54" i="2"/>
  <c r="H64" i="2"/>
  <c r="H77" i="2"/>
  <c r="H86" i="2"/>
  <c r="H90" i="2"/>
  <c r="H91" i="2"/>
  <c r="H103" i="2"/>
  <c r="H119" i="2"/>
  <c r="H147" i="2"/>
  <c r="H158" i="2"/>
  <c r="H171" i="2"/>
  <c r="H187" i="2"/>
  <c r="H191" i="2"/>
  <c r="H205" i="2"/>
  <c r="H206" i="2"/>
  <c r="H214" i="2"/>
  <c r="H226" i="2"/>
  <c r="H235" i="2"/>
  <c r="H267" i="2"/>
  <c r="H280" i="2"/>
  <c r="H292" i="2"/>
  <c r="H294" i="2"/>
  <c r="H316" i="2"/>
  <c r="H329" i="2"/>
  <c r="H339" i="2"/>
  <c r="H353" i="2"/>
  <c r="H356" i="2"/>
  <c r="H368" i="2"/>
  <c r="H380" i="2"/>
  <c r="H392" i="2"/>
  <c r="H416" i="2"/>
  <c r="H435" i="2"/>
  <c r="H445" i="2"/>
  <c r="H458" i="2"/>
  <c r="H466" i="2"/>
  <c r="H476" i="2"/>
  <c r="H477" i="2"/>
  <c r="H481" i="2"/>
  <c r="H490" i="2"/>
  <c r="H491" i="2"/>
  <c r="H501" i="2"/>
  <c r="H505" i="2"/>
  <c r="H520" i="2"/>
  <c r="H521" i="2"/>
  <c r="H553" i="2"/>
  <c r="H568" i="2"/>
  <c r="H569" i="2"/>
  <c r="H579" i="2"/>
  <c r="H601" i="2"/>
  <c r="H611" i="2"/>
  <c r="H621" i="2"/>
  <c r="H623" i="2"/>
  <c r="H629" i="2"/>
  <c r="H1604" i="2"/>
  <c r="H2042" i="2"/>
  <c r="H2128" i="2"/>
  <c r="H2277" i="2"/>
  <c r="H2278" i="2"/>
  <c r="H2374" i="2"/>
  <c r="H2375" i="2"/>
  <c r="H2376" i="2"/>
  <c r="H2377" i="2"/>
  <c r="H2378" i="2"/>
  <c r="H2379" i="2"/>
  <c r="H2380" i="2"/>
  <c r="H2381" i="2"/>
  <c r="H2382" i="2"/>
  <c r="H2536" i="2"/>
  <c r="H2537" i="2"/>
  <c r="H2538" i="2"/>
  <c r="H2539" i="2"/>
  <c r="H2540" i="2"/>
  <c r="H854" i="2"/>
  <c r="H1949" i="2"/>
  <c r="H1950" i="2"/>
  <c r="H2777" i="2"/>
  <c r="H4" i="2"/>
  <c r="H5" i="2"/>
  <c r="H32" i="2"/>
  <c r="H9" i="2"/>
  <c r="H10" i="2"/>
  <c r="H11" i="2"/>
  <c r="H12" i="2"/>
  <c r="H6" i="2"/>
  <c r="H7" i="2"/>
  <c r="H652" i="2"/>
  <c r="H691" i="2"/>
  <c r="H692" i="2"/>
  <c r="H693" i="2"/>
  <c r="H782" i="2"/>
  <c r="H783" i="2"/>
  <c r="H784" i="2"/>
  <c r="H785" i="2"/>
  <c r="H855" i="2"/>
  <c r="H921" i="2"/>
  <c r="H975" i="2"/>
  <c r="H976" i="2"/>
  <c r="H1146" i="2"/>
  <c r="H1147" i="2"/>
  <c r="H1148" i="2"/>
  <c r="H1149" i="2"/>
  <c r="H1150" i="2"/>
  <c r="H1151" i="2"/>
  <c r="H1152" i="2"/>
  <c r="H1153" i="2"/>
  <c r="H1154" i="2"/>
  <c r="H1166" i="2"/>
  <c r="H1167" i="2"/>
  <c r="H1168" i="2"/>
  <c r="H1362" i="2"/>
  <c r="H1363" i="2"/>
  <c r="H1364" i="2"/>
  <c r="H1365" i="2"/>
  <c r="H1366" i="2"/>
  <c r="H1367" i="2"/>
  <c r="H1368" i="2"/>
  <c r="H1369" i="2"/>
  <c r="H1503" i="2"/>
  <c r="H1504" i="2"/>
  <c r="H1505" i="2"/>
  <c r="H1506" i="2"/>
  <c r="H1507" i="2"/>
  <c r="H1548" i="2"/>
  <c r="H1549" i="2"/>
  <c r="H1550" i="2"/>
  <c r="H1551" i="2"/>
  <c r="H1552" i="2"/>
  <c r="H1553" i="2"/>
  <c r="H1554" i="2"/>
  <c r="H1555" i="2"/>
  <c r="H1556" i="2"/>
  <c r="H1557" i="2"/>
  <c r="H1558" i="2"/>
  <c r="H1605" i="2"/>
  <c r="H1606" i="2"/>
  <c r="H1607" i="2"/>
  <c r="H1757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951" i="2"/>
  <c r="H1952" i="2"/>
  <c r="H1953" i="2"/>
  <c r="H2232" i="2"/>
  <c r="H2233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541" i="2"/>
  <c r="H2778" i="2"/>
  <c r="H718" i="2"/>
  <c r="H719" i="2"/>
  <c r="H720" i="2"/>
  <c r="H727" i="2"/>
  <c r="H856" i="2"/>
  <c r="H977" i="2"/>
  <c r="H978" i="2"/>
  <c r="H1265" i="2"/>
  <c r="H1508" i="2"/>
  <c r="H1608" i="2"/>
  <c r="H1696" i="2"/>
  <c r="H2043" i="2"/>
  <c r="H2044" i="2"/>
  <c r="H2045" i="2"/>
  <c r="H2046" i="2"/>
  <c r="H2234" i="2"/>
  <c r="H2235" i="2"/>
  <c r="H2236" i="2"/>
  <c r="H2383" i="2"/>
  <c r="H2384" i="2"/>
  <c r="H2438" i="2"/>
  <c r="H2542" i="2"/>
  <c r="H2543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773" i="2"/>
  <c r="H824" i="2"/>
  <c r="H825" i="2"/>
  <c r="H826" i="2"/>
  <c r="H922" i="2"/>
  <c r="H923" i="2"/>
  <c r="H924" i="2"/>
  <c r="H925" i="2"/>
  <c r="H926" i="2"/>
  <c r="H927" i="2"/>
  <c r="H928" i="2"/>
  <c r="H1071" i="2"/>
  <c r="H1089" i="2"/>
  <c r="H1090" i="2"/>
  <c r="H1091" i="2"/>
  <c r="H1092" i="2"/>
  <c r="H1093" i="2"/>
  <c r="H1094" i="2"/>
  <c r="H1370" i="2"/>
  <c r="H1371" i="2"/>
  <c r="H1372" i="2"/>
  <c r="H1373" i="2"/>
  <c r="H1374" i="2"/>
  <c r="H1375" i="2"/>
  <c r="H1376" i="2"/>
  <c r="H1377" i="2"/>
  <c r="H1378" i="2"/>
  <c r="H1379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758" i="2"/>
  <c r="H1759" i="2"/>
  <c r="H1760" i="2"/>
  <c r="H1761" i="2"/>
  <c r="H1762" i="2"/>
  <c r="H1763" i="2"/>
  <c r="H1764" i="2"/>
  <c r="H1765" i="2"/>
  <c r="H1766" i="2"/>
  <c r="H1767" i="2"/>
  <c r="H1768" i="2"/>
  <c r="H2047" i="2"/>
  <c r="H2149" i="2"/>
  <c r="H2150" i="2"/>
  <c r="H2151" i="2"/>
  <c r="H2152" i="2"/>
  <c r="H2153" i="2"/>
  <c r="H2154" i="2"/>
  <c r="H2155" i="2"/>
  <c r="H2156" i="2"/>
  <c r="H2157" i="2"/>
  <c r="H2158" i="2"/>
  <c r="H2159" i="2"/>
  <c r="H2237" i="2"/>
  <c r="H2238" i="2"/>
  <c r="H2239" i="2"/>
  <c r="H238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638" i="2"/>
  <c r="H639" i="2"/>
  <c r="H641" i="2"/>
  <c r="H711" i="2"/>
  <c r="H1040" i="2"/>
  <c r="H1095" i="2"/>
  <c r="H1096" i="2"/>
  <c r="H1640" i="2"/>
  <c r="H1641" i="2"/>
  <c r="H2048" i="2"/>
  <c r="H2049" i="2"/>
  <c r="H2050" i="2"/>
  <c r="H2051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544" i="2"/>
  <c r="H2545" i="2"/>
  <c r="H2546" i="2"/>
  <c r="H2547" i="2"/>
  <c r="H2548" i="2"/>
  <c r="H2549" i="2"/>
  <c r="H2550" i="2"/>
  <c r="H669" i="2"/>
  <c r="H743" i="2"/>
  <c r="H744" i="2"/>
  <c r="H830" i="2"/>
  <c r="H831" i="2"/>
  <c r="H832" i="2"/>
  <c r="H833" i="2"/>
  <c r="H1097" i="2"/>
  <c r="H1098" i="2"/>
  <c r="H1099" i="2"/>
  <c r="H1100" i="2"/>
  <c r="H1101" i="2"/>
  <c r="H1509" i="2"/>
  <c r="H1510" i="2"/>
  <c r="H1511" i="2"/>
  <c r="H1512" i="2"/>
  <c r="H1513" i="2"/>
  <c r="H2160" i="2"/>
  <c r="H2161" i="2"/>
  <c r="H2162" i="2"/>
  <c r="H219" i="2"/>
  <c r="H703" i="2"/>
  <c r="H822" i="2"/>
  <c r="H857" i="2"/>
  <c r="H876" i="2"/>
  <c r="H1185" i="2"/>
  <c r="H1186" i="2"/>
  <c r="H1187" i="2"/>
  <c r="H1188" i="2"/>
  <c r="H1189" i="2"/>
  <c r="H1380" i="2"/>
  <c r="H1381" i="2"/>
  <c r="H1382" i="2"/>
  <c r="H1642" i="2"/>
  <c r="H1643" i="2"/>
  <c r="H1644" i="2"/>
  <c r="H1645" i="2"/>
  <c r="H1646" i="2"/>
  <c r="H1647" i="2"/>
  <c r="H2052" i="2"/>
  <c r="H2053" i="2"/>
  <c r="H2054" i="2"/>
  <c r="H2055" i="2"/>
  <c r="H1383" i="2"/>
  <c r="H1559" i="2"/>
  <c r="H1560" i="2"/>
  <c r="H1954" i="2"/>
  <c r="H1955" i="2"/>
  <c r="H1956" i="2"/>
  <c r="H1957" i="2"/>
  <c r="H2293" i="2"/>
  <c r="H2386" i="2"/>
  <c r="H2387" i="2"/>
  <c r="H2388" i="2"/>
  <c r="H2459" i="2"/>
  <c r="H699" i="2"/>
  <c r="H87" i="2"/>
  <c r="H88" i="2"/>
  <c r="H113" i="2"/>
  <c r="H141" i="2"/>
  <c r="H142" i="2"/>
  <c r="H143" i="2"/>
  <c r="H166" i="2"/>
  <c r="H197" i="2"/>
  <c r="H222" i="2"/>
  <c r="H243" i="2"/>
  <c r="H247" i="2"/>
  <c r="H274" i="2"/>
  <c r="H325" i="2"/>
  <c r="H326" i="2"/>
  <c r="H1155" i="2"/>
  <c r="H1169" i="2"/>
  <c r="H2389" i="2"/>
  <c r="H2460" i="2"/>
  <c r="H634" i="2"/>
  <c r="H635" i="2"/>
  <c r="H1609" i="2"/>
  <c r="H1610" i="2"/>
  <c r="H1611" i="2"/>
  <c r="H1612" i="2"/>
  <c r="H2461" i="2"/>
  <c r="H2462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834" i="2"/>
  <c r="H835" i="2"/>
  <c r="H877" i="2"/>
  <c r="H878" i="2"/>
  <c r="H879" i="2"/>
  <c r="H979" i="2"/>
  <c r="H980" i="2"/>
  <c r="H1041" i="2"/>
  <c r="H1042" i="2"/>
  <c r="H1190" i="2"/>
  <c r="H1191" i="2"/>
  <c r="H1403" i="2"/>
  <c r="H1404" i="2"/>
  <c r="H1648" i="2"/>
  <c r="H1649" i="2"/>
  <c r="H1650" i="2"/>
  <c r="H1651" i="2"/>
  <c r="H2056" i="2"/>
  <c r="H2057" i="2"/>
  <c r="H2058" i="2"/>
  <c r="H2059" i="2"/>
  <c r="H2060" i="2"/>
  <c r="H2061" i="2"/>
  <c r="H2568" i="2"/>
  <c r="H2569" i="2"/>
  <c r="H2570" i="2"/>
  <c r="H2571" i="2"/>
  <c r="H2572" i="2"/>
  <c r="H2573" i="2"/>
  <c r="H2649" i="2"/>
  <c r="H700" i="2"/>
  <c r="H1405" i="2"/>
  <c r="H1406" i="2"/>
  <c r="H2574" i="2"/>
  <c r="H2575" i="2"/>
  <c r="H2576" i="2"/>
  <c r="H670" i="2"/>
  <c r="H679" i="2"/>
  <c r="H702" i="2"/>
  <c r="H858" i="2"/>
  <c r="H859" i="2"/>
  <c r="H880" i="2"/>
  <c r="H881" i="2"/>
  <c r="H882" i="2"/>
  <c r="H883" i="2"/>
  <c r="H1192" i="2"/>
  <c r="H1193" i="2"/>
  <c r="H1194" i="2"/>
  <c r="H1195" i="2"/>
  <c r="H1196" i="2"/>
  <c r="H1384" i="2"/>
  <c r="H1847" i="2"/>
  <c r="H1848" i="2"/>
  <c r="H1849" i="2"/>
  <c r="H1850" i="2"/>
  <c r="H1851" i="2"/>
  <c r="H1852" i="2"/>
  <c r="H1958" i="2"/>
  <c r="H1959" i="2"/>
  <c r="H268" i="2"/>
  <c r="H281" i="2"/>
  <c r="H289" i="2"/>
  <c r="H299" i="2"/>
  <c r="H929" i="2"/>
  <c r="H930" i="2"/>
  <c r="H931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769" i="2"/>
  <c r="H1770" i="2"/>
  <c r="H1771" i="2"/>
  <c r="H1772" i="2"/>
  <c r="H1773" i="2"/>
  <c r="H1774" i="2"/>
  <c r="H1775" i="2"/>
  <c r="H1776" i="2"/>
  <c r="H1853" i="2"/>
  <c r="H2240" i="2"/>
  <c r="H2577" i="2"/>
  <c r="H1777" i="2"/>
  <c r="H1778" i="2"/>
  <c r="H1779" i="2"/>
  <c r="H675" i="2"/>
  <c r="H676" i="2"/>
  <c r="H673" i="2"/>
  <c r="H674" i="2"/>
  <c r="H786" i="2"/>
  <c r="H787" i="2"/>
  <c r="H788" i="2"/>
  <c r="H789" i="2"/>
  <c r="H807" i="2"/>
  <c r="H981" i="2"/>
  <c r="H982" i="2"/>
  <c r="H983" i="2"/>
  <c r="H1043" i="2"/>
  <c r="H1044" i="2"/>
  <c r="H1045" i="2"/>
  <c r="H1046" i="2"/>
  <c r="H1047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385" i="2"/>
  <c r="H1386" i="2"/>
  <c r="H1387" i="2"/>
  <c r="H1388" i="2"/>
  <c r="H1389" i="2"/>
  <c r="H1854" i="2"/>
  <c r="H1855" i="2"/>
  <c r="H1856" i="2"/>
  <c r="H1857" i="2"/>
  <c r="H1858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2062" i="2"/>
  <c r="H2063" i="2"/>
  <c r="H2064" i="2"/>
  <c r="H2065" i="2"/>
  <c r="H2066" i="2"/>
  <c r="H2129" i="2"/>
  <c r="H2163" i="2"/>
  <c r="H2164" i="2"/>
  <c r="H2165" i="2"/>
  <c r="H2166" i="2"/>
  <c r="H2167" i="2"/>
  <c r="H2578" i="2"/>
  <c r="H2579" i="2"/>
  <c r="H2580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9" i="2"/>
  <c r="H30" i="2"/>
  <c r="H31" i="2"/>
  <c r="H497" i="2"/>
  <c r="H559" i="2"/>
  <c r="H13" i="2"/>
  <c r="H2390" i="2"/>
  <c r="H677" i="2"/>
  <c r="H725" i="2"/>
  <c r="H860" i="2"/>
  <c r="H861" i="2"/>
  <c r="H862" i="2"/>
  <c r="H863" i="2"/>
  <c r="H884" i="2"/>
  <c r="H1156" i="2"/>
  <c r="H1157" i="2"/>
  <c r="H1158" i="2"/>
  <c r="H1159" i="2"/>
  <c r="H1160" i="2"/>
  <c r="H1161" i="2"/>
  <c r="H1162" i="2"/>
  <c r="H1170" i="2"/>
  <c r="H1171" i="2"/>
  <c r="H1172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613" i="2"/>
  <c r="H1614" i="2"/>
  <c r="H1615" i="2"/>
  <c r="H1616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780" i="2"/>
  <c r="H1859" i="2"/>
  <c r="H1860" i="2"/>
  <c r="H1861" i="2"/>
  <c r="H1862" i="2"/>
  <c r="H2168" i="2"/>
  <c r="H2169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63" i="2"/>
  <c r="H2464" i="2"/>
  <c r="H2465" i="2"/>
  <c r="H2466" i="2"/>
  <c r="H2467" i="2"/>
  <c r="H2468" i="2"/>
  <c r="H2469" i="2"/>
  <c r="H2470" i="2"/>
  <c r="H2471" i="2"/>
  <c r="H2472" i="2"/>
  <c r="H2820" i="2"/>
  <c r="H2821" i="2"/>
  <c r="H2822" i="2"/>
  <c r="H636" i="2"/>
  <c r="H637" i="2"/>
  <c r="H864" i="2"/>
  <c r="H1863" i="2"/>
  <c r="H865" i="2"/>
  <c r="H866" i="2"/>
  <c r="H867" i="2"/>
  <c r="H868" i="2"/>
  <c r="H869" i="2"/>
  <c r="H1048" i="2"/>
  <c r="H1102" i="2"/>
  <c r="H1103" i="2"/>
  <c r="H2130" i="2"/>
  <c r="H2473" i="2"/>
  <c r="H2474" i="2"/>
  <c r="H2475" i="2"/>
  <c r="H2476" i="2"/>
  <c r="H665" i="2"/>
  <c r="H667" i="2"/>
  <c r="H712" i="2"/>
  <c r="H745" i="2"/>
  <c r="H746" i="2"/>
  <c r="H760" i="2"/>
  <c r="H761" i="2"/>
  <c r="H767" i="2"/>
  <c r="H768" i="2"/>
  <c r="H827" i="2"/>
  <c r="H1049" i="2"/>
  <c r="H1050" i="2"/>
  <c r="H1051" i="2"/>
  <c r="H1104" i="2"/>
  <c r="H1105" i="2"/>
  <c r="H1106" i="2"/>
  <c r="H1437" i="2"/>
  <c r="H1438" i="2"/>
  <c r="H1439" i="2"/>
  <c r="H1440" i="2"/>
  <c r="H1864" i="2"/>
  <c r="H2067" i="2"/>
  <c r="H2131" i="2"/>
  <c r="H2132" i="2"/>
  <c r="H2294" i="2"/>
  <c r="H2295" i="2"/>
  <c r="H117" i="2"/>
  <c r="H537" i="2"/>
  <c r="H1107" i="2"/>
  <c r="H1108" i="2"/>
  <c r="H2477" i="2"/>
  <c r="H678" i="2"/>
  <c r="H706" i="2"/>
  <c r="H2478" i="2"/>
  <c r="H690" i="2"/>
  <c r="H762" i="2"/>
  <c r="H763" i="2"/>
  <c r="H885" i="2"/>
  <c r="H1697" i="2"/>
  <c r="H764" i="2"/>
  <c r="H886" i="2"/>
  <c r="H1173" i="2"/>
  <c r="H1174" i="2"/>
  <c r="H1175" i="2"/>
  <c r="H1176" i="2"/>
  <c r="H1666" i="2"/>
  <c r="H1698" i="2"/>
  <c r="H1699" i="2"/>
  <c r="H1700" i="2"/>
  <c r="H1701" i="2"/>
  <c r="H1702" i="2"/>
  <c r="H1703" i="2"/>
  <c r="H1704" i="2"/>
  <c r="H2479" i="2"/>
  <c r="H2480" i="2"/>
  <c r="H2481" i="2"/>
  <c r="H2482" i="2"/>
  <c r="H2483" i="2"/>
  <c r="H2484" i="2"/>
  <c r="H2485" i="2"/>
  <c r="H800" i="2"/>
  <c r="H1021" i="2"/>
  <c r="H1022" i="2"/>
  <c r="H1023" i="2"/>
  <c r="H1024" i="2"/>
  <c r="H1025" i="2"/>
  <c r="H1026" i="2"/>
  <c r="H1441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644" i="2"/>
  <c r="H1285" i="2"/>
  <c r="H1286" i="2"/>
  <c r="H1287" i="2"/>
  <c r="H1288" i="2"/>
  <c r="H1289" i="2"/>
  <c r="H1290" i="2"/>
  <c r="H1291" i="2"/>
  <c r="H1292" i="2"/>
  <c r="H1293" i="2"/>
  <c r="H1294" i="2"/>
  <c r="H1988" i="2"/>
  <c r="H1989" i="2"/>
  <c r="H1990" i="2"/>
  <c r="H1991" i="2"/>
  <c r="H1992" i="2"/>
  <c r="H1993" i="2"/>
  <c r="H701" i="2"/>
  <c r="H705" i="2"/>
  <c r="H708" i="2"/>
  <c r="H721" i="2"/>
  <c r="H722" i="2"/>
  <c r="H747" i="2"/>
  <c r="H748" i="2"/>
  <c r="H749" i="2"/>
  <c r="H750" i="2"/>
  <c r="H836" i="2"/>
  <c r="H837" i="2"/>
  <c r="H838" i="2"/>
  <c r="H839" i="2"/>
  <c r="H840" i="2"/>
  <c r="H841" i="2"/>
  <c r="H842" i="2"/>
  <c r="H899" i="2"/>
  <c r="H1109" i="2"/>
  <c r="H1110" i="2"/>
  <c r="H1111" i="2"/>
  <c r="H1209" i="2"/>
  <c r="H1210" i="2"/>
  <c r="H1211" i="2"/>
  <c r="H1212" i="2"/>
  <c r="H1514" i="2"/>
  <c r="H1515" i="2"/>
  <c r="H2170" i="2"/>
  <c r="H2171" i="2"/>
  <c r="H2172" i="2"/>
  <c r="H2296" i="2"/>
  <c r="H2297" i="2"/>
  <c r="H2298" i="2"/>
  <c r="H2299" i="2"/>
  <c r="H1516" i="2"/>
  <c r="H1517" i="2"/>
  <c r="H1518" i="2"/>
  <c r="H8" i="2"/>
  <c r="H714" i="2"/>
  <c r="H729" i="2"/>
  <c r="H774" i="2"/>
  <c r="H775" i="2"/>
  <c r="H776" i="2"/>
  <c r="H790" i="2"/>
  <c r="H791" i="2"/>
  <c r="H792" i="2"/>
  <c r="H793" i="2"/>
  <c r="H794" i="2"/>
  <c r="H795" i="2"/>
  <c r="H796" i="2"/>
  <c r="H797" i="2"/>
  <c r="H801" i="2"/>
  <c r="H802" i="2"/>
  <c r="H808" i="2"/>
  <c r="H809" i="2"/>
  <c r="H810" i="2"/>
  <c r="H811" i="2"/>
  <c r="H812" i="2"/>
  <c r="H813" i="2"/>
  <c r="H814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27" i="2"/>
  <c r="H1052" i="2"/>
  <c r="H1053" i="2"/>
  <c r="H1213" i="2"/>
  <c r="H1214" i="2"/>
  <c r="H1215" i="2"/>
  <c r="H1216" i="2"/>
  <c r="H1217" i="2"/>
  <c r="H1218" i="2"/>
  <c r="H1219" i="2"/>
  <c r="H1220" i="2"/>
  <c r="H1221" i="2"/>
  <c r="H1222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442" i="2"/>
  <c r="H1443" i="2"/>
  <c r="H1444" i="2"/>
  <c r="H1445" i="2"/>
  <c r="H1446" i="2"/>
  <c r="H1447" i="2"/>
  <c r="H1448" i="2"/>
  <c r="H1449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68" i="2"/>
  <c r="H2069" i="2"/>
  <c r="H2070" i="2"/>
  <c r="H2071" i="2"/>
  <c r="H2072" i="2"/>
  <c r="H2073" i="2"/>
  <c r="H2074" i="2"/>
  <c r="H2075" i="2"/>
  <c r="H2133" i="2"/>
  <c r="H2134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65" i="2"/>
  <c r="H1323" i="2"/>
  <c r="H1324" i="2"/>
  <c r="H1325" i="2"/>
  <c r="H2135" i="2"/>
  <c r="H2136" i="2"/>
  <c r="H2486" i="2"/>
  <c r="H2487" i="2"/>
  <c r="H2488" i="2"/>
  <c r="H2489" i="2"/>
  <c r="H2490" i="2"/>
  <c r="H2491" i="2"/>
  <c r="H647" i="2"/>
  <c r="H650" i="2"/>
  <c r="H651" i="2"/>
  <c r="H742" i="2"/>
  <c r="H815" i="2"/>
  <c r="H816" i="2"/>
  <c r="H817" i="2"/>
  <c r="H818" i="2"/>
  <c r="H819" i="2"/>
  <c r="H820" i="2"/>
  <c r="H1028" i="2"/>
  <c r="H1054" i="2"/>
  <c r="H1055" i="2"/>
  <c r="H1450" i="2"/>
  <c r="H1451" i="2"/>
  <c r="H1452" i="2"/>
  <c r="H1453" i="2"/>
  <c r="H2076" i="2"/>
  <c r="H2077" i="2"/>
  <c r="H2078" i="2"/>
  <c r="H2079" i="2"/>
  <c r="H2080" i="2"/>
  <c r="H2081" i="2"/>
  <c r="H2082" i="2"/>
  <c r="H2083" i="2"/>
  <c r="H1112" i="2"/>
  <c r="H1113" i="2"/>
  <c r="H1519" i="2"/>
  <c r="H1520" i="2"/>
  <c r="H1521" i="2"/>
  <c r="H1522" i="2"/>
  <c r="H2241" i="2"/>
  <c r="H2242" i="2"/>
  <c r="H2243" i="2"/>
  <c r="H2244" i="2"/>
  <c r="H2245" i="2"/>
  <c r="H2246" i="2"/>
  <c r="H2247" i="2"/>
  <c r="H2248" i="2"/>
  <c r="H2249" i="2"/>
  <c r="H2250" i="2"/>
  <c r="H2251" i="2"/>
  <c r="H455" i="2"/>
  <c r="H456" i="2"/>
  <c r="H2404" i="2"/>
  <c r="H2405" i="2"/>
  <c r="H696" i="2"/>
  <c r="H704" i="2"/>
  <c r="H798" i="2"/>
  <c r="H828" i="2"/>
  <c r="H1454" i="2"/>
  <c r="H1455" i="2"/>
  <c r="H1456" i="2"/>
  <c r="H1573" i="2"/>
  <c r="H1574" i="2"/>
  <c r="H1575" i="2"/>
  <c r="H1576" i="2"/>
  <c r="H1577" i="2"/>
  <c r="H1578" i="2"/>
  <c r="H1579" i="2"/>
  <c r="H1580" i="2"/>
  <c r="H2300" i="2"/>
  <c r="H2301" i="2"/>
  <c r="H2302" i="2"/>
  <c r="H2303" i="2"/>
  <c r="H2304" i="2"/>
  <c r="H1390" i="2"/>
  <c r="H694" i="2"/>
  <c r="H695" i="2"/>
  <c r="H1004" i="2"/>
  <c r="H2305" i="2"/>
  <c r="H2306" i="2"/>
  <c r="H2307" i="2"/>
  <c r="H1223" i="2"/>
  <c r="H1224" i="2"/>
  <c r="H1225" i="2"/>
  <c r="H1667" i="2"/>
  <c r="H1668" i="2"/>
  <c r="H1669" i="2"/>
  <c r="H1670" i="2"/>
  <c r="H1671" i="2"/>
  <c r="H2084" i="2"/>
  <c r="H2085" i="2"/>
  <c r="H2086" i="2"/>
  <c r="H2087" i="2"/>
  <c r="H2088" i="2"/>
  <c r="H2089" i="2"/>
  <c r="H2492" i="2"/>
  <c r="H2493" i="2"/>
  <c r="H2494" i="2"/>
  <c r="H2495" i="2"/>
  <c r="H2496" i="2"/>
  <c r="H2497" i="2"/>
  <c r="H823" i="2"/>
  <c r="H1672" i="2"/>
  <c r="H1705" i="2"/>
  <c r="H2090" i="2"/>
  <c r="H2091" i="2"/>
  <c r="H2137" i="2"/>
  <c r="H2581" i="2"/>
  <c r="H2582" i="2"/>
  <c r="H2583" i="2"/>
  <c r="H2584" i="2"/>
  <c r="H2585" i="2"/>
  <c r="H2586" i="2"/>
  <c r="H2587" i="2"/>
  <c r="H2588" i="2"/>
  <c r="H2589" i="2"/>
  <c r="H20" i="2"/>
  <c r="H22" i="2"/>
  <c r="H26" i="2"/>
  <c r="H27" i="2"/>
  <c r="H23" i="2"/>
  <c r="H14" i="2"/>
  <c r="H19" i="2"/>
  <c r="H28" i="2"/>
  <c r="H24" i="2"/>
  <c r="H21" i="2"/>
  <c r="H25" i="2"/>
  <c r="H2" i="2"/>
  <c r="H3" i="2"/>
  <c r="H15" i="2"/>
  <c r="H16" i="2"/>
  <c r="H17" i="2"/>
  <c r="H18" i="2"/>
  <c r="H663" i="2"/>
  <c r="H1226" i="2"/>
  <c r="H887" i="2"/>
  <c r="H888" i="2"/>
  <c r="H954" i="2"/>
  <c r="H955" i="2"/>
  <c r="H1227" i="2"/>
  <c r="H1457" i="2"/>
  <c r="H2308" i="2"/>
  <c r="H2498" i="2"/>
  <c r="H698" i="2"/>
  <c r="H710" i="2"/>
  <c r="H726" i="2"/>
  <c r="H870" i="2"/>
  <c r="H871" i="2"/>
  <c r="H889" i="2"/>
  <c r="H1228" i="2"/>
  <c r="H1884" i="2"/>
  <c r="H1885" i="2"/>
  <c r="H1886" i="2"/>
  <c r="H1887" i="2"/>
  <c r="H1888" i="2"/>
  <c r="H1889" i="2"/>
  <c r="H1890" i="2"/>
  <c r="H1891" i="2"/>
  <c r="H728" i="2"/>
  <c r="H890" i="2"/>
  <c r="H891" i="2"/>
  <c r="H1673" i="2"/>
  <c r="H2590" i="2"/>
  <c r="H682" i="2"/>
  <c r="H686" i="2"/>
  <c r="H689" i="2"/>
  <c r="H713" i="2"/>
  <c r="H723" i="2"/>
  <c r="H730" i="2"/>
  <c r="H732" i="2"/>
  <c r="H733" i="2"/>
  <c r="H734" i="2"/>
  <c r="H735" i="2"/>
  <c r="H736" i="2"/>
  <c r="H737" i="2"/>
  <c r="H751" i="2"/>
  <c r="H752" i="2"/>
  <c r="H753" i="2"/>
  <c r="H754" i="2"/>
  <c r="H755" i="2"/>
  <c r="H756" i="2"/>
  <c r="H757" i="2"/>
  <c r="H769" i="2"/>
  <c r="H843" i="2"/>
  <c r="H844" i="2"/>
  <c r="H845" i="2"/>
  <c r="H846" i="2"/>
  <c r="H847" i="2"/>
  <c r="H1005" i="2"/>
  <c r="H1006" i="2"/>
  <c r="H1007" i="2"/>
  <c r="H1114" i="2"/>
  <c r="H1115" i="2"/>
  <c r="H1116" i="2"/>
  <c r="H1117" i="2"/>
  <c r="H1118" i="2"/>
  <c r="H1119" i="2"/>
  <c r="H1120" i="2"/>
  <c r="H1121" i="2"/>
  <c r="H1523" i="2"/>
  <c r="H1524" i="2"/>
  <c r="H1525" i="2"/>
  <c r="H1526" i="2"/>
  <c r="H1798" i="2"/>
  <c r="H1799" i="2"/>
  <c r="H2173" i="2"/>
  <c r="H2309" i="2"/>
  <c r="H2310" i="2"/>
  <c r="H2311" i="2"/>
  <c r="H2312" i="2"/>
  <c r="H2313" i="2"/>
  <c r="H2499" i="2"/>
  <c r="H1229" i="2"/>
  <c r="H1230" i="2"/>
  <c r="H1892" i="2"/>
  <c r="H1893" i="2"/>
  <c r="H758" i="2"/>
  <c r="H770" i="2"/>
  <c r="H956" i="2"/>
  <c r="H957" i="2"/>
  <c r="H958" i="2"/>
  <c r="H959" i="2"/>
  <c r="H960" i="2"/>
  <c r="H961" i="2"/>
  <c r="H962" i="2"/>
  <c r="H963" i="2"/>
  <c r="H964" i="2"/>
  <c r="H2500" i="2"/>
  <c r="H2501" i="2"/>
  <c r="H2591" i="2"/>
  <c r="H2592" i="2"/>
  <c r="H2593" i="2"/>
  <c r="H2594" i="2"/>
  <c r="H848" i="2"/>
  <c r="H1177" i="2"/>
  <c r="H1178" i="2"/>
  <c r="H1674" i="2"/>
  <c r="H2502" i="2"/>
  <c r="H765" i="2"/>
  <c r="H766" i="2"/>
  <c r="H892" i="2"/>
  <c r="H893" i="2"/>
  <c r="H1179" i="2"/>
  <c r="H1180" i="2"/>
  <c r="H1675" i="2"/>
  <c r="H1706" i="2"/>
  <c r="H2503" i="2"/>
  <c r="H715" i="2"/>
  <c r="H738" i="2"/>
  <c r="H739" i="2"/>
  <c r="H740" i="2"/>
  <c r="H965" i="2"/>
  <c r="H966" i="2"/>
  <c r="H967" i="2"/>
  <c r="H968" i="2"/>
  <c r="H969" i="2"/>
  <c r="H970" i="2"/>
  <c r="H1391" i="2"/>
  <c r="H1458" i="2"/>
  <c r="H1459" i="2"/>
  <c r="H2314" i="2"/>
  <c r="H2315" i="2"/>
  <c r="H2316" i="2"/>
  <c r="H23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arteraharold201701" type="5" refreshedVersion="4" background="1" saveData="1">
    <dbPr connection="" command=""/>
  </connection>
  <connection id="2" xr16:uid="{00000000-0015-0000-FFFF-FFFF01000000}" keepAlive="1" name="Consulta - carteraharold201701 (2)" description="Conexión a la consulta 'carteraharold201701 (2)' en el libro." type="5" refreshedVersion="8" background="1" saveData="1">
    <dbPr connection="Provider=Microsoft.Mashup.OleDb.1;Data Source=$Workbook$;Location=&quot;carteraharold201701 (2)&quot;;Extended Properties=&quot;&quot;" command="SELECT * FROM [carteraharold201701 (2)]"/>
  </connection>
</connections>
</file>

<file path=xl/sharedStrings.xml><?xml version="1.0" encoding="utf-8"?>
<sst xmlns="http://schemas.openxmlformats.org/spreadsheetml/2006/main" count="53623" uniqueCount="7844">
  <si>
    <t>mes</t>
  </si>
  <si>
    <t>nit_a</t>
  </si>
  <si>
    <t>razon_social</t>
  </si>
  <si>
    <t>ciudad</t>
  </si>
  <si>
    <t>numero</t>
  </si>
  <si>
    <t>ttotal</t>
  </si>
  <si>
    <t>fecha</t>
  </si>
  <si>
    <t>vencimiento</t>
  </si>
  <si>
    <t>zona</t>
  </si>
  <si>
    <t>vendedor</t>
  </si>
  <si>
    <t>CATEGORIA</t>
  </si>
  <si>
    <t>telefonos</t>
  </si>
  <si>
    <t>plazo_credito</t>
  </si>
  <si>
    <t xml:space="preserve">901410258-0         </t>
  </si>
  <si>
    <t xml:space="preserve">XXXXXXXXXXXXXXXXXXXXXXINVERSIONES Y DISTRIBUCIONES RG SA    </t>
  </si>
  <si>
    <t xml:space="preserve">CAUCASIA                      </t>
  </si>
  <si>
    <t xml:space="preserve">FECT1034    </t>
  </si>
  <si>
    <t xml:space="preserve">01 </t>
  </si>
  <si>
    <t xml:space="preserve">03  </t>
  </si>
  <si>
    <t xml:space="preserve">0    </t>
  </si>
  <si>
    <t xml:space="preserve">                              </t>
  </si>
  <si>
    <t xml:space="preserve">FECT1035    </t>
  </si>
  <si>
    <t xml:space="preserve">FECT539     </t>
  </si>
  <si>
    <t xml:space="preserve">FECT674     </t>
  </si>
  <si>
    <t xml:space="preserve">FECT675     </t>
  </si>
  <si>
    <t xml:space="preserve">FECT729     </t>
  </si>
  <si>
    <t xml:space="preserve">FECT730     </t>
  </si>
  <si>
    <t xml:space="preserve">FECT935     </t>
  </si>
  <si>
    <t xml:space="preserve">12  </t>
  </si>
  <si>
    <t xml:space="preserve">78302691            </t>
  </si>
  <si>
    <t xml:space="preserve">FLOREZ ROJAS EFREN                                          </t>
  </si>
  <si>
    <t xml:space="preserve">FEDC135864  </t>
  </si>
  <si>
    <t xml:space="preserve">02  </t>
  </si>
  <si>
    <t xml:space="preserve">3127672025                    </t>
  </si>
  <si>
    <t xml:space="preserve">FEDC137258  </t>
  </si>
  <si>
    <t xml:space="preserve">70385089            </t>
  </si>
  <si>
    <t xml:space="preserve">QUINCHIA QUINTERO RUBEN DARIO                               </t>
  </si>
  <si>
    <t xml:space="preserve">FEDC137396  </t>
  </si>
  <si>
    <t xml:space="preserve">3138501094                    </t>
  </si>
  <si>
    <t xml:space="preserve">FEDC138291  </t>
  </si>
  <si>
    <t xml:space="preserve">890100363-7         </t>
  </si>
  <si>
    <t xml:space="preserve">LABORATORIOS COFARMA S.A                                    </t>
  </si>
  <si>
    <t xml:space="preserve">BARRANQUILLA                  </t>
  </si>
  <si>
    <t xml:space="preserve">3716888        </t>
  </si>
  <si>
    <t xml:space="preserve">39280551            </t>
  </si>
  <si>
    <t xml:space="preserve">FRANCO HERAZO CARMEN ALICIA                                 </t>
  </si>
  <si>
    <t>CAUCASIA</t>
  </si>
  <si>
    <t xml:space="preserve">10  </t>
  </si>
  <si>
    <t xml:space="preserve">3206794488-8390155            </t>
  </si>
  <si>
    <t xml:space="preserve">43403646            </t>
  </si>
  <si>
    <t xml:space="preserve">ZULUAGA GOMEZ MARIA GLADIS                                  </t>
  </si>
  <si>
    <t xml:space="preserve">3016755296                    </t>
  </si>
  <si>
    <t xml:space="preserve">1007652832          </t>
  </si>
  <si>
    <t xml:space="preserve">CIRO DUQUE JUAN DAVID                                       </t>
  </si>
  <si>
    <t xml:space="preserve">3003097106 -3013682585        </t>
  </si>
  <si>
    <t xml:space="preserve">70692127            </t>
  </si>
  <si>
    <t xml:space="preserve">ZULUAGA QUINCHIA JESUS HERNAN                               </t>
  </si>
  <si>
    <t xml:space="preserve">3007388755 Andres -3148623512 </t>
  </si>
  <si>
    <t xml:space="preserve">50883830            </t>
  </si>
  <si>
    <t xml:space="preserve">LOPEZ BENAVIDES MERCY RUTH                                  </t>
  </si>
  <si>
    <t>3147341953</t>
  </si>
  <si>
    <t xml:space="preserve">1038112989          </t>
  </si>
  <si>
    <t xml:space="preserve">ZULUAGA GOMEZ JESUS ALIVER                                  </t>
  </si>
  <si>
    <t xml:space="preserve">3135912628     </t>
  </si>
  <si>
    <t xml:space="preserve">98651531            </t>
  </si>
  <si>
    <t xml:space="preserve">POSSO ARIAS GABRIEL EDUARDO                                 </t>
  </si>
  <si>
    <t>3115674271</t>
  </si>
  <si>
    <t xml:space="preserve">1038138797          </t>
  </si>
  <si>
    <t xml:space="preserve">ZULUAGA ZULUAGA MARIA FERNANDA                              </t>
  </si>
  <si>
    <t xml:space="preserve">3223117873                    </t>
  </si>
  <si>
    <t xml:space="preserve">8374032             </t>
  </si>
  <si>
    <t xml:space="preserve">PEREZ CONTRERAS OSCAR                                       </t>
  </si>
  <si>
    <t xml:space="preserve">3145644503-323243142          </t>
  </si>
  <si>
    <t xml:space="preserve">78291927            </t>
  </si>
  <si>
    <t xml:space="preserve">ARBOLEDA RIVERA HERMILSON DE JESUS                          </t>
  </si>
  <si>
    <t>3137046935</t>
  </si>
  <si>
    <t xml:space="preserve">15047058            </t>
  </si>
  <si>
    <t xml:space="preserve">ZULUAGA QUINCHIA GUSTAVO DE JESUS                           </t>
  </si>
  <si>
    <t xml:space="preserve">3226993920     </t>
  </si>
  <si>
    <t xml:space="preserve">15030463            </t>
  </si>
  <si>
    <t xml:space="preserve">ZULUAGA QUINCHIA NELSON                                     </t>
  </si>
  <si>
    <t xml:space="preserve">3185068224     </t>
  </si>
  <si>
    <t xml:space="preserve">91521121            </t>
  </si>
  <si>
    <t xml:space="preserve">ZULUAGA ZULUAGA WILLIAM DAVID                               </t>
  </si>
  <si>
    <t xml:space="preserve">3206429252                    </t>
  </si>
  <si>
    <t xml:space="preserve">3909678             </t>
  </si>
  <si>
    <t xml:space="preserve">PAYAREZ BARROSO MANUEL FRANCISCO                            </t>
  </si>
  <si>
    <t>3113205121</t>
  </si>
  <si>
    <t xml:space="preserve">901725680           </t>
  </si>
  <si>
    <t xml:space="preserve">PLASTICOS SANTUARIO S.A.S                                   </t>
  </si>
  <si>
    <t xml:space="preserve">04  </t>
  </si>
  <si>
    <t xml:space="preserve">8392261                       </t>
  </si>
  <si>
    <t xml:space="preserve">9313721             </t>
  </si>
  <si>
    <t xml:space="preserve">VILLADIEGO PEREZ JOSE BLAS                                  </t>
  </si>
  <si>
    <t>8380408</t>
  </si>
  <si>
    <t xml:space="preserve">1003810605          </t>
  </si>
  <si>
    <t xml:space="preserve">ZAPATA CHACON LUNA                                          </t>
  </si>
  <si>
    <t xml:space="preserve">3218007944                    </t>
  </si>
  <si>
    <t xml:space="preserve">1127958438          </t>
  </si>
  <si>
    <t xml:space="preserve">GOMEZ GALEANO DANIELA FERNANDA                              </t>
  </si>
  <si>
    <t xml:space="preserve">3204475005                    </t>
  </si>
  <si>
    <t xml:space="preserve">1038129599          </t>
  </si>
  <si>
    <t xml:space="preserve">NAVARRO OSCAR EDUARDO                                       </t>
  </si>
  <si>
    <t xml:space="preserve">3208613025                    </t>
  </si>
  <si>
    <t xml:space="preserve">3443977             </t>
  </si>
  <si>
    <t xml:space="preserve">BOHORQUEZ RUDInO JORGE ELIECER                              </t>
  </si>
  <si>
    <t>8394641</t>
  </si>
  <si>
    <t xml:space="preserve">70142980            </t>
  </si>
  <si>
    <t xml:space="preserve">RAMIREZ ROMERO JADER EMILIO                                 </t>
  </si>
  <si>
    <t xml:space="preserve">01  </t>
  </si>
  <si>
    <t xml:space="preserve">8393030                       </t>
  </si>
  <si>
    <t xml:space="preserve">1066509289          </t>
  </si>
  <si>
    <t xml:space="preserve">GARAVITO MARQUEZ OLGA PATRICIA                              </t>
  </si>
  <si>
    <t xml:space="preserve">3116136936                    </t>
  </si>
  <si>
    <t xml:space="preserve">1042767045          </t>
  </si>
  <si>
    <t xml:space="preserve">QUINONES SANCHEZ CARLOS ANDRES                              </t>
  </si>
  <si>
    <t xml:space="preserve">312769089                     </t>
  </si>
  <si>
    <t xml:space="preserve">32  </t>
  </si>
  <si>
    <t xml:space="preserve">39281354            </t>
  </si>
  <si>
    <t xml:space="preserve">PALACIO PORTILLO YESENIA ROSA                               </t>
  </si>
  <si>
    <t>3113938272 -3105352049Mauricio</t>
  </si>
  <si>
    <t xml:space="preserve">98654842            </t>
  </si>
  <si>
    <t xml:space="preserve">PEREZ CONTRERAS CARLOS MARIO                                </t>
  </si>
  <si>
    <t xml:space="preserve">3209042070                    </t>
  </si>
  <si>
    <t xml:space="preserve">1062677001          </t>
  </si>
  <si>
    <t xml:space="preserve">IBAÑEZ IBARRA SANDRA MARCELA                                </t>
  </si>
  <si>
    <t xml:space="preserve">3215061247-3116732900         </t>
  </si>
  <si>
    <t xml:space="preserve">1020426651          </t>
  </si>
  <si>
    <t xml:space="preserve">OSORNO BERRIO WILLIAM ANDRES                                </t>
  </si>
  <si>
    <t xml:space="preserve">3148351567                    </t>
  </si>
  <si>
    <t xml:space="preserve">78703962            </t>
  </si>
  <si>
    <t xml:space="preserve">REYES SIERRA EDINSON ANTONIO                                </t>
  </si>
  <si>
    <t xml:space="preserve">3105410896                    </t>
  </si>
  <si>
    <t xml:space="preserve">1103102647          </t>
  </si>
  <si>
    <t xml:space="preserve">ZULUAGA ZULUAGA GENY PATRICIA                               </t>
  </si>
  <si>
    <t xml:space="preserve">3216981456                    </t>
  </si>
  <si>
    <t xml:space="preserve">15303584            </t>
  </si>
  <si>
    <t xml:space="preserve">PALACIO SIERRA CARLOS ARTURO                                </t>
  </si>
  <si>
    <t xml:space="preserve">3215390315 - 3126155149       </t>
  </si>
  <si>
    <t xml:space="preserve">78115569            </t>
  </si>
  <si>
    <t xml:space="preserve">GOMEZ PUERTA RICHAR                                         </t>
  </si>
  <si>
    <t>3122062860</t>
  </si>
  <si>
    <t xml:space="preserve">3113235407                    </t>
  </si>
  <si>
    <t xml:space="preserve">70383501            </t>
  </si>
  <si>
    <t xml:space="preserve">CIRO BONILLA NORVAIRO DE JESUS                              </t>
  </si>
  <si>
    <t xml:space="preserve">3145052021                    </t>
  </si>
  <si>
    <t xml:space="preserve">1045019242          </t>
  </si>
  <si>
    <t xml:space="preserve">NARANJO SALAZAR ROSA INES                                   </t>
  </si>
  <si>
    <t xml:space="preserve">3148839755     </t>
  </si>
  <si>
    <t/>
  </si>
  <si>
    <t xml:space="preserve">70693392            </t>
  </si>
  <si>
    <t xml:space="preserve">NARANJO SALAZAR JAVIER ANTONIO                              </t>
  </si>
  <si>
    <t xml:space="preserve">3233203149                    </t>
  </si>
  <si>
    <t xml:space="preserve">26880684            </t>
  </si>
  <si>
    <t xml:space="preserve">MAESTRE ESCORCIA NERY LUZ                                   </t>
  </si>
  <si>
    <t xml:space="preserve">3135884368                    </t>
  </si>
  <si>
    <t xml:space="preserve">901264229-0         </t>
  </si>
  <si>
    <t xml:space="preserve">MERCOSMETICS S.A.S                                          </t>
  </si>
  <si>
    <t xml:space="preserve">3167390770                    </t>
  </si>
  <si>
    <t xml:space="preserve">39272097            </t>
  </si>
  <si>
    <t xml:space="preserve">VILLADIEGO PASTRANA DORA ISABEL                             </t>
  </si>
  <si>
    <t xml:space="preserve">3206719948                    </t>
  </si>
  <si>
    <t xml:space="preserve">1233345840          </t>
  </si>
  <si>
    <t xml:space="preserve">QUINTERO NARANJO PAULA ANDREA                               </t>
  </si>
  <si>
    <t xml:space="preserve">3172967714 -3232010208        </t>
  </si>
  <si>
    <t xml:space="preserve">70855301            </t>
  </si>
  <si>
    <t xml:space="preserve">GRAJALES GRAJALES ROBERTO ADRIAN                            </t>
  </si>
  <si>
    <t xml:space="preserve">3113739727     </t>
  </si>
  <si>
    <t xml:space="preserve">8373571             </t>
  </si>
  <si>
    <t xml:space="preserve">MERCADO ARROYO JUAN BAUTISTA                                </t>
  </si>
  <si>
    <t xml:space="preserve">3192555227-3113812119         </t>
  </si>
  <si>
    <t xml:space="preserve">8201122             </t>
  </si>
  <si>
    <t xml:space="preserve">GONZALEZ ZAPATA LEONARDO                                    </t>
  </si>
  <si>
    <t xml:space="preserve">3016106394 -8380269           </t>
  </si>
  <si>
    <t xml:space="preserve">32624344            </t>
  </si>
  <si>
    <t xml:space="preserve">BOHORQUEZ RICARDO DEYANIRA ISABEL                           </t>
  </si>
  <si>
    <t xml:space="preserve">33105051916                   </t>
  </si>
  <si>
    <t xml:space="preserve">890101815-9         </t>
  </si>
  <si>
    <t xml:space="preserve">KENVUE COLOMBIA S.A.                                        </t>
  </si>
  <si>
    <t xml:space="preserve">               </t>
  </si>
  <si>
    <t xml:space="preserve">8056705             </t>
  </si>
  <si>
    <t xml:space="preserve">MARTINEZ CORDERO JORGE JAIMEN                               </t>
  </si>
  <si>
    <t>3218012784</t>
  </si>
  <si>
    <t xml:space="preserve">1126123103          </t>
  </si>
  <si>
    <t xml:space="preserve">BELLO MENDOZA MARIA ALEJANDRA                               </t>
  </si>
  <si>
    <t xml:space="preserve">3224409249     </t>
  </si>
  <si>
    <t xml:space="preserve">39283083            </t>
  </si>
  <si>
    <t xml:space="preserve">SANCHEZ  MUnETON SOL CIELO                                  </t>
  </si>
  <si>
    <t xml:space="preserve">3148477868-3113235407         </t>
  </si>
  <si>
    <t xml:space="preserve">8055522             </t>
  </si>
  <si>
    <t xml:space="preserve">BARRETO RIVERA JUAN CARLOS                                  </t>
  </si>
  <si>
    <t xml:space="preserve">3238539266                    </t>
  </si>
  <si>
    <t xml:space="preserve">39279638            </t>
  </si>
  <si>
    <t xml:space="preserve">PEREZ MARTINEZ ADRIANA MARIA                                </t>
  </si>
  <si>
    <t xml:space="preserve">3105913666                    </t>
  </si>
  <si>
    <t xml:space="preserve">10994881            </t>
  </si>
  <si>
    <t xml:space="preserve">ALVARADO MEDRANO GUSTAVO MANUEL                             </t>
  </si>
  <si>
    <t xml:space="preserve">3107082544     </t>
  </si>
  <si>
    <t xml:space="preserve">1002636936          </t>
  </si>
  <si>
    <t xml:space="preserve">MELLAN MONTOYA ESTEFANIA                                    </t>
  </si>
  <si>
    <t xml:space="preserve">3136402251                    </t>
  </si>
  <si>
    <t xml:space="preserve">901658812-7         </t>
  </si>
  <si>
    <t xml:space="preserve">DISTRIBUCIONES EL PROGRESO H&amp;C S.A.S                        </t>
  </si>
  <si>
    <t xml:space="preserve">3108532093                    </t>
  </si>
  <si>
    <t xml:space="preserve">EL BAGRE                      </t>
  </si>
  <si>
    <t xml:space="preserve">1                   </t>
  </si>
  <si>
    <t xml:space="preserve">VENTAS MOSTRADOR DIARIA                                     </t>
  </si>
  <si>
    <t xml:space="preserve">06  </t>
  </si>
  <si>
    <t xml:space="preserve">15305762            </t>
  </si>
  <si>
    <t xml:space="preserve">BEDOYA ACOSTA ANIBAL                                        </t>
  </si>
  <si>
    <t xml:space="preserve">3148337839 -3147738185        </t>
  </si>
  <si>
    <t xml:space="preserve">SEGOVIA                       </t>
  </si>
  <si>
    <t xml:space="preserve">33  </t>
  </si>
  <si>
    <t xml:space="preserve">FEDC48674   </t>
  </si>
  <si>
    <t xml:space="preserve">FEDC48675   </t>
  </si>
  <si>
    <t xml:space="preserve">FEDC48746   </t>
  </si>
  <si>
    <t xml:space="preserve">FEDC48877   </t>
  </si>
  <si>
    <t xml:space="preserve">FEDC49090   </t>
  </si>
  <si>
    <t xml:space="preserve">FEDC49789   </t>
  </si>
  <si>
    <t xml:space="preserve">FEDC51325   </t>
  </si>
  <si>
    <t xml:space="preserve">FEDC52093   </t>
  </si>
  <si>
    <t xml:space="preserve">FEDC52094   </t>
  </si>
  <si>
    <t xml:space="preserve">FEDC52795   </t>
  </si>
  <si>
    <t xml:space="preserve">FEDC53029   </t>
  </si>
  <si>
    <t xml:space="preserve">FEDC53030   </t>
  </si>
  <si>
    <t xml:space="preserve">FEDC53156   </t>
  </si>
  <si>
    <t xml:space="preserve">FEDC53690   </t>
  </si>
  <si>
    <t xml:space="preserve">FEDC53691   </t>
  </si>
  <si>
    <t xml:space="preserve">FEDC53693   </t>
  </si>
  <si>
    <t xml:space="preserve">FEDC53792   </t>
  </si>
  <si>
    <t xml:space="preserve">FEDC54012   </t>
  </si>
  <si>
    <t xml:space="preserve">FEDC54582   </t>
  </si>
  <si>
    <t xml:space="preserve">FEDC54714   </t>
  </si>
  <si>
    <t xml:space="preserve">FEDC55740   </t>
  </si>
  <si>
    <t xml:space="preserve">FEDC55741   </t>
  </si>
  <si>
    <t xml:space="preserve">FEDC55794   </t>
  </si>
  <si>
    <t xml:space="preserve">FEDC56615   </t>
  </si>
  <si>
    <t xml:space="preserve">FEDC57352   </t>
  </si>
  <si>
    <t xml:space="preserve">FEDC57353   </t>
  </si>
  <si>
    <t xml:space="preserve">FEDC57484   </t>
  </si>
  <si>
    <t xml:space="preserve">FEDC58274   </t>
  </si>
  <si>
    <t xml:space="preserve">FEDC58275   </t>
  </si>
  <si>
    <t xml:space="preserve">FEDC59084   </t>
  </si>
  <si>
    <t xml:space="preserve">FEDC59085   </t>
  </si>
  <si>
    <t xml:space="preserve">FEDC59097   </t>
  </si>
  <si>
    <t xml:space="preserve">FEDC59396   </t>
  </si>
  <si>
    <t xml:space="preserve">FEDC59586   </t>
  </si>
  <si>
    <t xml:space="preserve">FEDC60280   </t>
  </si>
  <si>
    <t xml:space="preserve">FEDC60413   </t>
  </si>
  <si>
    <t xml:space="preserve">FEDC60860   </t>
  </si>
  <si>
    <t xml:space="preserve">FEDC61072   </t>
  </si>
  <si>
    <t xml:space="preserve">FEDC61286   </t>
  </si>
  <si>
    <t xml:space="preserve">FEDC61999   </t>
  </si>
  <si>
    <t xml:space="preserve">FEDC62069   </t>
  </si>
  <si>
    <t xml:space="preserve">FEDC62192   </t>
  </si>
  <si>
    <t xml:space="preserve">FEDC62580   </t>
  </si>
  <si>
    <t xml:space="preserve">FEDC62902   </t>
  </si>
  <si>
    <t xml:space="preserve">FEDC63598   </t>
  </si>
  <si>
    <t xml:space="preserve">FEDC63780   </t>
  </si>
  <si>
    <t xml:space="preserve">FEDC63857   </t>
  </si>
  <si>
    <t xml:space="preserve">FEDC64301   </t>
  </si>
  <si>
    <t xml:space="preserve">FEDC64694   </t>
  </si>
  <si>
    <t xml:space="preserve">FEDC64695   </t>
  </si>
  <si>
    <t xml:space="preserve">FEDC64995   </t>
  </si>
  <si>
    <t xml:space="preserve">FEDC64996   </t>
  </si>
  <si>
    <t xml:space="preserve">FEDC65452   </t>
  </si>
  <si>
    <t xml:space="preserve">FEDC65549   </t>
  </si>
  <si>
    <t xml:space="preserve">FEDC65808   </t>
  </si>
  <si>
    <t xml:space="preserve">FEDC65809   </t>
  </si>
  <si>
    <t xml:space="preserve">FEDC65910   </t>
  </si>
  <si>
    <t xml:space="preserve">FEDC66093   </t>
  </si>
  <si>
    <t xml:space="preserve">FEDC66425   </t>
  </si>
  <si>
    <t xml:space="preserve">FEDC66577   </t>
  </si>
  <si>
    <t xml:space="preserve">FEDC66745   </t>
  </si>
  <si>
    <t xml:space="preserve">FEDC67649   </t>
  </si>
  <si>
    <t xml:space="preserve">FEDC67673   </t>
  </si>
  <si>
    <t xml:space="preserve">FEDC68239   </t>
  </si>
  <si>
    <t xml:space="preserve">FEDC68378   </t>
  </si>
  <si>
    <t xml:space="preserve">FEDC69478   </t>
  </si>
  <si>
    <t xml:space="preserve">FEDC70365   </t>
  </si>
  <si>
    <t xml:space="preserve">FEDC70366   </t>
  </si>
  <si>
    <t xml:space="preserve">FEDC70988   </t>
  </si>
  <si>
    <t xml:space="preserve">FEDC71281   </t>
  </si>
  <si>
    <t xml:space="preserve">FEDC71393   </t>
  </si>
  <si>
    <t xml:space="preserve">FEDC71394   </t>
  </si>
  <si>
    <t xml:space="preserve">FEDC72045   </t>
  </si>
  <si>
    <t xml:space="preserve">FEDC72088   </t>
  </si>
  <si>
    <t xml:space="preserve">FEDC72244   </t>
  </si>
  <si>
    <t xml:space="preserve">FEDC72245   </t>
  </si>
  <si>
    <t xml:space="preserve">FEDC72246   </t>
  </si>
  <si>
    <t xml:space="preserve">FEDC72247   </t>
  </si>
  <si>
    <t xml:space="preserve">FEDC73206   </t>
  </si>
  <si>
    <t xml:space="preserve">FEDC73207   </t>
  </si>
  <si>
    <t xml:space="preserve">FEDC73711   </t>
  </si>
  <si>
    <t xml:space="preserve">FEDC73986   </t>
  </si>
  <si>
    <t xml:space="preserve">FEDC74873   </t>
  </si>
  <si>
    <t xml:space="preserve">FEDC74877   </t>
  </si>
  <si>
    <t xml:space="preserve">FEDC74878   </t>
  </si>
  <si>
    <t xml:space="preserve">FEDC75364   </t>
  </si>
  <si>
    <t xml:space="preserve">FEDC75437   </t>
  </si>
  <si>
    <t xml:space="preserve">FEDC75518   </t>
  </si>
  <si>
    <t xml:space="preserve">FEDC75800   </t>
  </si>
  <si>
    <t xml:space="preserve">FEDC76644   </t>
  </si>
  <si>
    <t xml:space="preserve">901118088-4         </t>
  </si>
  <si>
    <t xml:space="preserve">C.I PROCESOS INDUSTRIALES MARINOS SAS                       </t>
  </si>
  <si>
    <t xml:space="preserve">PARAGUACHON                   </t>
  </si>
  <si>
    <t xml:space="preserve">FEDC77369   </t>
  </si>
  <si>
    <t xml:space="preserve">6017042802                    </t>
  </si>
  <si>
    <t xml:space="preserve">FEDC77487   </t>
  </si>
  <si>
    <t xml:space="preserve">FEDC77647   </t>
  </si>
  <si>
    <t xml:space="preserve">8048692             </t>
  </si>
  <si>
    <t xml:space="preserve">COGOLLO CORONADO GABRIEL ENRRIQUE                           </t>
  </si>
  <si>
    <t xml:space="preserve">28  </t>
  </si>
  <si>
    <t>3148355602</t>
  </si>
  <si>
    <t xml:space="preserve">1001550501          </t>
  </si>
  <si>
    <t xml:space="preserve">BENITEZ FUERTES DANIELA                                     </t>
  </si>
  <si>
    <t xml:space="preserve">3135895215                    </t>
  </si>
  <si>
    <t xml:space="preserve">22  </t>
  </si>
  <si>
    <t xml:space="preserve">8047390             </t>
  </si>
  <si>
    <t xml:space="preserve">JIMENEZ TORRES CARLOS ALBERTO                               </t>
  </si>
  <si>
    <t>MONTELIBANO</t>
  </si>
  <si>
    <t xml:space="preserve">17  </t>
  </si>
  <si>
    <t xml:space="preserve">3126589307                    </t>
  </si>
  <si>
    <t xml:space="preserve">1069479440          </t>
  </si>
  <si>
    <t xml:space="preserve">ARROYO GAVIRIA SANDRA MARIA                                 </t>
  </si>
  <si>
    <t xml:space="preserve">3135607209                    </t>
  </si>
  <si>
    <t xml:space="preserve">1038097681          </t>
  </si>
  <si>
    <t xml:space="preserve">URBINA VERGARA IVON CAROLINA                                </t>
  </si>
  <si>
    <t xml:space="preserve">3186811106                    </t>
  </si>
  <si>
    <t xml:space="preserve">1032253939          </t>
  </si>
  <si>
    <t xml:space="preserve">HERNANDEZ BENAVIDEZ JHEYNER JAVIER                          </t>
  </si>
  <si>
    <t xml:space="preserve">GUARUMO                       </t>
  </si>
  <si>
    <t xml:space="preserve">3135330446                    </t>
  </si>
  <si>
    <t xml:space="preserve">1038112946          </t>
  </si>
  <si>
    <t xml:space="preserve">ARRIETA VILLEGAS SANDRA MILENA                              </t>
  </si>
  <si>
    <t xml:space="preserve">3215694941-3118537598         </t>
  </si>
  <si>
    <t xml:space="preserve">TARAZA                        </t>
  </si>
  <si>
    <t xml:space="preserve">1007273222          </t>
  </si>
  <si>
    <t xml:space="preserve">AGUILAR GOMEZ NANCY DEL CARMEN                              </t>
  </si>
  <si>
    <t xml:space="preserve">310 3662142                   </t>
  </si>
  <si>
    <t xml:space="preserve">JARDIN                        </t>
  </si>
  <si>
    <t xml:space="preserve">MONTERIA                      </t>
  </si>
  <si>
    <t xml:space="preserve">FECT397     </t>
  </si>
  <si>
    <t xml:space="preserve">03 </t>
  </si>
  <si>
    <t xml:space="preserve">FECT800     </t>
  </si>
  <si>
    <t xml:space="preserve">1063721503          </t>
  </si>
  <si>
    <t xml:space="preserve">SOTO SALAZAR JHONY ALEJANDRO                                </t>
  </si>
  <si>
    <t>EL BAGRE</t>
  </si>
  <si>
    <t xml:space="preserve">FEDC102575  </t>
  </si>
  <si>
    <t xml:space="preserve">3136126031 -3137226812        </t>
  </si>
  <si>
    <t xml:space="preserve">FEDC102576  </t>
  </si>
  <si>
    <t xml:space="preserve">1001741091-4        </t>
  </si>
  <si>
    <t xml:space="preserve">CARDENAS PEREZ BRIAN JOSE                                   </t>
  </si>
  <si>
    <t xml:space="preserve">FEDC108125  </t>
  </si>
  <si>
    <t xml:space="preserve">3017250021-3106514567         </t>
  </si>
  <si>
    <t xml:space="preserve">FEDC109601  </t>
  </si>
  <si>
    <t xml:space="preserve">FEDC110860  </t>
  </si>
  <si>
    <t xml:space="preserve">FEDC110862  </t>
  </si>
  <si>
    <t xml:space="preserve">70951988            </t>
  </si>
  <si>
    <t xml:space="preserve">GARCIA GIRALDO OTONIEL                                      </t>
  </si>
  <si>
    <t xml:space="preserve">8372646- 3127061378 cocho     </t>
  </si>
  <si>
    <t xml:space="preserve">901816917-1         </t>
  </si>
  <si>
    <t xml:space="preserve">INVERSIONES LA COMPETENCIA S.A.S.                           </t>
  </si>
  <si>
    <t xml:space="preserve">3233996696                    </t>
  </si>
  <si>
    <t xml:space="preserve">8204172             </t>
  </si>
  <si>
    <t xml:space="preserve">PACHECO SAYAS AMAURY JOSE                                   </t>
  </si>
  <si>
    <t xml:space="preserve">3104097081 8370555            </t>
  </si>
  <si>
    <t xml:space="preserve">98653342            </t>
  </si>
  <si>
    <t xml:space="preserve">ZUnIGA BERONA WILSON MANUEL                                 </t>
  </si>
  <si>
    <t xml:space="preserve">3104692729 - 8372463          </t>
  </si>
  <si>
    <t xml:space="preserve">8362443             </t>
  </si>
  <si>
    <t xml:space="preserve">CORONADO ROMERO NICOLAS JOSE                                </t>
  </si>
  <si>
    <t xml:space="preserve">3013323540     </t>
  </si>
  <si>
    <t xml:space="preserve">1040495180          </t>
  </si>
  <si>
    <t xml:space="preserve">ORTEGA ALVAREZ UBADEL ANTONIO                               </t>
  </si>
  <si>
    <t xml:space="preserve">3135653489     </t>
  </si>
  <si>
    <t xml:space="preserve">26230803-9          </t>
  </si>
  <si>
    <t xml:space="preserve">ARGUMEDO HERNANDEZ MINERVA ARSENIA                          </t>
  </si>
  <si>
    <t xml:space="preserve">VILLA DEL SOCORRO             </t>
  </si>
  <si>
    <t xml:space="preserve">3108901980                    </t>
  </si>
  <si>
    <t xml:space="preserve">1026569148          </t>
  </si>
  <si>
    <t xml:space="preserve">GOMEZ ZULUAGA ANDRES TADEO                                  </t>
  </si>
  <si>
    <t>PUERTO CLAVER</t>
  </si>
  <si>
    <t xml:space="preserve">3135069525     </t>
  </si>
  <si>
    <t xml:space="preserve">8200704             </t>
  </si>
  <si>
    <t xml:space="preserve">PEnA MARTINEZ YONIS                                         </t>
  </si>
  <si>
    <t>3207817065</t>
  </si>
  <si>
    <t xml:space="preserve">78303665            </t>
  </si>
  <si>
    <t xml:space="preserve">RICARDO PINILLOS JOVAN FERNEY                               </t>
  </si>
  <si>
    <t xml:space="preserve">PUERTO LOPEZ                  </t>
  </si>
  <si>
    <t xml:space="preserve">3204898577                    </t>
  </si>
  <si>
    <t xml:space="preserve">1    </t>
  </si>
  <si>
    <t xml:space="preserve">FEDC37139   </t>
  </si>
  <si>
    <t xml:space="preserve">FEDC37140   </t>
  </si>
  <si>
    <t xml:space="preserve">FEDC37865   </t>
  </si>
  <si>
    <t xml:space="preserve">FEDC38219   </t>
  </si>
  <si>
    <t xml:space="preserve">FEDC38220   </t>
  </si>
  <si>
    <t xml:space="preserve">FEDC38221   </t>
  </si>
  <si>
    <t xml:space="preserve">FEDC39002   </t>
  </si>
  <si>
    <t xml:space="preserve">FEDC39003   </t>
  </si>
  <si>
    <t xml:space="preserve">FEDC39004   </t>
  </si>
  <si>
    <t xml:space="preserve">FEDC39219   </t>
  </si>
  <si>
    <t xml:space="preserve">FEDC39959   </t>
  </si>
  <si>
    <t xml:space="preserve">FEDC39960   </t>
  </si>
  <si>
    <t xml:space="preserve">FEDC39961   </t>
  </si>
  <si>
    <t xml:space="preserve">FEDC40190   </t>
  </si>
  <si>
    <t xml:space="preserve">FEDC40230   </t>
  </si>
  <si>
    <t xml:space="preserve">FEDC40303   </t>
  </si>
  <si>
    <t xml:space="preserve">FEDC40944   </t>
  </si>
  <si>
    <t xml:space="preserve">FEDC40945   </t>
  </si>
  <si>
    <t xml:space="preserve">FEDC40946   </t>
  </si>
  <si>
    <t xml:space="preserve">FEDC40950   </t>
  </si>
  <si>
    <t xml:space="preserve">FEDC41860   </t>
  </si>
  <si>
    <t xml:space="preserve">FEDC41996   </t>
  </si>
  <si>
    <t xml:space="preserve">FEDC41998   </t>
  </si>
  <si>
    <t xml:space="preserve">FEDC41999   </t>
  </si>
  <si>
    <t xml:space="preserve">FEDC42053   </t>
  </si>
  <si>
    <t xml:space="preserve">FEDC42863   </t>
  </si>
  <si>
    <t xml:space="preserve">FEDC42864   </t>
  </si>
  <si>
    <t xml:space="preserve">FEDC42865   </t>
  </si>
  <si>
    <t xml:space="preserve">FEDC42954   </t>
  </si>
  <si>
    <t xml:space="preserve">FEDC43885   </t>
  </si>
  <si>
    <t xml:space="preserve">FEDC43886   </t>
  </si>
  <si>
    <t xml:space="preserve">FEDC43887   </t>
  </si>
  <si>
    <t xml:space="preserve">FEDC44559   </t>
  </si>
  <si>
    <t xml:space="preserve">FEDC44560   </t>
  </si>
  <si>
    <t xml:space="preserve">FEDC44561   </t>
  </si>
  <si>
    <t xml:space="preserve">FEDC44562   </t>
  </si>
  <si>
    <t xml:space="preserve">FEDC44743   </t>
  </si>
  <si>
    <t xml:space="preserve">FEDC45587   </t>
  </si>
  <si>
    <t xml:space="preserve">FEDC45588   </t>
  </si>
  <si>
    <t xml:space="preserve">FEDC45589   </t>
  </si>
  <si>
    <t xml:space="preserve">FEDC45590   </t>
  </si>
  <si>
    <t xml:space="preserve">FEDC46687   </t>
  </si>
  <si>
    <t xml:space="preserve">FEDC46691   </t>
  </si>
  <si>
    <t xml:space="preserve">FEDC46692   </t>
  </si>
  <si>
    <t xml:space="preserve">FEDC46884   </t>
  </si>
  <si>
    <t xml:space="preserve">FEDC47560   </t>
  </si>
  <si>
    <t xml:space="preserve">FEDC47748   </t>
  </si>
  <si>
    <t xml:space="preserve">FEDC47749   </t>
  </si>
  <si>
    <t xml:space="preserve">FEDC47750   </t>
  </si>
  <si>
    <t xml:space="preserve">FEDC48047   </t>
  </si>
  <si>
    <t xml:space="preserve">FEDC48048   </t>
  </si>
  <si>
    <t xml:space="preserve">FEDC48053   </t>
  </si>
  <si>
    <t xml:space="preserve">FEDC48464   </t>
  </si>
  <si>
    <t xml:space="preserve">FEDC48465   </t>
  </si>
  <si>
    <t xml:space="preserve">FEDC48466   </t>
  </si>
  <si>
    <t xml:space="preserve">FEDC48617   </t>
  </si>
  <si>
    <t xml:space="preserve">FEDC49530   </t>
  </si>
  <si>
    <t xml:space="preserve">FEDC49531   </t>
  </si>
  <si>
    <t xml:space="preserve">FEDC49532   </t>
  </si>
  <si>
    <t xml:space="preserve">FEDC49533   </t>
  </si>
  <si>
    <t xml:space="preserve">FEDC50496   </t>
  </si>
  <si>
    <t xml:space="preserve">FEDC50497   </t>
  </si>
  <si>
    <t xml:space="preserve">FEDC50498   </t>
  </si>
  <si>
    <t xml:space="preserve">FEDC50500   </t>
  </si>
  <si>
    <t xml:space="preserve">FEDC51405   </t>
  </si>
  <si>
    <t xml:space="preserve">FEDC51407   </t>
  </si>
  <si>
    <t xml:space="preserve">FEDC51408   </t>
  </si>
  <si>
    <t xml:space="preserve">FEDC51636   </t>
  </si>
  <si>
    <t xml:space="preserve">FEDC51974   </t>
  </si>
  <si>
    <t xml:space="preserve">FEDC52275   </t>
  </si>
  <si>
    <t xml:space="preserve">FEDC52276   </t>
  </si>
  <si>
    <t xml:space="preserve">FEDC52277   </t>
  </si>
  <si>
    <t xml:space="preserve">FEDC52278   </t>
  </si>
  <si>
    <t xml:space="preserve">FEDC52279   </t>
  </si>
  <si>
    <t xml:space="preserve">FEDC53237   </t>
  </si>
  <si>
    <t xml:space="preserve">FEDC53238   </t>
  </si>
  <si>
    <t xml:space="preserve">FEDC53239   </t>
  </si>
  <si>
    <t xml:space="preserve">FEDC53240   </t>
  </si>
  <si>
    <t xml:space="preserve">FEDC53241   </t>
  </si>
  <si>
    <t xml:space="preserve">FEDC53242   </t>
  </si>
  <si>
    <t xml:space="preserve">FEDC53418   </t>
  </si>
  <si>
    <t xml:space="preserve">FEDC53582   </t>
  </si>
  <si>
    <t xml:space="preserve">FEDC54234   </t>
  </si>
  <si>
    <t xml:space="preserve">FEDC54235   </t>
  </si>
  <si>
    <t xml:space="preserve">FEDC54236   </t>
  </si>
  <si>
    <t xml:space="preserve">FEDC54238   </t>
  </si>
  <si>
    <t xml:space="preserve">FEDC55076   </t>
  </si>
  <si>
    <t xml:space="preserve">FEDC55077   </t>
  </si>
  <si>
    <t xml:space="preserve">FEDC55078   </t>
  </si>
  <si>
    <t xml:space="preserve">FEDC55079   </t>
  </si>
  <si>
    <t xml:space="preserve">FEDC55147   </t>
  </si>
  <si>
    <t xml:space="preserve">FEDC56058   </t>
  </si>
  <si>
    <t xml:space="preserve">FEDC56059   </t>
  </si>
  <si>
    <t xml:space="preserve">FEDC56060   </t>
  </si>
  <si>
    <t xml:space="preserve">FEDC56061   </t>
  </si>
  <si>
    <t xml:space="preserve">FEDC56886   </t>
  </si>
  <si>
    <t xml:space="preserve">FEDC56887   </t>
  </si>
  <si>
    <t xml:space="preserve">FEDC56888   </t>
  </si>
  <si>
    <t xml:space="preserve">FEDC56963   </t>
  </si>
  <si>
    <t xml:space="preserve">FEDC57687   </t>
  </si>
  <si>
    <t xml:space="preserve">FEDC57688   </t>
  </si>
  <si>
    <t xml:space="preserve">FEDC57689   </t>
  </si>
  <si>
    <t xml:space="preserve">FEDC57690   </t>
  </si>
  <si>
    <t xml:space="preserve">FEDC57851   </t>
  </si>
  <si>
    <t xml:space="preserve">FEDC57939   </t>
  </si>
  <si>
    <t xml:space="preserve">FEDC57940   </t>
  </si>
  <si>
    <t xml:space="preserve">FEDC58734   </t>
  </si>
  <si>
    <t xml:space="preserve">FEDC58735   </t>
  </si>
  <si>
    <t xml:space="preserve">FEDC58736   </t>
  </si>
  <si>
    <t xml:space="preserve">FEDC59571   </t>
  </si>
  <si>
    <t xml:space="preserve">FEDC59572   </t>
  </si>
  <si>
    <t xml:space="preserve">FEDC59573   </t>
  </si>
  <si>
    <t xml:space="preserve">FEDC59574   </t>
  </si>
  <si>
    <t xml:space="preserve">FEDC59742   </t>
  </si>
  <si>
    <t xml:space="preserve">FEDC59972   </t>
  </si>
  <si>
    <t xml:space="preserve">FEDC60525   </t>
  </si>
  <si>
    <t xml:space="preserve">FEDC60527   </t>
  </si>
  <si>
    <t xml:space="preserve">FEDC60641   </t>
  </si>
  <si>
    <t xml:space="preserve">FEDC60642   </t>
  </si>
  <si>
    <t xml:space="preserve">FEDC60643   </t>
  </si>
  <si>
    <t xml:space="preserve">FEDC60644   </t>
  </si>
  <si>
    <t xml:space="preserve">FEDC61488   </t>
  </si>
  <si>
    <t xml:space="preserve">FEDC61489   </t>
  </si>
  <si>
    <t xml:space="preserve">FEDC61490   </t>
  </si>
  <si>
    <t xml:space="preserve">FEDC61491   </t>
  </si>
  <si>
    <t xml:space="preserve">FEDC61492   </t>
  </si>
  <si>
    <t xml:space="preserve">FEDC61743   </t>
  </si>
  <si>
    <t xml:space="preserve">FEDC62368   </t>
  </si>
  <si>
    <t xml:space="preserve">FEDC62369   </t>
  </si>
  <si>
    <t xml:space="preserve">FEDC62370   </t>
  </si>
  <si>
    <t xml:space="preserve">FEDC62371   </t>
  </si>
  <si>
    <t xml:space="preserve">FEDC62380   </t>
  </si>
  <si>
    <t xml:space="preserve">FEDC63152   </t>
  </si>
  <si>
    <t xml:space="preserve">FEDC63153   </t>
  </si>
  <si>
    <t xml:space="preserve">FEDC63154   </t>
  </si>
  <si>
    <t xml:space="preserve">FEDC63156   </t>
  </si>
  <si>
    <t xml:space="preserve">FEDC63157   </t>
  </si>
  <si>
    <t xml:space="preserve">FEDC63158   </t>
  </si>
  <si>
    <t xml:space="preserve">FEDC64045   </t>
  </si>
  <si>
    <t xml:space="preserve">FEDC64046   </t>
  </si>
  <si>
    <t xml:space="preserve">FEDC64047   </t>
  </si>
  <si>
    <t xml:space="preserve">FEDC64048   </t>
  </si>
  <si>
    <t xml:space="preserve">FEDC64049   </t>
  </si>
  <si>
    <t xml:space="preserve">FEDC64050   </t>
  </si>
  <si>
    <t xml:space="preserve">FEDC64179   </t>
  </si>
  <si>
    <t xml:space="preserve">FEDC64921   </t>
  </si>
  <si>
    <t xml:space="preserve">FEDC64922   </t>
  </si>
  <si>
    <t xml:space="preserve">FEDC64923   </t>
  </si>
  <si>
    <t xml:space="preserve">FEDC64925   </t>
  </si>
  <si>
    <t xml:space="preserve">FEDC64943   </t>
  </si>
  <si>
    <t xml:space="preserve">FEDC64949   </t>
  </si>
  <si>
    <t xml:space="preserve">FEDC65361   </t>
  </si>
  <si>
    <t xml:space="preserve">FEDC65539   </t>
  </si>
  <si>
    <t xml:space="preserve">FEDC66038   </t>
  </si>
  <si>
    <t xml:space="preserve">FEDC66039   </t>
  </si>
  <si>
    <t xml:space="preserve">FEDC66040   </t>
  </si>
  <si>
    <t xml:space="preserve">FEDC66041   </t>
  </si>
  <si>
    <t xml:space="preserve">FEDC66042   </t>
  </si>
  <si>
    <t xml:space="preserve">FEDC66936   </t>
  </si>
  <si>
    <t xml:space="preserve">FEDC66937   </t>
  </si>
  <si>
    <t xml:space="preserve">FEDC66938   </t>
  </si>
  <si>
    <t xml:space="preserve">FEDC66939   </t>
  </si>
  <si>
    <t xml:space="preserve">FEDC66940   </t>
  </si>
  <si>
    <t xml:space="preserve">FEDC67013   </t>
  </si>
  <si>
    <t xml:space="preserve">FEDC67031   </t>
  </si>
  <si>
    <t xml:space="preserve">FEDC67567   </t>
  </si>
  <si>
    <t xml:space="preserve">FEDC67759   </t>
  </si>
  <si>
    <t xml:space="preserve">FEDC67760   </t>
  </si>
  <si>
    <t xml:space="preserve">FEDC67761   </t>
  </si>
  <si>
    <t xml:space="preserve">FEDC67762   </t>
  </si>
  <si>
    <t xml:space="preserve">FEDC67763   </t>
  </si>
  <si>
    <t xml:space="preserve">FEDC68655   </t>
  </si>
  <si>
    <t xml:space="preserve">FEDC68656   </t>
  </si>
  <si>
    <t xml:space="preserve">FEDC68657   </t>
  </si>
  <si>
    <t xml:space="preserve">FEDC68658   </t>
  </si>
  <si>
    <t xml:space="preserve">FEDC68659   </t>
  </si>
  <si>
    <t xml:space="preserve">FEDC69886   </t>
  </si>
  <si>
    <t xml:space="preserve">FEDC69887   </t>
  </si>
  <si>
    <t xml:space="preserve">FEDC69888   </t>
  </si>
  <si>
    <t xml:space="preserve">FEDC69889   </t>
  </si>
  <si>
    <t xml:space="preserve">FEDC70179   </t>
  </si>
  <si>
    <t xml:space="preserve">FEDC70786   </t>
  </si>
  <si>
    <t xml:space="preserve">FEDC70787   </t>
  </si>
  <si>
    <t xml:space="preserve">FEDC70788   </t>
  </si>
  <si>
    <t xml:space="preserve">FEDC70789   </t>
  </si>
  <si>
    <t xml:space="preserve">FEDC70790   </t>
  </si>
  <si>
    <t xml:space="preserve">FEDC71570   </t>
  </si>
  <si>
    <t xml:space="preserve">FEDC71571   </t>
  </si>
  <si>
    <t xml:space="preserve">FEDC71572   </t>
  </si>
  <si>
    <t xml:space="preserve">FEDC71573   </t>
  </si>
  <si>
    <t xml:space="preserve">FEDC71574   </t>
  </si>
  <si>
    <t xml:space="preserve">FEDC71583   </t>
  </si>
  <si>
    <t xml:space="preserve">FEDC71730   </t>
  </si>
  <si>
    <t xml:space="preserve">FEDC71780   </t>
  </si>
  <si>
    <t xml:space="preserve">FEDC71781   </t>
  </si>
  <si>
    <t xml:space="preserve">FEDC72071   </t>
  </si>
  <si>
    <t xml:space="preserve">FEDC72417   </t>
  </si>
  <si>
    <t xml:space="preserve">FEDC72418   </t>
  </si>
  <si>
    <t xml:space="preserve">FEDC72419   </t>
  </si>
  <si>
    <t xml:space="preserve">FEDC72420   </t>
  </si>
  <si>
    <t xml:space="preserve">FEDC73322   </t>
  </si>
  <si>
    <t xml:space="preserve">FEDC73323   </t>
  </si>
  <si>
    <t xml:space="preserve">FEDC73324   </t>
  </si>
  <si>
    <t xml:space="preserve">FEDC73325   </t>
  </si>
  <si>
    <t xml:space="preserve">FEDC73326   </t>
  </si>
  <si>
    <t xml:space="preserve">FEDC73681   </t>
  </si>
  <si>
    <t xml:space="preserve">FEDC73997   </t>
  </si>
  <si>
    <t xml:space="preserve">FEDC74170   </t>
  </si>
  <si>
    <t xml:space="preserve">FEDC74171   </t>
  </si>
  <si>
    <t xml:space="preserve">FEDC74172   </t>
  </si>
  <si>
    <t xml:space="preserve">FEDC74173   </t>
  </si>
  <si>
    <t xml:space="preserve">FEDC74174   </t>
  </si>
  <si>
    <t xml:space="preserve">FEDC74175   </t>
  </si>
  <si>
    <t xml:space="preserve">FEDC75105   </t>
  </si>
  <si>
    <t xml:space="preserve">FEDC75106   </t>
  </si>
  <si>
    <t xml:space="preserve">FEDC75107   </t>
  </si>
  <si>
    <t xml:space="preserve">FEDC75108   </t>
  </si>
  <si>
    <t xml:space="preserve">FEDC75109   </t>
  </si>
  <si>
    <t xml:space="preserve">FEDC75323   </t>
  </si>
  <si>
    <t xml:space="preserve">FEDC75324   </t>
  </si>
  <si>
    <t xml:space="preserve">FEDC75597   </t>
  </si>
  <si>
    <t xml:space="preserve">FEDC75989   </t>
  </si>
  <si>
    <t xml:space="preserve">FEDC75990   </t>
  </si>
  <si>
    <t xml:space="preserve">FEDC75991   </t>
  </si>
  <si>
    <t xml:space="preserve">FEDC75992   </t>
  </si>
  <si>
    <t xml:space="preserve">FEDC75993   </t>
  </si>
  <si>
    <t xml:space="preserve">FEDC77050   </t>
  </si>
  <si>
    <t xml:space="preserve">FEDC77051   </t>
  </si>
  <si>
    <t xml:space="preserve">FEDC77052   </t>
  </si>
  <si>
    <t xml:space="preserve">FEDC77053   </t>
  </si>
  <si>
    <t xml:space="preserve">FEDC77054   </t>
  </si>
  <si>
    <t xml:space="preserve">FEDC77645   </t>
  </si>
  <si>
    <t xml:space="preserve">FEDC77646   </t>
  </si>
  <si>
    <t xml:space="preserve">FEDC77648   </t>
  </si>
  <si>
    <t xml:space="preserve">901434767-1         </t>
  </si>
  <si>
    <t xml:space="preserve">PROVEEDORA Y AUTOSERVICIO MERCAR S.A.S                      </t>
  </si>
  <si>
    <t xml:space="preserve">FEDC85702   </t>
  </si>
  <si>
    <t xml:space="preserve">3137225561                    </t>
  </si>
  <si>
    <t xml:space="preserve">FEDC85703   </t>
  </si>
  <si>
    <t xml:space="preserve">FEDC85704   </t>
  </si>
  <si>
    <t xml:space="preserve">FEDC85705   </t>
  </si>
  <si>
    <t xml:space="preserve">FEDC90741   </t>
  </si>
  <si>
    <t xml:space="preserve">FEDC90742   </t>
  </si>
  <si>
    <t xml:space="preserve">FEDC95298   </t>
  </si>
  <si>
    <t xml:space="preserve">FEDC95316   </t>
  </si>
  <si>
    <t xml:space="preserve">CO37709     </t>
  </si>
  <si>
    <t xml:space="preserve">04 </t>
  </si>
  <si>
    <t xml:space="preserve">FECT156     </t>
  </si>
  <si>
    <t xml:space="preserve">78768906            </t>
  </si>
  <si>
    <t xml:space="preserve">JIMENEZ RODRIGUEZ LUIS FERNANDO                             </t>
  </si>
  <si>
    <t>TARAZA</t>
  </si>
  <si>
    <t xml:space="preserve">FEDC118604  </t>
  </si>
  <si>
    <t xml:space="preserve">3127463564                    </t>
  </si>
  <si>
    <t xml:space="preserve">21588454-0          </t>
  </si>
  <si>
    <t xml:space="preserve">MARTINEZ LASCARRO DORIS                                     </t>
  </si>
  <si>
    <t xml:space="preserve">3218316642     </t>
  </si>
  <si>
    <t xml:space="preserve">1045432245          </t>
  </si>
  <si>
    <t xml:space="preserve">TORO VARELA LUISA FERNANDA                                  </t>
  </si>
  <si>
    <t xml:space="preserve">3113880968                    </t>
  </si>
  <si>
    <t xml:space="preserve">70134491            </t>
  </si>
  <si>
    <t xml:space="preserve">MENESES OSORNO GONZALO ALBERTO                              </t>
  </si>
  <si>
    <t xml:space="preserve">3128936297                    </t>
  </si>
  <si>
    <t xml:space="preserve">15306102            </t>
  </si>
  <si>
    <t xml:space="preserve">GRANDA ARROYAVE ALBERTO ELIAS                               </t>
  </si>
  <si>
    <t xml:space="preserve">3103720204                    </t>
  </si>
  <si>
    <t xml:space="preserve">1214717520          </t>
  </si>
  <si>
    <t xml:space="preserve">SOLANO PINEDA KATERINE ANDREA                               </t>
  </si>
  <si>
    <t xml:space="preserve">3216260203     </t>
  </si>
  <si>
    <t xml:space="preserve">32119371            </t>
  </si>
  <si>
    <t xml:space="preserve">ROJAS VASQUEZ GLADIS PATRICIA                               </t>
  </si>
  <si>
    <t xml:space="preserve">3105360198     </t>
  </si>
  <si>
    <t xml:space="preserve">1045426219          </t>
  </si>
  <si>
    <t xml:space="preserve">GONZALEZ BARRERA JERSY DUBIAN                               </t>
  </si>
  <si>
    <t xml:space="preserve">3104709144     </t>
  </si>
  <si>
    <t xml:space="preserve">KILOMETRO 12                  </t>
  </si>
  <si>
    <t xml:space="preserve">FEDC36712   </t>
  </si>
  <si>
    <t xml:space="preserve">FEDC36961   </t>
  </si>
  <si>
    <t xml:space="preserve">FEDC37618   </t>
  </si>
  <si>
    <t xml:space="preserve">FEDC37653   </t>
  </si>
  <si>
    <t xml:space="preserve">FEDC37655   </t>
  </si>
  <si>
    <t xml:space="preserve">FEDC38488   </t>
  </si>
  <si>
    <t xml:space="preserve">FEDC39471   </t>
  </si>
  <si>
    <t xml:space="preserve">FEDC39517   </t>
  </si>
  <si>
    <t xml:space="preserve">FEDC39518   </t>
  </si>
  <si>
    <t xml:space="preserve">FEDC40224   </t>
  </si>
  <si>
    <t xml:space="preserve">FEDC40304   </t>
  </si>
  <si>
    <t xml:space="preserve">FEDC40378   </t>
  </si>
  <si>
    <t xml:space="preserve">FEDC40379   </t>
  </si>
  <si>
    <t xml:space="preserve">FEDC41442   </t>
  </si>
  <si>
    <t xml:space="preserve">FEDC41484   </t>
  </si>
  <si>
    <t xml:space="preserve">FEDC41735   </t>
  </si>
  <si>
    <t xml:space="preserve">FEDC42376   </t>
  </si>
  <si>
    <t xml:space="preserve">FEDC42377   </t>
  </si>
  <si>
    <t xml:space="preserve">FEDC42574   </t>
  </si>
  <si>
    <t xml:space="preserve">FEDC42948   </t>
  </si>
  <si>
    <t xml:space="preserve">FEDC43221   </t>
  </si>
  <si>
    <t xml:space="preserve">FEDC43352   </t>
  </si>
  <si>
    <t xml:space="preserve">FEDC43754   </t>
  </si>
  <si>
    <t xml:space="preserve">FEDC43755   </t>
  </si>
  <si>
    <t xml:space="preserve">FEDC44234   </t>
  </si>
  <si>
    <t xml:space="preserve">FEDC45037   </t>
  </si>
  <si>
    <t xml:space="preserve">FEDC45077   </t>
  </si>
  <si>
    <t xml:space="preserve">FEDC45112   </t>
  </si>
  <si>
    <t xml:space="preserve">FEDC45113   </t>
  </si>
  <si>
    <t xml:space="preserve">FEDC46138   </t>
  </si>
  <si>
    <t xml:space="preserve">FEDC46893   </t>
  </si>
  <si>
    <t xml:space="preserve">FEDC47103   </t>
  </si>
  <si>
    <t xml:space="preserve">FEDC47197   </t>
  </si>
  <si>
    <t xml:space="preserve">FEDC47338   </t>
  </si>
  <si>
    <t xml:space="preserve">FEDC47958   </t>
  </si>
  <si>
    <t xml:space="preserve">FEDC48167   </t>
  </si>
  <si>
    <t xml:space="preserve">FEDC60228   </t>
  </si>
  <si>
    <t xml:space="preserve">FEDC68456   </t>
  </si>
  <si>
    <t xml:space="preserve">FEDC69195   </t>
  </si>
  <si>
    <t xml:space="preserve">FEDC70356   </t>
  </si>
  <si>
    <t xml:space="preserve">FEDC71267   </t>
  </si>
  <si>
    <t xml:space="preserve">FEDC73076   </t>
  </si>
  <si>
    <t xml:space="preserve">FEDC73743   </t>
  </si>
  <si>
    <t xml:space="preserve">FEDC75556   </t>
  </si>
  <si>
    <t xml:space="preserve">FEDC75557   </t>
  </si>
  <si>
    <t xml:space="preserve">FEDC75566   </t>
  </si>
  <si>
    <t xml:space="preserve">FEDC76539   </t>
  </si>
  <si>
    <t xml:space="preserve">FEDC77355   </t>
  </si>
  <si>
    <t xml:space="preserve">FECT704     </t>
  </si>
  <si>
    <t xml:space="preserve">05 </t>
  </si>
  <si>
    <t xml:space="preserve">1002085278          </t>
  </si>
  <si>
    <t xml:space="preserve">MONTOYA BARRERA JUAN PABLO                                  </t>
  </si>
  <si>
    <t xml:space="preserve">3044903112                    </t>
  </si>
  <si>
    <t xml:space="preserve">1042770324          </t>
  </si>
  <si>
    <t xml:space="preserve">GRANDA CARDONA MELISSA                                      </t>
  </si>
  <si>
    <t xml:space="preserve">3217271544-3104942622         </t>
  </si>
  <si>
    <t xml:space="preserve">FEDC36653   </t>
  </si>
  <si>
    <t xml:space="preserve">FEDC37614   </t>
  </si>
  <si>
    <t xml:space="preserve">FEDC38438   </t>
  </si>
  <si>
    <t xml:space="preserve">FEDC40368   </t>
  </si>
  <si>
    <t xml:space="preserve">FEDC41434   </t>
  </si>
  <si>
    <t xml:space="preserve">FEDC42370   </t>
  </si>
  <si>
    <t xml:space="preserve">FEDC43235   </t>
  </si>
  <si>
    <t xml:space="preserve">FEDC44167   </t>
  </si>
  <si>
    <t xml:space="preserve">FEDC45006   </t>
  </si>
  <si>
    <t xml:space="preserve">FEDC46123   </t>
  </si>
  <si>
    <t xml:space="preserve">FEDC47221   </t>
  </si>
  <si>
    <t xml:space="preserve">FEDC49029   </t>
  </si>
  <si>
    <t xml:space="preserve">FEDC49038   </t>
  </si>
  <si>
    <t xml:space="preserve">FEDC50799   </t>
  </si>
  <si>
    <t xml:space="preserve">FEDC51858   </t>
  </si>
  <si>
    <t xml:space="preserve">FEDC52746   </t>
  </si>
  <si>
    <t xml:space="preserve">FEDC53752   </t>
  </si>
  <si>
    <t xml:space="preserve">FEDC54675   </t>
  </si>
  <si>
    <t xml:space="preserve">FEDC55628   </t>
  </si>
  <si>
    <t xml:space="preserve">FEDC56470   </t>
  </si>
  <si>
    <t xml:space="preserve">FEDC59120   </t>
  </si>
  <si>
    <t xml:space="preserve">FEDC60110   </t>
  </si>
  <si>
    <t xml:space="preserve">FEDC60136   </t>
  </si>
  <si>
    <t xml:space="preserve">FEDC62006   </t>
  </si>
  <si>
    <t xml:space="preserve">FEDC62620   </t>
  </si>
  <si>
    <t xml:space="preserve">FEDC65675   </t>
  </si>
  <si>
    <t xml:space="preserve">FEDC67393   </t>
  </si>
  <si>
    <t xml:space="preserve">FEDC68288   </t>
  </si>
  <si>
    <t xml:space="preserve">FEDC68289   </t>
  </si>
  <si>
    <t xml:space="preserve">FEDC68462   </t>
  </si>
  <si>
    <t xml:space="preserve">FEDC69161   </t>
  </si>
  <si>
    <t xml:space="preserve">FEDC70078   </t>
  </si>
  <si>
    <t xml:space="preserve">FEDC70357   </t>
  </si>
  <si>
    <t xml:space="preserve">FEDC71211   </t>
  </si>
  <si>
    <t xml:space="preserve">FEDC71212   </t>
  </si>
  <si>
    <t xml:space="preserve">FEDC72939   </t>
  </si>
  <si>
    <t xml:space="preserve">FEDC73742   </t>
  </si>
  <si>
    <t xml:space="preserve">FEDC73800   </t>
  </si>
  <si>
    <t xml:space="preserve">FEDC74655   </t>
  </si>
  <si>
    <t xml:space="preserve">FEDC75480   </t>
  </si>
  <si>
    <t xml:space="preserve">FEDC75563   </t>
  </si>
  <si>
    <t xml:space="preserve">FEDC76402   </t>
  </si>
  <si>
    <t xml:space="preserve">FEDC77253   </t>
  </si>
  <si>
    <t xml:space="preserve">06 </t>
  </si>
  <si>
    <t xml:space="preserve">FEDC36664   </t>
  </si>
  <si>
    <t xml:space="preserve">FEDC36665   </t>
  </si>
  <si>
    <t xml:space="preserve">FEDC37612   </t>
  </si>
  <si>
    <t xml:space="preserve">FEDC38430   </t>
  </si>
  <si>
    <t xml:space="preserve">FEDC38431   </t>
  </si>
  <si>
    <t xml:space="preserve">FEDC39462   </t>
  </si>
  <si>
    <t xml:space="preserve">FEDC39463   </t>
  </si>
  <si>
    <t xml:space="preserve">FEDC41382   </t>
  </si>
  <si>
    <t xml:space="preserve">FEDC41383   </t>
  </si>
  <si>
    <t xml:space="preserve">FEDC42355   </t>
  </si>
  <si>
    <t xml:space="preserve">FEDC42356   </t>
  </si>
  <si>
    <t xml:space="preserve">FEDC43227   </t>
  </si>
  <si>
    <t xml:space="preserve">FEDC43228   </t>
  </si>
  <si>
    <t xml:space="preserve">FEDC45003   </t>
  </si>
  <si>
    <t xml:space="preserve">FEDC45004   </t>
  </si>
  <si>
    <t xml:space="preserve">FEDC46100   </t>
  </si>
  <si>
    <t xml:space="preserve">FEDC46101   </t>
  </si>
  <si>
    <t xml:space="preserve">FEDC46102   </t>
  </si>
  <si>
    <t xml:space="preserve">FEDC47220   </t>
  </si>
  <si>
    <t xml:space="preserve">FEDC48045   </t>
  </si>
  <si>
    <t xml:space="preserve">FEDC49023   </t>
  </si>
  <si>
    <t xml:space="preserve">FEDC49024   </t>
  </si>
  <si>
    <t xml:space="preserve">FEDC49025   </t>
  </si>
  <si>
    <t xml:space="preserve">FEDC49996   </t>
  </si>
  <si>
    <t xml:space="preserve">FEDC49997   </t>
  </si>
  <si>
    <t xml:space="preserve">FEDC50795   </t>
  </si>
  <si>
    <t xml:space="preserve">FEDC50796   </t>
  </si>
  <si>
    <t xml:space="preserve">FEDC51860   </t>
  </si>
  <si>
    <t xml:space="preserve">FEDC52742   </t>
  </si>
  <si>
    <t xml:space="preserve">FEDC52743   </t>
  </si>
  <si>
    <t xml:space="preserve">FEDC53745   </t>
  </si>
  <si>
    <t xml:space="preserve">FEDC53746   </t>
  </si>
  <si>
    <t xml:space="preserve">FEDC54633   </t>
  </si>
  <si>
    <t xml:space="preserve">FEDC54644   </t>
  </si>
  <si>
    <t xml:space="preserve">FEDC55619   </t>
  </si>
  <si>
    <t xml:space="preserve">FEDC56465   </t>
  </si>
  <si>
    <t xml:space="preserve">FEDC56625   </t>
  </si>
  <si>
    <t xml:space="preserve">FEDC59109   </t>
  </si>
  <si>
    <t xml:space="preserve">FEDC59110   </t>
  </si>
  <si>
    <t xml:space="preserve">FEDC60111   </t>
  </si>
  <si>
    <t xml:space="preserve">FEDC60124   </t>
  </si>
  <si>
    <t xml:space="preserve">FEDC60125   </t>
  </si>
  <si>
    <t xml:space="preserve">FEDC60992   </t>
  </si>
  <si>
    <t xml:space="preserve">FEDC60993   </t>
  </si>
  <si>
    <t xml:space="preserve">FEDC61998   </t>
  </si>
  <si>
    <t xml:space="preserve">FEDC62611   </t>
  </si>
  <si>
    <t xml:space="preserve">FEDC62612   </t>
  </si>
  <si>
    <t xml:space="preserve">FEDC63594   </t>
  </si>
  <si>
    <t xml:space="preserve">FEDC63595   </t>
  </si>
  <si>
    <t xml:space="preserve">FEDC64519   </t>
  </si>
  <si>
    <t xml:space="preserve">FEDC64520   </t>
  </si>
  <si>
    <t xml:space="preserve">FEDC64521   </t>
  </si>
  <si>
    <t xml:space="preserve">FEDC65540   </t>
  </si>
  <si>
    <t xml:space="preserve">FEDC68461   </t>
  </si>
  <si>
    <t xml:space="preserve">FEDC69153   </t>
  </si>
  <si>
    <t xml:space="preserve">FEDC70071   </t>
  </si>
  <si>
    <t xml:space="preserve">FEDC70358   </t>
  </si>
  <si>
    <t xml:space="preserve">FEDC71199   </t>
  </si>
  <si>
    <t xml:space="preserve">FEDC71200   </t>
  </si>
  <si>
    <t xml:space="preserve">FEDC72015   </t>
  </si>
  <si>
    <t xml:space="preserve">FEDC72888   </t>
  </si>
  <si>
    <t xml:space="preserve">FEDC72889   </t>
  </si>
  <si>
    <t xml:space="preserve">FEDC73741   </t>
  </si>
  <si>
    <t xml:space="preserve">FEDC73792   </t>
  </si>
  <si>
    <t xml:space="preserve">FEDC73793   </t>
  </si>
  <si>
    <t xml:space="preserve">FEDC75479   </t>
  </si>
  <si>
    <t xml:space="preserve">FEDC75490   </t>
  </si>
  <si>
    <t xml:space="preserve">FEDC76399   </t>
  </si>
  <si>
    <t xml:space="preserve">15322769            </t>
  </si>
  <si>
    <t xml:space="preserve">AREIZA QUINTERO OSCAR DARIO                                 </t>
  </si>
  <si>
    <t>VALDIVIA</t>
  </si>
  <si>
    <t xml:space="preserve">FEDC113393  </t>
  </si>
  <si>
    <t xml:space="preserve">07 </t>
  </si>
  <si>
    <t>3137321385</t>
  </si>
  <si>
    <t xml:space="preserve">FEDC114165  </t>
  </si>
  <si>
    <t xml:space="preserve">1152441291          </t>
  </si>
  <si>
    <t xml:space="preserve">MADRIGAL PEREZ MIGUEL ALEJANDRO                             </t>
  </si>
  <si>
    <t>ZARAGOZA</t>
  </si>
  <si>
    <t xml:space="preserve">08 </t>
  </si>
  <si>
    <t xml:space="preserve">3136226114                    </t>
  </si>
  <si>
    <t xml:space="preserve">FEDC110454  </t>
  </si>
  <si>
    <t xml:space="preserve">FEDC110455  </t>
  </si>
  <si>
    <t xml:space="preserve">FEDC110456  </t>
  </si>
  <si>
    <t xml:space="preserve">FEDC111834  </t>
  </si>
  <si>
    <t xml:space="preserve">FEDC111835  </t>
  </si>
  <si>
    <t xml:space="preserve">22590330            </t>
  </si>
  <si>
    <t xml:space="preserve">LOPEZ LOPEZ MARIA DELQUER                                   </t>
  </si>
  <si>
    <t xml:space="preserve">ZARAGOZA                      </t>
  </si>
  <si>
    <t xml:space="preserve">FEDC122297  </t>
  </si>
  <si>
    <t xml:space="preserve">3135999760                    </t>
  </si>
  <si>
    <t xml:space="preserve">1045419221          </t>
  </si>
  <si>
    <t xml:space="preserve">ARANGO CARVAJAL CAROLIN TATIANA                             </t>
  </si>
  <si>
    <t xml:space="preserve">323746081                     </t>
  </si>
  <si>
    <t xml:space="preserve">22238237            </t>
  </si>
  <si>
    <t xml:space="preserve">GUERRA LOPEZ TERESA DE JESUS                                </t>
  </si>
  <si>
    <t xml:space="preserve">3146019058 -8388385           </t>
  </si>
  <si>
    <t xml:space="preserve">901871276-0         </t>
  </si>
  <si>
    <t xml:space="preserve">DROGUERIA POPULAR ZARAGOZA SAS                              </t>
  </si>
  <si>
    <t xml:space="preserve">3145691266                    </t>
  </si>
  <si>
    <t xml:space="preserve">3674410             </t>
  </si>
  <si>
    <t xml:space="preserve">BORJA VILLA YEISON ARLEY                                    </t>
  </si>
  <si>
    <t xml:space="preserve">3226683258-3117071439         </t>
  </si>
  <si>
    <t xml:space="preserve">1045140006          </t>
  </si>
  <si>
    <t xml:space="preserve">LOPERA GALEANO ALEJANDRO                                    </t>
  </si>
  <si>
    <t xml:space="preserve">3214694109                    </t>
  </si>
  <si>
    <t xml:space="preserve">22243725            </t>
  </si>
  <si>
    <t xml:space="preserve">MONROY MEJIA ROSA MARIA                                     </t>
  </si>
  <si>
    <t xml:space="preserve">3143929658                    </t>
  </si>
  <si>
    <t xml:space="preserve">NECHI                         </t>
  </si>
  <si>
    <t xml:space="preserve">43693040            </t>
  </si>
  <si>
    <t xml:space="preserve">MAURE GENOVEVA                                              </t>
  </si>
  <si>
    <t xml:space="preserve">3235082460                    </t>
  </si>
  <si>
    <t xml:space="preserve">3104037668                    </t>
  </si>
  <si>
    <t xml:space="preserve">3674529             </t>
  </si>
  <si>
    <t xml:space="preserve">GARCIA MESA FABER ALEXANDER                                 </t>
  </si>
  <si>
    <t>3117985870</t>
  </si>
  <si>
    <t xml:space="preserve">22238141            </t>
  </si>
  <si>
    <t xml:space="preserve">ARANGO ATEHORTUA GLORIA ROSARIO                             </t>
  </si>
  <si>
    <t xml:space="preserve">8388276 -3104411783           </t>
  </si>
  <si>
    <t xml:space="preserve">3670256             </t>
  </si>
  <si>
    <t xml:space="preserve">MOLINA VASQUEZ CALED EMILIO                                 </t>
  </si>
  <si>
    <t xml:space="preserve">8389318 -3122342979           </t>
  </si>
  <si>
    <t xml:space="preserve">98476403            </t>
  </si>
  <si>
    <t xml:space="preserve">GIRALDO OVIDIO DE JESUS                                     </t>
  </si>
  <si>
    <t xml:space="preserve">3216084912 -3207680191        </t>
  </si>
  <si>
    <t xml:space="preserve">FEDC42547   </t>
  </si>
  <si>
    <t xml:space="preserve">05  </t>
  </si>
  <si>
    <t xml:space="preserve">FEDC43465   </t>
  </si>
  <si>
    <t xml:space="preserve">FEDC44265   </t>
  </si>
  <si>
    <t xml:space="preserve">FEDC44266   </t>
  </si>
  <si>
    <t xml:space="preserve">FEDC46264   </t>
  </si>
  <si>
    <t xml:space="preserve">FEDC46367   </t>
  </si>
  <si>
    <t xml:space="preserve">FEDC47395   </t>
  </si>
  <si>
    <t xml:space="preserve">FEDC47396   </t>
  </si>
  <si>
    <t xml:space="preserve">FEDC47397   </t>
  </si>
  <si>
    <t xml:space="preserve">FEDC48199   </t>
  </si>
  <si>
    <t xml:space="preserve">FEDC48204   </t>
  </si>
  <si>
    <t xml:space="preserve">FEDC49091   </t>
  </si>
  <si>
    <t xml:space="preserve">FEDC57265   </t>
  </si>
  <si>
    <t xml:space="preserve">71005690            </t>
  </si>
  <si>
    <t xml:space="preserve">OROZCO VALENCIA WILLIAN DE JESUS                            </t>
  </si>
  <si>
    <t xml:space="preserve">FEDC78121   </t>
  </si>
  <si>
    <t xml:space="preserve">3113824100                    </t>
  </si>
  <si>
    <t xml:space="preserve">92428613            </t>
  </si>
  <si>
    <t xml:space="preserve">HENAO HERNANDEZ WILMAR ARCESIO                              </t>
  </si>
  <si>
    <t xml:space="preserve">FEDC89123   </t>
  </si>
  <si>
    <t xml:space="preserve">3217985691                    </t>
  </si>
  <si>
    <t xml:space="preserve">1066510443          </t>
  </si>
  <si>
    <t xml:space="preserve">DIAZ ORTEGA TATIANA BEATRIZ                                 </t>
  </si>
  <si>
    <t xml:space="preserve">AYAPEL                        </t>
  </si>
  <si>
    <t xml:space="preserve">CO64947     </t>
  </si>
  <si>
    <t xml:space="preserve">09 </t>
  </si>
  <si>
    <t xml:space="preserve">3115349865                    </t>
  </si>
  <si>
    <t xml:space="preserve">92524678            </t>
  </si>
  <si>
    <t xml:space="preserve">BAQUERO BERTEL NILSON DE JESUS                              </t>
  </si>
  <si>
    <t xml:space="preserve">FEVM11868   </t>
  </si>
  <si>
    <t xml:space="preserve">3235207288                    </t>
  </si>
  <si>
    <t xml:space="preserve">1003288071          </t>
  </si>
  <si>
    <t xml:space="preserve">QUINTERO JIMENEZ JHON JAIRO                                 </t>
  </si>
  <si>
    <t xml:space="preserve">FEVM27058   </t>
  </si>
  <si>
    <t xml:space="preserve">3128309133-3234665815         </t>
  </si>
  <si>
    <t xml:space="preserve">FEVM27762   </t>
  </si>
  <si>
    <t xml:space="preserve">FEVM28341   </t>
  </si>
  <si>
    <t>AYAPEL</t>
  </si>
  <si>
    <t xml:space="preserve">50994786            </t>
  </si>
  <si>
    <t xml:space="preserve">SIERRA NAVARRO LIBIA DEL CARMEN                             </t>
  </si>
  <si>
    <t xml:space="preserve">3136427693 - 3217353632       </t>
  </si>
  <si>
    <t xml:space="preserve">78113894            </t>
  </si>
  <si>
    <t xml:space="preserve">SIMANCA LUCAS EDUAR MANUEL                                  </t>
  </si>
  <si>
    <t xml:space="preserve">3137710031                    </t>
  </si>
  <si>
    <t xml:space="preserve">70696568            </t>
  </si>
  <si>
    <t xml:space="preserve">ZULUAGA ZULUAGA CARLOS MARIO                                </t>
  </si>
  <si>
    <t xml:space="preserve">3114240949                    </t>
  </si>
  <si>
    <t xml:space="preserve">43613629            </t>
  </si>
  <si>
    <t xml:space="preserve">SAMPAYO ORTEGA DILMA JOSEFA                                 </t>
  </si>
  <si>
    <t xml:space="preserve">3208859238     </t>
  </si>
  <si>
    <t xml:space="preserve">50993448            </t>
  </si>
  <si>
    <t xml:space="preserve">PULGAR ZULETA LILIANA DE JESUS                              </t>
  </si>
  <si>
    <t xml:space="preserve">7705266        </t>
  </si>
  <si>
    <t xml:space="preserve">78112440            </t>
  </si>
  <si>
    <t xml:space="preserve">CHOPERENA AVILA DARWIN FIDEL                                </t>
  </si>
  <si>
    <t xml:space="preserve">3106642740                    </t>
  </si>
  <si>
    <t xml:space="preserve">1066520232          </t>
  </si>
  <si>
    <t xml:space="preserve">LUNA CHAVEZ OSCAR DAVID                                     </t>
  </si>
  <si>
    <t xml:space="preserve">3107024242                    </t>
  </si>
  <si>
    <t xml:space="preserve">78108073            </t>
  </si>
  <si>
    <t xml:space="preserve">SAMPAYO SANTOS RAFAEL EMIRO                                 </t>
  </si>
  <si>
    <t xml:space="preserve">3126146979     </t>
  </si>
  <si>
    <t xml:space="preserve">1066270216          </t>
  </si>
  <si>
    <t xml:space="preserve">RAMOS CASTILLO YORDANA VANESSA                              </t>
  </si>
  <si>
    <t xml:space="preserve">3134923550                    </t>
  </si>
  <si>
    <t xml:space="preserve">1193562013          </t>
  </si>
  <si>
    <t xml:space="preserve">PUPO PUERTA PRICILA                                         </t>
  </si>
  <si>
    <t xml:space="preserve">3046029289 - 3136112676       </t>
  </si>
  <si>
    <t xml:space="preserve">1066518174          </t>
  </si>
  <si>
    <t xml:space="preserve">MEJIA MARTINEZ ELINEL DE JESUS                              </t>
  </si>
  <si>
    <t xml:space="preserve">3216102127-3155095670         </t>
  </si>
  <si>
    <t xml:space="preserve">1066524620          </t>
  </si>
  <si>
    <t xml:space="preserve">IBARRA CUELLO FRANKI                                        </t>
  </si>
  <si>
    <t xml:space="preserve">3015679999                    </t>
  </si>
  <si>
    <t xml:space="preserve">78115036            </t>
  </si>
  <si>
    <t xml:space="preserve">VARGAS JAIRO CESAR                                          </t>
  </si>
  <si>
    <t>7724344</t>
  </si>
  <si>
    <t xml:space="preserve">1066524935          </t>
  </si>
  <si>
    <t xml:space="preserve">URBIÑEZ MARTINEZ MARIA ALEJANDRA                            </t>
  </si>
  <si>
    <t xml:space="preserve">3117567994                    </t>
  </si>
  <si>
    <t xml:space="preserve">1066527375          </t>
  </si>
  <si>
    <t xml:space="preserve">CORREA DURANGO MARIA CECILIA                                </t>
  </si>
  <si>
    <t xml:space="preserve">FEVM6340    </t>
  </si>
  <si>
    <t xml:space="preserve">3137895245                    </t>
  </si>
  <si>
    <t xml:space="preserve">30574986            </t>
  </si>
  <si>
    <t xml:space="preserve">GIL PINTO ANA ROSA                                          </t>
  </si>
  <si>
    <t>SAHAGUN</t>
  </si>
  <si>
    <t xml:space="preserve">10 </t>
  </si>
  <si>
    <t xml:space="preserve">07  </t>
  </si>
  <si>
    <t xml:space="preserve">3013513431 -3105027158 Nadin  </t>
  </si>
  <si>
    <t xml:space="preserve">SAHAGUN                       </t>
  </si>
  <si>
    <t xml:space="preserve">26  </t>
  </si>
  <si>
    <t xml:space="preserve">30566220            </t>
  </si>
  <si>
    <t xml:space="preserve">DIAZ BENITEZ MARY ISABEL                                    </t>
  </si>
  <si>
    <t xml:space="preserve">3106324304     </t>
  </si>
  <si>
    <t xml:space="preserve">FECT162     </t>
  </si>
  <si>
    <t xml:space="preserve">12 </t>
  </si>
  <si>
    <t xml:space="preserve">FECT919     </t>
  </si>
  <si>
    <t xml:space="preserve">FECT999     </t>
  </si>
  <si>
    <t xml:space="preserve">1032258178          </t>
  </si>
  <si>
    <t xml:space="preserve">MORENO GUTIERREZ JHON EDIX                                  </t>
  </si>
  <si>
    <t xml:space="preserve">CACERES                       </t>
  </si>
  <si>
    <t xml:space="preserve">3022945533 -3227702288        </t>
  </si>
  <si>
    <t xml:space="preserve">15271725            </t>
  </si>
  <si>
    <t xml:space="preserve">AGUDELO HERRERA JUAN ESTEBAN                                </t>
  </si>
  <si>
    <t>CACERES</t>
  </si>
  <si>
    <t xml:space="preserve">3133096484                    </t>
  </si>
  <si>
    <t xml:space="preserve">25992552            </t>
  </si>
  <si>
    <t xml:space="preserve">HERRERA CUARTAS NELLY DEL SOCORRO                           </t>
  </si>
  <si>
    <t xml:space="preserve">3113977507                    </t>
  </si>
  <si>
    <t xml:space="preserve">FEDC36809   </t>
  </si>
  <si>
    <t xml:space="preserve">FEDC38589   </t>
  </si>
  <si>
    <t xml:space="preserve">FEDC39595   </t>
  </si>
  <si>
    <t xml:space="preserve">FEDC40565   </t>
  </si>
  <si>
    <t xml:space="preserve">FEDC41443   </t>
  </si>
  <si>
    <t xml:space="preserve">FEDC41581   </t>
  </si>
  <si>
    <t xml:space="preserve">FEDC41582   </t>
  </si>
  <si>
    <t xml:space="preserve">FEDC42456   </t>
  </si>
  <si>
    <t xml:space="preserve">FEDC43370   </t>
  </si>
  <si>
    <t xml:space="preserve">FEDC45141   </t>
  </si>
  <si>
    <t xml:space="preserve">FEDC46208   </t>
  </si>
  <si>
    <t xml:space="preserve">FEDC47349   </t>
  </si>
  <si>
    <t xml:space="preserve">FEDC48165   </t>
  </si>
  <si>
    <t xml:space="preserve">FEDC48551   </t>
  </si>
  <si>
    <t xml:space="preserve">FEDC49197   </t>
  </si>
  <si>
    <t xml:space="preserve">FEDC49199   </t>
  </si>
  <si>
    <t xml:space="preserve">FEDC50111   </t>
  </si>
  <si>
    <t xml:space="preserve">FEDC50978   </t>
  </si>
  <si>
    <t xml:space="preserve">FEDC52007   </t>
  </si>
  <si>
    <t xml:space="preserve">FEDC53876   </t>
  </si>
  <si>
    <t xml:space="preserve">FEDC54753   </t>
  </si>
  <si>
    <t xml:space="preserve">FEDC55748   </t>
  </si>
  <si>
    <t xml:space="preserve">FEDC55779   </t>
  </si>
  <si>
    <t xml:space="preserve">FEDC57335   </t>
  </si>
  <si>
    <t xml:space="preserve">FEDC58358   </t>
  </si>
  <si>
    <t xml:space="preserve">FEDC59234   </t>
  </si>
  <si>
    <t xml:space="preserve">FEDC60223   </t>
  </si>
  <si>
    <t xml:space="preserve">FEDC60247   </t>
  </si>
  <si>
    <t xml:space="preserve">FEDC61101   </t>
  </si>
  <si>
    <t xml:space="preserve">FEDC62086   </t>
  </si>
  <si>
    <t xml:space="preserve">FEDC62708   </t>
  </si>
  <si>
    <t xml:space="preserve">FEDC64621   </t>
  </si>
  <si>
    <t xml:space="preserve">FEDC65818   </t>
  </si>
  <si>
    <t xml:space="preserve">FEDC66579   </t>
  </si>
  <si>
    <t xml:space="preserve">FEDC67571   </t>
  </si>
  <si>
    <t xml:space="preserve">FEDC67872   </t>
  </si>
  <si>
    <t xml:space="preserve">FEDC68397   </t>
  </si>
  <si>
    <t xml:space="preserve">FEDC68399   </t>
  </si>
  <si>
    <t xml:space="preserve">FEDC68458   </t>
  </si>
  <si>
    <t xml:space="preserve">FEDC69301   </t>
  </si>
  <si>
    <t xml:space="preserve">FEDC69305   </t>
  </si>
  <si>
    <t xml:space="preserve">FEDC70185   </t>
  </si>
  <si>
    <t xml:space="preserve">FEDC70355   </t>
  </si>
  <si>
    <t xml:space="preserve">FEDC71270   </t>
  </si>
  <si>
    <t xml:space="preserve">FEDC71282   </t>
  </si>
  <si>
    <t xml:space="preserve">FEDC73086   </t>
  </si>
  <si>
    <t xml:space="preserve">FEDC73833   </t>
  </si>
  <si>
    <t xml:space="preserve">FEDC73894   </t>
  </si>
  <si>
    <t xml:space="preserve">FEDC74780   </t>
  </si>
  <si>
    <t xml:space="preserve">FEDC75634   </t>
  </si>
  <si>
    <t xml:space="preserve">FEDC76547   </t>
  </si>
  <si>
    <t xml:space="preserve">FEDC77356   </t>
  </si>
  <si>
    <t xml:space="preserve">FEDC77521   </t>
  </si>
  <si>
    <t xml:space="preserve">FEDC78234   </t>
  </si>
  <si>
    <t xml:space="preserve">98673917            </t>
  </si>
  <si>
    <t xml:space="preserve">FERNANDEZ TRESPALACIO YORGI IVAN                            </t>
  </si>
  <si>
    <t>3117967418</t>
  </si>
  <si>
    <t xml:space="preserve">1032250305          </t>
  </si>
  <si>
    <t xml:space="preserve">VAQUERO MENDOZA WILMER ALFREDO                              </t>
  </si>
  <si>
    <t xml:space="preserve">3105397163                    </t>
  </si>
  <si>
    <t xml:space="preserve">13 </t>
  </si>
  <si>
    <t xml:space="preserve">39159680            </t>
  </si>
  <si>
    <t xml:space="preserve">GARCIA RODRIGUEZ GLORIA ELENA                               </t>
  </si>
  <si>
    <t xml:space="preserve">MONTELIBANO                   </t>
  </si>
  <si>
    <t xml:space="preserve">00470497    </t>
  </si>
  <si>
    <t xml:space="preserve">14 </t>
  </si>
  <si>
    <t xml:space="preserve">25  </t>
  </si>
  <si>
    <t xml:space="preserve">3147095897     </t>
  </si>
  <si>
    <t xml:space="preserve">43896226            </t>
  </si>
  <si>
    <t xml:space="preserve">DUQUE VILLA MARIA YANETH                                    </t>
  </si>
  <si>
    <t xml:space="preserve">00478928    </t>
  </si>
  <si>
    <t xml:space="preserve">3148518891     </t>
  </si>
  <si>
    <t xml:space="preserve">50947779            </t>
  </si>
  <si>
    <t xml:space="preserve">PEREZ SALCEDO ESCILDA ROSA                                  </t>
  </si>
  <si>
    <t xml:space="preserve">CO14808     </t>
  </si>
  <si>
    <t xml:space="preserve">3137071304     </t>
  </si>
  <si>
    <t xml:space="preserve">78303116-0          </t>
  </si>
  <si>
    <t xml:space="preserve">CUTEnO PADILLA NELSON ARLEY                                 </t>
  </si>
  <si>
    <t xml:space="preserve">DC30175     </t>
  </si>
  <si>
    <t xml:space="preserve">3224439153 Lina Choperena     </t>
  </si>
  <si>
    <t xml:space="preserve">DC30858     </t>
  </si>
  <si>
    <t xml:space="preserve">DC32688     </t>
  </si>
  <si>
    <t xml:space="preserve">DC32710     </t>
  </si>
  <si>
    <t xml:space="preserve">78301932            </t>
  </si>
  <si>
    <t xml:space="preserve">MARTINEZ OYOLA MANUEL DAVID                                 </t>
  </si>
  <si>
    <t xml:space="preserve">DC5258      </t>
  </si>
  <si>
    <t>3106856700</t>
  </si>
  <si>
    <t xml:space="preserve">DC7142      </t>
  </si>
  <si>
    <t xml:space="preserve">901173006-4         </t>
  </si>
  <si>
    <t xml:space="preserve">CORPORACION HUMANIZ-ARTE RURAL                              </t>
  </si>
  <si>
    <t xml:space="preserve">FEDC104040  </t>
  </si>
  <si>
    <t xml:space="preserve">3022186290                    </t>
  </si>
  <si>
    <t xml:space="preserve">8039801             </t>
  </si>
  <si>
    <t xml:space="preserve">CORREA BARRERA NELSON HUMBERTO                              </t>
  </si>
  <si>
    <t xml:space="preserve">3137338262                    </t>
  </si>
  <si>
    <t xml:space="preserve">92230646-9          </t>
  </si>
  <si>
    <t xml:space="preserve">SALAZAR OCAMPO ABELARDO DE JESUS                            </t>
  </si>
  <si>
    <t xml:space="preserve">3137991253                    </t>
  </si>
  <si>
    <t xml:space="preserve">1152210244          </t>
  </si>
  <si>
    <t xml:space="preserve">CABRERA ESCOBAR SEBASTIAN                                   </t>
  </si>
  <si>
    <t xml:space="preserve">3205555535                    </t>
  </si>
  <si>
    <t xml:space="preserve">901349219-3         </t>
  </si>
  <si>
    <t xml:space="preserve">COMERCIAL BP S.A.S                                          </t>
  </si>
  <si>
    <t xml:space="preserve">3156264634- 7721444           </t>
  </si>
  <si>
    <t xml:space="preserve">78302612            </t>
  </si>
  <si>
    <t xml:space="preserve">ALVAREZ TAMAYO CARLOS MAURICIO                              </t>
  </si>
  <si>
    <t xml:space="preserve">3126603940 -3041037151        </t>
  </si>
  <si>
    <t xml:space="preserve">78297325            </t>
  </si>
  <si>
    <t xml:space="preserve">RAMIREZ CASTRO JUAN JOSE                                    </t>
  </si>
  <si>
    <t xml:space="preserve">1047403252          </t>
  </si>
  <si>
    <t xml:space="preserve">HOYOS RUIZ ANDRES DAVID                                     </t>
  </si>
  <si>
    <t xml:space="preserve">3117322753 -7767418           </t>
  </si>
  <si>
    <t xml:space="preserve">78301453            </t>
  </si>
  <si>
    <t xml:space="preserve">PINEDA MONTES ALEXANDER DE JESUS                            </t>
  </si>
  <si>
    <t xml:space="preserve">721821                        </t>
  </si>
  <si>
    <t xml:space="preserve">PUERTO LIBERTADOR             </t>
  </si>
  <si>
    <t xml:space="preserve">49717314            </t>
  </si>
  <si>
    <t xml:space="preserve">TORREGROZA GUETTE YESENIA ROCIO                             </t>
  </si>
  <si>
    <t xml:space="preserve">3112216146                    </t>
  </si>
  <si>
    <t xml:space="preserve">891000860-0         </t>
  </si>
  <si>
    <t xml:space="preserve">COOMATOSO LTDA                                              </t>
  </si>
  <si>
    <t xml:space="preserve">FEDC144656  </t>
  </si>
  <si>
    <t xml:space="preserve">7722037 -                     </t>
  </si>
  <si>
    <t xml:space="preserve">15324262            </t>
  </si>
  <si>
    <t xml:space="preserve">EUSSE GARCIA JAIR                                           </t>
  </si>
  <si>
    <t xml:space="preserve">3156821158                    </t>
  </si>
  <si>
    <t xml:space="preserve">78298952            </t>
  </si>
  <si>
    <t xml:space="preserve">ALVAREZ BELTRAN ALEXANDER JOSE                              </t>
  </si>
  <si>
    <t xml:space="preserve">3226392135     </t>
  </si>
  <si>
    <t xml:space="preserve">78295897            </t>
  </si>
  <si>
    <t xml:space="preserve">BAnOS NIDSON MANUEL                                         </t>
  </si>
  <si>
    <t xml:space="preserve">3013033891     </t>
  </si>
  <si>
    <t xml:space="preserve">78305175            </t>
  </si>
  <si>
    <t xml:space="preserve">CORREA EUSSE YOVANY ARTURO                                  </t>
  </si>
  <si>
    <t xml:space="preserve">3226135946                    </t>
  </si>
  <si>
    <t>PUERTO LIBERTADOR</t>
  </si>
  <si>
    <t xml:space="preserve">901572617           </t>
  </si>
  <si>
    <t xml:space="preserve">DISTRIBUIDORA Y DULCERIA MYR SAS                            </t>
  </si>
  <si>
    <t xml:space="preserve">3103563210                    </t>
  </si>
  <si>
    <t xml:space="preserve">901758127-9         </t>
  </si>
  <si>
    <t xml:space="preserve">EL CAMPESINO JF SAS                                         </t>
  </si>
  <si>
    <t xml:space="preserve">15 </t>
  </si>
  <si>
    <t xml:space="preserve">3107091608                    </t>
  </si>
  <si>
    <t xml:space="preserve">901158992-9         </t>
  </si>
  <si>
    <t xml:space="preserve">INVERSIONES ARISTIZABAL Y GONZALEZ S.A.S                    </t>
  </si>
  <si>
    <t xml:space="preserve">3002863464 - 3013900884       </t>
  </si>
  <si>
    <t xml:space="preserve">1063366355          </t>
  </si>
  <si>
    <t xml:space="preserve">ACEVEDO CARRASCAL MIGUEL ANGEL                              </t>
  </si>
  <si>
    <t xml:space="preserve">3107516465                    </t>
  </si>
  <si>
    <t xml:space="preserve">901868532-0         </t>
  </si>
  <si>
    <t xml:space="preserve">DISTRIBUCIONES MERK LTC S.A.S                               </t>
  </si>
  <si>
    <t xml:space="preserve">3138778653                    </t>
  </si>
  <si>
    <t xml:space="preserve">1045026065          </t>
  </si>
  <si>
    <t xml:space="preserve">GOMEZ SALAZAR HAIDIVER                                      </t>
  </si>
  <si>
    <t xml:space="preserve">3108220432                    </t>
  </si>
  <si>
    <t xml:space="preserve">901469032           </t>
  </si>
  <si>
    <t xml:space="preserve">INVERSIONES FRANCO SERNA SAS                                </t>
  </si>
  <si>
    <t xml:space="preserve">3215382384                    </t>
  </si>
  <si>
    <t xml:space="preserve">901411098-3         </t>
  </si>
  <si>
    <t xml:space="preserve">INVERSIONES DUQUE RAMIREZ S.A.S                             </t>
  </si>
  <si>
    <t xml:space="preserve">3126921623                    </t>
  </si>
  <si>
    <t xml:space="preserve">1066572353          </t>
  </si>
  <si>
    <t xml:space="preserve">GORDON GONZALEZ LUZ DARY                                    </t>
  </si>
  <si>
    <t xml:space="preserve">3105005857                    </t>
  </si>
  <si>
    <t xml:space="preserve">10993438            </t>
  </si>
  <si>
    <t xml:space="preserve">BENITEZ SOTO PEDRO NEL                                      </t>
  </si>
  <si>
    <t xml:space="preserve">3127389279                    </t>
  </si>
  <si>
    <t xml:space="preserve">1045022348          </t>
  </si>
  <si>
    <t xml:space="preserve">ESCOBAR PINEDA WILMER ANTONIO                               </t>
  </si>
  <si>
    <t xml:space="preserve">FEDC88018   </t>
  </si>
  <si>
    <t xml:space="preserve">3127825001                    </t>
  </si>
  <si>
    <t xml:space="preserve">FEDC88791   </t>
  </si>
  <si>
    <t xml:space="preserve">FEDC89235   </t>
  </si>
  <si>
    <t xml:space="preserve">98652204            </t>
  </si>
  <si>
    <t xml:space="preserve">COGOLLO CORONADO FREDYS MIGUEL                              </t>
  </si>
  <si>
    <t>3126851961</t>
  </si>
  <si>
    <t xml:space="preserve">98621964            </t>
  </si>
  <si>
    <t xml:space="preserve">BETANCUR CORREA NEVIO DE JESUS                              </t>
  </si>
  <si>
    <t xml:space="preserve">TIERRALTA                     </t>
  </si>
  <si>
    <t xml:space="preserve">FEDC121178  </t>
  </si>
  <si>
    <t xml:space="preserve">16 </t>
  </si>
  <si>
    <t xml:space="preserve">3104603876Tiberio -3206202535 </t>
  </si>
  <si>
    <t xml:space="preserve">901795751-2         </t>
  </si>
  <si>
    <t xml:space="preserve">SALSAMENTARIA NUESTRO PAN JC SAS                            </t>
  </si>
  <si>
    <t xml:space="preserve">3006358840                    </t>
  </si>
  <si>
    <t xml:space="preserve">1037582300          </t>
  </si>
  <si>
    <t xml:space="preserve">SALAZAR FRANCO NATALIA                                      </t>
  </si>
  <si>
    <t xml:space="preserve">PUERTO FRASQUILLO             </t>
  </si>
  <si>
    <t xml:space="preserve">3192610072     </t>
  </si>
  <si>
    <t xml:space="preserve">70691309            </t>
  </si>
  <si>
    <t xml:space="preserve">SUAREZ MONTOYA JAIRO DARIO                                  </t>
  </si>
  <si>
    <t xml:space="preserve">3205719278     </t>
  </si>
  <si>
    <t xml:space="preserve">1073973900          </t>
  </si>
  <si>
    <t xml:space="preserve">MEJIA RUIZ MARIA INES                                       </t>
  </si>
  <si>
    <t xml:space="preserve">FEDC50513   </t>
  </si>
  <si>
    <t xml:space="preserve">3207176730 -3126240841        </t>
  </si>
  <si>
    <t xml:space="preserve">26040349            </t>
  </si>
  <si>
    <t xml:space="preserve">GONZALEZ MESA ANA MILENA                                    </t>
  </si>
  <si>
    <t xml:space="preserve">PLANETA RICA                  </t>
  </si>
  <si>
    <t xml:space="preserve">17 </t>
  </si>
  <si>
    <t xml:space="preserve">3002625361                    </t>
  </si>
  <si>
    <t xml:space="preserve">10953882            </t>
  </si>
  <si>
    <t xml:space="preserve">RODRIGUEZ DIAZ OSCAR LUIS                                   </t>
  </si>
  <si>
    <t xml:space="preserve">3205413224                    </t>
  </si>
  <si>
    <t xml:space="preserve">39287937            </t>
  </si>
  <si>
    <t xml:space="preserve">RIVERO PLAZA LENIS MARCELA                                  </t>
  </si>
  <si>
    <t>PLANETA RICA</t>
  </si>
  <si>
    <t xml:space="preserve">3113865672 -7763166           </t>
  </si>
  <si>
    <t xml:space="preserve">15674956            </t>
  </si>
  <si>
    <t xml:space="preserve">MAZO BEDOYA ENEDER NOLASCO                                  </t>
  </si>
  <si>
    <t xml:space="preserve">3005245599     </t>
  </si>
  <si>
    <t xml:space="preserve">15323165            </t>
  </si>
  <si>
    <t xml:space="preserve">ZAPATA LOAIZA ORLANDO LEON                                  </t>
  </si>
  <si>
    <t>YARUMAL</t>
  </si>
  <si>
    <t xml:space="preserve">19 </t>
  </si>
  <si>
    <t xml:space="preserve">3113930851                    </t>
  </si>
  <si>
    <t xml:space="preserve">FEDC41355   </t>
  </si>
  <si>
    <t xml:space="preserve">FEDC41356   </t>
  </si>
  <si>
    <t xml:space="preserve">FEDC43201   </t>
  </si>
  <si>
    <t xml:space="preserve">FEDC45018   </t>
  </si>
  <si>
    <t xml:space="preserve">FEDC45019   </t>
  </si>
  <si>
    <t xml:space="preserve">FEDC45022   </t>
  </si>
  <si>
    <t xml:space="preserve">FEDC47088   </t>
  </si>
  <si>
    <t xml:space="preserve">FEDC48986   </t>
  </si>
  <si>
    <t xml:space="preserve">FEDC50723   </t>
  </si>
  <si>
    <t xml:space="preserve">FEDC52703   </t>
  </si>
  <si>
    <t xml:space="preserve">FEDC52711   </t>
  </si>
  <si>
    <t xml:space="preserve">FEDC54552   </t>
  </si>
  <si>
    <t xml:space="preserve">FEDC58180   </t>
  </si>
  <si>
    <t xml:space="preserve">FEDC58181   </t>
  </si>
  <si>
    <t xml:space="preserve">21 </t>
  </si>
  <si>
    <t xml:space="preserve">1036422210          </t>
  </si>
  <si>
    <t xml:space="preserve">ATEHORTUA LOPEZ OMAR                                        </t>
  </si>
  <si>
    <t xml:space="preserve">3148255825                    </t>
  </si>
  <si>
    <t xml:space="preserve">10821205            </t>
  </si>
  <si>
    <t xml:space="preserve">AYALA MUnOZ ANDY MANUEL                                     </t>
  </si>
  <si>
    <t xml:space="preserve">FEDC85881   </t>
  </si>
  <si>
    <t xml:space="preserve">3016312492 - 3126538151       </t>
  </si>
  <si>
    <t xml:space="preserve">FEDC85882   </t>
  </si>
  <si>
    <t>LA APARTADA</t>
  </si>
  <si>
    <t xml:space="preserve">22 </t>
  </si>
  <si>
    <t xml:space="preserve">15309183            </t>
  </si>
  <si>
    <t xml:space="preserve">RIVERA BALLESTERO ISMAEL RODRIGO                            </t>
  </si>
  <si>
    <t xml:space="preserve">3217254890                    </t>
  </si>
  <si>
    <t xml:space="preserve">78105571            </t>
  </si>
  <si>
    <t xml:space="preserve">GUEVARA PEREIRA RAFAEL SIMON                                </t>
  </si>
  <si>
    <t xml:space="preserve">3136957750     </t>
  </si>
  <si>
    <t xml:space="preserve">LA APARTADA                   </t>
  </si>
  <si>
    <t xml:space="preserve">78290785            </t>
  </si>
  <si>
    <t xml:space="preserve">ARANGO AGUDELO RAFAEL EDUARDO                               </t>
  </si>
  <si>
    <t xml:space="preserve">3157383902     </t>
  </si>
  <si>
    <t xml:space="preserve">1193127295          </t>
  </si>
  <si>
    <t xml:space="preserve">OSORIO ARRIETA JHOSMAN                                      </t>
  </si>
  <si>
    <t xml:space="preserve">3212393367                    </t>
  </si>
  <si>
    <t xml:space="preserve">1104417334          </t>
  </si>
  <si>
    <t xml:space="preserve">ARISTIZABAL CASTAÑO HENRY                                   </t>
  </si>
  <si>
    <t xml:space="preserve">SAN MARCOS                    </t>
  </si>
  <si>
    <t xml:space="preserve">25 </t>
  </si>
  <si>
    <t xml:space="preserve">3005595835                    </t>
  </si>
  <si>
    <t xml:space="preserve">1104427683          </t>
  </si>
  <si>
    <t xml:space="preserve">ARRIETA PEREZ ALEXANDER JOSE                                </t>
  </si>
  <si>
    <t xml:space="preserve">FEDC122214  </t>
  </si>
  <si>
    <t xml:space="preserve">3186880861                    </t>
  </si>
  <si>
    <t xml:space="preserve">LA SIERPE                     </t>
  </si>
  <si>
    <t xml:space="preserve">FEDC133959  </t>
  </si>
  <si>
    <t xml:space="preserve">10886435            </t>
  </si>
  <si>
    <t xml:space="preserve">BARBOZA MORENO GAMALIEL JOSE                                </t>
  </si>
  <si>
    <t xml:space="preserve">3214898085                    </t>
  </si>
  <si>
    <t>SAN MARCOS</t>
  </si>
  <si>
    <t xml:space="preserve">1104430584          </t>
  </si>
  <si>
    <t xml:space="preserve">CONTRERAS BUELVAS LILIANA MARIA                             </t>
  </si>
  <si>
    <t xml:space="preserve">3107047714-3015586055         </t>
  </si>
  <si>
    <t xml:space="preserve">34946043            </t>
  </si>
  <si>
    <t xml:space="preserve">FLOREZ MAZA AMELIA PATRICIA                                 </t>
  </si>
  <si>
    <t xml:space="preserve">VEREDA LAS BOCAS              </t>
  </si>
  <si>
    <t xml:space="preserve">3107216356                    </t>
  </si>
  <si>
    <t xml:space="preserve">34947918            </t>
  </si>
  <si>
    <t xml:space="preserve">BARBOSA MORENO DIANA MARGARITA                              </t>
  </si>
  <si>
    <t xml:space="preserve">3226534046                    </t>
  </si>
  <si>
    <t xml:space="preserve">EL CRUCERO                    </t>
  </si>
  <si>
    <t xml:space="preserve">92527863            </t>
  </si>
  <si>
    <t xml:space="preserve">GIRALDO ARISTIZABAL WILLIAM RAUL                            </t>
  </si>
  <si>
    <t xml:space="preserve">3104213413                    </t>
  </si>
  <si>
    <t xml:space="preserve">10889066            </t>
  </si>
  <si>
    <t xml:space="preserve">BARBOZA MORENO OLIVER DE JESUS                              </t>
  </si>
  <si>
    <t xml:space="preserve">3116445982                    </t>
  </si>
  <si>
    <t xml:space="preserve">LORICA                        </t>
  </si>
  <si>
    <t xml:space="preserve">70695782            </t>
  </si>
  <si>
    <t xml:space="preserve">RAMIREZ RAMIREZ OMAR ALBEIRO                                </t>
  </si>
  <si>
    <t xml:space="preserve">FEDC53938   </t>
  </si>
  <si>
    <t xml:space="preserve">3041557323                    </t>
  </si>
  <si>
    <t xml:space="preserve">FEDC54732   </t>
  </si>
  <si>
    <t xml:space="preserve">FEDC55656   </t>
  </si>
  <si>
    <t xml:space="preserve">FEDC56421   </t>
  </si>
  <si>
    <t xml:space="preserve">3672849             </t>
  </si>
  <si>
    <t xml:space="preserve">HERAZO BEDOYA DELIO MIGUEL                                  </t>
  </si>
  <si>
    <t>CUTURU</t>
  </si>
  <si>
    <t xml:space="preserve">26 </t>
  </si>
  <si>
    <t xml:space="preserve">3148749298 -8385366           </t>
  </si>
  <si>
    <t xml:space="preserve">43896567            </t>
  </si>
  <si>
    <t xml:space="preserve">MENDOZA RAMIREZ ANA FELICITA                                </t>
  </si>
  <si>
    <t xml:space="preserve">3217546640 -3234584973        </t>
  </si>
  <si>
    <t xml:space="preserve">3671832             </t>
  </si>
  <si>
    <t xml:space="preserve">MARULANDA BOLIVAR JAVIER DE JESUS                           </t>
  </si>
  <si>
    <t xml:space="preserve">034-8385101 -3128397720       </t>
  </si>
  <si>
    <t xml:space="preserve">15305256            </t>
  </si>
  <si>
    <t xml:space="preserve">PACHECO ZAPAS LUIS GABRIEL                                  </t>
  </si>
  <si>
    <t xml:space="preserve">3113240967 -3104719821        </t>
  </si>
  <si>
    <t xml:space="preserve">21640921            </t>
  </si>
  <si>
    <t xml:space="preserve">PALENCIA DONADO RUBIS ESTHER                                </t>
  </si>
  <si>
    <t xml:space="preserve">3122902214 -3113206831        </t>
  </si>
  <si>
    <t xml:space="preserve">43699033            </t>
  </si>
  <si>
    <t xml:space="preserve">RIVERA MEJIA CARMEN ALICIA                                  </t>
  </si>
  <si>
    <t xml:space="preserve">3136672016     </t>
  </si>
  <si>
    <t xml:space="preserve">29117634            </t>
  </si>
  <si>
    <t xml:space="preserve">AVENDAÑO ARRIETA LUZ MARY                                   </t>
  </si>
  <si>
    <t xml:space="preserve">CUTURU                        </t>
  </si>
  <si>
    <t xml:space="preserve">3217378928                    </t>
  </si>
  <si>
    <t xml:space="preserve">1032254761          </t>
  </si>
  <si>
    <t xml:space="preserve">ARIAS SOLAR YENY PAOLA                                      </t>
  </si>
  <si>
    <t xml:space="preserve">PUERTO CLAVER                 </t>
  </si>
  <si>
    <t xml:space="preserve">FECT2300    </t>
  </si>
  <si>
    <t xml:space="preserve">27 </t>
  </si>
  <si>
    <t xml:space="preserve">3128781675-3207481434         </t>
  </si>
  <si>
    <t xml:space="preserve">FECT2301    </t>
  </si>
  <si>
    <t xml:space="preserve">49797173            </t>
  </si>
  <si>
    <t xml:space="preserve">MEJIA TORRES YENNIS ESTHER                                  </t>
  </si>
  <si>
    <t xml:space="preserve">FEDC124918  </t>
  </si>
  <si>
    <t xml:space="preserve">3135397004     </t>
  </si>
  <si>
    <t xml:space="preserve">FEDC124924  </t>
  </si>
  <si>
    <t xml:space="preserve">1049030953          </t>
  </si>
  <si>
    <t xml:space="preserve">PEREIRA AVILEZ JHAN CARLOS                                  </t>
  </si>
  <si>
    <t xml:space="preserve">3148877185                    </t>
  </si>
  <si>
    <t xml:space="preserve">3552564             </t>
  </si>
  <si>
    <t xml:space="preserve">MARIN LOPEZ JOSE DE JESUS                                   </t>
  </si>
  <si>
    <t xml:space="preserve">3225062847                    </t>
  </si>
  <si>
    <t xml:space="preserve">1036422731          </t>
  </si>
  <si>
    <t xml:space="preserve">VASQUEZ GIRALDO EDWIN JOHANY                                </t>
  </si>
  <si>
    <t xml:space="preserve">3136876168                    </t>
  </si>
  <si>
    <t xml:space="preserve">98476266            </t>
  </si>
  <si>
    <t xml:space="preserve">LASTRE MARTINEZ JOHN ALBERTO                                </t>
  </si>
  <si>
    <t xml:space="preserve">3125541849                    </t>
  </si>
  <si>
    <t xml:space="preserve">78032182            </t>
  </si>
  <si>
    <t xml:space="preserve">GOMEZ ZULUAGA WILSON ADRIAN                                 </t>
  </si>
  <si>
    <t xml:space="preserve">3205713141 -3148890308        </t>
  </si>
  <si>
    <t xml:space="preserve">6700758             </t>
  </si>
  <si>
    <t xml:space="preserve">ZUnIGA ZUnIGA JAIME MIGUEL                                  </t>
  </si>
  <si>
    <t xml:space="preserve">3113518364     </t>
  </si>
  <si>
    <t xml:space="preserve">1040495046          </t>
  </si>
  <si>
    <t xml:space="preserve">GONZALEZ SANTANA JHAN CARLOS                                </t>
  </si>
  <si>
    <t xml:space="preserve">3148350978-3113898648         </t>
  </si>
  <si>
    <t xml:space="preserve">45530013            </t>
  </si>
  <si>
    <t xml:space="preserve">MERCADO CASTRO ISABEL                                       </t>
  </si>
  <si>
    <t xml:space="preserve">3104595450 -3113771327        </t>
  </si>
  <si>
    <t xml:space="preserve">8201058             </t>
  </si>
  <si>
    <t xml:space="preserve">PACHECO CAMPUZANO LUIS MANUEL                               </t>
  </si>
  <si>
    <t xml:space="preserve">PÚERTO CLAVER                 </t>
  </si>
  <si>
    <t xml:space="preserve">3207536706                    </t>
  </si>
  <si>
    <t xml:space="preserve">17656996            </t>
  </si>
  <si>
    <t xml:space="preserve">CARDONA RIVERA ELIAS                                        </t>
  </si>
  <si>
    <t xml:space="preserve">3137635860     </t>
  </si>
  <si>
    <t xml:space="preserve">8203925             </t>
  </si>
  <si>
    <t xml:space="preserve">PEREIRA GUZMAN JAIDER ALBER                                 </t>
  </si>
  <si>
    <t xml:space="preserve">322 5264648                   </t>
  </si>
  <si>
    <t xml:space="preserve">98656409            </t>
  </si>
  <si>
    <t xml:space="preserve">BATISTA ABELARDO                                            </t>
  </si>
  <si>
    <t xml:space="preserve">3217830126                    </t>
  </si>
  <si>
    <t xml:space="preserve">43896297            </t>
  </si>
  <si>
    <t xml:space="preserve">CHOPERENA MERCADO NELIS ISABEL                              </t>
  </si>
  <si>
    <t xml:space="preserve">8378262        </t>
  </si>
  <si>
    <t xml:space="preserve">25986516            </t>
  </si>
  <si>
    <t xml:space="preserve">MENDES BUELVAS CARINA ISABEL                                </t>
  </si>
  <si>
    <t xml:space="preserve">3108349515-3114206393         </t>
  </si>
  <si>
    <t xml:space="preserve">1193092859          </t>
  </si>
  <si>
    <t xml:space="preserve">MEZA TURIZO JUAN DAVID                                      </t>
  </si>
  <si>
    <t xml:space="preserve">3147958946                    </t>
  </si>
  <si>
    <t xml:space="preserve">11058901            </t>
  </si>
  <si>
    <t xml:space="preserve">CERPA ESQUIVEL GUILLERMO ENRIQUE                            </t>
  </si>
  <si>
    <t xml:space="preserve">3137176355     </t>
  </si>
  <si>
    <t xml:space="preserve">42785040            </t>
  </si>
  <si>
    <t xml:space="preserve">CASTILLO PULIDO DENISES IBETH                               </t>
  </si>
  <si>
    <t xml:space="preserve">3147014009                    </t>
  </si>
  <si>
    <t xml:space="preserve">1038105977          </t>
  </si>
  <si>
    <t xml:space="preserve">GALVIS LUNA DORIS DEL CARMEN                                </t>
  </si>
  <si>
    <t xml:space="preserve">FEDC3432    </t>
  </si>
  <si>
    <t xml:space="preserve">3137278921     </t>
  </si>
  <si>
    <t xml:space="preserve">FEDC5443    </t>
  </si>
  <si>
    <t xml:space="preserve">FEDC5445    </t>
  </si>
  <si>
    <t xml:space="preserve">1040492525          </t>
  </si>
  <si>
    <t xml:space="preserve">SOTO PACHECO JACKELIN ESTER                                 </t>
  </si>
  <si>
    <t xml:space="preserve">FEDC69906   </t>
  </si>
  <si>
    <t xml:space="preserve">3218415163                    </t>
  </si>
  <si>
    <t xml:space="preserve">1040512823          </t>
  </si>
  <si>
    <t xml:space="preserve">SALAS PADIERNA BLANCA NORELYS                               </t>
  </si>
  <si>
    <t xml:space="preserve">FEDC73617   </t>
  </si>
  <si>
    <t xml:space="preserve">3113197352                    </t>
  </si>
  <si>
    <t xml:space="preserve">70286909            </t>
  </si>
  <si>
    <t xml:space="preserve">ECHEVERRY RIVERA OSCAR HERNAN                               </t>
  </si>
  <si>
    <t>NECHI</t>
  </si>
  <si>
    <t xml:space="preserve">DC36776     </t>
  </si>
  <si>
    <t xml:space="preserve">28 </t>
  </si>
  <si>
    <t xml:space="preserve">3116900028     </t>
  </si>
  <si>
    <t xml:space="preserve">8371950             </t>
  </si>
  <si>
    <t xml:space="preserve">ESPITIA ARRIOLA VICTOR MANUEL                               </t>
  </si>
  <si>
    <t xml:space="preserve">FEDC130887  </t>
  </si>
  <si>
    <t xml:space="preserve">3206994665 -3128718785        </t>
  </si>
  <si>
    <t xml:space="preserve">14243446            </t>
  </si>
  <si>
    <t xml:space="preserve">JIMENEZ SALAZAR LUIS FERNANDO                               </t>
  </si>
  <si>
    <t xml:space="preserve">3165078204-3117125440         </t>
  </si>
  <si>
    <t xml:space="preserve">1152440021          </t>
  </si>
  <si>
    <t xml:space="preserve">ARISTIZABAL TATIS  ELKIN DE JESUS                           </t>
  </si>
  <si>
    <t>3206583259</t>
  </si>
  <si>
    <t xml:space="preserve">22796502            </t>
  </si>
  <si>
    <t xml:space="preserve">SIERRA NOYA JUANA JOSEFA                                    </t>
  </si>
  <si>
    <t xml:space="preserve">3147060898 Bienvenido         </t>
  </si>
  <si>
    <t xml:space="preserve">11050699            </t>
  </si>
  <si>
    <t xml:space="preserve">ARRIETA SANCHEZ OMAR DE JESUS                               </t>
  </si>
  <si>
    <t xml:space="preserve">3117504153                    </t>
  </si>
  <si>
    <t xml:space="preserve">71601054            </t>
  </si>
  <si>
    <t xml:space="preserve">OZUNA RIVERA LEONIDAS ABIGAIL                               </t>
  </si>
  <si>
    <t xml:space="preserve">3116275149 -8368460           </t>
  </si>
  <si>
    <t xml:space="preserve">8051409             </t>
  </si>
  <si>
    <t xml:space="preserve">ARRIETA INDABUR WILMAR JOSE                                 </t>
  </si>
  <si>
    <t xml:space="preserve">3127313829-3145496692         </t>
  </si>
  <si>
    <t xml:space="preserve">39288269            </t>
  </si>
  <si>
    <t xml:space="preserve">GARCIA HERAZO ALFAIMA MILENA                                </t>
  </si>
  <si>
    <t xml:space="preserve">3218037194 -3218008830        </t>
  </si>
  <si>
    <t xml:space="preserve">55226728            </t>
  </si>
  <si>
    <t xml:space="preserve">ZAMBRANO HOYOS ARELYS MARIA                                 </t>
  </si>
  <si>
    <t xml:space="preserve">3128316891 -3126516317        </t>
  </si>
  <si>
    <t xml:space="preserve">1038434004          </t>
  </si>
  <si>
    <t xml:space="preserve">SOLORZANO NARVAEZ YESIYT                                    </t>
  </si>
  <si>
    <t xml:space="preserve">3012854587 -3213488346        </t>
  </si>
  <si>
    <t xml:space="preserve">3442140             </t>
  </si>
  <si>
    <t xml:space="preserve">ARRIETA NAVARRO ANTONIO LUIS                                </t>
  </si>
  <si>
    <t xml:space="preserve">COLORADO                      </t>
  </si>
  <si>
    <t xml:space="preserve">3218923274     </t>
  </si>
  <si>
    <t xml:space="preserve">8051144             </t>
  </si>
  <si>
    <t xml:space="preserve">BALDOVINO CASTELLAR IVAN DARIO                              </t>
  </si>
  <si>
    <t xml:space="preserve">311343580 -3137588718         </t>
  </si>
  <si>
    <t xml:space="preserve">8052366             </t>
  </si>
  <si>
    <t xml:space="preserve">HOYOS BALDOVINO NEVER ENRIQUE                               </t>
  </si>
  <si>
    <t xml:space="preserve">3216175857     </t>
  </si>
  <si>
    <t xml:space="preserve">15304619            </t>
  </si>
  <si>
    <t xml:space="preserve">GALVIS VERGARA MIGUEL ANTONIO                               </t>
  </si>
  <si>
    <t xml:space="preserve">3136304945 Cristian Indabur   </t>
  </si>
  <si>
    <t xml:space="preserve">901912553-3         </t>
  </si>
  <si>
    <t xml:space="preserve">ABARROTES Y LEGUMBRES EL MOSCO S.A.S                        </t>
  </si>
  <si>
    <t xml:space="preserve">3206269517                    </t>
  </si>
  <si>
    <t xml:space="preserve">1129487474          </t>
  </si>
  <si>
    <t xml:space="preserve">NARVAEZ MORENO ALEXSANDRA ISABEL                            </t>
  </si>
  <si>
    <t xml:space="preserve">3113555022 -3215737547        </t>
  </si>
  <si>
    <t xml:space="preserve">43804440            </t>
  </si>
  <si>
    <t xml:space="preserve">FRANCO MEJIA LINA MARIA                                     </t>
  </si>
  <si>
    <t xml:space="preserve">70577337            </t>
  </si>
  <si>
    <t xml:space="preserve">URIBE GUTIERREZ OVIDIO DE JESUS                             </t>
  </si>
  <si>
    <t xml:space="preserve">3136585060 -8368478           </t>
  </si>
  <si>
    <t xml:space="preserve">91076665            </t>
  </si>
  <si>
    <t xml:space="preserve">RODRIGUEZ ACOSTA CAMILO                                     </t>
  </si>
  <si>
    <t xml:space="preserve">FEDC87261   </t>
  </si>
  <si>
    <t xml:space="preserve">3147032170 -3216344540        </t>
  </si>
  <si>
    <t xml:space="preserve">FEDC87262   </t>
  </si>
  <si>
    <t>LORICA</t>
  </si>
  <si>
    <t xml:space="preserve">30 </t>
  </si>
  <si>
    <t xml:space="preserve">71685098            </t>
  </si>
  <si>
    <t xml:space="preserve">SANDOVAL BUITRAGO HULBERTO                                  </t>
  </si>
  <si>
    <t xml:space="preserve">FEDC116346  </t>
  </si>
  <si>
    <t xml:space="preserve">31 </t>
  </si>
  <si>
    <t xml:space="preserve">3106056375                    </t>
  </si>
  <si>
    <t xml:space="preserve">FEDC118201  </t>
  </si>
  <si>
    <t xml:space="preserve">901247382-8         </t>
  </si>
  <si>
    <t xml:space="preserve">DISTREBOL DEL SINU SAS                                      </t>
  </si>
  <si>
    <t xml:space="preserve">3205493815                    </t>
  </si>
  <si>
    <t xml:space="preserve">34994357-1          </t>
  </si>
  <si>
    <t xml:space="preserve">GARCIA RAMIREZ ANA ELENA                                    </t>
  </si>
  <si>
    <t>MONTERIA</t>
  </si>
  <si>
    <t xml:space="preserve">3187948834                    </t>
  </si>
  <si>
    <t xml:space="preserve">1067927754          </t>
  </si>
  <si>
    <t xml:space="preserve">MARTINEZ SANCHEZ DANIEL ANDRES                              </t>
  </si>
  <si>
    <t xml:space="preserve">3013657333 -7816909           </t>
  </si>
  <si>
    <t xml:space="preserve">1233341108-6        </t>
  </si>
  <si>
    <t xml:space="preserve">VERGARA RODRIGUEZ ANDRES FELIPE                             </t>
  </si>
  <si>
    <t xml:space="preserve">3137326911                    </t>
  </si>
  <si>
    <t xml:space="preserve">78701684            </t>
  </si>
  <si>
    <t xml:space="preserve">ZULUAGA USME DODEVAR BELISARIO                              </t>
  </si>
  <si>
    <t xml:space="preserve">3114036195                    </t>
  </si>
  <si>
    <t xml:space="preserve">78705859-1          </t>
  </si>
  <si>
    <t xml:space="preserve">VERGARA FUNIELES CRISTO MANUEL                              </t>
  </si>
  <si>
    <t xml:space="preserve">FEDC43291   </t>
  </si>
  <si>
    <t xml:space="preserve">3145962021 -7824122           </t>
  </si>
  <si>
    <t xml:space="preserve">901554209           </t>
  </si>
  <si>
    <t xml:space="preserve">PROABASTOS LA 37 S.A.S                                      </t>
  </si>
  <si>
    <t xml:space="preserve">FEDC72199   </t>
  </si>
  <si>
    <t xml:space="preserve">43403408            </t>
  </si>
  <si>
    <t xml:space="preserve">SUAREZ MONTOYA LUZ FANNY                                    </t>
  </si>
  <si>
    <t xml:space="preserve">SAN ANTERO                    </t>
  </si>
  <si>
    <t xml:space="preserve">FEDC131814  </t>
  </si>
  <si>
    <t xml:space="preserve">33 </t>
  </si>
  <si>
    <t xml:space="preserve">3103533684     </t>
  </si>
  <si>
    <t xml:space="preserve">901122343-3         </t>
  </si>
  <si>
    <t xml:space="preserve">GAZAR S.A.S.                                                </t>
  </si>
  <si>
    <t xml:space="preserve">3205411304                    </t>
  </si>
  <si>
    <t xml:space="preserve">900744350-0         </t>
  </si>
  <si>
    <t xml:space="preserve">MON PETIT S.A.S                                             </t>
  </si>
  <si>
    <t xml:space="preserve">TUCHIN                        </t>
  </si>
  <si>
    <t xml:space="preserve">FEDC143264  </t>
  </si>
  <si>
    <t xml:space="preserve">37 </t>
  </si>
  <si>
    <t xml:space="preserve">3004232098                    </t>
  </si>
  <si>
    <t xml:space="preserve">11037195            </t>
  </si>
  <si>
    <t xml:space="preserve">CANTILLO BANDA LUIS MANUEL                                  </t>
  </si>
  <si>
    <t xml:space="preserve">3175457191                    </t>
  </si>
  <si>
    <t xml:space="preserve">SAN ANDRES DE SOTAVENTO       </t>
  </si>
  <si>
    <t xml:space="preserve">38 </t>
  </si>
  <si>
    <t xml:space="preserve">13167526            </t>
  </si>
  <si>
    <t xml:space="preserve">CACERES CACERES ALVARO                                      </t>
  </si>
  <si>
    <t xml:space="preserve">3114015059                    </t>
  </si>
  <si>
    <t xml:space="preserve">1108764025          </t>
  </si>
  <si>
    <t xml:space="preserve">ACUÑA TORRES JUAN CARLOS                                    </t>
  </si>
  <si>
    <t xml:space="preserve">3024374835                    </t>
  </si>
  <si>
    <t xml:space="preserve">11063582            </t>
  </si>
  <si>
    <t xml:space="preserve">OSORIO OVIEDO JORGE ELIECER                                 </t>
  </si>
  <si>
    <t xml:space="preserve">3205026928     </t>
  </si>
  <si>
    <t xml:space="preserve">1003336739          </t>
  </si>
  <si>
    <t xml:space="preserve">MONTALVO TUIRAN JHAN CARLOS                                 </t>
  </si>
  <si>
    <t xml:space="preserve">URE                           </t>
  </si>
  <si>
    <t xml:space="preserve">40 </t>
  </si>
  <si>
    <t xml:space="preserve">3044454539                    </t>
  </si>
  <si>
    <t xml:space="preserve">78293319            </t>
  </si>
  <si>
    <t xml:space="preserve">MARCHENA OTERO EDWARD DE JESUS                              </t>
  </si>
  <si>
    <t>URE</t>
  </si>
  <si>
    <t xml:space="preserve">3135677618 -3013982709        </t>
  </si>
  <si>
    <t xml:space="preserve">1003289933          </t>
  </si>
  <si>
    <t xml:space="preserve">GUERRA ESTRADA FRANKLIN JOSE                                </t>
  </si>
  <si>
    <t xml:space="preserve">3229228485                    </t>
  </si>
  <si>
    <t xml:space="preserve">1063361250          </t>
  </si>
  <si>
    <t xml:space="preserve">ARCIA FIGUEROA FADITH ELIECER                               </t>
  </si>
  <si>
    <t xml:space="preserve">3146261490 -3106866801        </t>
  </si>
  <si>
    <t xml:space="preserve">25990866            </t>
  </si>
  <si>
    <t xml:space="preserve">DUQUE MARCHENA MARIA MERCEDES                               </t>
  </si>
  <si>
    <t>7629830</t>
  </si>
  <si>
    <t xml:space="preserve">1063281231          </t>
  </si>
  <si>
    <t xml:space="preserve">RESTREPO RESTREPO JHON FREDY                                </t>
  </si>
  <si>
    <t xml:space="preserve">3122924842                    </t>
  </si>
  <si>
    <t xml:space="preserve">78299804            </t>
  </si>
  <si>
    <t xml:space="preserve">BARRAGAN JARAMILLO DAVID ANTONIO                            </t>
  </si>
  <si>
    <t>3107473795</t>
  </si>
  <si>
    <t xml:space="preserve">26000223            </t>
  </si>
  <si>
    <t xml:space="preserve">GOMEZ HIGUITA LINA MARCELA                                  </t>
  </si>
  <si>
    <t>3145562212</t>
  </si>
  <si>
    <t xml:space="preserve">78302332-0          </t>
  </si>
  <si>
    <t xml:space="preserve">CORREA BARRERA LUIS FERNANDO                                </t>
  </si>
  <si>
    <t xml:space="preserve">10992195            </t>
  </si>
  <si>
    <t xml:space="preserve">GONZALEZ CAMARGO NICOLAS FEDERMAN                           </t>
  </si>
  <si>
    <t xml:space="preserve">3117733890     </t>
  </si>
  <si>
    <t xml:space="preserve">78301253            </t>
  </si>
  <si>
    <t xml:space="preserve">SUAREZ SANCHEZ OSVALDO JOSE                                 </t>
  </si>
  <si>
    <t xml:space="preserve">FEDC93729   </t>
  </si>
  <si>
    <t xml:space="preserve">3135672695                    </t>
  </si>
  <si>
    <t xml:space="preserve">10902348            </t>
  </si>
  <si>
    <t xml:space="preserve">GUZMAN LEON MARCO AURELIO                                   </t>
  </si>
  <si>
    <t xml:space="preserve">VALENCIA                      </t>
  </si>
  <si>
    <t xml:space="preserve">43 </t>
  </si>
  <si>
    <t xml:space="preserve">3015516071     </t>
  </si>
  <si>
    <t xml:space="preserve">9104183             </t>
  </si>
  <si>
    <t xml:space="preserve">OSORIO SIERRA LUIS CARLOS                                   </t>
  </si>
  <si>
    <t xml:space="preserve">3117189197                    </t>
  </si>
  <si>
    <t xml:space="preserve">900670430-2         </t>
  </si>
  <si>
    <t xml:space="preserve">SOL-MART S.A.S                                              </t>
  </si>
  <si>
    <t xml:space="preserve">3114149410     </t>
  </si>
  <si>
    <t xml:space="preserve">50859648            </t>
  </si>
  <si>
    <t xml:space="preserve">CASTELLANO DURANGO MARIA MARGARITA                          </t>
  </si>
  <si>
    <t xml:space="preserve">3007679631     </t>
  </si>
  <si>
    <t xml:space="preserve">15929255            </t>
  </si>
  <si>
    <t xml:space="preserve">PATInO HENRY DE JESUS                                       </t>
  </si>
  <si>
    <t xml:space="preserve">3103639542-3114290867         </t>
  </si>
  <si>
    <t xml:space="preserve">70694116            </t>
  </si>
  <si>
    <t xml:space="preserve">GIRALDO QUINTERO ALDEMAR                                    </t>
  </si>
  <si>
    <t xml:space="preserve">3145314051     </t>
  </si>
  <si>
    <t xml:space="preserve">43345692            </t>
  </si>
  <si>
    <t xml:space="preserve">VARGAS RIVERA BIBIANA ANDREA                                </t>
  </si>
  <si>
    <t xml:space="preserve">CAMPO BELLO                   </t>
  </si>
  <si>
    <t xml:space="preserve">3206917062                    </t>
  </si>
  <si>
    <t xml:space="preserve">32271853            </t>
  </si>
  <si>
    <t xml:space="preserve">CAMACHO PADILLA NORIS                                       </t>
  </si>
  <si>
    <t>SAN PEDRO DE URABA</t>
  </si>
  <si>
    <t xml:space="preserve">DC28788     </t>
  </si>
  <si>
    <t xml:space="preserve">44 </t>
  </si>
  <si>
    <t xml:space="preserve">8205021        </t>
  </si>
  <si>
    <t xml:space="preserve">1073996347          </t>
  </si>
  <si>
    <t xml:space="preserve">OROZCO GUERRA DANNY LUZ                                     </t>
  </si>
  <si>
    <t xml:space="preserve">SAN PEDRO DE URABA            </t>
  </si>
  <si>
    <t xml:space="preserve">3167167184                    </t>
  </si>
  <si>
    <t xml:space="preserve">98600001            </t>
  </si>
  <si>
    <t xml:space="preserve">NARVAEZ ARTEAGA ELIAS                                       </t>
  </si>
  <si>
    <t xml:space="preserve">3216130320                    </t>
  </si>
  <si>
    <t xml:space="preserve">1041256612          </t>
  </si>
  <si>
    <t xml:space="preserve">MIRANDA AGAMEZ NARLIS ENEDIS                                </t>
  </si>
  <si>
    <t xml:space="preserve">3106053105                    </t>
  </si>
  <si>
    <t xml:space="preserve">70163318            </t>
  </si>
  <si>
    <t xml:space="preserve">PARRA DUQUE ELADIO                                          </t>
  </si>
  <si>
    <t xml:space="preserve">3148732837 -3146457008Cesar   </t>
  </si>
  <si>
    <t xml:space="preserve">8174072             </t>
  </si>
  <si>
    <t xml:space="preserve">DUQUE URREA LUIS ALFONSO                                    </t>
  </si>
  <si>
    <t xml:space="preserve">3223640656                    </t>
  </si>
  <si>
    <t xml:space="preserve">98600662            </t>
  </si>
  <si>
    <t xml:space="preserve">PEREIRA VILLALBA RICHARD ANTONIO                            </t>
  </si>
  <si>
    <t xml:space="preserve">3145313565                    </t>
  </si>
  <si>
    <t xml:space="preserve">900902664-6         </t>
  </si>
  <si>
    <t xml:space="preserve">DROGUERIA LA EXCELENCIA PLUS S.A.S                          </t>
  </si>
  <si>
    <t xml:space="preserve">8205080 - 3122489981          </t>
  </si>
  <si>
    <t xml:space="preserve">901556925-2         </t>
  </si>
  <si>
    <t xml:space="preserve">DISTRIBUCIONES LA SUPERIOR SP S.A.S ZOMAC                   </t>
  </si>
  <si>
    <t xml:space="preserve">3104362600-3202084435         </t>
  </si>
  <si>
    <t xml:space="preserve">901589653           </t>
  </si>
  <si>
    <t xml:space="preserve">DISTRIBUCIONES LA MAZORCA DEL POLO SAS - ZOMAC              </t>
  </si>
  <si>
    <t xml:space="preserve">3136134962                    </t>
  </si>
  <si>
    <t xml:space="preserve">50929248            </t>
  </si>
  <si>
    <t xml:space="preserve">FAJARDO MEDINA NAYIBE DEL CARMEN                            </t>
  </si>
  <si>
    <t xml:space="preserve">3122345938                    </t>
  </si>
  <si>
    <t xml:space="preserve">8173730             </t>
  </si>
  <si>
    <t xml:space="preserve">DURANGO BERTEL ORLANDO                                      </t>
  </si>
  <si>
    <t xml:space="preserve">3123817408                    </t>
  </si>
  <si>
    <t xml:space="preserve">8328496             </t>
  </si>
  <si>
    <t xml:space="preserve">AVILA ZABALETA ISRAEL                                       </t>
  </si>
  <si>
    <t>3215166593</t>
  </si>
  <si>
    <t xml:space="preserve">78240006            </t>
  </si>
  <si>
    <t xml:space="preserve">MARTINEZ LEMUS DAGOBERTO ANTONIO                            </t>
  </si>
  <si>
    <t xml:space="preserve">3122821283     </t>
  </si>
  <si>
    <t xml:space="preserve">1041261379          </t>
  </si>
  <si>
    <t xml:space="preserve">GONZALEZ GENES SAMIR EMIRO                                  </t>
  </si>
  <si>
    <t xml:space="preserve">3128631222                    </t>
  </si>
  <si>
    <t xml:space="preserve">22041533            </t>
  </si>
  <si>
    <t xml:space="preserve">ALVAREZ FRANCO PIEDAD CECILIA                               </t>
  </si>
  <si>
    <t xml:space="preserve">3217615388     </t>
  </si>
  <si>
    <t xml:space="preserve">1066721431-6        </t>
  </si>
  <si>
    <t xml:space="preserve">MEDINA CORDERO LEONIS ESTER                                 </t>
  </si>
  <si>
    <t xml:space="preserve">3106828423-3125599059         </t>
  </si>
  <si>
    <t xml:space="preserve">98599409            </t>
  </si>
  <si>
    <t xml:space="preserve">GONZALEZ VERGARA OBERTO                                     </t>
  </si>
  <si>
    <t xml:space="preserve">3165313681                    </t>
  </si>
  <si>
    <t xml:space="preserve">50918946            </t>
  </si>
  <si>
    <t xml:space="preserve">HERAZO BARBA ALIS MERY                                      </t>
  </si>
  <si>
    <t xml:space="preserve">3135963768 Cleobis -8205181   </t>
  </si>
  <si>
    <t xml:space="preserve">10766878            </t>
  </si>
  <si>
    <t xml:space="preserve">SANCHEZ PEDRAZA JAVIER ANDRES                               </t>
  </si>
  <si>
    <t xml:space="preserve">3135734283                    </t>
  </si>
  <si>
    <t xml:space="preserve">8174109             </t>
  </si>
  <si>
    <t xml:space="preserve">MERCADO GUERRA RUBEN ENRIQUE                                </t>
  </si>
  <si>
    <t>8205243</t>
  </si>
  <si>
    <t xml:space="preserve">39156271            </t>
  </si>
  <si>
    <t xml:space="preserve">CARDENAS ROLDAN MARIA RUTH                                  </t>
  </si>
  <si>
    <t xml:space="preserve">3145161317                    </t>
  </si>
  <si>
    <t xml:space="preserve">98762510            </t>
  </si>
  <si>
    <t xml:space="preserve">ZULUAGA PEREAnEZ DIEGO ANDRES                               </t>
  </si>
  <si>
    <t xml:space="preserve">3126211914                    </t>
  </si>
  <si>
    <t xml:space="preserve">98611367            </t>
  </si>
  <si>
    <t xml:space="preserve">MONTE VEGA EDER ENRIQUE                                     </t>
  </si>
  <si>
    <t xml:space="preserve">3182088367-3155764811         </t>
  </si>
  <si>
    <t xml:space="preserve">32271198            </t>
  </si>
  <si>
    <t xml:space="preserve">CALDERIN MUnOZ KARINA LUCIA                                 </t>
  </si>
  <si>
    <t xml:space="preserve">3117190379     </t>
  </si>
  <si>
    <t xml:space="preserve">1001747661          </t>
  </si>
  <si>
    <t xml:space="preserve">CORTES GONZALEZ DUVERNEY                                    </t>
  </si>
  <si>
    <t xml:space="preserve">3106205421                    </t>
  </si>
  <si>
    <t xml:space="preserve">32253467            </t>
  </si>
  <si>
    <t xml:space="preserve">ROYO CONDE YOLANDA MARINA                                   </t>
  </si>
  <si>
    <t>3146376456</t>
  </si>
  <si>
    <t xml:space="preserve">10897747            </t>
  </si>
  <si>
    <t xml:space="preserve">AVILA RAMOS JOSE VICENTE                                    </t>
  </si>
  <si>
    <t xml:space="preserve">3136406489     </t>
  </si>
  <si>
    <t xml:space="preserve">43803759            </t>
  </si>
  <si>
    <t xml:space="preserve">MAUSA GONZALEZ MAIRA JUDITH                                 </t>
  </si>
  <si>
    <t>3117051671</t>
  </si>
  <si>
    <t xml:space="preserve">1083458699          </t>
  </si>
  <si>
    <t xml:space="preserve">PEREZ GOMEZ CARY PATRICIA                                   </t>
  </si>
  <si>
    <t xml:space="preserve">3122500749-3158565731         </t>
  </si>
  <si>
    <t xml:space="preserve">71256025            </t>
  </si>
  <si>
    <t xml:space="preserve">SUAREZ JOHN JAIRO                                           </t>
  </si>
  <si>
    <t xml:space="preserve">3008137639                    </t>
  </si>
  <si>
    <t xml:space="preserve">22808808            </t>
  </si>
  <si>
    <t xml:space="preserve">RAMOS DIAZ ROQUELINA MARIA                                  </t>
  </si>
  <si>
    <t xml:space="preserve">VIA SAN PEDRO DE URABA        </t>
  </si>
  <si>
    <t xml:space="preserve">3117814637                    </t>
  </si>
  <si>
    <t xml:space="preserve">FEDC39648   </t>
  </si>
  <si>
    <t xml:space="preserve">1041261992          </t>
  </si>
  <si>
    <t xml:space="preserve">SARIEGO GUERRA NADY LUZ                                     </t>
  </si>
  <si>
    <t xml:space="preserve">SANTA CATALINA                </t>
  </si>
  <si>
    <t xml:space="preserve">FEDC100065  </t>
  </si>
  <si>
    <t xml:space="preserve">45 </t>
  </si>
  <si>
    <t xml:space="preserve">3105598331                    </t>
  </si>
  <si>
    <t xml:space="preserve">FEDC102602  </t>
  </si>
  <si>
    <t xml:space="preserve">FEDC102603  </t>
  </si>
  <si>
    <t xml:space="preserve">98599124            </t>
  </si>
  <si>
    <t xml:space="preserve">PALOMINO MERCADO GUNTHER HANS                               </t>
  </si>
  <si>
    <t xml:space="preserve">3117412176                    </t>
  </si>
  <si>
    <t xml:space="preserve">43474894            </t>
  </si>
  <si>
    <t xml:space="preserve">RAMIREZ SANTILLANA MARIA ARNOBIA                            </t>
  </si>
  <si>
    <t>SANTA CATALINA</t>
  </si>
  <si>
    <t>3127806146</t>
  </si>
  <si>
    <t xml:space="preserve">1003344190          </t>
  </si>
  <si>
    <t xml:space="preserve">VERGARA ARTEAGA LORENZO MANUEL                              </t>
  </si>
  <si>
    <t xml:space="preserve">3108442865                    </t>
  </si>
  <si>
    <t xml:space="preserve">LA CAUCANA                    </t>
  </si>
  <si>
    <t xml:space="preserve">46 </t>
  </si>
  <si>
    <t xml:space="preserve">43754593            </t>
  </si>
  <si>
    <t xml:space="preserve">GONZALEZ MILADIS DEL ROSARIO                                </t>
  </si>
  <si>
    <t xml:space="preserve">3104751376                    </t>
  </si>
  <si>
    <t xml:space="preserve">1045422253          </t>
  </si>
  <si>
    <t xml:space="preserve">COLORADO ZAPATA LUIS ENRIQUE                                </t>
  </si>
  <si>
    <t xml:space="preserve">3204664144                    </t>
  </si>
  <si>
    <t xml:space="preserve">1045424998          </t>
  </si>
  <si>
    <t xml:space="preserve">MESA MONTIEL MARLEY YULIETH                                 </t>
  </si>
  <si>
    <t xml:space="preserve">3022792714                    </t>
  </si>
  <si>
    <t xml:space="preserve">21592331            </t>
  </si>
  <si>
    <t xml:space="preserve">VARGAS ACEVEDO DINA LUZ                                     </t>
  </si>
  <si>
    <t xml:space="preserve">3206702607                    </t>
  </si>
  <si>
    <t xml:space="preserve">1007319425          </t>
  </si>
  <si>
    <t xml:space="preserve">TAPIAS MARTINEZ LUZ ELIDA                                   </t>
  </si>
  <si>
    <t xml:space="preserve">3015232668     </t>
  </si>
  <si>
    <t>LA CAUCANA</t>
  </si>
  <si>
    <t xml:space="preserve">1007554374          </t>
  </si>
  <si>
    <t xml:space="preserve">LEAL DOMINGUEZ JULIAN ESTIVEN                               </t>
  </si>
  <si>
    <t xml:space="preserve">3117600669                    </t>
  </si>
  <si>
    <t xml:space="preserve">3572818             </t>
  </si>
  <si>
    <t xml:space="preserve">VALENCIA CALLE ERMELANDO                                    </t>
  </si>
  <si>
    <t xml:space="preserve">3004500417                    </t>
  </si>
  <si>
    <t xml:space="preserve">98672921            </t>
  </si>
  <si>
    <t xml:space="preserve">GRACIANO VALLE HERMEN ARNODIS                               </t>
  </si>
  <si>
    <t xml:space="preserve">FEDC67446   </t>
  </si>
  <si>
    <t xml:space="preserve">3126897732                    </t>
  </si>
  <si>
    <t xml:space="preserve">FEDC67447   </t>
  </si>
  <si>
    <t xml:space="preserve">48 </t>
  </si>
  <si>
    <t xml:space="preserve">18532717            </t>
  </si>
  <si>
    <t xml:space="preserve">AGUDELO GIRALDO GUILLERMO ANTONIO                           </t>
  </si>
  <si>
    <t>ARBOLETES</t>
  </si>
  <si>
    <t xml:space="preserve">49 </t>
  </si>
  <si>
    <t xml:space="preserve">3126701128                    </t>
  </si>
  <si>
    <t xml:space="preserve">ARBOLETES                     </t>
  </si>
  <si>
    <t xml:space="preserve">70529245            </t>
  </si>
  <si>
    <t xml:space="preserve">POLO ANAYA JULIO CESAR                                      </t>
  </si>
  <si>
    <t xml:space="preserve">3215222148     </t>
  </si>
  <si>
    <t xml:space="preserve">45688588            </t>
  </si>
  <si>
    <t xml:space="preserve">HERNANDEZ MEJIA KATTY MARGARITA                             </t>
  </si>
  <si>
    <t xml:space="preserve">3103615332 -3145089489        </t>
  </si>
  <si>
    <t xml:space="preserve">51 </t>
  </si>
  <si>
    <t xml:space="preserve">1038131345          </t>
  </si>
  <si>
    <t xml:space="preserve">CASTRO BOLIVAR TATIANA                                      </t>
  </si>
  <si>
    <t xml:space="preserve">BOCAS DEL RIO                 </t>
  </si>
  <si>
    <t xml:space="preserve">3007552626- 3206683787        </t>
  </si>
  <si>
    <t xml:space="preserve">SAN JUAN DE URABA             </t>
  </si>
  <si>
    <t xml:space="preserve">98687571            </t>
  </si>
  <si>
    <t xml:space="preserve">SEPULVEDA MONTANO JUAN CAMILO                               </t>
  </si>
  <si>
    <t xml:space="preserve">3128879927                    </t>
  </si>
  <si>
    <t xml:space="preserve">1001159461          </t>
  </si>
  <si>
    <t xml:space="preserve">HENAO FERNEY DE JESUS                                       </t>
  </si>
  <si>
    <t xml:space="preserve">57 </t>
  </si>
  <si>
    <t xml:space="preserve">3147480422                    </t>
  </si>
  <si>
    <t xml:space="preserve">98673091            </t>
  </si>
  <si>
    <t xml:space="preserve">LOPEZ HERNANDEZ LUIS ALFREDO                                </t>
  </si>
  <si>
    <t>GUARUMO</t>
  </si>
  <si>
    <t xml:space="preserve">3206802136                    </t>
  </si>
  <si>
    <t xml:space="preserve">1007452788          </t>
  </si>
  <si>
    <t xml:space="preserve">DE HOYOS OLIVEROS PAULA ANDREA                              </t>
  </si>
  <si>
    <t xml:space="preserve">3137712482                    </t>
  </si>
  <si>
    <t xml:space="preserve">1037546996-1        </t>
  </si>
  <si>
    <t xml:space="preserve">HEREDIA DIAZ IVER JOSE                                      </t>
  </si>
  <si>
    <t xml:space="preserve">3206411933                    </t>
  </si>
  <si>
    <t xml:space="preserve">8045405             </t>
  </si>
  <si>
    <t xml:space="preserve">MARTINEZ MENDOZA IGNACIO MANUEL                             </t>
  </si>
  <si>
    <t xml:space="preserve">3122016396                    </t>
  </si>
  <si>
    <t xml:space="preserve">900498218-0         </t>
  </si>
  <si>
    <t xml:space="preserve">PARAMILLO DISTRIBUCIONES S.A.S                              </t>
  </si>
  <si>
    <t>ITUANGO</t>
  </si>
  <si>
    <t xml:space="preserve">DC59358     </t>
  </si>
  <si>
    <t xml:space="preserve">66 </t>
  </si>
  <si>
    <t xml:space="preserve">24  </t>
  </si>
  <si>
    <t xml:space="preserve">3167414483 Dora-8643006       </t>
  </si>
  <si>
    <t xml:space="preserve">10899980            </t>
  </si>
  <si>
    <t xml:space="preserve">BRUNO ARRIETA FRANCISCO ALBERTO                             </t>
  </si>
  <si>
    <t xml:space="preserve">DC61553     </t>
  </si>
  <si>
    <t xml:space="preserve">3136932545 -3206178964        </t>
  </si>
  <si>
    <t xml:space="preserve">70579653            </t>
  </si>
  <si>
    <t xml:space="preserve">UPEGUI LONDOnO JUAN GUILLERMO                               </t>
  </si>
  <si>
    <t xml:space="preserve">DC65029     </t>
  </si>
  <si>
    <t xml:space="preserve">3206676980     </t>
  </si>
  <si>
    <t xml:space="preserve">DC65044     </t>
  </si>
  <si>
    <t xml:space="preserve">12722937            </t>
  </si>
  <si>
    <t xml:space="preserve">DUQUE MONTAnO HERNAN ARTURO                                 </t>
  </si>
  <si>
    <t xml:space="preserve">TOLEDO                        </t>
  </si>
  <si>
    <t xml:space="preserve">DC61557     </t>
  </si>
  <si>
    <t xml:space="preserve">68 </t>
  </si>
  <si>
    <t xml:space="preserve">3502343570                    </t>
  </si>
  <si>
    <t xml:space="preserve">3556447             </t>
  </si>
  <si>
    <t xml:space="preserve">POSADA OLARTE MARIO ALBERTO                                 </t>
  </si>
  <si>
    <t>SAN ANDRES DE CUERQUIA</t>
  </si>
  <si>
    <t xml:space="preserve">DC43692     </t>
  </si>
  <si>
    <t xml:space="preserve">69 </t>
  </si>
  <si>
    <t xml:space="preserve">3504681064 -8618430           </t>
  </si>
  <si>
    <t xml:space="preserve">DC58082     </t>
  </si>
  <si>
    <t xml:space="preserve">1037448653          </t>
  </si>
  <si>
    <t xml:space="preserve">POSADA POSADA ANA CRISTINA                                  </t>
  </si>
  <si>
    <t xml:space="preserve">SAN ANDRES DE CUERQUIA        </t>
  </si>
  <si>
    <t xml:space="preserve">DC65020     </t>
  </si>
  <si>
    <t xml:space="preserve">3136927358 -3217267375        </t>
  </si>
  <si>
    <t xml:space="preserve">91523897            </t>
  </si>
  <si>
    <t xml:space="preserve">GONZALEZ POLO ELKIN AUGUSTO                                 </t>
  </si>
  <si>
    <t xml:space="preserve">DC62139     </t>
  </si>
  <si>
    <t xml:space="preserve">72 </t>
  </si>
  <si>
    <t xml:space="preserve">3215656454     </t>
  </si>
  <si>
    <t xml:space="preserve">DT245352    </t>
  </si>
  <si>
    <t xml:space="preserve">70696266            </t>
  </si>
  <si>
    <t xml:space="preserve">RAMIREZ OCAMPO RUBEN DARIO                                  </t>
  </si>
  <si>
    <t>SEGOVIA</t>
  </si>
  <si>
    <t xml:space="preserve">DT248473    </t>
  </si>
  <si>
    <t xml:space="preserve">3144717362     </t>
  </si>
  <si>
    <t xml:space="preserve">15539344            </t>
  </si>
  <si>
    <t xml:space="preserve">PEREZ HINESTROZA EDWIN DUVAN                                </t>
  </si>
  <si>
    <t>REMEDIOS</t>
  </si>
  <si>
    <t xml:space="preserve">00443410    </t>
  </si>
  <si>
    <t xml:space="preserve">75 </t>
  </si>
  <si>
    <t xml:space="preserve">3116105105     </t>
  </si>
  <si>
    <t xml:space="preserve">00444486    </t>
  </si>
  <si>
    <t xml:space="preserve">32090582            </t>
  </si>
  <si>
    <t xml:space="preserve">ESCUDERO GOMEZ MARY DE JESUS                                </t>
  </si>
  <si>
    <t xml:space="preserve">VEGACHI                       </t>
  </si>
  <si>
    <t xml:space="preserve">DC47047     </t>
  </si>
  <si>
    <t xml:space="preserve">76 </t>
  </si>
  <si>
    <t xml:space="preserve">3145030413-3104491399Andres   </t>
  </si>
  <si>
    <t xml:space="preserve">DC48230     </t>
  </si>
  <si>
    <t xml:space="preserve">DC50508     </t>
  </si>
  <si>
    <t xml:space="preserve">DC52948     </t>
  </si>
  <si>
    <t xml:space="preserve">1023802195          </t>
  </si>
  <si>
    <t xml:space="preserve">RODRIGUEZ LONDOnO JEYSSON ALEJANDRO                         </t>
  </si>
  <si>
    <t xml:space="preserve">BRICEÑO                       </t>
  </si>
  <si>
    <t xml:space="preserve">FEDC113367  </t>
  </si>
  <si>
    <t xml:space="preserve">80 </t>
  </si>
  <si>
    <t xml:space="preserve">3146659010 Bernardo Padre     </t>
  </si>
  <si>
    <t xml:space="preserve">1001589910          </t>
  </si>
  <si>
    <t xml:space="preserve">DE HOYOS BARRIOS WILBERTO                                   </t>
  </si>
  <si>
    <t xml:space="preserve">LOS CORDOBAS                  </t>
  </si>
  <si>
    <t xml:space="preserve">82 </t>
  </si>
  <si>
    <t xml:space="preserve">3108951859     </t>
  </si>
  <si>
    <t xml:space="preserve">901523817-3         </t>
  </si>
  <si>
    <t xml:space="preserve">MERCAMAS JA S.A.S                                           </t>
  </si>
  <si>
    <t xml:space="preserve">MOÑITOS                       </t>
  </si>
  <si>
    <t xml:space="preserve">3126183068                    </t>
  </si>
  <si>
    <t xml:space="preserve">1104424316          </t>
  </si>
  <si>
    <t xml:space="preserve">VANEGAS GONZALEZ JOSE GREGORIO                              </t>
  </si>
  <si>
    <t xml:space="preserve">3232448565                    </t>
  </si>
  <si>
    <t xml:space="preserve">1005682618          </t>
  </si>
  <si>
    <t xml:space="preserve">REYES BEDOYA MARIA CAROLINA                                 </t>
  </si>
  <si>
    <t xml:space="preserve">85 </t>
  </si>
  <si>
    <t xml:space="preserve">3234961674                    </t>
  </si>
  <si>
    <t xml:space="preserve">1041263820          </t>
  </si>
  <si>
    <t xml:space="preserve">JIMENEZ OCAMPO ELMER ALFONSO                                </t>
  </si>
  <si>
    <t xml:space="preserve">CIENAGA DE ORO                </t>
  </si>
  <si>
    <t xml:space="preserve">86 </t>
  </si>
  <si>
    <t xml:space="preserve">3122997042     </t>
  </si>
  <si>
    <t xml:space="preserve">84068395            </t>
  </si>
  <si>
    <t xml:space="preserve">HERNANDEZ LARA NEDER LUIS                                   </t>
  </si>
  <si>
    <t xml:space="preserve">87 </t>
  </si>
  <si>
    <t xml:space="preserve">3105105295     </t>
  </si>
  <si>
    <t xml:space="preserve">6844135             </t>
  </si>
  <si>
    <t xml:space="preserve">ROJAS BERROCAL JOSE AGUSTIN                                 </t>
  </si>
  <si>
    <t xml:space="preserve">VEREDA LOS POLLOS             </t>
  </si>
  <si>
    <t xml:space="preserve">FEDC137112  </t>
  </si>
  <si>
    <t xml:space="preserve">3156061781                    </t>
  </si>
  <si>
    <t xml:space="preserve">FEDC137946  </t>
  </si>
  <si>
    <t xml:space="preserve">FEDC138918  </t>
  </si>
  <si>
    <t xml:space="preserve">9020231             </t>
  </si>
  <si>
    <t xml:space="preserve">GOMEZ PETRO DANIS HORACIO                                   </t>
  </si>
  <si>
    <t xml:space="preserve">3118875212                    </t>
  </si>
  <si>
    <t xml:space="preserve">90 </t>
  </si>
  <si>
    <t xml:space="preserve">39301699-1          </t>
  </si>
  <si>
    <t xml:space="preserve">WILCHES MORALES LUZ ENERIS                                  </t>
  </si>
  <si>
    <t xml:space="preserve">COLOMBOY                      </t>
  </si>
  <si>
    <t xml:space="preserve">91 </t>
  </si>
  <si>
    <t xml:space="preserve">3127056442                    </t>
  </si>
  <si>
    <t xml:space="preserve">50881295            </t>
  </si>
  <si>
    <t xml:space="preserve">MORALES GARCIA YANETH DE JESUS                              </t>
  </si>
  <si>
    <t xml:space="preserve">MOMIL                         </t>
  </si>
  <si>
    <t xml:space="preserve">94 </t>
  </si>
  <si>
    <t xml:space="preserve">3145338156     </t>
  </si>
  <si>
    <t xml:space="preserve">15700424            </t>
  </si>
  <si>
    <t xml:space="preserve">CAVADIA CARRASCAL GERMAN ANTONIO                            </t>
  </si>
  <si>
    <t xml:space="preserve">3022732750                    </t>
  </si>
  <si>
    <t xml:space="preserve">98458537            </t>
  </si>
  <si>
    <t xml:space="preserve">ARANGO MUnOZ EDGAR EDILSON                                  </t>
  </si>
  <si>
    <t xml:space="preserve">PUERTO ESCONDIDO              </t>
  </si>
  <si>
    <t xml:space="preserve">96 </t>
  </si>
  <si>
    <t xml:space="preserve">3134962572     </t>
  </si>
  <si>
    <t xml:space="preserve">72156776            </t>
  </si>
  <si>
    <t xml:space="preserve">ZULUAGA GOMEZ WALTER ARMANDO                                </t>
  </si>
  <si>
    <t xml:space="preserve">3161762979                    </t>
  </si>
  <si>
    <t xml:space="preserve">70697057            </t>
  </si>
  <si>
    <t xml:space="preserve">GALLEGO ORTIZ CESAR TADEO                                   </t>
  </si>
  <si>
    <t xml:space="preserve">3135761446     </t>
  </si>
  <si>
    <t xml:space="preserve">70903957            </t>
  </si>
  <si>
    <t xml:space="preserve">SOTO GARCIA LIBARDO DE JESUS                                </t>
  </si>
  <si>
    <t xml:space="preserve">3135637569                    </t>
  </si>
  <si>
    <t>plazo</t>
  </si>
  <si>
    <t>mora</t>
  </si>
  <si>
    <t xml:space="preserve">43786215            </t>
  </si>
  <si>
    <t xml:space="preserve">3183468239     </t>
  </si>
  <si>
    <t xml:space="preserve">1040517048          </t>
  </si>
  <si>
    <t xml:space="preserve">GIRALDO MADRIGAL SEBASTIAN                                  </t>
  </si>
  <si>
    <t xml:space="preserve">8372131-3175914711            </t>
  </si>
  <si>
    <t xml:space="preserve">78113896            </t>
  </si>
  <si>
    <t xml:space="preserve">SALGADO TORRES ALEX ENRIQUE                                 </t>
  </si>
  <si>
    <t xml:space="preserve">3006233938                    </t>
  </si>
  <si>
    <t xml:space="preserve">70353560            </t>
  </si>
  <si>
    <t xml:space="preserve">GIRALDO MARIN GONZALO DE JESUS                              </t>
  </si>
  <si>
    <t xml:space="preserve">FEDC144991  </t>
  </si>
  <si>
    <t xml:space="preserve">3205180472-3205172000 ALEXA   </t>
  </si>
  <si>
    <t xml:space="preserve">39273406            </t>
  </si>
  <si>
    <t xml:space="preserve">SUAREZ PASTRANA ELEANA                                      </t>
  </si>
  <si>
    <t xml:space="preserve">3205029760                    </t>
  </si>
  <si>
    <t xml:space="preserve">1038114557          </t>
  </si>
  <si>
    <t xml:space="preserve">ARISTIZABAL JIMENEZ MARIA ALEJANDRA                         </t>
  </si>
  <si>
    <t xml:space="preserve">3424271             </t>
  </si>
  <si>
    <t xml:space="preserve">MUNETON MUNETON RUBIEL                                      </t>
  </si>
  <si>
    <t xml:space="preserve">3137226788                    </t>
  </si>
  <si>
    <t xml:space="preserve">15324575            </t>
  </si>
  <si>
    <t xml:space="preserve">MEDINA LOPERA FRANCISCO LUIS                                </t>
  </si>
  <si>
    <t xml:space="preserve">3128662890     </t>
  </si>
  <si>
    <t xml:space="preserve">72212007            </t>
  </si>
  <si>
    <t xml:space="preserve">FERIA ACUnA CARLOS ALBERTO                                  </t>
  </si>
  <si>
    <t xml:space="preserve">MAJAGUAL                      </t>
  </si>
  <si>
    <t xml:space="preserve">3107074324     </t>
  </si>
  <si>
    <t xml:space="preserve">1066513494          </t>
  </si>
  <si>
    <t xml:space="preserve">RUIZ VERGARA YESSICA PAOLA                                  </t>
  </si>
  <si>
    <t xml:space="preserve">3108277335                    </t>
  </si>
  <si>
    <t xml:space="preserve">78646687            </t>
  </si>
  <si>
    <t xml:space="preserve">MARRIAGA VELASQUEZ LACIDES GAMAL                            </t>
  </si>
  <si>
    <t xml:space="preserve">LAS NEGRITAS                  </t>
  </si>
  <si>
    <t xml:space="preserve">3135074289                    </t>
  </si>
  <si>
    <t xml:space="preserve">FEDC146420  </t>
  </si>
  <si>
    <t xml:space="preserve">72041085            </t>
  </si>
  <si>
    <t xml:space="preserve">ZULUAGA QUINTERO JAIME ORLANDO                              </t>
  </si>
  <si>
    <t xml:space="preserve">7773010        </t>
  </si>
  <si>
    <t xml:space="preserve">32251626            </t>
  </si>
  <si>
    <t xml:space="preserve">CLAROS DE USUGA LETICIA                                     </t>
  </si>
  <si>
    <t>8205149</t>
  </si>
  <si>
    <t xml:space="preserve">FEDC146403  </t>
  </si>
  <si>
    <t xml:space="preserve">VILLA FATIMA                  </t>
  </si>
  <si>
    <t xml:space="preserve">10770798            </t>
  </si>
  <si>
    <t xml:space="preserve">SOTO ZULUAGA DAVID ELIAS                                    </t>
  </si>
  <si>
    <t xml:space="preserve">3108204786                    </t>
  </si>
  <si>
    <t xml:space="preserve">50886114            </t>
  </si>
  <si>
    <t xml:space="preserve">ARRIETA SUAREZ DERLY ROSA                                   </t>
  </si>
  <si>
    <t xml:space="preserve">3204505463                    </t>
  </si>
  <si>
    <t xml:space="preserve">98529927            </t>
  </si>
  <si>
    <t xml:space="preserve">MEJIA TABORDA JHON JAIRO                                    </t>
  </si>
  <si>
    <t>3136503420</t>
  </si>
  <si>
    <t xml:space="preserve">25528171            </t>
  </si>
  <si>
    <t xml:space="preserve">NARVAEZ MARTINEZ SONIA                                      </t>
  </si>
  <si>
    <t xml:space="preserve">3137415053 -8146183           </t>
  </si>
  <si>
    <t xml:space="preserve">901933116           </t>
  </si>
  <si>
    <t xml:space="preserve">ABARROTES Y LICORES EL BACAN S.A.S                          </t>
  </si>
  <si>
    <t xml:space="preserve">BAGRE                         </t>
  </si>
  <si>
    <t xml:space="preserve">3128202172                    </t>
  </si>
  <si>
    <t xml:space="preserve">901972197           </t>
  </si>
  <si>
    <t xml:space="preserve">PROVEEDORA LA TRONCAL SM SAS                                </t>
  </si>
  <si>
    <t xml:space="preserve">3215776957                    </t>
  </si>
  <si>
    <t xml:space="preserve">FEDC147284  </t>
  </si>
  <si>
    <t xml:space="preserve">78711251            </t>
  </si>
  <si>
    <t xml:space="preserve">DIAZ BENITEZ ANIBAL DAVID                                   </t>
  </si>
  <si>
    <t xml:space="preserve">3106701483                    </t>
  </si>
  <si>
    <t xml:space="preserve">8372767             </t>
  </si>
  <si>
    <t xml:space="preserve">PEREZ MARTINEZ NELSON                                       </t>
  </si>
  <si>
    <t xml:space="preserve">3148650886     </t>
  </si>
  <si>
    <t>PUEBLO NUEVO</t>
  </si>
  <si>
    <t xml:space="preserve">1045019250          </t>
  </si>
  <si>
    <t xml:space="preserve">RAMIREZ GIRALDO WILSON RAUL                                 </t>
  </si>
  <si>
    <t xml:space="preserve">San MARCOS                    </t>
  </si>
  <si>
    <t xml:space="preserve">3126151011     </t>
  </si>
  <si>
    <t xml:space="preserve">900691735-3         </t>
  </si>
  <si>
    <t xml:space="preserve">SUPERMERCADO CUARTO FRIO                                    </t>
  </si>
  <si>
    <t xml:space="preserve">8388349 -3116453208           </t>
  </si>
  <si>
    <t xml:space="preserve">70693388            </t>
  </si>
  <si>
    <t xml:space="preserve">ARISTIZABAL ALZATE DANIEL ANTONIO                           </t>
  </si>
  <si>
    <t xml:space="preserve">7777419 - 3145882079          </t>
  </si>
  <si>
    <t xml:space="preserve">70692685            </t>
  </si>
  <si>
    <t xml:space="preserve">OROZCO GIRALDO JORGE OLIVERIO                               </t>
  </si>
  <si>
    <t xml:space="preserve">3215392508 -7653643           </t>
  </si>
  <si>
    <t xml:space="preserve">FEDC148181  </t>
  </si>
  <si>
    <t xml:space="preserve">FEDC148293  </t>
  </si>
  <si>
    <t xml:space="preserve">1002066668          </t>
  </si>
  <si>
    <t xml:space="preserve">ACOSTA TOVAR FRANKIS YHOAN                                  </t>
  </si>
  <si>
    <t xml:space="preserve">3122718636-3194510198         </t>
  </si>
  <si>
    <t xml:space="preserve">FEDC148416  </t>
  </si>
  <si>
    <t xml:space="preserve">98654169            </t>
  </si>
  <si>
    <t xml:space="preserve">PAGUENA JIMENEZ HERNAN ALFONSO                              </t>
  </si>
  <si>
    <t xml:space="preserve">FEDC148589  </t>
  </si>
  <si>
    <t xml:space="preserve">64563204            </t>
  </si>
  <si>
    <t xml:space="preserve">CONDE HERNANDEZ FRANCISCA SOLEDAD                           </t>
  </si>
  <si>
    <t xml:space="preserve">FEVM37757   </t>
  </si>
  <si>
    <t xml:space="preserve">3176176264                    </t>
  </si>
  <si>
    <t xml:space="preserve">50949659            </t>
  </si>
  <si>
    <t xml:space="preserve">REYES PACHECO AUDIS MARIA                                   </t>
  </si>
  <si>
    <t xml:space="preserve">3138351535                    </t>
  </si>
  <si>
    <t xml:space="preserve">15073132            </t>
  </si>
  <si>
    <t xml:space="preserve">CORREA CUADRADO MANUEL ANTONIO                              </t>
  </si>
  <si>
    <t xml:space="preserve">3106468005                    </t>
  </si>
  <si>
    <t xml:space="preserve">78768332            </t>
  </si>
  <si>
    <t xml:space="preserve">MONTES ESCOBAR ELKIN JOSE                                   </t>
  </si>
  <si>
    <t xml:space="preserve">3123294774                    </t>
  </si>
  <si>
    <t xml:space="preserve">1007444837          </t>
  </si>
  <si>
    <t xml:space="preserve">RUIZ ORTIZ KAROL LICETH                                     </t>
  </si>
  <si>
    <t xml:space="preserve">3117408701     </t>
  </si>
  <si>
    <t xml:space="preserve">43404968            </t>
  </si>
  <si>
    <t xml:space="preserve">ZULUAGA GOMEZ LUZ MARY                                      </t>
  </si>
  <si>
    <t xml:space="preserve">3215411779                    </t>
  </si>
  <si>
    <t xml:space="preserve">PUERTO VALDIVIA               </t>
  </si>
  <si>
    <t xml:space="preserve">1040499122          </t>
  </si>
  <si>
    <t xml:space="preserve">PALENCIA LUNA MARIA VERONICA                                </t>
  </si>
  <si>
    <t xml:space="preserve">3197296033 - 3023024694       </t>
  </si>
  <si>
    <t xml:space="preserve">43560596            </t>
  </si>
  <si>
    <t xml:space="preserve">MENA TAPIAS LUCY                                            </t>
  </si>
  <si>
    <t xml:space="preserve">3104288738                    </t>
  </si>
  <si>
    <t xml:space="preserve">3672768             </t>
  </si>
  <si>
    <t xml:space="preserve">DIAZ ORREGO RICARIO CESAR                                   </t>
  </si>
  <si>
    <t xml:space="preserve">3136694093                    </t>
  </si>
  <si>
    <t xml:space="preserve">15679822            </t>
  </si>
  <si>
    <t xml:space="preserve">GONZALEZ POLO LUIS MIGUEL                                   </t>
  </si>
  <si>
    <t xml:space="preserve">3145372443     </t>
  </si>
  <si>
    <t xml:space="preserve">FEDC149771  </t>
  </si>
  <si>
    <t xml:space="preserve">FEDC149505  </t>
  </si>
  <si>
    <t xml:space="preserve">1193318371          </t>
  </si>
  <si>
    <t xml:space="preserve">MERCADO DIAZ KATIA ESTER                                    </t>
  </si>
  <si>
    <t xml:space="preserve">3138319028                    </t>
  </si>
  <si>
    <t xml:space="preserve">1103673905          </t>
  </si>
  <si>
    <t xml:space="preserve">CHIQUILLO RODRIGUEZ DENI ALEJANDRA                          </t>
  </si>
  <si>
    <t xml:space="preserve">3234882550                    </t>
  </si>
  <si>
    <t xml:space="preserve">1041087282          </t>
  </si>
  <si>
    <t xml:space="preserve">PEREZ SARIEGO ARGEMIRO                                      </t>
  </si>
  <si>
    <t xml:space="preserve">3223604097                    </t>
  </si>
  <si>
    <t xml:space="preserve">FEDC150144  </t>
  </si>
  <si>
    <t xml:space="preserve">1101382676          </t>
  </si>
  <si>
    <t xml:space="preserve">ZAMBRANO ARENALES ESTEFANY                                  </t>
  </si>
  <si>
    <t xml:space="preserve">3103730128 - 3207090247       </t>
  </si>
  <si>
    <t xml:space="preserve">1067936100          </t>
  </si>
  <si>
    <t xml:space="preserve">GOMEZ GOMEZ EDWIN JAVIER                                    </t>
  </si>
  <si>
    <t xml:space="preserve">3205310645                    </t>
  </si>
  <si>
    <t xml:space="preserve">FEDC150114  </t>
  </si>
  <si>
    <t xml:space="preserve">3497025             </t>
  </si>
  <si>
    <t xml:space="preserve">GIL VERGARA HECTOR RAMIRO                                   </t>
  </si>
  <si>
    <t xml:space="preserve">CERETE                        </t>
  </si>
  <si>
    <t xml:space="preserve">32 </t>
  </si>
  <si>
    <t xml:space="preserve">7642813 -3216807619           </t>
  </si>
  <si>
    <t xml:space="preserve">FEDC150691  </t>
  </si>
  <si>
    <t xml:space="preserve">8765478             </t>
  </si>
  <si>
    <t xml:space="preserve">CATAnO MARIN LUIS JAIRO                                     </t>
  </si>
  <si>
    <t>3215302008</t>
  </si>
  <si>
    <t xml:space="preserve">15302934            </t>
  </si>
  <si>
    <t xml:space="preserve">NIETO ROGELIO                                               </t>
  </si>
  <si>
    <t xml:space="preserve">3147802876     </t>
  </si>
  <si>
    <t xml:space="preserve">42941741            </t>
  </si>
  <si>
    <t xml:space="preserve">URIBE GAVIRIA JULIANA PATRICIA                              </t>
  </si>
  <si>
    <t xml:space="preserve">3206729751     </t>
  </si>
  <si>
    <t xml:space="preserve">64588325            </t>
  </si>
  <si>
    <t xml:space="preserve">GUTIERREZ HERNANDEZ DIANA MILENA                            </t>
  </si>
  <si>
    <t xml:space="preserve">3128163691     </t>
  </si>
  <si>
    <t xml:space="preserve">78106019            </t>
  </si>
  <si>
    <t xml:space="preserve">GARCIA ATENCIA MANUEL JOSE                                  </t>
  </si>
  <si>
    <t xml:space="preserve">3126864497                    </t>
  </si>
  <si>
    <t xml:space="preserve">1066516298          </t>
  </si>
  <si>
    <t xml:space="preserve">ACOSTA REYES ANA MILENA                                     </t>
  </si>
  <si>
    <t xml:space="preserve">3227613238                    </t>
  </si>
  <si>
    <t xml:space="preserve">FEDC150897  </t>
  </si>
  <si>
    <t xml:space="preserve">1038138066          </t>
  </si>
  <si>
    <t xml:space="preserve">ZULUAGA ZULUAGA KEVIN ESTEBAN                               </t>
  </si>
  <si>
    <t xml:space="preserve">3114279212     </t>
  </si>
  <si>
    <t xml:space="preserve">FEDC151474  </t>
  </si>
  <si>
    <t xml:space="preserve">70693535            </t>
  </si>
  <si>
    <t xml:space="preserve">SALAZAR CASTAnO IVAN                                        </t>
  </si>
  <si>
    <t xml:space="preserve">305 3229048                   </t>
  </si>
  <si>
    <t xml:space="preserve">FEDC151654  </t>
  </si>
  <si>
    <t xml:space="preserve">7384555-9           </t>
  </si>
  <si>
    <t xml:space="preserve">VERGARA ARTEAGA FELIX                                       </t>
  </si>
  <si>
    <t xml:space="preserve">3145420020     </t>
  </si>
  <si>
    <t xml:space="preserve">1038114800          </t>
  </si>
  <si>
    <t xml:space="preserve">HOYOS PADILLA LINA MARCELA                                  </t>
  </si>
  <si>
    <t xml:space="preserve">3103708801                    </t>
  </si>
  <si>
    <t xml:space="preserve">94414770            </t>
  </si>
  <si>
    <t xml:space="preserve">NIETO GUEVARA JAVIER                                        </t>
  </si>
  <si>
    <t xml:space="preserve">3143860305     </t>
  </si>
  <si>
    <t xml:space="preserve">901847874-4         </t>
  </si>
  <si>
    <t xml:space="preserve">ABARROTES LA TRONCAL S.A.S                                  </t>
  </si>
  <si>
    <t xml:space="preserve">3205677296                    </t>
  </si>
  <si>
    <t xml:space="preserve">1069481976          </t>
  </si>
  <si>
    <t xml:space="preserve">BENITEZ DIAZ LIBARDO DE JESUS                               </t>
  </si>
  <si>
    <t xml:space="preserve">30060279            </t>
  </si>
  <si>
    <t xml:space="preserve">CASTAnEDA CARDONA LIGIA ESTHER                              </t>
  </si>
  <si>
    <t xml:space="preserve">FEVM40499   </t>
  </si>
  <si>
    <t xml:space="preserve">3145151582                    </t>
  </si>
  <si>
    <t xml:space="preserve">FEDC151911  </t>
  </si>
  <si>
    <t xml:space="preserve">FEDC151729  </t>
  </si>
  <si>
    <t xml:space="preserve">FEDC151929  </t>
  </si>
  <si>
    <t xml:space="preserve">32561626-3          </t>
  </si>
  <si>
    <t xml:space="preserve">POSADA GALLEGO SANDRA MILENA                                </t>
  </si>
  <si>
    <t xml:space="preserve">3104427984-3146841981         </t>
  </si>
  <si>
    <t xml:space="preserve">1038129527          </t>
  </si>
  <si>
    <t xml:space="preserve">ATEHORTUA BERRIO JOCELYNE CHEYENNE                          </t>
  </si>
  <si>
    <t xml:space="preserve">3128879943     </t>
  </si>
  <si>
    <t xml:space="preserve">92519934            </t>
  </si>
  <si>
    <t xml:space="preserve">GOMEZ ZULUAGA LUIS RODRIGO                                  </t>
  </si>
  <si>
    <t>PUERTO LOPEZ</t>
  </si>
  <si>
    <t xml:space="preserve">FEDC152212  </t>
  </si>
  <si>
    <t xml:space="preserve">3156590971                    </t>
  </si>
  <si>
    <t xml:space="preserve">39285634            </t>
  </si>
  <si>
    <t xml:space="preserve">GELIS ROJAS LINEY DEL SOCORRO                               </t>
  </si>
  <si>
    <t xml:space="preserve">3107473795                    </t>
  </si>
  <si>
    <t xml:space="preserve">FEDC152127  </t>
  </si>
  <si>
    <t xml:space="preserve">FEDC152092  </t>
  </si>
  <si>
    <t xml:space="preserve">15304190            </t>
  </si>
  <si>
    <t xml:space="preserve">MARTINEZ ATEHORTUA CARLOS IVAN                              </t>
  </si>
  <si>
    <t xml:space="preserve">FEDC152411  </t>
  </si>
  <si>
    <t xml:space="preserve">FEVM40909   </t>
  </si>
  <si>
    <t xml:space="preserve">FEVM40910   </t>
  </si>
  <si>
    <t xml:space="preserve">FEVM40911   </t>
  </si>
  <si>
    <t xml:space="preserve">NARANJO SALAZAR MARIA JESUS                                 </t>
  </si>
  <si>
    <t xml:space="preserve">19406277            </t>
  </si>
  <si>
    <t xml:space="preserve">ARISTIZABAL GOMEZ GILBERTO ELIECER                          </t>
  </si>
  <si>
    <t xml:space="preserve">3146161665                    </t>
  </si>
  <si>
    <t xml:space="preserve">39276598            </t>
  </si>
  <si>
    <t xml:space="preserve">MARTINEZ MANCHEGO ESNEDA ROSA                               </t>
  </si>
  <si>
    <t xml:space="preserve">3128905152     </t>
  </si>
  <si>
    <t xml:space="preserve">FEDC153210  </t>
  </si>
  <si>
    <t xml:space="preserve">FEDC152705  </t>
  </si>
  <si>
    <t xml:space="preserve">15305280            </t>
  </si>
  <si>
    <t xml:space="preserve">MADRIGAL JUAN DIEGO                                         </t>
  </si>
  <si>
    <t xml:space="preserve">3113241811                    </t>
  </si>
  <si>
    <t xml:space="preserve">FEVM41368   </t>
  </si>
  <si>
    <t xml:space="preserve">1063356855          </t>
  </si>
  <si>
    <t xml:space="preserve">HENAO URANGO ANGELA MARIA                                   </t>
  </si>
  <si>
    <t xml:space="preserve">3004133365     </t>
  </si>
  <si>
    <t xml:space="preserve">FEDC152731  </t>
  </si>
  <si>
    <t xml:space="preserve">1038482441          </t>
  </si>
  <si>
    <t xml:space="preserve">GARCIA MONROY DANIEL                                        </t>
  </si>
  <si>
    <t xml:space="preserve">3504974973 -3204407007        </t>
  </si>
  <si>
    <t xml:space="preserve">70695981            </t>
  </si>
  <si>
    <t xml:space="preserve">GALLEGO ARISTIZABAL LUIS CARLOS                             </t>
  </si>
  <si>
    <t xml:space="preserve">3217273046-3108144795         </t>
  </si>
  <si>
    <t xml:space="preserve">1007461336          </t>
  </si>
  <si>
    <t xml:space="preserve">RAMIREZ GOMEZ DUBERNEY                                      </t>
  </si>
  <si>
    <t xml:space="preserve">3184337340                    </t>
  </si>
  <si>
    <t xml:space="preserve">FEDC152676  </t>
  </si>
  <si>
    <t xml:space="preserve">FEDC152677  </t>
  </si>
  <si>
    <t xml:space="preserve">FEDC153170  </t>
  </si>
  <si>
    <t xml:space="preserve">32251628            </t>
  </si>
  <si>
    <t xml:space="preserve">PEREZ ESPITIA MARLENY ROSA                                  </t>
  </si>
  <si>
    <t xml:space="preserve">3164025498                    </t>
  </si>
  <si>
    <t xml:space="preserve">81 </t>
  </si>
  <si>
    <t xml:space="preserve">FEDC152714  </t>
  </si>
  <si>
    <t xml:space="preserve">FEDC152830  </t>
  </si>
  <si>
    <t xml:space="preserve">FEDC152661  </t>
  </si>
  <si>
    <t xml:space="preserve">FEDC153183  </t>
  </si>
  <si>
    <t xml:space="preserve">FEDC153226  </t>
  </si>
  <si>
    <t xml:space="preserve">FEDC153228  </t>
  </si>
  <si>
    <t xml:space="preserve">FEDC153296  </t>
  </si>
  <si>
    <t xml:space="preserve">FEDC153297  </t>
  </si>
  <si>
    <t xml:space="preserve">FEDC153298  </t>
  </si>
  <si>
    <t xml:space="preserve">FEDC153300  </t>
  </si>
  <si>
    <t xml:space="preserve">FEDC153301  </t>
  </si>
  <si>
    <t xml:space="preserve">FEDC153302  </t>
  </si>
  <si>
    <t xml:space="preserve">FEDC153299  </t>
  </si>
  <si>
    <t xml:space="preserve">1038132717-8        </t>
  </si>
  <si>
    <t xml:space="preserve">CASTAÑEDA VERGARA JUAN CARLOS                               </t>
  </si>
  <si>
    <t xml:space="preserve">3104258530                    </t>
  </si>
  <si>
    <t xml:space="preserve">FEDC153428  </t>
  </si>
  <si>
    <t xml:space="preserve">FEDC153425  </t>
  </si>
  <si>
    <t xml:space="preserve">50947056            </t>
  </si>
  <si>
    <t xml:space="preserve">OCHOA CONDE SANDRA PATRICIA                                 </t>
  </si>
  <si>
    <t xml:space="preserve">3207223567     </t>
  </si>
  <si>
    <t xml:space="preserve">FEDC153582  </t>
  </si>
  <si>
    <t xml:space="preserve">FEDC153594  </t>
  </si>
  <si>
    <t xml:space="preserve">FEDC153604  </t>
  </si>
  <si>
    <t xml:space="preserve">1104406269          </t>
  </si>
  <si>
    <t xml:space="preserve">LOPEZ MANJARES ADRIANA LUCIA                                </t>
  </si>
  <si>
    <t xml:space="preserve">FEDC153607  </t>
  </si>
  <si>
    <t xml:space="preserve">3217438651                    </t>
  </si>
  <si>
    <t xml:space="preserve">FEDC153579  </t>
  </si>
  <si>
    <t xml:space="preserve">FEDC153598  </t>
  </si>
  <si>
    <t xml:space="preserve">FEDC153599  </t>
  </si>
  <si>
    <t xml:space="preserve">FEDC153601  </t>
  </si>
  <si>
    <t xml:space="preserve">FEDC153589  </t>
  </si>
  <si>
    <t xml:space="preserve">FEDC153590  </t>
  </si>
  <si>
    <t xml:space="preserve">FEDC153592  </t>
  </si>
  <si>
    <t xml:space="preserve">FEDC153593  </t>
  </si>
  <si>
    <t xml:space="preserve">FEDC153595  </t>
  </si>
  <si>
    <t xml:space="preserve">FEDC153596  </t>
  </si>
  <si>
    <t xml:space="preserve">FEDC153597  </t>
  </si>
  <si>
    <t xml:space="preserve">FEDC153613  </t>
  </si>
  <si>
    <t xml:space="preserve">901997622           </t>
  </si>
  <si>
    <t xml:space="preserve">DISTRICERAMICAS CAUCASIA SAS                                </t>
  </si>
  <si>
    <t xml:space="preserve">3206198078                    </t>
  </si>
  <si>
    <t xml:space="preserve">1038119592          </t>
  </si>
  <si>
    <t xml:space="preserve">MAURYS RODAS CRISTHIAN ARTURO                               </t>
  </si>
  <si>
    <t xml:space="preserve">3126862464                    </t>
  </si>
  <si>
    <t xml:space="preserve">1102871384          </t>
  </si>
  <si>
    <t xml:space="preserve">ZULUAGA ZULUAGA DUVAN FELIPE                                </t>
  </si>
  <si>
    <t xml:space="preserve">3128408146     </t>
  </si>
  <si>
    <t xml:space="preserve">8055244             </t>
  </si>
  <si>
    <t xml:space="preserve">GONZALEZ CORDERO LUIS ARGEMIRO                              </t>
  </si>
  <si>
    <t xml:space="preserve">3113933796                    </t>
  </si>
  <si>
    <t xml:space="preserve">FEDC153742  </t>
  </si>
  <si>
    <t xml:space="preserve">8048029             </t>
  </si>
  <si>
    <t xml:space="preserve">RIQUEME MELENDRES ILDE DE JESUS                             </t>
  </si>
  <si>
    <t xml:space="preserve">3146026739     </t>
  </si>
  <si>
    <t xml:space="preserve">98649898            </t>
  </si>
  <si>
    <t xml:space="preserve">MADERA ROMERO CARLOS EDUARDO                                </t>
  </si>
  <si>
    <t xml:space="preserve">3103760671     </t>
  </si>
  <si>
    <t xml:space="preserve">FEDC153838  </t>
  </si>
  <si>
    <t xml:space="preserve">FEDC153839  </t>
  </si>
  <si>
    <t xml:space="preserve">FEDC154050  </t>
  </si>
  <si>
    <t xml:space="preserve">FEDC154051  </t>
  </si>
  <si>
    <t xml:space="preserve">FEDC153950  </t>
  </si>
  <si>
    <t xml:space="preserve">FEDC153951  </t>
  </si>
  <si>
    <t xml:space="preserve">FEDC153948  </t>
  </si>
  <si>
    <t xml:space="preserve">FEDC154048  </t>
  </si>
  <si>
    <t xml:space="preserve">FEDC154038  </t>
  </si>
  <si>
    <t xml:space="preserve">FEDC153952  </t>
  </si>
  <si>
    <t xml:space="preserve">FEDC153953  </t>
  </si>
  <si>
    <t xml:space="preserve">15355742-5          </t>
  </si>
  <si>
    <t xml:space="preserve">GUZMAN BETANCURT CARLOS ALVARO                              </t>
  </si>
  <si>
    <t xml:space="preserve">3127587149     </t>
  </si>
  <si>
    <t xml:space="preserve">FEDC154073  </t>
  </si>
  <si>
    <t xml:space="preserve">FEDC154092  </t>
  </si>
  <si>
    <t xml:space="preserve">FEDC154302  </t>
  </si>
  <si>
    <t xml:space="preserve">FEDC154303  </t>
  </si>
  <si>
    <t xml:space="preserve">FEDC154522  </t>
  </si>
  <si>
    <t xml:space="preserve">FEDC154285  </t>
  </si>
  <si>
    <t xml:space="preserve">FEDC154669  </t>
  </si>
  <si>
    <t xml:space="preserve">FEDC154670  </t>
  </si>
  <si>
    <t xml:space="preserve">FEDC154671  </t>
  </si>
  <si>
    <t xml:space="preserve">FEDC154675  </t>
  </si>
  <si>
    <t xml:space="preserve">FEDC154790  </t>
  </si>
  <si>
    <t xml:space="preserve">1066514536          </t>
  </si>
  <si>
    <t xml:space="preserve">SUAREZ OJEDA MARITZA DEL CARMEN                             </t>
  </si>
  <si>
    <t xml:space="preserve">3126387574     </t>
  </si>
  <si>
    <t xml:space="preserve">FEDC154430  </t>
  </si>
  <si>
    <t xml:space="preserve">FEDC154431  </t>
  </si>
  <si>
    <t xml:space="preserve">FEDC154376  </t>
  </si>
  <si>
    <t xml:space="preserve">FEDC154380  </t>
  </si>
  <si>
    <t xml:space="preserve">FEDC154435  </t>
  </si>
  <si>
    <t xml:space="preserve">FEDC154436  </t>
  </si>
  <si>
    <t xml:space="preserve">FEDC154088  </t>
  </si>
  <si>
    <t xml:space="preserve">FEDC154808  </t>
  </si>
  <si>
    <t xml:space="preserve">11153206            </t>
  </si>
  <si>
    <t xml:space="preserve">GIRALDO GOMEZ EDGAR OCTAVIO                                 </t>
  </si>
  <si>
    <t xml:space="preserve">3105486719     </t>
  </si>
  <si>
    <t xml:space="preserve">FEDC154306  </t>
  </si>
  <si>
    <t xml:space="preserve">FEDC154315  </t>
  </si>
  <si>
    <t xml:space="preserve">FEDC154316  </t>
  </si>
  <si>
    <t xml:space="preserve">FEDC154317  </t>
  </si>
  <si>
    <t xml:space="preserve">FEDC154621  </t>
  </si>
  <si>
    <t xml:space="preserve">FEDC154543  </t>
  </si>
  <si>
    <t xml:space="preserve">FEDC154187  </t>
  </si>
  <si>
    <t xml:space="preserve">FEDC154196  </t>
  </si>
  <si>
    <t xml:space="preserve">FEDC154197  </t>
  </si>
  <si>
    <t xml:space="preserve">FEDC154367  </t>
  </si>
  <si>
    <t xml:space="preserve">FEDC154368  </t>
  </si>
  <si>
    <t xml:space="preserve">FEDC154410  </t>
  </si>
  <si>
    <t xml:space="preserve">FEDC154411  </t>
  </si>
  <si>
    <t xml:space="preserve">FEDC154412  </t>
  </si>
  <si>
    <t xml:space="preserve">FEDC154413  </t>
  </si>
  <si>
    <t xml:space="preserve">FEDC154414  </t>
  </si>
  <si>
    <t xml:space="preserve">FEDC154415  </t>
  </si>
  <si>
    <t xml:space="preserve">FEDC154506  </t>
  </si>
  <si>
    <t xml:space="preserve">FEDC154507  </t>
  </si>
  <si>
    <t xml:space="preserve">FEDC154685  </t>
  </si>
  <si>
    <t xml:space="preserve">FEDC154686  </t>
  </si>
  <si>
    <t xml:space="preserve">FEDC154687  </t>
  </si>
  <si>
    <t xml:space="preserve">FEDC154694  </t>
  </si>
  <si>
    <t xml:space="preserve">FEDC154695  </t>
  </si>
  <si>
    <t xml:space="preserve">FEDC154696  </t>
  </si>
  <si>
    <t xml:space="preserve">FEDC154697  </t>
  </si>
  <si>
    <t xml:space="preserve">FEDC154699  </t>
  </si>
  <si>
    <t xml:space="preserve">FEDC154700  </t>
  </si>
  <si>
    <t xml:space="preserve">FEDC154701  </t>
  </si>
  <si>
    <t xml:space="preserve">FEDC154702  </t>
  </si>
  <si>
    <t xml:space="preserve">FEDC154712  </t>
  </si>
  <si>
    <t xml:space="preserve">FEDC154713  </t>
  </si>
  <si>
    <t xml:space="preserve">FEDC154256  </t>
  </si>
  <si>
    <t xml:space="preserve">FEVM42780   </t>
  </si>
  <si>
    <t xml:space="preserve">1063358756          </t>
  </si>
  <si>
    <t xml:space="preserve">DUQUE RAMIREZ SANDRA MILENA                                 </t>
  </si>
  <si>
    <t xml:space="preserve">3127825010                    </t>
  </si>
  <si>
    <t xml:space="preserve">FEDC154827  </t>
  </si>
  <si>
    <t xml:space="preserve">FEDC154831  </t>
  </si>
  <si>
    <t xml:space="preserve">FEDC154832  </t>
  </si>
  <si>
    <t xml:space="preserve">FEDC154899  </t>
  </si>
  <si>
    <t xml:space="preserve">FEDC154887  </t>
  </si>
  <si>
    <t xml:space="preserve">43084869            </t>
  </si>
  <si>
    <t xml:space="preserve">VALENCIA GIRALDO MARLEN                                     </t>
  </si>
  <si>
    <t xml:space="preserve">3135656035     </t>
  </si>
  <si>
    <t xml:space="preserve">98530606            </t>
  </si>
  <si>
    <t xml:space="preserve">MARIN MONTES JUAN DIEGO                                     </t>
  </si>
  <si>
    <t xml:space="preserve">3123193694     </t>
  </si>
  <si>
    <t xml:space="preserve">70852289            </t>
  </si>
  <si>
    <t xml:space="preserve">GRAJALES GRAJALES LUIS ARCADIO                              </t>
  </si>
  <si>
    <t xml:space="preserve">8397282                       </t>
  </si>
  <si>
    <t xml:space="preserve">FEDC155048  </t>
  </si>
  <si>
    <t xml:space="preserve">FEDC155101  </t>
  </si>
  <si>
    <t xml:space="preserve">FEDC155117  </t>
  </si>
  <si>
    <t xml:space="preserve">FEDC155168  </t>
  </si>
  <si>
    <t xml:space="preserve">VALDIVIA                      </t>
  </si>
  <si>
    <t xml:space="preserve">FEDC155193  </t>
  </si>
  <si>
    <t xml:space="preserve">FEDC155195  </t>
  </si>
  <si>
    <t xml:space="preserve">900540697           </t>
  </si>
  <si>
    <t xml:space="preserve">FUNDACION CONSTRUYENDO VIDA SANA                            </t>
  </si>
  <si>
    <t xml:space="preserve">FEDC155165  </t>
  </si>
  <si>
    <t xml:space="preserve">3218037194                    </t>
  </si>
  <si>
    <t xml:space="preserve">78302654            </t>
  </si>
  <si>
    <t xml:space="preserve">ALVAREZ BELTRAN ERLIS MANUEL                                </t>
  </si>
  <si>
    <t xml:space="preserve">FEDC155186  </t>
  </si>
  <si>
    <t xml:space="preserve">3232928340 -3116576434        </t>
  </si>
  <si>
    <t xml:space="preserve">FEVM43106   </t>
  </si>
  <si>
    <t xml:space="preserve">78382514            </t>
  </si>
  <si>
    <t xml:space="preserve">ALEAN DIAZ RODRIGO JOSE                                     </t>
  </si>
  <si>
    <t xml:space="preserve">FEDC154990  </t>
  </si>
  <si>
    <t xml:space="preserve">3012056316                    </t>
  </si>
  <si>
    <t xml:space="preserve">FEDC154991  </t>
  </si>
  <si>
    <t xml:space="preserve">FEDC154992  </t>
  </si>
  <si>
    <t xml:space="preserve">FEDC155049  </t>
  </si>
  <si>
    <t xml:space="preserve">FEDC155032  </t>
  </si>
  <si>
    <t xml:space="preserve">FEDC155033  </t>
  </si>
  <si>
    <t xml:space="preserve">78115007            </t>
  </si>
  <si>
    <t xml:space="preserve">GUZMAN NIEBLES ANIBAL MARTIN                                </t>
  </si>
  <si>
    <t xml:space="preserve">PUEBLO LOCO                   </t>
  </si>
  <si>
    <t xml:space="preserve">3117706115                    </t>
  </si>
  <si>
    <t xml:space="preserve">FEDC155151  </t>
  </si>
  <si>
    <t xml:space="preserve">FEDC155163  </t>
  </si>
  <si>
    <t xml:space="preserve">FEDC155164  </t>
  </si>
  <si>
    <t xml:space="preserve">FEDC155166  </t>
  </si>
  <si>
    <t xml:space="preserve">FEVM43070   </t>
  </si>
  <si>
    <t xml:space="preserve">FEDC154999  </t>
  </si>
  <si>
    <t xml:space="preserve">FEDC155000  </t>
  </si>
  <si>
    <t xml:space="preserve">FEDC155001  </t>
  </si>
  <si>
    <t xml:space="preserve">FEDC155012  </t>
  </si>
  <si>
    <t xml:space="preserve">FEDC155018  </t>
  </si>
  <si>
    <t xml:space="preserve">FEDC155019  </t>
  </si>
  <si>
    <t xml:space="preserve">FEDC155020  </t>
  </si>
  <si>
    <t xml:space="preserve">FEDC155003  </t>
  </si>
  <si>
    <t xml:space="preserve">FEDC155004  </t>
  </si>
  <si>
    <t xml:space="preserve">FEDC155005  </t>
  </si>
  <si>
    <t xml:space="preserve">FEDC155006  </t>
  </si>
  <si>
    <t xml:space="preserve">FEDC155007  </t>
  </si>
  <si>
    <t xml:space="preserve">FEDC154998  </t>
  </si>
  <si>
    <t xml:space="preserve">FEDC155248  </t>
  </si>
  <si>
    <t xml:space="preserve">FEDC155237  </t>
  </si>
  <si>
    <t xml:space="preserve">FEDC155230  </t>
  </si>
  <si>
    <t xml:space="preserve">FEDC155231  </t>
  </si>
  <si>
    <t xml:space="preserve">1003343990-0        </t>
  </si>
  <si>
    <t xml:space="preserve">GOMEZ CUARTAS JOSE ALEJANDRO                                </t>
  </si>
  <si>
    <t xml:space="preserve">3008404870 7738877            </t>
  </si>
  <si>
    <t xml:space="preserve">FEDC155206  </t>
  </si>
  <si>
    <t xml:space="preserve">FEDC155207  </t>
  </si>
  <si>
    <t xml:space="preserve">21482306-2          </t>
  </si>
  <si>
    <t xml:space="preserve">GOMEZ VALDERRAMA ANA TERESA                                 </t>
  </si>
  <si>
    <t xml:space="preserve">FEDC155208  </t>
  </si>
  <si>
    <t xml:space="preserve">3218118823                    </t>
  </si>
  <si>
    <t xml:space="preserve">FEDC155209  </t>
  </si>
  <si>
    <t xml:space="preserve">FEDC155210  </t>
  </si>
  <si>
    <t xml:space="preserve">FEDC155214  </t>
  </si>
  <si>
    <t xml:space="preserve">FEDC155215  </t>
  </si>
  <si>
    <t xml:space="preserve">15308907            </t>
  </si>
  <si>
    <t xml:space="preserve">URIBE HENAO JORGE ORLANDO                                   </t>
  </si>
  <si>
    <t xml:space="preserve">3137334244                    </t>
  </si>
  <si>
    <t xml:space="preserve">FEDC155390  </t>
  </si>
  <si>
    <t xml:space="preserve">FEDC155391  </t>
  </si>
  <si>
    <t xml:space="preserve">FEDC155392  </t>
  </si>
  <si>
    <t xml:space="preserve">FEDC155421  </t>
  </si>
  <si>
    <t xml:space="preserve">FEDC155422  </t>
  </si>
  <si>
    <t xml:space="preserve">FEDC155423  </t>
  </si>
  <si>
    <t xml:space="preserve">1007318486          </t>
  </si>
  <si>
    <t xml:space="preserve">ORTIZ GUERRA DAYANA                                         </t>
  </si>
  <si>
    <t xml:space="preserve">FEDC155441  </t>
  </si>
  <si>
    <t xml:space="preserve">3158145059 -4793876           </t>
  </si>
  <si>
    <t xml:space="preserve">FEDC155442  </t>
  </si>
  <si>
    <t xml:space="preserve">39288704            </t>
  </si>
  <si>
    <t xml:space="preserve">MENDOZA TUBERQUIA KARINA ISABEL                             </t>
  </si>
  <si>
    <t xml:space="preserve">3208287570                    </t>
  </si>
  <si>
    <t xml:space="preserve">1026565690          </t>
  </si>
  <si>
    <t xml:space="preserve">PUELLO ROMERO YULIANA                                       </t>
  </si>
  <si>
    <t xml:space="preserve">3216177576     </t>
  </si>
  <si>
    <t xml:space="preserve">FEDC155377  </t>
  </si>
  <si>
    <t xml:space="preserve">FEDC155359  </t>
  </si>
  <si>
    <t xml:space="preserve">FEDC155360  </t>
  </si>
  <si>
    <t xml:space="preserve">FEDC155374  </t>
  </si>
  <si>
    <t xml:space="preserve">FEDC155325  </t>
  </si>
  <si>
    <t xml:space="preserve">FEDC155326  </t>
  </si>
  <si>
    <t xml:space="preserve">FEDC155335  </t>
  </si>
  <si>
    <t xml:space="preserve">FEDC155336  </t>
  </si>
  <si>
    <t xml:space="preserve">FEDC155291  </t>
  </si>
  <si>
    <t xml:space="preserve">FEDC155313  </t>
  </si>
  <si>
    <t xml:space="preserve">FEDC155311  </t>
  </si>
  <si>
    <t xml:space="preserve">FEDC155466  </t>
  </si>
  <si>
    <t xml:space="preserve">FEDC155448  </t>
  </si>
  <si>
    <t xml:space="preserve">FEDC155449  </t>
  </si>
  <si>
    <t xml:space="preserve">FEDC155450  </t>
  </si>
  <si>
    <t xml:space="preserve">FEDC155451  </t>
  </si>
  <si>
    <t xml:space="preserve">FEDC155454  </t>
  </si>
  <si>
    <t xml:space="preserve">FEDC155455  </t>
  </si>
  <si>
    <t xml:space="preserve">FEDC155456  </t>
  </si>
  <si>
    <t xml:space="preserve">FEDC155460  </t>
  </si>
  <si>
    <t xml:space="preserve">FEDC155461  </t>
  </si>
  <si>
    <t xml:space="preserve">FEDC155462  </t>
  </si>
  <si>
    <t xml:space="preserve">FEDC155463  </t>
  </si>
  <si>
    <t xml:space="preserve">FEDC155464  </t>
  </si>
  <si>
    <t xml:space="preserve">FEDC155343  </t>
  </si>
  <si>
    <t xml:space="preserve">FEDC155344  </t>
  </si>
  <si>
    <t xml:space="preserve">FEDC155337  </t>
  </si>
  <si>
    <t xml:space="preserve">FEDC155317  </t>
  </si>
  <si>
    <t xml:space="preserve">FEDC155318  </t>
  </si>
  <si>
    <t xml:space="preserve">FEDC155319  </t>
  </si>
  <si>
    <t xml:space="preserve">FEDC155320  </t>
  </si>
  <si>
    <t xml:space="preserve">1007123293          </t>
  </si>
  <si>
    <t xml:space="preserve">QUINTERO NARANJO KELLY JOHANA                               </t>
  </si>
  <si>
    <t xml:space="preserve">3215615966 - 3116312773       </t>
  </si>
  <si>
    <t xml:space="preserve">FEDC155683  </t>
  </si>
  <si>
    <t xml:space="preserve">FEDC155691  </t>
  </si>
  <si>
    <t xml:space="preserve">FEDC155698  </t>
  </si>
  <si>
    <t xml:space="preserve">FEDC155792  </t>
  </si>
  <si>
    <t xml:space="preserve">70694224            </t>
  </si>
  <si>
    <t xml:space="preserve">ALZATE ZULUAGA RUBEN DARIO                                  </t>
  </si>
  <si>
    <t xml:space="preserve">3213770238                    </t>
  </si>
  <si>
    <t xml:space="preserve">FEVM43334   </t>
  </si>
  <si>
    <t xml:space="preserve">FEDC155589  </t>
  </si>
  <si>
    <t xml:space="preserve">FEDC155590  </t>
  </si>
  <si>
    <t xml:space="preserve">FEDC155591  </t>
  </si>
  <si>
    <t xml:space="preserve">FEDC155596  </t>
  </si>
  <si>
    <t xml:space="preserve">FEDC155597  </t>
  </si>
  <si>
    <t xml:space="preserve">FEDC155606  </t>
  </si>
  <si>
    <t xml:space="preserve">70951907            </t>
  </si>
  <si>
    <t xml:space="preserve">GIRALDO BUILES  ARNOLDO DE JESUS                            </t>
  </si>
  <si>
    <t xml:space="preserve">3183563837 - 3126163099       </t>
  </si>
  <si>
    <t xml:space="preserve">FEDC155618  </t>
  </si>
  <si>
    <t xml:space="preserve">98475267            </t>
  </si>
  <si>
    <t xml:space="preserve">ZAYAS CORDERO AMAURY MIGUEL                                 </t>
  </si>
  <si>
    <t>8372024</t>
  </si>
  <si>
    <t xml:space="preserve">FEVM43348   </t>
  </si>
  <si>
    <t xml:space="preserve">FEDC155479  </t>
  </si>
  <si>
    <t xml:space="preserve">FEDC155732  </t>
  </si>
  <si>
    <t xml:space="preserve">FEDC155804  </t>
  </si>
  <si>
    <t xml:space="preserve">70694020            </t>
  </si>
  <si>
    <t xml:space="preserve">VARGAS RAMIREZ OSCAR IVAN                                   </t>
  </si>
  <si>
    <t xml:space="preserve">3114749928                    </t>
  </si>
  <si>
    <t xml:space="preserve">FEVM43503   </t>
  </si>
  <si>
    <t xml:space="preserve">FEVM43513   </t>
  </si>
  <si>
    <t xml:space="preserve">FEDC155480  </t>
  </si>
  <si>
    <t xml:space="preserve">FEDC155486  </t>
  </si>
  <si>
    <t xml:space="preserve">FEDC155487  </t>
  </si>
  <si>
    <t xml:space="preserve">FEDC155488  </t>
  </si>
  <si>
    <t xml:space="preserve">FEDC155489  </t>
  </si>
  <si>
    <t xml:space="preserve">FEDC155492  </t>
  </si>
  <si>
    <t xml:space="preserve">FEDC155493  </t>
  </si>
  <si>
    <t xml:space="preserve">FEDC155728  </t>
  </si>
  <si>
    <t xml:space="preserve">FEDC155729  </t>
  </si>
  <si>
    <t xml:space="preserve">FEDC155516  </t>
  </si>
  <si>
    <t xml:space="preserve">FEDC155610  </t>
  </si>
  <si>
    <t xml:space="preserve">FEDC155612  </t>
  </si>
  <si>
    <t xml:space="preserve">FEDC155793  </t>
  </si>
  <si>
    <t xml:space="preserve">FEDC155795  </t>
  </si>
  <si>
    <t xml:space="preserve">39287024            </t>
  </si>
  <si>
    <t xml:space="preserve">RUIZ VALENCIA FERMINA DEL CARMEN                            </t>
  </si>
  <si>
    <t xml:space="preserve">FEDC155801  </t>
  </si>
  <si>
    <t xml:space="preserve">3146416435     </t>
  </si>
  <si>
    <t xml:space="preserve">FEDC155551  </t>
  </si>
  <si>
    <t xml:space="preserve">FEDC155552  </t>
  </si>
  <si>
    <t xml:space="preserve">FEDC155553  </t>
  </si>
  <si>
    <t xml:space="preserve">FEDC155554  </t>
  </si>
  <si>
    <t xml:space="preserve">FEDC155555  </t>
  </si>
  <si>
    <t xml:space="preserve">FEDC155556  </t>
  </si>
  <si>
    <t xml:space="preserve">FEDC155557  </t>
  </si>
  <si>
    <t xml:space="preserve">FEDC155558  </t>
  </si>
  <si>
    <t xml:space="preserve">FEDC155559  </t>
  </si>
  <si>
    <t xml:space="preserve">FEDC155560  </t>
  </si>
  <si>
    <t xml:space="preserve">FEDC155561  </t>
  </si>
  <si>
    <t xml:space="preserve">FEDC155577  </t>
  </si>
  <si>
    <t xml:space="preserve">FEDC155578  </t>
  </si>
  <si>
    <t xml:space="preserve">FEDC155579  </t>
  </si>
  <si>
    <t xml:space="preserve">FEDC155580  </t>
  </si>
  <si>
    <t xml:space="preserve">FEDC155581  </t>
  </si>
  <si>
    <t xml:space="preserve">FEDC155582  </t>
  </si>
  <si>
    <t xml:space="preserve">FEDC155650  </t>
  </si>
  <si>
    <t xml:space="preserve">FEDC155651  </t>
  </si>
  <si>
    <t xml:space="preserve">FEDC155655  </t>
  </si>
  <si>
    <t xml:space="preserve">FEDC155656  </t>
  </si>
  <si>
    <t xml:space="preserve">FEDC155657  </t>
  </si>
  <si>
    <t xml:space="preserve">FEDC155704  </t>
  </si>
  <si>
    <t xml:space="preserve">FEDC155715  </t>
  </si>
  <si>
    <t xml:space="preserve">FEDC155716  </t>
  </si>
  <si>
    <t xml:space="preserve">FEDC155717  </t>
  </si>
  <si>
    <t xml:space="preserve">FEDC155742  </t>
  </si>
  <si>
    <t xml:space="preserve">FEDC155743  </t>
  </si>
  <si>
    <t xml:space="preserve">FEDC155745  </t>
  </si>
  <si>
    <t xml:space="preserve">FEDC155746  </t>
  </si>
  <si>
    <t xml:space="preserve">FEDC155747  </t>
  </si>
  <si>
    <t xml:space="preserve">FEDC155748  </t>
  </si>
  <si>
    <t xml:space="preserve">FEDC155749  </t>
  </si>
  <si>
    <t xml:space="preserve">FEDC155753  </t>
  </si>
  <si>
    <t xml:space="preserve">FEDC155754  </t>
  </si>
  <si>
    <t xml:space="preserve">FEDC155755  </t>
  </si>
  <si>
    <t xml:space="preserve">FEDC155757  </t>
  </si>
  <si>
    <t xml:space="preserve">FEDC155758  </t>
  </si>
  <si>
    <t xml:space="preserve">FEDC155759  </t>
  </si>
  <si>
    <t xml:space="preserve">FEDC155760  </t>
  </si>
  <si>
    <t xml:space="preserve">FEDC155761  </t>
  </si>
  <si>
    <t xml:space="preserve">FEDC155762  </t>
  </si>
  <si>
    <t xml:space="preserve">901530931-4         </t>
  </si>
  <si>
    <t xml:space="preserve">COMERCIALIZADORA JUNIAN S.A.S                               </t>
  </si>
  <si>
    <t xml:space="preserve">3105977799                    </t>
  </si>
  <si>
    <t xml:space="preserve">FEDC155776  </t>
  </si>
  <si>
    <t xml:space="preserve">FEDC155640  </t>
  </si>
  <si>
    <t xml:space="preserve">FEDC155641  </t>
  </si>
  <si>
    <t xml:space="preserve">FEDC155751  </t>
  </si>
  <si>
    <t xml:space="preserve">FEDC155752  </t>
  </si>
  <si>
    <t xml:space="preserve">FEDC155756  </t>
  </si>
  <si>
    <t xml:space="preserve">FEDC155636  </t>
  </si>
  <si>
    <t xml:space="preserve">FEDC155637  </t>
  </si>
  <si>
    <t xml:space="preserve">FEDC155638  </t>
  </si>
  <si>
    <t xml:space="preserve">FEDC155639  </t>
  </si>
  <si>
    <t xml:space="preserve">FEDC155642  </t>
  </si>
  <si>
    <t xml:space="preserve">FEDC155643  </t>
  </si>
  <si>
    <t xml:space="preserve">FEDC155644  </t>
  </si>
  <si>
    <t xml:space="preserve">FEDC155645  </t>
  </si>
  <si>
    <t xml:space="preserve">FEDC155646  </t>
  </si>
  <si>
    <t xml:space="preserve">FEDC155628  </t>
  </si>
  <si>
    <t xml:space="preserve">FEDC155629  </t>
  </si>
  <si>
    <t xml:space="preserve">78746792            </t>
  </si>
  <si>
    <t xml:space="preserve">ARCIA GAVIRIA LUIS ALBERTO                                  </t>
  </si>
  <si>
    <t xml:space="preserve">FEDC155630  </t>
  </si>
  <si>
    <t xml:space="preserve">3145104965                    </t>
  </si>
  <si>
    <t xml:space="preserve">FEDC155631  </t>
  </si>
  <si>
    <t xml:space="preserve">FEDC155634  </t>
  </si>
  <si>
    <t xml:space="preserve">FEDC155635  </t>
  </si>
  <si>
    <t>Total general</t>
  </si>
  <si>
    <t>(Todas)</t>
  </si>
  <si>
    <t>(Varios elementos)</t>
  </si>
  <si>
    <t>Suma de ttotal</t>
  </si>
  <si>
    <t>Total</t>
  </si>
  <si>
    <t xml:space="preserve">FEDC155816  </t>
  </si>
  <si>
    <t xml:space="preserve">FEDC155817  </t>
  </si>
  <si>
    <t xml:space="preserve">FEDC155818  </t>
  </si>
  <si>
    <t xml:space="preserve">FEDC155852  </t>
  </si>
  <si>
    <t xml:space="preserve">FEDC155919  </t>
  </si>
  <si>
    <t xml:space="preserve">39271861            </t>
  </si>
  <si>
    <t xml:space="preserve">MARQUEZ PIÑERES MARTA SOFIA                                 </t>
  </si>
  <si>
    <t xml:space="preserve">FEDC155921  </t>
  </si>
  <si>
    <t xml:space="preserve">3113595761                    </t>
  </si>
  <si>
    <t xml:space="preserve">FEDC155922  </t>
  </si>
  <si>
    <t xml:space="preserve">32211796            </t>
  </si>
  <si>
    <t xml:space="preserve">GONZALEZ AGUDELO LUZ MARLENY                                </t>
  </si>
  <si>
    <t xml:space="preserve">901679438-5         </t>
  </si>
  <si>
    <t xml:space="preserve">HERMANOS ATENCIA S.A.S                                      </t>
  </si>
  <si>
    <t xml:space="preserve">FEDC155980  </t>
  </si>
  <si>
    <t xml:space="preserve">3142941956                    </t>
  </si>
  <si>
    <t xml:space="preserve">FEDC155999  </t>
  </si>
  <si>
    <t xml:space="preserve">1038118947          </t>
  </si>
  <si>
    <t xml:space="preserve">TAFUR AYALA LEYDIS YULIETH                                  </t>
  </si>
  <si>
    <t xml:space="preserve">3205542146                    </t>
  </si>
  <si>
    <t xml:space="preserve">FEDC156035  </t>
  </si>
  <si>
    <t xml:space="preserve">FEDC156038  </t>
  </si>
  <si>
    <t xml:space="preserve">FEDC156040  </t>
  </si>
  <si>
    <t xml:space="preserve">FEDC156041  </t>
  </si>
  <si>
    <t xml:space="preserve">FEDC156043  </t>
  </si>
  <si>
    <t xml:space="preserve">FEDC156049  </t>
  </si>
  <si>
    <t xml:space="preserve">FEDC156050  </t>
  </si>
  <si>
    <t xml:space="preserve">FEDC156097  </t>
  </si>
  <si>
    <t xml:space="preserve">FEDC156099  </t>
  </si>
  <si>
    <t xml:space="preserve">FEDC156100  </t>
  </si>
  <si>
    <t xml:space="preserve">FEDC156139  </t>
  </si>
  <si>
    <t xml:space="preserve">FEDC156173  </t>
  </si>
  <si>
    <t xml:space="preserve">FEDC156174  </t>
  </si>
  <si>
    <t xml:space="preserve">FEDC156177  </t>
  </si>
  <si>
    <t xml:space="preserve">FEDC156178  </t>
  </si>
  <si>
    <t xml:space="preserve">FEDC156179  </t>
  </si>
  <si>
    <t xml:space="preserve">FEDC156180  </t>
  </si>
  <si>
    <t xml:space="preserve">FEDC156181  </t>
  </si>
  <si>
    <t xml:space="preserve">FEDC156183  </t>
  </si>
  <si>
    <t xml:space="preserve">FEDC156186  </t>
  </si>
  <si>
    <t xml:space="preserve">4524081             </t>
  </si>
  <si>
    <t xml:space="preserve">QUINTERO ZULUAGA ARGEMIRO                                   </t>
  </si>
  <si>
    <t xml:space="preserve">3214475985                    </t>
  </si>
  <si>
    <t xml:space="preserve">FEDC156192  </t>
  </si>
  <si>
    <t xml:space="preserve">FEDC156211  </t>
  </si>
  <si>
    <t xml:space="preserve">15309128            </t>
  </si>
  <si>
    <t xml:space="preserve">ORTIZ NAVARRO JANDER ANTONIO                                </t>
  </si>
  <si>
    <t xml:space="preserve">3103557354                    </t>
  </si>
  <si>
    <t xml:space="preserve">1027885777          </t>
  </si>
  <si>
    <t xml:space="preserve">GOMEZ VILLA DEISY JHOANA                                    </t>
  </si>
  <si>
    <t xml:space="preserve">3113477813     </t>
  </si>
  <si>
    <t xml:space="preserve">FEVM43789   </t>
  </si>
  <si>
    <t xml:space="preserve">FEDC155824  </t>
  </si>
  <si>
    <t xml:space="preserve">FEDC155827  </t>
  </si>
  <si>
    <t xml:space="preserve">FEDC155828  </t>
  </si>
  <si>
    <t xml:space="preserve">FEDC155829  </t>
  </si>
  <si>
    <t xml:space="preserve">FEDC155830  </t>
  </si>
  <si>
    <t xml:space="preserve">FEDC155834  </t>
  </si>
  <si>
    <t xml:space="preserve">FEDC155835  </t>
  </si>
  <si>
    <t xml:space="preserve">FEDC155836  </t>
  </si>
  <si>
    <t xml:space="preserve">FEDC155865  </t>
  </si>
  <si>
    <t xml:space="preserve">FEDC155917  </t>
  </si>
  <si>
    <t xml:space="preserve">FEDC156067  </t>
  </si>
  <si>
    <t xml:space="preserve">FEDC156069  </t>
  </si>
  <si>
    <t xml:space="preserve">FEDC156157  </t>
  </si>
  <si>
    <t xml:space="preserve">FEDC156202  </t>
  </si>
  <si>
    <t xml:space="preserve">FEDC156203  </t>
  </si>
  <si>
    <t xml:space="preserve">FEDC156205  </t>
  </si>
  <si>
    <t xml:space="preserve">FEDC156206  </t>
  </si>
  <si>
    <t xml:space="preserve">FEDC156127  </t>
  </si>
  <si>
    <t xml:space="preserve">FEDC156129  </t>
  </si>
  <si>
    <t xml:space="preserve">FEDC156130  </t>
  </si>
  <si>
    <t xml:space="preserve">43403431            </t>
  </si>
  <si>
    <t xml:space="preserve">ZULUAGA GIRALDO GLORIA AMPARO                               </t>
  </si>
  <si>
    <t xml:space="preserve">FEDC155945  </t>
  </si>
  <si>
    <t xml:space="preserve">FEDC155946  </t>
  </si>
  <si>
    <t xml:space="preserve">43092308            </t>
  </si>
  <si>
    <t xml:space="preserve">ROMAN MEJIA GLORIA ALBA                                     </t>
  </si>
  <si>
    <t xml:space="preserve">3148598403     </t>
  </si>
  <si>
    <t xml:space="preserve">FEDC155951  </t>
  </si>
  <si>
    <t xml:space="preserve">900691670-3         </t>
  </si>
  <si>
    <t xml:space="preserve">GRANERO CUARTO FRIO S.A.S                                   </t>
  </si>
  <si>
    <t xml:space="preserve">3137083414     </t>
  </si>
  <si>
    <t xml:space="preserve">FEDC155989  </t>
  </si>
  <si>
    <t xml:space="preserve">FEDC155990  </t>
  </si>
  <si>
    <t xml:space="preserve">FEDC156051  </t>
  </si>
  <si>
    <t xml:space="preserve">FEDC156057  </t>
  </si>
  <si>
    <t xml:space="preserve">FEDC156058  </t>
  </si>
  <si>
    <t xml:space="preserve">FEDC156060  </t>
  </si>
  <si>
    <t xml:space="preserve">FEDC156062  </t>
  </si>
  <si>
    <t xml:space="preserve">FEDC156063  </t>
  </si>
  <si>
    <t xml:space="preserve">FEVM43706   </t>
  </si>
  <si>
    <t xml:space="preserve">FEVM43719   </t>
  </si>
  <si>
    <t xml:space="preserve">FEVM43759   </t>
  </si>
  <si>
    <t xml:space="preserve">FEVM43763   </t>
  </si>
  <si>
    <t xml:space="preserve">FEVM43767   </t>
  </si>
  <si>
    <t xml:space="preserve">FEVM43772   </t>
  </si>
  <si>
    <t xml:space="preserve">FEVM43777   </t>
  </si>
  <si>
    <t xml:space="preserve">FEVM43779   </t>
  </si>
  <si>
    <t xml:space="preserve">FEDC156047  </t>
  </si>
  <si>
    <t xml:space="preserve">FEDC156160  </t>
  </si>
  <si>
    <t xml:space="preserve">FEDC156161  </t>
  </si>
  <si>
    <t xml:space="preserve">FEDC156162  </t>
  </si>
  <si>
    <t xml:space="preserve">FEDC156164  </t>
  </si>
  <si>
    <t xml:space="preserve">FEDC156165  </t>
  </si>
  <si>
    <t xml:space="preserve">FEDC156171  </t>
  </si>
  <si>
    <t xml:space="preserve">FEVM43604   </t>
  </si>
  <si>
    <t xml:space="preserve">FEVM43782   </t>
  </si>
  <si>
    <t xml:space="preserve">FEVM43783   </t>
  </si>
  <si>
    <t xml:space="preserve">FEDC156104  </t>
  </si>
  <si>
    <t xml:space="preserve">FEDC156106  </t>
  </si>
  <si>
    <t xml:space="preserve">FEDC156107  </t>
  </si>
  <si>
    <t xml:space="preserve">FEDC156112  </t>
  </si>
  <si>
    <t xml:space="preserve">FEDC156115  </t>
  </si>
  <si>
    <t xml:space="preserve">FEDC156011  </t>
  </si>
  <si>
    <t xml:space="preserve">FEDC156014  </t>
  </si>
  <si>
    <t xml:space="preserve">FEDC155933  </t>
  </si>
  <si>
    <t xml:space="preserve">FEDC155936  </t>
  </si>
  <si>
    <t xml:space="preserve">FEDC155937  </t>
  </si>
  <si>
    <t xml:space="preserve">FEDC155940  </t>
  </si>
  <si>
    <t xml:space="preserve">FEDC155978  </t>
  </si>
  <si>
    <t xml:space="preserve">FEDC156213  </t>
  </si>
  <si>
    <t xml:space="preserve">FEDC156214  </t>
  </si>
  <si>
    <t xml:space="preserve">FEDC156219  </t>
  </si>
  <si>
    <t xml:space="preserve">FEDC156221  </t>
  </si>
  <si>
    <t xml:space="preserve">FEDC156222  </t>
  </si>
  <si>
    <t xml:space="preserve">FEDC155998  </t>
  </si>
  <si>
    <t xml:space="preserve">FEDC156147  </t>
  </si>
  <si>
    <t xml:space="preserve">FEDC156149  </t>
  </si>
  <si>
    <t xml:space="preserve">FEDC155994  </t>
  </si>
  <si>
    <t xml:space="preserve">FEDC156001  </t>
  </si>
  <si>
    <t xml:space="preserve">FEDC156003  </t>
  </si>
  <si>
    <t xml:space="preserve">FEDC156074  </t>
  </si>
  <si>
    <t xml:space="preserve">FEDC156075  </t>
  </si>
  <si>
    <t xml:space="preserve">FEDC156137  </t>
  </si>
  <si>
    <t xml:space="preserve">FEDC156144  </t>
  </si>
  <si>
    <t xml:space="preserve">FEDC156146  </t>
  </si>
  <si>
    <t xml:space="preserve">FEDC155892  </t>
  </si>
  <si>
    <t xml:space="preserve">FEDC155893  </t>
  </si>
  <si>
    <t xml:space="preserve">FEDC155896  </t>
  </si>
  <si>
    <t xml:space="preserve">FEDC155900  </t>
  </si>
  <si>
    <t xml:space="preserve">FEDC155901  </t>
  </si>
  <si>
    <t xml:space="preserve">FEDC155902  </t>
  </si>
  <si>
    <t xml:space="preserve">FEDC156105  </t>
  </si>
  <si>
    <t xml:space="preserve">FEDC156117  </t>
  </si>
  <si>
    <t xml:space="preserve">FEDC156118  </t>
  </si>
  <si>
    <t xml:space="preserve">FEDC155857  </t>
  </si>
  <si>
    <t xml:space="preserve">FEDC155952  </t>
  </si>
  <si>
    <t xml:space="preserve">FEDC155983  </t>
  </si>
  <si>
    <t xml:space="preserve">FEDC155871  </t>
  </si>
  <si>
    <t xml:space="preserve">FEDC155954  </t>
  </si>
  <si>
    <t xml:space="preserve">FEDC155956  </t>
  </si>
  <si>
    <t xml:space="preserve">32116683            </t>
  </si>
  <si>
    <t xml:space="preserve">PALACIO ALBA MERY                                           </t>
  </si>
  <si>
    <t xml:space="preserve">FEDC156088  </t>
  </si>
  <si>
    <t>312 812 7966</t>
  </si>
  <si>
    <t xml:space="preserve">FEDC156089  </t>
  </si>
  <si>
    <t xml:space="preserve">FEDC156110  </t>
  </si>
  <si>
    <t xml:space="preserve">FEDC156111  </t>
  </si>
  <si>
    <t xml:space="preserve">FEDC156114  </t>
  </si>
  <si>
    <t xml:space="preserve">FEDC156116  </t>
  </si>
  <si>
    <t xml:space="preserve">FEDC156142  </t>
  </si>
  <si>
    <t xml:space="preserve">FEDC156143  </t>
  </si>
  <si>
    <t xml:space="preserve">FEDC156148  </t>
  </si>
  <si>
    <t xml:space="preserve">FEDC156172  </t>
  </si>
  <si>
    <t xml:space="preserve">FECT3216    </t>
  </si>
  <si>
    <t xml:space="preserve">FEDC156263  </t>
  </si>
  <si>
    <t xml:space="preserve">FEDC156265  </t>
  </si>
  <si>
    <t xml:space="preserve">FEDC156268  </t>
  </si>
  <si>
    <t xml:space="preserve">FEDC156271  </t>
  </si>
  <si>
    <t xml:space="preserve">FEDC156272  </t>
  </si>
  <si>
    <t xml:space="preserve">FEDC156278  </t>
  </si>
  <si>
    <t xml:space="preserve">FEDC156299  </t>
  </si>
  <si>
    <t xml:space="preserve">FEDC156300  </t>
  </si>
  <si>
    <t xml:space="preserve">FEDC156308  </t>
  </si>
  <si>
    <t xml:space="preserve">FEDC156311  </t>
  </si>
  <si>
    <t xml:space="preserve">FEDC156370  </t>
  </si>
  <si>
    <t xml:space="preserve">FEDC156428  </t>
  </si>
  <si>
    <t xml:space="preserve">FEDC156430  </t>
  </si>
  <si>
    <t xml:space="preserve">FEDC156432  </t>
  </si>
  <si>
    <t xml:space="preserve">FEDC156434  </t>
  </si>
  <si>
    <t xml:space="preserve">FEDC156435  </t>
  </si>
  <si>
    <t xml:space="preserve">FEDC156436  </t>
  </si>
  <si>
    <t xml:space="preserve">FEDC156437  </t>
  </si>
  <si>
    <t xml:space="preserve">43289114            </t>
  </si>
  <si>
    <t xml:space="preserve">OSORIO MUnOZ DIANA ANDREA                                   </t>
  </si>
  <si>
    <t>3136518590</t>
  </si>
  <si>
    <t xml:space="preserve">FEVM43863   </t>
  </si>
  <si>
    <t xml:space="preserve">FEVM43873   </t>
  </si>
  <si>
    <t xml:space="preserve">FEDC156413  </t>
  </si>
  <si>
    <t xml:space="preserve">FEDC156399  </t>
  </si>
  <si>
    <t xml:space="preserve">FEDC156400  </t>
  </si>
  <si>
    <t xml:space="preserve">FEDC156284  </t>
  </si>
  <si>
    <t xml:space="preserve">FEDC156285  </t>
  </si>
  <si>
    <t xml:space="preserve">FEDC156287  </t>
  </si>
  <si>
    <t xml:space="preserve">FEDC156288  </t>
  </si>
  <si>
    <t xml:space="preserve">FEDC156289  </t>
  </si>
  <si>
    <t xml:space="preserve">FEDC156290  </t>
  </si>
  <si>
    <t xml:space="preserve">FEDC156291  </t>
  </si>
  <si>
    <t xml:space="preserve">FEDC156292  </t>
  </si>
  <si>
    <t xml:space="preserve">FEDC156301  </t>
  </si>
  <si>
    <t xml:space="preserve">FEDC156305  </t>
  </si>
  <si>
    <t xml:space="preserve">FEDC156306  </t>
  </si>
  <si>
    <t xml:space="preserve">FEDC156307  </t>
  </si>
  <si>
    <t xml:space="preserve">1063309197          </t>
  </si>
  <si>
    <t xml:space="preserve">ROJAS RUIZ IVAN DARIO                                       </t>
  </si>
  <si>
    <t xml:space="preserve">300361499                     </t>
  </si>
  <si>
    <t xml:space="preserve">FEDC156385  </t>
  </si>
  <si>
    <t xml:space="preserve">FEDC156386  </t>
  </si>
  <si>
    <t xml:space="preserve">FEDC156414  </t>
  </si>
  <si>
    <t xml:space="preserve">FEDC156415  </t>
  </si>
  <si>
    <t xml:space="preserve">FEDC156257  </t>
  </si>
  <si>
    <t xml:space="preserve">FEDC156321  </t>
  </si>
  <si>
    <t xml:space="preserve">FEDC156390  </t>
  </si>
  <si>
    <t xml:space="preserve">FEDC156394  </t>
  </si>
  <si>
    <t xml:space="preserve">FEDC156403  </t>
  </si>
  <si>
    <t xml:space="preserve">FEDC156404  </t>
  </si>
  <si>
    <t xml:space="preserve">FEDC156406  </t>
  </si>
  <si>
    <t xml:space="preserve">FEDC156417  </t>
  </si>
  <si>
    <t xml:space="preserve">FEDC156418  </t>
  </si>
  <si>
    <t xml:space="preserve">FEDC156365  </t>
  </si>
  <si>
    <t xml:space="preserve">FEDC156366  </t>
  </si>
  <si>
    <t xml:space="preserve">FEDC156367  </t>
  </si>
  <si>
    <t xml:space="preserve">FEDC156368  </t>
  </si>
  <si>
    <t xml:space="preserve">FEDC156369  </t>
  </si>
  <si>
    <t xml:space="preserve">FEDC156371  </t>
  </si>
  <si>
    <t xml:space="preserve">FEDC156407  </t>
  </si>
  <si>
    <t xml:space="preserve">FEDC156408  </t>
  </si>
  <si>
    <t xml:space="preserve">FEDC156409  </t>
  </si>
  <si>
    <t xml:space="preserve">FEDC156423  </t>
  </si>
  <si>
    <t xml:space="preserve">FEDC156424  </t>
  </si>
  <si>
    <t xml:space="preserve">FEDC156425  </t>
  </si>
  <si>
    <t xml:space="preserve">FEDC156282  </t>
  </si>
  <si>
    <t xml:space="preserve">FEDC156295  </t>
  </si>
  <si>
    <t xml:space="preserve">FEDC156318  </t>
  </si>
  <si>
    <t xml:space="preserve">FEDC156319  </t>
  </si>
  <si>
    <t xml:space="preserve">43699606            </t>
  </si>
  <si>
    <t xml:space="preserve">ARRIETA SOLORZANO ENAURIS CATALINA                          </t>
  </si>
  <si>
    <t xml:space="preserve">FEDC156322  </t>
  </si>
  <si>
    <t xml:space="preserve">3148371149 -8368328           </t>
  </si>
  <si>
    <t xml:space="preserve">11062614            </t>
  </si>
  <si>
    <t xml:space="preserve">MONTALVO PEREZ SILFREDO MANUEL                              </t>
  </si>
  <si>
    <t xml:space="preserve">FEDC156323  </t>
  </si>
  <si>
    <t xml:space="preserve">3205775787     </t>
  </si>
  <si>
    <t xml:space="preserve">FEDC156327  </t>
  </si>
  <si>
    <t xml:space="preserve">FEDC156336  </t>
  </si>
  <si>
    <t xml:space="preserve">FEDC156337  </t>
  </si>
  <si>
    <t xml:space="preserve">FEDC156342  </t>
  </si>
  <si>
    <t xml:space="preserve">FEDC156343  </t>
  </si>
  <si>
    <t xml:space="preserve">FEDC156344  </t>
  </si>
  <si>
    <t xml:space="preserve">FEDC156352  </t>
  </si>
  <si>
    <t xml:space="preserve">FEDC156345  </t>
  </si>
  <si>
    <t xml:space="preserve">FEDC156346  </t>
  </si>
  <si>
    <t xml:space="preserve">FEDC156347  </t>
  </si>
  <si>
    <t xml:space="preserve">FEDC156351  </t>
  </si>
  <si>
    <t xml:space="preserve">FEDC156354  </t>
  </si>
  <si>
    <t xml:space="preserve">FEDC156355  </t>
  </si>
  <si>
    <t xml:space="preserve">FEDC156358  </t>
  </si>
  <si>
    <t xml:space="preserve">FEDC156359  </t>
  </si>
  <si>
    <t xml:space="preserve">FEDC156372  </t>
  </si>
  <si>
    <t xml:space="preserve">FEDC156373  </t>
  </si>
  <si>
    <t xml:space="preserve">FEDC156375  </t>
  </si>
  <si>
    <t xml:space="preserve">FEDC156377  </t>
  </si>
  <si>
    <t xml:space="preserve">FEDC156378  </t>
  </si>
  <si>
    <t xml:space="preserve">FEDC156398  </t>
  </si>
  <si>
    <t xml:space="preserve">FEDC156401  </t>
  </si>
  <si>
    <t xml:space="preserve">FEDC156419  </t>
  </si>
  <si>
    <t xml:space="preserve">FEDC156416  </t>
  </si>
  <si>
    <t xml:space="preserve">89 </t>
  </si>
  <si>
    <t xml:space="preserve">FEDC156422  </t>
  </si>
  <si>
    <t xml:space="preserve">FEDC156324  </t>
  </si>
  <si>
    <t xml:space="preserve">FEDC156325  </t>
  </si>
  <si>
    <t xml:space="preserve">FEDC156328  </t>
  </si>
  <si>
    <t xml:space="preserve">FEDC156329  </t>
  </si>
  <si>
    <t>202601</t>
  </si>
  <si>
    <t xml:space="preserve">FEDC156442  </t>
  </si>
  <si>
    <t xml:space="preserve">FEDC156443  </t>
  </si>
  <si>
    <t xml:space="preserve">FEDC156447  </t>
  </si>
  <si>
    <t xml:space="preserve">FEDC156449  </t>
  </si>
  <si>
    <t xml:space="preserve">FEDC156451  </t>
  </si>
  <si>
    <t xml:space="preserve">FEDC156581  </t>
  </si>
  <si>
    <t xml:space="preserve">FEDC156594  </t>
  </si>
  <si>
    <t xml:space="preserve">FEDC156596  </t>
  </si>
  <si>
    <t xml:space="preserve">FEDC156600  </t>
  </si>
  <si>
    <t xml:space="preserve">FEDC156601  </t>
  </si>
  <si>
    <t xml:space="preserve">FEDC156602  </t>
  </si>
  <si>
    <t xml:space="preserve">FEDC156604  </t>
  </si>
  <si>
    <t xml:space="preserve">FEDC156605  </t>
  </si>
  <si>
    <t xml:space="preserve">FEDC156606  </t>
  </si>
  <si>
    <t xml:space="preserve">FEDC156607  </t>
  </si>
  <si>
    <t xml:space="preserve">FEDC156609  </t>
  </si>
  <si>
    <t xml:space="preserve">FEDC156610  </t>
  </si>
  <si>
    <t xml:space="preserve">FEDC156611  </t>
  </si>
  <si>
    <t xml:space="preserve">FEDC156612  </t>
  </si>
  <si>
    <t xml:space="preserve">FEDC156614  </t>
  </si>
  <si>
    <t xml:space="preserve">FEDC156615  </t>
  </si>
  <si>
    <t xml:space="preserve">FEDC156616  </t>
  </si>
  <si>
    <t xml:space="preserve">FEDC156619  </t>
  </si>
  <si>
    <t xml:space="preserve">FEDC156620  </t>
  </si>
  <si>
    <t xml:space="preserve">FEDC156633  </t>
  </si>
  <si>
    <t xml:space="preserve">70525701            </t>
  </si>
  <si>
    <t xml:space="preserve">CASTAnO ROMERO FRANCISCO                                    </t>
  </si>
  <si>
    <t xml:space="preserve">2    </t>
  </si>
  <si>
    <t xml:space="preserve">3202100435                    </t>
  </si>
  <si>
    <t xml:space="preserve">FEDC156648  </t>
  </si>
  <si>
    <t xml:space="preserve">FEDC156683  </t>
  </si>
  <si>
    <t xml:space="preserve">700413634           </t>
  </si>
  <si>
    <t xml:space="preserve">PERNIA PERNIA DAYNIRET KEIMAR                               </t>
  </si>
  <si>
    <t xml:space="preserve">FEDC156685  </t>
  </si>
  <si>
    <t xml:space="preserve">3234897680                    </t>
  </si>
  <si>
    <t xml:space="preserve">FEDC156690  </t>
  </si>
  <si>
    <t xml:space="preserve">FEDC156709  </t>
  </si>
  <si>
    <t xml:space="preserve">FEDC156722  </t>
  </si>
  <si>
    <t xml:space="preserve">FEDC156793  </t>
  </si>
  <si>
    <t xml:space="preserve">FEDC156800  </t>
  </si>
  <si>
    <t xml:space="preserve">FEDC156814  </t>
  </si>
  <si>
    <t xml:space="preserve">FEDC156818  </t>
  </si>
  <si>
    <t xml:space="preserve">FEDC156819  </t>
  </si>
  <si>
    <t xml:space="preserve">FEDC156820  </t>
  </si>
  <si>
    <t xml:space="preserve">FEDC156822  </t>
  </si>
  <si>
    <t xml:space="preserve">FEDC156823  </t>
  </si>
  <si>
    <t xml:space="preserve">FEDC156824  </t>
  </si>
  <si>
    <t xml:space="preserve">FEDC156825  </t>
  </si>
  <si>
    <t xml:space="preserve">FEDC156827  </t>
  </si>
  <si>
    <t xml:space="preserve">FEDC156829  </t>
  </si>
  <si>
    <t xml:space="preserve">FEDC156831  </t>
  </si>
  <si>
    <t xml:space="preserve">FEDC156834  </t>
  </si>
  <si>
    <t xml:space="preserve">FEDC156872  </t>
  </si>
  <si>
    <t xml:space="preserve">FEDC156908  </t>
  </si>
  <si>
    <t xml:space="preserve">FEDC156909  </t>
  </si>
  <si>
    <t xml:space="preserve">FEDC156910  </t>
  </si>
  <si>
    <t xml:space="preserve">FEDC156911  </t>
  </si>
  <si>
    <t xml:space="preserve">FEDC156912  </t>
  </si>
  <si>
    <t xml:space="preserve">FEDC156914  </t>
  </si>
  <si>
    <t xml:space="preserve">FEDC156915  </t>
  </si>
  <si>
    <t xml:space="preserve">FEDC156916  </t>
  </si>
  <si>
    <t xml:space="preserve">FEDC156917  </t>
  </si>
  <si>
    <t xml:space="preserve">1152190835          </t>
  </si>
  <si>
    <t xml:space="preserve">MENESES BEDOYA SAUDITH                                      </t>
  </si>
  <si>
    <t xml:space="preserve">FEDC156919  </t>
  </si>
  <si>
    <t xml:space="preserve">3146318692                    </t>
  </si>
  <si>
    <t xml:space="preserve">FEDC156921  </t>
  </si>
  <si>
    <t xml:space="preserve">FEDC156929  </t>
  </si>
  <si>
    <t xml:space="preserve">FEDC156932  </t>
  </si>
  <si>
    <t xml:space="preserve">FEDC156963  </t>
  </si>
  <si>
    <t xml:space="preserve">FEDC156964  </t>
  </si>
  <si>
    <t xml:space="preserve">FEDC157005  </t>
  </si>
  <si>
    <t xml:space="preserve">FEDC157006  </t>
  </si>
  <si>
    <t xml:space="preserve">FEDC157007  </t>
  </si>
  <si>
    <t xml:space="preserve">FEDC157008  </t>
  </si>
  <si>
    <t xml:space="preserve">FEDC157009  </t>
  </si>
  <si>
    <t xml:space="preserve">FEDC157010  </t>
  </si>
  <si>
    <t xml:space="preserve">FEDC157011  </t>
  </si>
  <si>
    <t xml:space="preserve">FEDC157014  </t>
  </si>
  <si>
    <t xml:space="preserve">FEDC157015  </t>
  </si>
  <si>
    <t xml:space="preserve">FEDC157016  </t>
  </si>
  <si>
    <t xml:space="preserve">FEDC157017  </t>
  </si>
  <si>
    <t xml:space="preserve">FEVM44039   </t>
  </si>
  <si>
    <t xml:space="preserve">FEVM44081   </t>
  </si>
  <si>
    <t xml:space="preserve">FEVM44087   </t>
  </si>
  <si>
    <t xml:space="preserve">70540355            </t>
  </si>
  <si>
    <t xml:space="preserve">MAZO QUInONEZ OMAR ALBERTO                                  </t>
  </si>
  <si>
    <t xml:space="preserve">3224318109 -3108229219        </t>
  </si>
  <si>
    <t xml:space="preserve">FEVM44174   </t>
  </si>
  <si>
    <t xml:space="preserve">1007332329          </t>
  </si>
  <si>
    <t xml:space="preserve">GOMEZ MONTOYA INGRI YOELIS                                  </t>
  </si>
  <si>
    <t xml:space="preserve">3118291964                    </t>
  </si>
  <si>
    <t xml:space="preserve">FEVM44221   </t>
  </si>
  <si>
    <t xml:space="preserve">FEVM44227   </t>
  </si>
  <si>
    <t xml:space="preserve">39288308            </t>
  </si>
  <si>
    <t xml:space="preserve">RODRIGUEZ SANTOS JULIETH PATRICIA                           </t>
  </si>
  <si>
    <t xml:space="preserve">3135780204                    </t>
  </si>
  <si>
    <t xml:space="preserve">FEVM44258   </t>
  </si>
  <si>
    <t xml:space="preserve">FEVM44259   </t>
  </si>
  <si>
    <t xml:space="preserve">FEVM44260   </t>
  </si>
  <si>
    <t xml:space="preserve">FEVM44261   </t>
  </si>
  <si>
    <t xml:space="preserve">FEVM44262   </t>
  </si>
  <si>
    <t xml:space="preserve">FEVM44273   </t>
  </si>
  <si>
    <t xml:space="preserve">FEVM44280   </t>
  </si>
  <si>
    <t xml:space="preserve">FEVM44281   </t>
  </si>
  <si>
    <t xml:space="preserve">FEVM44282   </t>
  </si>
  <si>
    <t xml:space="preserve">FEVM44335   </t>
  </si>
  <si>
    <t xml:space="preserve">FEVM44491   </t>
  </si>
  <si>
    <t xml:space="preserve">FEVM44492   </t>
  </si>
  <si>
    <t xml:space="preserve">FEVM44515   </t>
  </si>
  <si>
    <t xml:space="preserve">FEDC156543  </t>
  </si>
  <si>
    <t xml:space="preserve">FEDC156546  </t>
  </si>
  <si>
    <t xml:space="preserve">FEDC156547  </t>
  </si>
  <si>
    <t xml:space="preserve">FEDC156549  </t>
  </si>
  <si>
    <t xml:space="preserve">FEDC156556  </t>
  </si>
  <si>
    <t xml:space="preserve">FEDC156557  </t>
  </si>
  <si>
    <t xml:space="preserve">FEDC156558  </t>
  </si>
  <si>
    <t xml:space="preserve">FEDC156559  </t>
  </si>
  <si>
    <t xml:space="preserve">FEDC156564  </t>
  </si>
  <si>
    <t xml:space="preserve">FEDC156585  </t>
  </si>
  <si>
    <t xml:space="preserve">FEDC156586  </t>
  </si>
  <si>
    <t xml:space="preserve">FEDC156636  </t>
  </si>
  <si>
    <t xml:space="preserve">FEDC156637  </t>
  </si>
  <si>
    <t xml:space="preserve">FEDC156638  </t>
  </si>
  <si>
    <t xml:space="preserve">FEDC156639  </t>
  </si>
  <si>
    <t xml:space="preserve">FEDC156640  </t>
  </si>
  <si>
    <t xml:space="preserve">FEDC156641  </t>
  </si>
  <si>
    <t xml:space="preserve">FEDC156643  </t>
  </si>
  <si>
    <t xml:space="preserve">FEDC156644  </t>
  </si>
  <si>
    <t xml:space="preserve">FEDC156708  </t>
  </si>
  <si>
    <t xml:space="preserve">FEDC156994  </t>
  </si>
  <si>
    <t xml:space="preserve">FEDC156998  </t>
  </si>
  <si>
    <t xml:space="preserve">FEDC156999  </t>
  </si>
  <si>
    <t xml:space="preserve">FEDC157000  </t>
  </si>
  <si>
    <t xml:space="preserve">FEDC157001  </t>
  </si>
  <si>
    <t xml:space="preserve">FEDC157002  </t>
  </si>
  <si>
    <t xml:space="preserve">FEVM44502   </t>
  </si>
  <si>
    <t xml:space="preserve">FEDC156867  </t>
  </si>
  <si>
    <t xml:space="preserve">FEDC156870  </t>
  </si>
  <si>
    <t xml:space="preserve">FEDC156871  </t>
  </si>
  <si>
    <t xml:space="preserve">FEDC156874  </t>
  </si>
  <si>
    <t xml:space="preserve">FEDC156902  </t>
  </si>
  <si>
    <t xml:space="preserve">FEDC156903  </t>
  </si>
  <si>
    <t xml:space="preserve">FEDC156904  </t>
  </si>
  <si>
    <t xml:space="preserve">FEDC156950  </t>
  </si>
  <si>
    <t xml:space="preserve">FEDC156846  </t>
  </si>
  <si>
    <t xml:space="preserve">FEDC156847  </t>
  </si>
  <si>
    <t xml:space="preserve">FEDC156848  </t>
  </si>
  <si>
    <t xml:space="preserve">FEDC156849  </t>
  </si>
  <si>
    <t xml:space="preserve">FEDC156843  </t>
  </si>
  <si>
    <t xml:space="preserve">FEDC156844  </t>
  </si>
  <si>
    <t xml:space="preserve">22187275            </t>
  </si>
  <si>
    <t xml:space="preserve">SALAZAR RODRIGUEZ MARIA LUCERO                              </t>
  </si>
  <si>
    <t xml:space="preserve">3134174052                    </t>
  </si>
  <si>
    <t xml:space="preserve">FEDC156669  </t>
  </si>
  <si>
    <t xml:space="preserve">FEDC156670  </t>
  </si>
  <si>
    <t xml:space="preserve">FEDC156671  </t>
  </si>
  <si>
    <t xml:space="preserve">FEDC156679  </t>
  </si>
  <si>
    <t xml:space="preserve">FEDC156680  </t>
  </si>
  <si>
    <t xml:space="preserve">FEDC156681  </t>
  </si>
  <si>
    <t xml:space="preserve">FEDC156698  </t>
  </si>
  <si>
    <t xml:space="preserve">FEDC156682  </t>
  </si>
  <si>
    <t xml:space="preserve">FEVM44059   </t>
  </si>
  <si>
    <t xml:space="preserve">FEVM44076   </t>
  </si>
  <si>
    <t xml:space="preserve">FEVM44117   </t>
  </si>
  <si>
    <t xml:space="preserve">FEVM44122   </t>
  </si>
  <si>
    <t xml:space="preserve">FEVM44125   </t>
  </si>
  <si>
    <t xml:space="preserve">FEVM44130   </t>
  </si>
  <si>
    <t xml:space="preserve">FEVM44138   </t>
  </si>
  <si>
    <t xml:space="preserve">FEVM44143   </t>
  </si>
  <si>
    <t xml:space="preserve">FEVM44145   </t>
  </si>
  <si>
    <t xml:space="preserve">FEVM44151   </t>
  </si>
  <si>
    <t xml:space="preserve">FEVM44354   </t>
  </si>
  <si>
    <t xml:space="preserve">FEVM44361   </t>
  </si>
  <si>
    <t xml:space="preserve">FEVM44362   </t>
  </si>
  <si>
    <t xml:space="preserve">FEVM44363   </t>
  </si>
  <si>
    <t xml:space="preserve">FEVM44366   </t>
  </si>
  <si>
    <t xml:space="preserve">FEVM44374   </t>
  </si>
  <si>
    <t xml:space="preserve">FEVM44383   </t>
  </si>
  <si>
    <t xml:space="preserve">FEVM44384   </t>
  </si>
  <si>
    <t xml:space="preserve">FEVM44385   </t>
  </si>
  <si>
    <t xml:space="preserve">FEVM44396   </t>
  </si>
  <si>
    <t xml:space="preserve">FEVM44397   </t>
  </si>
  <si>
    <t xml:space="preserve">FEVM44400   </t>
  </si>
  <si>
    <t xml:space="preserve">FEVM44401   </t>
  </si>
  <si>
    <t xml:space="preserve">FEVM44404   </t>
  </si>
  <si>
    <t xml:space="preserve">FEVM44411   </t>
  </si>
  <si>
    <t xml:space="preserve">FEVM44420   </t>
  </si>
  <si>
    <t xml:space="preserve">FEVM44422   </t>
  </si>
  <si>
    <t xml:space="preserve">FEVM44434   </t>
  </si>
  <si>
    <t xml:space="preserve">FEDC157030  </t>
  </si>
  <si>
    <t xml:space="preserve">FEDC157036  </t>
  </si>
  <si>
    <t xml:space="preserve">FEDC156656  </t>
  </si>
  <si>
    <t xml:space="preserve">FEDC156657  </t>
  </si>
  <si>
    <t xml:space="preserve">FEDC156658  </t>
  </si>
  <si>
    <t xml:space="preserve">FEDC156659  </t>
  </si>
  <si>
    <t xml:space="preserve">FEDC156660  </t>
  </si>
  <si>
    <t xml:space="preserve">FEDC156661  </t>
  </si>
  <si>
    <t xml:space="preserve">FEDC156662  </t>
  </si>
  <si>
    <t xml:space="preserve">FEDC156663  </t>
  </si>
  <si>
    <t xml:space="preserve">FEDC156893  </t>
  </si>
  <si>
    <t xml:space="preserve">FEDC156894  </t>
  </si>
  <si>
    <t xml:space="preserve">FEDC156895  </t>
  </si>
  <si>
    <t xml:space="preserve">FEDC156896  </t>
  </si>
  <si>
    <t xml:space="preserve">FEDC156897  </t>
  </si>
  <si>
    <t xml:space="preserve">FEDC156940  </t>
  </si>
  <si>
    <t xml:space="preserve">FEDC156941  </t>
  </si>
  <si>
    <t xml:space="preserve">FEDC156942  </t>
  </si>
  <si>
    <t xml:space="preserve">FEDC156944  </t>
  </si>
  <si>
    <t xml:space="preserve">FEDC156945  </t>
  </si>
  <si>
    <t xml:space="preserve">FEDC156946  </t>
  </si>
  <si>
    <t xml:space="preserve">FEDC156948  </t>
  </si>
  <si>
    <t xml:space="preserve">FEDC156949  </t>
  </si>
  <si>
    <t xml:space="preserve">FEDC156959  </t>
  </si>
  <si>
    <t xml:space="preserve">FEDC156960  </t>
  </si>
  <si>
    <t xml:space="preserve">FEDC156961  </t>
  </si>
  <si>
    <t xml:space="preserve">FEDC156987  </t>
  </si>
  <si>
    <t xml:space="preserve">FEDC156988  </t>
  </si>
  <si>
    <t xml:space="preserve">FEDC156989  </t>
  </si>
  <si>
    <t xml:space="preserve">FEVM44150   </t>
  </si>
  <si>
    <t xml:space="preserve">FEVM44433   </t>
  </si>
  <si>
    <t xml:space="preserve">FEVM44522   </t>
  </si>
  <si>
    <t xml:space="preserve">FEDC156617  </t>
  </si>
  <si>
    <t xml:space="preserve">FEDC156618  </t>
  </si>
  <si>
    <t xml:space="preserve">FEDC156621  </t>
  </si>
  <si>
    <t xml:space="preserve">FEDC156622  </t>
  </si>
  <si>
    <t xml:space="preserve">FEDC156623  </t>
  </si>
  <si>
    <t xml:space="preserve">FEDC156624  </t>
  </si>
  <si>
    <t xml:space="preserve">FEDC156625  </t>
  </si>
  <si>
    <t xml:space="preserve">FEDC156626  </t>
  </si>
  <si>
    <t xml:space="preserve">FEDC156627  </t>
  </si>
  <si>
    <t xml:space="preserve">FEDC156628  </t>
  </si>
  <si>
    <t xml:space="preserve">FEDC156750  </t>
  </si>
  <si>
    <t xml:space="preserve">FEDC156751  </t>
  </si>
  <si>
    <t xml:space="preserve">FEDC156753  </t>
  </si>
  <si>
    <t xml:space="preserve">FEDC156754  </t>
  </si>
  <si>
    <t xml:space="preserve">FEDC156756  </t>
  </si>
  <si>
    <t xml:space="preserve">FEDC156757  </t>
  </si>
  <si>
    <t xml:space="preserve">FEDC156758  </t>
  </si>
  <si>
    <t xml:space="preserve">FEDC156779  </t>
  </si>
  <si>
    <t xml:space="preserve">FEDC156781  </t>
  </si>
  <si>
    <t xml:space="preserve">FEDC156782  </t>
  </si>
  <si>
    <t xml:space="preserve">FEDC156783  </t>
  </si>
  <si>
    <t xml:space="preserve">FEDC156788  </t>
  </si>
  <si>
    <t xml:space="preserve">FEDC156789  </t>
  </si>
  <si>
    <t xml:space="preserve">FEDC156790  </t>
  </si>
  <si>
    <t xml:space="preserve">FEDC156791  </t>
  </si>
  <si>
    <t xml:space="preserve">FEDC156794  </t>
  </si>
  <si>
    <t xml:space="preserve">FEDC156795  </t>
  </si>
  <si>
    <t xml:space="preserve">FEDC156796  </t>
  </si>
  <si>
    <t xml:space="preserve">FEDC156797  </t>
  </si>
  <si>
    <t xml:space="preserve">FEDC156880  </t>
  </si>
  <si>
    <t xml:space="preserve">FEDC156881  </t>
  </si>
  <si>
    <t xml:space="preserve">FEDC156886  </t>
  </si>
  <si>
    <t xml:space="preserve">FEDC156887  </t>
  </si>
  <si>
    <t xml:space="preserve">FEDC156889  </t>
  </si>
  <si>
    <t xml:space="preserve">FEDC156652  </t>
  </si>
  <si>
    <t xml:space="preserve">FEDC156653  </t>
  </si>
  <si>
    <t xml:space="preserve">FEDC156654  </t>
  </si>
  <si>
    <t xml:space="preserve">FEVM44209   </t>
  </si>
  <si>
    <t xml:space="preserve">50944892            </t>
  </si>
  <si>
    <t xml:space="preserve">VERGARA AVILEZ NORIS DEL CARMEN                             </t>
  </si>
  <si>
    <t xml:space="preserve">FEVM44469   </t>
  </si>
  <si>
    <t xml:space="preserve">FEVM44486   </t>
  </si>
  <si>
    <t xml:space="preserve">FEDC156706  </t>
  </si>
  <si>
    <t xml:space="preserve">FEDC156712  </t>
  </si>
  <si>
    <t xml:space="preserve">FEVM44243   </t>
  </si>
  <si>
    <t xml:space="preserve">FEVM44244   </t>
  </si>
  <si>
    <t xml:space="preserve">FEDC156674  </t>
  </si>
  <si>
    <t xml:space="preserve">FEDC156457  </t>
  </si>
  <si>
    <t xml:space="preserve">FEDC156461  </t>
  </si>
  <si>
    <t xml:space="preserve">FEDC156462  </t>
  </si>
  <si>
    <t xml:space="preserve">FEDC156463  </t>
  </si>
  <si>
    <t xml:space="preserve">FEDC156464  </t>
  </si>
  <si>
    <t xml:space="preserve">FEDC156466  </t>
  </si>
  <si>
    <t xml:space="preserve">FEDC156467  </t>
  </si>
  <si>
    <t xml:space="preserve">FEDC156468  </t>
  </si>
  <si>
    <t xml:space="preserve">FEDC156469  </t>
  </si>
  <si>
    <t xml:space="preserve">FEDC156472  </t>
  </si>
  <si>
    <t xml:space="preserve">FEDC156473  </t>
  </si>
  <si>
    <t xml:space="preserve">FEDC156474  </t>
  </si>
  <si>
    <t xml:space="preserve">FEDC156477  </t>
  </si>
  <si>
    <t xml:space="preserve">FEDC156478  </t>
  </si>
  <si>
    <t xml:space="preserve">FEDC156479  </t>
  </si>
  <si>
    <t xml:space="preserve">FEDC156481  </t>
  </si>
  <si>
    <t xml:space="preserve">FEDC156483  </t>
  </si>
  <si>
    <t xml:space="preserve">FEDC156485  </t>
  </si>
  <si>
    <t xml:space="preserve">FEDC156486  </t>
  </si>
  <si>
    <t xml:space="preserve">FEDC156587  </t>
  </si>
  <si>
    <t xml:space="preserve">FEDC156589  </t>
  </si>
  <si>
    <t xml:space="preserve">FEDC156590  </t>
  </si>
  <si>
    <t xml:space="preserve">FEDC156591  </t>
  </si>
  <si>
    <t xml:space="preserve">FEDC156592  </t>
  </si>
  <si>
    <t xml:space="preserve">FEDC156968  </t>
  </si>
  <si>
    <t xml:space="preserve">FEDC156970  </t>
  </si>
  <si>
    <t xml:space="preserve">FEDC156973  </t>
  </si>
  <si>
    <t xml:space="preserve">FEDC156974  </t>
  </si>
  <si>
    <t xml:space="preserve">FEDC156976  </t>
  </si>
  <si>
    <t xml:space="preserve">FEDC156977  </t>
  </si>
  <si>
    <t xml:space="preserve">FEDC156978  </t>
  </si>
  <si>
    <t xml:space="preserve">FEDC156979  </t>
  </si>
  <si>
    <t xml:space="preserve">FEDC156982  </t>
  </si>
  <si>
    <t xml:space="preserve">FEDC156983  </t>
  </si>
  <si>
    <t xml:space="preserve">FEDC156984  </t>
  </si>
  <si>
    <t xml:space="preserve">FEDC156986  </t>
  </si>
  <si>
    <t xml:space="preserve">901662960-4         </t>
  </si>
  <si>
    <t xml:space="preserve">DISTRIBUIDORA EL SANTUARIO ANTIOQUEÑO S.A.S                 </t>
  </si>
  <si>
    <t xml:space="preserve">FEDC157024  </t>
  </si>
  <si>
    <t xml:space="preserve">3012790447                    </t>
  </si>
  <si>
    <t xml:space="preserve">FEDC157025  </t>
  </si>
  <si>
    <t xml:space="preserve">FEDC156743  </t>
  </si>
  <si>
    <t xml:space="preserve">FEDC156744  </t>
  </si>
  <si>
    <t xml:space="preserve">FEDC156745  </t>
  </si>
  <si>
    <t xml:space="preserve">FEDC156746  </t>
  </si>
  <si>
    <t xml:space="preserve">FEDC156749  </t>
  </si>
  <si>
    <t xml:space="preserve">FEVM44015   </t>
  </si>
  <si>
    <t xml:space="preserve">FEVM44016   </t>
  </si>
  <si>
    <t xml:space="preserve">FEVM44017   </t>
  </si>
  <si>
    <t xml:space="preserve">FEVM44018   </t>
  </si>
  <si>
    <t xml:space="preserve">FEVM44019   </t>
  </si>
  <si>
    <t xml:space="preserve">FEVM44022   </t>
  </si>
  <si>
    <t xml:space="preserve">FEVM44032   </t>
  </si>
  <si>
    <t xml:space="preserve">FEVM44042   </t>
  </si>
  <si>
    <t xml:space="preserve">FEVM44043   </t>
  </si>
  <si>
    <t xml:space="preserve">FEVM44045   </t>
  </si>
  <si>
    <t xml:space="preserve">FEDC156882  </t>
  </si>
  <si>
    <t xml:space="preserve">FEDC156885  </t>
  </si>
  <si>
    <t xml:space="preserve">FEVM44428   </t>
  </si>
  <si>
    <t xml:space="preserve">FEVM44429   </t>
  </si>
  <si>
    <t xml:space="preserve">FEVM44430   </t>
  </si>
  <si>
    <t xml:space="preserve">FEDC156489  </t>
  </si>
  <si>
    <t xml:space="preserve">FEDC156490  </t>
  </si>
  <si>
    <t xml:space="preserve">FEDC156491  </t>
  </si>
  <si>
    <t xml:space="preserve">FEDC156492  </t>
  </si>
  <si>
    <t xml:space="preserve">FEDC156493  </t>
  </si>
  <si>
    <t xml:space="preserve">FEDC156497  </t>
  </si>
  <si>
    <t xml:space="preserve">FEDC156498  </t>
  </si>
  <si>
    <t xml:space="preserve">FEDC156499  </t>
  </si>
  <si>
    <t xml:space="preserve">FEDC156502  </t>
  </si>
  <si>
    <t xml:space="preserve">FEDC156503  </t>
  </si>
  <si>
    <t xml:space="preserve">FEDC156504  </t>
  </si>
  <si>
    <t xml:space="preserve">FEDC156505  </t>
  </si>
  <si>
    <t xml:space="preserve">FEDC156511  </t>
  </si>
  <si>
    <t xml:space="preserve">FEDC156512  </t>
  </si>
  <si>
    <t xml:space="preserve">FEDC156513  </t>
  </si>
  <si>
    <t xml:space="preserve">FEDC156514  </t>
  </si>
  <si>
    <t xml:space="preserve">FEDC156516  </t>
  </si>
  <si>
    <t xml:space="preserve">901934200-3         </t>
  </si>
  <si>
    <t xml:space="preserve">PORCI ABASTOS ZOMAC S.A.S                                   </t>
  </si>
  <si>
    <t xml:space="preserve">FEDC156517  </t>
  </si>
  <si>
    <t xml:space="preserve">3105015996                    </t>
  </si>
  <si>
    <t xml:space="preserve">FEDC156518  </t>
  </si>
  <si>
    <t xml:space="preserve">71985799            </t>
  </si>
  <si>
    <t xml:space="preserve">MUÑOZ VILLALBA IVAN ENRIQUE                                 </t>
  </si>
  <si>
    <t xml:space="preserve">321 8028006                   </t>
  </si>
  <si>
    <t xml:space="preserve">FEDC156521  </t>
  </si>
  <si>
    <t xml:space="preserve">FEDC156522  </t>
  </si>
  <si>
    <t xml:space="preserve">FEDC156526  </t>
  </si>
  <si>
    <t xml:space="preserve">FEDC156527  </t>
  </si>
  <si>
    <t xml:space="preserve">FEDC156528  </t>
  </si>
  <si>
    <t xml:space="preserve">FEDC156529  </t>
  </si>
  <si>
    <t xml:space="preserve">FEDC156533  </t>
  </si>
  <si>
    <t xml:space="preserve">FEDC156539  </t>
  </si>
  <si>
    <t xml:space="preserve">FEDC156540  </t>
  </si>
  <si>
    <t xml:space="preserve">FEDC156761  </t>
  </si>
  <si>
    <t xml:space="preserve">FEDC156763  </t>
  </si>
  <si>
    <t xml:space="preserve">FEDC156764  </t>
  </si>
  <si>
    <t xml:space="preserve">FEDC156765  </t>
  </si>
  <si>
    <t xml:space="preserve">FEDC156770  </t>
  </si>
  <si>
    <t xml:space="preserve">FEDC156771  </t>
  </si>
  <si>
    <t xml:space="preserve">FEDC156785  </t>
  </si>
  <si>
    <t xml:space="preserve">FEDC156798  </t>
  </si>
  <si>
    <t xml:space="preserve">FEVM44154   </t>
  </si>
  <si>
    <t xml:space="preserve">FEVM44155   </t>
  </si>
  <si>
    <t xml:space="preserve">FEVM44156   </t>
  </si>
  <si>
    <t xml:space="preserve">FEDC156759  </t>
  </si>
  <si>
    <t xml:space="preserve">FEDC156760  </t>
  </si>
  <si>
    <t xml:space="preserve">FEDC156772  </t>
  </si>
  <si>
    <t xml:space="preserve">FEDC156773  </t>
  </si>
  <si>
    <t xml:space="preserve">FEDC156811  </t>
  </si>
  <si>
    <t xml:space="preserve">FEDC156812  </t>
  </si>
  <si>
    <t xml:space="preserve">FEDC156813  </t>
  </si>
  <si>
    <t xml:space="preserve">FEDC156837  </t>
  </si>
  <si>
    <t xml:space="preserve">FEDC156733  </t>
  </si>
  <si>
    <t xml:space="preserve">FEDC156735  </t>
  </si>
  <si>
    <t xml:space="preserve">FEDC156742  </t>
  </si>
  <si>
    <t xml:space="preserve">FEDC156951  </t>
  </si>
  <si>
    <t xml:space="preserve">FEDC156952  </t>
  </si>
  <si>
    <t xml:space="preserve">1033368946          </t>
  </si>
  <si>
    <t xml:space="preserve">OCAMPO CORREA JESUS DAVID                                   </t>
  </si>
  <si>
    <t xml:space="preserve">FEDC156953  </t>
  </si>
  <si>
    <t xml:space="preserve">3147637134 -8200071           </t>
  </si>
  <si>
    <t xml:space="preserve">FEDC156954  </t>
  </si>
  <si>
    <t xml:space="preserve">FEDC156955  </t>
  </si>
  <si>
    <t xml:space="preserve">FEDC156956  </t>
  </si>
  <si>
    <t xml:space="preserve">FEDC156957  </t>
  </si>
  <si>
    <t xml:space="preserve">FEDC156958  </t>
  </si>
  <si>
    <t xml:space="preserve">FEVM44222   </t>
  </si>
  <si>
    <t xml:space="preserve">1066570267          </t>
  </si>
  <si>
    <t xml:space="preserve">MENESES HERRERA JOSE DE LA CRUZ                             </t>
  </si>
  <si>
    <t xml:space="preserve">3116980810-3209104630         </t>
  </si>
  <si>
    <t xml:space="preserve">FEDC156775  </t>
  </si>
  <si>
    <t xml:space="preserve">FEDC156876  </t>
  </si>
  <si>
    <t xml:space="preserve">FEDC156877  </t>
  </si>
  <si>
    <t xml:space="preserve">FEDC156878  </t>
  </si>
  <si>
    <t xml:space="preserve">FEDC156879  </t>
  </si>
  <si>
    <t xml:space="preserve">FEDC156673  </t>
  </si>
  <si>
    <t xml:space="preserve">FEDC156748  </t>
  </si>
  <si>
    <t xml:space="preserve">FEDC156776  </t>
  </si>
  <si>
    <t xml:space="preserve">FEDC157050  </t>
  </si>
  <si>
    <t xml:space="preserve">FEDC157051  </t>
  </si>
  <si>
    <t xml:space="preserve">FEDC157060  </t>
  </si>
  <si>
    <t xml:space="preserve">FEDC157061  </t>
  </si>
  <si>
    <t xml:space="preserve">FEDC157062  </t>
  </si>
  <si>
    <t xml:space="preserve">FEDC157063  </t>
  </si>
  <si>
    <t xml:space="preserve">FEDC157066  </t>
  </si>
  <si>
    <t xml:space="preserve">FEDC157067  </t>
  </si>
  <si>
    <t xml:space="preserve">FEDC157068  </t>
  </si>
  <si>
    <t xml:space="preserve">FEDC157069  </t>
  </si>
  <si>
    <t xml:space="preserve">FEDC157086  </t>
  </si>
  <si>
    <t xml:space="preserve">FEDC157087  </t>
  </si>
  <si>
    <t xml:space="preserve">FEDC157089  </t>
  </si>
  <si>
    <t xml:space="preserve">FEDC157092  </t>
  </si>
  <si>
    <t xml:space="preserve">FEDC157093  </t>
  </si>
  <si>
    <t xml:space="preserve">FEDC157101  </t>
  </si>
  <si>
    <t xml:space="preserve">901823867-9         </t>
  </si>
  <si>
    <t xml:space="preserve">COMERCIALIZADORA Y DISTRIBUIDORA J.S. S.A.S.                </t>
  </si>
  <si>
    <t xml:space="preserve">FEDC157107  </t>
  </si>
  <si>
    <t xml:space="preserve">3104535562                    </t>
  </si>
  <si>
    <t xml:space="preserve">FEDC157108  </t>
  </si>
  <si>
    <t xml:space="preserve">FEDC157109  </t>
  </si>
  <si>
    <t xml:space="preserve">FEDC157158  </t>
  </si>
  <si>
    <t xml:space="preserve">FEDC157169  </t>
  </si>
  <si>
    <t xml:space="preserve">FEDC157170  </t>
  </si>
  <si>
    <t xml:space="preserve">FEDC157173  </t>
  </si>
  <si>
    <t xml:space="preserve">FEDC157174  </t>
  </si>
  <si>
    <t xml:space="preserve">FEDC157177  </t>
  </si>
  <si>
    <t xml:space="preserve">FEDC157178  </t>
  </si>
  <si>
    <t xml:space="preserve">FEDC157180  </t>
  </si>
  <si>
    <t xml:space="preserve">FEDC157181  </t>
  </si>
  <si>
    <t xml:space="preserve">FEDC157182  </t>
  </si>
  <si>
    <t xml:space="preserve">FEDC157185  </t>
  </si>
  <si>
    <t xml:space="preserve">FEDC157186  </t>
  </si>
  <si>
    <t xml:space="preserve">FEDC157187  </t>
  </si>
  <si>
    <t xml:space="preserve">FEDC157189  </t>
  </si>
  <si>
    <t xml:space="preserve">FEDC157216  </t>
  </si>
  <si>
    <t xml:space="preserve">FEDC157229  </t>
  </si>
  <si>
    <t xml:space="preserve">FEDC157230  </t>
  </si>
  <si>
    <t xml:space="preserve">FEDC157233  </t>
  </si>
  <si>
    <t xml:space="preserve">FEDC157234  </t>
  </si>
  <si>
    <t xml:space="preserve">FEDC157235  </t>
  </si>
  <si>
    <t xml:space="preserve">FEDC157237  </t>
  </si>
  <si>
    <t xml:space="preserve">77070027            </t>
  </si>
  <si>
    <t xml:space="preserve">ECHEVERRY CORREA LUIS OVIDIO                                </t>
  </si>
  <si>
    <t xml:space="preserve">8380120        </t>
  </si>
  <si>
    <t xml:space="preserve">FEDC157239  </t>
  </si>
  <si>
    <t xml:space="preserve">FEDC157240  </t>
  </si>
  <si>
    <t xml:space="preserve">FEDC157242  </t>
  </si>
  <si>
    <t xml:space="preserve">FEDC157243  </t>
  </si>
  <si>
    <t xml:space="preserve">FEDC157244  </t>
  </si>
  <si>
    <t xml:space="preserve">FEDC157245  </t>
  </si>
  <si>
    <t xml:space="preserve">FEDC157247  </t>
  </si>
  <si>
    <t xml:space="preserve">FEDC157248  </t>
  </si>
  <si>
    <t xml:space="preserve">FEDC157250  </t>
  </si>
  <si>
    <t xml:space="preserve">FEDC157251  </t>
  </si>
  <si>
    <t xml:space="preserve">FEDC157252  </t>
  </si>
  <si>
    <t xml:space="preserve">FEDC157277  </t>
  </si>
  <si>
    <t xml:space="preserve">FEDC157281  </t>
  </si>
  <si>
    <t xml:space="preserve">FEDC157284  </t>
  </si>
  <si>
    <t xml:space="preserve">FEDC157286  </t>
  </si>
  <si>
    <t xml:space="preserve">FEDC157287  </t>
  </si>
  <si>
    <t xml:space="preserve">FEDC157317  </t>
  </si>
  <si>
    <t xml:space="preserve">FEDC157318  </t>
  </si>
  <si>
    <t xml:space="preserve">FEDC157323  </t>
  </si>
  <si>
    <t xml:space="preserve">FEDC157324  </t>
  </si>
  <si>
    <t xml:space="preserve">FEDC157325  </t>
  </si>
  <si>
    <t xml:space="preserve">FEDC157326  </t>
  </si>
  <si>
    <t xml:space="preserve">FEDC157327  </t>
  </si>
  <si>
    <t xml:space="preserve">FEDC157328  </t>
  </si>
  <si>
    <t xml:space="preserve">FEDC157329  </t>
  </si>
  <si>
    <t xml:space="preserve">FEDC157330  </t>
  </si>
  <si>
    <t xml:space="preserve">FEDC157331  </t>
  </si>
  <si>
    <t xml:space="preserve">FEDC157332  </t>
  </si>
  <si>
    <t xml:space="preserve">FEDC157333  </t>
  </si>
  <si>
    <t xml:space="preserve">FEDC157334  </t>
  </si>
  <si>
    <t xml:space="preserve">FEDC157336  </t>
  </si>
  <si>
    <t xml:space="preserve">FEDC157337  </t>
  </si>
  <si>
    <t xml:space="preserve">FEDC157338  </t>
  </si>
  <si>
    <t xml:space="preserve">FEDC157342  </t>
  </si>
  <si>
    <t xml:space="preserve">FEDC157343  </t>
  </si>
  <si>
    <t xml:space="preserve">FEDC157352  </t>
  </si>
  <si>
    <t xml:space="preserve">FEDC157374  </t>
  </si>
  <si>
    <t xml:space="preserve">FEDC157377  </t>
  </si>
  <si>
    <t xml:space="preserve">FEDC157405  </t>
  </si>
  <si>
    <t xml:space="preserve">FEDC157463  </t>
  </si>
  <si>
    <t xml:space="preserve">FEDC157464  </t>
  </si>
  <si>
    <t xml:space="preserve">FEDC157465  </t>
  </si>
  <si>
    <t xml:space="preserve">FEDC157466  </t>
  </si>
  <si>
    <t xml:space="preserve">FEDC157467  </t>
  </si>
  <si>
    <t xml:space="preserve">FEDC157468  </t>
  </si>
  <si>
    <t xml:space="preserve">FEDC157470  </t>
  </si>
  <si>
    <t xml:space="preserve">FEDC157471  </t>
  </si>
  <si>
    <t xml:space="preserve">FEDC157473  </t>
  </si>
  <si>
    <t xml:space="preserve">FEDC157474  </t>
  </si>
  <si>
    <t xml:space="preserve">39270593            </t>
  </si>
  <si>
    <t xml:space="preserve">GOMEZ BETANCURT DORA SOFIA                                  </t>
  </si>
  <si>
    <t xml:space="preserve">FEDC157475  </t>
  </si>
  <si>
    <t xml:space="preserve">3137303548     </t>
  </si>
  <si>
    <t xml:space="preserve">FEDC157476  </t>
  </si>
  <si>
    <t xml:space="preserve">FEDC157477  </t>
  </si>
  <si>
    <t xml:space="preserve">FEDC157478  </t>
  </si>
  <si>
    <t xml:space="preserve">FEDC157479  </t>
  </si>
  <si>
    <t xml:space="preserve">FEDC157483  </t>
  </si>
  <si>
    <t xml:space="preserve">FEDC157484  </t>
  </si>
  <si>
    <t xml:space="preserve">FEDC157485  </t>
  </si>
  <si>
    <t xml:space="preserve">FEDC157487  </t>
  </si>
  <si>
    <t xml:space="preserve">FEDC157488  </t>
  </si>
  <si>
    <t xml:space="preserve">FEDC157510  </t>
  </si>
  <si>
    <t xml:space="preserve">FEDC157531  </t>
  </si>
  <si>
    <t xml:space="preserve">FEDC157532  </t>
  </si>
  <si>
    <t xml:space="preserve">FEDC157533  </t>
  </si>
  <si>
    <t xml:space="preserve">FEDC157534  </t>
  </si>
  <si>
    <t xml:space="preserve">FEDC157535  </t>
  </si>
  <si>
    <t xml:space="preserve">FEDC157536  </t>
  </si>
  <si>
    <t xml:space="preserve">FEDC157537  </t>
  </si>
  <si>
    <t xml:space="preserve">FEDC157538  </t>
  </si>
  <si>
    <t xml:space="preserve">FEDC157539  </t>
  </si>
  <si>
    <t xml:space="preserve">FEDC157541  </t>
  </si>
  <si>
    <t xml:space="preserve">FEDC157542  </t>
  </si>
  <si>
    <t xml:space="preserve">FEDC157549  </t>
  </si>
  <si>
    <t xml:space="preserve">FEDC157558  </t>
  </si>
  <si>
    <t xml:space="preserve">FEDC157601  </t>
  </si>
  <si>
    <t xml:space="preserve">FEDC157633  </t>
  </si>
  <si>
    <t xml:space="preserve">FEDC157634  </t>
  </si>
  <si>
    <t xml:space="preserve">FEDC157635  </t>
  </si>
  <si>
    <t xml:space="preserve">FEDC157636  </t>
  </si>
  <si>
    <t xml:space="preserve">FEDC157637  </t>
  </si>
  <si>
    <t xml:space="preserve">FEDC157638  </t>
  </si>
  <si>
    <t xml:space="preserve">FEDC157639  </t>
  </si>
  <si>
    <t xml:space="preserve">FEDC157640  </t>
  </si>
  <si>
    <t xml:space="preserve">FEDC157641  </t>
  </si>
  <si>
    <t xml:space="preserve">FEDC157642  </t>
  </si>
  <si>
    <t xml:space="preserve">FEDC157644  </t>
  </si>
  <si>
    <t xml:space="preserve">FEDC157646  </t>
  </si>
  <si>
    <t xml:space="preserve">901837774           </t>
  </si>
  <si>
    <t xml:space="preserve">DISFERRAGRO. R SAS ZOMAC                                    </t>
  </si>
  <si>
    <t xml:space="preserve">FEDC157653  </t>
  </si>
  <si>
    <t xml:space="preserve">3122922899                    </t>
  </si>
  <si>
    <t xml:space="preserve">1007743120          </t>
  </si>
  <si>
    <t xml:space="preserve">ISAZA VARGAS MARIANA                                        </t>
  </si>
  <si>
    <t xml:space="preserve">FEDC157656  </t>
  </si>
  <si>
    <t xml:space="preserve">3124495772                    </t>
  </si>
  <si>
    <t xml:space="preserve">FEDC157657  </t>
  </si>
  <si>
    <t xml:space="preserve">FEDC157662  </t>
  </si>
  <si>
    <t xml:space="preserve">FEDC157725  </t>
  </si>
  <si>
    <t xml:space="preserve">FEDC157727  </t>
  </si>
  <si>
    <t xml:space="preserve">FEDC157733  </t>
  </si>
  <si>
    <t xml:space="preserve">FEDC157734  </t>
  </si>
  <si>
    <t xml:space="preserve">FEDC157735  </t>
  </si>
  <si>
    <t xml:space="preserve">FEDC157736  </t>
  </si>
  <si>
    <t xml:space="preserve">FEDC157737  </t>
  </si>
  <si>
    <t xml:space="preserve">FEDC157738  </t>
  </si>
  <si>
    <t xml:space="preserve">FEDC157739  </t>
  </si>
  <si>
    <t xml:space="preserve">FEDC157740  </t>
  </si>
  <si>
    <t xml:space="preserve">FEDC157742  </t>
  </si>
  <si>
    <t xml:space="preserve">FEDC157743  </t>
  </si>
  <si>
    <t xml:space="preserve">FEDC157745  </t>
  </si>
  <si>
    <t xml:space="preserve">FEDC157751  </t>
  </si>
  <si>
    <t xml:space="preserve">FEVM44610   </t>
  </si>
  <si>
    <t xml:space="preserve">FEVM44611   </t>
  </si>
  <si>
    <t xml:space="preserve">FEVM44678   </t>
  </si>
  <si>
    <t xml:space="preserve">70252390            </t>
  </si>
  <si>
    <t xml:space="preserve">VARGAS CARDENAS JORGE ENRIQUE                               </t>
  </si>
  <si>
    <t xml:space="preserve">3134036586                    </t>
  </si>
  <si>
    <t xml:space="preserve">FEVM44685   </t>
  </si>
  <si>
    <t xml:space="preserve">FEVM44686   </t>
  </si>
  <si>
    <t xml:space="preserve">FEVM44714   </t>
  </si>
  <si>
    <t xml:space="preserve">FEVM44716   </t>
  </si>
  <si>
    <t xml:space="preserve">FEVM44717   </t>
  </si>
  <si>
    <t xml:space="preserve">FEVM44766   </t>
  </si>
  <si>
    <t xml:space="preserve">22246411            </t>
  </si>
  <si>
    <t xml:space="preserve">LASTRE MARTINEZ OMAIRA DE JESUS                             </t>
  </si>
  <si>
    <t xml:space="preserve">FEVM44767   </t>
  </si>
  <si>
    <t xml:space="preserve">3104996245     </t>
  </si>
  <si>
    <t xml:space="preserve">FEVM44768   </t>
  </si>
  <si>
    <t xml:space="preserve">FEVM44769   </t>
  </si>
  <si>
    <t xml:space="preserve">FEVM44797   </t>
  </si>
  <si>
    <t xml:space="preserve">FEVM44828   </t>
  </si>
  <si>
    <t xml:space="preserve">39287141            </t>
  </si>
  <si>
    <t xml:space="preserve">MEDINA PEREZ LENIS ROSA                                     </t>
  </si>
  <si>
    <t xml:space="preserve">FEVM44832   </t>
  </si>
  <si>
    <t xml:space="preserve">3207253693     </t>
  </si>
  <si>
    <t xml:space="preserve">FEVM44833   </t>
  </si>
  <si>
    <t xml:space="preserve">FEVM44839   </t>
  </si>
  <si>
    <t xml:space="preserve">FEVM44840   </t>
  </si>
  <si>
    <t xml:space="preserve">901441506-5         </t>
  </si>
  <si>
    <t xml:space="preserve">INVERSIONES DINASTIA H.R S.A.S.                             </t>
  </si>
  <si>
    <t xml:space="preserve">FEVM44848   </t>
  </si>
  <si>
    <t xml:space="preserve">7767418- 3164111781           </t>
  </si>
  <si>
    <t xml:space="preserve">FEVM44873   </t>
  </si>
  <si>
    <t xml:space="preserve">FEVM44875   </t>
  </si>
  <si>
    <t xml:space="preserve">FEVM44879   </t>
  </si>
  <si>
    <t xml:space="preserve">FEVM44886   </t>
  </si>
  <si>
    <t xml:space="preserve">FEVM44889   </t>
  </si>
  <si>
    <t xml:space="preserve">900710962-1         </t>
  </si>
  <si>
    <t xml:space="preserve">FUNDACION COLEGIO LOS SAUCES                                </t>
  </si>
  <si>
    <t xml:space="preserve">FEVM44893   </t>
  </si>
  <si>
    <t xml:space="preserve">8391283        </t>
  </si>
  <si>
    <t xml:space="preserve">FEVM44900   </t>
  </si>
  <si>
    <t xml:space="preserve">FEVM44908   </t>
  </si>
  <si>
    <t xml:space="preserve">78296944            </t>
  </si>
  <si>
    <t xml:space="preserve">CUELLO FERIA EDUARDO CESAR                                  </t>
  </si>
  <si>
    <t xml:space="preserve">FEVM44911   </t>
  </si>
  <si>
    <t>3148816284</t>
  </si>
  <si>
    <t xml:space="preserve">FEVM44915   </t>
  </si>
  <si>
    <t xml:space="preserve">FEVM45062   </t>
  </si>
  <si>
    <t xml:space="preserve">FEVM45063   </t>
  </si>
  <si>
    <t xml:space="preserve">FEVM45064   </t>
  </si>
  <si>
    <t xml:space="preserve">FEVM45065   </t>
  </si>
  <si>
    <t xml:space="preserve">FEVM45082   </t>
  </si>
  <si>
    <t xml:space="preserve">39266405            </t>
  </si>
  <si>
    <t xml:space="preserve">GOMEZ MEJIA MARIA FELICIA                                   </t>
  </si>
  <si>
    <t xml:space="preserve">FEVM45083   </t>
  </si>
  <si>
    <t xml:space="preserve">3147999353     </t>
  </si>
  <si>
    <t xml:space="preserve">FEDC157105  </t>
  </si>
  <si>
    <t xml:space="preserve">FEDC157106  </t>
  </si>
  <si>
    <t xml:space="preserve">FEDC157360  </t>
  </si>
  <si>
    <t xml:space="preserve">FEDC157361  </t>
  </si>
  <si>
    <t xml:space="preserve">21920816            </t>
  </si>
  <si>
    <t xml:space="preserve">GALLEGO GARCIA TERESA DEL SOCORRO                           </t>
  </si>
  <si>
    <t xml:space="preserve">FEDC157362  </t>
  </si>
  <si>
    <t xml:space="preserve">3103818090                    </t>
  </si>
  <si>
    <t xml:space="preserve">FEDC157365  </t>
  </si>
  <si>
    <t xml:space="preserve">FEDC157366  </t>
  </si>
  <si>
    <t xml:space="preserve">FEDC157373  </t>
  </si>
  <si>
    <t xml:space="preserve">FEDC157379  </t>
  </si>
  <si>
    <t xml:space="preserve">FEDC157382  </t>
  </si>
  <si>
    <t xml:space="preserve">FEDC157490  </t>
  </si>
  <si>
    <t xml:space="preserve">FEDC157491  </t>
  </si>
  <si>
    <t xml:space="preserve">900433054-0         </t>
  </si>
  <si>
    <t xml:space="preserve">ZAYCO S.A.S                                                 </t>
  </si>
  <si>
    <t>3137094698</t>
  </si>
  <si>
    <t xml:space="preserve">FEDC157507  </t>
  </si>
  <si>
    <t xml:space="preserve">FEDC157508  </t>
  </si>
  <si>
    <t xml:space="preserve">FEDC157529  </t>
  </si>
  <si>
    <t xml:space="preserve">FEDC157530  </t>
  </si>
  <si>
    <t xml:space="preserve">43896040-6          </t>
  </si>
  <si>
    <t xml:space="preserve">BARRAGAN BENITEZ DARLING ROCIO                              </t>
  </si>
  <si>
    <t xml:space="preserve">FEDC157543  </t>
  </si>
  <si>
    <t xml:space="preserve">3147930645                    </t>
  </si>
  <si>
    <t xml:space="preserve">FEDC157546  </t>
  </si>
  <si>
    <t xml:space="preserve">FEDC157548  </t>
  </si>
  <si>
    <t xml:space="preserve">FEDC157619  </t>
  </si>
  <si>
    <t xml:space="preserve">FEDC157621  </t>
  </si>
  <si>
    <t xml:space="preserve">FEDC157622  </t>
  </si>
  <si>
    <t xml:space="preserve">FEDC157626  </t>
  </si>
  <si>
    <t xml:space="preserve">FEDC157627  </t>
  </si>
  <si>
    <t xml:space="preserve">FEDC157628  </t>
  </si>
  <si>
    <t xml:space="preserve">FEDC157629  </t>
  </si>
  <si>
    <t xml:space="preserve">FEDC157630  </t>
  </si>
  <si>
    <t xml:space="preserve">FEDC157631  </t>
  </si>
  <si>
    <t xml:space="preserve">FEDC157664  </t>
  </si>
  <si>
    <t xml:space="preserve">FEVM44637   </t>
  </si>
  <si>
    <t xml:space="preserve">FEDC157191  </t>
  </si>
  <si>
    <t xml:space="preserve">32117624            </t>
  </si>
  <si>
    <t xml:space="preserve">ROJAS ESPINOSA MERY LLANED                                  </t>
  </si>
  <si>
    <t xml:space="preserve">3117649944                    </t>
  </si>
  <si>
    <t xml:space="preserve">FEVM44986   </t>
  </si>
  <si>
    <t xml:space="preserve">FEDC157747  </t>
  </si>
  <si>
    <t xml:space="preserve">FEDC157748  </t>
  </si>
  <si>
    <t xml:space="preserve">FEDC157761  </t>
  </si>
  <si>
    <t xml:space="preserve">FEDC157762  </t>
  </si>
  <si>
    <t xml:space="preserve">FEDC157763  </t>
  </si>
  <si>
    <t xml:space="preserve">FEDC157764  </t>
  </si>
  <si>
    <t xml:space="preserve">FEDC157765  </t>
  </si>
  <si>
    <t xml:space="preserve">FEDC157767  </t>
  </si>
  <si>
    <t xml:space="preserve">FEDC157768  </t>
  </si>
  <si>
    <t xml:space="preserve">FEDC157770  </t>
  </si>
  <si>
    <t xml:space="preserve">FEDC157771  </t>
  </si>
  <si>
    <t xml:space="preserve">FEDC157772  </t>
  </si>
  <si>
    <t xml:space="preserve">FEDC157773  </t>
  </si>
  <si>
    <t xml:space="preserve">FEDC157774  </t>
  </si>
  <si>
    <t xml:space="preserve">FEDC157775  </t>
  </si>
  <si>
    <t xml:space="preserve">FEDC157776  </t>
  </si>
  <si>
    <t xml:space="preserve">FEDC157777  </t>
  </si>
  <si>
    <t xml:space="preserve">901295332-4         </t>
  </si>
  <si>
    <t xml:space="preserve">DISTRIBUIDORA EL NUEVO REY S.A.S                            </t>
  </si>
  <si>
    <t xml:space="preserve">FEDC157778  </t>
  </si>
  <si>
    <t xml:space="preserve">3104229170 -8387172           </t>
  </si>
  <si>
    <t xml:space="preserve">FEVM44722   </t>
  </si>
  <si>
    <t xml:space="preserve">FEVM44723   </t>
  </si>
  <si>
    <t xml:space="preserve">FEVM44736   </t>
  </si>
  <si>
    <t xml:space="preserve">64893154            </t>
  </si>
  <si>
    <t xml:space="preserve">TEHERAN POMARES ROSMARY CANDELARIA                          </t>
  </si>
  <si>
    <t xml:space="preserve">FEVM44739   </t>
  </si>
  <si>
    <t xml:space="preserve">3208290579                    </t>
  </si>
  <si>
    <t xml:space="preserve">FEVM44743   </t>
  </si>
  <si>
    <t xml:space="preserve">FEVM44744   </t>
  </si>
  <si>
    <t xml:space="preserve">FEVM44746   </t>
  </si>
  <si>
    <t xml:space="preserve">FEVM44747   </t>
  </si>
  <si>
    <t xml:space="preserve">8372537             </t>
  </si>
  <si>
    <t xml:space="preserve">VALERIO MARQUEZ LEONARDO LIS                                </t>
  </si>
  <si>
    <t xml:space="preserve">FEVM44754   </t>
  </si>
  <si>
    <t xml:space="preserve">3127823755     </t>
  </si>
  <si>
    <t xml:space="preserve">FEVM44758   </t>
  </si>
  <si>
    <t xml:space="preserve">FEVM44759   </t>
  </si>
  <si>
    <t xml:space="preserve">FEVM44773   </t>
  </si>
  <si>
    <t xml:space="preserve">FEVM44775   </t>
  </si>
  <si>
    <t xml:space="preserve">FEVM44779   </t>
  </si>
  <si>
    <t xml:space="preserve">FEVM44781   </t>
  </si>
  <si>
    <t xml:space="preserve">FEVM44782   </t>
  </si>
  <si>
    <t xml:space="preserve">FEVM44786   </t>
  </si>
  <si>
    <t xml:space="preserve">22082859-0          </t>
  </si>
  <si>
    <t xml:space="preserve">ZULUAGA DE ZULUAGA AURA EDILMA                              </t>
  </si>
  <si>
    <t xml:space="preserve">FEVM44789   </t>
  </si>
  <si>
    <t xml:space="preserve">3133914115 -3135860377        </t>
  </si>
  <si>
    <t xml:space="preserve">FEVM44790   </t>
  </si>
  <si>
    <t xml:space="preserve">FEVM44794   </t>
  </si>
  <si>
    <t xml:space="preserve">92501942            </t>
  </si>
  <si>
    <t xml:space="preserve">GOMEZ ZULUAGA JHON EUCARIO                                  </t>
  </si>
  <si>
    <t xml:space="preserve">FEDC157690  </t>
  </si>
  <si>
    <t xml:space="preserve">3205655447     </t>
  </si>
  <si>
    <t xml:space="preserve">FEDC157712  </t>
  </si>
  <si>
    <t xml:space="preserve">FEDC157713  </t>
  </si>
  <si>
    <t xml:space="preserve">FEVM44556   </t>
  </si>
  <si>
    <t xml:space="preserve">FEVM45033   </t>
  </si>
  <si>
    <t xml:space="preserve">8364639             </t>
  </si>
  <si>
    <t xml:space="preserve">GENEY CORCHO GUSTAVO RAFAEL                                 </t>
  </si>
  <si>
    <t xml:space="preserve">3156914832                    </t>
  </si>
  <si>
    <t xml:space="preserve">FEVM45084   </t>
  </si>
  <si>
    <t xml:space="preserve">FEDC157550  </t>
  </si>
  <si>
    <t xml:space="preserve">FEDC157551  </t>
  </si>
  <si>
    <t xml:space="preserve">FEDC157262  </t>
  </si>
  <si>
    <t xml:space="preserve">FEDC157443  </t>
  </si>
  <si>
    <t xml:space="preserve">FEDC157444  </t>
  </si>
  <si>
    <t xml:space="preserve">FEDC157446  </t>
  </si>
  <si>
    <t xml:space="preserve">FEDC157447  </t>
  </si>
  <si>
    <t xml:space="preserve">FEDC157449  </t>
  </si>
  <si>
    <t xml:space="preserve">FEDC157451  </t>
  </si>
  <si>
    <t xml:space="preserve">FEDC157452  </t>
  </si>
  <si>
    <t xml:space="preserve">FEDC157453  </t>
  </si>
  <si>
    <t xml:space="preserve">FEDC157454  </t>
  </si>
  <si>
    <t xml:space="preserve">FEDC157455  </t>
  </si>
  <si>
    <t xml:space="preserve">FEDC157456  </t>
  </si>
  <si>
    <t xml:space="preserve">FEDC157457  </t>
  </si>
  <si>
    <t xml:space="preserve">FEDC157458  </t>
  </si>
  <si>
    <t xml:space="preserve">FEDC157459  </t>
  </si>
  <si>
    <t xml:space="preserve">FEDC157460  </t>
  </si>
  <si>
    <t xml:space="preserve">FEDC157461  </t>
  </si>
  <si>
    <t xml:space="preserve">15678336            </t>
  </si>
  <si>
    <t xml:space="preserve">PITALUA MARTINEZ RAFAEL EMIRO                               </t>
  </si>
  <si>
    <t>3145552342</t>
  </si>
  <si>
    <t xml:space="preserve">FEVM44703   </t>
  </si>
  <si>
    <t xml:space="preserve">FEVM44959   </t>
  </si>
  <si>
    <t xml:space="preserve">1042764662          </t>
  </si>
  <si>
    <t xml:space="preserve">GALLEGO CANO NORBEY HERNANDO                                </t>
  </si>
  <si>
    <t xml:space="preserve">FEVM44991   </t>
  </si>
  <si>
    <t>3122277006</t>
  </si>
  <si>
    <t xml:space="preserve">FEVM44994   </t>
  </si>
  <si>
    <t xml:space="preserve">FEVM45006   </t>
  </si>
  <si>
    <t xml:space="preserve">FEDC157253  </t>
  </si>
  <si>
    <t xml:space="preserve">FEDC157254  </t>
  </si>
  <si>
    <t xml:space="preserve">FEDC157255  </t>
  </si>
  <si>
    <t xml:space="preserve">FEDC157256  </t>
  </si>
  <si>
    <t xml:space="preserve">FEDC157257  </t>
  </si>
  <si>
    <t xml:space="preserve">FEDC157258  </t>
  </si>
  <si>
    <t xml:space="preserve">FEDC157259  </t>
  </si>
  <si>
    <t xml:space="preserve">FEDC157261  </t>
  </si>
  <si>
    <t xml:space="preserve">FEDC157264  </t>
  </si>
  <si>
    <t xml:space="preserve">FEDC157265  </t>
  </si>
  <si>
    <t xml:space="preserve">FEDC157266  </t>
  </si>
  <si>
    <t xml:space="preserve">FEDC157654  </t>
  </si>
  <si>
    <t xml:space="preserve">FEVM44634   </t>
  </si>
  <si>
    <t xml:space="preserve">1121326920          </t>
  </si>
  <si>
    <t xml:space="preserve">PAEZ GUTIERREZ JOSE ORLANDO                                 </t>
  </si>
  <si>
    <t xml:space="preserve">FEVM44654   </t>
  </si>
  <si>
    <t xml:space="preserve">3106302098                    </t>
  </si>
  <si>
    <t xml:space="preserve">78585018            </t>
  </si>
  <si>
    <t xml:space="preserve">TOVAR PACHECO ORGIL                                         </t>
  </si>
  <si>
    <t xml:space="preserve">FEVM45000   </t>
  </si>
  <si>
    <t>3135243208</t>
  </si>
  <si>
    <t xml:space="preserve">FEVM45008   </t>
  </si>
  <si>
    <t xml:space="preserve">FEVM45009   </t>
  </si>
  <si>
    <t xml:space="preserve">FEVM45013   </t>
  </si>
  <si>
    <t xml:space="preserve">FEDC157095  </t>
  </si>
  <si>
    <t xml:space="preserve">FEDC157096  </t>
  </si>
  <si>
    <t xml:space="preserve">FEDC157097  </t>
  </si>
  <si>
    <t xml:space="preserve">FEDC157099  </t>
  </si>
  <si>
    <t xml:space="preserve">FEDC157149  </t>
  </si>
  <si>
    <t xml:space="preserve">FEDC157150  </t>
  </si>
  <si>
    <t xml:space="preserve">FEDC157632  </t>
  </si>
  <si>
    <t xml:space="preserve">FEDC157660  </t>
  </si>
  <si>
    <t xml:space="preserve">FEDC157719  </t>
  </si>
  <si>
    <t xml:space="preserve">FEDC157720  </t>
  </si>
  <si>
    <t xml:space="preserve">FEVM44852   </t>
  </si>
  <si>
    <t xml:space="preserve">FEVM44865   </t>
  </si>
  <si>
    <t xml:space="preserve">FEVM44866   </t>
  </si>
  <si>
    <t xml:space="preserve">FEVM44868   </t>
  </si>
  <si>
    <t xml:space="preserve">1038107562          </t>
  </si>
  <si>
    <t xml:space="preserve">GARCES MARTINEZ SANDRA YOHANA                               </t>
  </si>
  <si>
    <t xml:space="preserve">FEVM44571   </t>
  </si>
  <si>
    <t xml:space="preserve">3105336166 - 3104135942       </t>
  </si>
  <si>
    <t xml:space="preserve">FEVM44572   </t>
  </si>
  <si>
    <t xml:space="preserve">FEVM44573   </t>
  </si>
  <si>
    <t xml:space="preserve">FEVM44575   </t>
  </si>
  <si>
    <t xml:space="preserve">98673189            </t>
  </si>
  <si>
    <t xml:space="preserve">MISAS BANQUEZ EVELIO ANTONIO                                </t>
  </si>
  <si>
    <t xml:space="preserve">3148850882                    </t>
  </si>
  <si>
    <t xml:space="preserve">FEDC157141  </t>
  </si>
  <si>
    <t xml:space="preserve">FEDC157142  </t>
  </si>
  <si>
    <t xml:space="preserve">FEDC157144  </t>
  </si>
  <si>
    <t xml:space="preserve">1066571375          </t>
  </si>
  <si>
    <t xml:space="preserve">RUBIO LUNA CARLOS ANDRES                                    </t>
  </si>
  <si>
    <t xml:space="preserve">3147592845                    </t>
  </si>
  <si>
    <t xml:space="preserve">FEDC157147  </t>
  </si>
  <si>
    <t xml:space="preserve">FEDC157677  </t>
  </si>
  <si>
    <t xml:space="preserve">FEDC157679  </t>
  </si>
  <si>
    <t xml:space="preserve">FEDC157680  </t>
  </si>
  <si>
    <t xml:space="preserve">FEDC157681  </t>
  </si>
  <si>
    <t xml:space="preserve">FEDC157683  </t>
  </si>
  <si>
    <t xml:space="preserve">FEDC157716  </t>
  </si>
  <si>
    <t xml:space="preserve">FEDC157421  </t>
  </si>
  <si>
    <t xml:space="preserve">FEDC157422  </t>
  </si>
  <si>
    <t xml:space="preserve">FEDC157425  </t>
  </si>
  <si>
    <t xml:space="preserve">FEDC157427  </t>
  </si>
  <si>
    <t xml:space="preserve">FEDC157428  </t>
  </si>
  <si>
    <t xml:space="preserve">8742205             </t>
  </si>
  <si>
    <t xml:space="preserve">URZOLA MALDONADO DAGOBERTO                                  </t>
  </si>
  <si>
    <t xml:space="preserve">FEDC157430  </t>
  </si>
  <si>
    <t xml:space="preserve">3114146917 - 2954433          </t>
  </si>
  <si>
    <t xml:space="preserve">FEDC157610  </t>
  </si>
  <si>
    <t xml:space="preserve">FEDC157612  </t>
  </si>
  <si>
    <t xml:space="preserve">FEDC157270  </t>
  </si>
  <si>
    <t xml:space="preserve">FEDC157272  </t>
  </si>
  <si>
    <t xml:space="preserve">FEDC157273  </t>
  </si>
  <si>
    <t xml:space="preserve">FEDC157274  </t>
  </si>
  <si>
    <t xml:space="preserve">FEDC157275  </t>
  </si>
  <si>
    <t xml:space="preserve">FEDC157276  </t>
  </si>
  <si>
    <t xml:space="preserve">FEDC157282  </t>
  </si>
  <si>
    <t xml:space="preserve">FEDC157283  </t>
  </si>
  <si>
    <t xml:space="preserve">FEDC157357  </t>
  </si>
  <si>
    <t xml:space="preserve">FEVM44770   </t>
  </si>
  <si>
    <t xml:space="preserve">FEVM44771   </t>
  </si>
  <si>
    <t xml:space="preserve">FEVM44772   </t>
  </si>
  <si>
    <t xml:space="preserve">8362928             </t>
  </si>
  <si>
    <t xml:space="preserve">JULIO ALVAREZ JOHN CARLOS                                   </t>
  </si>
  <si>
    <t xml:space="preserve">FEDC157344  </t>
  </si>
  <si>
    <t xml:space="preserve">3146478384 - 3106734221       </t>
  </si>
  <si>
    <t xml:space="preserve">FEDC157347  </t>
  </si>
  <si>
    <t xml:space="preserve">FEDC157353  </t>
  </si>
  <si>
    <t xml:space="preserve">FEDC157355  </t>
  </si>
  <si>
    <t xml:space="preserve">FEDC157359  </t>
  </si>
  <si>
    <t xml:space="preserve">FEDC157511  </t>
  </si>
  <si>
    <t xml:space="preserve">FEDC157512  </t>
  </si>
  <si>
    <t xml:space="preserve">FEDC157513  </t>
  </si>
  <si>
    <t xml:space="preserve">FEDC157514  </t>
  </si>
  <si>
    <t xml:space="preserve">FEDC157517  </t>
  </si>
  <si>
    <t xml:space="preserve">FEDC157518  </t>
  </si>
  <si>
    <t xml:space="preserve">FEDC157519  </t>
  </si>
  <si>
    <t xml:space="preserve">FEDC157521  </t>
  </si>
  <si>
    <t xml:space="preserve">FEDC157522  </t>
  </si>
  <si>
    <t xml:space="preserve">FEDC157523  </t>
  </si>
  <si>
    <t xml:space="preserve">FEDC157524  </t>
  </si>
  <si>
    <t xml:space="preserve">FEDC157603  </t>
  </si>
  <si>
    <t xml:space="preserve">FEDC157604  </t>
  </si>
  <si>
    <t xml:space="preserve">FEDC157606  </t>
  </si>
  <si>
    <t xml:space="preserve">FEDC157608  </t>
  </si>
  <si>
    <t xml:space="preserve">FEDC157620  </t>
  </si>
  <si>
    <t xml:space="preserve">FEDC157665  </t>
  </si>
  <si>
    <t xml:space="preserve">FEDC157667  </t>
  </si>
  <si>
    <t xml:space="preserve">FEDC157726  </t>
  </si>
  <si>
    <t xml:space="preserve">FEDC157728  </t>
  </si>
  <si>
    <t xml:space="preserve">FEDC157783  </t>
  </si>
  <si>
    <t xml:space="preserve">FEDC157046  </t>
  </si>
  <si>
    <t xml:space="preserve">FEDC157048  </t>
  </si>
  <si>
    <t xml:space="preserve">FEDC157114  </t>
  </si>
  <si>
    <t xml:space="preserve">FEDC157115  </t>
  </si>
  <si>
    <t xml:space="preserve">FEDC157116  </t>
  </si>
  <si>
    <t xml:space="preserve">FEDC157117  </t>
  </si>
  <si>
    <t xml:space="preserve">FEDC157119  </t>
  </si>
  <si>
    <t xml:space="preserve">21646911            </t>
  </si>
  <si>
    <t xml:space="preserve">GARCIA MUENTES NUBIA LUCIA                                  </t>
  </si>
  <si>
    <t xml:space="preserve">FEDC157122  </t>
  </si>
  <si>
    <t xml:space="preserve">3147744738                    </t>
  </si>
  <si>
    <t xml:space="preserve">FEDC157125  </t>
  </si>
  <si>
    <t xml:space="preserve">FEDC157126  </t>
  </si>
  <si>
    <t xml:space="preserve">FEDC157130  </t>
  </si>
  <si>
    <t xml:space="preserve">FEDC157133  </t>
  </si>
  <si>
    <t xml:space="preserve">FEDC157134  </t>
  </si>
  <si>
    <t xml:space="preserve">FEDC157135  </t>
  </si>
  <si>
    <t xml:space="preserve">FEDC157156  </t>
  </si>
  <si>
    <t xml:space="preserve">FEDC157157  </t>
  </si>
  <si>
    <t xml:space="preserve">FEDC157314  </t>
  </si>
  <si>
    <t xml:space="preserve">FEDC157380  </t>
  </si>
  <si>
    <t xml:space="preserve">FEDC157381  </t>
  </si>
  <si>
    <t xml:space="preserve">FEDC157383  </t>
  </si>
  <si>
    <t xml:space="preserve">FEDC157384  </t>
  </si>
  <si>
    <t xml:space="preserve">FEDC157787  </t>
  </si>
  <si>
    <t xml:space="preserve">FEDC157788  </t>
  </si>
  <si>
    <t xml:space="preserve">FEVM44847   </t>
  </si>
  <si>
    <t xml:space="preserve">FEDC157779  </t>
  </si>
  <si>
    <t xml:space="preserve">FEDC157424  </t>
  </si>
  <si>
    <t xml:space="preserve">FEDC157689  </t>
  </si>
  <si>
    <t xml:space="preserve">FEDC157753  </t>
  </si>
  <si>
    <t xml:space="preserve">FEDC157754  </t>
  </si>
  <si>
    <t xml:space="preserve">FEDC157221  </t>
  </si>
  <si>
    <t xml:space="preserve">FEDC157164  </t>
  </si>
  <si>
    <t xml:space="preserve">FEDC157219  </t>
  </si>
  <si>
    <t xml:space="preserve">FEDC157220  </t>
  </si>
  <si>
    <t xml:space="preserve">FEDC157223  </t>
  </si>
  <si>
    <t xml:space="preserve">FEDC157224  </t>
  </si>
  <si>
    <t xml:space="preserve">FEDC157225  </t>
  </si>
  <si>
    <t xml:space="preserve">FEDC157226  </t>
  </si>
  <si>
    <t xml:space="preserve">FEDC157227  </t>
  </si>
  <si>
    <t xml:space="preserve">FEDC157584  </t>
  </si>
  <si>
    <t xml:space="preserve">FEDC157585  </t>
  </si>
  <si>
    <t xml:space="preserve">1063277013          </t>
  </si>
  <si>
    <t xml:space="preserve">GONZALEZ AVILA LAURY LORENA                                 </t>
  </si>
  <si>
    <t xml:space="preserve">FEDC157586  </t>
  </si>
  <si>
    <t xml:space="preserve">3218659196-3128878242         </t>
  </si>
  <si>
    <t xml:space="preserve">FEDC157587  </t>
  </si>
  <si>
    <t xml:space="preserve">FEDC157588  </t>
  </si>
  <si>
    <t xml:space="preserve">FEDC157589  </t>
  </si>
  <si>
    <t xml:space="preserve">FEDC157590  </t>
  </si>
  <si>
    <t xml:space="preserve">FEDC157591  </t>
  </si>
  <si>
    <t xml:space="preserve">FEDC157592  </t>
  </si>
  <si>
    <t xml:space="preserve">FEDC157593  </t>
  </si>
  <si>
    <t xml:space="preserve">FEDC157594  </t>
  </si>
  <si>
    <t xml:space="preserve">FEDC157596  </t>
  </si>
  <si>
    <t xml:space="preserve">FEDC157597  </t>
  </si>
  <si>
    <t xml:space="preserve">FEVM44929   </t>
  </si>
  <si>
    <t xml:space="preserve">FEVM44930   </t>
  </si>
  <si>
    <t xml:space="preserve">FEVM44933   </t>
  </si>
  <si>
    <t xml:space="preserve">FEVM44937   </t>
  </si>
  <si>
    <t xml:space="preserve">FEVM44938   </t>
  </si>
  <si>
    <t xml:space="preserve">FEVM44939   </t>
  </si>
  <si>
    <t xml:space="preserve">FEDC157293  </t>
  </si>
  <si>
    <t xml:space="preserve">FEDC157294  </t>
  </si>
  <si>
    <t xml:space="preserve">FEDC157295  </t>
  </si>
  <si>
    <t xml:space="preserve">FEDC157298  </t>
  </si>
  <si>
    <t xml:space="preserve">FEDC157299  </t>
  </si>
  <si>
    <t xml:space="preserve">FEDC157300  </t>
  </si>
  <si>
    <t xml:space="preserve">FEDC157301  </t>
  </si>
  <si>
    <t xml:space="preserve">FEDC157302  </t>
  </si>
  <si>
    <t xml:space="preserve">FEDC157303  </t>
  </si>
  <si>
    <t xml:space="preserve">FEDC157304  </t>
  </si>
  <si>
    <t xml:space="preserve">FEDC157305  </t>
  </si>
  <si>
    <t xml:space="preserve">FEDC157306  </t>
  </si>
  <si>
    <t xml:space="preserve">FEDC157307  </t>
  </si>
  <si>
    <t xml:space="preserve">FEDC157308  </t>
  </si>
  <si>
    <t xml:space="preserve">FEDC157310  </t>
  </si>
  <si>
    <t xml:space="preserve">FEDC157312  </t>
  </si>
  <si>
    <t xml:space="preserve">FEDC157313  </t>
  </si>
  <si>
    <t xml:space="preserve">FEDC157387  </t>
  </si>
  <si>
    <t xml:space="preserve">FEDC157388  </t>
  </si>
  <si>
    <t xml:space="preserve">FEDC157389  </t>
  </si>
  <si>
    <t xml:space="preserve">FEDC157390  </t>
  </si>
  <si>
    <t xml:space="preserve">FEDC157391  </t>
  </si>
  <si>
    <t xml:space="preserve">FEDC157392  </t>
  </si>
  <si>
    <t xml:space="preserve">FEDC157393  </t>
  </si>
  <si>
    <t xml:space="preserve">FEDC157396  </t>
  </si>
  <si>
    <t xml:space="preserve">FEDC157397  </t>
  </si>
  <si>
    <t xml:space="preserve">FEDC157398  </t>
  </si>
  <si>
    <t xml:space="preserve">FEDC157399  </t>
  </si>
  <si>
    <t xml:space="preserve">FEDC157400  </t>
  </si>
  <si>
    <t xml:space="preserve">FEDC157402  </t>
  </si>
  <si>
    <t xml:space="preserve">FEDC157409  </t>
  </si>
  <si>
    <t xml:space="preserve">FEDC157410  </t>
  </si>
  <si>
    <t xml:space="preserve">FEDC157411  </t>
  </si>
  <si>
    <t xml:space="preserve">FEDC157412  </t>
  </si>
  <si>
    <t xml:space="preserve">FEDC157413  </t>
  </si>
  <si>
    <t xml:space="preserve">FEDC157414  </t>
  </si>
  <si>
    <t xml:space="preserve">FEDC157562  </t>
  </si>
  <si>
    <t xml:space="preserve">FEDC157563  </t>
  </si>
  <si>
    <t xml:space="preserve">FEDC157564  </t>
  </si>
  <si>
    <t xml:space="preserve">FEDC157568  </t>
  </si>
  <si>
    <t xml:space="preserve">FEDC157569  </t>
  </si>
  <si>
    <t xml:space="preserve">FEDC157570  </t>
  </si>
  <si>
    <t xml:space="preserve">FEDC157574  </t>
  </si>
  <si>
    <t xml:space="preserve">FEDC157575  </t>
  </si>
  <si>
    <t xml:space="preserve">FEDC157576  </t>
  </si>
  <si>
    <t xml:space="preserve">FEDC157577  </t>
  </si>
  <si>
    <t xml:space="preserve">FEDC157578  </t>
  </si>
  <si>
    <t xml:space="preserve">FEDC157579  </t>
  </si>
  <si>
    <t xml:space="preserve">FEDC157580  </t>
  </si>
  <si>
    <t xml:space="preserve">FEDC157581  </t>
  </si>
  <si>
    <t xml:space="preserve">FEDC157582  </t>
  </si>
  <si>
    <t xml:space="preserve">FEDC157583  </t>
  </si>
  <si>
    <t xml:space="preserve">FEDC157694  </t>
  </si>
  <si>
    <t xml:space="preserve">FEDC157695  </t>
  </si>
  <si>
    <t xml:space="preserve">FEDC157696  </t>
  </si>
  <si>
    <t xml:space="preserve">FEDC157697  </t>
  </si>
  <si>
    <t xml:space="preserve">FEDC157707  </t>
  </si>
  <si>
    <t xml:space="preserve">FEDC157708  </t>
  </si>
  <si>
    <t xml:space="preserve">FEDC157709  </t>
  </si>
  <si>
    <t xml:space="preserve">FEDC157710  </t>
  </si>
  <si>
    <t xml:space="preserve">FEDC157731  </t>
  </si>
  <si>
    <t xml:space="preserve">FEDC157732  </t>
  </si>
  <si>
    <t xml:space="preserve">FEVM45098   </t>
  </si>
  <si>
    <t xml:space="preserve">FEVM45099   </t>
  </si>
  <si>
    <t xml:space="preserve">FEDC157698  </t>
  </si>
  <si>
    <t xml:space="preserve">FEDC157699  </t>
  </si>
  <si>
    <t xml:space="preserve">FEDC157702  </t>
  </si>
  <si>
    <t xml:space="preserve">FEDC157703  </t>
  </si>
  <si>
    <t xml:space="preserve">FEDC157704  </t>
  </si>
  <si>
    <t xml:space="preserve">FEDC157705  </t>
  </si>
  <si>
    <t xml:space="preserve">FEDC157722  </t>
  </si>
  <si>
    <t xml:space="preserve">FEDC157723  </t>
  </si>
  <si>
    <t xml:space="preserve">FEDC157070  </t>
  </si>
  <si>
    <t xml:space="preserve">FEDC157072  </t>
  </si>
  <si>
    <t xml:space="preserve">FEDC157075  </t>
  </si>
  <si>
    <t xml:space="preserve">FEDC157077  </t>
  </si>
  <si>
    <t xml:space="preserve">FEDC157078  </t>
  </si>
  <si>
    <t xml:space="preserve">FEDC157668  </t>
  </si>
  <si>
    <t xml:space="preserve">FEDC157669  </t>
  </si>
  <si>
    <t xml:space="preserve">FEDC157670  </t>
  </si>
  <si>
    <t xml:space="preserve">FEDC157671  </t>
  </si>
  <si>
    <t xml:space="preserve">FEDC157672  </t>
  </si>
  <si>
    <t xml:space="preserve">FEDC157675  </t>
  </si>
  <si>
    <t xml:space="preserve">FEVM44676   </t>
  </si>
  <si>
    <t xml:space="preserve">FEVM44708   </t>
  </si>
  <si>
    <t xml:space="preserve">FEVM44980   </t>
  </si>
  <si>
    <t xml:space="preserve">FEVM45054   </t>
  </si>
  <si>
    <t xml:space="preserve">FEVM45095   </t>
  </si>
  <si>
    <t xml:space="preserve">FEDC157420  </t>
  </si>
  <si>
    <t xml:space="preserve">FEDC157426  </t>
  </si>
  <si>
    <t xml:space="preserve">FEDC157429  </t>
  </si>
  <si>
    <t xml:space="preserve">FEDC157431  </t>
  </si>
  <si>
    <t xml:space="preserve">FEDC157435  </t>
  </si>
  <si>
    <t xml:space="preserve">FEDC157436  </t>
  </si>
  <si>
    <t xml:space="preserve">FEDC157437  </t>
  </si>
  <si>
    <t xml:space="preserve">FEDC157438  </t>
  </si>
  <si>
    <t xml:space="preserve">901690775-7         </t>
  </si>
  <si>
    <t xml:space="preserve">EL CAMPESINO FZQ S.A.S                                      </t>
  </si>
  <si>
    <t xml:space="preserve">FEDC157162  </t>
  </si>
  <si>
    <t xml:space="preserve">3145693949                    </t>
  </si>
  <si>
    <t xml:space="preserve">FEDC157296  </t>
  </si>
  <si>
    <t xml:space="preserve">FEDC157297  </t>
  </si>
  <si>
    <t xml:space="preserve">FEDC157423  </t>
  </si>
  <si>
    <t xml:space="preserve">FEDC157433  </t>
  </si>
  <si>
    <t xml:space="preserve">FEDC157161  </t>
  </si>
  <si>
    <t xml:space="preserve">FEDC157165  </t>
  </si>
  <si>
    <t xml:space="preserve">FEDC157222  </t>
  </si>
  <si>
    <t xml:space="preserve">FECT3226    </t>
  </si>
  <si>
    <t xml:space="preserve">FEDC157791  </t>
  </si>
  <si>
    <t xml:space="preserve">FEDC157800  </t>
  </si>
  <si>
    <t xml:space="preserve">FEDC157801  </t>
  </si>
  <si>
    <t xml:space="preserve">FEDC157804  </t>
  </si>
  <si>
    <t xml:space="preserve">FEDC157805  </t>
  </si>
  <si>
    <t xml:space="preserve">FEDC157807  </t>
  </si>
  <si>
    <t xml:space="preserve">FEDC157815  </t>
  </si>
  <si>
    <t xml:space="preserve">FEDC157823  </t>
  </si>
  <si>
    <t xml:space="preserve">FEDC157860  </t>
  </si>
  <si>
    <t xml:space="preserve">FEDC157863  </t>
  </si>
  <si>
    <t xml:space="preserve">FEDC157864  </t>
  </si>
  <si>
    <t xml:space="preserve">FEDC157865  </t>
  </si>
  <si>
    <t xml:space="preserve">FEDC157866  </t>
  </si>
  <si>
    <t xml:space="preserve">FEDC157867  </t>
  </si>
  <si>
    <t xml:space="preserve">FEDC157868  </t>
  </si>
  <si>
    <t xml:space="preserve">FEDC157869  </t>
  </si>
  <si>
    <t xml:space="preserve">FEDC157870  </t>
  </si>
  <si>
    <t xml:space="preserve">FEDC157871  </t>
  </si>
  <si>
    <t xml:space="preserve">FEDC157872  </t>
  </si>
  <si>
    <t xml:space="preserve">FEDC157873  </t>
  </si>
  <si>
    <t xml:space="preserve">FEDC157874  </t>
  </si>
  <si>
    <t xml:space="preserve">FEDC157875  </t>
  </si>
  <si>
    <t xml:space="preserve">FEDC157876  </t>
  </si>
  <si>
    <t xml:space="preserve">FEDC157878  </t>
  </si>
  <si>
    <t xml:space="preserve">FEDC157880  </t>
  </si>
  <si>
    <t xml:space="preserve">70698667            </t>
  </si>
  <si>
    <t xml:space="preserve">GIRALDO GIRALDO JOSE ABELARDO                               </t>
  </si>
  <si>
    <t xml:space="preserve">FEDC157881  </t>
  </si>
  <si>
    <t xml:space="preserve">3026004083                    </t>
  </si>
  <si>
    <t xml:space="preserve">FEDC157882  </t>
  </si>
  <si>
    <t xml:space="preserve">FEDC157883  </t>
  </si>
  <si>
    <t xml:space="preserve">FEDC157884  </t>
  </si>
  <si>
    <t xml:space="preserve">FEDC157886  </t>
  </si>
  <si>
    <t xml:space="preserve">FEDC157892  </t>
  </si>
  <si>
    <t xml:space="preserve">FEDC157893  </t>
  </si>
  <si>
    <t xml:space="preserve">FEDC157894  </t>
  </si>
  <si>
    <t xml:space="preserve">32376414            </t>
  </si>
  <si>
    <t xml:space="preserve">AREIZA PAULA VALESKA                                        </t>
  </si>
  <si>
    <t xml:space="preserve">FEDC157897  </t>
  </si>
  <si>
    <t xml:space="preserve">3215066605                    </t>
  </si>
  <si>
    <t xml:space="preserve">FEDC157900  </t>
  </si>
  <si>
    <t xml:space="preserve">FEDC157901  </t>
  </si>
  <si>
    <t xml:space="preserve">FEDC157902  </t>
  </si>
  <si>
    <t xml:space="preserve">FEDC157903  </t>
  </si>
  <si>
    <t xml:space="preserve">FEDC157904  </t>
  </si>
  <si>
    <t xml:space="preserve">FEDC157918  </t>
  </si>
  <si>
    <t xml:space="preserve">FEDC157919  </t>
  </si>
  <si>
    <t xml:space="preserve">FEDC157921  </t>
  </si>
  <si>
    <t xml:space="preserve">FEDC157923  </t>
  </si>
  <si>
    <t xml:space="preserve">FEDC157924  </t>
  </si>
  <si>
    <t xml:space="preserve">FEDC157925  </t>
  </si>
  <si>
    <t xml:space="preserve">FEDC157926  </t>
  </si>
  <si>
    <t xml:space="preserve">FEDC157927  </t>
  </si>
  <si>
    <t xml:space="preserve">FEDC157928  </t>
  </si>
  <si>
    <t xml:space="preserve">FEDC157929  </t>
  </si>
  <si>
    <t xml:space="preserve">FEDC157930  </t>
  </si>
  <si>
    <t xml:space="preserve">FEDC157931  </t>
  </si>
  <si>
    <t xml:space="preserve">FEDC157975  </t>
  </si>
  <si>
    <t xml:space="preserve">FEDC158017  </t>
  </si>
  <si>
    <t xml:space="preserve">FEDC158019  </t>
  </si>
  <si>
    <t xml:space="preserve">FEDC158023  </t>
  </si>
  <si>
    <t xml:space="preserve">FEDC158025  </t>
  </si>
  <si>
    <t xml:space="preserve">FEDC158026  </t>
  </si>
  <si>
    <t xml:space="preserve">FEDC158027  </t>
  </si>
  <si>
    <t xml:space="preserve">FEDC158029  </t>
  </si>
  <si>
    <t xml:space="preserve">FEDC158030  </t>
  </si>
  <si>
    <t xml:space="preserve">FEDC158031  </t>
  </si>
  <si>
    <t xml:space="preserve">FEDC158036  </t>
  </si>
  <si>
    <t xml:space="preserve">FEDC158059  </t>
  </si>
  <si>
    <t xml:space="preserve">FEDC158075  </t>
  </si>
  <si>
    <t xml:space="preserve">FEDC158079  </t>
  </si>
  <si>
    <t xml:space="preserve">FEDC158090  </t>
  </si>
  <si>
    <t xml:space="preserve">FEDC158094  </t>
  </si>
  <si>
    <t xml:space="preserve">FEDC158095  </t>
  </si>
  <si>
    <t xml:space="preserve">FEVM45105   </t>
  </si>
  <si>
    <t xml:space="preserve">FEVM45106   </t>
  </si>
  <si>
    <t xml:space="preserve">FEVM45107   </t>
  </si>
  <si>
    <t xml:space="preserve">39267556            </t>
  </si>
  <si>
    <t xml:space="preserve">ALVAREZ LILIAM DEL SOCORRO                                  </t>
  </si>
  <si>
    <t xml:space="preserve">FEVM45123   </t>
  </si>
  <si>
    <t xml:space="preserve">3136147001                    </t>
  </si>
  <si>
    <t xml:space="preserve">FEVM45124   </t>
  </si>
  <si>
    <t xml:space="preserve">39266510            </t>
  </si>
  <si>
    <t xml:space="preserve">BALLESTAS DE PEREZ FATIMA ISABEL                            </t>
  </si>
  <si>
    <t xml:space="preserve">FEVM45126   </t>
  </si>
  <si>
    <t xml:space="preserve">3136975358                    </t>
  </si>
  <si>
    <t xml:space="preserve">35117345            </t>
  </si>
  <si>
    <t xml:space="preserve">ACOSTA MONTES MARTA ISABEL                                  </t>
  </si>
  <si>
    <t xml:space="preserve">FEVM45127   </t>
  </si>
  <si>
    <t xml:space="preserve">3126267392                    </t>
  </si>
  <si>
    <t xml:space="preserve">FEVM45130   </t>
  </si>
  <si>
    <t xml:space="preserve">FEVM45131   </t>
  </si>
  <si>
    <t xml:space="preserve">FEVM45140   </t>
  </si>
  <si>
    <t xml:space="preserve">FEVM45141   </t>
  </si>
  <si>
    <t xml:space="preserve">FEVM45253   </t>
  </si>
  <si>
    <t xml:space="preserve">FEVM45263   </t>
  </si>
  <si>
    <t xml:space="preserve">FEVM45264   </t>
  </si>
  <si>
    <t xml:space="preserve">1038093848          </t>
  </si>
  <si>
    <t xml:space="preserve">GARCIA CORONADO OSCAR EDUARDO                               </t>
  </si>
  <si>
    <t xml:space="preserve">FEVM45268   </t>
  </si>
  <si>
    <t xml:space="preserve">3127274334     </t>
  </si>
  <si>
    <t xml:space="preserve">FEVM45269   </t>
  </si>
  <si>
    <t xml:space="preserve">FEVM45270   </t>
  </si>
  <si>
    <t xml:space="preserve">FEVM45272   </t>
  </si>
  <si>
    <t xml:space="preserve">FECT3221    </t>
  </si>
  <si>
    <t xml:space="preserve">FECT3239    </t>
  </si>
  <si>
    <t xml:space="preserve">FEDC158064  </t>
  </si>
  <si>
    <t xml:space="preserve">FEDC158065  </t>
  </si>
  <si>
    <t xml:space="preserve">FEDC158067  </t>
  </si>
  <si>
    <t xml:space="preserve">FEDC158068  </t>
  </si>
  <si>
    <t xml:space="preserve">FEDC158069  </t>
  </si>
  <si>
    <t xml:space="preserve">FEDC158070  </t>
  </si>
  <si>
    <t xml:space="preserve">FEDC158073  </t>
  </si>
  <si>
    <t xml:space="preserve">FEDC158074  </t>
  </si>
  <si>
    <t xml:space="preserve">FEDC157972  </t>
  </si>
  <si>
    <t xml:space="preserve">FEDC157973  </t>
  </si>
  <si>
    <t xml:space="preserve">FEDC157962  </t>
  </si>
  <si>
    <t xml:space="preserve">FEDC157960  </t>
  </si>
  <si>
    <t xml:space="preserve">15296621            </t>
  </si>
  <si>
    <t xml:space="preserve">GOMEZ HOLGUIN ELSON ARLEY                                   </t>
  </si>
  <si>
    <t xml:space="preserve">FEDC157968  </t>
  </si>
  <si>
    <t xml:space="preserve">3117395202                    </t>
  </si>
  <si>
    <t xml:space="preserve">FEDC157905  </t>
  </si>
  <si>
    <t xml:space="preserve">FEDC157909  </t>
  </si>
  <si>
    <t xml:space="preserve">FEVM45177   </t>
  </si>
  <si>
    <t xml:space="preserve">1193228543          </t>
  </si>
  <si>
    <t xml:space="preserve">VIDES CENTENO CESAR DAVID                                   </t>
  </si>
  <si>
    <t xml:space="preserve">3225013580                    </t>
  </si>
  <si>
    <t xml:space="preserve">FEVM45187   </t>
  </si>
  <si>
    <t xml:space="preserve">70543321            </t>
  </si>
  <si>
    <t xml:space="preserve">AVENDAÑO PEREZ JUAN DAVID                                   </t>
  </si>
  <si>
    <t xml:space="preserve">3226231953                    </t>
  </si>
  <si>
    <t xml:space="preserve">FEVM45193   </t>
  </si>
  <si>
    <t xml:space="preserve">1007565257          </t>
  </si>
  <si>
    <t xml:space="preserve"> LUNA FLOREZ MARTHA ROSA                                    </t>
  </si>
  <si>
    <t xml:space="preserve">FEVM45194   </t>
  </si>
  <si>
    <t xml:space="preserve">3146692721 - 3127631162       </t>
  </si>
  <si>
    <t xml:space="preserve">FEVM45195   </t>
  </si>
  <si>
    <t xml:space="preserve">FEVM45201   </t>
  </si>
  <si>
    <t xml:space="preserve">50992911            </t>
  </si>
  <si>
    <t xml:space="preserve">CONTRERAS NERY PRISCILA ISABEL                              </t>
  </si>
  <si>
    <t xml:space="preserve">3116925315     </t>
  </si>
  <si>
    <t xml:space="preserve">3207064043                    </t>
  </si>
  <si>
    <t xml:space="preserve">FEVM45207   </t>
  </si>
  <si>
    <t xml:space="preserve">50868096            </t>
  </si>
  <si>
    <t xml:space="preserve">AGAMEZ SOTELO AMINTA ANTONIA                                </t>
  </si>
  <si>
    <t xml:space="preserve">FEVM45213   </t>
  </si>
  <si>
    <t xml:space="preserve">FEVM45214   </t>
  </si>
  <si>
    <t xml:space="preserve">26037541            </t>
  </si>
  <si>
    <t xml:space="preserve">VALVERDE FERNANDEZ AURORA                                   </t>
  </si>
  <si>
    <t xml:space="preserve">FEVM45221   </t>
  </si>
  <si>
    <t xml:space="preserve">3128542835                    </t>
  </si>
  <si>
    <t xml:space="preserve">FEVM45222   </t>
  </si>
  <si>
    <t xml:space="preserve">FEVM45226   </t>
  </si>
  <si>
    <t xml:space="preserve">FEVM45227   </t>
  </si>
  <si>
    <t xml:space="preserve">1066511673          </t>
  </si>
  <si>
    <t xml:space="preserve">ZULUAGA PRASCA JUAN CAMILO                                  </t>
  </si>
  <si>
    <t xml:space="preserve">3224410652                    </t>
  </si>
  <si>
    <t xml:space="preserve">FEVM45230   </t>
  </si>
  <si>
    <t xml:space="preserve">FEVM45231   </t>
  </si>
  <si>
    <t xml:space="preserve">FEVM45232   </t>
  </si>
  <si>
    <t xml:space="preserve">FEVM45237   </t>
  </si>
  <si>
    <t xml:space="preserve">FEVM45250   </t>
  </si>
  <si>
    <t xml:space="preserve">FEVM45252   </t>
  </si>
  <si>
    <t xml:space="preserve">FEDC157910  </t>
  </si>
  <si>
    <t xml:space="preserve">FEDC157911  </t>
  </si>
  <si>
    <t xml:space="preserve">FEDC157978  </t>
  </si>
  <si>
    <t xml:space="preserve">FEDC157979  </t>
  </si>
  <si>
    <t xml:space="preserve">FEDC157980  </t>
  </si>
  <si>
    <t xml:space="preserve">FEDC157981  </t>
  </si>
  <si>
    <t xml:space="preserve">FEDC157982  </t>
  </si>
  <si>
    <t xml:space="preserve">FEDC157983  </t>
  </si>
  <si>
    <t xml:space="preserve">FEDC157984  </t>
  </si>
  <si>
    <t xml:space="preserve">FEDC157985  </t>
  </si>
  <si>
    <t xml:space="preserve">FEDC157986  </t>
  </si>
  <si>
    <t xml:space="preserve">FEDC157987  </t>
  </si>
  <si>
    <t xml:space="preserve">FEDC157988  </t>
  </si>
  <si>
    <t xml:space="preserve">FEDC157990  </t>
  </si>
  <si>
    <t xml:space="preserve">FEDC158015  </t>
  </si>
  <si>
    <t xml:space="preserve">FEDC158016  </t>
  </si>
  <si>
    <t xml:space="preserve">1152434087          </t>
  </si>
  <si>
    <t xml:space="preserve">DIAZ GARCIA JOSE REYNEL                                     </t>
  </si>
  <si>
    <t xml:space="preserve">3234973319                    </t>
  </si>
  <si>
    <t xml:space="preserve">22492813            </t>
  </si>
  <si>
    <t xml:space="preserve">JULIO HERNANDEZ LUZ MARINA                                  </t>
  </si>
  <si>
    <t xml:space="preserve">3508373849                    </t>
  </si>
  <si>
    <t xml:space="preserve">70698041            </t>
  </si>
  <si>
    <t xml:space="preserve">SALAZAR OCAMPO EFRAIN                                       </t>
  </si>
  <si>
    <t xml:space="preserve">3226539141 -3116716690        </t>
  </si>
  <si>
    <t xml:space="preserve">1063275684          </t>
  </si>
  <si>
    <t xml:space="preserve">PAUT FUERTE FELIZ ALBERTO                                   </t>
  </si>
  <si>
    <t xml:space="preserve">3205688477     </t>
  </si>
  <si>
    <t xml:space="preserve">70694424            </t>
  </si>
  <si>
    <t xml:space="preserve">MUnOZ PINILLO JESUS EMILIO                                  </t>
  </si>
  <si>
    <t xml:space="preserve">45768421            </t>
  </si>
  <si>
    <t xml:space="preserve">ARROYO POVEDA ROSIRIS                                       </t>
  </si>
  <si>
    <t xml:space="preserve">3137122190     </t>
  </si>
  <si>
    <t xml:space="preserve">50941718            </t>
  </si>
  <si>
    <t xml:space="preserve">MERCADO VILLORINA YOLANDA                                   </t>
  </si>
  <si>
    <t xml:space="preserve">3205935671     </t>
  </si>
  <si>
    <t xml:space="preserve">FEVM45171   </t>
  </si>
  <si>
    <t xml:space="preserve">FEVM45175   </t>
  </si>
  <si>
    <t xml:space="preserve">FEVM45176   </t>
  </si>
  <si>
    <t xml:space="preserve">FEDC157808  </t>
  </si>
  <si>
    <t xml:space="preserve">FEDC157809  </t>
  </si>
  <si>
    <t xml:space="preserve">FEDC157810  </t>
  </si>
  <si>
    <t xml:space="preserve">FEDC157811  </t>
  </si>
  <si>
    <t xml:space="preserve">FEDC157812  </t>
  </si>
  <si>
    <t xml:space="preserve">FEDC157813  </t>
  </si>
  <si>
    <t xml:space="preserve">FEDC157814  </t>
  </si>
  <si>
    <t xml:space="preserve">FEDC157816  </t>
  </si>
  <si>
    <t xml:space="preserve">FEDC157818  </t>
  </si>
  <si>
    <t xml:space="preserve">FEDC157820  </t>
  </si>
  <si>
    <t xml:space="preserve">FEDC157828  </t>
  </si>
  <si>
    <t xml:space="preserve">FEDC157849  </t>
  </si>
  <si>
    <t xml:space="preserve">FEDC157851  </t>
  </si>
  <si>
    <t xml:space="preserve">FEDC157852  </t>
  </si>
  <si>
    <t xml:space="preserve">FEDC157834  </t>
  </si>
  <si>
    <t xml:space="preserve">FEDC157835  </t>
  </si>
  <si>
    <t xml:space="preserve">FEDC157836  </t>
  </si>
  <si>
    <t xml:space="preserve">FEVM45300   </t>
  </si>
  <si>
    <t xml:space="preserve">FEVM45303   </t>
  </si>
  <si>
    <t xml:space="preserve">FEVM45321   </t>
  </si>
  <si>
    <t xml:space="preserve">FEVM45322   </t>
  </si>
  <si>
    <t xml:space="preserve">FEDC157913  </t>
  </si>
  <si>
    <t xml:space="preserve">FEDC157794  </t>
  </si>
  <si>
    <t xml:space="preserve">FEDC157795  </t>
  </si>
  <si>
    <t xml:space="preserve">44120158            </t>
  </si>
  <si>
    <t xml:space="preserve">RAMIREZ AGUDELO INGRIS PAOLA                                </t>
  </si>
  <si>
    <t xml:space="preserve">FEDC157796  </t>
  </si>
  <si>
    <t xml:space="preserve">3136399289                    </t>
  </si>
  <si>
    <t xml:space="preserve">FEDC157797  </t>
  </si>
  <si>
    <t xml:space="preserve">FEDC157798  </t>
  </si>
  <si>
    <t xml:space="preserve">FECT3241    </t>
  </si>
  <si>
    <t xml:space="preserve">FEDC158076  </t>
  </si>
  <si>
    <t xml:space="preserve">FEDC158077  </t>
  </si>
  <si>
    <t xml:space="preserve">FEDC158078  </t>
  </si>
  <si>
    <t xml:space="preserve">FEDC158080  </t>
  </si>
  <si>
    <t xml:space="preserve">FEDC158081  </t>
  </si>
  <si>
    <t xml:space="preserve">FEDC158082  </t>
  </si>
  <si>
    <t xml:space="preserve">FEDC158083  </t>
  </si>
  <si>
    <t xml:space="preserve">FEDC158084  </t>
  </si>
  <si>
    <t xml:space="preserve">FEDC158085  </t>
  </si>
  <si>
    <t xml:space="preserve">FEDC158086  </t>
  </si>
  <si>
    <t xml:space="preserve">1038484271          </t>
  </si>
  <si>
    <t xml:space="preserve">PASTRANA NARANJO JOSE ANDRES                                </t>
  </si>
  <si>
    <t xml:space="preserve">FEDC158087  </t>
  </si>
  <si>
    <t xml:space="preserve">3219777449                    </t>
  </si>
  <si>
    <t xml:space="preserve">FEDC158088  </t>
  </si>
  <si>
    <t xml:space="preserve">FEDC158089  </t>
  </si>
  <si>
    <t xml:space="preserve">FEDC158009  </t>
  </si>
  <si>
    <t xml:space="preserve">FEDC158010  </t>
  </si>
  <si>
    <t xml:space="preserve">FEDC157829  </t>
  </si>
  <si>
    <t xml:space="preserve">FEDC157831  </t>
  </si>
  <si>
    <t xml:space="preserve">FEDC157832  </t>
  </si>
  <si>
    <t xml:space="preserve">FEDC157933  </t>
  </si>
  <si>
    <t xml:space="preserve">FEDC157942  </t>
  </si>
  <si>
    <t xml:space="preserve">FEDC157951  </t>
  </si>
  <si>
    <t xml:space="preserve">FEDC157952  </t>
  </si>
  <si>
    <t xml:space="preserve">FEDC157837  </t>
  </si>
  <si>
    <t xml:space="preserve">FEDC157838  </t>
  </si>
  <si>
    <t xml:space="preserve">FEDC157839  </t>
  </si>
  <si>
    <t xml:space="preserve">71977549            </t>
  </si>
  <si>
    <t xml:space="preserve">RODRIGUEZ ARENAS URPIANO DE JESUS                           </t>
  </si>
  <si>
    <t xml:space="preserve">FEDC157844  </t>
  </si>
  <si>
    <t xml:space="preserve">3145048699-3134858460         </t>
  </si>
  <si>
    <t xml:space="preserve">FEDC157846  </t>
  </si>
  <si>
    <t xml:space="preserve">FEDC157847  </t>
  </si>
  <si>
    <t xml:space="preserve">FEDC157854  </t>
  </si>
  <si>
    <t xml:space="preserve">FEDC157856  </t>
  </si>
  <si>
    <t xml:space="preserve">FEDC157857  </t>
  </si>
  <si>
    <t xml:space="preserve">1045422363          </t>
  </si>
  <si>
    <t xml:space="preserve">ORREGO HERNANDEZ LIBIHT YOANA                               </t>
  </si>
  <si>
    <t xml:space="preserve">FEDC157858  </t>
  </si>
  <si>
    <t xml:space="preserve">3104307431     </t>
  </si>
  <si>
    <t xml:space="preserve">FEDC157859  </t>
  </si>
  <si>
    <t xml:space="preserve">FEDC157991  </t>
  </si>
  <si>
    <t xml:space="preserve">FEDC157992  </t>
  </si>
  <si>
    <t xml:space="preserve">FEDC158000  </t>
  </si>
  <si>
    <t xml:space="preserve">FEDC158001  </t>
  </si>
  <si>
    <t xml:space="preserve">FEDC158008  </t>
  </si>
  <si>
    <t xml:space="preserve">FEDC157993  </t>
  </si>
  <si>
    <t xml:space="preserve">FEDC158002  </t>
  </si>
  <si>
    <t>SAN JUAN DE URABA</t>
  </si>
  <si>
    <t xml:space="preserve">70529395            </t>
  </si>
  <si>
    <t xml:space="preserve">PALACIO VILLA CARLOS ALFONSO                                </t>
  </si>
  <si>
    <t xml:space="preserve">FEDC158007  </t>
  </si>
  <si>
    <t xml:space="preserve">3004619725                    </t>
  </si>
  <si>
    <t xml:space="preserve">901756071-6         </t>
  </si>
  <si>
    <t xml:space="preserve">RCM ACTIVOS EMPRESARIALES S.A.S                             </t>
  </si>
  <si>
    <t xml:space="preserve">FEDC157994  </t>
  </si>
  <si>
    <t xml:space="preserve">3015647067                    </t>
  </si>
  <si>
    <t xml:space="preserve">FEDC157830  </t>
  </si>
  <si>
    <t xml:space="preserve">FEDC157940  </t>
  </si>
  <si>
    <t xml:space="preserve">FEDC157941  </t>
  </si>
  <si>
    <t xml:space="preserve">FEDC157943  </t>
  </si>
  <si>
    <t xml:space="preserve">FEDC157944  </t>
  </si>
  <si>
    <t xml:space="preserve">FEDC157948  </t>
  </si>
  <si>
    <t xml:space="preserve">901376835           </t>
  </si>
  <si>
    <t xml:space="preserve">COMERCIALIZADORA MERCALCOSTO SAS                            </t>
  </si>
  <si>
    <t xml:space="preserve">CANALETE                      </t>
  </si>
  <si>
    <t xml:space="preserve">FEDC157998  </t>
  </si>
  <si>
    <t xml:space="preserve">3207286477-3216790553         </t>
  </si>
  <si>
    <t xml:space="preserve">FEDC157997  </t>
  </si>
  <si>
    <t xml:space="preserve">FEDC157999  </t>
  </si>
  <si>
    <t xml:space="preserve">FEDC158012  </t>
  </si>
  <si>
    <t xml:space="preserve">FEDC158096  </t>
  </si>
  <si>
    <t xml:space="preserve">FEDC158097  </t>
  </si>
  <si>
    <t xml:space="preserve">FEDC158100  </t>
  </si>
  <si>
    <t xml:space="preserve">FEDC158101  </t>
  </si>
  <si>
    <t xml:space="preserve">FEDC158099  </t>
  </si>
  <si>
    <t xml:space="preserve">FEDC158103  </t>
  </si>
  <si>
    <t xml:space="preserve">FEDC158113  </t>
  </si>
  <si>
    <t xml:space="preserve">FEDC158107  </t>
  </si>
  <si>
    <t xml:space="preserve">FEDC158108  </t>
  </si>
  <si>
    <t xml:space="preserve">1036422323          </t>
  </si>
  <si>
    <t xml:space="preserve">CIRO ZULUAGA HUGO ALBERTO                                   </t>
  </si>
  <si>
    <t xml:space="preserve">FEDC158110  </t>
  </si>
  <si>
    <t xml:space="preserve">3104135942                    </t>
  </si>
  <si>
    <t xml:space="preserve">FEDC158114  </t>
  </si>
  <si>
    <t xml:space="preserve">FEVM45340   </t>
  </si>
  <si>
    <t xml:space="preserve">FEDC158121  </t>
  </si>
  <si>
    <t xml:space="preserve">FEDC158123  </t>
  </si>
  <si>
    <t xml:space="preserve">FEDC158124  </t>
  </si>
  <si>
    <t xml:space="preserve">FEDC158125  </t>
  </si>
  <si>
    <t xml:space="preserve">FEDC158126  </t>
  </si>
  <si>
    <t xml:space="preserve">52866315            </t>
  </si>
  <si>
    <t xml:space="preserve">MIELES PADILLA DENIS NALLIREIS                              </t>
  </si>
  <si>
    <t xml:space="preserve">FEDC158127  </t>
  </si>
  <si>
    <t xml:space="preserve">3116371907                    </t>
  </si>
  <si>
    <t xml:space="preserve">FEDC158128  </t>
  </si>
  <si>
    <t xml:space="preserve">FEDC158131  </t>
  </si>
  <si>
    <t xml:space="preserve">FEDC158132  </t>
  </si>
  <si>
    <t xml:space="preserve">FEDC158133  </t>
  </si>
  <si>
    <t xml:space="preserve">FEDC158134  </t>
  </si>
  <si>
    <t xml:space="preserve">FEDC158135  </t>
  </si>
  <si>
    <t xml:space="preserve">FEDC158137  </t>
  </si>
  <si>
    <t xml:space="preserve">FEDC158138  </t>
  </si>
  <si>
    <t xml:space="preserve">FEDC158140  </t>
  </si>
  <si>
    <t xml:space="preserve">FEDC158143  </t>
  </si>
  <si>
    <t xml:space="preserve">FEDC158157  </t>
  </si>
  <si>
    <t xml:space="preserve">FEDC158158  </t>
  </si>
  <si>
    <t xml:space="preserve">FEDC158159  </t>
  </si>
  <si>
    <t xml:space="preserve">FEDC158169  </t>
  </si>
  <si>
    <t xml:space="preserve">811001810-6         </t>
  </si>
  <si>
    <t xml:space="preserve">COOPERATIVA MULTIALTIVA DE MADRES COMUNITARIAS              </t>
  </si>
  <si>
    <t xml:space="preserve">FEDC158172  </t>
  </si>
  <si>
    <t xml:space="preserve">FEDC158173  </t>
  </si>
  <si>
    <t xml:space="preserve">FEDC158175  </t>
  </si>
  <si>
    <t xml:space="preserve">FEDC158188  </t>
  </si>
  <si>
    <t>MEDELLIN</t>
  </si>
  <si>
    <t xml:space="preserve">FEDC158216  </t>
  </si>
  <si>
    <t xml:space="preserve">FEDC158217  </t>
  </si>
  <si>
    <t xml:space="preserve">FEDC158218  </t>
  </si>
  <si>
    <t xml:space="preserve">FEDC158219  </t>
  </si>
  <si>
    <t xml:space="preserve">FEDC158220  </t>
  </si>
  <si>
    <t xml:space="preserve">FEDC158221  </t>
  </si>
  <si>
    <t xml:space="preserve">FEDC158222  </t>
  </si>
  <si>
    <t xml:space="preserve">FEDC158223  </t>
  </si>
  <si>
    <t xml:space="preserve">FEDC158224  </t>
  </si>
  <si>
    <t xml:space="preserve">98654596            </t>
  </si>
  <si>
    <t xml:space="preserve">MONTALVO MONTALVO FRAIT JOSE                                </t>
  </si>
  <si>
    <t xml:space="preserve">FEDC158226  </t>
  </si>
  <si>
    <t xml:space="preserve">3206682979                    </t>
  </si>
  <si>
    <t xml:space="preserve">FEDC158227  </t>
  </si>
  <si>
    <t xml:space="preserve">50884589            </t>
  </si>
  <si>
    <t xml:space="preserve">NARANJO MENDEZ ERIKA ELIET                                  </t>
  </si>
  <si>
    <t xml:space="preserve">FEDC158228  </t>
  </si>
  <si>
    <t xml:space="preserve">3148814640                    </t>
  </si>
  <si>
    <t xml:space="preserve">FEDC158229  </t>
  </si>
  <si>
    <t xml:space="preserve">98457431            </t>
  </si>
  <si>
    <t xml:space="preserve">VELASQUEZ ARANGO BERNARDO ANTONIO                           </t>
  </si>
  <si>
    <t xml:space="preserve">FEDC158230  </t>
  </si>
  <si>
    <t>8398039</t>
  </si>
  <si>
    <t xml:space="preserve">FEDC158231  </t>
  </si>
  <si>
    <t xml:space="preserve">FEDC158232  </t>
  </si>
  <si>
    <t xml:space="preserve">FEDC158233  </t>
  </si>
  <si>
    <t xml:space="preserve">FEDC158234  </t>
  </si>
  <si>
    <t xml:space="preserve">78320540            </t>
  </si>
  <si>
    <t xml:space="preserve">JIMENEZ MARQUEZ ALFONSO MANUEL                              </t>
  </si>
  <si>
    <t xml:space="preserve">FEDC158235  </t>
  </si>
  <si>
    <t xml:space="preserve">3218049955                    </t>
  </si>
  <si>
    <t xml:space="preserve">FEDC158236  </t>
  </si>
  <si>
    <t xml:space="preserve">FEDC158237  </t>
  </si>
  <si>
    <t xml:space="preserve">FEDC158238  </t>
  </si>
  <si>
    <t xml:space="preserve">FEDC158239  </t>
  </si>
  <si>
    <t xml:space="preserve">FEDC158257  </t>
  </si>
  <si>
    <t xml:space="preserve">FEDC158263  </t>
  </si>
  <si>
    <t xml:space="preserve">FEDC158264  </t>
  </si>
  <si>
    <t xml:space="preserve">FEDC158265  </t>
  </si>
  <si>
    <t xml:space="preserve">FEDC158266  </t>
  </si>
  <si>
    <t xml:space="preserve">FEDC158267  </t>
  </si>
  <si>
    <t xml:space="preserve">21945805            </t>
  </si>
  <si>
    <t xml:space="preserve">GONZALEZ AGUDELO MARIA ROSMERY                              </t>
  </si>
  <si>
    <t xml:space="preserve">FEDC158268  </t>
  </si>
  <si>
    <t xml:space="preserve">3206435536                    </t>
  </si>
  <si>
    <t xml:space="preserve">FEDC158269  </t>
  </si>
  <si>
    <t xml:space="preserve">FEDC158270  </t>
  </si>
  <si>
    <t xml:space="preserve">FEDC158271  </t>
  </si>
  <si>
    <t xml:space="preserve">FEDC158272  </t>
  </si>
  <si>
    <t xml:space="preserve">FEDC158273  </t>
  </si>
  <si>
    <t xml:space="preserve">FEDC158274  </t>
  </si>
  <si>
    <t xml:space="preserve">FEDC158275  </t>
  </si>
  <si>
    <t xml:space="preserve">FEDC158276  </t>
  </si>
  <si>
    <t xml:space="preserve">FEDC158277  </t>
  </si>
  <si>
    <t xml:space="preserve">FEDC158278  </t>
  </si>
  <si>
    <t xml:space="preserve">FEDC158279  </t>
  </si>
  <si>
    <t xml:space="preserve">FEDC158280  </t>
  </si>
  <si>
    <t xml:space="preserve">FEDC158281  </t>
  </si>
  <si>
    <t xml:space="preserve">FEDC158282  </t>
  </si>
  <si>
    <t xml:space="preserve">FEDC158283  </t>
  </si>
  <si>
    <t xml:space="preserve">FEDC158284  </t>
  </si>
  <si>
    <t xml:space="preserve">FEDC158301  </t>
  </si>
  <si>
    <t xml:space="preserve">800183056-9         </t>
  </si>
  <si>
    <t xml:space="preserve">DISTRILECO CAUCASIA S.A.S                                   </t>
  </si>
  <si>
    <t xml:space="preserve">FEDC158320  </t>
  </si>
  <si>
    <t xml:space="preserve">8393001        </t>
  </si>
  <si>
    <t xml:space="preserve">FEDC158321  </t>
  </si>
  <si>
    <t xml:space="preserve">FEDC158322  </t>
  </si>
  <si>
    <t xml:space="preserve">FEVM45396   </t>
  </si>
  <si>
    <t xml:space="preserve">1001532768          </t>
  </si>
  <si>
    <t xml:space="preserve">PADILLA DE HOYO MARIA ALEJANDRA                             </t>
  </si>
  <si>
    <t xml:space="preserve">FEVM45398   </t>
  </si>
  <si>
    <t xml:space="preserve">3135716477                    </t>
  </si>
  <si>
    <t xml:space="preserve">FEVM45417   </t>
  </si>
  <si>
    <t xml:space="preserve">FEVM45418   </t>
  </si>
  <si>
    <t xml:space="preserve">64586139            </t>
  </si>
  <si>
    <t xml:space="preserve">ANGUILA CARRILLO MATILDE                                    </t>
  </si>
  <si>
    <t xml:space="preserve">FEVM45419   </t>
  </si>
  <si>
    <t xml:space="preserve">3102208417                    </t>
  </si>
  <si>
    <t xml:space="preserve">FEVM45420   </t>
  </si>
  <si>
    <t xml:space="preserve">FEVM45422   </t>
  </si>
  <si>
    <t xml:space="preserve">FEVM45423   </t>
  </si>
  <si>
    <t xml:space="preserve">1001158630          </t>
  </si>
  <si>
    <t xml:space="preserve">SANTOS GONZALEZ MELKINZEDETH                                </t>
  </si>
  <si>
    <t xml:space="preserve">FEVM45504   </t>
  </si>
  <si>
    <t xml:space="preserve">3105835363-3135439826         </t>
  </si>
  <si>
    <t xml:space="preserve">FEVM45505   </t>
  </si>
  <si>
    <t xml:space="preserve">98656367            </t>
  </si>
  <si>
    <t xml:space="preserve">MARTINEZ FREDY ANTONIO                                      </t>
  </si>
  <si>
    <t xml:space="preserve">FEVM45519   </t>
  </si>
  <si>
    <t xml:space="preserve">3103780577     </t>
  </si>
  <si>
    <t xml:space="preserve">FEVM45520   </t>
  </si>
  <si>
    <t xml:space="preserve">70950972            </t>
  </si>
  <si>
    <t xml:space="preserve">ALZATE RAMIREZ PEDRO EMILIO                                 </t>
  </si>
  <si>
    <t xml:space="preserve">FEVM45521   </t>
  </si>
  <si>
    <t xml:space="preserve">3015569726                    </t>
  </si>
  <si>
    <t xml:space="preserve">FEVM45522   </t>
  </si>
  <si>
    <t xml:space="preserve">FEVM45523   </t>
  </si>
  <si>
    <t xml:space="preserve">39273230            </t>
  </si>
  <si>
    <t xml:space="preserve">APARICIO OLINDA MARIA                                       </t>
  </si>
  <si>
    <t xml:space="preserve">FEVM45524   </t>
  </si>
  <si>
    <t xml:space="preserve">3103517560                    </t>
  </si>
  <si>
    <t xml:space="preserve">FEVM45525   </t>
  </si>
  <si>
    <t xml:space="preserve">FEVM45526   </t>
  </si>
  <si>
    <t xml:space="preserve">FEVM45527   </t>
  </si>
  <si>
    <t xml:space="preserve">1038109593          </t>
  </si>
  <si>
    <t xml:space="preserve">GALARCIO CUADRADO DENIS DEL CARMEN                          </t>
  </si>
  <si>
    <t xml:space="preserve">FEVM45528   </t>
  </si>
  <si>
    <t xml:space="preserve">3234394238                    </t>
  </si>
  <si>
    <t xml:space="preserve">FEVM45529   </t>
  </si>
  <si>
    <t xml:space="preserve">FEVM45530   </t>
  </si>
  <si>
    <t xml:space="preserve">FEVM45532   </t>
  </si>
  <si>
    <t xml:space="preserve">FEVM45533   </t>
  </si>
  <si>
    <t xml:space="preserve">FEVM45534   </t>
  </si>
  <si>
    <t xml:space="preserve">FEVM45536   </t>
  </si>
  <si>
    <t xml:space="preserve">FEVM45537   </t>
  </si>
  <si>
    <t xml:space="preserve">FEVM45538   </t>
  </si>
  <si>
    <t xml:space="preserve">FEVM45539   </t>
  </si>
  <si>
    <t xml:space="preserve">FEVM45540   </t>
  </si>
  <si>
    <t xml:space="preserve">FEVM45541   </t>
  </si>
  <si>
    <t xml:space="preserve">FEVM45542   </t>
  </si>
  <si>
    <t xml:space="preserve">FEVM45543   </t>
  </si>
  <si>
    <t xml:space="preserve">FEVM45544   </t>
  </si>
  <si>
    <t xml:space="preserve">1073968174          </t>
  </si>
  <si>
    <t xml:space="preserve">SALAZAR HERRERA LEONIDAS                                    </t>
  </si>
  <si>
    <t xml:space="preserve">FEVM45368   </t>
  </si>
  <si>
    <t xml:space="preserve">3015366550                    </t>
  </si>
  <si>
    <t xml:space="preserve">FEVM45369   </t>
  </si>
  <si>
    <t xml:space="preserve">FEVM45370   </t>
  </si>
  <si>
    <t xml:space="preserve">FEVM45371   </t>
  </si>
  <si>
    <t xml:space="preserve">FEVM45372   </t>
  </si>
  <si>
    <t xml:space="preserve">FEVM45373   </t>
  </si>
  <si>
    <t xml:space="preserve">70540837            </t>
  </si>
  <si>
    <t xml:space="preserve">REGINO PEREZ WILMAR ERNESTO                                 </t>
  </si>
  <si>
    <t xml:space="preserve">FEVM45374   </t>
  </si>
  <si>
    <t xml:space="preserve">3104634465                    </t>
  </si>
  <si>
    <t xml:space="preserve">FEVM45375   </t>
  </si>
  <si>
    <t xml:space="preserve">FEVM45376   </t>
  </si>
  <si>
    <t xml:space="preserve">1061713966          </t>
  </si>
  <si>
    <t xml:space="preserve">PARRA JAMES ALBERTO                                         </t>
  </si>
  <si>
    <t xml:space="preserve">FEVM45377   </t>
  </si>
  <si>
    <t xml:space="preserve">3044365427                    </t>
  </si>
  <si>
    <t xml:space="preserve">32375311            </t>
  </si>
  <si>
    <t xml:space="preserve">GARCIA JIMENEZ AYDE MILENA                                  </t>
  </si>
  <si>
    <t xml:space="preserve">FEVM45378   </t>
  </si>
  <si>
    <t xml:space="preserve">FEVM45379   </t>
  </si>
  <si>
    <t xml:space="preserve">8038115             </t>
  </si>
  <si>
    <t xml:space="preserve">SOSA TABARES GERMAN EMILIO                                  </t>
  </si>
  <si>
    <t xml:space="preserve">FEVM45380   </t>
  </si>
  <si>
    <t xml:space="preserve">3188960517                    </t>
  </si>
  <si>
    <t xml:space="preserve">32118082            </t>
  </si>
  <si>
    <t xml:space="preserve">URIBE JARAMILLO YANETH ELENA                                </t>
  </si>
  <si>
    <t xml:space="preserve">FEVM45381   </t>
  </si>
  <si>
    <t xml:space="preserve">3168873507                    </t>
  </si>
  <si>
    <t xml:space="preserve">FEVM45382   </t>
  </si>
  <si>
    <t xml:space="preserve">36693335            </t>
  </si>
  <si>
    <t xml:space="preserve">SANCHEZ AGUDELO FABIOLA DE JESUS                            </t>
  </si>
  <si>
    <t xml:space="preserve">FEVM45383   </t>
  </si>
  <si>
    <t xml:space="preserve">3136684151                    </t>
  </si>
  <si>
    <t xml:space="preserve">FEVM45384   </t>
  </si>
  <si>
    <t xml:space="preserve">1045425674          </t>
  </si>
  <si>
    <t xml:space="preserve">CHAVARRIA VILLA VIVIANA MARCELA                             </t>
  </si>
  <si>
    <t xml:space="preserve">FEVM45385   </t>
  </si>
  <si>
    <t xml:space="preserve">3146356767-3135244975         </t>
  </si>
  <si>
    <t xml:space="preserve">1045436169          </t>
  </si>
  <si>
    <t xml:space="preserve">GONZALEZ BERRIO JAIR ANTONIO                                </t>
  </si>
  <si>
    <t xml:space="preserve">FEVM45462   </t>
  </si>
  <si>
    <t xml:space="preserve">3104311381                    </t>
  </si>
  <si>
    <t xml:space="preserve">1045425560          </t>
  </si>
  <si>
    <t xml:space="preserve">ALVARADO CORTES YULIANA MARIA                               </t>
  </si>
  <si>
    <t xml:space="preserve">FEVM45470   </t>
  </si>
  <si>
    <t xml:space="preserve">3207448218                    </t>
  </si>
  <si>
    <t xml:space="preserve">32116048            </t>
  </si>
  <si>
    <t xml:space="preserve">AREIZA ARANGO DORA ELENA                                    </t>
  </si>
  <si>
    <t xml:space="preserve">FEVM45471   </t>
  </si>
  <si>
    <t xml:space="preserve">3117164941                    </t>
  </si>
  <si>
    <t xml:space="preserve">FEVM45472   </t>
  </si>
  <si>
    <t xml:space="preserve">FEVM45473   </t>
  </si>
  <si>
    <t xml:space="preserve">FEDC158324  </t>
  </si>
  <si>
    <t xml:space="preserve">FEDC158325  </t>
  </si>
  <si>
    <t xml:space="preserve">1010142418          </t>
  </si>
  <si>
    <t xml:space="preserve">ZULUAGA CASTRO CARLOS ANDRES                                </t>
  </si>
  <si>
    <t xml:space="preserve">FEDC158225  </t>
  </si>
  <si>
    <t xml:space="preserve">3135743644                    </t>
  </si>
  <si>
    <t xml:space="preserve">FEDC151719  </t>
  </si>
  <si>
    <t xml:space="preserve">78739970            </t>
  </si>
  <si>
    <t xml:space="preserve">SIMANCA HOYOS RAFAEL EDUARDO                                </t>
  </si>
  <si>
    <t xml:space="preserve">LA YE DE SAHAGUN              </t>
  </si>
  <si>
    <t xml:space="preserve">FEDC158191  </t>
  </si>
  <si>
    <t xml:space="preserve">3114065455     </t>
  </si>
  <si>
    <t xml:space="preserve">FEDC158192  </t>
  </si>
  <si>
    <t xml:space="preserve">8047767             </t>
  </si>
  <si>
    <t xml:space="preserve">USUGA FLAVIO HERNANDO                                       </t>
  </si>
  <si>
    <t xml:space="preserve">FEVM45386   </t>
  </si>
  <si>
    <t>3147932209</t>
  </si>
  <si>
    <t xml:space="preserve">21588976            </t>
  </si>
  <si>
    <t xml:space="preserve">BERDUGO RIVERA LEDYS FRUMENCIA                              </t>
  </si>
  <si>
    <t xml:space="preserve">FEVM45387   </t>
  </si>
  <si>
    <t xml:space="preserve">3126283438                    </t>
  </si>
  <si>
    <t xml:space="preserve">FEVM45388   </t>
  </si>
  <si>
    <t xml:space="preserve">FEVM45389   </t>
  </si>
  <si>
    <t xml:space="preserve">FEVM45390   </t>
  </si>
  <si>
    <t xml:space="preserve">FEVM45391   </t>
  </si>
  <si>
    <t xml:space="preserve">78726206            </t>
  </si>
  <si>
    <t xml:space="preserve">VASQUEZ PADILLA APARICIO DE JESUS                           </t>
  </si>
  <si>
    <t xml:space="preserve">FEVM45392   </t>
  </si>
  <si>
    <t xml:space="preserve">3127367880                    </t>
  </si>
  <si>
    <t xml:space="preserve">FEVM45393   </t>
  </si>
  <si>
    <t xml:space="preserve">FEVM45394   </t>
  </si>
  <si>
    <t xml:space="preserve">21588590            </t>
  </si>
  <si>
    <t xml:space="preserve">MORALES RIOS MARY LUZ                                       </t>
  </si>
  <si>
    <t xml:space="preserve">3104747044                    </t>
  </si>
  <si>
    <t xml:space="preserve">21588453            </t>
  </si>
  <si>
    <t xml:space="preserve">ZABALA SURITA MARIA DELFINA                                 </t>
  </si>
  <si>
    <t xml:space="preserve">FEVM45464   </t>
  </si>
  <si>
    <t xml:space="preserve">3004094829     </t>
  </si>
  <si>
    <t xml:space="preserve">FEVM45465   </t>
  </si>
  <si>
    <t xml:space="preserve">FEVM45466   </t>
  </si>
  <si>
    <t xml:space="preserve">FEVM45467   </t>
  </si>
  <si>
    <t xml:space="preserve">FEVM45513   </t>
  </si>
  <si>
    <t xml:space="preserve">FEDC158247  </t>
  </si>
  <si>
    <t xml:space="preserve">FEVM45361   </t>
  </si>
  <si>
    <t xml:space="preserve">FEVM45400   </t>
  </si>
  <si>
    <t xml:space="preserve">FEVM45488   </t>
  </si>
  <si>
    <t xml:space="preserve">FEVM45489   </t>
  </si>
  <si>
    <t xml:space="preserve">FEDC158302  </t>
  </si>
  <si>
    <t xml:space="preserve">FEDC158303  </t>
  </si>
  <si>
    <t xml:space="preserve">FEDC158304  </t>
  </si>
  <si>
    <t xml:space="preserve">FEDC158306  </t>
  </si>
  <si>
    <t xml:space="preserve">FEDC158307  </t>
  </si>
  <si>
    <t xml:space="preserve">FEDC158308  </t>
  </si>
  <si>
    <t xml:space="preserve">FEDC158309  </t>
  </si>
  <si>
    <t xml:space="preserve">FEDC158310  </t>
  </si>
  <si>
    <t xml:space="preserve">FEDC158311  </t>
  </si>
  <si>
    <t xml:space="preserve">FEDC158312  </t>
  </si>
  <si>
    <t xml:space="preserve">FEDC158313  </t>
  </si>
  <si>
    <t xml:space="preserve">FEDC158314  </t>
  </si>
  <si>
    <t xml:space="preserve">FEDC158323  </t>
  </si>
  <si>
    <t xml:space="preserve">1063360735          </t>
  </si>
  <si>
    <t xml:space="preserve">JARAMILLO ALVAREZ CARMEN ALICIA                             </t>
  </si>
  <si>
    <t xml:space="preserve">FEVM45440   </t>
  </si>
  <si>
    <t xml:space="preserve">3135314024                    </t>
  </si>
  <si>
    <t xml:space="preserve">1063354535          </t>
  </si>
  <si>
    <t xml:space="preserve">VILLALOBO HERRERA YORLEDIS ROSA                             </t>
  </si>
  <si>
    <t xml:space="preserve">FEVM45441   </t>
  </si>
  <si>
    <t xml:space="preserve">3177480346     </t>
  </si>
  <si>
    <t xml:space="preserve">FEVM45442   </t>
  </si>
  <si>
    <t xml:space="preserve">1063356423          </t>
  </si>
  <si>
    <t xml:space="preserve">PESTANA HERNANDEZ LORENA ISABEL                             </t>
  </si>
  <si>
    <t xml:space="preserve">FEVM45444   </t>
  </si>
  <si>
    <t xml:space="preserve">3104719100                    </t>
  </si>
  <si>
    <t xml:space="preserve">78586262            </t>
  </si>
  <si>
    <t xml:space="preserve">ARRIETA ALEMAN MARTIN JOSE                                  </t>
  </si>
  <si>
    <t xml:space="preserve">FEVM45445   </t>
  </si>
  <si>
    <t>3135196012</t>
  </si>
  <si>
    <t xml:space="preserve">8759067             </t>
  </si>
  <si>
    <t xml:space="preserve">RAMIREZ DUQUE HUMBERTO NICOLAS                              </t>
  </si>
  <si>
    <t xml:space="preserve">FEVM45446   </t>
  </si>
  <si>
    <t xml:space="preserve">3205711664     </t>
  </si>
  <si>
    <t xml:space="preserve">78586930            </t>
  </si>
  <si>
    <t xml:space="preserve">BEDOYA ALIAN MARCO TULIO                                    </t>
  </si>
  <si>
    <t xml:space="preserve">FEVM45447   </t>
  </si>
  <si>
    <t xml:space="preserve">3215999244     </t>
  </si>
  <si>
    <t xml:space="preserve">FEVM45448   </t>
  </si>
  <si>
    <t xml:space="preserve">FEVM45449   </t>
  </si>
  <si>
    <t xml:space="preserve">FEVM45450   </t>
  </si>
  <si>
    <t xml:space="preserve">30060441            </t>
  </si>
  <si>
    <t xml:space="preserve">GARCIA ESPRIELLA AMPARO DE JESUS                            </t>
  </si>
  <si>
    <t xml:space="preserve">FEVM45451   </t>
  </si>
  <si>
    <t xml:space="preserve">3206695268                    </t>
  </si>
  <si>
    <t xml:space="preserve">1063361030          </t>
  </si>
  <si>
    <t xml:space="preserve">MENESES MIRANDA YEIDIS PAOLA                                </t>
  </si>
  <si>
    <t xml:space="preserve">FEVM45452   </t>
  </si>
  <si>
    <t xml:space="preserve">3113112714                    </t>
  </si>
  <si>
    <t xml:space="preserve">50999365            </t>
  </si>
  <si>
    <t xml:space="preserve">ALMEIDA RAMOS NINI YOHANA                                   </t>
  </si>
  <si>
    <t xml:space="preserve">FEVM45453   </t>
  </si>
  <si>
    <t xml:space="preserve">3145326852     </t>
  </si>
  <si>
    <t xml:space="preserve">50999162            </t>
  </si>
  <si>
    <t xml:space="preserve">MARTINEZ QUINTANA GERTRUDIZ ISABEL                          </t>
  </si>
  <si>
    <t xml:space="preserve">FEVM45455   </t>
  </si>
  <si>
    <t>3126324760</t>
  </si>
  <si>
    <t xml:space="preserve">78588722            </t>
  </si>
  <si>
    <t xml:space="preserve">CORREA LANCE JULIO EVER                                     </t>
  </si>
  <si>
    <t xml:space="preserve">FEVM45456   </t>
  </si>
  <si>
    <t xml:space="preserve">3233722910                    </t>
  </si>
  <si>
    <t xml:space="preserve">25878642            </t>
  </si>
  <si>
    <t xml:space="preserve">CORDERO ARGUMEDO MERLY JAEL                                 </t>
  </si>
  <si>
    <t xml:space="preserve">FEVM45457   </t>
  </si>
  <si>
    <t xml:space="preserve">3106523235     </t>
  </si>
  <si>
    <t xml:space="preserve">FEVM45458   </t>
  </si>
  <si>
    <t xml:space="preserve">FEVM45459   </t>
  </si>
  <si>
    <t xml:space="preserve">1063359140          </t>
  </si>
  <si>
    <t xml:space="preserve">RENDON ALVAREZ ORLEY                                        </t>
  </si>
  <si>
    <t xml:space="preserve">FEVM45460   </t>
  </si>
  <si>
    <t xml:space="preserve">3011699600                    </t>
  </si>
  <si>
    <t xml:space="preserve">FEVM45461   </t>
  </si>
  <si>
    <t xml:space="preserve">FEVM45485   </t>
  </si>
  <si>
    <t xml:space="preserve">64558845            </t>
  </si>
  <si>
    <t xml:space="preserve">MARTINEZ MONTERROSA MARCELYS ELVIRA                         </t>
  </si>
  <si>
    <t xml:space="preserve">FEVM45486   </t>
  </si>
  <si>
    <t>3137162920</t>
  </si>
  <si>
    <t xml:space="preserve">FEVM45487   </t>
  </si>
  <si>
    <t xml:space="preserve">1040738467          </t>
  </si>
  <si>
    <t xml:space="preserve">FLOREZ GALEANO MARIA YESENIA                                </t>
  </si>
  <si>
    <t xml:space="preserve">FEVM45490   </t>
  </si>
  <si>
    <t xml:space="preserve">3023227525     </t>
  </si>
  <si>
    <t xml:space="preserve">FEVM45491   </t>
  </si>
  <si>
    <t xml:space="preserve">1063355493          </t>
  </si>
  <si>
    <t xml:space="preserve">RADA TEJADA YEYSON DAVID                                    </t>
  </si>
  <si>
    <t xml:space="preserve">FEVM45492   </t>
  </si>
  <si>
    <t xml:space="preserve">3145354963     </t>
  </si>
  <si>
    <t xml:space="preserve">50997550            </t>
  </si>
  <si>
    <t xml:space="preserve">VELASQUEZ PERALTA CRUZ ESTER                                </t>
  </si>
  <si>
    <t xml:space="preserve">FEVM45493   </t>
  </si>
  <si>
    <t xml:space="preserve">3105416513     </t>
  </si>
  <si>
    <t xml:space="preserve">1063276677          </t>
  </si>
  <si>
    <t xml:space="preserve">DE LA CRUZ CARPIO  LEIDY DEL CARMEN                         </t>
  </si>
  <si>
    <t xml:space="preserve">FEVM45454   </t>
  </si>
  <si>
    <t xml:space="preserve">3016446747                    </t>
  </si>
  <si>
    <t xml:space="preserve">18775887            </t>
  </si>
  <si>
    <t xml:space="preserve">SINCELEJO LOPEZ OMAR GABRIEL                                </t>
  </si>
  <si>
    <t xml:space="preserve">PIAMONTE                      </t>
  </si>
  <si>
    <t xml:space="preserve">FEDC158145  </t>
  </si>
  <si>
    <t xml:space="preserve">3125486768                    </t>
  </si>
  <si>
    <t xml:space="preserve">FEVM45432   </t>
  </si>
  <si>
    <t xml:space="preserve">FEVM45433   </t>
  </si>
  <si>
    <t xml:space="preserve">10875659            </t>
  </si>
  <si>
    <t xml:space="preserve">CALIZ FLOREZ JOSE DOMINGO                                   </t>
  </si>
  <si>
    <t xml:space="preserve">FEVM45474   </t>
  </si>
  <si>
    <t xml:space="preserve">3145360102                    </t>
  </si>
  <si>
    <t xml:space="preserve">1032253305          </t>
  </si>
  <si>
    <t xml:space="preserve">ARELLANO JHONATHAN                                          </t>
  </si>
  <si>
    <t xml:space="preserve">FEVM45475   </t>
  </si>
  <si>
    <t xml:space="preserve">3146384406                    </t>
  </si>
  <si>
    <t xml:space="preserve">FEVM45476   </t>
  </si>
  <si>
    <t xml:space="preserve">FEVM45477   </t>
  </si>
  <si>
    <t xml:space="preserve">FEVM45478   </t>
  </si>
  <si>
    <t xml:space="preserve">FEVM45479   </t>
  </si>
  <si>
    <t xml:space="preserve">70350393            </t>
  </si>
  <si>
    <t xml:space="preserve">CUERVO MARIN LEONEL DE JESUS                                </t>
  </si>
  <si>
    <t xml:space="preserve">FEVM45480   </t>
  </si>
  <si>
    <t xml:space="preserve">3226460238                    </t>
  </si>
  <si>
    <t xml:space="preserve">98674020            </t>
  </si>
  <si>
    <t xml:space="preserve">LOPERA JARAMILLO DAIRO ANTONIO                              </t>
  </si>
  <si>
    <t>JARDIN</t>
  </si>
  <si>
    <t xml:space="preserve">FEVM45482   </t>
  </si>
  <si>
    <t xml:space="preserve">3203328746     </t>
  </si>
  <si>
    <t xml:space="preserve">39285901            </t>
  </si>
  <si>
    <t xml:space="preserve">PEREZ NORMELYS MARIA                                        </t>
  </si>
  <si>
    <t xml:space="preserve">FEVM45483   </t>
  </si>
  <si>
    <t>3147912577</t>
  </si>
  <si>
    <t xml:space="preserve">1045016161          </t>
  </si>
  <si>
    <t xml:space="preserve">HENAO TOBON GILDARDO                                        </t>
  </si>
  <si>
    <t xml:space="preserve">FEVM45484   </t>
  </si>
  <si>
    <t xml:space="preserve">3164517667                    </t>
  </si>
  <si>
    <t xml:space="preserve">1017250028          </t>
  </si>
  <si>
    <t xml:space="preserve">BUSTOS AGUDELO ALEXIS                                       </t>
  </si>
  <si>
    <t xml:space="preserve">FEVM45497   </t>
  </si>
  <si>
    <t xml:space="preserve">3137504629                    </t>
  </si>
  <si>
    <t xml:space="preserve">1192913908          </t>
  </si>
  <si>
    <t xml:space="preserve">MARQUEZ ORTEGA OSNEY DE JESUS                               </t>
  </si>
  <si>
    <t xml:space="preserve">FEVM45498   </t>
  </si>
  <si>
    <t xml:space="preserve">3127099580                    </t>
  </si>
  <si>
    <t xml:space="preserve">FEVM45499   </t>
  </si>
  <si>
    <t xml:space="preserve">FEVM45500   </t>
  </si>
  <si>
    <t xml:space="preserve">FEVM45501   </t>
  </si>
  <si>
    <t xml:space="preserve">43893522            </t>
  </si>
  <si>
    <t xml:space="preserve">PASTRANA SAEZ TATIANA DEL SOCORRO                           </t>
  </si>
  <si>
    <t xml:space="preserve">FEVM45515   </t>
  </si>
  <si>
    <t xml:space="preserve">3128192314                    </t>
  </si>
  <si>
    <t xml:space="preserve">39460950            </t>
  </si>
  <si>
    <t xml:space="preserve">YEPES ARAGON YULIETH PAOLA                                  </t>
  </si>
  <si>
    <t xml:space="preserve">FEVM45518   </t>
  </si>
  <si>
    <t xml:space="preserve">3235877490                    </t>
  </si>
  <si>
    <t xml:space="preserve">FEDC158208  </t>
  </si>
  <si>
    <t xml:space="preserve">FEDC158210  </t>
  </si>
  <si>
    <t xml:space="preserve">FEDC158211  </t>
  </si>
  <si>
    <t xml:space="preserve">1063305805          </t>
  </si>
  <si>
    <t xml:space="preserve">RAMIREZ SALAZAR DUVAN ALIRIO                                </t>
  </si>
  <si>
    <t xml:space="preserve">FEDC158212  </t>
  </si>
  <si>
    <t xml:space="preserve">3232908189                    </t>
  </si>
  <si>
    <t xml:space="preserve">FEDC158213  </t>
  </si>
  <si>
    <t xml:space="preserve">FEDC158214  </t>
  </si>
  <si>
    <t xml:space="preserve">FEDC158305  </t>
  </si>
  <si>
    <t xml:space="preserve">1032252245          </t>
  </si>
  <si>
    <t xml:space="preserve">ALQUERQUE LOZANO JOSE ANTONIO                               </t>
  </si>
  <si>
    <t xml:space="preserve">PUERTO BELGICA                </t>
  </si>
  <si>
    <t xml:space="preserve">FEVM45468   </t>
  </si>
  <si>
    <t xml:space="preserve">24 </t>
  </si>
  <si>
    <t xml:space="preserve">3136896307                    </t>
  </si>
  <si>
    <t xml:space="preserve">FEVM45469   </t>
  </si>
  <si>
    <t xml:space="preserve">FEVM45514   </t>
  </si>
  <si>
    <t xml:space="preserve">FEDC158261  </t>
  </si>
  <si>
    <t xml:space="preserve">FEDC158251  </t>
  </si>
  <si>
    <t xml:space="preserve">FEDC158252  </t>
  </si>
  <si>
    <t xml:space="preserve">FEDC158253  </t>
  </si>
  <si>
    <t xml:space="preserve">8372538             </t>
  </si>
  <si>
    <t xml:space="preserve">ISSA MARTINEZ ANUAR  DE JESUS                               </t>
  </si>
  <si>
    <t xml:space="preserve">FEDC158160  </t>
  </si>
  <si>
    <t xml:space="preserve">3137923107     </t>
  </si>
  <si>
    <t xml:space="preserve">FEDC158161  </t>
  </si>
  <si>
    <t xml:space="preserve">FEDC158162  </t>
  </si>
  <si>
    <t xml:space="preserve">10790563            </t>
  </si>
  <si>
    <t xml:space="preserve">ESPITIA SERNA ANTONIO ELEUCIDES                             </t>
  </si>
  <si>
    <t xml:space="preserve">FEDC158163  </t>
  </si>
  <si>
    <t xml:space="preserve">3506153262                    </t>
  </si>
  <si>
    <t xml:space="preserve">43889426            </t>
  </si>
  <si>
    <t xml:space="preserve">CUELLO MORENO MISLEIDA DEL CARMEN                           </t>
  </si>
  <si>
    <t xml:space="preserve">FEDC158164  </t>
  </si>
  <si>
    <t xml:space="preserve">3219421354 -3104490771        </t>
  </si>
  <si>
    <t xml:space="preserve">FEDC158165  </t>
  </si>
  <si>
    <t xml:space="preserve">FEDC158166  </t>
  </si>
  <si>
    <t xml:space="preserve">FEDC158168  </t>
  </si>
  <si>
    <t xml:space="preserve">FEDC158170  </t>
  </si>
  <si>
    <t xml:space="preserve">FEDC158176  </t>
  </si>
  <si>
    <t xml:space="preserve">FEDC158183  </t>
  </si>
  <si>
    <t xml:space="preserve">FEDC158184  </t>
  </si>
  <si>
    <t xml:space="preserve">70905906            </t>
  </si>
  <si>
    <t xml:space="preserve">SERNA RAMIREZ  LEON OSBALDO                                 </t>
  </si>
  <si>
    <t xml:space="preserve">FEDC158185  </t>
  </si>
  <si>
    <t xml:space="preserve">313 5691937 Roberto           </t>
  </si>
  <si>
    <t xml:space="preserve">FEDC158186  </t>
  </si>
  <si>
    <t xml:space="preserve">FEDC158178  </t>
  </si>
  <si>
    <t xml:space="preserve">FEDC158182  </t>
  </si>
  <si>
    <t xml:space="preserve">8635776             </t>
  </si>
  <si>
    <t xml:space="preserve">CABARCAS CAnAVERA MARIO ANTONIO                             </t>
  </si>
  <si>
    <t xml:space="preserve">FEDC158193  </t>
  </si>
  <si>
    <t xml:space="preserve">3002534529     </t>
  </si>
  <si>
    <t xml:space="preserve">FEDC158194  </t>
  </si>
  <si>
    <t xml:space="preserve">FEDC158195  </t>
  </si>
  <si>
    <t xml:space="preserve">FEDC158196  </t>
  </si>
  <si>
    <t xml:space="preserve">78734530            </t>
  </si>
  <si>
    <t xml:space="preserve">MACEA CARDOZO DAVID JOSE                                    </t>
  </si>
  <si>
    <t xml:space="preserve">FEDC158197  </t>
  </si>
  <si>
    <t xml:space="preserve">3145551053                    </t>
  </si>
  <si>
    <t xml:space="preserve">FEDC158198  </t>
  </si>
  <si>
    <t xml:space="preserve">FEDC158199  </t>
  </si>
  <si>
    <t xml:space="preserve">FEDC158285  </t>
  </si>
  <si>
    <t xml:space="preserve">FEDC158286  </t>
  </si>
  <si>
    <t xml:space="preserve">FEDC158287  </t>
  </si>
  <si>
    <t xml:space="preserve">FEDC158288  </t>
  </si>
  <si>
    <t xml:space="preserve">FEDC158289  </t>
  </si>
  <si>
    <t xml:space="preserve">FEDC158290  </t>
  </si>
  <si>
    <t xml:space="preserve">FEDC158291  </t>
  </si>
  <si>
    <t xml:space="preserve">FEDC158292  </t>
  </si>
  <si>
    <t xml:space="preserve">FEDC158293  </t>
  </si>
  <si>
    <t xml:space="preserve">FEDC158294  </t>
  </si>
  <si>
    <t xml:space="preserve">FEDC158295  </t>
  </si>
  <si>
    <t xml:space="preserve">FEDC158296  </t>
  </si>
  <si>
    <t xml:space="preserve">FEDC158297  </t>
  </si>
  <si>
    <t xml:space="preserve">FEDC158298  </t>
  </si>
  <si>
    <t xml:space="preserve">FEDC158299  </t>
  </si>
  <si>
    <t xml:space="preserve">FEDC158300  </t>
  </si>
  <si>
    <t xml:space="preserve">FEDC158315  </t>
  </si>
  <si>
    <t xml:space="preserve">FEDC158316  </t>
  </si>
  <si>
    <t xml:space="preserve">FEDC158317  </t>
  </si>
  <si>
    <t xml:space="preserve">FEDC158318  </t>
  </si>
  <si>
    <t xml:space="preserve">FEDC158319  </t>
  </si>
  <si>
    <t xml:space="preserve">FEVM45425   </t>
  </si>
  <si>
    <t xml:space="preserve">FEVM45426   </t>
  </si>
  <si>
    <t xml:space="preserve">FEVM45427   </t>
  </si>
  <si>
    <t xml:space="preserve">FEVM45428   </t>
  </si>
  <si>
    <t xml:space="preserve">FEVM45429   </t>
  </si>
  <si>
    <t xml:space="preserve">FEVM45431   </t>
  </si>
  <si>
    <t xml:space="preserve">FEVM45359   </t>
  </si>
  <si>
    <t xml:space="preserve">FEVM45360   </t>
  </si>
  <si>
    <t xml:space="preserve">FEDC158147  </t>
  </si>
  <si>
    <t xml:space="preserve">FEDC158148  </t>
  </si>
  <si>
    <t xml:space="preserve">FEDC158149  </t>
  </si>
  <si>
    <t xml:space="preserve">FEDC158150  </t>
  </si>
  <si>
    <t xml:space="preserve">39277449            </t>
  </si>
  <si>
    <t xml:space="preserve">ROMERO ORTEGA ELDINORA                                      </t>
  </si>
  <si>
    <t xml:space="preserve">3233106032                    </t>
  </si>
  <si>
    <t xml:space="preserve">FEDC158153  </t>
  </si>
  <si>
    <t xml:space="preserve">FEDC158154  </t>
  </si>
  <si>
    <t xml:space="preserve">FEVM45502   </t>
  </si>
  <si>
    <t xml:space="preserve">1032249105          </t>
  </si>
  <si>
    <t xml:space="preserve">MIRANDA CHAVEZ EUDES DE JESUS                               </t>
  </si>
  <si>
    <t xml:space="preserve">FEVM45503   </t>
  </si>
  <si>
    <t xml:space="preserve">3122778191                    </t>
  </si>
  <si>
    <t xml:space="preserve">39282740            </t>
  </si>
  <si>
    <t xml:space="preserve">CAMARGO ACOSTA OLIDES PATRICIA                              </t>
  </si>
  <si>
    <t xml:space="preserve">FEVM45506   </t>
  </si>
  <si>
    <t xml:space="preserve">3137433494                    </t>
  </si>
  <si>
    <t xml:space="preserve">FEVM45507   </t>
  </si>
  <si>
    <t xml:space="preserve">1032258221          </t>
  </si>
  <si>
    <t xml:space="preserve">PATIÑO GUTIERREZ JAMISON                                    </t>
  </si>
  <si>
    <t xml:space="preserve">FEVM45508   </t>
  </si>
  <si>
    <t xml:space="preserve">3233004181                    </t>
  </si>
  <si>
    <t xml:space="preserve">1001160307          </t>
  </si>
  <si>
    <t xml:space="preserve">RUIZ OVIEDO JHON ALEX                                       </t>
  </si>
  <si>
    <t xml:space="preserve">FEVM45509   </t>
  </si>
  <si>
    <t xml:space="preserve">3113212733                    </t>
  </si>
  <si>
    <t xml:space="preserve">FEVM45510   </t>
  </si>
  <si>
    <t xml:space="preserve">FEVM45511   </t>
  </si>
  <si>
    <t xml:space="preserve">FEVM45516   </t>
  </si>
  <si>
    <t xml:space="preserve">78756186            </t>
  </si>
  <si>
    <t xml:space="preserve">OSORIO HERNANDEZ ARLEN ENRIQUE                              </t>
  </si>
  <si>
    <t xml:space="preserve">FEDC158179  </t>
  </si>
  <si>
    <t xml:space="preserve">3135612550                    </t>
  </si>
  <si>
    <t xml:space="preserve">FEDC158240  </t>
  </si>
  <si>
    <t xml:space="preserve">FEVM45424   </t>
  </si>
  <si>
    <t xml:space="preserve">FEDC158180  </t>
  </si>
  <si>
    <t xml:space="preserve">FEDC158181  </t>
  </si>
  <si>
    <t xml:space="preserve">FEDC158241  </t>
  </si>
  <si>
    <t xml:space="preserve">FEDC158242  </t>
  </si>
  <si>
    <t xml:space="preserve">FEDC158243  </t>
  </si>
  <si>
    <t xml:space="preserve">FEDC158244  </t>
  </si>
  <si>
    <t xml:space="preserve">FEDC158190  </t>
  </si>
  <si>
    <t xml:space="preserve">FEDC158200  </t>
  </si>
  <si>
    <t xml:space="preserve">FEDC158326  </t>
  </si>
  <si>
    <t xml:space="preserve">FEDC158327  </t>
  </si>
  <si>
    <t xml:space="preserve">FEDC158329  </t>
  </si>
  <si>
    <t xml:space="preserve">FEDC158331  </t>
  </si>
  <si>
    <t xml:space="preserve">FEDC158332  </t>
  </si>
  <si>
    <t xml:space="preserve">FEDC158333  </t>
  </si>
  <si>
    <t xml:space="preserve">FEVM45545   </t>
  </si>
  <si>
    <t xml:space="preserve">15309382            </t>
  </si>
  <si>
    <t xml:space="preserve">MERCADO MONTERROZA CARLOS ENRIQUE                           </t>
  </si>
  <si>
    <t xml:space="preserve">FEVM45546   </t>
  </si>
  <si>
    <t xml:space="preserve">3218589067                    </t>
  </si>
  <si>
    <t xml:space="preserve">FEDC158328  </t>
  </si>
  <si>
    <t xml:space="preserve">FEDC158330  </t>
  </si>
  <si>
    <t xml:space="preserve">FEDC158334  </t>
  </si>
  <si>
    <t xml:space="preserve">FEDC158335  </t>
  </si>
  <si>
    <t xml:space="preserve">FEDC158336  </t>
  </si>
  <si>
    <t xml:space="preserve">98527445            </t>
  </si>
  <si>
    <t xml:space="preserve">CARDONA VELASQUEZ MARIANO DE JESUS                          </t>
  </si>
  <si>
    <t xml:space="preserve">FEDC158341  </t>
  </si>
  <si>
    <t xml:space="preserve">3113154923                    </t>
  </si>
  <si>
    <t xml:space="preserve">8660272             </t>
  </si>
  <si>
    <t xml:space="preserve">MORA MENESES JOAQUIN EMILIO                                 </t>
  </si>
  <si>
    <t xml:space="preserve">FEVM45547   </t>
  </si>
  <si>
    <t xml:space="preserve">3122919889                    </t>
  </si>
  <si>
    <t xml:space="preserve">1042763602          </t>
  </si>
  <si>
    <t xml:space="preserve">PIEDRAHITA HINCAPIE MONICA ANDREA                           </t>
  </si>
  <si>
    <t xml:space="preserve">FEVM45548   </t>
  </si>
  <si>
    <t xml:space="preserve">3135381948                    </t>
  </si>
  <si>
    <t xml:space="preserve">1045419300          </t>
  </si>
  <si>
    <t xml:space="preserve">AGUDELO LONDOÑO MONICA YOHANNA                              </t>
  </si>
  <si>
    <t xml:space="preserve">FEVM45549   </t>
  </si>
  <si>
    <t xml:space="preserve">3006106183                    </t>
  </si>
  <si>
    <t xml:space="preserve">FEVM45570   </t>
  </si>
  <si>
    <t xml:space="preserve">FEVM45598   </t>
  </si>
  <si>
    <t xml:space="preserve">FEVM45600   </t>
  </si>
  <si>
    <t xml:space="preserve">FEDC158342  </t>
  </si>
  <si>
    <t xml:space="preserve">FEDC158343  </t>
  </si>
  <si>
    <t xml:space="preserve">43693531            </t>
  </si>
  <si>
    <t xml:space="preserve">PEREZ ZUnIGA NEIDA YANETH                                   </t>
  </si>
  <si>
    <t xml:space="preserve">FEDC158344  </t>
  </si>
  <si>
    <t xml:space="preserve">3136603887     </t>
  </si>
  <si>
    <t xml:space="preserve">FEDC158345  </t>
  </si>
  <si>
    <t xml:space="preserve">1117495321          </t>
  </si>
  <si>
    <t xml:space="preserve">MAZABEL ARROYAVE CRISTIAN OSWALDO                           </t>
  </si>
  <si>
    <t xml:space="preserve">FEDC158346  </t>
  </si>
  <si>
    <t xml:space="preserve">3217627705                    </t>
  </si>
  <si>
    <t xml:space="preserve">FEDC158347  </t>
  </si>
  <si>
    <t xml:space="preserve">98475458            </t>
  </si>
  <si>
    <t xml:space="preserve">LONDOÑO LOPEZ JESUS NICOLAS                                 </t>
  </si>
  <si>
    <t xml:space="preserve">FEDC158348  </t>
  </si>
  <si>
    <t xml:space="preserve">3146095467                    </t>
  </si>
  <si>
    <t xml:space="preserve">FEDC158349  </t>
  </si>
  <si>
    <t xml:space="preserve">8363994             </t>
  </si>
  <si>
    <t xml:space="preserve">DIAZ VERGARA EDINSON MANUEL                                 </t>
  </si>
  <si>
    <t xml:space="preserve">FEDC158350  </t>
  </si>
  <si>
    <t xml:space="preserve">FEVM45550   </t>
  </si>
  <si>
    <t xml:space="preserve">FEVM45551   </t>
  </si>
  <si>
    <t xml:space="preserve">FEVM45552   </t>
  </si>
  <si>
    <t xml:space="preserve">FEVM45553   </t>
  </si>
  <si>
    <t xml:space="preserve">FEVM45554   </t>
  </si>
  <si>
    <t xml:space="preserve">FEVM45555   </t>
  </si>
  <si>
    <t xml:space="preserve">FEVM45556   </t>
  </si>
  <si>
    <t xml:space="preserve">FEVM45557   </t>
  </si>
  <si>
    <t xml:space="preserve">FEVM45558   </t>
  </si>
  <si>
    <t xml:space="preserve">FEVM45559   </t>
  </si>
  <si>
    <t xml:space="preserve">FEVM45560   </t>
  </si>
  <si>
    <t xml:space="preserve">FEVM45561   </t>
  </si>
  <si>
    <t xml:space="preserve">FEVM45562   </t>
  </si>
  <si>
    <t xml:space="preserve">FEVM45563   </t>
  </si>
  <si>
    <t xml:space="preserve">FEVM45564   </t>
  </si>
  <si>
    <t xml:space="preserve">FEVM45565   </t>
  </si>
  <si>
    <t xml:space="preserve">FEVM45566   </t>
  </si>
  <si>
    <t xml:space="preserve">FEVM45567   </t>
  </si>
  <si>
    <t xml:space="preserve">FEVM45568   </t>
  </si>
  <si>
    <t xml:space="preserve">FEVM45569   </t>
  </si>
  <si>
    <t xml:space="preserve">93399927            </t>
  </si>
  <si>
    <t xml:space="preserve">LIBERATO FELIX HERNANDO                                     </t>
  </si>
  <si>
    <t xml:space="preserve">FEVM45571   </t>
  </si>
  <si>
    <t xml:space="preserve">3025460083                    </t>
  </si>
  <si>
    <t xml:space="preserve">FEVM45572   </t>
  </si>
  <si>
    <t xml:space="preserve">FEVM45573   </t>
  </si>
  <si>
    <t xml:space="preserve">FEVM45574   </t>
  </si>
  <si>
    <t xml:space="preserve">FEVM45575   </t>
  </si>
  <si>
    <t xml:space="preserve">FEVM45576   </t>
  </si>
  <si>
    <t xml:space="preserve">FEVM45577   </t>
  </si>
  <si>
    <t xml:space="preserve">FEVM45578   </t>
  </si>
  <si>
    <t xml:space="preserve">FEVM45579   </t>
  </si>
  <si>
    <t xml:space="preserve">FEVM45580   </t>
  </si>
  <si>
    <t xml:space="preserve">1066092308          </t>
  </si>
  <si>
    <t xml:space="preserve">CRUZADO TORREJANO JOSE LUIS                                 </t>
  </si>
  <si>
    <t xml:space="preserve">FEVM45581   </t>
  </si>
  <si>
    <t xml:space="preserve">3124625844                    </t>
  </si>
  <si>
    <t xml:space="preserve">FEVM45582   </t>
  </si>
  <si>
    <t xml:space="preserve">FEVM45583   </t>
  </si>
  <si>
    <t xml:space="preserve">FEVM45584   </t>
  </si>
  <si>
    <t xml:space="preserve">1063361361          </t>
  </si>
  <si>
    <t xml:space="preserve">ORTEGA FERNANDEZ LEMIS MARIA                                </t>
  </si>
  <si>
    <t xml:space="preserve">FEVM45585   </t>
  </si>
  <si>
    <t xml:space="preserve">3105525560                    </t>
  </si>
  <si>
    <t xml:space="preserve">FEVM45586   </t>
  </si>
  <si>
    <t xml:space="preserve">1038103585          </t>
  </si>
  <si>
    <t xml:space="preserve">GRACIA MENDOZA LUIS DAVID                                   </t>
  </si>
  <si>
    <t xml:space="preserve">FEVM45587   </t>
  </si>
  <si>
    <t xml:space="preserve">3145262474     </t>
  </si>
  <si>
    <t xml:space="preserve">FEVM45588   </t>
  </si>
  <si>
    <t xml:space="preserve">FEVM45589   </t>
  </si>
  <si>
    <t xml:space="preserve">FEVM45590   </t>
  </si>
  <si>
    <t xml:space="preserve">FEVM45591   </t>
  </si>
  <si>
    <t xml:space="preserve">1007501747          </t>
  </si>
  <si>
    <t xml:space="preserve">MEJIA ANAYA CARMEN ROSA                                     </t>
  </si>
  <si>
    <t xml:space="preserve">FEVM45592   </t>
  </si>
  <si>
    <t xml:space="preserve">3234560952                    </t>
  </si>
  <si>
    <t xml:space="preserve">FEVM45593   </t>
  </si>
  <si>
    <t xml:space="preserve">FEVM45594   </t>
  </si>
  <si>
    <t xml:space="preserve">FEVM45595   </t>
  </si>
  <si>
    <t xml:space="preserve">FEVM45596   </t>
  </si>
  <si>
    <t xml:space="preserve">FEVM45597   </t>
  </si>
  <si>
    <t xml:space="preserve">1063295286          </t>
  </si>
  <si>
    <t xml:space="preserve">CEBALLOS POLO FERNADO JOSE                                  </t>
  </si>
  <si>
    <t xml:space="preserve">FEVM45599   </t>
  </si>
  <si>
    <t xml:space="preserve">3148956667                    </t>
  </si>
  <si>
    <t xml:space="preserve">FEDC158337  </t>
  </si>
  <si>
    <t xml:space="preserve">FEDC158338  </t>
  </si>
  <si>
    <t xml:space="preserve">FEDC158339  </t>
  </si>
  <si>
    <t xml:space="preserve">FEDC158340  </t>
  </si>
  <si>
    <t xml:space="preserve">FEDC158351  </t>
  </si>
  <si>
    <t xml:space="preserve">FEDC158352  </t>
  </si>
  <si>
    <t xml:space="preserve">FEDC158353  </t>
  </si>
  <si>
    <t xml:space="preserve">FEDC158354  </t>
  </si>
  <si>
    <t xml:space="preserve">FEDC158355  </t>
  </si>
  <si>
    <t xml:space="preserve">FEDC158356  </t>
  </si>
  <si>
    <t xml:space="preserve">FEDC158362  </t>
  </si>
  <si>
    <t xml:space="preserve">FEDC158366  </t>
  </si>
  <si>
    <t xml:space="preserve">39280565            </t>
  </si>
  <si>
    <t xml:space="preserve">MIELES PADILLA NOHEMI ENADIS                                </t>
  </si>
  <si>
    <t xml:space="preserve">FEVM45601   </t>
  </si>
  <si>
    <t xml:space="preserve">3147544081     </t>
  </si>
  <si>
    <t xml:space="preserve">78305431            </t>
  </si>
  <si>
    <t xml:space="preserve">TAPIA GOMEZ MANUEL ALEJANDRO                                </t>
  </si>
  <si>
    <t xml:space="preserve">FEVM45604   </t>
  </si>
  <si>
    <t xml:space="preserve">3226700399     </t>
  </si>
  <si>
    <t xml:space="preserve">FEDC158364  </t>
  </si>
  <si>
    <t xml:space="preserve">FEDC158365  </t>
  </si>
  <si>
    <t xml:space="preserve">42903030            </t>
  </si>
  <si>
    <t xml:space="preserve">ARRIETA DIAZ MARLEY                                         </t>
  </si>
  <si>
    <t xml:space="preserve">FEDC158370  </t>
  </si>
  <si>
    <t xml:space="preserve">3122704818                    </t>
  </si>
  <si>
    <t xml:space="preserve">FEDC158371  </t>
  </si>
  <si>
    <t xml:space="preserve">FEDC158372  </t>
  </si>
  <si>
    <t xml:space="preserve">FEVM45615   </t>
  </si>
  <si>
    <t xml:space="preserve">1066523605          </t>
  </si>
  <si>
    <t xml:space="preserve">LUNA CHAVEZ YORLEDIS ISABEL                                 </t>
  </si>
  <si>
    <t xml:space="preserve">FEVM45616   </t>
  </si>
  <si>
    <t xml:space="preserve">3203670097                    </t>
  </si>
  <si>
    <t xml:space="preserve">FEVM45617   </t>
  </si>
  <si>
    <t xml:space="preserve">10933939            </t>
  </si>
  <si>
    <t xml:space="preserve">BELLO AVILA JAVIER ENRIQUE                                  </t>
  </si>
  <si>
    <t xml:space="preserve">FEVM45618   </t>
  </si>
  <si>
    <t xml:space="preserve">3234834561                    </t>
  </si>
  <si>
    <t xml:space="preserve">FEVM45619   </t>
  </si>
  <si>
    <t xml:space="preserve">FEVM45620   </t>
  </si>
  <si>
    <t xml:space="preserve">FEVM45621   </t>
  </si>
  <si>
    <t xml:space="preserve">900703504           </t>
  </si>
  <si>
    <t xml:space="preserve">FUNDACION EDUCATIVA DE AYAPEL "FEDUCA"                      </t>
  </si>
  <si>
    <t xml:space="preserve">FEVM45622   </t>
  </si>
  <si>
    <t xml:space="preserve">3105236971                    </t>
  </si>
  <si>
    <t xml:space="preserve">1193075619          </t>
  </si>
  <si>
    <t xml:space="preserve">JIMENEZ AVILEZ ALEJANDRO MANUEL                             </t>
  </si>
  <si>
    <t xml:space="preserve">FEVM45623   </t>
  </si>
  <si>
    <t xml:space="preserve">3225069542                    </t>
  </si>
  <si>
    <t xml:space="preserve">FEVM45624   </t>
  </si>
  <si>
    <t xml:space="preserve">FEVM45625   </t>
  </si>
  <si>
    <t xml:space="preserve">FEVM45626   </t>
  </si>
  <si>
    <t xml:space="preserve">37948782            </t>
  </si>
  <si>
    <t xml:space="preserve">GOMEZ PLATA MAGNOLIA                                        </t>
  </si>
  <si>
    <t xml:space="preserve">FEVM45627   </t>
  </si>
  <si>
    <t>7705027</t>
  </si>
  <si>
    <t xml:space="preserve">FEVM45628   </t>
  </si>
  <si>
    <t xml:space="preserve">FEVM45629   </t>
  </si>
  <si>
    <t xml:space="preserve">FEVM45630   </t>
  </si>
  <si>
    <t xml:space="preserve">FEVM45631   </t>
  </si>
  <si>
    <t xml:space="preserve">FEVM45632   </t>
  </si>
  <si>
    <t xml:space="preserve">50995992            </t>
  </si>
  <si>
    <t xml:space="preserve">RODRIGUEZ PACHECO CARMEN ELENA                              </t>
  </si>
  <si>
    <t xml:space="preserve">FEVM45633   </t>
  </si>
  <si>
    <t xml:space="preserve">3135730386                    </t>
  </si>
  <si>
    <t xml:space="preserve">FEVM45634   </t>
  </si>
  <si>
    <t xml:space="preserve">FEVM45635   </t>
  </si>
  <si>
    <t xml:space="preserve">25987913            </t>
  </si>
  <si>
    <t xml:space="preserve">ALVAREZ AMPARO DEL CARMEN                                   </t>
  </si>
  <si>
    <t xml:space="preserve">FEVM45608   </t>
  </si>
  <si>
    <t xml:space="preserve">3136794343     </t>
  </si>
  <si>
    <t xml:space="preserve">FEDC158375  </t>
  </si>
  <si>
    <t xml:space="preserve">26001538            </t>
  </si>
  <si>
    <t xml:space="preserve">TAPIAS GOMEZ MARI ESTELA                                    </t>
  </si>
  <si>
    <t xml:space="preserve">FEVM45602   </t>
  </si>
  <si>
    <t xml:space="preserve">3116889214                    </t>
  </si>
  <si>
    <t xml:space="preserve">FEVM45603   </t>
  </si>
  <si>
    <t xml:space="preserve">78304645            </t>
  </si>
  <si>
    <t xml:space="preserve">ARRIETA ORTEGA GIOVANI DE JESUS                             </t>
  </si>
  <si>
    <t xml:space="preserve">FEVM45605   </t>
  </si>
  <si>
    <t xml:space="preserve">3183187020                    </t>
  </si>
  <si>
    <t xml:space="preserve">FEVM45606   </t>
  </si>
  <si>
    <t xml:space="preserve">52932661            </t>
  </si>
  <si>
    <t xml:space="preserve">PERALTA SALCEDO ANGELA SOFIA                                </t>
  </si>
  <si>
    <t xml:space="preserve">FEVM45607   </t>
  </si>
  <si>
    <t xml:space="preserve">3137439158     </t>
  </si>
  <si>
    <t xml:space="preserve">70697822            </t>
  </si>
  <si>
    <t xml:space="preserve">GARCIA QUINTERO FABIO NELSON                                </t>
  </si>
  <si>
    <t xml:space="preserve">FEVM45609   </t>
  </si>
  <si>
    <t xml:space="preserve">3116064462                    </t>
  </si>
  <si>
    <t xml:space="preserve">FEVM45610   </t>
  </si>
  <si>
    <t xml:space="preserve">1063307541          </t>
  </si>
  <si>
    <t xml:space="preserve">LOPEZ MARTINEZ AUDRY LUCIA                                  </t>
  </si>
  <si>
    <t xml:space="preserve">FEVM45611   </t>
  </si>
  <si>
    <t xml:space="preserve">3024260669                    </t>
  </si>
  <si>
    <t xml:space="preserve">78305167            </t>
  </si>
  <si>
    <t xml:space="preserve">GARCIA MILLAN FRANCISCO ANDRES                              </t>
  </si>
  <si>
    <t xml:space="preserve">FEVM45612   </t>
  </si>
  <si>
    <t>3006672188</t>
  </si>
  <si>
    <t xml:space="preserve">50980283            </t>
  </si>
  <si>
    <t xml:space="preserve">MARTINEZ PACHECO CLAUDIA SOFIA                              </t>
  </si>
  <si>
    <t xml:space="preserve">FEVM45613   </t>
  </si>
  <si>
    <t xml:space="preserve">3024260669     </t>
  </si>
  <si>
    <t xml:space="preserve">1063292372          </t>
  </si>
  <si>
    <t xml:space="preserve">RUIZ MARTINEZ JOHANNA                                       </t>
  </si>
  <si>
    <t xml:space="preserve">FEVM45614   </t>
  </si>
  <si>
    <t xml:space="preserve">3014646343                    </t>
  </si>
  <si>
    <t xml:space="preserve">FEDC158357  </t>
  </si>
  <si>
    <t xml:space="preserve">FEDC158358  </t>
  </si>
  <si>
    <t xml:space="preserve">1066724292          </t>
  </si>
  <si>
    <t xml:space="preserve">CORTES MEDRANO FELIX ANTONIO                                </t>
  </si>
  <si>
    <t xml:space="preserve">FEDC158359  </t>
  </si>
  <si>
    <t xml:space="preserve">3123235157                    </t>
  </si>
  <si>
    <t xml:space="preserve">FEDC158360  </t>
  </si>
  <si>
    <t xml:space="preserve">FEDC158361  </t>
  </si>
  <si>
    <t xml:space="preserve">FEDC158367  </t>
  </si>
  <si>
    <t xml:space="preserve">FEDC158368  </t>
  </si>
  <si>
    <t xml:space="preserve">FEDC158369  </t>
  </si>
  <si>
    <t xml:space="preserve">FEDC158373  </t>
  </si>
  <si>
    <t xml:space="preserve">FEDC158374  </t>
  </si>
  <si>
    <t xml:space="preserve">FEDC158363  </t>
  </si>
  <si>
    <t xml:space="preserve">70698723            </t>
  </si>
  <si>
    <t xml:space="preserve">ATEHORTUA GALLEGO JUAN ANDRES                               </t>
  </si>
  <si>
    <t xml:space="preserve">3204914146                    </t>
  </si>
  <si>
    <t xml:space="preserve">901762895           </t>
  </si>
  <si>
    <t xml:space="preserve">TINY S.A.S ZOMAC                                            </t>
  </si>
  <si>
    <t xml:space="preserve">3217335320                    </t>
  </si>
  <si>
    <t xml:space="preserve">FEDC158431  </t>
  </si>
  <si>
    <t xml:space="preserve">FEDC158608  </t>
  </si>
  <si>
    <t xml:space="preserve">3428110             </t>
  </si>
  <si>
    <t xml:space="preserve">ARANGO TAMAYO ELKIN DE JESUS                                </t>
  </si>
  <si>
    <t xml:space="preserve">3128137942 -3207969721        </t>
  </si>
  <si>
    <t xml:space="preserve">FEDC158615  </t>
  </si>
  <si>
    <t xml:space="preserve">FEDC158617  </t>
  </si>
  <si>
    <t xml:space="preserve">98600255            </t>
  </si>
  <si>
    <t xml:space="preserve">RIVERO CALDERA CESAR AUGUSTO                                </t>
  </si>
  <si>
    <t xml:space="preserve">3146688636                    </t>
  </si>
  <si>
    <t xml:space="preserve">FEDC158621  </t>
  </si>
  <si>
    <t xml:space="preserve">FEDC158622  </t>
  </si>
  <si>
    <t xml:space="preserve">FEDC158593  </t>
  </si>
  <si>
    <t xml:space="preserve">FEDC158594  </t>
  </si>
  <si>
    <t xml:space="preserve">FEDC158612  </t>
  </si>
  <si>
    <t>diasnegocio</t>
  </si>
  <si>
    <t xml:space="preserve">1045139952          </t>
  </si>
  <si>
    <t xml:space="preserve">PALOMINO TUIRAN LUIS EDUARDO                                </t>
  </si>
  <si>
    <t xml:space="preserve">3162085505                    </t>
  </si>
  <si>
    <t xml:space="preserve">22242410            </t>
  </si>
  <si>
    <t xml:space="preserve">GOMEZ ALVAREZ DORA PATRICIA                                 </t>
  </si>
  <si>
    <t xml:space="preserve">3218568370                    </t>
  </si>
  <si>
    <t xml:space="preserve">1063356784          </t>
  </si>
  <si>
    <t xml:space="preserve">GALEANO CASARUBIA  JHEISON DAVID                            </t>
  </si>
  <si>
    <t xml:space="preserve">3041233567 - 3148734945       </t>
  </si>
  <si>
    <t xml:space="preserve">FEVM45923   </t>
  </si>
  <si>
    <t xml:space="preserve">1003733337          </t>
  </si>
  <si>
    <t xml:space="preserve">PALACIO PAYARES EIBER ANTONIO                               </t>
  </si>
  <si>
    <t xml:space="preserve">3225735574                    </t>
  </si>
  <si>
    <t xml:space="preserve">FEVM46039   </t>
  </si>
  <si>
    <t xml:space="preserve">8364301             </t>
  </si>
  <si>
    <t xml:space="preserve">AVILA BAQUERO SANTO DOMINGO                                 </t>
  </si>
  <si>
    <t xml:space="preserve">3135815996                    </t>
  </si>
  <si>
    <t xml:space="preserve">FEDC159363  </t>
  </si>
  <si>
    <t xml:space="preserve">FEDC159565  </t>
  </si>
  <si>
    <t xml:space="preserve">FEDC159581  </t>
  </si>
  <si>
    <t xml:space="preserve">22187043            </t>
  </si>
  <si>
    <t xml:space="preserve">PATInO ALVAREZ CRUZ MARIELA                                 </t>
  </si>
  <si>
    <t xml:space="preserve">3117260395                    </t>
  </si>
  <si>
    <t xml:space="preserve">FEVM46324   </t>
  </si>
  <si>
    <t xml:space="preserve">FEDC159492  </t>
  </si>
  <si>
    <t xml:space="preserve">FEDC159680  </t>
  </si>
  <si>
    <t xml:space="preserve">FEDC159681  </t>
  </si>
  <si>
    <t xml:space="preserve">FEDC159693  </t>
  </si>
  <si>
    <t xml:space="preserve">FEDC159695  </t>
  </si>
  <si>
    <t xml:space="preserve">FEVM46297   </t>
  </si>
  <si>
    <t xml:space="preserve">FEDC159058  </t>
  </si>
  <si>
    <t xml:space="preserve">FEDC159011  </t>
  </si>
  <si>
    <t xml:space="preserve">FEDC159017  </t>
  </si>
  <si>
    <t xml:space="preserve">1082904272          </t>
  </si>
  <si>
    <t xml:space="preserve">DIAZ RODRIGUEZ JOSE IGNACIO                                 </t>
  </si>
  <si>
    <t xml:space="preserve">FEVM46087   </t>
  </si>
  <si>
    <t xml:space="preserve">3164688408     </t>
  </si>
  <si>
    <t xml:space="preserve">FEVM46373   </t>
  </si>
  <si>
    <t xml:space="preserve">FEDC159226  </t>
  </si>
  <si>
    <t xml:space="preserve">FEDC159399  </t>
  </si>
  <si>
    <t xml:space="preserve">25775949            </t>
  </si>
  <si>
    <t xml:space="preserve">PARRA RIVAS MARIA ESTELLA                                   </t>
  </si>
  <si>
    <t xml:space="preserve">FEDC159256  </t>
  </si>
  <si>
    <t xml:space="preserve">3148223233     </t>
  </si>
  <si>
    <t xml:space="preserve">FEDC159257  </t>
  </si>
  <si>
    <t xml:space="preserve">FEDC159260  </t>
  </si>
  <si>
    <t xml:space="preserve">FEDC159261  </t>
  </si>
  <si>
    <t xml:space="preserve">FEDC159231  </t>
  </si>
  <si>
    <t xml:space="preserve">FEDC159233  </t>
  </si>
  <si>
    <t xml:space="preserve">FEDC159236  </t>
  </si>
  <si>
    <t xml:space="preserve">52146049            </t>
  </si>
  <si>
    <t xml:space="preserve">JARAMILLO PINZON SANDRA PATRICIA                            </t>
  </si>
  <si>
    <t xml:space="preserve">3103529761                    </t>
  </si>
  <si>
    <t xml:space="preserve">FEDC159377  </t>
  </si>
  <si>
    <t xml:space="preserve">FEDC159378  </t>
  </si>
  <si>
    <t xml:space="preserve">FEDC159373  </t>
  </si>
  <si>
    <t xml:space="preserve">FEDC159381  </t>
  </si>
  <si>
    <t xml:space="preserve">FEDC159393  </t>
  </si>
  <si>
    <t xml:space="preserve">FEDC159395  </t>
  </si>
  <si>
    <t xml:space="preserve">FEDC159396  </t>
  </si>
  <si>
    <t xml:space="preserve">FEDC159397  </t>
  </si>
  <si>
    <t xml:space="preserve">FEDC159503  </t>
  </si>
  <si>
    <t xml:space="preserve">FEDC159544  </t>
  </si>
  <si>
    <t xml:space="preserve">FEDC159548  </t>
  </si>
  <si>
    <t xml:space="preserve">FEDC159648  </t>
  </si>
  <si>
    <t xml:space="preserve">FEDC159652  </t>
  </si>
  <si>
    <t xml:space="preserve">FEDC159654  </t>
  </si>
  <si>
    <t xml:space="preserve">FEDC159262  </t>
  </si>
  <si>
    <t xml:space="preserve">FEVM46189   </t>
  </si>
  <si>
    <t xml:space="preserve">FEDC159266  </t>
  </si>
  <si>
    <t xml:space="preserve">FEDC159269  </t>
  </si>
  <si>
    <t xml:space="preserve">FEDC159270  </t>
  </si>
  <si>
    <t xml:space="preserve">FEDC159228  </t>
  </si>
  <si>
    <t xml:space="preserve">FEDC159229  </t>
  </si>
  <si>
    <t xml:space="preserve">FEDC159014  </t>
  </si>
  <si>
    <t xml:space="preserve">FEDC159015  </t>
  </si>
  <si>
    <t xml:space="preserve">FEDC159016  </t>
  </si>
  <si>
    <t xml:space="preserve">FEDC158989  </t>
  </si>
  <si>
    <t xml:space="preserve">FEDC159237  </t>
  </si>
  <si>
    <t xml:space="preserve">FEDC159238  </t>
  </si>
  <si>
    <t xml:space="preserve">8833931             </t>
  </si>
  <si>
    <t xml:space="preserve">ZULUAGA GOMEZ OSCAR URIEL                                   </t>
  </si>
  <si>
    <t xml:space="preserve">FEDC159273  </t>
  </si>
  <si>
    <t xml:space="preserve">3137233148     </t>
  </si>
  <si>
    <t xml:space="preserve">FEDC159274  </t>
  </si>
  <si>
    <t xml:space="preserve">FEDC159789  </t>
  </si>
  <si>
    <t xml:space="preserve">FEDC159790  </t>
  </si>
  <si>
    <t xml:space="preserve">FEDC159812  </t>
  </si>
  <si>
    <t xml:space="preserve">FEDC159813  </t>
  </si>
  <si>
    <t xml:space="preserve">FEDC159949  </t>
  </si>
  <si>
    <t xml:space="preserve">FEDC160169  </t>
  </si>
  <si>
    <t xml:space="preserve">FEDC160173  </t>
  </si>
  <si>
    <t xml:space="preserve">FEDC160178  </t>
  </si>
  <si>
    <t xml:space="preserve">FEVM46528   </t>
  </si>
  <si>
    <t xml:space="preserve">FEVM46747   </t>
  </si>
  <si>
    <t xml:space="preserve">78726187            </t>
  </si>
  <si>
    <t xml:space="preserve">GOMEZ MEZA ROBER TULIO                                      </t>
  </si>
  <si>
    <t xml:space="preserve">3116652691                    </t>
  </si>
  <si>
    <t xml:space="preserve">FEDC160188  </t>
  </si>
  <si>
    <t xml:space="preserve">FEDC160358  </t>
  </si>
  <si>
    <t xml:space="preserve">FEDC159984  </t>
  </si>
  <si>
    <t xml:space="preserve">FEDC159989  </t>
  </si>
  <si>
    <t xml:space="preserve">FEDC159992  </t>
  </si>
  <si>
    <t xml:space="preserve">FEVM46704   </t>
  </si>
  <si>
    <t xml:space="preserve">FEVM46726   </t>
  </si>
  <si>
    <t xml:space="preserve">FEDC159878  </t>
  </si>
  <si>
    <t xml:space="preserve">901318477-4         </t>
  </si>
  <si>
    <t xml:space="preserve">DEPOSITO Y MERCADOS ANTIOQUIA S.A.S.                        </t>
  </si>
  <si>
    <t xml:space="preserve">3205495220                    </t>
  </si>
  <si>
    <t xml:space="preserve">FEDC160311  </t>
  </si>
  <si>
    <t xml:space="preserve">FEVM46460   </t>
  </si>
  <si>
    <t xml:space="preserve">FEDC160413  </t>
  </si>
  <si>
    <t xml:space="preserve">FEDC159874  </t>
  </si>
  <si>
    <t xml:space="preserve">FEDC159877  </t>
  </si>
  <si>
    <t xml:space="preserve">FEDC159935  </t>
  </si>
  <si>
    <t xml:space="preserve">FEDC159936  </t>
  </si>
  <si>
    <t xml:space="preserve">FEDC160213  </t>
  </si>
  <si>
    <t xml:space="preserve">FEDC160303  </t>
  </si>
  <si>
    <t xml:space="preserve">FEDC160258  </t>
  </si>
  <si>
    <t xml:space="preserve">FEDC160501  </t>
  </si>
  <si>
    <t xml:space="preserve">FEDC160503  </t>
  </si>
  <si>
    <t xml:space="preserve">FEDC160507  </t>
  </si>
  <si>
    <t xml:space="preserve">1045018065          </t>
  </si>
  <si>
    <t xml:space="preserve">ZULUAGA RAMIREZ ROBINSON CAMILO                             </t>
  </si>
  <si>
    <t xml:space="preserve">FEDC159825  </t>
  </si>
  <si>
    <t xml:space="preserve">3004641445     </t>
  </si>
  <si>
    <t xml:space="preserve">70908580            </t>
  </si>
  <si>
    <t xml:space="preserve">GOMEZ PINEDA CARLOS ADOLFO                                  </t>
  </si>
  <si>
    <t xml:space="preserve">FEDC160109  </t>
  </si>
  <si>
    <t xml:space="preserve">FEDC160110  </t>
  </si>
  <si>
    <t xml:space="preserve">FEVM46463   </t>
  </si>
  <si>
    <t xml:space="preserve">FEVM46464   </t>
  </si>
  <si>
    <t xml:space="preserve">70351285            </t>
  </si>
  <si>
    <t xml:space="preserve">FRANCO ARIAS JOSE ALONSO                                    </t>
  </si>
  <si>
    <t xml:space="preserve">FEVM46485   </t>
  </si>
  <si>
    <t xml:space="preserve">3103711943 Ferney             </t>
  </si>
  <si>
    <t xml:space="preserve">FEVM46487   </t>
  </si>
  <si>
    <t xml:space="preserve">FEDC160457  </t>
  </si>
  <si>
    <t xml:space="preserve">FEDC160397  </t>
  </si>
  <si>
    <t xml:space="preserve">FEDC160465  </t>
  </si>
  <si>
    <t xml:space="preserve">FEDC160466  </t>
  </si>
  <si>
    <t xml:space="preserve">FEDC160512  </t>
  </si>
  <si>
    <t xml:space="preserve">FEDC160513  </t>
  </si>
  <si>
    <t xml:space="preserve">FEDC159872  </t>
  </si>
  <si>
    <t xml:space="preserve">FEDC160009  </t>
  </si>
  <si>
    <t xml:space="preserve">FEDC160380  </t>
  </si>
  <si>
    <t xml:space="preserve">FEDC160381  </t>
  </si>
  <si>
    <t xml:space="preserve">FEDC160377  </t>
  </si>
  <si>
    <t xml:space="preserve">FEDC160378  </t>
  </si>
  <si>
    <t xml:space="preserve">FEDC160379  </t>
  </si>
  <si>
    <t xml:space="preserve">FEDC160382  </t>
  </si>
  <si>
    <t xml:space="preserve">FEDC159838  </t>
  </si>
  <si>
    <t xml:space="preserve">FEDC159839  </t>
  </si>
  <si>
    <t xml:space="preserve">FEDC159840  </t>
  </si>
  <si>
    <t xml:space="preserve">FEDC160243  </t>
  </si>
  <si>
    <t xml:space="preserve">FEDC160244  </t>
  </si>
  <si>
    <t xml:space="preserve">FEDC160245  </t>
  </si>
  <si>
    <t xml:space="preserve">FEDC160251  </t>
  </si>
  <si>
    <t xml:space="preserve">FEDC160252  </t>
  </si>
  <si>
    <t xml:space="preserve">FEDC160253  </t>
  </si>
  <si>
    <t xml:space="preserve">FEDC160254  </t>
  </si>
  <si>
    <t xml:space="preserve">FEDC160255  </t>
  </si>
  <si>
    <t xml:space="preserve">FEDC160256  </t>
  </si>
  <si>
    <t xml:space="preserve">FEDC159810  </t>
  </si>
  <si>
    <t xml:space="preserve">FEDC159916  </t>
  </si>
  <si>
    <t xml:space="preserve">FEDC160035  </t>
  </si>
  <si>
    <t xml:space="preserve">FEDC160036  </t>
  </si>
  <si>
    <t xml:space="preserve">FEDC160040  </t>
  </si>
  <si>
    <t xml:space="preserve">FEDC160044  </t>
  </si>
  <si>
    <t xml:space="preserve">FEDC159905  </t>
  </si>
  <si>
    <t xml:space="preserve">FEDC159906  </t>
  </si>
  <si>
    <t xml:space="preserve">FEDC160127  </t>
  </si>
  <si>
    <t xml:space="preserve">FEDC160128  </t>
  </si>
  <si>
    <t xml:space="preserve">1045424614          </t>
  </si>
  <si>
    <t xml:space="preserve">GUERRA CHAVARRIA BERNEY ARNETH                              </t>
  </si>
  <si>
    <t xml:space="preserve">3042836741                    </t>
  </si>
  <si>
    <t xml:space="preserve">FEVM46462   </t>
  </si>
  <si>
    <t xml:space="preserve">FEVM46484   </t>
  </si>
  <si>
    <t xml:space="preserve">FEDC159821  </t>
  </si>
  <si>
    <t xml:space="preserve">FEDC159822  </t>
  </si>
  <si>
    <t xml:space="preserve">FEDC159847  </t>
  </si>
  <si>
    <t xml:space="preserve">FEDC160478  </t>
  </si>
  <si>
    <t xml:space="preserve">FEDC160479  </t>
  </si>
  <si>
    <t xml:space="preserve">FEDC160481  </t>
  </si>
  <si>
    <t xml:space="preserve">FEDC160482  </t>
  </si>
  <si>
    <t xml:space="preserve">FEDC160484  </t>
  </si>
  <si>
    <t xml:space="preserve">FEDC159923  </t>
  </si>
  <si>
    <t xml:space="preserve">FEDC159924  </t>
  </si>
  <si>
    <t xml:space="preserve">FEDC159928  </t>
  </si>
  <si>
    <t xml:space="preserve">FEDC159929  </t>
  </si>
  <si>
    <t xml:space="preserve">FEDC160047  </t>
  </si>
  <si>
    <t xml:space="preserve">FEDC160048  </t>
  </si>
  <si>
    <t xml:space="preserve">FEDC160079  </t>
  </si>
  <si>
    <t xml:space="preserve">FEDC160246  </t>
  </si>
  <si>
    <t xml:space="preserve">FEDC160259  </t>
  </si>
  <si>
    <t xml:space="preserve">FEDC160261  </t>
  </si>
  <si>
    <t xml:space="preserve">FEDC159880  </t>
  </si>
  <si>
    <t xml:space="preserve">FEDC160375  </t>
  </si>
  <si>
    <t xml:space="preserve">FEDC160376  </t>
  </si>
  <si>
    <t xml:space="preserve">FEDC160383  </t>
  </si>
  <si>
    <t xml:space="preserve">FEDC160384  </t>
  </si>
  <si>
    <t xml:space="preserve">FEDC160480  </t>
  </si>
  <si>
    <t xml:space="preserve">FEDC160385  </t>
  </si>
  <si>
    <t xml:space="preserve">FEDC160545  </t>
  </si>
  <si>
    <t xml:space="preserve">FEDC160685  </t>
  </si>
  <si>
    <t xml:space="preserve">900410354-6         </t>
  </si>
  <si>
    <t xml:space="preserve">VEHICULOS DEL CAUCA S.A.S                                   </t>
  </si>
  <si>
    <t xml:space="preserve">FEDC160768  </t>
  </si>
  <si>
    <t xml:space="preserve">8938080        </t>
  </si>
  <si>
    <t xml:space="preserve">FEDC160798  </t>
  </si>
  <si>
    <t xml:space="preserve">FEDC160799  </t>
  </si>
  <si>
    <t xml:space="preserve">FEDC160823  </t>
  </si>
  <si>
    <t xml:space="preserve">FEDC160910  </t>
  </si>
  <si>
    <t xml:space="preserve">FEDC161031  </t>
  </si>
  <si>
    <t xml:space="preserve">FEDC161063  </t>
  </si>
  <si>
    <t xml:space="preserve">FEDC161064  </t>
  </si>
  <si>
    <t xml:space="preserve">FEDC161111  </t>
  </si>
  <si>
    <t xml:space="preserve">FEDC161113  </t>
  </si>
  <si>
    <t xml:space="preserve">FEDC161118  </t>
  </si>
  <si>
    <t xml:space="preserve">FEDC161121  </t>
  </si>
  <si>
    <t xml:space="preserve">FEDC161190  </t>
  </si>
  <si>
    <t xml:space="preserve">FEDC161198  </t>
  </si>
  <si>
    <t xml:space="preserve">FEDC161205  </t>
  </si>
  <si>
    <t xml:space="preserve">FEVM47235   </t>
  </si>
  <si>
    <t xml:space="preserve">FEVM47278   </t>
  </si>
  <si>
    <t xml:space="preserve">2997401             </t>
  </si>
  <si>
    <t xml:space="preserve">MORENO MORA FABIAN ALEXANDER                                </t>
  </si>
  <si>
    <t xml:space="preserve">FEVM47328   </t>
  </si>
  <si>
    <t xml:space="preserve">3226183405                    </t>
  </si>
  <si>
    <t xml:space="preserve">FEDC160749  </t>
  </si>
  <si>
    <t xml:space="preserve">FEDC160754  </t>
  </si>
  <si>
    <t xml:space="preserve">FEDC160759  </t>
  </si>
  <si>
    <t xml:space="preserve">FEDC160764  </t>
  </si>
  <si>
    <t xml:space="preserve">FEDC160802  </t>
  </si>
  <si>
    <t xml:space="preserve">FEDC160809  </t>
  </si>
  <si>
    <t xml:space="preserve">FEDC160812  </t>
  </si>
  <si>
    <t xml:space="preserve">FEDC160813  </t>
  </si>
  <si>
    <t xml:space="preserve">FEDC160860  </t>
  </si>
  <si>
    <t xml:space="preserve">FEDC160890  </t>
  </si>
  <si>
    <t xml:space="preserve">FEDC160973  </t>
  </si>
  <si>
    <t xml:space="preserve">FEDC161151  </t>
  </si>
  <si>
    <t xml:space="preserve">FEDC161157  </t>
  </si>
  <si>
    <t xml:space="preserve">FEDC161158  </t>
  </si>
  <si>
    <t xml:space="preserve">FEDC161159  </t>
  </si>
  <si>
    <t xml:space="preserve">FEDC161160  </t>
  </si>
  <si>
    <t xml:space="preserve">FEDC161161  </t>
  </si>
  <si>
    <t xml:space="preserve">FEDC161166  </t>
  </si>
  <si>
    <t xml:space="preserve">FEDC161170  </t>
  </si>
  <si>
    <t xml:space="preserve">FEDC161171  </t>
  </si>
  <si>
    <t xml:space="preserve">FEVM47051   </t>
  </si>
  <si>
    <t xml:space="preserve">FEVM47078   </t>
  </si>
  <si>
    <t xml:space="preserve">FEDC161104  </t>
  </si>
  <si>
    <t xml:space="preserve">FEDC161105  </t>
  </si>
  <si>
    <t xml:space="preserve">FEDC161106  </t>
  </si>
  <si>
    <t xml:space="preserve">78028959-3          </t>
  </si>
  <si>
    <t xml:space="preserve">GOMEZ ZULUAGA JOSE RAUL                                     </t>
  </si>
  <si>
    <t xml:space="preserve">FEDC161107  </t>
  </si>
  <si>
    <t xml:space="preserve">3126812712 - 3205672507       </t>
  </si>
  <si>
    <t xml:space="preserve">FEDC160828  </t>
  </si>
  <si>
    <t xml:space="preserve">FEDC160829  </t>
  </si>
  <si>
    <t xml:space="preserve">FEDC160833  </t>
  </si>
  <si>
    <t xml:space="preserve">FEDC160837  </t>
  </si>
  <si>
    <t xml:space="preserve">FEDC160840  </t>
  </si>
  <si>
    <t xml:space="preserve">FEDC160841  </t>
  </si>
  <si>
    <t xml:space="preserve">FEDC160842  </t>
  </si>
  <si>
    <t xml:space="preserve">FEDC160843  </t>
  </si>
  <si>
    <t xml:space="preserve">FEDC160844  </t>
  </si>
  <si>
    <t xml:space="preserve">FEDC160846  </t>
  </si>
  <si>
    <t xml:space="preserve">FEDC161011  </t>
  </si>
  <si>
    <t xml:space="preserve">1063284396          </t>
  </si>
  <si>
    <t xml:space="preserve">MENDOZA CARDOZA ARLEIDY JULIETH                             </t>
  </si>
  <si>
    <t xml:space="preserve">3105294209                    </t>
  </si>
  <si>
    <t xml:space="preserve">FEDC160651  </t>
  </si>
  <si>
    <t xml:space="preserve">FEDC160655  </t>
  </si>
  <si>
    <t xml:space="preserve">FEDC161080  </t>
  </si>
  <si>
    <t xml:space="preserve">FEVM46907   </t>
  </si>
  <si>
    <t xml:space="preserve">82331888            </t>
  </si>
  <si>
    <t xml:space="preserve">MENDOZA TORRES PASCUAL                                      </t>
  </si>
  <si>
    <t xml:space="preserve">FEDC161208  </t>
  </si>
  <si>
    <t xml:space="preserve">3106399436     </t>
  </si>
  <si>
    <t xml:space="preserve">FEVM47174   </t>
  </si>
  <si>
    <t xml:space="preserve">FEDC160537  </t>
  </si>
  <si>
    <t xml:space="preserve">1063300594          </t>
  </si>
  <si>
    <t xml:space="preserve">HENAO SALAZAR EDWIN JAVIER                                  </t>
  </si>
  <si>
    <t xml:space="preserve">3113492848     </t>
  </si>
  <si>
    <t xml:space="preserve">FEDC161067  </t>
  </si>
  <si>
    <t xml:space="preserve">FEDC161072  </t>
  </si>
  <si>
    <t xml:space="preserve">FEDC161075  </t>
  </si>
  <si>
    <t xml:space="preserve">FEDC161094  </t>
  </si>
  <si>
    <t xml:space="preserve">FEDC161096  </t>
  </si>
  <si>
    <t xml:space="preserve">FEDC161100  </t>
  </si>
  <si>
    <t xml:space="preserve">FEDC161101  </t>
  </si>
  <si>
    <t xml:space="preserve">FEDC161102  </t>
  </si>
  <si>
    <t xml:space="preserve">FEDC160694  </t>
  </si>
  <si>
    <t xml:space="preserve">FEDC160924  </t>
  </si>
  <si>
    <t xml:space="preserve">FEDC160925  </t>
  </si>
  <si>
    <t xml:space="preserve">FEDC160937  </t>
  </si>
  <si>
    <t xml:space="preserve">901985096           </t>
  </si>
  <si>
    <t xml:space="preserve">COMERCIALIZADORA BLESSIA S.A.S                              </t>
  </si>
  <si>
    <t xml:space="preserve">3023663565                    </t>
  </si>
  <si>
    <t xml:space="preserve">FEDC161008  </t>
  </si>
  <si>
    <t xml:space="preserve">FEDC161014  </t>
  </si>
  <si>
    <t xml:space="preserve">FEDC161034  </t>
  </si>
  <si>
    <t xml:space="preserve">FEDC161049  </t>
  </si>
  <si>
    <t xml:space="preserve">FEDC161050  </t>
  </si>
  <si>
    <t xml:space="preserve">43896762            </t>
  </si>
  <si>
    <t xml:space="preserve">MELENDREZ MERCADO MARITZA MARIA                             </t>
  </si>
  <si>
    <t xml:space="preserve">FEDC161052  </t>
  </si>
  <si>
    <t xml:space="preserve">3135079062 -8378012           </t>
  </si>
  <si>
    <t xml:space="preserve">FEDC160525  </t>
  </si>
  <si>
    <t xml:space="preserve">FEDC160526  </t>
  </si>
  <si>
    <t xml:space="preserve">FEDC160528  </t>
  </si>
  <si>
    <t xml:space="preserve">FEDC160529  </t>
  </si>
  <si>
    <t xml:space="preserve">FEDC160539  </t>
  </si>
  <si>
    <t xml:space="preserve">FEDC160540  </t>
  </si>
  <si>
    <t xml:space="preserve">FEDC161233  </t>
  </si>
  <si>
    <t xml:space="preserve">FEDC160985  </t>
  </si>
  <si>
    <t xml:space="preserve">FEDC160986  </t>
  </si>
  <si>
    <t xml:space="preserve">FEDC160987  </t>
  </si>
  <si>
    <t xml:space="preserve">FEDC160988  </t>
  </si>
  <si>
    <t xml:space="preserve">FEDC160991  </t>
  </si>
  <si>
    <t xml:space="preserve">FEVM47327   </t>
  </si>
  <si>
    <t xml:space="preserve">FEDC160629  </t>
  </si>
  <si>
    <t xml:space="preserve">FEDC160630  </t>
  </si>
  <si>
    <t xml:space="preserve">FEDC160631  </t>
  </si>
  <si>
    <t xml:space="preserve">FEDC160633  </t>
  </si>
  <si>
    <t xml:space="preserve">FEDC160634  </t>
  </si>
  <si>
    <t xml:space="preserve">FEDC160720  </t>
  </si>
  <si>
    <t xml:space="preserve">FEDC160723  </t>
  </si>
  <si>
    <t xml:space="preserve">FEDC160724  </t>
  </si>
  <si>
    <t xml:space="preserve">FEDC160725  </t>
  </si>
  <si>
    <t xml:space="preserve">FEDC160728  </t>
  </si>
  <si>
    <t xml:space="preserve">FEDC160729  </t>
  </si>
  <si>
    <t xml:space="preserve">FEDC160730  </t>
  </si>
  <si>
    <t xml:space="preserve">FEDC160731  </t>
  </si>
  <si>
    <t xml:space="preserve">FEDC160732  </t>
  </si>
  <si>
    <t xml:space="preserve">FEDC160736  </t>
  </si>
  <si>
    <t xml:space="preserve">FEDC160737  </t>
  </si>
  <si>
    <t xml:space="preserve">FEDC160947  </t>
  </si>
  <si>
    <t xml:space="preserve">FEDC160948  </t>
  </si>
  <si>
    <t xml:space="preserve">FEDC160949  </t>
  </si>
  <si>
    <t xml:space="preserve">FEDC160950  </t>
  </si>
  <si>
    <t xml:space="preserve">FEDC160951  </t>
  </si>
  <si>
    <t xml:space="preserve">FEDC160952  </t>
  </si>
  <si>
    <t xml:space="preserve">FEDC160953  </t>
  </si>
  <si>
    <t xml:space="preserve">FEDC160954  </t>
  </si>
  <si>
    <t xml:space="preserve">FEDC160955  </t>
  </si>
  <si>
    <t xml:space="preserve">FEDC160956  </t>
  </si>
  <si>
    <t xml:space="preserve">FEDC160962  </t>
  </si>
  <si>
    <t xml:space="preserve">FEDC160970  </t>
  </si>
  <si>
    <t xml:space="preserve">FEDC160971  </t>
  </si>
  <si>
    <t xml:space="preserve">FEDC160972  </t>
  </si>
  <si>
    <t xml:space="preserve">FEDC161057  </t>
  </si>
  <si>
    <t xml:space="preserve">FEDC161059  </t>
  </si>
  <si>
    <t xml:space="preserve">FEDC161060  </t>
  </si>
  <si>
    <t xml:space="preserve">FEDC161212  </t>
  </si>
  <si>
    <t xml:space="preserve">FEDC161213  </t>
  </si>
  <si>
    <t xml:space="preserve">FEDC161214  </t>
  </si>
  <si>
    <t xml:space="preserve">FEDC161216  </t>
  </si>
  <si>
    <t xml:space="preserve">FEDC161041  </t>
  </si>
  <si>
    <t xml:space="preserve">FEDC161042  </t>
  </si>
  <si>
    <t xml:space="preserve">FEDC161043  </t>
  </si>
  <si>
    <t xml:space="preserve">FEDC161053  </t>
  </si>
  <si>
    <t xml:space="preserve">FEDC160603  </t>
  </si>
  <si>
    <t xml:space="preserve">FEDC160604  </t>
  </si>
  <si>
    <t xml:space="preserve">FEDC160639  </t>
  </si>
  <si>
    <t xml:space="preserve">FEDC160877  </t>
  </si>
  <si>
    <t xml:space="preserve">35005766            </t>
  </si>
  <si>
    <t xml:space="preserve">DIAZ PESTANA LORENA                                         </t>
  </si>
  <si>
    <t xml:space="preserve">FEDC160612  </t>
  </si>
  <si>
    <t xml:space="preserve">3104324959                    </t>
  </si>
  <si>
    <t xml:space="preserve">FEDC160613  </t>
  </si>
  <si>
    <t xml:space="preserve">FEDC161097  </t>
  </si>
  <si>
    <t xml:space="preserve">FEDC161098  </t>
  </si>
  <si>
    <t xml:space="preserve">FEDC161045  </t>
  </si>
  <si>
    <t xml:space="preserve">FEVM47013   </t>
  </si>
  <si>
    <t xml:space="preserve">FEVM47014   </t>
  </si>
  <si>
    <t xml:space="preserve">FEVM47015   </t>
  </si>
  <si>
    <t xml:space="preserve">FEDC160599  </t>
  </si>
  <si>
    <t xml:space="preserve">FEDC160610  </t>
  </si>
  <si>
    <t xml:space="preserve">FEDC160611  </t>
  </si>
  <si>
    <t xml:space="preserve">FEDC160601  </t>
  </si>
  <si>
    <t xml:space="preserve">95 </t>
  </si>
  <si>
    <t xml:space="preserve">FEDC160600  </t>
  </si>
  <si>
    <t xml:space="preserve">FEDC160602  </t>
  </si>
  <si>
    <t xml:space="preserve">FEDC160614  </t>
  </si>
  <si>
    <t xml:space="preserve">FEDC160615  </t>
  </si>
  <si>
    <t xml:space="preserve">FEDC161239  </t>
  </si>
  <si>
    <t xml:space="preserve">FEDC161293  </t>
  </si>
  <si>
    <t xml:space="preserve">FEDC161301  </t>
  </si>
  <si>
    <t xml:space="preserve">FEDC161306  </t>
  </si>
  <si>
    <t xml:space="preserve">FEDC161308  </t>
  </si>
  <si>
    <t xml:space="preserve">FEDC161310  </t>
  </si>
  <si>
    <t xml:space="preserve">FEDC161311  </t>
  </si>
  <si>
    <t xml:space="preserve">FEDC161312  </t>
  </si>
  <si>
    <t xml:space="preserve">FEDC161315  </t>
  </si>
  <si>
    <t xml:space="preserve">FEDC161327  </t>
  </si>
  <si>
    <t xml:space="preserve">890900045-2         </t>
  </si>
  <si>
    <t xml:space="preserve">INDUSTRIA JABONERA LA JIRAFA S.A.S                          </t>
  </si>
  <si>
    <t xml:space="preserve">FEDC161349  </t>
  </si>
  <si>
    <t xml:space="preserve">4035050        </t>
  </si>
  <si>
    <t xml:space="preserve">FEDC161354  </t>
  </si>
  <si>
    <t xml:space="preserve">FEDC161355  </t>
  </si>
  <si>
    <t xml:space="preserve">FEDC161356  </t>
  </si>
  <si>
    <t xml:space="preserve">FEDC161357  </t>
  </si>
  <si>
    <t xml:space="preserve">FEDC161358  </t>
  </si>
  <si>
    <t xml:space="preserve">FEDC161359  </t>
  </si>
  <si>
    <t xml:space="preserve">FEDC161363  </t>
  </si>
  <si>
    <t xml:space="preserve">FEDC161365  </t>
  </si>
  <si>
    <t xml:space="preserve">FEDC161367  </t>
  </si>
  <si>
    <t xml:space="preserve">FEDC161370  </t>
  </si>
  <si>
    <t xml:space="preserve">FEDC161371  </t>
  </si>
  <si>
    <t xml:space="preserve">FEDC161375  </t>
  </si>
  <si>
    <t xml:space="preserve">FEDC161376  </t>
  </si>
  <si>
    <t xml:space="preserve">FEDC161377  </t>
  </si>
  <si>
    <t xml:space="preserve">FEDC161378  </t>
  </si>
  <si>
    <t xml:space="preserve">FEDC161379  </t>
  </si>
  <si>
    <t xml:space="preserve">FEDC161429  </t>
  </si>
  <si>
    <t xml:space="preserve">FEDC161452  </t>
  </si>
  <si>
    <t xml:space="preserve">FEVM47422   </t>
  </si>
  <si>
    <t xml:space="preserve">FEVM47423   </t>
  </si>
  <si>
    <t xml:space="preserve">FEVM47516   </t>
  </si>
  <si>
    <t xml:space="preserve">FEDC161459  </t>
  </si>
  <si>
    <t xml:space="preserve">FEDC161465  </t>
  </si>
  <si>
    <t xml:space="preserve">FEDC161466  </t>
  </si>
  <si>
    <t xml:space="preserve">FEDC161409  </t>
  </si>
  <si>
    <t xml:space="preserve">FEDC161410  </t>
  </si>
  <si>
    <t xml:space="preserve">FEDC161411  </t>
  </si>
  <si>
    <t xml:space="preserve">FEDC161412  </t>
  </si>
  <si>
    <t xml:space="preserve">901441233 - 1       </t>
  </si>
  <si>
    <t xml:space="preserve">DROGUERIA Y DISPENSARIO DE ANTIOQUIA SAS                    </t>
  </si>
  <si>
    <t xml:space="preserve">3117622889                    </t>
  </si>
  <si>
    <t xml:space="preserve">1045080587          </t>
  </si>
  <si>
    <t xml:space="preserve">AREIZA BAENA MANUELA                                        </t>
  </si>
  <si>
    <t xml:space="preserve">FEDC161399  </t>
  </si>
  <si>
    <t xml:space="preserve">FEDC161348  </t>
  </si>
  <si>
    <t xml:space="preserve">FEVM47445   </t>
  </si>
  <si>
    <t xml:space="preserve">FEVM47465   </t>
  </si>
  <si>
    <t xml:space="preserve">78111731            </t>
  </si>
  <si>
    <t xml:space="preserve">LOPEZ ARRIETA EDINSON GUILLERMO                             </t>
  </si>
  <si>
    <t xml:space="preserve">3023301973                    </t>
  </si>
  <si>
    <t xml:space="preserve">FEVM47475   </t>
  </si>
  <si>
    <t xml:space="preserve">FEVM47476   </t>
  </si>
  <si>
    <t xml:space="preserve">FEVM47486   </t>
  </si>
  <si>
    <t xml:space="preserve">FEVM47490   </t>
  </si>
  <si>
    <t xml:space="preserve">FEVM47492   </t>
  </si>
  <si>
    <t xml:space="preserve">FEDC161381  </t>
  </si>
  <si>
    <t xml:space="preserve">FEDC161383  </t>
  </si>
  <si>
    <t xml:space="preserve">FEDC161384  </t>
  </si>
  <si>
    <t xml:space="preserve">FEDC161385  </t>
  </si>
  <si>
    <t xml:space="preserve">FEDC161390  </t>
  </si>
  <si>
    <t xml:space="preserve">FEDC161391  </t>
  </si>
  <si>
    <t xml:space="preserve">FEDC161415  </t>
  </si>
  <si>
    <t xml:space="preserve">FEDC161453  </t>
  </si>
  <si>
    <t xml:space="preserve">FEDC161454  </t>
  </si>
  <si>
    <t xml:space="preserve">FEDC161455  </t>
  </si>
  <si>
    <t xml:space="preserve">FEDC161456  </t>
  </si>
  <si>
    <t xml:space="preserve">FEDC161457  </t>
  </si>
  <si>
    <t xml:space="preserve">FEDC161458  </t>
  </si>
  <si>
    <t xml:space="preserve">FEVM47399   </t>
  </si>
  <si>
    <t xml:space="preserve">FEDC161246  </t>
  </si>
  <si>
    <t xml:space="preserve">FEDC161247  </t>
  </si>
  <si>
    <t xml:space="preserve">FEDC161248  </t>
  </si>
  <si>
    <t xml:space="preserve">FEDC161249  </t>
  </si>
  <si>
    <t xml:space="preserve">FEDC161250  </t>
  </si>
  <si>
    <t xml:space="preserve">FEDC161251  </t>
  </si>
  <si>
    <t xml:space="preserve">1003080928          </t>
  </si>
  <si>
    <t xml:space="preserve">BARRIOS HERNANDEZ JAVIER DAVID                              </t>
  </si>
  <si>
    <t xml:space="preserve">FEDC161255  </t>
  </si>
  <si>
    <t xml:space="preserve">3234583821                    </t>
  </si>
  <si>
    <t xml:space="preserve">FEDC161256  </t>
  </si>
  <si>
    <t xml:space="preserve">FEDC161257  </t>
  </si>
  <si>
    <t xml:space="preserve">FEDC161258  </t>
  </si>
  <si>
    <t xml:space="preserve">FEDC161259  </t>
  </si>
  <si>
    <t xml:space="preserve">FEDC161260  </t>
  </si>
  <si>
    <t xml:space="preserve">FEDC161261  </t>
  </si>
  <si>
    <t xml:space="preserve">FEDC161263  </t>
  </si>
  <si>
    <t xml:space="preserve">FEDC161264  </t>
  </si>
  <si>
    <t xml:space="preserve">FEDC161266  </t>
  </si>
  <si>
    <t xml:space="preserve">FEDC161386  </t>
  </si>
  <si>
    <t xml:space="preserve">FEDC161387  </t>
  </si>
  <si>
    <t xml:space="preserve">FEDC161438  </t>
  </si>
  <si>
    <t xml:space="preserve">FEDC161439  </t>
  </si>
  <si>
    <t xml:space="preserve">FEDC161451  </t>
  </si>
  <si>
    <t xml:space="preserve">FEDC161479  </t>
  </si>
  <si>
    <t xml:space="preserve">FEDC161483  </t>
  </si>
  <si>
    <t xml:space="preserve">FEVM47558   </t>
  </si>
  <si>
    <t xml:space="preserve">FEDC161469  </t>
  </si>
  <si>
    <t xml:space="preserve">FEDC161323  </t>
  </si>
  <si>
    <t xml:space="preserve">FEDC161345  </t>
  </si>
  <si>
    <t xml:space="preserve">FEDC161346  </t>
  </si>
  <si>
    <t xml:space="preserve">FEDC161468  </t>
  </si>
  <si>
    <t xml:space="preserve">FEDC161424  </t>
  </si>
  <si>
    <t xml:space="preserve">FEDC161425  </t>
  </si>
  <si>
    <t xml:space="preserve">FEDC161426  </t>
  </si>
  <si>
    <t xml:space="preserve">FEDC161427  </t>
  </si>
  <si>
    <t xml:space="preserve">FEDC161422  </t>
  </si>
  <si>
    <t xml:space="preserve">FEDC161432  </t>
  </si>
  <si>
    <t xml:space="preserve">FEDC161441  </t>
  </si>
  <si>
    <t xml:space="preserve">FEDC161442  </t>
  </si>
  <si>
    <t xml:space="preserve">FEDC161443  </t>
  </si>
  <si>
    <t xml:space="preserve">FEDC161444  </t>
  </si>
  <si>
    <t xml:space="preserve">FEDC161445  </t>
  </si>
  <si>
    <t xml:space="preserve">FEDC161446  </t>
  </si>
  <si>
    <t xml:space="preserve">FEDC161450  </t>
  </si>
  <si>
    <t xml:space="preserve">FEDC161280  </t>
  </si>
  <si>
    <t xml:space="preserve">FEDC161281  </t>
  </si>
  <si>
    <t xml:space="preserve">FEDC161338  </t>
  </si>
  <si>
    <t xml:space="preserve">FEDC161476  </t>
  </si>
  <si>
    <t xml:space="preserve">FEDC161477  </t>
  </si>
  <si>
    <t xml:space="preserve">FEDC161480  </t>
  </si>
  <si>
    <t xml:space="preserve">FEDC161481  </t>
  </si>
  <si>
    <t xml:space="preserve">FEDC161440  </t>
  </si>
  <si>
    <t xml:space="preserve">FEDC161447  </t>
  </si>
  <si>
    <t xml:space="preserve">FEDC161448  </t>
  </si>
  <si>
    <t xml:space="preserve">FEDC161449  </t>
  </si>
  <si>
    <t xml:space="preserve">FEDC161473  </t>
  </si>
  <si>
    <t xml:space="preserve">FEDC161488  </t>
  </si>
  <si>
    <t xml:space="preserve">FEDC161489  </t>
  </si>
  <si>
    <t xml:space="preserve">FEDC161510  </t>
  </si>
  <si>
    <t xml:space="preserve">FEDC161542  </t>
  </si>
  <si>
    <t xml:space="preserve">FEDC161571  </t>
  </si>
  <si>
    <t xml:space="preserve">FEDC161577  </t>
  </si>
  <si>
    <t xml:space="preserve">FEDC161578  </t>
  </si>
  <si>
    <t xml:space="preserve">FEDC161587  </t>
  </si>
  <si>
    <t xml:space="preserve">FEDC161617  </t>
  </si>
  <si>
    <t xml:space="preserve">FEDC161618  </t>
  </si>
  <si>
    <t xml:space="preserve">FEDC161620  </t>
  </si>
  <si>
    <t xml:space="preserve">FEDC161622  </t>
  </si>
  <si>
    <t xml:space="preserve">FEDC161623  </t>
  </si>
  <si>
    <t xml:space="preserve">FEDC161625  </t>
  </si>
  <si>
    <t xml:space="preserve">FEDC161626  </t>
  </si>
  <si>
    <t xml:space="preserve">FEDC161627  </t>
  </si>
  <si>
    <t xml:space="preserve">FEDC161660  </t>
  </si>
  <si>
    <t xml:space="preserve">FEDC161661  </t>
  </si>
  <si>
    <t xml:space="preserve">FEDC161662  </t>
  </si>
  <si>
    <t xml:space="preserve">FEDC161665  </t>
  </si>
  <si>
    <t xml:space="preserve">FEDC161666  </t>
  </si>
  <si>
    <t xml:space="preserve">FEDC161667  </t>
  </si>
  <si>
    <t xml:space="preserve">FEDC161668  </t>
  </si>
  <si>
    <t xml:space="preserve">FEDC161576  </t>
  </si>
  <si>
    <t xml:space="preserve">FEDC161583  </t>
  </si>
  <si>
    <t xml:space="preserve">FEDC161585  </t>
  </si>
  <si>
    <t xml:space="preserve">FEDC161586  </t>
  </si>
  <si>
    <t xml:space="preserve">FEDC161651  </t>
  </si>
  <si>
    <t xml:space="preserve">FEDC161541  </t>
  </si>
  <si>
    <t xml:space="preserve">FEDC161548  </t>
  </si>
  <si>
    <t xml:space="preserve">FEDC161597  </t>
  </si>
  <si>
    <t xml:space="preserve">15664454            </t>
  </si>
  <si>
    <t xml:space="preserve">MORALES RICARDO RUBEN DARIO                                 </t>
  </si>
  <si>
    <t xml:space="preserve">3113898648                    </t>
  </si>
  <si>
    <t xml:space="preserve">FEVM47611   </t>
  </si>
  <si>
    <t xml:space="preserve">FEDC161565  </t>
  </si>
  <si>
    <t xml:space="preserve">FEDC161593  </t>
  </si>
  <si>
    <t xml:space="preserve">FEDC161612  </t>
  </si>
  <si>
    <t xml:space="preserve">FEDC161613  </t>
  </si>
  <si>
    <t xml:space="preserve">FEDC161614  </t>
  </si>
  <si>
    <t xml:space="preserve">FEDC161600  </t>
  </si>
  <si>
    <t xml:space="preserve">FEDC161609  </t>
  </si>
  <si>
    <t xml:space="preserve">FEDC161603  </t>
  </si>
  <si>
    <t xml:space="preserve">FEDC161604  </t>
  </si>
  <si>
    <t xml:space="preserve">FEDC161522  </t>
  </si>
  <si>
    <t xml:space="preserve">FEDC161524  </t>
  </si>
  <si>
    <t xml:space="preserve">FEDC161531  </t>
  </si>
  <si>
    <t xml:space="preserve">FEDC161532  </t>
  </si>
  <si>
    <t xml:space="preserve">FEDC161535  </t>
  </si>
  <si>
    <t xml:space="preserve">FEDC161536  </t>
  </si>
  <si>
    <t xml:space="preserve">FEDC161537  </t>
  </si>
  <si>
    <t xml:space="preserve">FEDC161538  </t>
  </si>
  <si>
    <t xml:space="preserve">FEDC161558  </t>
  </si>
  <si>
    <t xml:space="preserve">FEDC161574  </t>
  </si>
  <si>
    <t xml:space="preserve">FEDC161605  </t>
  </si>
  <si>
    <t xml:space="preserve">FEDC161606  </t>
  </si>
  <si>
    <t xml:space="preserve">FEDC161607  </t>
  </si>
  <si>
    <t xml:space="preserve">FEDC161608  </t>
  </si>
  <si>
    <t xml:space="preserve">FEDC161655  </t>
  </si>
  <si>
    <t xml:space="preserve">FEDC161656  </t>
  </si>
  <si>
    <t xml:space="preserve">FEDC161657  </t>
  </si>
  <si>
    <t xml:space="preserve">FEDC161658  </t>
  </si>
  <si>
    <t xml:space="preserve">FEDC161659  </t>
  </si>
  <si>
    <t xml:space="preserve">FEDC161579  </t>
  </si>
  <si>
    <t xml:space="preserve">FEDC161580  </t>
  </si>
  <si>
    <t xml:space="preserve">FEVM47631   </t>
  </si>
  <si>
    <t xml:space="preserve">FEVM47633   </t>
  </si>
  <si>
    <t xml:space="preserve">FEDC161681  </t>
  </si>
  <si>
    <t xml:space="preserve">FEDC161670  </t>
  </si>
  <si>
    <t xml:space="preserve">FEDC161674  </t>
  </si>
  <si>
    <t xml:space="preserve">FEDC161685  </t>
  </si>
  <si>
    <t xml:space="preserve">FEDC161671  </t>
  </si>
  <si>
    <t xml:space="preserve">FEDC161672  </t>
  </si>
  <si>
    <t xml:space="preserve">FEDC161673  </t>
  </si>
  <si>
    <t xml:space="preserve">70353742            </t>
  </si>
  <si>
    <t xml:space="preserve">GIRALDO MARIN JOHNY ANDRES                                  </t>
  </si>
  <si>
    <t xml:space="preserve">3234826025 -3105079188        </t>
  </si>
  <si>
    <t xml:space="preserve">FEDC161675  </t>
  </si>
  <si>
    <t xml:space="preserve">FEDC161676  </t>
  </si>
  <si>
    <t xml:space="preserve">FEDC161677  </t>
  </si>
  <si>
    <t xml:space="preserve">FEDC161682  </t>
  </si>
  <si>
    <t xml:space="preserve">FEDC161683  </t>
  </si>
  <si>
    <t xml:space="preserve">FEDC161684  </t>
  </si>
  <si>
    <t xml:space="preserve">FEDC161686  </t>
  </si>
  <si>
    <t>CLIENTES POR VENDEDOR</t>
  </si>
  <si>
    <t>OFICINA</t>
  </si>
  <si>
    <t>DANNY</t>
  </si>
  <si>
    <t>ALEXANDER</t>
  </si>
  <si>
    <t>JUAN QUINTANA</t>
  </si>
  <si>
    <t>LORENZO</t>
  </si>
  <si>
    <t>ARGENIZ</t>
  </si>
  <si>
    <t>ROY</t>
  </si>
  <si>
    <t>ROBERT</t>
  </si>
  <si>
    <t>JUAN ZABALA</t>
  </si>
  <si>
    <t>AVENDAÑO</t>
  </si>
  <si>
    <t xml:space="preserve">FEDC161710  </t>
  </si>
  <si>
    <t xml:space="preserve">FEDC161711  </t>
  </si>
  <si>
    <t xml:space="preserve">FEDC161715  </t>
  </si>
  <si>
    <t xml:space="preserve">FEDC161728  </t>
  </si>
  <si>
    <t xml:space="preserve">FEDC161732  </t>
  </si>
  <si>
    <t xml:space="preserve">FEDC161764  </t>
  </si>
  <si>
    <t xml:space="preserve">FEDC161766  </t>
  </si>
  <si>
    <t xml:space="preserve">FEDC161767  </t>
  </si>
  <si>
    <t xml:space="preserve">FEDC161768  </t>
  </si>
  <si>
    <t xml:space="preserve">FEDC161772  </t>
  </si>
  <si>
    <t xml:space="preserve">FEDC161783  </t>
  </si>
  <si>
    <t xml:space="preserve">FEDC161791  </t>
  </si>
  <si>
    <t xml:space="preserve">FEDC161793  </t>
  </si>
  <si>
    <t xml:space="preserve">FEDC161794  </t>
  </si>
  <si>
    <t xml:space="preserve">FEDC161795  </t>
  </si>
  <si>
    <t xml:space="preserve">FEDC161798  </t>
  </si>
  <si>
    <t xml:space="preserve">FEDC161804  </t>
  </si>
  <si>
    <t xml:space="preserve">FEDC161838  </t>
  </si>
  <si>
    <t xml:space="preserve">FEDC161889  </t>
  </si>
  <si>
    <t xml:space="preserve">FEDC161890  </t>
  </si>
  <si>
    <t xml:space="preserve">FEDC161893  </t>
  </si>
  <si>
    <t xml:space="preserve">FEDC161894  </t>
  </si>
  <si>
    <t xml:space="preserve">FEDC161895  </t>
  </si>
  <si>
    <t xml:space="preserve">FEDC161907  </t>
  </si>
  <si>
    <t xml:space="preserve">FEDC161910  </t>
  </si>
  <si>
    <t xml:space="preserve">FEDC161943  </t>
  </si>
  <si>
    <t xml:space="preserve">FEDC161944  </t>
  </si>
  <si>
    <t xml:space="preserve">FEDC161962  </t>
  </si>
  <si>
    <t xml:space="preserve">FEDC161964  </t>
  </si>
  <si>
    <t xml:space="preserve">FEDC161970  </t>
  </si>
  <si>
    <t xml:space="preserve">FEDC161972  </t>
  </si>
  <si>
    <t xml:space="preserve">FEDC161976  </t>
  </si>
  <si>
    <t xml:space="preserve">FEDC161982  </t>
  </si>
  <si>
    <t xml:space="preserve">FEDC161983  </t>
  </si>
  <si>
    <t xml:space="preserve">FEDC161984  </t>
  </si>
  <si>
    <t xml:space="preserve">FEDC161985  </t>
  </si>
  <si>
    <t xml:space="preserve">FEDC161986  </t>
  </si>
  <si>
    <t xml:space="preserve">FEDC161987  </t>
  </si>
  <si>
    <t xml:space="preserve">FEDC162055  </t>
  </si>
  <si>
    <t xml:space="preserve">FEDC162056  </t>
  </si>
  <si>
    <t xml:space="preserve">FEDC162086  </t>
  </si>
  <si>
    <t xml:space="preserve">FEDC162134  </t>
  </si>
  <si>
    <t xml:space="preserve">FEDC162137  </t>
  </si>
  <si>
    <t xml:space="preserve">FEDC162138  </t>
  </si>
  <si>
    <t xml:space="preserve">FEDC162139  </t>
  </si>
  <si>
    <t xml:space="preserve">FEDC162141  </t>
  </si>
  <si>
    <t xml:space="preserve">FEDC162146  </t>
  </si>
  <si>
    <t xml:space="preserve">FEDC162148  </t>
  </si>
  <si>
    <t xml:space="preserve">FEDC162149  </t>
  </si>
  <si>
    <t xml:space="preserve">FEDC162150  </t>
  </si>
  <si>
    <t xml:space="preserve">FEDC162151  </t>
  </si>
  <si>
    <t xml:space="preserve">FEDC162163  </t>
  </si>
  <si>
    <t xml:space="preserve">FEDC162164  </t>
  </si>
  <si>
    <t xml:space="preserve">FEDC162165  </t>
  </si>
  <si>
    <t xml:space="preserve">FEVM47667   </t>
  </si>
  <si>
    <t xml:space="preserve">FEVM47684   </t>
  </si>
  <si>
    <t xml:space="preserve">FEVM47898   </t>
  </si>
  <si>
    <t xml:space="preserve">FEVM47902   </t>
  </si>
  <si>
    <t xml:space="preserve">FEVM47922   </t>
  </si>
  <si>
    <t xml:space="preserve">901732243-2         </t>
  </si>
  <si>
    <t xml:space="preserve">TECNOLOGIAS MOVILES APP S                                   </t>
  </si>
  <si>
    <t xml:space="preserve">02 </t>
  </si>
  <si>
    <t xml:space="preserve">3113670072                    </t>
  </si>
  <si>
    <t xml:space="preserve">FEDC162094  </t>
  </si>
  <si>
    <t xml:space="preserve">FEDC162096  </t>
  </si>
  <si>
    <t xml:space="preserve">FEDC162101  </t>
  </si>
  <si>
    <t xml:space="preserve">FEDC162102  </t>
  </si>
  <si>
    <t xml:space="preserve">FEDC161859  </t>
  </si>
  <si>
    <t xml:space="preserve">FEDC161861  </t>
  </si>
  <si>
    <t xml:space="preserve">FEDC161862  </t>
  </si>
  <si>
    <t xml:space="preserve">FEDC161863  </t>
  </si>
  <si>
    <t xml:space="preserve">FEDC161864  </t>
  </si>
  <si>
    <t xml:space="preserve">FEDC161865  </t>
  </si>
  <si>
    <t xml:space="preserve">FEDC161974  </t>
  </si>
  <si>
    <t xml:space="preserve">FEDC162012  </t>
  </si>
  <si>
    <t xml:space="preserve">FEDC162019  </t>
  </si>
  <si>
    <t xml:space="preserve">FEDC162022  </t>
  </si>
  <si>
    <t xml:space="preserve">FEDC162023  </t>
  </si>
  <si>
    <t xml:space="preserve">FEDC162024  </t>
  </si>
  <si>
    <t xml:space="preserve">FEDC162025  </t>
  </si>
  <si>
    <t xml:space="preserve">FEDC162026  </t>
  </si>
  <si>
    <t xml:space="preserve">FEDC162027  </t>
  </si>
  <si>
    <t xml:space="preserve">FEDC162030  </t>
  </si>
  <si>
    <t xml:space="preserve">FEDC162032  </t>
  </si>
  <si>
    <t xml:space="preserve">FEDC162035  </t>
  </si>
  <si>
    <t xml:space="preserve">FEDC162036  </t>
  </si>
  <si>
    <t xml:space="preserve">FEDC162046  </t>
  </si>
  <si>
    <t xml:space="preserve">FEDC162061  </t>
  </si>
  <si>
    <t xml:space="preserve">FEDC162105  </t>
  </si>
  <si>
    <t xml:space="preserve">FEDC162129  </t>
  </si>
  <si>
    <t xml:space="preserve">FEDC162130  </t>
  </si>
  <si>
    <t xml:space="preserve">FEDC162131  </t>
  </si>
  <si>
    <t xml:space="preserve">FEDC162132  </t>
  </si>
  <si>
    <t xml:space="preserve">FEDC162133  </t>
  </si>
  <si>
    <t xml:space="preserve">FEDC161771  </t>
  </si>
  <si>
    <t xml:space="preserve">FEDC161866  </t>
  </si>
  <si>
    <t xml:space="preserve">FEDC161867  </t>
  </si>
  <si>
    <t xml:space="preserve">FEDC161868  </t>
  </si>
  <si>
    <t xml:space="preserve">FEVM47716   </t>
  </si>
  <si>
    <t xml:space="preserve">FEVM47752   </t>
  </si>
  <si>
    <t xml:space="preserve">FEVM47755   </t>
  </si>
  <si>
    <t xml:space="preserve">FEVM47789   </t>
  </si>
  <si>
    <t xml:space="preserve">FEVM47791   </t>
  </si>
  <si>
    <t xml:space="preserve">FEVM47792   </t>
  </si>
  <si>
    <t xml:space="preserve">FEVM47799   </t>
  </si>
  <si>
    <t xml:space="preserve">FEVM47811   </t>
  </si>
  <si>
    <t xml:space="preserve">FEVM47812   </t>
  </si>
  <si>
    <t xml:space="preserve">FEVM47813   </t>
  </si>
  <si>
    <t xml:space="preserve">FEDC162157  </t>
  </si>
  <si>
    <t xml:space="preserve">FEVM47691   </t>
  </si>
  <si>
    <t xml:space="preserve">FEDC161952  </t>
  </si>
  <si>
    <t xml:space="preserve">FEDC161953  </t>
  </si>
  <si>
    <t xml:space="preserve">FEDC161954  </t>
  </si>
  <si>
    <t xml:space="preserve">FEDC161955  </t>
  </si>
  <si>
    <t xml:space="preserve">FEDC161957  </t>
  </si>
  <si>
    <t xml:space="preserve">FEDC161958  </t>
  </si>
  <si>
    <t xml:space="preserve">FEDC161978  </t>
  </si>
  <si>
    <t xml:space="preserve">FEDC161979  </t>
  </si>
  <si>
    <t xml:space="preserve">FEDC161980  </t>
  </si>
  <si>
    <t xml:space="preserve">FEDC162054  </t>
  </si>
  <si>
    <t xml:space="preserve">FEDC162059  </t>
  </si>
  <si>
    <t xml:space="preserve">FEDC162060  </t>
  </si>
  <si>
    <t xml:space="preserve">FEDC162089  </t>
  </si>
  <si>
    <t xml:space="preserve">FEDC162090  </t>
  </si>
  <si>
    <t xml:space="preserve">FEDC162091  </t>
  </si>
  <si>
    <t xml:space="preserve">FEDC162095  </t>
  </si>
  <si>
    <t xml:space="preserve">FEDC162097  </t>
  </si>
  <si>
    <t xml:space="preserve">FEDC162098  </t>
  </si>
  <si>
    <t xml:space="preserve">FEDC162099  </t>
  </si>
  <si>
    <t xml:space="preserve">FEDC162100  </t>
  </si>
  <si>
    <t xml:space="preserve">FEDC162110  </t>
  </si>
  <si>
    <t xml:space="preserve">FEVM47681   </t>
  </si>
  <si>
    <t xml:space="preserve">FEVM47782   </t>
  </si>
  <si>
    <t xml:space="preserve">FEDC161811  </t>
  </si>
  <si>
    <t xml:space="preserve">FEDC161812  </t>
  </si>
  <si>
    <t xml:space="preserve">FEDC161833  </t>
  </si>
  <si>
    <t xml:space="preserve">FEDC161834  </t>
  </si>
  <si>
    <t xml:space="preserve">FEDC161835  </t>
  </si>
  <si>
    <t xml:space="preserve">1066570115          </t>
  </si>
  <si>
    <t xml:space="preserve">GORDON GONZALEZ LUIS EDUARDO                                </t>
  </si>
  <si>
    <t xml:space="preserve">FEDC161839  </t>
  </si>
  <si>
    <t xml:space="preserve">3103752243                    </t>
  </si>
  <si>
    <t xml:space="preserve">FEDC161840  </t>
  </si>
  <si>
    <t xml:space="preserve">FEDC161843  </t>
  </si>
  <si>
    <t xml:space="preserve">FEDC161846  </t>
  </si>
  <si>
    <t xml:space="preserve">FEDC161847  </t>
  </si>
  <si>
    <t xml:space="preserve">FEDC161848  </t>
  </si>
  <si>
    <t xml:space="preserve">FEDC161849  </t>
  </si>
  <si>
    <t xml:space="preserve">FEDC161896  </t>
  </si>
  <si>
    <t xml:space="preserve">FEDC161897  </t>
  </si>
  <si>
    <t xml:space="preserve">FEDC161949  </t>
  </si>
  <si>
    <t xml:space="preserve">FEDC161959  </t>
  </si>
  <si>
    <t xml:space="preserve">FEVM47651   </t>
  </si>
  <si>
    <t xml:space="preserve">FEVM47654   </t>
  </si>
  <si>
    <t xml:space="preserve">FEVM47683   </t>
  </si>
  <si>
    <t xml:space="preserve">FEVM47817   </t>
  </si>
  <si>
    <t xml:space="preserve">FEVM47818   </t>
  </si>
  <si>
    <t xml:space="preserve">FEVM47819   </t>
  </si>
  <si>
    <t xml:space="preserve">FEVM47820   </t>
  </si>
  <si>
    <t xml:space="preserve">FEVM47821   </t>
  </si>
  <si>
    <t xml:space="preserve">FEVM47866   </t>
  </si>
  <si>
    <t xml:space="preserve">FEVM47886   </t>
  </si>
  <si>
    <t xml:space="preserve">FEVM47887   </t>
  </si>
  <si>
    <t xml:space="preserve">FEVM47685   </t>
  </si>
  <si>
    <t xml:space="preserve">FEVM47690   </t>
  </si>
  <si>
    <t xml:space="preserve">FEDC161746  </t>
  </si>
  <si>
    <t xml:space="preserve">FEDC161747  </t>
  </si>
  <si>
    <t xml:space="preserve">FEDC161751  </t>
  </si>
  <si>
    <t xml:space="preserve">FEDC161754  </t>
  </si>
  <si>
    <t xml:space="preserve">FEDC161876  </t>
  </si>
  <si>
    <t xml:space="preserve">FEDC161877  </t>
  </si>
  <si>
    <t xml:space="preserve">FEDC161878  </t>
  </si>
  <si>
    <t xml:space="preserve">FEDC161900  </t>
  </si>
  <si>
    <t xml:space="preserve">FEDC161898  </t>
  </si>
  <si>
    <t xml:space="preserve">FEDC161899  </t>
  </si>
  <si>
    <t xml:space="preserve">FEDC161901  </t>
  </si>
  <si>
    <t xml:space="preserve">FEDC161902  </t>
  </si>
  <si>
    <t xml:space="preserve">FEDC161918  </t>
  </si>
  <si>
    <t xml:space="preserve">FEDC161919  </t>
  </si>
  <si>
    <t xml:space="preserve">FEDC161935  </t>
  </si>
  <si>
    <t xml:space="preserve">FEDC161936  </t>
  </si>
  <si>
    <t xml:space="preserve">FEDC161950  </t>
  </si>
  <si>
    <t xml:space="preserve">FEDC162069  </t>
  </si>
  <si>
    <t xml:space="preserve">FEDC162070  </t>
  </si>
  <si>
    <t xml:space="preserve">FEDC162073  </t>
  </si>
  <si>
    <t xml:space="preserve">FEDC162074  </t>
  </si>
  <si>
    <t xml:space="preserve">FEDC162080  </t>
  </si>
  <si>
    <t xml:space="preserve">FEDC162081  </t>
  </si>
  <si>
    <t xml:space="preserve">FEDC162082  </t>
  </si>
  <si>
    <t xml:space="preserve">FEDC162084  </t>
  </si>
  <si>
    <t xml:space="preserve">FEDC162103  </t>
  </si>
  <si>
    <t xml:space="preserve">FEDC162104  </t>
  </si>
  <si>
    <t xml:space="preserve">FEDC162106  </t>
  </si>
  <si>
    <t xml:space="preserve">FEDC162107  </t>
  </si>
  <si>
    <t xml:space="preserve">FEDC162108  </t>
  </si>
  <si>
    <t xml:space="preserve">FEVM47894   </t>
  </si>
  <si>
    <t xml:space="preserve">FEDC161719  </t>
  </si>
  <si>
    <t xml:space="preserve">FEDC161720  </t>
  </si>
  <si>
    <t xml:space="preserve">FEDC161722  </t>
  </si>
  <si>
    <t xml:space="preserve">FEDC161723  </t>
  </si>
  <si>
    <t xml:space="preserve">FEDC161729  </t>
  </si>
  <si>
    <t xml:space="preserve">FEDC161730  </t>
  </si>
  <si>
    <t xml:space="preserve">FEDC161758  </t>
  </si>
  <si>
    <t xml:space="preserve">FEDC161774  </t>
  </si>
  <si>
    <t xml:space="preserve">FEDC161775  </t>
  </si>
  <si>
    <t xml:space="preserve">FEDC161701  </t>
  </si>
  <si>
    <t xml:space="preserve">FEDC161706  </t>
  </si>
  <si>
    <t xml:space="preserve">FEDC161734  </t>
  </si>
  <si>
    <t xml:space="preserve">FEDC161735  </t>
  </si>
  <si>
    <t xml:space="preserve">FEDC161737  </t>
  </si>
  <si>
    <t xml:space="preserve">FEDC161814  </t>
  </si>
  <si>
    <t xml:space="preserve">FEDC161815  </t>
  </si>
  <si>
    <t xml:space="preserve">FEDC161816  </t>
  </si>
  <si>
    <t xml:space="preserve">FEDC161817  </t>
  </si>
  <si>
    <t xml:space="preserve">FEDC161818  </t>
  </si>
  <si>
    <t xml:space="preserve">FEDC161819  </t>
  </si>
  <si>
    <t xml:space="preserve">FEDC161820  </t>
  </si>
  <si>
    <t xml:space="preserve">FEDC161821  </t>
  </si>
  <si>
    <t xml:space="preserve">FEDC161822  </t>
  </si>
  <si>
    <t xml:space="preserve">FEDC161823  </t>
  </si>
  <si>
    <t xml:space="preserve">FEDC161824  </t>
  </si>
  <si>
    <t xml:space="preserve">FEDC161826  </t>
  </si>
  <si>
    <t xml:space="preserve">FEDC161827  </t>
  </si>
  <si>
    <t xml:space="preserve">FEDC161829  </t>
  </si>
  <si>
    <t xml:space="preserve">FEDC161830  </t>
  </si>
  <si>
    <t xml:space="preserve">FEDC161832  </t>
  </si>
  <si>
    <t xml:space="preserve">FEDC161851  </t>
  </si>
  <si>
    <t xml:space="preserve">FEDC161852  </t>
  </si>
  <si>
    <t xml:space="preserve">FEDC161855  </t>
  </si>
  <si>
    <t xml:space="preserve">FEDC161870  </t>
  </si>
  <si>
    <t xml:space="preserve">FEDC161871  </t>
  </si>
  <si>
    <t xml:space="preserve">FEDC161903  </t>
  </si>
  <si>
    <t xml:space="preserve">FEDC161923  </t>
  </si>
  <si>
    <t xml:space="preserve">FEDC161924  </t>
  </si>
  <si>
    <t xml:space="preserve">FEDC161926  </t>
  </si>
  <si>
    <t xml:space="preserve">FEDC161927  </t>
  </si>
  <si>
    <t xml:space="preserve">FEDC161928  </t>
  </si>
  <si>
    <t xml:space="preserve">FEDC161929  </t>
  </si>
  <si>
    <t xml:space="preserve">FEDC161930  </t>
  </si>
  <si>
    <t xml:space="preserve">FEDC161989  </t>
  </si>
  <si>
    <t xml:space="preserve">FEDC161991  </t>
  </si>
  <si>
    <t xml:space="preserve">FEDC161992  </t>
  </si>
  <si>
    <t xml:space="preserve">FEDC161995  </t>
  </si>
  <si>
    <t xml:space="preserve">FEDC162005  </t>
  </si>
  <si>
    <t xml:space="preserve">FEDC161700  </t>
  </si>
  <si>
    <t xml:space="preserve">FEDC161712  </t>
  </si>
  <si>
    <t xml:space="preserve">FEDC162052  </t>
  </si>
  <si>
    <t xml:space="preserve">FEDC162114  </t>
  </si>
  <si>
    <t xml:space="preserve">FEDC162115  </t>
  </si>
  <si>
    <t xml:space="preserve">FEDC162116  </t>
  </si>
  <si>
    <t xml:space="preserve">FEDC162122  </t>
  </si>
  <si>
    <t xml:space="preserve">FEDC162123  </t>
  </si>
  <si>
    <t xml:space="preserve">FEDC162124  </t>
  </si>
  <si>
    <t xml:space="preserve">FEDC162126  </t>
  </si>
  <si>
    <t xml:space="preserve">FEDC162127  </t>
  </si>
  <si>
    <t xml:space="preserve">FEVM47692   </t>
  </si>
  <si>
    <t xml:space="preserve">FEDC161699  </t>
  </si>
  <si>
    <t xml:space="preserve">FEDC161702  </t>
  </si>
  <si>
    <t xml:space="preserve">FEDC161703  </t>
  </si>
  <si>
    <t xml:space="preserve">FEDC161695  </t>
  </si>
  <si>
    <t xml:space="preserve">FEDC161697  </t>
  </si>
  <si>
    <t xml:space="preserve">FEDC162229  </t>
  </si>
  <si>
    <t xml:space="preserve">FEDC162230  </t>
  </si>
  <si>
    <t xml:space="preserve">FEDC162241  </t>
  </si>
  <si>
    <t xml:space="preserve">FEDC162266  </t>
  </si>
  <si>
    <t xml:space="preserve">FEDC162268  </t>
  </si>
  <si>
    <t xml:space="preserve">FEDC162270  </t>
  </si>
  <si>
    <t xml:space="preserve">FEDC162272  </t>
  </si>
  <si>
    <t xml:space="preserve">FEDC162280  </t>
  </si>
  <si>
    <t xml:space="preserve">FEDC162311  </t>
  </si>
  <si>
    <t xml:space="preserve">FEDC162350  </t>
  </si>
  <si>
    <t xml:space="preserve">FEDC162357  </t>
  </si>
  <si>
    <t xml:space="preserve">98652086            </t>
  </si>
  <si>
    <t xml:space="preserve">SUAREZ HOYOS FREDY ANTONIO                                  </t>
  </si>
  <si>
    <t xml:space="preserve">FEDC162406  </t>
  </si>
  <si>
    <t xml:space="preserve">3228463784                    </t>
  </si>
  <si>
    <t xml:space="preserve">FEDC162408  </t>
  </si>
  <si>
    <t xml:space="preserve">FEDC162409  </t>
  </si>
  <si>
    <t xml:space="preserve">FEDC162411  </t>
  </si>
  <si>
    <t xml:space="preserve">FEDC162412  </t>
  </si>
  <si>
    <t xml:space="preserve">FEDC162418  </t>
  </si>
  <si>
    <t xml:space="preserve">FEDC162419  </t>
  </si>
  <si>
    <t xml:space="preserve">FEDC162420  </t>
  </si>
  <si>
    <t xml:space="preserve">FEDC162421  </t>
  </si>
  <si>
    <t xml:space="preserve">FEDC162423  </t>
  </si>
  <si>
    <t xml:space="preserve">FEDC162424  </t>
  </si>
  <si>
    <t xml:space="preserve">FEDC162425  </t>
  </si>
  <si>
    <t xml:space="preserve">FEDC162426  </t>
  </si>
  <si>
    <t xml:space="preserve">FEDC162427  </t>
  </si>
  <si>
    <t xml:space="preserve">FEDC162428  </t>
  </si>
  <si>
    <t xml:space="preserve">FEDC162431  </t>
  </si>
  <si>
    <t xml:space="preserve">FEDC162432  </t>
  </si>
  <si>
    <t xml:space="preserve">FEDC162433  </t>
  </si>
  <si>
    <t xml:space="preserve">FEDC162447  </t>
  </si>
  <si>
    <t xml:space="preserve">FEDC162450  </t>
  </si>
  <si>
    <t xml:space="preserve">FEDC162452  </t>
  </si>
  <si>
    <t xml:space="preserve">FEDC162453  </t>
  </si>
  <si>
    <t xml:space="preserve">FEDC162454  </t>
  </si>
  <si>
    <t xml:space="preserve">FEDC162499  </t>
  </si>
  <si>
    <t xml:space="preserve">FEDC162504  </t>
  </si>
  <si>
    <t xml:space="preserve">FEDC162505  </t>
  </si>
  <si>
    <t xml:space="preserve">FEDC162508  </t>
  </si>
  <si>
    <t xml:space="preserve">FEDC162509  </t>
  </si>
  <si>
    <t xml:space="preserve">FEDC162510  </t>
  </si>
  <si>
    <t xml:space="preserve">FEDC162519  </t>
  </si>
  <si>
    <t xml:space="preserve">FEDC162521  </t>
  </si>
  <si>
    <t xml:space="preserve">FEDC162527  </t>
  </si>
  <si>
    <t xml:space="preserve">FEDC162529  </t>
  </si>
  <si>
    <t xml:space="preserve">FEDC162540  </t>
  </si>
  <si>
    <t xml:space="preserve">FEDC162542  </t>
  </si>
  <si>
    <t xml:space="preserve">FEDC162544  </t>
  </si>
  <si>
    <t xml:space="preserve">FEDC162584  </t>
  </si>
  <si>
    <t xml:space="preserve">FEDC162595  </t>
  </si>
  <si>
    <t xml:space="preserve">FEDC162597  </t>
  </si>
  <si>
    <t xml:space="preserve">FEDC162599  </t>
  </si>
  <si>
    <t xml:space="preserve">FEDC162602  </t>
  </si>
  <si>
    <t xml:space="preserve">FEDC162603  </t>
  </si>
  <si>
    <t xml:space="preserve">FEDC162604  </t>
  </si>
  <si>
    <t xml:space="preserve">FEDC162626  </t>
  </si>
  <si>
    <t xml:space="preserve">FEVM48001   </t>
  </si>
  <si>
    <t xml:space="preserve">FEVM48002   </t>
  </si>
  <si>
    <t xml:space="preserve">FEVM48098   </t>
  </si>
  <si>
    <t xml:space="preserve">FEVM48125   </t>
  </si>
  <si>
    <t xml:space="preserve">FEVM48175   </t>
  </si>
  <si>
    <t xml:space="preserve">FEVM48176   </t>
  </si>
  <si>
    <t xml:space="preserve">FEVM48180   </t>
  </si>
  <si>
    <t xml:space="preserve">FEVM47965   </t>
  </si>
  <si>
    <t xml:space="preserve">FEVM47966   </t>
  </si>
  <si>
    <t xml:space="preserve">FEVM48010   </t>
  </si>
  <si>
    <t xml:space="preserve">1007319368          </t>
  </si>
  <si>
    <t xml:space="preserve">ARENAS CAÑAS BEATRIZ ELENA                                  </t>
  </si>
  <si>
    <t xml:space="preserve">FEDC162617  </t>
  </si>
  <si>
    <t xml:space="preserve">3147749006                    </t>
  </si>
  <si>
    <t xml:space="preserve">FEDC162622  </t>
  </si>
  <si>
    <t xml:space="preserve">FEDC162623  </t>
  </si>
  <si>
    <t xml:space="preserve">FEDC162624  </t>
  </si>
  <si>
    <t xml:space="preserve">FEDC162625  </t>
  </si>
  <si>
    <t xml:space="preserve">FEDC162614  </t>
  </si>
  <si>
    <t xml:space="preserve">FEDC162621  </t>
  </si>
  <si>
    <t xml:space="preserve">FEDC162313  </t>
  </si>
  <si>
    <t xml:space="preserve">FEDC162314  </t>
  </si>
  <si>
    <t xml:space="preserve">FEDC162315  </t>
  </si>
  <si>
    <t xml:space="preserve">FEDC162316  </t>
  </si>
  <si>
    <t xml:space="preserve">FEDC162317  </t>
  </si>
  <si>
    <t xml:space="preserve">FEDC162318  </t>
  </si>
  <si>
    <t xml:space="preserve">FEDC162320  </t>
  </si>
  <si>
    <t xml:space="preserve">FEDC162321  </t>
  </si>
  <si>
    <t xml:space="preserve">FEDC162322  </t>
  </si>
  <si>
    <t xml:space="preserve">FEDC162323  </t>
  </si>
  <si>
    <t xml:space="preserve">FEDC162324  </t>
  </si>
  <si>
    <t xml:space="preserve">FEDC162325  </t>
  </si>
  <si>
    <t xml:space="preserve">FEDC162326  </t>
  </si>
  <si>
    <t xml:space="preserve">FEDC162327  </t>
  </si>
  <si>
    <t xml:space="preserve">FEDC162328  </t>
  </si>
  <si>
    <t xml:space="preserve">FEDC162329  </t>
  </si>
  <si>
    <t xml:space="preserve">FEDC162330  </t>
  </si>
  <si>
    <t xml:space="preserve">FEDC162331  </t>
  </si>
  <si>
    <t xml:space="preserve">FEDC162332  </t>
  </si>
  <si>
    <t xml:space="preserve">FEDC162338  </t>
  </si>
  <si>
    <t xml:space="preserve">FEDC162354  </t>
  </si>
  <si>
    <t xml:space="preserve">FEDC162359  </t>
  </si>
  <si>
    <t xml:space="preserve">FEDC162360  </t>
  </si>
  <si>
    <t xml:space="preserve">FEDC162361  </t>
  </si>
  <si>
    <t xml:space="preserve">FEDC162362  </t>
  </si>
  <si>
    <t xml:space="preserve">FEDC162363  </t>
  </si>
  <si>
    <t xml:space="preserve">FEVM48140   </t>
  </si>
  <si>
    <t xml:space="preserve">FEVM48147   </t>
  </si>
  <si>
    <t xml:space="preserve">FEVM48170   </t>
  </si>
  <si>
    <t xml:space="preserve">FEVM48171   </t>
  </si>
  <si>
    <t xml:space="preserve">FEVM48227   </t>
  </si>
  <si>
    <t xml:space="preserve">FEVM48230   </t>
  </si>
  <si>
    <t xml:space="preserve">FEVM48231   </t>
  </si>
  <si>
    <t xml:space="preserve">FEVM48241   </t>
  </si>
  <si>
    <t xml:space="preserve">FEVM48242   </t>
  </si>
  <si>
    <t xml:space="preserve">FEVM48244   </t>
  </si>
  <si>
    <t xml:space="preserve">FEVM48245   </t>
  </si>
  <si>
    <t xml:space="preserve">FEDC162227  </t>
  </si>
  <si>
    <t xml:space="preserve">FEDC162228  </t>
  </si>
  <si>
    <t xml:space="preserve">FEVM48022   </t>
  </si>
  <si>
    <t xml:space="preserve">FEDC162468  </t>
  </si>
  <si>
    <t xml:space="preserve">FEVM47932   </t>
  </si>
  <si>
    <t xml:space="preserve">FEVM47944   </t>
  </si>
  <si>
    <t xml:space="preserve">FEVM48076   </t>
  </si>
  <si>
    <t xml:space="preserve">FEVM48080   </t>
  </si>
  <si>
    <t xml:space="preserve">FEVM48081   </t>
  </si>
  <si>
    <t xml:space="preserve">FEVM48088   </t>
  </si>
  <si>
    <t xml:space="preserve">FEDC162244  </t>
  </si>
  <si>
    <t xml:space="preserve">FEDC162245  </t>
  </si>
  <si>
    <t xml:space="preserve">FEDC162479  </t>
  </si>
  <si>
    <t xml:space="preserve">FEDC162480  </t>
  </si>
  <si>
    <t xml:space="preserve">FEDC162481  </t>
  </si>
  <si>
    <t xml:space="preserve">FEDC162482  </t>
  </si>
  <si>
    <t xml:space="preserve">FEDC162483  </t>
  </si>
  <si>
    <t xml:space="preserve">FEDC162484  </t>
  </si>
  <si>
    <t xml:space="preserve">FEDC162488  </t>
  </si>
  <si>
    <t xml:space="preserve">FEDC162489  </t>
  </si>
  <si>
    <t xml:space="preserve">FEDC162490  </t>
  </si>
  <si>
    <t xml:space="preserve">FEDC162492  </t>
  </si>
  <si>
    <t xml:space="preserve">FEDC162493  </t>
  </si>
  <si>
    <t xml:space="preserve">FEDC162500  </t>
  </si>
  <si>
    <t xml:space="preserve">FEDC162501  </t>
  </si>
  <si>
    <t xml:space="preserve">FEDC162502  </t>
  </si>
  <si>
    <t xml:space="preserve">FEDC162547  </t>
  </si>
  <si>
    <t xml:space="preserve">FEDC162548  </t>
  </si>
  <si>
    <t xml:space="preserve">FEDC162574  </t>
  </si>
  <si>
    <t xml:space="preserve">FEDC162575  </t>
  </si>
  <si>
    <t xml:space="preserve">FEDC162576  </t>
  </si>
  <si>
    <t xml:space="preserve">FEDC162577  </t>
  </si>
  <si>
    <t xml:space="preserve">1017122297          </t>
  </si>
  <si>
    <t xml:space="preserve">OCHOA ARISMENDI EDER LUIS                                   </t>
  </si>
  <si>
    <t xml:space="preserve">3104211476                    </t>
  </si>
  <si>
    <t xml:space="preserve">91473550            </t>
  </si>
  <si>
    <t xml:space="preserve">PEDRAZA MORALES LUIS JESUS                                  </t>
  </si>
  <si>
    <t xml:space="preserve">3146748066                    </t>
  </si>
  <si>
    <t xml:space="preserve">FEVM48066   </t>
  </si>
  <si>
    <t xml:space="preserve">FEVM48067   </t>
  </si>
  <si>
    <t xml:space="preserve">FEVM48072   </t>
  </si>
  <si>
    <t xml:space="preserve">FEVM48073   </t>
  </si>
  <si>
    <t xml:space="preserve">FEVM48153   </t>
  </si>
  <si>
    <t xml:space="preserve">FEVM48154   </t>
  </si>
  <si>
    <t xml:space="preserve">FEVM48155   </t>
  </si>
  <si>
    <t xml:space="preserve">FEVM48156   </t>
  </si>
  <si>
    <t xml:space="preserve">FEDC162368  </t>
  </si>
  <si>
    <t xml:space="preserve">FEDC162369  </t>
  </si>
  <si>
    <t xml:space="preserve">FEDC162370  </t>
  </si>
  <si>
    <t xml:space="preserve">FEDC162377  </t>
  </si>
  <si>
    <t xml:space="preserve">FEDC162379  </t>
  </si>
  <si>
    <t xml:space="preserve">FEDC162380  </t>
  </si>
  <si>
    <t xml:space="preserve">FEDC162381  </t>
  </si>
  <si>
    <t xml:space="preserve">FEDC162234  </t>
  </si>
  <si>
    <t xml:space="preserve">FEDC162238  </t>
  </si>
  <si>
    <t xml:space="preserve">FEDC162240  </t>
  </si>
  <si>
    <t xml:space="preserve">FEDC162464  </t>
  </si>
  <si>
    <t xml:space="preserve">FEDC162469  </t>
  </si>
  <si>
    <t xml:space="preserve">FEDC162174  </t>
  </si>
  <si>
    <t xml:space="preserve">FEDC162175  </t>
  </si>
  <si>
    <t xml:space="preserve">FEDC162206  </t>
  </si>
  <si>
    <t xml:space="preserve">FEDC162207  </t>
  </si>
  <si>
    <t xml:space="preserve">FEDC162208  </t>
  </si>
  <si>
    <t xml:space="preserve">FEDC162209  </t>
  </si>
  <si>
    <t xml:space="preserve">FEDC162215  </t>
  </si>
  <si>
    <t xml:space="preserve">FEDC162216  </t>
  </si>
  <si>
    <t xml:space="preserve">FEDC162217  </t>
  </si>
  <si>
    <t xml:space="preserve">FEDC162302  </t>
  </si>
  <si>
    <t xml:space="preserve">FEDC162304  </t>
  </si>
  <si>
    <t xml:space="preserve">FEDC162305  </t>
  </si>
  <si>
    <t xml:space="preserve">FEDC162339  </t>
  </si>
  <si>
    <t xml:space="preserve">FEDC162340  </t>
  </si>
  <si>
    <t xml:space="preserve">FEDC162342  </t>
  </si>
  <si>
    <t xml:space="preserve">FEDC162343  </t>
  </si>
  <si>
    <t xml:space="preserve">FEDC162344  </t>
  </si>
  <si>
    <t xml:space="preserve">FEDC162345  </t>
  </si>
  <si>
    <t xml:space="preserve">FEDC162364  </t>
  </si>
  <si>
    <t xml:space="preserve">FEDC162232  </t>
  </si>
  <si>
    <t xml:space="preserve">FEDC162233  </t>
  </si>
  <si>
    <t xml:space="preserve">FEDC162242  </t>
  </si>
  <si>
    <t xml:space="preserve">FEDC162243  </t>
  </si>
  <si>
    <t xml:space="preserve">FEDC162246  </t>
  </si>
  <si>
    <t xml:space="preserve">FEDC162247  </t>
  </si>
  <si>
    <t xml:space="preserve">FEDC162248  </t>
  </si>
  <si>
    <t xml:space="preserve">FEDC162249  </t>
  </si>
  <si>
    <t xml:space="preserve">FEDC162250  </t>
  </si>
  <si>
    <t xml:space="preserve">FEDC162251  </t>
  </si>
  <si>
    <t xml:space="preserve">FEDC162252  </t>
  </si>
  <si>
    <t xml:space="preserve">FEDC162253  </t>
  </si>
  <si>
    <t xml:space="preserve">1197214791          </t>
  </si>
  <si>
    <t xml:space="preserve">CANO TAPIAS ADRIANA PAOLA                                   </t>
  </si>
  <si>
    <t xml:space="preserve">3022039370                    </t>
  </si>
  <si>
    <t xml:space="preserve">FEDC162255  </t>
  </si>
  <si>
    <t xml:space="preserve">FEDC162256  </t>
  </si>
  <si>
    <t xml:space="preserve">FEDC162257  </t>
  </si>
  <si>
    <t xml:space="preserve">FEDC162258  </t>
  </si>
  <si>
    <t xml:space="preserve">FEDC162259  </t>
  </si>
  <si>
    <t xml:space="preserve">FEDC162260  </t>
  </si>
  <si>
    <t xml:space="preserve">FEDC162261  </t>
  </si>
  <si>
    <t xml:space="preserve">FEDC162262  </t>
  </si>
  <si>
    <t xml:space="preserve">FEVM47989   </t>
  </si>
  <si>
    <t xml:space="preserve">FEDC162631  </t>
  </si>
  <si>
    <t xml:space="preserve">FEDC162632  </t>
  </si>
  <si>
    <t xml:space="preserve">FEDC162633  </t>
  </si>
  <si>
    <t xml:space="preserve">FEDC162634  </t>
  </si>
  <si>
    <t xml:space="preserve">FEDC162635  </t>
  </si>
  <si>
    <t xml:space="preserve">FEDC162642  </t>
  </si>
  <si>
    <t xml:space="preserve">FEDC162176  </t>
  </si>
  <si>
    <t xml:space="preserve">FEDC162180  </t>
  </si>
  <si>
    <t xml:space="preserve">FEDC162182  </t>
  </si>
  <si>
    <t xml:space="preserve">FEDC162183  </t>
  </si>
  <si>
    <t xml:space="preserve">FEDC162184  </t>
  </si>
  <si>
    <t xml:space="preserve">FEDC162185  </t>
  </si>
  <si>
    <t xml:space="preserve">FEDC162186  </t>
  </si>
  <si>
    <t xml:space="preserve">FEDC162197  </t>
  </si>
  <si>
    <t xml:space="preserve">FEDC162198  </t>
  </si>
  <si>
    <t xml:space="preserve">FEDC162201  </t>
  </si>
  <si>
    <t xml:space="preserve">FEDC162202  </t>
  </si>
  <si>
    <t xml:space="preserve">FEDC162203  </t>
  </si>
  <si>
    <t xml:space="preserve">FEDC162204  </t>
  </si>
  <si>
    <t xml:space="preserve">FEDC162638  </t>
  </si>
  <si>
    <t xml:space="preserve">FEDC162639  </t>
  </si>
  <si>
    <t xml:space="preserve">FEDC162640  </t>
  </si>
  <si>
    <t xml:space="preserve">FEDC162641  </t>
  </si>
  <si>
    <t xml:space="preserve">FEDC162177  </t>
  </si>
  <si>
    <t xml:space="preserve">FEDC162178  </t>
  </si>
  <si>
    <t xml:space="preserve">FEDC162179  </t>
  </si>
  <si>
    <t xml:space="preserve">FEDC162195  </t>
  </si>
  <si>
    <t xml:space="preserve">FEDC162196  </t>
  </si>
  <si>
    <t xml:space="preserve">FEDC162220  </t>
  </si>
  <si>
    <t xml:space="preserve">FEDC162221  </t>
  </si>
  <si>
    <t xml:space="preserve">FEDC162222  </t>
  </si>
  <si>
    <t xml:space="preserve">FEDC162223  </t>
  </si>
  <si>
    <t xml:space="preserve">FEDC162391  </t>
  </si>
  <si>
    <t xml:space="preserve">FEDC162392  </t>
  </si>
  <si>
    <t xml:space="preserve">FEDC162395  </t>
  </si>
  <si>
    <t xml:space="preserve">FEDC162396  </t>
  </si>
  <si>
    <t xml:space="preserve">FEDC162397  </t>
  </si>
  <si>
    <t xml:space="preserve">FEDC162400  </t>
  </si>
  <si>
    <t xml:space="preserve">FEDC162401  </t>
  </si>
  <si>
    <t xml:space="preserve">FEDC162402  </t>
  </si>
  <si>
    <t xml:space="preserve">FEVM47958   </t>
  </si>
  <si>
    <t xml:space="preserve">FEVM48123   </t>
  </si>
  <si>
    <t xml:space="preserve">FEDC162224  </t>
  </si>
  <si>
    <t xml:space="preserve">FEDC162225  </t>
  </si>
  <si>
    <t xml:space="preserve">FEDC162465  </t>
  </si>
  <si>
    <t xml:space="preserve">FEDC162467  </t>
  </si>
  <si>
    <t xml:space="preserve">FEDC162566  </t>
  </si>
  <si>
    <t xml:space="preserve">FEDC162567  </t>
  </si>
  <si>
    <t xml:space="preserve">FEDC162568  </t>
  </si>
  <si>
    <t xml:space="preserve">FEDC162589  </t>
  </si>
  <si>
    <t xml:space="preserve">FEDC162581  </t>
  </si>
  <si>
    <t xml:space="preserve">FEDC162570  </t>
  </si>
  <si>
    <t xml:space="preserve">FEDC162580  </t>
  </si>
  <si>
    <t>01 HAROLD MARIN</t>
  </si>
  <si>
    <t>02 DANNY TRONCOSO</t>
  </si>
  <si>
    <t>07 ARGENIS MEZA</t>
  </si>
  <si>
    <t>10 GELYDIS ENAMORADO</t>
  </si>
  <si>
    <t>17 ROBERT ATENCIA</t>
  </si>
  <si>
    <t>22 JUAN CARLOS ZABALA</t>
  </si>
  <si>
    <t>26 ROY REYES</t>
  </si>
  <si>
    <t>28 RUBEN ABENDAÑO</t>
  </si>
  <si>
    <t>32 JULIET RODRIGUEZ</t>
  </si>
  <si>
    <t>celular</t>
  </si>
  <si>
    <t>06 LORENZO CASTELLAR</t>
  </si>
  <si>
    <t>03 ALEXANDER SANCHEZ</t>
  </si>
  <si>
    <t>04 JUAN CARLOS QUINTANA</t>
  </si>
  <si>
    <t xml:space="preserve">3003097106 - 3013682585       </t>
  </si>
  <si>
    <t xml:space="preserve">3016106394 - 8380269          </t>
  </si>
  <si>
    <t xml:space="preserve">3215061247 - 3116732900       </t>
  </si>
  <si>
    <t xml:space="preserve">3122718636 - 3194510198       </t>
  </si>
  <si>
    <t xml:space="preserve">FEDC162664  </t>
  </si>
  <si>
    <t xml:space="preserve">FEDC162668  </t>
  </si>
  <si>
    <t xml:space="preserve">FEDC162669  </t>
  </si>
  <si>
    <t xml:space="preserve">FEDC162671  </t>
  </si>
  <si>
    <t xml:space="preserve">FEDC162679  </t>
  </si>
  <si>
    <t xml:space="preserve">FEDC162692  </t>
  </si>
  <si>
    <t xml:space="preserve">FEDC162728  </t>
  </si>
  <si>
    <t xml:space="preserve">FEDC162729  </t>
  </si>
  <si>
    <t xml:space="preserve">FEDC162730  </t>
  </si>
  <si>
    <t xml:space="preserve">FEDC162731  </t>
  </si>
  <si>
    <t xml:space="preserve">FEDC162732  </t>
  </si>
  <si>
    <t xml:space="preserve">FEDC162733  </t>
  </si>
  <si>
    <t xml:space="preserve">FEDC162741  </t>
  </si>
  <si>
    <t xml:space="preserve">FEDC162742  </t>
  </si>
  <si>
    <t xml:space="preserve">FEDC162743  </t>
  </si>
  <si>
    <t xml:space="preserve">FEDC162744  </t>
  </si>
  <si>
    <t xml:space="preserve">FEDC162745  </t>
  </si>
  <si>
    <t xml:space="preserve">FEDC162749  </t>
  </si>
  <si>
    <t xml:space="preserve">FEDC162751  </t>
  </si>
  <si>
    <t xml:space="preserve">FEDC162752  </t>
  </si>
  <si>
    <t xml:space="preserve">FEDC162753  </t>
  </si>
  <si>
    <t xml:space="preserve">FEDC162763  </t>
  </si>
  <si>
    <t xml:space="preserve">FEDC162764  </t>
  </si>
  <si>
    <t xml:space="preserve">FEDC162769  </t>
  </si>
  <si>
    <t xml:space="preserve">FEDC162770  </t>
  </si>
  <si>
    <t xml:space="preserve">FEDC162773  </t>
  </si>
  <si>
    <t xml:space="preserve">FEDC162774  </t>
  </si>
  <si>
    <t xml:space="preserve">FEDC162775  </t>
  </si>
  <si>
    <t xml:space="preserve">FEDC162776  </t>
  </si>
  <si>
    <t xml:space="preserve">FEDC162790  </t>
  </si>
  <si>
    <t xml:space="preserve">FEDC162795  </t>
  </si>
  <si>
    <t xml:space="preserve">FEDC162833  </t>
  </si>
  <si>
    <t xml:space="preserve">FEDC162836  </t>
  </si>
  <si>
    <t xml:space="preserve">FEDC162837  </t>
  </si>
  <si>
    <t xml:space="preserve">FEDC162840  </t>
  </si>
  <si>
    <t xml:space="preserve">FEDC162842  </t>
  </si>
  <si>
    <t xml:space="preserve">FEDC162871  </t>
  </si>
  <si>
    <t xml:space="preserve">FEDC162895  </t>
  </si>
  <si>
    <t xml:space="preserve">FEDC162896  </t>
  </si>
  <si>
    <t xml:space="preserve">FEDC162897  </t>
  </si>
  <si>
    <t xml:space="preserve">FEDC162915  </t>
  </si>
  <si>
    <t xml:space="preserve">FEDC162918  </t>
  </si>
  <si>
    <t xml:space="preserve">3215694941 - 3118537598       </t>
  </si>
  <si>
    <t xml:space="preserve">FEVM48299   </t>
  </si>
  <si>
    <t xml:space="preserve">FEVM48322   </t>
  </si>
  <si>
    <t xml:space="preserve">FEVM48381   </t>
  </si>
  <si>
    <t xml:space="preserve">1038133314          </t>
  </si>
  <si>
    <t xml:space="preserve">DUQUE BARRIENTOS VICTOR ALFONSO                             </t>
  </si>
  <si>
    <t xml:space="preserve">3226838828                    </t>
  </si>
  <si>
    <t xml:space="preserve">FEVM48455   </t>
  </si>
  <si>
    <t xml:space="preserve">3136126031 - 3137226812       </t>
  </si>
  <si>
    <t xml:space="preserve">3017250021 - 3106514567       </t>
  </si>
  <si>
    <t xml:space="preserve">8372131 - 3175914711          </t>
  </si>
  <si>
    <t xml:space="preserve">3104097081 - 8370555          </t>
  </si>
  <si>
    <t xml:space="preserve">FEDC162907  </t>
  </si>
  <si>
    <t xml:space="preserve">FEDC162908  </t>
  </si>
  <si>
    <t xml:space="preserve">FEDC162684  </t>
  </si>
  <si>
    <t xml:space="preserve">FEDC162685  </t>
  </si>
  <si>
    <t xml:space="preserve">FEDC162686  </t>
  </si>
  <si>
    <t xml:space="preserve">FEDC162703  </t>
  </si>
  <si>
    <t xml:space="preserve">FEDC162704  </t>
  </si>
  <si>
    <t xml:space="preserve">FEDC162705  </t>
  </si>
  <si>
    <t xml:space="preserve">FEDC162706  </t>
  </si>
  <si>
    <t xml:space="preserve">FEDC162707  </t>
  </si>
  <si>
    <t xml:space="preserve">FEDC162713  </t>
  </si>
  <si>
    <t xml:space="preserve">FEDC162721  </t>
  </si>
  <si>
    <t xml:space="preserve">FEDC162722  </t>
  </si>
  <si>
    <t xml:space="preserve">FEDC162843  </t>
  </si>
  <si>
    <t xml:space="preserve">FEVM48337   </t>
  </si>
  <si>
    <t xml:space="preserve">FEVM48338   </t>
  </si>
  <si>
    <t xml:space="preserve">FEVM48342   </t>
  </si>
  <si>
    <t xml:space="preserve">3217271544 - 3104942622       </t>
  </si>
  <si>
    <t xml:space="preserve">FEDC162653  </t>
  </si>
  <si>
    <t xml:space="preserve">FEDC162654  </t>
  </si>
  <si>
    <t xml:space="preserve">FEDC162674  </t>
  </si>
  <si>
    <t xml:space="preserve">FEDC162675  </t>
  </si>
  <si>
    <t xml:space="preserve">FEDC162676  </t>
  </si>
  <si>
    <t xml:space="preserve">98673920            </t>
  </si>
  <si>
    <t xml:space="preserve">VELASQUEZ ATEHORTUA DANNOVER DE JESUS                       </t>
  </si>
  <si>
    <t>PUERTO VALDIVIA</t>
  </si>
  <si>
    <t xml:space="preserve">FEDC162650  </t>
  </si>
  <si>
    <t xml:space="preserve">3104953028 - 3135329940       </t>
  </si>
  <si>
    <t xml:space="preserve">FEDC162652  </t>
  </si>
  <si>
    <t xml:space="preserve">3137760175 - 3148289561       </t>
  </si>
  <si>
    <t xml:space="preserve">FEDC162856  </t>
  </si>
  <si>
    <t xml:space="preserve">FEDC162857  </t>
  </si>
  <si>
    <t xml:space="preserve">FEDC162858  </t>
  </si>
  <si>
    <t xml:space="preserve">3128309133 - 3234665815       </t>
  </si>
  <si>
    <t xml:space="preserve">3216102127 - 3155095670       </t>
  </si>
  <si>
    <t xml:space="preserve">3022945533 - 3227702288       </t>
  </si>
  <si>
    <t xml:space="preserve">FEDC162767  </t>
  </si>
  <si>
    <t xml:space="preserve">FEDC162782  </t>
  </si>
  <si>
    <t xml:space="preserve">FEDC162797  </t>
  </si>
  <si>
    <t xml:space="preserve">FEDC162800  </t>
  </si>
  <si>
    <t xml:space="preserve">FEDC162801  </t>
  </si>
  <si>
    <t xml:space="preserve">FEVM48425   </t>
  </si>
  <si>
    <t xml:space="preserve">FEVM48427   </t>
  </si>
  <si>
    <t xml:space="preserve">FEVM48428   </t>
  </si>
  <si>
    <t xml:space="preserve">FEVM48429   </t>
  </si>
  <si>
    <t xml:space="preserve">FEVM48430   </t>
  </si>
  <si>
    <t xml:space="preserve">FEVM48431   </t>
  </si>
  <si>
    <t xml:space="preserve">3117322753 - 7767418          </t>
  </si>
  <si>
    <t xml:space="preserve">FEDC162657  </t>
  </si>
  <si>
    <t xml:space="preserve">FEDC162658  </t>
  </si>
  <si>
    <t xml:space="preserve">FEDC162659  </t>
  </si>
  <si>
    <t xml:space="preserve">FEDC162660  </t>
  </si>
  <si>
    <t xml:space="preserve">FEDC162661  </t>
  </si>
  <si>
    <t xml:space="preserve">FEDC162715  </t>
  </si>
  <si>
    <t xml:space="preserve">FEDC162716  </t>
  </si>
  <si>
    <t xml:space="preserve">FEDC162717  </t>
  </si>
  <si>
    <t xml:space="preserve">FEDC162724  </t>
  </si>
  <si>
    <t xml:space="preserve">FEDC162725  </t>
  </si>
  <si>
    <t xml:space="preserve">FEDC162726  </t>
  </si>
  <si>
    <t xml:space="preserve">FEDC162727  </t>
  </si>
  <si>
    <t xml:space="preserve">FEDC162821  </t>
  </si>
  <si>
    <t xml:space="preserve">900068957-0         </t>
  </si>
  <si>
    <t xml:space="preserve">INGENIERIA DE SERVICIOS B.C. LTDA                           </t>
  </si>
  <si>
    <t xml:space="preserve">3012650570                    </t>
  </si>
  <si>
    <t xml:space="preserve">FEDC162914  </t>
  </si>
  <si>
    <t xml:space="preserve">78299244            </t>
  </si>
  <si>
    <t xml:space="preserve">RAMOS APARICIO PEDRO LUIS                                   </t>
  </si>
  <si>
    <t xml:space="preserve">3215907369     </t>
  </si>
  <si>
    <t xml:space="preserve">FEVM48460   </t>
  </si>
  <si>
    <t xml:space="preserve">FEDC162663  </t>
  </si>
  <si>
    <t xml:space="preserve">FEVM48419   </t>
  </si>
  <si>
    <t xml:space="preserve">FEVM48461   </t>
  </si>
  <si>
    <t xml:space="preserve">10894463            </t>
  </si>
  <si>
    <t xml:space="preserve">CAUSIL CARDOZO FERNANDO JOSE                                </t>
  </si>
  <si>
    <t xml:space="preserve">FEDC162822  </t>
  </si>
  <si>
    <t xml:space="preserve">3135952424                    </t>
  </si>
  <si>
    <t xml:space="preserve">FEDC162824  </t>
  </si>
  <si>
    <t xml:space="preserve">FEDC162912  </t>
  </si>
  <si>
    <t xml:space="preserve">FEVM48282   </t>
  </si>
  <si>
    <t xml:space="preserve">1005676664          </t>
  </si>
  <si>
    <t xml:space="preserve">VILLEGAS VILORIA ROBINSON ENRIQUE                           </t>
  </si>
  <si>
    <t xml:space="preserve">3224831706                    </t>
  </si>
  <si>
    <t xml:space="preserve">50978377            </t>
  </si>
  <si>
    <t xml:space="preserve">ARRIETA BENITEZ MIRIAM DE LA CRUZ                           </t>
  </si>
  <si>
    <t>7663322</t>
  </si>
  <si>
    <t xml:space="preserve">FEVM48293   </t>
  </si>
  <si>
    <t xml:space="preserve">73558411-5          </t>
  </si>
  <si>
    <t xml:space="preserve">ACASIO MENDIETA JAVIER                                      </t>
  </si>
  <si>
    <t xml:space="preserve">FEDC162811  </t>
  </si>
  <si>
    <t xml:space="preserve">FEDC162812  </t>
  </si>
  <si>
    <t xml:space="preserve">FEVM48433   </t>
  </si>
  <si>
    <t xml:space="preserve">15308915            </t>
  </si>
  <si>
    <t xml:space="preserve">PEREZ RIVERA EDINSON ANTONIO                                </t>
  </si>
  <si>
    <t xml:space="preserve">FEVM48443   </t>
  </si>
  <si>
    <t xml:space="preserve">3205432971                    </t>
  </si>
  <si>
    <t xml:space="preserve">FEDC162877  </t>
  </si>
  <si>
    <t xml:space="preserve">FEDC162878  </t>
  </si>
  <si>
    <t xml:space="preserve">FEDC162884  </t>
  </si>
  <si>
    <t xml:space="preserve">FEDC162885  </t>
  </si>
  <si>
    <t xml:space="preserve">FEDC162886  </t>
  </si>
  <si>
    <t xml:space="preserve">FEDC162889  </t>
  </si>
  <si>
    <t xml:space="preserve">3128781675 - 3207481434       </t>
  </si>
  <si>
    <t xml:space="preserve">3148350978 - 3113898648       </t>
  </si>
  <si>
    <t xml:space="preserve">3012854587 - 3213488346       </t>
  </si>
  <si>
    <t xml:space="preserve">FEDC162734  </t>
  </si>
  <si>
    <t xml:space="preserve">FEDC162735  </t>
  </si>
  <si>
    <t xml:space="preserve">FEDC162736  </t>
  </si>
  <si>
    <t xml:space="preserve">FEDC162737  </t>
  </si>
  <si>
    <t xml:space="preserve">FEDC162739  </t>
  </si>
  <si>
    <t xml:space="preserve">FEDC162788  </t>
  </si>
  <si>
    <t xml:space="preserve">FEDC162815  </t>
  </si>
  <si>
    <t xml:space="preserve">FEDC162816  </t>
  </si>
  <si>
    <t xml:space="preserve">FEDC162817  </t>
  </si>
  <si>
    <t xml:space="preserve">FEDC162818  </t>
  </si>
  <si>
    <t xml:space="preserve">FEDC162819  </t>
  </si>
  <si>
    <t xml:space="preserve">FEDC162829  </t>
  </si>
  <si>
    <t xml:space="preserve">FEDC162845  </t>
  </si>
  <si>
    <t xml:space="preserve">FEDC162846  </t>
  </si>
  <si>
    <t xml:space="preserve">FEDC162847  </t>
  </si>
  <si>
    <t xml:space="preserve">FEDC162848  </t>
  </si>
  <si>
    <t xml:space="preserve">FEDC162849  </t>
  </si>
  <si>
    <t xml:space="preserve">FEDC162850  </t>
  </si>
  <si>
    <t xml:space="preserve">FEDC162851  </t>
  </si>
  <si>
    <t xml:space="preserve">FEDC162852  </t>
  </si>
  <si>
    <t xml:space="preserve">FEDC162853  </t>
  </si>
  <si>
    <t xml:space="preserve">FEDC162872  </t>
  </si>
  <si>
    <t xml:space="preserve">FEDC162873  </t>
  </si>
  <si>
    <t xml:space="preserve">FEDC162874  </t>
  </si>
  <si>
    <t xml:space="preserve">FEDC162875  </t>
  </si>
  <si>
    <t xml:space="preserve">FEDC162876  </t>
  </si>
  <si>
    <t xml:space="preserve">FEDC162903  </t>
  </si>
  <si>
    <t xml:space="preserve">FEDC162904  </t>
  </si>
  <si>
    <t xml:space="preserve">FEDC162905  </t>
  </si>
  <si>
    <t xml:space="preserve">FEDC162909  </t>
  </si>
  <si>
    <t xml:space="preserve">FEDC162910  </t>
  </si>
  <si>
    <t xml:space="preserve">3147637134 - 8200071          </t>
  </si>
  <si>
    <t xml:space="preserve">3013657333 - 7816909          </t>
  </si>
  <si>
    <t xml:space="preserve">FEDC162830  </t>
  </si>
  <si>
    <t xml:space="preserve">70692660            </t>
  </si>
  <si>
    <t xml:space="preserve"> OROZCO ZULUAGA JORGE ALBEIRO                               </t>
  </si>
  <si>
    <t xml:space="preserve">FEDC162863  </t>
  </si>
  <si>
    <t xml:space="preserve">3104046689                    </t>
  </si>
  <si>
    <t xml:space="preserve">FEDC162864  </t>
  </si>
  <si>
    <t xml:space="preserve">FEDC162696  </t>
  </si>
  <si>
    <t xml:space="preserve">FEDC162719  </t>
  </si>
  <si>
    <t xml:space="preserve">FEDC162720  </t>
  </si>
  <si>
    <t xml:space="preserve">3146261490 - 3106866801       </t>
  </si>
  <si>
    <t xml:space="preserve">3218659196 - 3128878242       </t>
  </si>
  <si>
    <t xml:space="preserve">3106828423 - 3125599059       </t>
  </si>
  <si>
    <t xml:space="preserve">FEDC162646  </t>
  </si>
  <si>
    <t xml:space="preserve">FEDC162647  </t>
  </si>
  <si>
    <t xml:space="preserve">FEDC162648  </t>
  </si>
  <si>
    <t xml:space="preserve">FEDC162866  </t>
  </si>
  <si>
    <t xml:space="preserve">FEDC162867  </t>
  </si>
  <si>
    <t xml:space="preserve">FEDC162868  </t>
  </si>
  <si>
    <t xml:space="preserve">BUENAVISTA                    </t>
  </si>
  <si>
    <t xml:space="preserve">901667030           </t>
  </si>
  <si>
    <t xml:space="preserve">AUTOSERVICIO LA GANGUITA SAS                                </t>
  </si>
  <si>
    <t xml:space="preserve">FEVM48276   </t>
  </si>
  <si>
    <t xml:space="preserve">3216207353                    </t>
  </si>
  <si>
    <t xml:space="preserve">FEVM48382   </t>
  </si>
  <si>
    <t xml:space="preserve">3007552626 - 3206683787       </t>
  </si>
  <si>
    <t xml:space="preserve">FEDC162643  </t>
  </si>
  <si>
    <t xml:space="preserve">FEDC162755  </t>
  </si>
  <si>
    <t xml:space="preserve">FEDC162756  </t>
  </si>
  <si>
    <t xml:space="preserve">FEDC162759  </t>
  </si>
  <si>
    <t xml:space="preserve">FEDC162760  </t>
  </si>
  <si>
    <t xml:space="preserve">FEDC162814  </t>
  </si>
  <si>
    <t xml:space="preserve">FEVM48469   </t>
  </si>
  <si>
    <t xml:space="preserve">FEVM48472   </t>
  </si>
  <si>
    <t xml:space="preserve">3116980810 - 3209104630       </t>
  </si>
  <si>
    <t xml:space="preserve">FEDC162827  </t>
  </si>
  <si>
    <t xml:space="preserve">FEDC162828  </t>
  </si>
  <si>
    <t xml:space="preserve">FEDC162900  </t>
  </si>
  <si>
    <t xml:space="preserve">FEDC162901  </t>
  </si>
  <si>
    <t xml:space="preserve">FEDC162826  </t>
  </si>
  <si>
    <t xml:space="preserve">FEDC162865  </t>
  </si>
  <si>
    <t xml:space="preserve">FEDC162746  </t>
  </si>
  <si>
    <t xml:space="preserve">FEDC162747  </t>
  </si>
  <si>
    <t xml:space="preserve">FEDC162929  </t>
  </si>
  <si>
    <t xml:space="preserve">FEDC162930  </t>
  </si>
  <si>
    <t xml:space="preserve">FEDC162931  </t>
  </si>
  <si>
    <t xml:space="preserve">FEDC162932  </t>
  </si>
  <si>
    <t xml:space="preserve">FEDC162933  </t>
  </si>
  <si>
    <t xml:space="preserve">FEDC162934  </t>
  </si>
  <si>
    <t xml:space="preserve">FEDC162935  </t>
  </si>
  <si>
    <t xml:space="preserve">FEDC162939  </t>
  </si>
  <si>
    <t xml:space="preserve">FEDC162941  </t>
  </si>
  <si>
    <t xml:space="preserve">FEDC162942  </t>
  </si>
  <si>
    <t xml:space="preserve">FEDC162943  </t>
  </si>
  <si>
    <t xml:space="preserve">FEDC162947  </t>
  </si>
  <si>
    <t xml:space="preserve">FEDC162951  </t>
  </si>
  <si>
    <t xml:space="preserve">FEDC162953  </t>
  </si>
  <si>
    <t xml:space="preserve">FEDC162993  </t>
  </si>
  <si>
    <t xml:space="preserve">FEDC163052  </t>
  </si>
  <si>
    <t xml:space="preserve">FEDC163054  </t>
  </si>
  <si>
    <t xml:space="preserve">FEDC163055  </t>
  </si>
  <si>
    <t xml:space="preserve">FEDC163056  </t>
  </si>
  <si>
    <t xml:space="preserve">FEDC163065  </t>
  </si>
  <si>
    <t xml:space="preserve">FEDC163066  </t>
  </si>
  <si>
    <t xml:space="preserve">FEDC163067  </t>
  </si>
  <si>
    <t xml:space="preserve">FEDC163068  </t>
  </si>
  <si>
    <t xml:space="preserve">FEDC163073  </t>
  </si>
  <si>
    <t xml:space="preserve">FEDC163076  </t>
  </si>
  <si>
    <t xml:space="preserve">FEDC163095  </t>
  </si>
  <si>
    <t xml:space="preserve">FEDC163106  </t>
  </si>
  <si>
    <t xml:space="preserve">FEDC163178  </t>
  </si>
  <si>
    <t xml:space="preserve">FEDC163179  </t>
  </si>
  <si>
    <t xml:space="preserve">FEDC163197  </t>
  </si>
  <si>
    <t xml:space="preserve">FEDC163199  </t>
  </si>
  <si>
    <t xml:space="preserve">FEDC163200  </t>
  </si>
  <si>
    <t xml:space="preserve">FEDC163213  </t>
  </si>
  <si>
    <t xml:space="preserve">FEDC163285  </t>
  </si>
  <si>
    <t xml:space="preserve">39282246            </t>
  </si>
  <si>
    <t xml:space="preserve">GUERRA GARCIA KATHYA KARIME                                 </t>
  </si>
  <si>
    <t xml:space="preserve">3104982829                    </t>
  </si>
  <si>
    <t xml:space="preserve">FEDC163292  </t>
  </si>
  <si>
    <t xml:space="preserve">FEDC163293  </t>
  </si>
  <si>
    <t xml:space="preserve">FEDC163299  </t>
  </si>
  <si>
    <t xml:space="preserve">900210675-7         </t>
  </si>
  <si>
    <t xml:space="preserve">ALIMENTOS E INVERSIONES S.A.S.                              </t>
  </si>
  <si>
    <t>8393003</t>
  </si>
  <si>
    <t xml:space="preserve">FEDC163306  </t>
  </si>
  <si>
    <t xml:space="preserve">FEDC163307  </t>
  </si>
  <si>
    <t xml:space="preserve">FEDC163310  </t>
  </si>
  <si>
    <t xml:space="preserve">FEDC163313  </t>
  </si>
  <si>
    <t xml:space="preserve">FEDC163324  </t>
  </si>
  <si>
    <t xml:space="preserve">FEVM48478   </t>
  </si>
  <si>
    <t xml:space="preserve">FEVM48524   </t>
  </si>
  <si>
    <t xml:space="preserve">FEVM48527   </t>
  </si>
  <si>
    <t xml:space="preserve">FEVM48607   </t>
  </si>
  <si>
    <t xml:space="preserve">25807249            </t>
  </si>
  <si>
    <t xml:space="preserve">VIDES SIERRA MARIA                                          </t>
  </si>
  <si>
    <t xml:space="preserve">3113178274     </t>
  </si>
  <si>
    <t xml:space="preserve">FEVM48619   </t>
  </si>
  <si>
    <t xml:space="preserve">FEVM48620   </t>
  </si>
  <si>
    <t xml:space="preserve">FEVM48626   </t>
  </si>
  <si>
    <t xml:space="preserve">FEVM48627   </t>
  </si>
  <si>
    <t xml:space="preserve">FEVM48628   </t>
  </si>
  <si>
    <t xml:space="preserve">1038092415          </t>
  </si>
  <si>
    <t xml:space="preserve">GARCIA ROJAS LEONARDO ANTONIO                               </t>
  </si>
  <si>
    <t xml:space="preserve">3045903910                    </t>
  </si>
  <si>
    <t xml:space="preserve">FEVM48644   </t>
  </si>
  <si>
    <t xml:space="preserve">FEVM48645   </t>
  </si>
  <si>
    <t xml:space="preserve">FEVM48708   </t>
  </si>
  <si>
    <t xml:space="preserve">FEVM48720   </t>
  </si>
  <si>
    <t xml:space="preserve">FEDC162958  </t>
  </si>
  <si>
    <t xml:space="preserve">FEDC162960  </t>
  </si>
  <si>
    <t xml:space="preserve">FEDC162964  </t>
  </si>
  <si>
    <t xml:space="preserve">FEDC162965  </t>
  </si>
  <si>
    <t xml:space="preserve">FEDC163037  </t>
  </si>
  <si>
    <t xml:space="preserve">FEDC163038  </t>
  </si>
  <si>
    <t xml:space="preserve">FEDC163039  </t>
  </si>
  <si>
    <t xml:space="preserve">FEDC163040  </t>
  </si>
  <si>
    <t xml:space="preserve">FEDC163160  </t>
  </si>
  <si>
    <t xml:space="preserve">FEDC163167  </t>
  </si>
  <si>
    <t xml:space="preserve">FEDC163169  </t>
  </si>
  <si>
    <t xml:space="preserve">FEDC163171  </t>
  </si>
  <si>
    <t xml:space="preserve">FEDC163172  </t>
  </si>
  <si>
    <t xml:space="preserve">FEDC163180  </t>
  </si>
  <si>
    <t xml:space="preserve">FEDC163205  </t>
  </si>
  <si>
    <t xml:space="preserve">FEDC163218  </t>
  </si>
  <si>
    <t xml:space="preserve">FEDC163300  </t>
  </si>
  <si>
    <t xml:space="preserve">FEDC163301  </t>
  </si>
  <si>
    <t xml:space="preserve">FEDC163328  </t>
  </si>
  <si>
    <t xml:space="preserve">FEDC163329  </t>
  </si>
  <si>
    <t xml:space="preserve">FEDC163330  </t>
  </si>
  <si>
    <t xml:space="preserve">FEVM48714   </t>
  </si>
  <si>
    <t xml:space="preserve">FEVM48715   </t>
  </si>
  <si>
    <t xml:space="preserve">50994696            </t>
  </si>
  <si>
    <t xml:space="preserve">RODRIGUEZ DIAZ ELSY YANETH                                  </t>
  </si>
  <si>
    <t xml:space="preserve">3127470032                    </t>
  </si>
  <si>
    <t xml:space="preserve">78114241            </t>
  </si>
  <si>
    <t xml:space="preserve">OSORIO OVIEDO LEONARDO MANUEL                               </t>
  </si>
  <si>
    <t xml:space="preserve">3215114424     </t>
  </si>
  <si>
    <t xml:space="preserve">FEVM48498   </t>
  </si>
  <si>
    <t xml:space="preserve">FEVM48509   </t>
  </si>
  <si>
    <t xml:space="preserve">FEVM48514   </t>
  </si>
  <si>
    <t xml:space="preserve">FEVM48515   </t>
  </si>
  <si>
    <t xml:space="preserve">FEVM48542   </t>
  </si>
  <si>
    <t xml:space="preserve">FEVM48543   </t>
  </si>
  <si>
    <t xml:space="preserve">FEVM48544   </t>
  </si>
  <si>
    <t xml:space="preserve">FEVM48546   </t>
  </si>
  <si>
    <t xml:space="preserve">FEVM48547   </t>
  </si>
  <si>
    <t xml:space="preserve">FEVM48548   </t>
  </si>
  <si>
    <t xml:space="preserve">FEVM48549   </t>
  </si>
  <si>
    <t xml:space="preserve">FEVM48550   </t>
  </si>
  <si>
    <t xml:space="preserve">FEVM48554   </t>
  </si>
  <si>
    <t xml:space="preserve">FEVM48555   </t>
  </si>
  <si>
    <t xml:space="preserve">FEDC163094  </t>
  </si>
  <si>
    <t xml:space="preserve">FEDC163096  </t>
  </si>
  <si>
    <t xml:space="preserve">FEDC163183  </t>
  </si>
  <si>
    <t xml:space="preserve">FEDC163184  </t>
  </si>
  <si>
    <t xml:space="preserve">FEDC163185  </t>
  </si>
  <si>
    <t xml:space="preserve">FEDC163187  </t>
  </si>
  <si>
    <t xml:space="preserve">FEDC163188  </t>
  </si>
  <si>
    <t xml:space="preserve">FEDC163189  </t>
  </si>
  <si>
    <t xml:space="preserve">FEDC163192  </t>
  </si>
  <si>
    <t xml:space="preserve">FEDC163193  </t>
  </si>
  <si>
    <t xml:space="preserve">FEDC163195  </t>
  </si>
  <si>
    <t xml:space="preserve">FEDC163196  </t>
  </si>
  <si>
    <t xml:space="preserve">FEVM48557   </t>
  </si>
  <si>
    <t xml:space="preserve">FEVM48688   </t>
  </si>
  <si>
    <t xml:space="preserve">FEVM48731   </t>
  </si>
  <si>
    <t xml:space="preserve">FEDC163008  </t>
  </si>
  <si>
    <t xml:space="preserve">FEDC163009  </t>
  </si>
  <si>
    <t xml:space="preserve">FEDC163010  </t>
  </si>
  <si>
    <t xml:space="preserve">FEDC163011  </t>
  </si>
  <si>
    <t xml:space="preserve">FEDC163012  </t>
  </si>
  <si>
    <t xml:space="preserve">FEDC163013  </t>
  </si>
  <si>
    <t xml:space="preserve">FEDC163014  </t>
  </si>
  <si>
    <t xml:space="preserve">FEDC163015  </t>
  </si>
  <si>
    <t xml:space="preserve">FEDC163017  </t>
  </si>
  <si>
    <t xml:space="preserve">FEDC163020  </t>
  </si>
  <si>
    <t xml:space="preserve">FEDC163021  </t>
  </si>
  <si>
    <t xml:space="preserve">FEDC163022  </t>
  </si>
  <si>
    <t xml:space="preserve">FEDC163023  </t>
  </si>
  <si>
    <t xml:space="preserve">FEDC163024  </t>
  </si>
  <si>
    <t xml:space="preserve">FEDC163026  </t>
  </si>
  <si>
    <t xml:space="preserve">FEDC163027  </t>
  </si>
  <si>
    <t xml:space="preserve">FEDC163048  </t>
  </si>
  <si>
    <t xml:space="preserve">FEDC163173  </t>
  </si>
  <si>
    <t xml:space="preserve">FEVM48717   </t>
  </si>
  <si>
    <t xml:space="preserve">15309989            </t>
  </si>
  <si>
    <t xml:space="preserve">SIERRA BOHOQUEZ LUIS EDUARDO                                </t>
  </si>
  <si>
    <t xml:space="preserve">3117552106     </t>
  </si>
  <si>
    <t xml:space="preserve">FEVM48724   </t>
  </si>
  <si>
    <t xml:space="preserve">FEVM48587   </t>
  </si>
  <si>
    <t xml:space="preserve">91390578            </t>
  </si>
  <si>
    <t xml:space="preserve">CARDENAS JAIMES RAUL                                        </t>
  </si>
  <si>
    <t xml:space="preserve">3007987041                    </t>
  </si>
  <si>
    <t xml:space="preserve">FEVM48604   </t>
  </si>
  <si>
    <t xml:space="preserve">FEVM48605   </t>
  </si>
  <si>
    <t xml:space="preserve">FEDC163309  </t>
  </si>
  <si>
    <t xml:space="preserve">FEDC162997  </t>
  </si>
  <si>
    <t xml:space="preserve">FEDC162998  </t>
  </si>
  <si>
    <t xml:space="preserve">FEDC163004  </t>
  </si>
  <si>
    <t xml:space="preserve">FEDC163005  </t>
  </si>
  <si>
    <t xml:space="preserve">FEDC163006  </t>
  </si>
  <si>
    <t xml:space="preserve">FEDC163007  </t>
  </si>
  <si>
    <t xml:space="preserve">FEDC163029  </t>
  </si>
  <si>
    <t xml:space="preserve">FEDC163030  </t>
  </si>
  <si>
    <t xml:space="preserve">FEDC163047  </t>
  </si>
  <si>
    <t xml:space="preserve">FEDC163050  </t>
  </si>
  <si>
    <t xml:space="preserve">FEDC163051  </t>
  </si>
  <si>
    <t xml:space="preserve">FEDC163057  </t>
  </si>
  <si>
    <t xml:space="preserve">FEDC163058  </t>
  </si>
  <si>
    <t xml:space="preserve">FEDC163060  </t>
  </si>
  <si>
    <t xml:space="preserve">FEDC163304  </t>
  </si>
  <si>
    <t xml:space="preserve">FEDC163077  </t>
  </si>
  <si>
    <t xml:space="preserve">FEDC163078  </t>
  </si>
  <si>
    <t xml:space="preserve">FEDC163081  </t>
  </si>
  <si>
    <t xml:space="preserve">FEDC163082  </t>
  </si>
  <si>
    <t xml:space="preserve">FEDC163083  </t>
  </si>
  <si>
    <t xml:space="preserve">FEDC163084  </t>
  </si>
  <si>
    <t xml:space="preserve">FEDC163085  </t>
  </si>
  <si>
    <t xml:space="preserve">FEDC163086  </t>
  </si>
  <si>
    <t xml:space="preserve">FEDC163088  </t>
  </si>
  <si>
    <t xml:space="preserve">FEDC163089  </t>
  </si>
  <si>
    <t xml:space="preserve">FEDC163090  </t>
  </si>
  <si>
    <t xml:space="preserve">FEDC163150  </t>
  </si>
  <si>
    <t xml:space="preserve">FEDC163151  </t>
  </si>
  <si>
    <t xml:space="preserve">FEDC163152  </t>
  </si>
  <si>
    <t xml:space="preserve">FEDC163153  </t>
  </si>
  <si>
    <t xml:space="preserve">FEDC163155  </t>
  </si>
  <si>
    <t xml:space="preserve">FEDC163156  </t>
  </si>
  <si>
    <t xml:space="preserve">FEDC163157  </t>
  </si>
  <si>
    <t xml:space="preserve">FEDC163159  </t>
  </si>
  <si>
    <t xml:space="preserve">FEDC163210  </t>
  </si>
  <si>
    <t xml:space="preserve">FEDC163211  </t>
  </si>
  <si>
    <t xml:space="preserve">FEDC163212  </t>
  </si>
  <si>
    <t xml:space="preserve">FEDC163222  </t>
  </si>
  <si>
    <t xml:space="preserve">FEDC163223  </t>
  </si>
  <si>
    <t xml:space="preserve">FEDC163225  </t>
  </si>
  <si>
    <t xml:space="preserve">FEDC163226  </t>
  </si>
  <si>
    <t xml:space="preserve">FEDC163227  </t>
  </si>
  <si>
    <t xml:space="preserve">FEDC163228  </t>
  </si>
  <si>
    <t xml:space="preserve">FEDC163229  </t>
  </si>
  <si>
    <t xml:space="preserve">FEDC163231  </t>
  </si>
  <si>
    <t xml:space="preserve">FEDC163232  </t>
  </si>
  <si>
    <t xml:space="preserve">FEDC163235  </t>
  </si>
  <si>
    <t xml:space="preserve">FEDC163236  </t>
  </si>
  <si>
    <t xml:space="preserve">FEDC163237  </t>
  </si>
  <si>
    <t xml:space="preserve">FEDC163238  </t>
  </si>
  <si>
    <t xml:space="preserve">FEDC163239  </t>
  </si>
  <si>
    <t xml:space="preserve">FEDC163240  </t>
  </si>
  <si>
    <t xml:space="preserve">FEDC163281  </t>
  </si>
  <si>
    <t xml:space="preserve">FEDC163282  </t>
  </si>
  <si>
    <t xml:space="preserve">FEDC163283  </t>
  </si>
  <si>
    <t xml:space="preserve">FEDC163295  </t>
  </si>
  <si>
    <t xml:space="preserve">FEDC163296  </t>
  </si>
  <si>
    <t xml:space="preserve">FEDC163297  </t>
  </si>
  <si>
    <t xml:space="preserve">FEDC163298  </t>
  </si>
  <si>
    <t xml:space="preserve">FEDC163331  </t>
  </si>
  <si>
    <t xml:space="preserve">FEDC163332  </t>
  </si>
  <si>
    <t xml:space="preserve">FEDC163333  </t>
  </si>
  <si>
    <t xml:space="preserve">FEDC162938  </t>
  </si>
  <si>
    <t xml:space="preserve">FEDC162949  </t>
  </si>
  <si>
    <t xml:space="preserve">FEDC162950  </t>
  </si>
  <si>
    <t xml:space="preserve">FEDC163322  </t>
  </si>
  <si>
    <t xml:space="preserve">FEDC163323  </t>
  </si>
  <si>
    <t xml:space="preserve">FEVM48520   </t>
  </si>
  <si>
    <t xml:space="preserve">FEVM48521   </t>
  </si>
  <si>
    <t xml:space="preserve">FEDC163194  </t>
  </si>
  <si>
    <t xml:space="preserve">FEDC162919  </t>
  </si>
  <si>
    <t xml:space="preserve">FEDC163243  </t>
  </si>
  <si>
    <t xml:space="preserve">FEDC163244  </t>
  </si>
  <si>
    <t xml:space="preserve">FEDC163245  </t>
  </si>
  <si>
    <t xml:space="preserve">FEDC163247  </t>
  </si>
  <si>
    <t xml:space="preserve">FEDC163248  </t>
  </si>
  <si>
    <t xml:space="preserve">FEDC163249  </t>
  </si>
  <si>
    <t xml:space="preserve">FEDC163250  </t>
  </si>
  <si>
    <t xml:space="preserve">FEDC163251  </t>
  </si>
  <si>
    <t xml:space="preserve">FEDC163252  </t>
  </si>
  <si>
    <t xml:space="preserve">FEDC163253  </t>
  </si>
  <si>
    <t xml:space="preserve">FEDC163254  </t>
  </si>
  <si>
    <t xml:space="preserve">FEDC163255  </t>
  </si>
  <si>
    <t xml:space="preserve">FEDC163256  </t>
  </si>
  <si>
    <t xml:space="preserve">FEDC163257  </t>
  </si>
  <si>
    <t xml:space="preserve">FEDC163258  </t>
  </si>
  <si>
    <t xml:space="preserve">FEDC163259  </t>
  </si>
  <si>
    <t xml:space="preserve">FEVM48663   </t>
  </si>
  <si>
    <t xml:space="preserve">FEVM48664   </t>
  </si>
  <si>
    <t xml:space="preserve">FEVM48665   </t>
  </si>
  <si>
    <t xml:space="preserve">FEVM48668   </t>
  </si>
  <si>
    <t xml:space="preserve">FEVM48669   </t>
  </si>
  <si>
    <t xml:space="preserve">FEDC163326  </t>
  </si>
  <si>
    <t xml:space="preserve">FEDC162967  </t>
  </si>
  <si>
    <t xml:space="preserve">FEDC162972  </t>
  </si>
  <si>
    <t xml:space="preserve">FEDC162973  </t>
  </si>
  <si>
    <t xml:space="preserve">FEDC162976  </t>
  </si>
  <si>
    <t xml:space="preserve">FEDC162977  </t>
  </si>
  <si>
    <t xml:space="preserve">FEDC162978  </t>
  </si>
  <si>
    <t xml:space="preserve">FEDC162979  </t>
  </si>
  <si>
    <t xml:space="preserve">FEDC162980  </t>
  </si>
  <si>
    <t xml:space="preserve">FEDC162981  </t>
  </si>
  <si>
    <t xml:space="preserve">FEDC162982  </t>
  </si>
  <si>
    <t xml:space="preserve">FEDC162983  </t>
  </si>
  <si>
    <t xml:space="preserve">FEDC162984  </t>
  </si>
  <si>
    <t xml:space="preserve">FEDC162985  </t>
  </si>
  <si>
    <t xml:space="preserve">FEDC162986  </t>
  </si>
  <si>
    <t xml:space="preserve">FEDC162987  </t>
  </si>
  <si>
    <t xml:space="preserve">FEDC162988  </t>
  </si>
  <si>
    <t xml:space="preserve">FEDC162989  </t>
  </si>
  <si>
    <t xml:space="preserve">FEDC162990  </t>
  </si>
  <si>
    <t xml:space="preserve">FEDC162991  </t>
  </si>
  <si>
    <t xml:space="preserve">FEDC162992  </t>
  </si>
  <si>
    <t xml:space="preserve">FEDC163031  </t>
  </si>
  <si>
    <t xml:space="preserve">FEDC163032  </t>
  </si>
  <si>
    <t xml:space="preserve">FEDC163033  </t>
  </si>
  <si>
    <t xml:space="preserve">FEDC163034  </t>
  </si>
  <si>
    <t xml:space="preserve">FEDC163041  </t>
  </si>
  <si>
    <t xml:space="preserve">FEDC163042  </t>
  </si>
  <si>
    <t xml:space="preserve">FEDC163045  </t>
  </si>
  <si>
    <t xml:space="preserve">FEDC163046  </t>
  </si>
  <si>
    <t xml:space="preserve">FEDC163111  </t>
  </si>
  <si>
    <t xml:space="preserve">FEDC163113  </t>
  </si>
  <si>
    <t xml:space="preserve">FEDC163114  </t>
  </si>
  <si>
    <t xml:space="preserve">FEDC163116  </t>
  </si>
  <si>
    <t xml:space="preserve">FEDC163117  </t>
  </si>
  <si>
    <t xml:space="preserve">FEDC163118  </t>
  </si>
  <si>
    <t xml:space="preserve">FEDC163119  </t>
  </si>
  <si>
    <t xml:space="preserve">FEDC163120  </t>
  </si>
  <si>
    <t xml:space="preserve">FEDC163121  </t>
  </si>
  <si>
    <t xml:space="preserve">FEDC163122  </t>
  </si>
  <si>
    <t xml:space="preserve">FEDC163123  </t>
  </si>
  <si>
    <t xml:space="preserve">FEDC163124  </t>
  </si>
  <si>
    <t xml:space="preserve">FEDC163125  </t>
  </si>
  <si>
    <t xml:space="preserve">FEDC163126  </t>
  </si>
  <si>
    <t xml:space="preserve">FEDC163127  </t>
  </si>
  <si>
    <t xml:space="preserve">FEDC163128  </t>
  </si>
  <si>
    <t xml:space="preserve">FEDC163135  </t>
  </si>
  <si>
    <t xml:space="preserve">FEDC163136  </t>
  </si>
  <si>
    <t xml:space="preserve">FEDC163137  </t>
  </si>
  <si>
    <t xml:space="preserve">FEDC163138  </t>
  </si>
  <si>
    <t xml:space="preserve">FEDC163139  </t>
  </si>
  <si>
    <t xml:space="preserve">FEDC163140  </t>
  </si>
  <si>
    <t xml:space="preserve">FEDC163143  </t>
  </si>
  <si>
    <t xml:space="preserve">FEDC163144  </t>
  </si>
  <si>
    <t xml:space="preserve">FEDC163145  </t>
  </si>
  <si>
    <t xml:space="preserve">FEDC163146  </t>
  </si>
  <si>
    <t xml:space="preserve">FEDC163147  </t>
  </si>
  <si>
    <t xml:space="preserve">FEDC163148  </t>
  </si>
  <si>
    <t xml:space="preserve">FEDC163262  </t>
  </si>
  <si>
    <t xml:space="preserve">FEDC163263  </t>
  </si>
  <si>
    <t xml:space="preserve">FEDC163264  </t>
  </si>
  <si>
    <t xml:space="preserve">FEDC163265  </t>
  </si>
  <si>
    <t xml:space="preserve">FEDC163271  </t>
  </si>
  <si>
    <t xml:space="preserve">FEDC163272  </t>
  </si>
  <si>
    <t xml:space="preserve">FEDC163273  </t>
  </si>
  <si>
    <t xml:space="preserve">FEDC163274  </t>
  </si>
  <si>
    <t xml:space="preserve">FEDC163277  </t>
  </si>
  <si>
    <t xml:space="preserve">FEDC163278  </t>
  </si>
  <si>
    <t xml:space="preserve">FEDC163279  </t>
  </si>
  <si>
    <t xml:space="preserve">FEDC163280  </t>
  </si>
  <si>
    <t xml:space="preserve">FEDC163130  </t>
  </si>
  <si>
    <t xml:space="preserve">FEDC163131  </t>
  </si>
  <si>
    <t xml:space="preserve">FEDC163097  </t>
  </si>
  <si>
    <t xml:space="preserve">FEDC163098  </t>
  </si>
  <si>
    <t xml:space="preserve">FEDC163099  </t>
  </si>
  <si>
    <t xml:space="preserve">FEDC163100  </t>
  </si>
  <si>
    <t xml:space="preserve">FEDC163101  </t>
  </si>
  <si>
    <t xml:space="preserve">FEDC163102  </t>
  </si>
  <si>
    <t xml:space="preserve">FEDC163103  </t>
  </si>
  <si>
    <t xml:space="preserve">FEDC163104  </t>
  </si>
  <si>
    <t xml:space="preserve">FEDC163105  </t>
  </si>
  <si>
    <t xml:space="preserve">FEDC163107  </t>
  </si>
  <si>
    <t xml:space="preserve">3662809             </t>
  </si>
  <si>
    <t xml:space="preserve">PALACIO ARANGO JAIRO HUMBERTO                               </t>
  </si>
  <si>
    <t xml:space="preserve">FEDC163129  </t>
  </si>
  <si>
    <t xml:space="preserve">3208283133 -3104324959        </t>
  </si>
  <si>
    <t xml:space="preserve">FEDC163347  </t>
  </si>
  <si>
    <t xml:space="preserve">FEDC163348  </t>
  </si>
  <si>
    <t xml:space="preserve">FEDC163349  </t>
  </si>
  <si>
    <t xml:space="preserve">FEDC163351  </t>
  </si>
  <si>
    <t xml:space="preserve">FEDC163353  </t>
  </si>
  <si>
    <t xml:space="preserve">FEDC163354  </t>
  </si>
  <si>
    <t xml:space="preserve">FEDC163356  </t>
  </si>
  <si>
    <t xml:space="preserve">FEDC163357  </t>
  </si>
  <si>
    <t xml:space="preserve">FEDC163358  </t>
  </si>
  <si>
    <t xml:space="preserve">FEDC163359  </t>
  </si>
  <si>
    <t xml:space="preserve">FEDC163360  </t>
  </si>
  <si>
    <t xml:space="preserve">FEDC163361  </t>
  </si>
  <si>
    <t xml:space="preserve">FEDC163362  </t>
  </si>
  <si>
    <t xml:space="preserve">FEDC163363  </t>
  </si>
  <si>
    <t xml:space="preserve">FEDC163365  </t>
  </si>
  <si>
    <t xml:space="preserve">FEDC163366  </t>
  </si>
  <si>
    <t xml:space="preserve">FEDC163367  </t>
  </si>
  <si>
    <t xml:space="preserve">FEDC163368  </t>
  </si>
  <si>
    <t xml:space="preserve">1103101205          </t>
  </si>
  <si>
    <t xml:space="preserve">ZULUAGA ZULUAGA JORGE ANDRES                                </t>
  </si>
  <si>
    <t xml:space="preserve">FEDC163369  </t>
  </si>
  <si>
    <t xml:space="preserve">3007388755                    </t>
  </si>
  <si>
    <t xml:space="preserve">8057116             </t>
  </si>
  <si>
    <t xml:space="preserve">ORTIZ GARAVITO JAIDER ANTONIO                               </t>
  </si>
  <si>
    <t xml:space="preserve">FEDC163371  </t>
  </si>
  <si>
    <t xml:space="preserve">3105047168                    </t>
  </si>
  <si>
    <t xml:space="preserve">FEDC163381  </t>
  </si>
  <si>
    <t xml:space="preserve">1038108149          </t>
  </si>
  <si>
    <t xml:space="preserve">SIMANCA DAVID ELIANA MARCELA                                </t>
  </si>
  <si>
    <t xml:space="preserve">FEDC163398  </t>
  </si>
  <si>
    <t xml:space="preserve">3122350937                    </t>
  </si>
  <si>
    <t xml:space="preserve">1038119289          </t>
  </si>
  <si>
    <t xml:space="preserve">QUINTANA ROMERO JUAN CARLOS                                 </t>
  </si>
  <si>
    <t xml:space="preserve">FEDC163402  </t>
  </si>
  <si>
    <t xml:space="preserve">3104546147                    </t>
  </si>
  <si>
    <t xml:space="preserve">39421856            </t>
  </si>
  <si>
    <t xml:space="preserve">VILLANUEVA JARABA MILENA REGINA                             </t>
  </si>
  <si>
    <t xml:space="preserve">3135715940                    </t>
  </si>
  <si>
    <t xml:space="preserve">78734599            </t>
  </si>
  <si>
    <t xml:space="preserve">SARMIENTO SARMIENTO WILMAN JOSE                             </t>
  </si>
  <si>
    <t xml:space="preserve">FEDC163415  </t>
  </si>
  <si>
    <t xml:space="preserve">3142950719                    </t>
  </si>
  <si>
    <t xml:space="preserve">FEDC163433  </t>
  </si>
  <si>
    <t xml:space="preserve">FEDC163440  </t>
  </si>
  <si>
    <t xml:space="preserve">02                  </t>
  </si>
  <si>
    <t xml:space="preserve">VENTAS MOSTRADOR DIARIA 02                                  </t>
  </si>
  <si>
    <t xml:space="preserve">FEDC163442  </t>
  </si>
  <si>
    <t xml:space="preserve">FEDC163443  </t>
  </si>
  <si>
    <t xml:space="preserve">FEDC163446  </t>
  </si>
  <si>
    <t xml:space="preserve">FEDC163511  </t>
  </si>
  <si>
    <t xml:space="preserve">FEDC163541  </t>
  </si>
  <si>
    <t xml:space="preserve">FEDC163542  </t>
  </si>
  <si>
    <t xml:space="preserve">FEDC163543  </t>
  </si>
  <si>
    <t xml:space="preserve">FEDC163544  </t>
  </si>
  <si>
    <t xml:space="preserve">FEDC163545  </t>
  </si>
  <si>
    <t xml:space="preserve">FEDC163546  </t>
  </si>
  <si>
    <t xml:space="preserve">FEDC163547  </t>
  </si>
  <si>
    <t xml:space="preserve">FEDC163548  </t>
  </si>
  <si>
    <t xml:space="preserve">FEDC163549  </t>
  </si>
  <si>
    <t xml:space="preserve">FEDC163550  </t>
  </si>
  <si>
    <t xml:space="preserve">FEDC163551  </t>
  </si>
  <si>
    <t xml:space="preserve">FEDC163552  </t>
  </si>
  <si>
    <t xml:space="preserve">FEDC163553  </t>
  </si>
  <si>
    <t xml:space="preserve">1104422468          </t>
  </si>
  <si>
    <t xml:space="preserve">ARRIETA GONZALEZ YEIMYS DEL CARMEN                          </t>
  </si>
  <si>
    <t xml:space="preserve">FEDC163554  </t>
  </si>
  <si>
    <t xml:space="preserve">3216920956 -3137641873        </t>
  </si>
  <si>
    <t xml:space="preserve">FEDC163555  </t>
  </si>
  <si>
    <t xml:space="preserve">FEDC163556  </t>
  </si>
  <si>
    <t xml:space="preserve">FEDC163557  </t>
  </si>
  <si>
    <t xml:space="preserve">900572211-6         </t>
  </si>
  <si>
    <t xml:space="preserve">DAVID HERMANOS S.A.S                                        </t>
  </si>
  <si>
    <t xml:space="preserve">FEDC163559  </t>
  </si>
  <si>
    <t xml:space="preserve">8395134        </t>
  </si>
  <si>
    <t xml:space="preserve">FEDC163560  </t>
  </si>
  <si>
    <t xml:space="preserve">FEDC163561  </t>
  </si>
  <si>
    <t xml:space="preserve">FEDC163562  </t>
  </si>
  <si>
    <t xml:space="preserve">FEDC163564  </t>
  </si>
  <si>
    <t xml:space="preserve">FEDC163566  </t>
  </si>
  <si>
    <t xml:space="preserve">FEDC163567  </t>
  </si>
  <si>
    <t xml:space="preserve">FEDC163568  </t>
  </si>
  <si>
    <t xml:space="preserve">FEDC163569  </t>
  </si>
  <si>
    <t xml:space="preserve">FEDC163570  </t>
  </si>
  <si>
    <t xml:space="preserve">FEDC163571  </t>
  </si>
  <si>
    <t xml:space="preserve">FEDC163572  </t>
  </si>
  <si>
    <t xml:space="preserve">FEDC163573  </t>
  </si>
  <si>
    <t xml:space="preserve">FEDC163574  </t>
  </si>
  <si>
    <t xml:space="preserve">FEDC163576  </t>
  </si>
  <si>
    <t xml:space="preserve">FEDC163577  </t>
  </si>
  <si>
    <t xml:space="preserve">FEDC163578  </t>
  </si>
  <si>
    <t xml:space="preserve">FEDC163580  </t>
  </si>
  <si>
    <t xml:space="preserve">FEDC163581  </t>
  </si>
  <si>
    <t xml:space="preserve">FEDC163589  </t>
  </si>
  <si>
    <t xml:space="preserve">1007452831          </t>
  </si>
  <si>
    <t xml:space="preserve">VILORIA SIERRA ALEXANDER                                    </t>
  </si>
  <si>
    <t xml:space="preserve">FEDC163654  </t>
  </si>
  <si>
    <t xml:space="preserve">3146581599                    </t>
  </si>
  <si>
    <t xml:space="preserve">FEDC163655  </t>
  </si>
  <si>
    <t xml:space="preserve">FEDC163678  </t>
  </si>
  <si>
    <t xml:space="preserve">FEDC163679  </t>
  </si>
  <si>
    <t xml:space="preserve">FEDC163680  </t>
  </si>
  <si>
    <t xml:space="preserve">FEDC163681  </t>
  </si>
  <si>
    <t xml:space="preserve">FEDC163682  </t>
  </si>
  <si>
    <t xml:space="preserve">FEDC163683  </t>
  </si>
  <si>
    <t xml:space="preserve">FEDC163684  </t>
  </si>
  <si>
    <t xml:space="preserve">FEDC163685  </t>
  </si>
  <si>
    <t xml:space="preserve">FEDC163686  </t>
  </si>
  <si>
    <t xml:space="preserve">FEDC163687  </t>
  </si>
  <si>
    <t xml:space="preserve">FEDC163688  </t>
  </si>
  <si>
    <t xml:space="preserve">FEDC163689  </t>
  </si>
  <si>
    <t xml:space="preserve">FEDC163690  </t>
  </si>
  <si>
    <t xml:space="preserve">FEDC163691  </t>
  </si>
  <si>
    <t xml:space="preserve">FEDC163692  </t>
  </si>
  <si>
    <t xml:space="preserve">FEDC163693  </t>
  </si>
  <si>
    <t xml:space="preserve">FEDC163694  </t>
  </si>
  <si>
    <t xml:space="preserve">FEDC163695  </t>
  </si>
  <si>
    <t xml:space="preserve">FEDC163696  </t>
  </si>
  <si>
    <t xml:space="preserve">FEDC163697  </t>
  </si>
  <si>
    <t xml:space="preserve">FEDC163698  </t>
  </si>
  <si>
    <t xml:space="preserve">FEDC163699  </t>
  </si>
  <si>
    <t xml:space="preserve">FEDC163700  </t>
  </si>
  <si>
    <t xml:space="preserve">FEDC163701  </t>
  </si>
  <si>
    <t xml:space="preserve">FEDC163702  </t>
  </si>
  <si>
    <t xml:space="preserve">FEDC163703  </t>
  </si>
  <si>
    <t xml:space="preserve">FEDC163704  </t>
  </si>
  <si>
    <t xml:space="preserve">FEDC163705  </t>
  </si>
  <si>
    <t xml:space="preserve">FEDC163706  </t>
  </si>
  <si>
    <t xml:space="preserve">FEDC163707  </t>
  </si>
  <si>
    <t xml:space="preserve">FEDC163708  </t>
  </si>
  <si>
    <t xml:space="preserve">FEDC163709  </t>
  </si>
  <si>
    <t xml:space="preserve">FEDC163710  </t>
  </si>
  <si>
    <t xml:space="preserve">FEVM48749   </t>
  </si>
  <si>
    <t xml:space="preserve">FEVM48752   </t>
  </si>
  <si>
    <t xml:space="preserve">1048295172          </t>
  </si>
  <si>
    <t xml:space="preserve">IBARRA PEREZ ALVARO ALBERTO                                 </t>
  </si>
  <si>
    <t xml:space="preserve">FEVM48764   </t>
  </si>
  <si>
    <t xml:space="preserve">3206972123                    </t>
  </si>
  <si>
    <t xml:space="preserve">32376021            </t>
  </si>
  <si>
    <t xml:space="preserve">ALVAREZ GARCIA INGRI ISABEL                                 </t>
  </si>
  <si>
    <t xml:space="preserve">FEVM48768   </t>
  </si>
  <si>
    <t xml:space="preserve">3148719196                    </t>
  </si>
  <si>
    <t xml:space="preserve">7931281             </t>
  </si>
  <si>
    <t xml:space="preserve">CARMONA DE ORO JOSE MANUEL                                  </t>
  </si>
  <si>
    <t xml:space="preserve">FEVM48769   </t>
  </si>
  <si>
    <t xml:space="preserve">3105301471                    </t>
  </si>
  <si>
    <t xml:space="preserve">FEVM48783   </t>
  </si>
  <si>
    <t xml:space="preserve">FEVM48844   </t>
  </si>
  <si>
    <t xml:space="preserve">FEVM48845   </t>
  </si>
  <si>
    <t xml:space="preserve">FEVM48846   </t>
  </si>
  <si>
    <t xml:space="preserve">FEVM48847   </t>
  </si>
  <si>
    <t xml:space="preserve">FEVM48848   </t>
  </si>
  <si>
    <t xml:space="preserve">FEVM48852   </t>
  </si>
  <si>
    <t xml:space="preserve">FEVM48853   </t>
  </si>
  <si>
    <t xml:space="preserve">FEVM48855   </t>
  </si>
  <si>
    <t xml:space="preserve">FEVM48861   </t>
  </si>
  <si>
    <t xml:space="preserve">FEVM48862   </t>
  </si>
  <si>
    <t xml:space="preserve">43749704            </t>
  </si>
  <si>
    <t xml:space="preserve">DUQUE CANO BETTY EUGENIA                                    </t>
  </si>
  <si>
    <t xml:space="preserve">FEVM48863   </t>
  </si>
  <si>
    <t>7712271</t>
  </si>
  <si>
    <t xml:space="preserve">FEVM48880   </t>
  </si>
  <si>
    <t xml:space="preserve">FEVM48881   </t>
  </si>
  <si>
    <t xml:space="preserve">FEVM48882   </t>
  </si>
  <si>
    <t xml:space="preserve">797387              </t>
  </si>
  <si>
    <t xml:space="preserve">HERRERA JORGE                                               </t>
  </si>
  <si>
    <t xml:space="preserve">FEVM48883   </t>
  </si>
  <si>
    <t xml:space="preserve">3117192921                    </t>
  </si>
  <si>
    <t xml:space="preserve">FEVM48884   </t>
  </si>
  <si>
    <t xml:space="preserve">FEVM48885   </t>
  </si>
  <si>
    <t xml:space="preserve">FEVM48886   </t>
  </si>
  <si>
    <t xml:space="preserve">FEVM48887   </t>
  </si>
  <si>
    <t xml:space="preserve">FEVM48888   </t>
  </si>
  <si>
    <t xml:space="preserve">FEVM48889   </t>
  </si>
  <si>
    <t xml:space="preserve">1038439304          </t>
  </si>
  <si>
    <t xml:space="preserve">PADILLA COCHERO YENNIS PAOLA                                </t>
  </si>
  <si>
    <t xml:space="preserve">FEVM48890   </t>
  </si>
  <si>
    <t xml:space="preserve">3108933319                    </t>
  </si>
  <si>
    <t xml:space="preserve">15271877            </t>
  </si>
  <si>
    <t xml:space="preserve">VASQUEZ VERGARA DIEGO ALBERTO                               </t>
  </si>
  <si>
    <t xml:space="preserve">FEVM48892   </t>
  </si>
  <si>
    <t xml:space="preserve">3216164772                    </t>
  </si>
  <si>
    <t xml:space="preserve">FEVM48894   </t>
  </si>
  <si>
    <t xml:space="preserve">1142918094          </t>
  </si>
  <si>
    <t xml:space="preserve">TERAN HERNANDEZ JUAN CAMILO                                 </t>
  </si>
  <si>
    <t xml:space="preserve">FEVM48895   </t>
  </si>
  <si>
    <t xml:space="preserve">3114113564                    </t>
  </si>
  <si>
    <t xml:space="preserve">FEVM48900   </t>
  </si>
  <si>
    <t xml:space="preserve">FEVM48901   </t>
  </si>
  <si>
    <t xml:space="preserve">FEVM48902   </t>
  </si>
  <si>
    <t xml:space="preserve">8039929             </t>
  </si>
  <si>
    <t xml:space="preserve">NISPERUZA PATERNINA  JHON JAIME                             </t>
  </si>
  <si>
    <t xml:space="preserve">FEVM48903   </t>
  </si>
  <si>
    <t xml:space="preserve">8393368        </t>
  </si>
  <si>
    <t xml:space="preserve">23137512            </t>
  </si>
  <si>
    <t xml:space="preserve">GONZALEZ ACEVEDO EMILIANA                                   </t>
  </si>
  <si>
    <t xml:space="preserve">FEVM48904   </t>
  </si>
  <si>
    <t xml:space="preserve">3113896398     </t>
  </si>
  <si>
    <t xml:space="preserve">FEVM48905   </t>
  </si>
  <si>
    <t xml:space="preserve">32117801            </t>
  </si>
  <si>
    <t xml:space="preserve">ALMARIO ZAPA YANETH PATRICIA                                </t>
  </si>
  <si>
    <t xml:space="preserve">FEVM48906   </t>
  </si>
  <si>
    <t xml:space="preserve">3137638001     </t>
  </si>
  <si>
    <t xml:space="preserve">FEVM48907   </t>
  </si>
  <si>
    <t xml:space="preserve">39271078            </t>
  </si>
  <si>
    <t xml:space="preserve">ALVAREZ CHANCI DENIS MARIA                                  </t>
  </si>
  <si>
    <t xml:space="preserve">FEVM48908   </t>
  </si>
  <si>
    <t xml:space="preserve">3232453594                    </t>
  </si>
  <si>
    <t xml:space="preserve">FEVM48909   </t>
  </si>
  <si>
    <t xml:space="preserve">FEVM48910   </t>
  </si>
  <si>
    <t xml:space="preserve">FEVM48911   </t>
  </si>
  <si>
    <t xml:space="preserve">FEVM48912   </t>
  </si>
  <si>
    <t xml:space="preserve">FEVM48913   </t>
  </si>
  <si>
    <t xml:space="preserve">FEVM48914   </t>
  </si>
  <si>
    <t xml:space="preserve">FEDC163512  </t>
  </si>
  <si>
    <t xml:space="preserve">FEDC163513  </t>
  </si>
  <si>
    <t xml:space="preserve">FEDC163514  </t>
  </si>
  <si>
    <t xml:space="preserve">FEDC163515  </t>
  </si>
  <si>
    <t xml:space="preserve">FEDC163516  </t>
  </si>
  <si>
    <t xml:space="preserve">FEDC163518  </t>
  </si>
  <si>
    <t xml:space="preserve">FEDC163519  </t>
  </si>
  <si>
    <t xml:space="preserve">FEDC163521  </t>
  </si>
  <si>
    <t xml:space="preserve">FEDC163522  </t>
  </si>
  <si>
    <t xml:space="preserve">900491714-0         </t>
  </si>
  <si>
    <t xml:space="preserve">CONSTRUCCIONES &amp; LOGISTICAS MAGA S.A.S                      </t>
  </si>
  <si>
    <t xml:space="preserve">FEDC163523  </t>
  </si>
  <si>
    <t xml:space="preserve">3146367503                    </t>
  </si>
  <si>
    <t xml:space="preserve">FEDC163524  </t>
  </si>
  <si>
    <t xml:space="preserve">FEDC163525  </t>
  </si>
  <si>
    <t xml:space="preserve">FEDC163526  </t>
  </si>
  <si>
    <t xml:space="preserve">FEDC163527  </t>
  </si>
  <si>
    <t xml:space="preserve">FEDC163467  </t>
  </si>
  <si>
    <t xml:space="preserve">FEDC163470  </t>
  </si>
  <si>
    <t xml:space="preserve">FEDC163471  </t>
  </si>
  <si>
    <t xml:space="preserve">FEDC163472  </t>
  </si>
  <si>
    <t xml:space="preserve">FEDC163473  </t>
  </si>
  <si>
    <t xml:space="preserve">FEDC163474  </t>
  </si>
  <si>
    <t xml:space="preserve">FEDC163478  </t>
  </si>
  <si>
    <t xml:space="preserve">FEDC163479  </t>
  </si>
  <si>
    <t xml:space="preserve">FEDC163480  </t>
  </si>
  <si>
    <t xml:space="preserve">FEDC163481  </t>
  </si>
  <si>
    <t xml:space="preserve">FEDC163482  </t>
  </si>
  <si>
    <t xml:space="preserve">15273718            </t>
  </si>
  <si>
    <t xml:space="preserve">URIBE JARAMILLO HERNAN DARIO                                </t>
  </si>
  <si>
    <t xml:space="preserve">FEDC163494  </t>
  </si>
  <si>
    <t xml:space="preserve">3148200256                    </t>
  </si>
  <si>
    <t xml:space="preserve">FEDC163591  </t>
  </si>
  <si>
    <t xml:space="preserve">FEDC163594  </t>
  </si>
  <si>
    <t xml:space="preserve">FEDC163609  </t>
  </si>
  <si>
    <t xml:space="preserve">FEDC163610  </t>
  </si>
  <si>
    <t xml:space="preserve">FEDC163634  </t>
  </si>
  <si>
    <t xml:space="preserve">FEDC163638  </t>
  </si>
  <si>
    <t xml:space="preserve">FEDC163639  </t>
  </si>
  <si>
    <t xml:space="preserve">FEDC163641  </t>
  </si>
  <si>
    <t xml:space="preserve">FEDC163477  </t>
  </si>
  <si>
    <t xml:space="preserve">FEDC163487  </t>
  </si>
  <si>
    <t xml:space="preserve">FEDC163489  </t>
  </si>
  <si>
    <t xml:space="preserve">FEDC163491  </t>
  </si>
  <si>
    <t xml:space="preserve">FEDC163492  </t>
  </si>
  <si>
    <t xml:space="preserve">FEDC163412  </t>
  </si>
  <si>
    <t xml:space="preserve">FEDC163483  </t>
  </si>
  <si>
    <t xml:space="preserve">FEDC163484  </t>
  </si>
  <si>
    <t xml:space="preserve">FEDC163485  </t>
  </si>
  <si>
    <t xml:space="preserve">FEDC163486  </t>
  </si>
  <si>
    <t xml:space="preserve">FEDC163404  </t>
  </si>
  <si>
    <t xml:space="preserve">FEDC163406  </t>
  </si>
  <si>
    <t xml:space="preserve">FEDC163407  </t>
  </si>
  <si>
    <t xml:space="preserve">FEDC163410  </t>
  </si>
  <si>
    <t xml:space="preserve">FEDC163475  </t>
  </si>
  <si>
    <t xml:space="preserve">FEDC163476  </t>
  </si>
  <si>
    <t xml:space="preserve">FEDC163401  </t>
  </si>
  <si>
    <t xml:space="preserve">FEDC163595  </t>
  </si>
  <si>
    <t xml:space="preserve">FEDC163596  </t>
  </si>
  <si>
    <t xml:space="preserve">FEDC163597  </t>
  </si>
  <si>
    <t xml:space="preserve">FEDC163598  </t>
  </si>
  <si>
    <t xml:space="preserve">FEVM48756   </t>
  </si>
  <si>
    <t xml:space="preserve">FEVM48758   </t>
  </si>
  <si>
    <t xml:space="preserve">FEVM48759   </t>
  </si>
  <si>
    <t xml:space="preserve">FEVM48760   </t>
  </si>
  <si>
    <t xml:space="preserve">FEVM48761   </t>
  </si>
  <si>
    <t xml:space="preserve">FEDC163558  </t>
  </si>
  <si>
    <t xml:space="preserve">FEVM48742   </t>
  </si>
  <si>
    <t xml:space="preserve">FEVM48771   </t>
  </si>
  <si>
    <t xml:space="preserve">FEVM48772   </t>
  </si>
  <si>
    <t xml:space="preserve">FEVM48773   </t>
  </si>
  <si>
    <t xml:space="preserve">FEVM48777   </t>
  </si>
  <si>
    <t xml:space="preserve">78111464            </t>
  </si>
  <si>
    <t xml:space="preserve">AVENDAnO GUTIERREZ RUBEN DARIO                              </t>
  </si>
  <si>
    <t xml:space="preserve">FEVM48782   </t>
  </si>
  <si>
    <t xml:space="preserve">3148010448     </t>
  </si>
  <si>
    <t xml:space="preserve">FEVM48795   </t>
  </si>
  <si>
    <t xml:space="preserve">FEVM48798   </t>
  </si>
  <si>
    <t xml:space="preserve">FEVM48799   </t>
  </si>
  <si>
    <t xml:space="preserve">FEVM48822   </t>
  </si>
  <si>
    <t xml:space="preserve">FEVM48825   </t>
  </si>
  <si>
    <t xml:space="preserve">FEVM48826   </t>
  </si>
  <si>
    <t xml:space="preserve">FEVM48827   </t>
  </si>
  <si>
    <t xml:space="preserve">FEVM48828   </t>
  </si>
  <si>
    <t xml:space="preserve">FEVM48830   </t>
  </si>
  <si>
    <t xml:space="preserve">FEVM48831   </t>
  </si>
  <si>
    <t xml:space="preserve">FEVM48832   </t>
  </si>
  <si>
    <t xml:space="preserve">FEVM48834   </t>
  </si>
  <si>
    <t xml:space="preserve">FEVM48835   </t>
  </si>
  <si>
    <t xml:space="preserve">FEVM48838   </t>
  </si>
  <si>
    <t xml:space="preserve">FEVM48840   </t>
  </si>
  <si>
    <t xml:space="preserve">FEVM48841   </t>
  </si>
  <si>
    <t xml:space="preserve">FEVM48842   </t>
  </si>
  <si>
    <t xml:space="preserve">FEDC163616  </t>
  </si>
  <si>
    <t xml:space="preserve">FEDC163671  </t>
  </si>
  <si>
    <t xml:space="preserve">FEDC163593  </t>
  </si>
  <si>
    <t xml:space="preserve">FEDC163599  </t>
  </si>
  <si>
    <t xml:space="preserve">FEDC163611  </t>
  </si>
  <si>
    <t xml:space="preserve">FEDC163612  </t>
  </si>
  <si>
    <t xml:space="preserve">FEDC163613  </t>
  </si>
  <si>
    <t xml:space="preserve">FEDC163621  </t>
  </si>
  <si>
    <t xml:space="preserve">FEDC163622  </t>
  </si>
  <si>
    <t xml:space="preserve">FEDC163623  </t>
  </si>
  <si>
    <t xml:space="preserve">FEDC163624  </t>
  </si>
  <si>
    <t xml:space="preserve">3387237             </t>
  </si>
  <si>
    <t xml:space="preserve">GARCIA CARMONA EUSEBIO DE JESUS                             </t>
  </si>
  <si>
    <t xml:space="preserve">FEDC163625  </t>
  </si>
  <si>
    <t xml:space="preserve">3145092849-3206860965         </t>
  </si>
  <si>
    <t xml:space="preserve">FEDC163626  </t>
  </si>
  <si>
    <t xml:space="preserve">FEDC163627  </t>
  </si>
  <si>
    <t xml:space="preserve">FEDC163628  </t>
  </si>
  <si>
    <t xml:space="preserve">FEDC163629  </t>
  </si>
  <si>
    <t xml:space="preserve">FEDC163630  </t>
  </si>
  <si>
    <t xml:space="preserve">FEDC163669  </t>
  </si>
  <si>
    <t xml:space="preserve">FEDC163670  </t>
  </si>
  <si>
    <t xml:space="preserve">FEVM48765   </t>
  </si>
  <si>
    <t xml:space="preserve">FEDC163343  </t>
  </si>
  <si>
    <t xml:space="preserve">FEDC163643  </t>
  </si>
  <si>
    <t xml:space="preserve">FEDC163644  </t>
  </si>
  <si>
    <t xml:space="preserve">FEDC163645  </t>
  </si>
  <si>
    <t xml:space="preserve">FEDC163646  </t>
  </si>
  <si>
    <t xml:space="preserve">FEDC163647  </t>
  </si>
  <si>
    <t xml:space="preserve">FEDC163648  </t>
  </si>
  <si>
    <t xml:space="preserve">FEDC163649  </t>
  </si>
  <si>
    <t xml:space="preserve">FEDC163650  </t>
  </si>
  <si>
    <t xml:space="preserve">FEDC163651  </t>
  </si>
  <si>
    <t xml:space="preserve">FEDC163652  </t>
  </si>
  <si>
    <t xml:space="preserve">FEVM48785   </t>
  </si>
  <si>
    <t xml:space="preserve">FEVM48786   </t>
  </si>
  <si>
    <t xml:space="preserve">FEVM48787   </t>
  </si>
  <si>
    <t xml:space="preserve">FEVM48788   </t>
  </si>
  <si>
    <t xml:space="preserve">FEVM48789   </t>
  </si>
  <si>
    <t xml:space="preserve">FEVM48790   </t>
  </si>
  <si>
    <t xml:space="preserve">FEVM48791   </t>
  </si>
  <si>
    <t xml:space="preserve">FEVM48792   </t>
  </si>
  <si>
    <t xml:space="preserve">FEVM48793   </t>
  </si>
  <si>
    <t xml:space="preserve">50947616            </t>
  </si>
  <si>
    <t xml:space="preserve">TAPIAS JOSEFA APARICIO                                      </t>
  </si>
  <si>
    <t xml:space="preserve">FEVM48811   </t>
  </si>
  <si>
    <t>3117578088</t>
  </si>
  <si>
    <t xml:space="preserve">FEVM48812   </t>
  </si>
  <si>
    <t xml:space="preserve">FEVM48815   </t>
  </si>
  <si>
    <t xml:space="preserve">FEVM48816   </t>
  </si>
  <si>
    <t xml:space="preserve">FEVM48817   </t>
  </si>
  <si>
    <t xml:space="preserve">FEVM48818   </t>
  </si>
  <si>
    <t xml:space="preserve">FEVM48819   </t>
  </si>
  <si>
    <t xml:space="preserve">FEVM48820   </t>
  </si>
  <si>
    <t xml:space="preserve">FEDC163456  </t>
  </si>
  <si>
    <t xml:space="preserve">FEDC163457  </t>
  </si>
  <si>
    <t xml:space="preserve">FEDC163459  </t>
  </si>
  <si>
    <t xml:space="preserve">FEDC163460  </t>
  </si>
  <si>
    <t xml:space="preserve">FEDC163461  </t>
  </si>
  <si>
    <t xml:space="preserve">FEDC163495  </t>
  </si>
  <si>
    <t xml:space="preserve">FEDC163496  </t>
  </si>
  <si>
    <t xml:space="preserve">FEDC163497  </t>
  </si>
  <si>
    <t xml:space="preserve">FEDC163498  </t>
  </si>
  <si>
    <t xml:space="preserve">FEDC163499  </t>
  </si>
  <si>
    <t xml:space="preserve">FEDC163500  </t>
  </si>
  <si>
    <t xml:space="preserve">FEDC163501  </t>
  </si>
  <si>
    <t xml:space="preserve">FEDC163502  </t>
  </si>
  <si>
    <t xml:space="preserve">FEDC163503  </t>
  </si>
  <si>
    <t xml:space="preserve">FEDC163505  </t>
  </si>
  <si>
    <t xml:space="preserve">FEDC163506  </t>
  </si>
  <si>
    <t xml:space="preserve">FEDC163508  </t>
  </si>
  <si>
    <t xml:space="preserve">FEDC163509  </t>
  </si>
  <si>
    <t xml:space="preserve">FEVM48814   </t>
  </si>
  <si>
    <t xml:space="preserve">FEDC163533  </t>
  </si>
  <si>
    <t xml:space="preserve">FEDC163536  </t>
  </si>
  <si>
    <t xml:space="preserve">FEDC163537  </t>
  </si>
  <si>
    <t xml:space="preserve">FEDC163538  </t>
  </si>
  <si>
    <t xml:space="preserve">FEDC163539  </t>
  </si>
  <si>
    <t xml:space="preserve">FEDC163540  </t>
  </si>
  <si>
    <t xml:space="preserve">FEDC163462  </t>
  </si>
  <si>
    <t xml:space="preserve">FEDC163463  </t>
  </si>
  <si>
    <t xml:space="preserve">FEDC163464  </t>
  </si>
  <si>
    <t xml:space="preserve">FEVM48813   </t>
  </si>
  <si>
    <t xml:space="preserve">15675122            </t>
  </si>
  <si>
    <t xml:space="preserve">OVIEDO RADA JOSE LUIS                                       </t>
  </si>
  <si>
    <t xml:space="preserve">FEVM48868   </t>
  </si>
  <si>
    <t>7766439</t>
  </si>
  <si>
    <t xml:space="preserve">78590311            </t>
  </si>
  <si>
    <t xml:space="preserve">SOTO COY HERNAN JAVIER                                      </t>
  </si>
  <si>
    <t xml:space="preserve">FEVM48869   </t>
  </si>
  <si>
    <t xml:space="preserve">3147204348     </t>
  </si>
  <si>
    <t xml:space="preserve">52989032            </t>
  </si>
  <si>
    <t xml:space="preserve">GONZALEZ AVENDANO KAREN MARGARITA                           </t>
  </si>
  <si>
    <t xml:space="preserve">FEVM48870   </t>
  </si>
  <si>
    <t xml:space="preserve">3106200175     </t>
  </si>
  <si>
    <t xml:space="preserve">FEVM48871   </t>
  </si>
  <si>
    <t xml:space="preserve">FEVM48872   </t>
  </si>
  <si>
    <t xml:space="preserve">FEVM48873   </t>
  </si>
  <si>
    <t xml:space="preserve">1067282548          </t>
  </si>
  <si>
    <t xml:space="preserve">MOLINA CERPA MARE                                           </t>
  </si>
  <si>
    <t xml:space="preserve">FEVM48874   </t>
  </si>
  <si>
    <t xml:space="preserve">3205429885 3022825359         </t>
  </si>
  <si>
    <t xml:space="preserve">FEVM48875   </t>
  </si>
  <si>
    <t xml:space="preserve">FEVM48876   </t>
  </si>
  <si>
    <t xml:space="preserve">FEVM48877   </t>
  </si>
  <si>
    <t xml:space="preserve">FEVM48878   </t>
  </si>
  <si>
    <t xml:space="preserve">15678584            </t>
  </si>
  <si>
    <t xml:space="preserve">BASILIO PADILLA JAIRO ANTONIO                               </t>
  </si>
  <si>
    <t xml:space="preserve">FEVM48879   </t>
  </si>
  <si>
    <t xml:space="preserve">3135814487     </t>
  </si>
  <si>
    <t xml:space="preserve">FEDC163631  </t>
  </si>
  <si>
    <t xml:space="preserve">FEDC163632  </t>
  </si>
  <si>
    <t xml:space="preserve">32392333            </t>
  </si>
  <si>
    <t xml:space="preserve">QUINCHIA ATEHORTUA MARIA NOEMY                              </t>
  </si>
  <si>
    <t xml:space="preserve">FEDC163633  </t>
  </si>
  <si>
    <t xml:space="preserve">3134312568                    </t>
  </si>
  <si>
    <t xml:space="preserve">FEDC163635  </t>
  </si>
  <si>
    <t xml:space="preserve">FEDC163636  </t>
  </si>
  <si>
    <t xml:space="preserve">FEDC163637  </t>
  </si>
  <si>
    <t xml:space="preserve">FEDC163640  </t>
  </si>
  <si>
    <t xml:space="preserve">FEDC163642  </t>
  </si>
  <si>
    <t xml:space="preserve">FEDC163668  </t>
  </si>
  <si>
    <t xml:space="preserve">70253723            </t>
  </si>
  <si>
    <t xml:space="preserve">FLOREZ VELILLA GUILLERMO DE JESUS                           </t>
  </si>
  <si>
    <t xml:space="preserve">FEVM48891   </t>
  </si>
  <si>
    <t>8398197</t>
  </si>
  <si>
    <t xml:space="preserve">FEDC163337  </t>
  </si>
  <si>
    <t xml:space="preserve">FEDC163338  </t>
  </si>
  <si>
    <t xml:space="preserve">FEDC163339  </t>
  </si>
  <si>
    <t xml:space="preserve">FEDC163340  </t>
  </si>
  <si>
    <t xml:space="preserve">FEDC163342  </t>
  </si>
  <si>
    <t xml:space="preserve">1066575168          </t>
  </si>
  <si>
    <t xml:space="preserve">MEJIA VERGARA ANGIE                                         </t>
  </si>
  <si>
    <t xml:space="preserve">PUENTE SAN JORGE              </t>
  </si>
  <si>
    <t xml:space="preserve">FEVM48800   </t>
  </si>
  <si>
    <t xml:space="preserve">3234331440                    </t>
  </si>
  <si>
    <t xml:space="preserve">39266371            </t>
  </si>
  <si>
    <t xml:space="preserve">MUÑOZ MERCADO SOLINA ROSA                                   </t>
  </si>
  <si>
    <t xml:space="preserve">FEVM48802   </t>
  </si>
  <si>
    <t>7711810</t>
  </si>
  <si>
    <t xml:space="preserve">FEVM48803   </t>
  </si>
  <si>
    <t xml:space="preserve">1193071501          </t>
  </si>
  <si>
    <t xml:space="preserve">MIRANDA MASS JESUS EVELIO                                   </t>
  </si>
  <si>
    <t xml:space="preserve">FEVM48806   </t>
  </si>
  <si>
    <t xml:space="preserve">3135376734                    </t>
  </si>
  <si>
    <t xml:space="preserve">1133769035          </t>
  </si>
  <si>
    <t xml:space="preserve">DE HOYOS ALVAREZ JAVIER ENRIQUE                             </t>
  </si>
  <si>
    <t xml:space="preserve">FEVM48807   </t>
  </si>
  <si>
    <t xml:space="preserve">3023460123                    </t>
  </si>
  <si>
    <t xml:space="preserve">1038109842          </t>
  </si>
  <si>
    <t xml:space="preserve">BARRAGAN VIDES YEISON ANDRES                                </t>
  </si>
  <si>
    <t xml:space="preserve">FEVM48808   </t>
  </si>
  <si>
    <t xml:space="preserve">3016859218                    </t>
  </si>
  <si>
    <t xml:space="preserve">FEVM48809   </t>
  </si>
  <si>
    <t xml:space="preserve">39278871            </t>
  </si>
  <si>
    <t xml:space="preserve">HERNANDEZ ARRIETA YUDIS BIBIANA                             </t>
  </si>
  <si>
    <t xml:space="preserve">FEVM48810   </t>
  </si>
  <si>
    <t xml:space="preserve">3127819588                    </t>
  </si>
  <si>
    <t xml:space="preserve">FEVM48893   </t>
  </si>
  <si>
    <t xml:space="preserve">FEDC163344  </t>
  </si>
  <si>
    <t xml:space="preserve">FEDC163345  </t>
  </si>
  <si>
    <t xml:space="preserve">FEDC163372  </t>
  </si>
  <si>
    <t xml:space="preserve">FEDC163373  </t>
  </si>
  <si>
    <t xml:space="preserve">FEDC163374  </t>
  </si>
  <si>
    <t xml:space="preserve">FEDC163375  </t>
  </si>
  <si>
    <t xml:space="preserve">FEDC163376  </t>
  </si>
  <si>
    <t xml:space="preserve">FEDC163377  </t>
  </si>
  <si>
    <t xml:space="preserve">FEDC163378  </t>
  </si>
  <si>
    <t xml:space="preserve">FEVM48898   </t>
  </si>
  <si>
    <t xml:space="preserve">FEDC163579  </t>
  </si>
  <si>
    <t xml:space="preserve">FEDC163582  </t>
  </si>
  <si>
    <t xml:space="preserve">FEDC163583  </t>
  </si>
  <si>
    <t xml:space="preserve">98650390            </t>
  </si>
  <si>
    <t xml:space="preserve">ALVAREZ LOZANO IVAN MARIO                                   </t>
  </si>
  <si>
    <t xml:space="preserve">FEDC163584  </t>
  </si>
  <si>
    <t>3136443076</t>
  </si>
  <si>
    <t xml:space="preserve">FEDC163585  </t>
  </si>
  <si>
    <t xml:space="preserve">FEDC163586  </t>
  </si>
  <si>
    <t xml:space="preserve">FEDC163587  </t>
  </si>
  <si>
    <t xml:space="preserve">FEDC163588  </t>
  </si>
  <si>
    <t xml:space="preserve">3504974973 - 3204407007       </t>
  </si>
  <si>
    <t xml:space="preserve">FEDC163601  </t>
  </si>
  <si>
    <t xml:space="preserve">FEDC163602  </t>
  </si>
  <si>
    <t xml:space="preserve">FEDC163674  </t>
  </si>
  <si>
    <t xml:space="preserve">FEDC163675  </t>
  </si>
  <si>
    <t xml:space="preserve">FEDC163676  </t>
  </si>
  <si>
    <t xml:space="preserve">70064765            </t>
  </si>
  <si>
    <t xml:space="preserve">DURANGO ALZATE JOAQUIN BERNARDO                             </t>
  </si>
  <si>
    <t xml:space="preserve">FEDC163677  </t>
  </si>
  <si>
    <t xml:space="preserve">3148529647                    </t>
  </si>
  <si>
    <t xml:space="preserve">FEDC163672  </t>
  </si>
  <si>
    <t xml:space="preserve">FEDC163673  </t>
  </si>
  <si>
    <t xml:space="preserve">FEDC163614  </t>
  </si>
  <si>
    <t xml:space="preserve">FEDC163615  </t>
  </si>
  <si>
    <t xml:space="preserve">FEDC163617  </t>
  </si>
  <si>
    <t xml:space="preserve">FEDC163618  </t>
  </si>
  <si>
    <t xml:space="preserve">FEDC163658  </t>
  </si>
  <si>
    <t xml:space="preserve">FEDC163657  </t>
  </si>
  <si>
    <t xml:space="preserve">FEDC163663  </t>
  </si>
  <si>
    <t xml:space="preserve">FEDC163664  </t>
  </si>
  <si>
    <t xml:space="preserve">FEDC163665  </t>
  </si>
  <si>
    <t xml:space="preserve">FEDC163666  </t>
  </si>
  <si>
    <t xml:space="preserve">FEVM48899   </t>
  </si>
  <si>
    <t xml:space="preserve">FEDC163532  </t>
  </si>
  <si>
    <t xml:space="preserve">FEDC163394  </t>
  </si>
  <si>
    <t xml:space="preserve">FEDC163395  </t>
  </si>
  <si>
    <t xml:space="preserve">FEDC163397  </t>
  </si>
  <si>
    <t xml:space="preserve">FEDC163385  </t>
  </si>
  <si>
    <t xml:space="preserve">FEDC163386  </t>
  </si>
  <si>
    <t xml:space="preserve">FEDC163388  </t>
  </si>
  <si>
    <t xml:space="preserve">FEDC163389  </t>
  </si>
  <si>
    <t xml:space="preserve">FEDC163390  </t>
  </si>
  <si>
    <t xml:space="preserve">FEDC163391  </t>
  </si>
  <si>
    <t xml:space="preserve">FEDC163392  </t>
  </si>
  <si>
    <t xml:space="preserve">FEDC163393  </t>
  </si>
  <si>
    <t xml:space="preserve">FEDC163419  </t>
  </si>
  <si>
    <t xml:space="preserve">FEDC163420  </t>
  </si>
  <si>
    <t xml:space="preserve">FEDC163421  </t>
  </si>
  <si>
    <t xml:space="preserve">FEDC163422  </t>
  </si>
  <si>
    <t xml:space="preserve">FEDC163424  </t>
  </si>
  <si>
    <t xml:space="preserve">FEDC163425  </t>
  </si>
  <si>
    <t xml:space="preserve">FEDC163426  </t>
  </si>
  <si>
    <t xml:space="preserve">FEDC163427  </t>
  </si>
  <si>
    <t xml:space="preserve">FEDC163428  </t>
  </si>
  <si>
    <t xml:space="preserve">FEDC163429  </t>
  </si>
  <si>
    <t xml:space="preserve">FEDC163431  </t>
  </si>
  <si>
    <t xml:space="preserve">FEDC163438  </t>
  </si>
  <si>
    <t xml:space="preserve">1067949524          </t>
  </si>
  <si>
    <t xml:space="preserve">CARRASCAL ALVAREZ NATALIA ANDREA                            </t>
  </si>
  <si>
    <t xml:space="preserve">FEVM48801   </t>
  </si>
  <si>
    <t xml:space="preserve">2785099             </t>
  </si>
  <si>
    <t xml:space="preserve">HERNANDEZ CONDE JESUS GUILLERMO                             </t>
  </si>
  <si>
    <t xml:space="preserve">FEVM48804   </t>
  </si>
  <si>
    <t xml:space="preserve">3158321528                    </t>
  </si>
  <si>
    <t xml:space="preserve">FEVM48805   </t>
  </si>
  <si>
    <t xml:space="preserve">50886417            </t>
  </si>
  <si>
    <t xml:space="preserve">ACOSTA SOTO OLGA ELVIRA                                     </t>
  </si>
  <si>
    <t xml:space="preserve">FEVM48864   </t>
  </si>
  <si>
    <t xml:space="preserve">3218758302     </t>
  </si>
  <si>
    <t xml:space="preserve">22798484            </t>
  </si>
  <si>
    <t xml:space="preserve">DELGADO BERROCAL BINYELIS MILDRED                           </t>
  </si>
  <si>
    <t xml:space="preserve">FEVM48865   </t>
  </si>
  <si>
    <t xml:space="preserve">3113868302     </t>
  </si>
  <si>
    <t xml:space="preserve">FEVM48866   </t>
  </si>
  <si>
    <t xml:space="preserve">FEVM48867   </t>
  </si>
  <si>
    <t xml:space="preserve">FEDC163607  </t>
  </si>
  <si>
    <t xml:space="preserve">FEDC163620  </t>
  </si>
  <si>
    <t xml:space="preserve">FEDC163662  </t>
  </si>
  <si>
    <t xml:space="preserve">FEDC163534  </t>
  </si>
  <si>
    <t xml:space="preserve">FEDC163535  </t>
  </si>
  <si>
    <t xml:space="preserve">FEDC163606  </t>
  </si>
  <si>
    <t xml:space="preserve">FEDC163667  </t>
  </si>
  <si>
    <t xml:space="preserve">FEDC163659  </t>
  </si>
  <si>
    <t xml:space="preserve">FEDC163660  </t>
  </si>
  <si>
    <t xml:space="preserve">FEDC163661  </t>
  </si>
  <si>
    <t>202604</t>
  </si>
  <si>
    <t xml:space="preserve">FEDC163712  </t>
  </si>
  <si>
    <t xml:space="preserve">FEDC163713  </t>
  </si>
  <si>
    <t xml:space="preserve">FEDC163714  </t>
  </si>
  <si>
    <t xml:space="preserve">FEDC163715  </t>
  </si>
  <si>
    <t xml:space="preserve">1102854523          </t>
  </si>
  <si>
    <t xml:space="preserve">ENAMORADO SILGADO GLEIDYS MILENA                            </t>
  </si>
  <si>
    <t xml:space="preserve">FEDC163718  </t>
  </si>
  <si>
    <t xml:space="preserve">3135031118                    </t>
  </si>
  <si>
    <t xml:space="preserve">FEDC163719  </t>
  </si>
  <si>
    <t xml:space="preserve">FEDC163720  </t>
  </si>
  <si>
    <t xml:space="preserve">FEDC163721  </t>
  </si>
  <si>
    <t xml:space="preserve">FEDC163722  </t>
  </si>
  <si>
    <t xml:space="preserve">FEDC163723  </t>
  </si>
  <si>
    <t xml:space="preserve">FEDC163724  </t>
  </si>
  <si>
    <t xml:space="preserve">FEDC163725  </t>
  </si>
  <si>
    <t xml:space="preserve">FEDC163727  </t>
  </si>
  <si>
    <t xml:space="preserve">78022724            </t>
  </si>
  <si>
    <t xml:space="preserve">HERNANDEZ RAMIREZ GABRIEL ANTONIO                           </t>
  </si>
  <si>
    <t xml:space="preserve">FEDC163728  </t>
  </si>
  <si>
    <t xml:space="preserve">3205166905     </t>
  </si>
  <si>
    <t xml:space="preserve">1038134469          </t>
  </si>
  <si>
    <t xml:space="preserve">PIÑEREZ MARTINEZ DEIBY ANDRES                               </t>
  </si>
  <si>
    <t xml:space="preserve">FEDC163751  </t>
  </si>
  <si>
    <t xml:space="preserve">31240192023                   </t>
  </si>
  <si>
    <t xml:space="preserve">FEDC163752  </t>
  </si>
  <si>
    <t xml:space="preserve">FEDC163753  </t>
  </si>
  <si>
    <t xml:space="preserve">FEDC163766  </t>
  </si>
  <si>
    <t xml:space="preserve">1007388043          </t>
  </si>
  <si>
    <t xml:space="preserve">HERRERA ARRIETA JUAN MANUEL                                 </t>
  </si>
  <si>
    <t xml:space="preserve">FEDC163767  </t>
  </si>
  <si>
    <t xml:space="preserve">3215392550                    </t>
  </si>
  <si>
    <t xml:space="preserve">FEDC163792  </t>
  </si>
  <si>
    <t xml:space="preserve">FEDC163795  </t>
  </si>
  <si>
    <t xml:space="preserve">FEDC163796  </t>
  </si>
  <si>
    <t xml:space="preserve">FEDC163797  </t>
  </si>
  <si>
    <t xml:space="preserve">FEDC163798  </t>
  </si>
  <si>
    <t xml:space="preserve">FEDC163799  </t>
  </si>
  <si>
    <t xml:space="preserve">FEDC163800  </t>
  </si>
  <si>
    <t xml:space="preserve">FEDC163801  </t>
  </si>
  <si>
    <t xml:space="preserve">FEDC163802  </t>
  </si>
  <si>
    <t xml:space="preserve">1038099423          </t>
  </si>
  <si>
    <t xml:space="preserve">CABALLERO ORTEGA MAYDEN MARIA                               </t>
  </si>
  <si>
    <t xml:space="preserve">FEDC163803  </t>
  </si>
  <si>
    <t xml:space="preserve">3234587973                    </t>
  </si>
  <si>
    <t xml:space="preserve">FEDC163804  </t>
  </si>
  <si>
    <t xml:space="preserve">1007700662          </t>
  </si>
  <si>
    <t xml:space="preserve"> CHICA FERNANDEZ EDINSON MANUEL                             </t>
  </si>
  <si>
    <t xml:space="preserve">FEDC163807  </t>
  </si>
  <si>
    <t xml:space="preserve">3238288444                    </t>
  </si>
  <si>
    <t xml:space="preserve">FEDC163808  </t>
  </si>
  <si>
    <t xml:space="preserve">FEDC163810  </t>
  </si>
  <si>
    <t xml:space="preserve">FEDC163811  </t>
  </si>
  <si>
    <t xml:space="preserve">FEDC163812  </t>
  </si>
  <si>
    <t xml:space="preserve">FEDC163813  </t>
  </si>
  <si>
    <t xml:space="preserve">FEDC163814  </t>
  </si>
  <si>
    <t xml:space="preserve">FEDC163815  </t>
  </si>
  <si>
    <t xml:space="preserve">FEDC163816  </t>
  </si>
  <si>
    <t xml:space="preserve">98653627            </t>
  </si>
  <si>
    <t xml:space="preserve">PACHECO COGOLLO ADILBERTO MANUEL                            </t>
  </si>
  <si>
    <t xml:space="preserve">FEDC163817  </t>
  </si>
  <si>
    <t xml:space="preserve">3147271430                    </t>
  </si>
  <si>
    <t xml:space="preserve">8363869             </t>
  </si>
  <si>
    <t xml:space="preserve">BUELVAS JAIDER ANTONIO                                      </t>
  </si>
  <si>
    <t xml:space="preserve">FEDC163818  </t>
  </si>
  <si>
    <t xml:space="preserve">3148442933                    </t>
  </si>
  <si>
    <t xml:space="preserve">FEDC163832  </t>
  </si>
  <si>
    <t xml:space="preserve">FEDC163834  </t>
  </si>
  <si>
    <t xml:space="preserve">FEDC163836  </t>
  </si>
  <si>
    <t xml:space="preserve">FEDC163837  </t>
  </si>
  <si>
    <t xml:space="preserve">FEDC163845  </t>
  </si>
  <si>
    <t xml:space="preserve">FEDC163846  </t>
  </si>
  <si>
    <t xml:space="preserve">FEDC163865  </t>
  </si>
  <si>
    <t xml:space="preserve">FEDC163866  </t>
  </si>
  <si>
    <t xml:space="preserve">1038114358          </t>
  </si>
  <si>
    <t xml:space="preserve">CASTRO HIGUITA KETYS MARIA                                  </t>
  </si>
  <si>
    <t xml:space="preserve">FEDC163873  </t>
  </si>
  <si>
    <t xml:space="preserve">3208660272                    </t>
  </si>
  <si>
    <t xml:space="preserve">8055576             </t>
  </si>
  <si>
    <t xml:space="preserve">JARAMILLO GUILLERMO ANTONIO                                 </t>
  </si>
  <si>
    <t xml:space="preserve">FEDC163874  </t>
  </si>
  <si>
    <t xml:space="preserve">3115647456 - 3112057835       </t>
  </si>
  <si>
    <t xml:space="preserve">FEDC163875  </t>
  </si>
  <si>
    <t xml:space="preserve">FEDC163876  </t>
  </si>
  <si>
    <t xml:space="preserve">FEDC163877  </t>
  </si>
  <si>
    <t xml:space="preserve">FEDC163878  </t>
  </si>
  <si>
    <t xml:space="preserve">FEDC163879  </t>
  </si>
  <si>
    <t xml:space="preserve">FEDC163880  </t>
  </si>
  <si>
    <t xml:space="preserve">FEDC163881  </t>
  </si>
  <si>
    <t xml:space="preserve">FEDC163882  </t>
  </si>
  <si>
    <t xml:space="preserve">FEDC163883  </t>
  </si>
  <si>
    <t xml:space="preserve">FEDC163884  </t>
  </si>
  <si>
    <t xml:space="preserve">FEDC163885  </t>
  </si>
  <si>
    <t xml:space="preserve">FEDC163886  </t>
  </si>
  <si>
    <t xml:space="preserve">FEDC163887  </t>
  </si>
  <si>
    <t xml:space="preserve">8057089             </t>
  </si>
  <si>
    <t xml:space="preserve">SANCHEZ JIMENEZ ALEXANDER DE JESUS                          </t>
  </si>
  <si>
    <t xml:space="preserve">FEVM48915   </t>
  </si>
  <si>
    <t xml:space="preserve">3218037260                    </t>
  </si>
  <si>
    <t xml:space="preserve">1193155624          </t>
  </si>
  <si>
    <t xml:space="preserve">RAMIREZ PEREZ RAFAEL DARIO                                  </t>
  </si>
  <si>
    <t xml:space="preserve">FEVM48916   </t>
  </si>
  <si>
    <t xml:space="preserve">3003997203                    </t>
  </si>
  <si>
    <t xml:space="preserve">FEVM48917   </t>
  </si>
  <si>
    <t xml:space="preserve">1007332283          </t>
  </si>
  <si>
    <t xml:space="preserve">MENDEZ ESPEJO JEAN CARLOS                                   </t>
  </si>
  <si>
    <t xml:space="preserve">FEVM48918   </t>
  </si>
  <si>
    <t xml:space="preserve">3207830977                    </t>
  </si>
  <si>
    <t xml:space="preserve">FEVM48924   </t>
  </si>
  <si>
    <t xml:space="preserve">FEVM48925   </t>
  </si>
  <si>
    <t xml:space="preserve">FEVM48926   </t>
  </si>
  <si>
    <t xml:space="preserve">FEVM48927   </t>
  </si>
  <si>
    <t xml:space="preserve">FEVM48928   </t>
  </si>
  <si>
    <t xml:space="preserve">26362543            </t>
  </si>
  <si>
    <t xml:space="preserve"> LOZANO GOMEZ GINA AURORA                                   </t>
  </si>
  <si>
    <t xml:space="preserve">FEVM48929   </t>
  </si>
  <si>
    <t xml:space="preserve">3136951647                    </t>
  </si>
  <si>
    <t xml:space="preserve">FEVM48930   </t>
  </si>
  <si>
    <t xml:space="preserve">FEVM48931   </t>
  </si>
  <si>
    <t xml:space="preserve">FEVM48932   </t>
  </si>
  <si>
    <t xml:space="preserve">1000150620          </t>
  </si>
  <si>
    <t xml:space="preserve">GAMA SUAREZ ANDRES DAVID                                    </t>
  </si>
  <si>
    <t xml:space="preserve">FEVM48933   </t>
  </si>
  <si>
    <t xml:space="preserve">3125213660                    </t>
  </si>
  <si>
    <t xml:space="preserve">FEVM48934   </t>
  </si>
  <si>
    <t xml:space="preserve">1038129098          </t>
  </si>
  <si>
    <t xml:space="preserve">VILORIA MARTINEZ MARICELA                                   </t>
  </si>
  <si>
    <t xml:space="preserve">FEVM48935   </t>
  </si>
  <si>
    <t xml:space="preserve">3136917136                    </t>
  </si>
  <si>
    <t xml:space="preserve">FEVM48936   </t>
  </si>
  <si>
    <t xml:space="preserve">FEVM48937   </t>
  </si>
  <si>
    <t xml:space="preserve">FEVM48938   </t>
  </si>
  <si>
    <t xml:space="preserve">FEVM48939   </t>
  </si>
  <si>
    <t xml:space="preserve">FEVM48940   </t>
  </si>
  <si>
    <t xml:space="preserve">FEVM48941   </t>
  </si>
  <si>
    <t xml:space="preserve">FEVM48942   </t>
  </si>
  <si>
    <t xml:space="preserve">FEVM48943   </t>
  </si>
  <si>
    <t xml:space="preserve">FEVM48944   </t>
  </si>
  <si>
    <t xml:space="preserve">71592269            </t>
  </si>
  <si>
    <t xml:space="preserve">ALVAREZ ALVAREZ NELSON DE JESUS                             </t>
  </si>
  <si>
    <t xml:space="preserve">FEVM48945   </t>
  </si>
  <si>
    <t xml:space="preserve">3152880095                    </t>
  </si>
  <si>
    <t xml:space="preserve">FEVM48946   </t>
  </si>
  <si>
    <t xml:space="preserve">FEVM48947   </t>
  </si>
  <si>
    <t xml:space="preserve">FEVM48948   </t>
  </si>
  <si>
    <t xml:space="preserve">FEVM48949   </t>
  </si>
  <si>
    <t xml:space="preserve">FEVM48951   </t>
  </si>
  <si>
    <t xml:space="preserve">FEVM48952   </t>
  </si>
  <si>
    <t xml:space="preserve">FEVM48953   </t>
  </si>
  <si>
    <t xml:space="preserve">1039700006          </t>
  </si>
  <si>
    <t xml:space="preserve">GONZALEZ PULGARIN LAURA VANESSA                             </t>
  </si>
  <si>
    <t xml:space="preserve">FEVM48954   </t>
  </si>
  <si>
    <t xml:space="preserve">3137258463                    </t>
  </si>
  <si>
    <t xml:space="preserve">1036599280          </t>
  </si>
  <si>
    <t xml:space="preserve">VIDES GUZMAN ADRIANA LINEY                                  </t>
  </si>
  <si>
    <t xml:space="preserve">FEVM48955   </t>
  </si>
  <si>
    <t xml:space="preserve">3214108285     </t>
  </si>
  <si>
    <t xml:space="preserve">FEVM48956   </t>
  </si>
  <si>
    <t xml:space="preserve">1038122099          </t>
  </si>
  <si>
    <t xml:space="preserve">DORADO PADILLA KELLY JOHANNA                                </t>
  </si>
  <si>
    <t xml:space="preserve">FEVM48985   </t>
  </si>
  <si>
    <t xml:space="preserve">3217366758                    </t>
  </si>
  <si>
    <t xml:space="preserve">FEVM49000   </t>
  </si>
  <si>
    <t xml:space="preserve">FEVM49001   </t>
  </si>
  <si>
    <t xml:space="preserve">FEVM49002   </t>
  </si>
  <si>
    <t xml:space="preserve">1007901537          </t>
  </si>
  <si>
    <t xml:space="preserve">LOPEZ URANGO SINDI MARIA                                    </t>
  </si>
  <si>
    <t xml:space="preserve">FEVM49003   </t>
  </si>
  <si>
    <t xml:space="preserve">3206340646                    </t>
  </si>
  <si>
    <t xml:space="preserve">26067674            </t>
  </si>
  <si>
    <t xml:space="preserve">LOPEZ PINEDA LUZ ELENA                                      </t>
  </si>
  <si>
    <t xml:space="preserve">FEVM49004   </t>
  </si>
  <si>
    <t xml:space="preserve">3165736896                    </t>
  </si>
  <si>
    <t xml:space="preserve">23701845            </t>
  </si>
  <si>
    <t xml:space="preserve">VARGAS VARGAS DADEIBA                                       </t>
  </si>
  <si>
    <t xml:space="preserve">FEVM49005   </t>
  </si>
  <si>
    <t xml:space="preserve">3053039150     </t>
  </si>
  <si>
    <t xml:space="preserve">1063284629-0        </t>
  </si>
  <si>
    <t xml:space="preserve">ESTRADA ECHEVERRIA MARBELIS                                 </t>
  </si>
  <si>
    <t xml:space="preserve">FEVM49006   </t>
  </si>
  <si>
    <t xml:space="preserve"> 3205556233                   </t>
  </si>
  <si>
    <t xml:space="preserve">FEDC163760  </t>
  </si>
  <si>
    <t xml:space="preserve">FEVM48754   </t>
  </si>
  <si>
    <t xml:space="preserve">FEDC163711  </t>
  </si>
  <si>
    <t xml:space="preserve">15675869            </t>
  </si>
  <si>
    <t xml:space="preserve">ARROYO AGAMEZ GABRIEL CAMILO                                </t>
  </si>
  <si>
    <t xml:space="preserve">FEVM48957   </t>
  </si>
  <si>
    <t xml:space="preserve">FEVM48958   </t>
  </si>
  <si>
    <t xml:space="preserve">FEVM48959   </t>
  </si>
  <si>
    <t xml:space="preserve">FEVM48960   </t>
  </si>
  <si>
    <t xml:space="preserve">FEVM48961   </t>
  </si>
  <si>
    <t xml:space="preserve">FEVM48962   </t>
  </si>
  <si>
    <t xml:space="preserve">FEVM48963   </t>
  </si>
  <si>
    <t xml:space="preserve">FEVM48964   </t>
  </si>
  <si>
    <t xml:space="preserve">FEVM48965   </t>
  </si>
  <si>
    <t xml:space="preserve">FEVM48966   </t>
  </si>
  <si>
    <t xml:space="preserve">FEVM48967   </t>
  </si>
  <si>
    <t xml:space="preserve">FEVM48968   </t>
  </si>
  <si>
    <t xml:space="preserve">FEVM48969   </t>
  </si>
  <si>
    <t xml:space="preserve">FEVM48970   </t>
  </si>
  <si>
    <t xml:space="preserve">FEVM48971   </t>
  </si>
  <si>
    <t xml:space="preserve">FEVM48972   </t>
  </si>
  <si>
    <t xml:space="preserve">FEVM48973   </t>
  </si>
  <si>
    <t xml:space="preserve">FEVM48974   </t>
  </si>
  <si>
    <t xml:space="preserve">FEVM48975   </t>
  </si>
  <si>
    <t xml:space="preserve">FEVM48976   </t>
  </si>
  <si>
    <t xml:space="preserve">FEVM48977   </t>
  </si>
  <si>
    <t xml:space="preserve">FEVM48978   </t>
  </si>
  <si>
    <t xml:space="preserve">FEVM48979   </t>
  </si>
  <si>
    <t xml:space="preserve">FEVM48980   </t>
  </si>
  <si>
    <t xml:space="preserve">FEVM48981   </t>
  </si>
  <si>
    <t xml:space="preserve">FEVM48982   </t>
  </si>
  <si>
    <t xml:space="preserve">FEVM48983   </t>
  </si>
  <si>
    <t xml:space="preserve">FEVM48986   </t>
  </si>
  <si>
    <t xml:space="preserve">FEVM48987   </t>
  </si>
  <si>
    <t xml:space="preserve">FEVM48988   </t>
  </si>
  <si>
    <t xml:space="preserve">FEVM48989   </t>
  </si>
  <si>
    <t xml:space="preserve">FEVM48990   </t>
  </si>
  <si>
    <t xml:space="preserve">1003290066          </t>
  </si>
  <si>
    <t xml:space="preserve">VIDAL VEGA MARIA DEL PILAR                                  </t>
  </si>
  <si>
    <t xml:space="preserve">FEDC163729  </t>
  </si>
  <si>
    <t xml:space="preserve">3145367750                    </t>
  </si>
  <si>
    <t xml:space="preserve">FEDC163772  </t>
  </si>
  <si>
    <t xml:space="preserve">FEDC163776  </t>
  </si>
  <si>
    <t xml:space="preserve">FEDC163789  </t>
  </si>
  <si>
    <t xml:space="preserve">FEDC163790  </t>
  </si>
  <si>
    <t xml:space="preserve">FEDC163869  </t>
  </si>
  <si>
    <t xml:space="preserve">FEDC163870  </t>
  </si>
  <si>
    <t xml:space="preserve">FEVM48991   </t>
  </si>
  <si>
    <t xml:space="preserve">FEVM48992   </t>
  </si>
  <si>
    <t xml:space="preserve">FEVM48993   </t>
  </si>
  <si>
    <t xml:space="preserve">FEVM48994   </t>
  </si>
  <si>
    <t xml:space="preserve">FEVM48995   </t>
  </si>
  <si>
    <t xml:space="preserve">FEVM48996   </t>
  </si>
  <si>
    <t xml:space="preserve">FEVM48997   </t>
  </si>
  <si>
    <t xml:space="preserve">FEVM48998   </t>
  </si>
  <si>
    <t xml:space="preserve">FEVM48999   </t>
  </si>
  <si>
    <t xml:space="preserve">1019008578          </t>
  </si>
  <si>
    <t xml:space="preserve">MONTES COTERA CARLOS ANDRES                                 </t>
  </si>
  <si>
    <t xml:space="preserve">FEDC163769  </t>
  </si>
  <si>
    <t xml:space="preserve">3209327829                    </t>
  </si>
  <si>
    <t xml:space="preserve">FEDC163770  </t>
  </si>
  <si>
    <t xml:space="preserve">FEDC163771  </t>
  </si>
  <si>
    <t xml:space="preserve">FEDC163773  </t>
  </si>
  <si>
    <t xml:space="preserve">FEDC163774  </t>
  </si>
  <si>
    <t xml:space="preserve">FEDC163775  </t>
  </si>
  <si>
    <t xml:space="preserve">FEDC163777  </t>
  </si>
  <si>
    <t xml:space="preserve">FEDC163778  </t>
  </si>
  <si>
    <t xml:space="preserve">1007528589          </t>
  </si>
  <si>
    <t xml:space="preserve">CALDERON BENITEZ JUAN CAMILO                                </t>
  </si>
  <si>
    <t xml:space="preserve">FEDC163779  </t>
  </si>
  <si>
    <t xml:space="preserve">3126969804                    </t>
  </si>
  <si>
    <t xml:space="preserve">FEDC163780  </t>
  </si>
  <si>
    <t xml:space="preserve">FEDC163781  </t>
  </si>
  <si>
    <t xml:space="preserve">FEDC163782  </t>
  </si>
  <si>
    <t xml:space="preserve">FEDC163783  </t>
  </si>
  <si>
    <t xml:space="preserve">15610044            </t>
  </si>
  <si>
    <t xml:space="preserve">URREA BENJUMEA RIGOBERTO                                    </t>
  </si>
  <si>
    <t xml:space="preserve">FEDC163784  </t>
  </si>
  <si>
    <t>7725158</t>
  </si>
  <si>
    <t xml:space="preserve">FEDC163785  </t>
  </si>
  <si>
    <t xml:space="preserve">FEDC163786  </t>
  </si>
  <si>
    <t xml:space="preserve">FEDC163787  </t>
  </si>
  <si>
    <t xml:space="preserve">FEDC163788  </t>
  </si>
  <si>
    <t xml:space="preserve">FEDC163847  </t>
  </si>
  <si>
    <t xml:space="preserve">FEDC163848  </t>
  </si>
  <si>
    <t xml:space="preserve">35163722            </t>
  </si>
  <si>
    <t xml:space="preserve">GORDON GONZALEZ OLGA LUCIA                                  </t>
  </si>
  <si>
    <t xml:space="preserve">FEDC163849  </t>
  </si>
  <si>
    <t xml:space="preserve">3107551824                    </t>
  </si>
  <si>
    <t xml:space="preserve">FEDC163850  </t>
  </si>
  <si>
    <t xml:space="preserve">FEDC163851  </t>
  </si>
  <si>
    <t xml:space="preserve">FEDC163852  </t>
  </si>
  <si>
    <t xml:space="preserve">FEDC163853  </t>
  </si>
  <si>
    <t xml:space="preserve">FEDC163854  </t>
  </si>
  <si>
    <t xml:space="preserve">FEDC163855  </t>
  </si>
  <si>
    <t xml:space="preserve">FEDC163856  </t>
  </si>
  <si>
    <t xml:space="preserve">FEDC163857  </t>
  </si>
  <si>
    <t xml:space="preserve">FEDC163858  </t>
  </si>
  <si>
    <t xml:space="preserve">FEDC163859  </t>
  </si>
  <si>
    <t xml:space="preserve">FEDC163860  </t>
  </si>
  <si>
    <t xml:space="preserve">FEDC163861  </t>
  </si>
  <si>
    <t xml:space="preserve">FEDC163862  </t>
  </si>
  <si>
    <t xml:space="preserve">FEDC163863  </t>
  </si>
  <si>
    <t xml:space="preserve">FEDC163864  </t>
  </si>
  <si>
    <t xml:space="preserve">FEDC163867  </t>
  </si>
  <si>
    <t xml:space="preserve">FEDC163868  </t>
  </si>
  <si>
    <t xml:space="preserve">FEDC163871  </t>
  </si>
  <si>
    <t xml:space="preserve">42840657            </t>
  </si>
  <si>
    <t xml:space="preserve">RIVERA ATEHORTUA DIANA MARIA                                </t>
  </si>
  <si>
    <t xml:space="preserve">FEDC163872  </t>
  </si>
  <si>
    <t xml:space="preserve">3136230610                    </t>
  </si>
  <si>
    <t xml:space="preserve">FEDC163739  </t>
  </si>
  <si>
    <t xml:space="preserve">FEDC163740  </t>
  </si>
  <si>
    <t xml:space="preserve">FEDC163741  </t>
  </si>
  <si>
    <t xml:space="preserve">FEDC163742  </t>
  </si>
  <si>
    <t xml:space="preserve">FEDC163743  </t>
  </si>
  <si>
    <t xml:space="preserve">FEDC163744  </t>
  </si>
  <si>
    <t xml:space="preserve">FEDC163745  </t>
  </si>
  <si>
    <t xml:space="preserve">FEDC163746  </t>
  </si>
  <si>
    <t xml:space="preserve">FEDC163747  </t>
  </si>
  <si>
    <t xml:space="preserve">FEDC163754  </t>
  </si>
  <si>
    <t xml:space="preserve">FEDC163755  </t>
  </si>
  <si>
    <t xml:space="preserve">FEDC163756  </t>
  </si>
  <si>
    <t xml:space="preserve">FEDC163757  </t>
  </si>
  <si>
    <t xml:space="preserve">FEDC163758  </t>
  </si>
  <si>
    <t xml:space="preserve">43890498            </t>
  </si>
  <si>
    <t xml:space="preserve">DE LA OSA ROMERO YORLADIS BEATRIZ                           </t>
  </si>
  <si>
    <t xml:space="preserve">FEDC163759  </t>
  </si>
  <si>
    <t xml:space="preserve">3214836295                    </t>
  </si>
  <si>
    <t xml:space="preserve">FEDC163806  </t>
  </si>
  <si>
    <t xml:space="preserve">FEDC163833  </t>
  </si>
  <si>
    <t xml:space="preserve">FEDC163763  </t>
  </si>
  <si>
    <t xml:space="preserve">FEDC163764  </t>
  </si>
  <si>
    <t xml:space="preserve">FEDC163819  </t>
  </si>
  <si>
    <t xml:space="preserve">FEDC163820  </t>
  </si>
  <si>
    <t xml:space="preserve">FEDC163821  </t>
  </si>
  <si>
    <t xml:space="preserve">FEDC163822  </t>
  </si>
  <si>
    <t xml:space="preserve">FEDC163823  </t>
  </si>
  <si>
    <t xml:space="preserve">FEDC163824  </t>
  </si>
  <si>
    <t xml:space="preserve">FEDC163825  </t>
  </si>
  <si>
    <t xml:space="preserve">FEDC163826  </t>
  </si>
  <si>
    <t xml:space="preserve">FEDC163827  </t>
  </si>
  <si>
    <t xml:space="preserve">FEDC163828  </t>
  </si>
  <si>
    <t xml:space="preserve">FEDC163829  </t>
  </si>
  <si>
    <t xml:space="preserve">FEDC163838  </t>
  </si>
  <si>
    <t xml:space="preserve">FEDC163839  </t>
  </si>
  <si>
    <t xml:space="preserve">FEDC163840  </t>
  </si>
  <si>
    <t xml:space="preserve">FEDC163841  </t>
  </si>
  <si>
    <t xml:space="preserve">FEDC163842  </t>
  </si>
  <si>
    <t xml:space="preserve">FEDC163844  </t>
  </si>
  <si>
    <t xml:space="preserve">FEDC163730  </t>
  </si>
  <si>
    <t xml:space="preserve">FEDC163731  </t>
  </si>
  <si>
    <t xml:space="preserve">10994109            </t>
  </si>
  <si>
    <t xml:space="preserve">ALVARINO CALDERA CARLOS ENRIQUE                             </t>
  </si>
  <si>
    <t xml:space="preserve">FEDC163732  </t>
  </si>
  <si>
    <t>3122970862 - 3121608664 Esposa</t>
  </si>
  <si>
    <t xml:space="preserve">FEDC163733  </t>
  </si>
  <si>
    <t xml:space="preserve">FEDC163734  </t>
  </si>
  <si>
    <t xml:space="preserve">FEDC163735  </t>
  </si>
  <si>
    <t xml:space="preserve">FEDC163736  </t>
  </si>
  <si>
    <t xml:space="preserve">FEDC163748  </t>
  </si>
  <si>
    <t xml:space="preserve">FEDC163749  </t>
  </si>
  <si>
    <t xml:space="preserve">FEDC163750  </t>
  </si>
  <si>
    <t xml:space="preserve">FEDC163761  </t>
  </si>
  <si>
    <t xml:space="preserve">FEDC163762  </t>
  </si>
  <si>
    <t xml:space="preserve">FEDC163888  </t>
  </si>
  <si>
    <t xml:space="preserve">98610167            </t>
  </si>
  <si>
    <t xml:space="preserve">HERAZO BEDOYA EDILBERTO MANUEL                              </t>
  </si>
  <si>
    <t xml:space="preserve">FEDC163890  </t>
  </si>
  <si>
    <t xml:space="preserve">3127367737                    </t>
  </si>
  <si>
    <t xml:space="preserve">FEDC163891  </t>
  </si>
  <si>
    <t xml:space="preserve">FEDC163910  </t>
  </si>
  <si>
    <t xml:space="preserve">FEDC163911  </t>
  </si>
  <si>
    <t xml:space="preserve">FEDC163912  </t>
  </si>
  <si>
    <t xml:space="preserve">FEDC163913  </t>
  </si>
  <si>
    <t xml:space="preserve">FEDC163914  </t>
  </si>
  <si>
    <t xml:space="preserve">FEDC163915  </t>
  </si>
  <si>
    <t xml:space="preserve">FEDC163916  </t>
  </si>
  <si>
    <t xml:space="preserve">FEDC163917  </t>
  </si>
  <si>
    <t xml:space="preserve">FEDC163918  </t>
  </si>
  <si>
    <t xml:space="preserve">FEDC163919  </t>
  </si>
  <si>
    <t xml:space="preserve">FEDC163920  </t>
  </si>
  <si>
    <t xml:space="preserve">FEDC163921  </t>
  </si>
  <si>
    <t xml:space="preserve">FEDC163922  </t>
  </si>
  <si>
    <t xml:space="preserve">FEDC163923  </t>
  </si>
  <si>
    <t xml:space="preserve">FEDC163924  </t>
  </si>
  <si>
    <t xml:space="preserve">FEDC163925  </t>
  </si>
  <si>
    <t xml:space="preserve">FEDC163926  </t>
  </si>
  <si>
    <t xml:space="preserve">FEDC163927  </t>
  </si>
  <si>
    <t xml:space="preserve">FEDC163928  </t>
  </si>
  <si>
    <t xml:space="preserve">FEDC163929  </t>
  </si>
  <si>
    <t xml:space="preserve">FEDC163930  </t>
  </si>
  <si>
    <t xml:space="preserve">FEDC163931  </t>
  </si>
  <si>
    <t xml:space="preserve">FEDC163932  </t>
  </si>
  <si>
    <t xml:space="preserve">FEDC163934  </t>
  </si>
  <si>
    <t xml:space="preserve">FEDC163935  </t>
  </si>
  <si>
    <t xml:space="preserve">FEDC163936  </t>
  </si>
  <si>
    <t xml:space="preserve">FEDC163937  </t>
  </si>
  <si>
    <t xml:space="preserve">FEDC163939  </t>
  </si>
  <si>
    <t xml:space="preserve">FEDC163940  </t>
  </si>
  <si>
    <t xml:space="preserve">FEDC163941  </t>
  </si>
  <si>
    <t xml:space="preserve">FEDC163943  </t>
  </si>
  <si>
    <t xml:space="preserve">FEDC163956  </t>
  </si>
  <si>
    <t xml:space="preserve">FEDC163967  </t>
  </si>
  <si>
    <t xml:space="preserve">FEDC163969  </t>
  </si>
  <si>
    <t xml:space="preserve">FEDC163970  </t>
  </si>
  <si>
    <t xml:space="preserve">FEDC163972  </t>
  </si>
  <si>
    <t xml:space="preserve">FEDC163973  </t>
  </si>
  <si>
    <t xml:space="preserve">FEDC163974  </t>
  </si>
  <si>
    <t xml:space="preserve">FEDC163975  </t>
  </si>
  <si>
    <t xml:space="preserve">FEVM49007   </t>
  </si>
  <si>
    <t xml:space="preserve">FEVM49009   </t>
  </si>
  <si>
    <t xml:space="preserve">FEVM49010   </t>
  </si>
  <si>
    <t xml:space="preserve">FEVM49011   </t>
  </si>
  <si>
    <t xml:space="preserve">FEVM49012   </t>
  </si>
  <si>
    <t xml:space="preserve">FEVM49013   </t>
  </si>
  <si>
    <t xml:space="preserve">FEVM49014   </t>
  </si>
  <si>
    <t xml:space="preserve">FEVM49015   </t>
  </si>
  <si>
    <t xml:space="preserve">FEVM49016   </t>
  </si>
  <si>
    <t xml:space="preserve">FEVM49017   </t>
  </si>
  <si>
    <t xml:space="preserve">8038725             </t>
  </si>
  <si>
    <t xml:space="preserve">CUADRADO BOHORQUEZ ADOLFO MARIO                             </t>
  </si>
  <si>
    <t xml:space="preserve">FEVM49018   </t>
  </si>
  <si>
    <t xml:space="preserve">3148921369                    </t>
  </si>
  <si>
    <t xml:space="preserve">50948599            </t>
  </si>
  <si>
    <t xml:space="preserve">CORDOBA BERTEL CLARA INES                                   </t>
  </si>
  <si>
    <t xml:space="preserve">FEVM49019   </t>
  </si>
  <si>
    <t xml:space="preserve">3226221669                    </t>
  </si>
  <si>
    <t xml:space="preserve">FEVM49020   </t>
  </si>
  <si>
    <t xml:space="preserve">FEVM49021   </t>
  </si>
  <si>
    <t xml:space="preserve">1038102933          </t>
  </si>
  <si>
    <t xml:space="preserve">HOYOS ABAD JOHANA PATRICIA                                  </t>
  </si>
  <si>
    <t xml:space="preserve">FEVM49022   </t>
  </si>
  <si>
    <t xml:space="preserve">3132191052                    </t>
  </si>
  <si>
    <t xml:space="preserve">FEDC163976  </t>
  </si>
  <si>
    <t xml:space="preserve">FEDC163977  </t>
  </si>
  <si>
    <t xml:space="preserve">FEDC163978  </t>
  </si>
  <si>
    <t xml:space="preserve">FEDC163979  </t>
  </si>
  <si>
    <t xml:space="preserve">FEDC163980  </t>
  </si>
  <si>
    <t xml:space="preserve">FEDC163981  </t>
  </si>
  <si>
    <t xml:space="preserve">FEDC163982  </t>
  </si>
  <si>
    <t xml:space="preserve">FEDC163983  </t>
  </si>
  <si>
    <t xml:space="preserve">FEDC163984  </t>
  </si>
  <si>
    <t xml:space="preserve">FEDC163985  </t>
  </si>
  <si>
    <t xml:space="preserve">FEDC163986  </t>
  </si>
  <si>
    <t xml:space="preserve">FEDC163987  </t>
  </si>
  <si>
    <t xml:space="preserve">FEDC163988  </t>
  </si>
  <si>
    <t xml:space="preserve">FEDC163989  </t>
  </si>
  <si>
    <t xml:space="preserve">FEDC163990  </t>
  </si>
  <si>
    <t xml:space="preserve">FEDC163991  </t>
  </si>
  <si>
    <t xml:space="preserve">FEDC163992  </t>
  </si>
  <si>
    <t xml:space="preserve">FEDC163993  </t>
  </si>
  <si>
    <t xml:space="preserve">FEDC163994  </t>
  </si>
  <si>
    <t xml:space="preserve">FEDC163995  </t>
  </si>
  <si>
    <t xml:space="preserve">FEDC163996  </t>
  </si>
  <si>
    <t xml:space="preserve">8204664             </t>
  </si>
  <si>
    <t xml:space="preserve">LOBO QUINTANA NELSON ENRIQUE                                </t>
  </si>
  <si>
    <t xml:space="preserve">FEDC163997  </t>
  </si>
  <si>
    <t xml:space="preserve">3145007677                    </t>
  </si>
  <si>
    <t xml:space="preserve">1040497055          </t>
  </si>
  <si>
    <t xml:space="preserve">VILORIA CORTES YARLIS                                       </t>
  </si>
  <si>
    <t xml:space="preserve">FEDC163998  </t>
  </si>
  <si>
    <t xml:space="preserve">3128795914                    </t>
  </si>
  <si>
    <t xml:space="preserve">FEDC163999  </t>
  </si>
  <si>
    <t xml:space="preserve">1040505434          </t>
  </si>
  <si>
    <t xml:space="preserve">MOSQUERA CASTILLO JEILER                                    </t>
  </si>
  <si>
    <t xml:space="preserve">FEDC164000  </t>
  </si>
  <si>
    <t xml:space="preserve">FEVM49008   </t>
  </si>
  <si>
    <t xml:space="preserve">FEDC163942  </t>
  </si>
  <si>
    <t xml:space="preserve">FEVM49023   </t>
  </si>
  <si>
    <t xml:space="preserve">FEVM49024   </t>
  </si>
  <si>
    <t xml:space="preserve">1003179049          </t>
  </si>
  <si>
    <t xml:space="preserve">ARRIETA MORENO YAQUELITH YAQUELINES                         </t>
  </si>
  <si>
    <t xml:space="preserve">FEVM49025   </t>
  </si>
  <si>
    <t xml:space="preserve">3127625129                    </t>
  </si>
  <si>
    <t xml:space="preserve">FEVM49026   </t>
  </si>
  <si>
    <t xml:space="preserve">1067871943          </t>
  </si>
  <si>
    <t xml:space="preserve">BRUNO MARTINEZ LUIS GABRIEL                                 </t>
  </si>
  <si>
    <t xml:space="preserve">FEVM49027   </t>
  </si>
  <si>
    <t xml:space="preserve">3156185184                    </t>
  </si>
  <si>
    <t xml:space="preserve">FEVM49028   </t>
  </si>
  <si>
    <t xml:space="preserve">FEVM49029   </t>
  </si>
  <si>
    <t xml:space="preserve">FEVM49030   </t>
  </si>
  <si>
    <t xml:space="preserve">FEVM49031   </t>
  </si>
  <si>
    <t xml:space="preserve">FEVM49032   </t>
  </si>
  <si>
    <t xml:space="preserve">FEVM49033   </t>
  </si>
  <si>
    <t xml:space="preserve">FEVM49034   </t>
  </si>
  <si>
    <t xml:space="preserve">FEVM49035   </t>
  </si>
  <si>
    <t xml:space="preserve">FEVM49036   </t>
  </si>
  <si>
    <t xml:space="preserve">FEVM49037   </t>
  </si>
  <si>
    <t xml:space="preserve">FEVM49038   </t>
  </si>
  <si>
    <t xml:space="preserve">FEVM49039   </t>
  </si>
  <si>
    <t xml:space="preserve">FEVM49040   </t>
  </si>
  <si>
    <t xml:space="preserve">FEVM49041   </t>
  </si>
  <si>
    <t xml:space="preserve">FEVM49042   </t>
  </si>
  <si>
    <t xml:space="preserve">FEVM49043   </t>
  </si>
  <si>
    <t xml:space="preserve">FEVM49044   </t>
  </si>
  <si>
    <t xml:space="preserve">FEVM49045   </t>
  </si>
  <si>
    <t xml:space="preserve">FEVM49046   </t>
  </si>
  <si>
    <t xml:space="preserve">FEVM49047   </t>
  </si>
  <si>
    <t xml:space="preserve">FEVM49048   </t>
  </si>
  <si>
    <t xml:space="preserve">25805973            </t>
  </si>
  <si>
    <t xml:space="preserve">ARCIA MUnIZ ALCIRA                                          </t>
  </si>
  <si>
    <t xml:space="preserve">FEVM49049   </t>
  </si>
  <si>
    <t>7724642</t>
  </si>
  <si>
    <t xml:space="preserve">FEVM49050   </t>
  </si>
  <si>
    <t xml:space="preserve">FEVM49051   </t>
  </si>
  <si>
    <t xml:space="preserve">FEVM49052   </t>
  </si>
  <si>
    <t xml:space="preserve">1066517179          </t>
  </si>
  <si>
    <t xml:space="preserve">CORTES DOMINGUEZ RAFAEL EDUARDO                             </t>
  </si>
  <si>
    <t xml:space="preserve">FEVM49053   </t>
  </si>
  <si>
    <t xml:space="preserve">3135271745                    </t>
  </si>
  <si>
    <t xml:space="preserve">FEVM49054   </t>
  </si>
  <si>
    <t xml:space="preserve">FEVM49055   </t>
  </si>
  <si>
    <t xml:space="preserve">25805247            </t>
  </si>
  <si>
    <t xml:space="preserve">PEREZ DE LLANOS CARMEN MARIA                                </t>
  </si>
  <si>
    <t xml:space="preserve">FEVM49056   </t>
  </si>
  <si>
    <t xml:space="preserve">3116714167 - 7705289          </t>
  </si>
  <si>
    <t xml:space="preserve">FEVM49057   </t>
  </si>
  <si>
    <t xml:space="preserve">FEVM49058   </t>
  </si>
  <si>
    <t xml:space="preserve">FEVM49059   </t>
  </si>
  <si>
    <t xml:space="preserve">FEVM49060   </t>
  </si>
  <si>
    <t xml:space="preserve">FEVM49061   </t>
  </si>
  <si>
    <t xml:space="preserve">FEVM49062   </t>
  </si>
  <si>
    <t xml:space="preserve">FEVM49063   </t>
  </si>
  <si>
    <t xml:space="preserve">FEVM49064   </t>
  </si>
  <si>
    <t xml:space="preserve">8048401             </t>
  </si>
  <si>
    <t xml:space="preserve">NISPERUZA FLOREZ LEONARDO FRANCISCO                         </t>
  </si>
  <si>
    <t xml:space="preserve">FEVM49065   </t>
  </si>
  <si>
    <t xml:space="preserve">3103841152                    </t>
  </si>
  <si>
    <t xml:space="preserve">FEVM49066   </t>
  </si>
  <si>
    <t xml:space="preserve">FEVM49067   </t>
  </si>
  <si>
    <t xml:space="preserve">FEVM49068   </t>
  </si>
  <si>
    <t xml:space="preserve">FEVM49069   </t>
  </si>
  <si>
    <t xml:space="preserve">FEVM49070   </t>
  </si>
  <si>
    <t xml:space="preserve">FEVM49071   </t>
  </si>
  <si>
    <t xml:space="preserve">FEVM49072   </t>
  </si>
  <si>
    <t xml:space="preserve">FEVM49073   </t>
  </si>
  <si>
    <t xml:space="preserve">FEDC163889  </t>
  </si>
  <si>
    <t xml:space="preserve">FEDC163892  </t>
  </si>
  <si>
    <t xml:space="preserve">FEDC163893  </t>
  </si>
  <si>
    <t xml:space="preserve">FEDC163894  </t>
  </si>
  <si>
    <t xml:space="preserve">FEDC163895  </t>
  </si>
  <si>
    <t xml:space="preserve">FEDC163896  </t>
  </si>
  <si>
    <t xml:space="preserve">FEDC163897  </t>
  </si>
  <si>
    <t xml:space="preserve">FEDC163898  </t>
  </si>
  <si>
    <t xml:space="preserve">FEDC163899  </t>
  </si>
  <si>
    <t xml:space="preserve">FEDC163900  </t>
  </si>
  <si>
    <t xml:space="preserve">FEDC163901  </t>
  </si>
  <si>
    <t xml:space="preserve">FEDC163902  </t>
  </si>
  <si>
    <t xml:space="preserve">FEDC163903  </t>
  </si>
  <si>
    <t xml:space="preserve">FEDC163904  </t>
  </si>
  <si>
    <t xml:space="preserve">FEDC163905  </t>
  </si>
  <si>
    <t xml:space="preserve">FEDC163906  </t>
  </si>
  <si>
    <t xml:space="preserve">FEDC163907  </t>
  </si>
  <si>
    <t xml:space="preserve">FEDC163908  </t>
  </si>
  <si>
    <t xml:space="preserve">FEDC163909  </t>
  </si>
  <si>
    <t xml:space="preserve">FEDC163933  </t>
  </si>
  <si>
    <t xml:space="preserve">FEDC163944  </t>
  </si>
  <si>
    <t xml:space="preserve">FEDC163945  </t>
  </si>
  <si>
    <t xml:space="preserve">FEDC163946  </t>
  </si>
  <si>
    <t xml:space="preserve">FEDC163947  </t>
  </si>
  <si>
    <t xml:space="preserve">FEDC163948  </t>
  </si>
  <si>
    <t xml:space="preserve">FEDC163949  </t>
  </si>
  <si>
    <t xml:space="preserve">FEDC163950  </t>
  </si>
  <si>
    <t xml:space="preserve">FEDC163951  </t>
  </si>
  <si>
    <t xml:space="preserve">FEDC163952  </t>
  </si>
  <si>
    <t xml:space="preserve">FEDC163953  </t>
  </si>
  <si>
    <t xml:space="preserve">FEDC163954  </t>
  </si>
  <si>
    <t xml:space="preserve">FEDC163955  </t>
  </si>
  <si>
    <t xml:space="preserve">FEDC163957  </t>
  </si>
  <si>
    <t xml:space="preserve">FEDC163958  </t>
  </si>
  <si>
    <t xml:space="preserve">FEDC163959  </t>
  </si>
  <si>
    <t xml:space="preserve">FEDC163960  </t>
  </si>
  <si>
    <t xml:space="preserve">FEDC163961  </t>
  </si>
  <si>
    <t xml:space="preserve">71980250            </t>
  </si>
  <si>
    <t xml:space="preserve">PEREZ HERRERA JOHNNYS                                       </t>
  </si>
  <si>
    <t xml:space="preserve">FEDC163962  </t>
  </si>
  <si>
    <t xml:space="preserve">3116893135                    </t>
  </si>
  <si>
    <t xml:space="preserve">FEDC163963  </t>
  </si>
  <si>
    <t xml:space="preserve">FEDC163964  </t>
  </si>
  <si>
    <t xml:space="preserve">FEDC163965  </t>
  </si>
  <si>
    <t xml:space="preserve">FEDC163966  </t>
  </si>
  <si>
    <t xml:space="preserve">FEDC163968  </t>
  </si>
  <si>
    <t xml:space="preserve">FEDC163971  </t>
  </si>
  <si>
    <t xml:space="preserve">FEDC164001  </t>
  </si>
  <si>
    <t xml:space="preserve">FEDC164002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</si>
</sst>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40A]\ * #,##0_-;\-[$$-240A]\ * #,##0_-;_-[$$-240A]\ * &quot;-&quot;??_-;_-@_-"/>
    <numFmt numFmtId="165" formatCode="_-[$$-80A]* #,##0_-;\-[$$-80A]* #,##0_-;_-[$$-80A]* &quot;-&quot;??_-;_-@_-"/>
  </numFmts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4" xfId="0" applyNumberFormat="1" applyBorder="1"/>
    <xf numFmtId="165" fontId="0" fillId="0" borderId="0" xfId="0" applyNumberFormat="1"/>
    <xf numFmtId="0" fontId="1" fillId="2" borderId="0" xfId="0" applyFont="1" applyFill="1" applyAlignment="1">
      <alignment vertical="center" wrapText="1"/>
    </xf>
    <xf numFmtId="165" fontId="0" fillId="3" borderId="0" xfId="0" applyNumberFormat="1" applyFill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165" formatCode="_-[$$-80A]* #,##0_-;\-[$$-80A]* #,##0_-;_-[$$-80A]* &quot;-&quot;??_-;_-@_-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5" formatCode="_-[$$-80A]* #,##0_-;\-[$$-80A]* #,##0_-;_-[$$-80A]* &quot;-&quot;??_-;_-@_-"/>
    </dxf>
    <dxf>
      <numFmt numFmtId="27" formatCode="dd/mm/yyyy\ hh:mm"/>
    </dxf>
    <dxf>
      <numFmt numFmtId="27" formatCode="dd/mm/yyyy\ hh:mm"/>
    </dxf>
    <dxf>
      <numFmt numFmtId="165" formatCode="_-[$$-80A]* #,##0_-;\-[$$-80A]* #,##0_-;_-[$$-80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trileco ventas" refreshedDate="46050.293732986109" createdVersion="1" refreshedVersion="4" recordCount="2801" upgradeOnRefresh="1" xr:uid="{00000000-000A-0000-FFFF-FFFF00000000}">
  <cacheSource type="worksheet">
    <worksheetSource name="carteraharold201701"/>
  </cacheSource>
  <cacheFields count="15">
    <cacheField name="mes" numFmtId="0">
      <sharedItems/>
    </cacheField>
    <cacheField name="nit_a" numFmtId="0">
      <sharedItems/>
    </cacheField>
    <cacheField name="razon_social" numFmtId="0">
      <sharedItems count="1027">
        <s v="PEREZ HINESTROZA EDWIN DUVAN                                "/>
        <s v="GARCIA RODRIGUEZ GLORIA ELENA                               "/>
        <s v="DUQUE VILLA MARIA YANETH                                    "/>
        <s v="MARTINEZ OYOLA MANUEL DAVID                                 "/>
        <s v="CAMACHO PADILLA NORIS                                       "/>
        <s v="CUTEnO PADILLA NELSON ARLEY                                 "/>
        <s v="ECHEVERRY RIVERA OSCAR HERNAN                               "/>
        <s v="POSADA OLARTE MARIO ALBERTO                                 "/>
        <s v="ESCUDERO GOMEZ MARY DE JESUS                                "/>
        <s v="PARAMILLO DISTRIBUCIONES S.A.S                              "/>
        <s v="GONZALEZ POLO ELKIN AUGUSTO                                 "/>
        <s v="BRUNO ARRIETA FRANCISCO ALBERTO                             "/>
        <s v="DUQUE MONTAnO HERNAN ARTURO                                 "/>
        <s v="RAMIREZ OCAMPO RUBEN DARIO                                  "/>
        <s v="UPEGUI LONDOnO JUAN GUILLERMO                               "/>
        <s v="POSADA POSADA ANA CRISTINA                                  "/>
        <s v="GALVIS LUNA DORIS DEL CARMEN                                "/>
        <s v="PEREZ SALCEDO ESCILDA ROSA                                  "/>
        <s v="XXXXXXXXXXXXXXXXXXXXXXINVERSIONES Y DISTRIBUCIONES RG SA    "/>
        <s v="CALDERIN MUnOZ KARINA LUCIA                                 "/>
        <s v="VERGARA FUNIELES CRISTO MANUEL                              "/>
        <s v="MEJIA RUIZ MARIA INES                                       "/>
        <s v="RAMIREZ RAMIREZ OMAR ALBEIRO                                "/>
        <s v="GRACIANO VALLE HERMEN ARNODIS                               "/>
        <s v="SOTO PACHECO JACKELIN ESTER                                 "/>
        <s v="PROABASTOS LA 37 S.A.S                                      "/>
        <s v="DIAZ ORTEGA TATIANA BEATRIZ                                 "/>
        <s v="SALAS PADIERNA BLANCA NORELYS                               "/>
        <s v="C.I PROCESOS INDUSTRIALES MARINOS SAS                       "/>
        <s v="OROZCO VALENCIA WILLIAN DE JESUS                            "/>
        <s v="PROVEEDORA Y AUTOSERVICIO MERCAR S.A.S                      "/>
        <s v="AYALA MUnOZ ANDY MANUEL                                     "/>
        <s v="RODRIGUEZ ACOSTA CAMILO                                     "/>
        <s v="ESCOBAR PINEDA WILMER ANTONIO                               "/>
        <s v="HENAO HERNANDEZ WILMAR ARCESIO                              "/>
        <s v="SUAREZ SANCHEZ OSVALDO JOSE                                 "/>
        <s v="SOTO SALAZAR JHONY ALEJANDRO                                "/>
        <s v="SARIEGO GUERRA NADY LUZ                                     "/>
        <s v="CORPORACION HUMANIZ-ARTE RURAL                              "/>
        <s v="CARDENAS PEREZ BRIAN JOSE                                   "/>
        <s v="MADRIGAL PEREZ MIGUEL ALEJANDRO                             "/>
        <s v="AREIZA QUINTERO OSCAR DARIO                                 "/>
        <s v="RODRIGUEZ LONDOnO JEYSSON ALEJANDRO                         "/>
        <s v="SANDOVAL BUITRAGO HULBERTO                                  "/>
        <s v="CORREA DURANGO MARIA CECILIA                                "/>
        <s v="JIMENEZ RODRIGUEZ LUIS FERNANDO                             "/>
        <s v="BETANCUR CORREA NEVIO DE JESUS                              "/>
        <s v="ARRIETA PEREZ ALEXANDER JOSE                                "/>
        <s v="LOPEZ LOPEZ MARIA DELQUER                                   "/>
        <s v="BAQUERO BERTEL NILSON DE JESUS                              "/>
        <s v="MEJIA TORRES YENNIS ESTHER                                  "/>
        <s v="ARIAS SOLAR YENY PAOLA                                      "/>
        <s v="ESPITIA ARRIOLA VICTOR MANUEL                               "/>
        <s v="SUAREZ MONTOYA LUZ FANNY                                    "/>
        <s v="ARISTIZABAL CASTAÑO HENRY                                   "/>
        <s v="FLOREZ ROJAS EFREN                                          "/>
        <s v="QUINTERO JIMENEZ JHON JAIRO                                 "/>
        <s v="ROJAS BERROCAL JOSE AGUSTIN                                 "/>
        <s v="QUINCHIA QUINTERO RUBEN DARIO                               "/>
        <s v="MON PETIT S.A.S                                             "/>
        <s v="COOMATOSO LTDA                                              "/>
        <s v="GIRALDO MARIN GONZALO DE JESUS                              "/>
        <s v="CABRERA ESCOBAR SEBASTIAN                                   "/>
        <s v="CASTRO BOLIVAR TATIANA                                      "/>
        <s v="AGUDELO GIRALDO GUILLERMO ANTONIO                           "/>
        <s v="LOPEZ BENAVIDES MERCY RUTH                                  "/>
        <s v="ZAPATA LOAIZA ORLANDO LEON                                  "/>
        <s v="CONDE HERNANDEZ FRANCISCA SOLEDAD                           "/>
        <s v="OSORIO SIERRA LUIS CARLOS                                   "/>
        <s v="BARBOZA MORENO OLIVER DE JESUS                              "/>
        <s v="RIVERO PLAZA LENIS MARCELA                                  "/>
        <s v="CASTELLANO DURANGO MARIA MARGARITA                          "/>
        <s v="GAZAR S.A.S.                                                "/>
        <s v="GARCIA MESA FABER ALEXANDER                                 "/>
        <s v="SOL-MART S.A.S                                              "/>
        <s v="GIL PINTO ANA ROSA                                          "/>
        <s v="REYES BEDOYA MARIA CAROLINA                                 "/>
        <s v="CASTAnEDA CARDONA LIGIA ESTHER                              "/>
        <s v="ZULUAGA USME DODEVAR BELISARIO                              "/>
        <s v="SALAZAR FRANCO NATALIA                                      "/>
        <s v="MIRANDA AGAMEZ NARLIS ENEDIS                                "/>
        <s v="ARANGO MUnOZ EDGAR EDILSON                                  "/>
        <s v="GOMEZ ZULUAGA LUIS RODRIGO                                  "/>
        <s v="ARANGO CARVAJAL CAROLIN TATIANA                             "/>
        <s v="BAnOS NIDSON MANUEL                                         "/>
        <s v="GOMEZ PETRO DANIS HORACIO                                   "/>
        <s v="GALVIS VERGARA MIGUEL ANTONIO                               "/>
        <s v="FERIA ACUnA CARLOS ALBERTO                                  "/>
        <s v="JIMENEZ OCAMPO ELMER ALFONSO                                "/>
        <s v="NARVAEZ ARTEAGA ELIAS                                       "/>
        <s v="HERNANDEZ LARA NEDER LUIS                                   "/>
        <s v="ZULUAGA GOMEZ WALTER ARMANDO                                "/>
        <s v="PALOMINO MERCADO GUNTHER HANS                               "/>
        <s v="SUAREZ MONTOYA JAIRO DARIO                                  "/>
        <s v="GARCIA RAMIREZ ANA ELENA                                    "/>
        <s v="LOPEZ MANJARES ADRIANA LUCIA                                "/>
        <s v="VARGAS RIVERA BIBIANA ANDREA                                "/>
        <s v="MERCAMAS JA S.A.S                                           "/>
        <s v="ABARROTES LA TRONCAL S.A.S                                  "/>
        <s v="GIRALDO ARISTIZABAL WILLIAM RAUL                            "/>
        <s v="CANTILLO BANDA LUIS MANUEL                                  "/>
        <s v="OSORIO OVIEDO JORGE ELIECER                                 "/>
        <s v="MORALES GARCIA YANETH DE JESUS                              "/>
        <s v="SUAREZ PASTRANA ELEANA                                      "/>
        <s v="LABORATORIOS COFARMA S.A                                    "/>
        <s v="KENVUE COLOMBIA S.A.                                        "/>
        <s v="DISTRIBUCIONES MERK LTC S.A.S                               "/>
        <s v="GONZALEZ VERGARA OBERTO                                     "/>
        <s v="MARRIAGA VELASQUEZ LACIDES GAMAL                            "/>
        <s v="SOTO GARCIA LIBARDO DE JESUS                                "/>
        <s v="ALVAREZ TAMAYO CARLOS MAURICIO                              "/>
        <s v="HOYOS RUIZ ANDRES DAVID                                     "/>
        <s v="VASQUEZ GIRALDO EDWIN JOHANY                                "/>
        <s v="MARIN LOPEZ JOSE DE JESUS                                   "/>
        <s v="ZULUAGA PEREAnEZ DIEGO ANDRES                               "/>
        <s v="AVILA ZABALETA ISRAEL                                       "/>
        <s v="SUAREZ JOHN JAIRO                                           "/>
        <s v="MARCHENA OTERO EDWARD DE JESUS                              "/>
        <s v="PEREIRA VILLALBA RICHARD ANTONIO                            "/>
        <s v="BATISTA ABELARDO                                            "/>
        <s v="MENA TAPIAS LUCY                                            "/>
        <s v="PARRA DUQUE ELADIO                                          "/>
        <s v="OROZCO GUERRA DANNY LUZ                                     "/>
        <s v="MONTE VEGA EDER ENRIQUE                                     "/>
        <s v="RAMIREZ SANTILLANA MARIA ARNOBIA                            "/>
        <s v="RODRIGUEZ DIAZ OSCAR LUIS                                   "/>
        <s v="MARTINEZ MENDOZA IGNACIO MANUEL                             "/>
        <s v="INVERSIONES ARISTIZABAL Y GONZALEZ S.A.S                    "/>
        <s v="DISTREBOL DEL SINU SAS                                      "/>
        <s v="POLO ANAYA JULIO CESAR                                      "/>
        <s v="MARIN MONTES JUAN DIEGO                                     "/>
        <s v="GARCIA GIRALDO OTONIEL                                      "/>
        <s v="ALEAN DIAZ RODRIGO JOSE                                     "/>
        <s v="COMERCIAL BP S.A.S                                          "/>
        <s v="GUZMAN LEON MARCO AURELIO                                   "/>
        <s v="MONTES ESCOBAR ELKIN JOSE                                   "/>
        <s v="WILCHES MORALES LUZ ENERIS                                  "/>
        <s v="MUNETON MUNETON RUBIEL                                      "/>
        <s v="GRANDA ARROYAVE ALBERTO ELIAS                               "/>
        <s v="MADRIGAL JUAN DIEGO                                         "/>
        <s v="FUNDACION CONSTRUYENDO VIDA SANA                            "/>
        <s v="ALVAREZ BELTRAN ERLIS MANUEL                                "/>
        <s v="SALAZAR OCAMPO ABELARDO DE JESUS                            "/>
        <s v="GONZALEZ MESA ANA MILENA                                    "/>
        <s v="REYES PACHECO AUDIS MARIA                                   "/>
        <s v="ABARROTES Y LEGUMBRES EL MOSCO S.A.S                        "/>
        <s v="GOMEZ CUARTAS JOSE ALEJANDRO                                "/>
        <s v="GOMEZ VALDERRAMA ANA TERESA                                 "/>
        <s v="SALAZAR CASTAnO IVAN                                        "/>
        <s v="MERCADO DIAZ KATIA ESTER                                    "/>
        <s v="ZULUAGA GOMEZ JESUS ALIVER                                  "/>
        <s v="ARBOLEDA RIVERA HERMILSON DE JESUS                          "/>
        <s v="RIVERA BALLESTERO ISMAEL RODRIGO                            "/>
        <s v="CONTRERAS BUELVAS LILIANA MARIA                             "/>
        <s v="BARBOZA MORENO GAMALIEL JOSE                                "/>
        <s v="HOYOS BALDOVINO NEVER ENRIQUE                               "/>
        <s v="ACUÑA TORRES JUAN CARLOS                                    "/>
        <s v="RAMIREZ GIRALDO WILSON RAUL                                 "/>
        <s v="VANEGAS GONZALEZ JOSE GREGORIO                              "/>
        <s v="GOMEZ GALEANO DANIELA FERNANDA                              "/>
        <s v="URIBE GUTIERREZ OVIDIO DE JESUS                             "/>
        <s v="ORTIZ GUERRA DAYANA                                         "/>
        <s v="ALVAREZ FRANCO PIEDAD CECILIA                               "/>
        <s v="DUQUE URREA LUIS ALFONSO                                    "/>
        <s v="FAJARDO MEDINA NAYIBE DEL CARMEN                            "/>
        <s v="URBINA VERGARA IVON CAROLINA                                "/>
        <s v="ORTEGA ALVAREZ UBADEL ANTONIO                               "/>
        <s v="ZUnIGA BERONA WILSON MANUEL                                 "/>
        <s v="GIRALDO BUILES  ARNOLDO DE JESUS                            "/>
        <s v="URBIÑEZ MARTINEZ MARIA ALEJANDRA                            "/>
        <s v="EL CAMPESINO JF SAS                                         "/>
        <s v="BENITEZ SOTO PEDRO NEL                                      "/>
        <s v="MENDOZA RAMIREZ ANA FELICITA                                "/>
        <s v="HERAZO BEDOYA DELIO MIGUEL                                  "/>
        <s v="DURANGO BERTEL ORLANDO                                      "/>
        <s v="AVILA RAMOS JOSE VICENTE                                    "/>
        <s v="MARTINEZ LEMUS DAGOBERTO ANTONIO                            "/>
        <s v="MERCADO GUERRA RUBEN ENRIQUE                                "/>
        <s v="DE HOYOS BARRIOS WILBERTO                                   "/>
        <s v="ARCIA GAVIRIA LUIS ALBERTO                                  "/>
        <s v="GALLEGO ORTIZ CESAR TADEO                                   "/>
        <s v="PALACIO SIERRA CARLOS ARTURO                                "/>
        <s v="ZULUAGA ZULUAGA MARIA FERNANDA                              "/>
        <s v="CIRO BONILLA NORVAIRO DE JESUS                              "/>
        <s v="TORREGROZA GUETTE YESENIA ROCIO                             "/>
        <s v="ZUnIGA ZUnIGA JAIME MIGUEL                                  "/>
        <s v="RUIZ VALENCIA FERMINA DEL CARMEN                            "/>
        <s v="DROGUERIA LA EXCELENCIA PLUS S.A.S                          "/>
        <s v="SANCHEZ PEDRAZA JAVIER ANDRES                               "/>
        <s v="GONZALEZ GENES SAMIR EMIRO                                  "/>
        <s v="COMERCIALIZADORA JUNIAN S.A.S                               "/>
        <s v="DE HOYOS OLIVEROS PAULA ANDREA                              "/>
        <s v="ZAPATA CHACON LUNA                                          "/>
        <s v="PLASTICOS SANTUARIO S.A.S                                   "/>
        <s v="BARRETO RIVERA JUAN CARLOS                                  "/>
        <s v="GIRALDO MADRIGAL SEBASTIAN                                  "/>
        <s v="GOMEZ ZULUAGA ANDRES TADEO                                  "/>
        <s v="RICARDO PINILLOS JOVAN FERNEY                               "/>
        <s v="ARGUMEDO HERNANDEZ MINERVA ARSENIA                          "/>
        <s v="ZAYAS CORDERO AMAURY MIGUEL                                 "/>
        <s v="MONTALVO TUIRAN JHAN CARLOS                                 "/>
        <s v="GUERRA ESTRADA FRANKLIN JOSE                                "/>
        <s v="RESTREPO RESTREPO JHON FREDY                                "/>
        <s v="GONZALEZ CAMARGO NICOLAS FEDERMAN                           "/>
        <s v="ZULUAGA ZULUAGA WILLIAM DAVID                               "/>
        <s v="MARQUEZ PIÑERES MARTA SOFIA                                 "/>
        <s v="CIRO DUQUE JUAN DAVID                                       "/>
        <s v="HERMANOS ATENCIA S.A.S                                      "/>
        <s v="VENTAS MOSTRADOR DIARIA                                     "/>
        <s v="BORJA VILLA YEISON ARLEY                                    "/>
        <s v="GUERRA LOPEZ TERESA DE JESUS                                "/>
        <s v="ACOSTA TOVAR FRANKIS YHOAN                                  "/>
        <s v="OSORIO ARRIETA JHOSMAN                                      "/>
        <s v="MERCADO CASTRO ISABEL                                       "/>
        <s v="GOMEZ ZULUAGA WILSON ADRIAN                                 "/>
        <s v="MERCOSMETICS S.A.S                                          "/>
        <s v="VERGARA RODRIGUEZ ANDRES FELIPE                             "/>
        <s v="MARTINEZ ATEHORTUA CARLOS IVAN                              "/>
        <s v="PAGUENA JIMENEZ HERNAN ALFONSO                              "/>
        <s v="PEREZ CONTRERAS OSCAR                                       "/>
        <s v="RAMIREZ ROMERO JADER EMILIO                                 "/>
        <s v="INVERSIONES LA COMPETENCIA S.A.S.                           "/>
        <s v="GIRALDO OVIDIO DE JESUS                                     "/>
        <s v="DROGUERIA POPULAR ZARAGOZA SAS                              "/>
        <s v="MAURE GENOVEVA                                              "/>
        <s v="MONROY MEJIA ROSA MARIA                                     "/>
        <s v="ZULUAGA QUINCHIA GUSTAVO DE JESUS                           "/>
        <s v="ZULUAGA QUINCHIA NELSON                                     "/>
        <s v="NARANJO SALAZAR MARIA JESUS                                 "/>
        <s v="GONZALEZ BARRERA JERSY DUBIAN                               "/>
        <s v="PALENCIA LUNA MARIA VERONICA                                "/>
        <s v="GARCIA ATENCIA MANUEL JOSE                                  "/>
        <s v="SALGADO TORRES ALEX ENRIQUE                                 "/>
        <s v="RAMOS CASTILLO YORDANA VANESSA                              "/>
        <s v="SIMANCA LUCAS EDUAR MANUEL                                  "/>
        <s v="SIERRA NAVARRO LIBIA DEL CARMEN                             "/>
        <s v="ZULUAGA ZULUAGA CARLOS MARIO                                "/>
        <s v="ACEVEDO CARRASCAL MIGUEL ANGEL                              "/>
        <s v="GOMEZ SALAZAR HAIDIVER                                      "/>
        <s v="SALSAMENTARIA NUESTRO PAN JC SAS                            "/>
        <s v="RAMIREZ GOMEZ DUBERNEY                                      "/>
        <s v="DIAZ BENITEZ ANIBAL DAVID                                   "/>
        <s v="MARTINEZ SANCHEZ DANIEL ANDRES                              "/>
        <s v="GIL VERGARA HECTOR RAMIRO                                   "/>
        <s v="GIRALDO QUINTERO ALDEMAR                                    "/>
        <s v="PALACIO ALBA MERY                                           "/>
        <s v="VARGAS ACEVEDO DINA LUZ                                     "/>
        <s v="CORREA CUADRADO MANUEL ANTONIO                              "/>
        <s v="ZULUAGA ZULUAGA KEVIN ESTEBAN                               "/>
        <s v="BOHORQUEZ RICARDO DEYANIRA ISABEL                           "/>
        <s v="ARRIETA NAVARRO ANTONIO LUIS                                "/>
        <s v="NAVARRO OSCAR EDUARDO                                       "/>
        <s v="ZULUAGA QUINCHIA JESUS HERNAN                               "/>
        <s v="COGOLLO CORONADO GABRIEL ENRRIQUE                           "/>
        <s v="CORREA BARRERA NELSON HUMBERTO                              "/>
        <s v="PROVEEDORA LA TRONCAL SM SAS                                "/>
        <s v="RAMIREZ CASTRO JUAN JOSE                                    "/>
        <s v="ATEHORTUA LOPEZ OMAR                                        "/>
        <s v="JIMENEZ SALAZAR LUIS FERNANDO                               "/>
        <s v="SOTO ZULUAGA DAVID ELIAS                                    "/>
        <s v="ZULUAGA GOMEZ MARIA GLADIS                                  "/>
        <s v="MAESTRE ESCORCIA NERY LUZ                                   "/>
        <s v="PINEDA MONTES ALEXANDER DE JESUS                            "/>
        <s v="ARRIETA SOLORZANO ENAURIS CATALINA                          "/>
        <s v="MONTALVO PEREZ SILFREDO MANUEL                              "/>
        <s v="CACERES CACERES ALVARO                                      "/>
        <s v="CAVADIA CARRASCAL GERMAN ANTONIO                            "/>
        <s v="PEREZ CONTRERAS CARLOS MARIO                                "/>
        <s v="AVENDAÑO ARRIETA LUZ MARY                                   "/>
        <s v="DIAZ BENITEZ MARY ISABEL                                    "/>
        <s v="ARISTIZABAL ALZATE DANIEL ANTONIO                           "/>
        <s v="ARANGO AGUDELO RAFAEL EDUARDO                               "/>
        <s v="FLOREZ MAZA AMELIA PATRICIA                                 "/>
        <s v="BARBOSA MORENO DIANA MARGARITA                              "/>
        <s v="PACHECO ZAPAS LUIS GABRIEL                                  "/>
        <s v="MARULANDA BOLIVAR JAVIER DE JESUS                           "/>
        <s v="PATInO HENRY DE JESUS                                       "/>
        <s v="DISTRIBUCIONES LA SUPERIOR SP S.A.S ZOMAC                   "/>
        <s v="MEDINA CORDERO LEONIS ESTER                                 "/>
        <s v="LOPEZ HERNANDEZ LUIS ALFREDO                                "/>
        <s v="HENAO FERNEY DE JESUS                                       "/>
        <s v="BENITEZ DIAZ LIBARDO DE JESUS                               "/>
        <s v="PEREZ MARTINEZ ADRIANA MARIA                                "/>
        <s v="NARANJO SALAZAR JAVIER ANTONIO                              "/>
        <s v="REYES SIERRA EDINSON ANTONIO                                "/>
        <s v="POSSO ARIAS GABRIEL EDUARDO                                 "/>
        <s v="NARVAEZ MARTINEZ SONIA                                      "/>
        <s v="NIETO GUEVARA JAVIER                                        "/>
        <s v="MAURYS RODAS CRISTHIAN ARTURO                               "/>
        <s v="PACHECO SAYAS AMAURY JOSE                                   "/>
        <s v="ABARROTES Y LICORES EL BACAN S.A.S                          "/>
        <s v="PEnA MARTINEZ YONIS                                         "/>
        <s v="RUIZ VERGARA YESSICA PAOLA                                  "/>
        <s v="MEJIA MARTINEZ ELINEL DE JESUS                              "/>
        <s v="PUPO PUERTA PRICILA                                         "/>
        <s v="SUAREZ OJEDA MARITZA DEL CARMEN                             "/>
        <s v="PULGAR ZULETA LILIANA DE JESUS                              "/>
        <s v="VARGAS JAIRO CESAR                                          "/>
        <s v="OCHOA CONDE SANDRA PATRICIA                                 "/>
        <s v="LASTRE MARTINEZ JOHN ALBERTO                                "/>
        <s v="PEREIRA GUZMAN JAIDER ALBER                                 "/>
        <s v="CASTILLO PULIDO DENISES IBETH                               "/>
        <s v="PACHECO CAMPUZANO LUIS MANUEL                               "/>
        <s v="GONZALEZ SANTANA JHAN CARLOS                                "/>
        <s v="ARCIA FIGUEROA FADITH ELIECER                               "/>
        <s v="BARRAGAN JARAMILLO DAVID ANTONIO                            "/>
        <s v="GOMEZ HIGUITA LINA MARCELA                                  "/>
        <s v="CARDENAS ROLDAN MARIA RUTH                                  "/>
        <s v="HERAZO BARBA ALIS MERY                                      "/>
        <s v="PEREZ ESPITIA MARLENY ROSA                                  "/>
        <s v="PORCI ABASTOS ZOMAC S.A.S                                   "/>
        <s v="VILLADIEGO PASTRANA DORA ISABEL                             "/>
        <s v="ZULUAGA ZULUAGA GENY PATRICIA                               "/>
        <s v="PAYAREZ BARROSO MANUEL FRANCISCO                            "/>
        <s v="QUINTERO NARANJO PAULA ANDREA                               "/>
        <s v="GARAVITO MARQUEZ OLGA PATRICIA                              "/>
        <s v="MERCADO ARROYO JUAN BAUTISTA                                "/>
        <s v="ARISTIZABAL GOMEZ GILBERTO ELIECER                          "/>
        <s v="PEREZ SARIEGO ARGEMIRO                                      "/>
        <s v="ZULUAGA GIRALDO GLORIA AMPARO                               "/>
        <s v="LOPERA GALEANO ALEJANDRO                                    "/>
        <s v="INVERSIONES DUQUE RAMIREZ S.A.S                             "/>
        <s v="INVERSIONES FRANCO SERNA SAS                                "/>
        <s v="MAZO BEDOYA ENEDER NOLASCO                                  "/>
        <s v="PEREIRA AVILEZ JHAN CARLOS                                  "/>
        <s v="CARDONA RIVERA ELIAS                                        "/>
        <s v="ZAMBRANO ARENALES ESTEFANY                                  "/>
        <s v="PERNIA PERNIA DAYNIRET KEIMAR                               "/>
        <s v="POSADA GALLEGO SANDRA MILENA                                "/>
        <s v="MENESES OSORNO GONZALO ALBERTO                              "/>
        <s v="MEDINA LOPERA FRANCISCO LUIS                                "/>
        <s v="GONZALEZ CORDERO LUIS ARGEMIRO                              "/>
        <s v="PUELLO ROMERO YULIANA                                       "/>
        <s v="GORDON GONZALEZ LUZ DARY                                    "/>
        <s v="VERGARA ARTEAGA LORENZO MANUEL                              "/>
        <s v="HERNANDEZ MEJIA KATTY MARGARITA                             "/>
        <s v="TAPIAS MARTINEZ LUZ ELIDA                                   "/>
        <s v="FRANCO HERAZO CARMEN ALICIA                                 "/>
        <s v="ARRIETA VILLEGAS SANDRA MILENA                              "/>
        <s v="GRANDA CARDONA MELISSA                                      "/>
        <s v="CHOPERENA AVILA DARWIN FIDEL                                "/>
        <s v="IBARRA CUELLO FRANKI                                        "/>
        <s v="ACOSTA REYES ANA MILENA                                     "/>
        <s v="SAMPAYO ORTEGA DILMA JOSEFA                                 "/>
        <s v="ZULUAGA QUINTERO JAIME ORLANDO                              "/>
        <s v="COLORADO ZAPATA LUIS ENRIQUE                                "/>
        <s v="MESA MONTIEL MARLEY YULIETH                                 "/>
        <s v="LEAL DOMINGUEZ JULIAN ESTIVEN                               "/>
        <s v="IBAÑEZ IBARRA SANDRA MARCELA                                "/>
        <s v="QUINTERO ZULUAGA ARGEMIRO                                   "/>
        <s v="OSORNO BERRIO WILLIAM ANDRES                                "/>
        <s v="BOHORQUEZ RUDInO JORGE ELIECER                              "/>
        <s v="MENESES BEDOYA SAUDITH                                      "/>
        <s v="HOYOS PADILLA LINA MARCELA                                  "/>
        <s v="MONTOYA BARRERA JUAN PABLO                                  "/>
        <s v="EUSSE GARCIA JAIR                                           "/>
        <s v="VERGARA AVILEZ NORIS DEL CARMEN                             "/>
        <s v="GARCIA HERAZO ALFAIMA MILENA                                "/>
        <s v="GARCIA MONROY DANIEL                                        "/>
        <s v="MADERA ROMERO CARLOS EDUARDO                                "/>
        <s v="SOLORZANO NARVAEZ YESIYT                                    "/>
        <s v="FRANCO MEJIA LINA MARIA                                     "/>
        <s v="ARRIETA INDABUR WILMAR JOSE                                 "/>
        <s v="OCAMPO CORREA JESUS DAVID                                   "/>
        <s v="DISTRICERAMICAS CAUCASIA SAS                                "/>
        <s v="VILLADIEGO PEREZ JOSE BLAS                                  "/>
        <s v="ATEHORTUA BERRIO JOCELYNE CHEYENNE                          "/>
        <s v="BENITEZ FUERTES DANIELA                                     "/>
        <s v="SOLANO PINEDA KATERINE ANDREA                               "/>
        <s v="ROJAS VASQUEZ GLADIS PATRICIA                               "/>
        <s v="ARISTIZABAL JIMENEZ MARIA ALEJANDRA                         "/>
        <s v="AGUDELO HERRERA JUAN ESTEBAN                                "/>
        <s v="MORENO GUTIERREZ JHON EDIX                                  "/>
        <s v="FERNANDEZ TRESPALACIO YORGI IVAN                            "/>
        <s v="CORREA EUSSE YOVANY ARTURO                                  "/>
        <s v="GARCES MARTINEZ SANDRA YOHANA                               "/>
        <s v="DISTRIBUIDORA EL SANTUARIO ANTIOQUEÑO S.A.S                 "/>
        <s v="QUINONES SANCHEZ CARLOS ANDRES                              "/>
        <s v="URIBE HENAO JORGE ORLANDO                                   "/>
        <s v="COMERCIALIZADORA Y DISTRIBUIDORA J.S. S.A.S.                "/>
        <s v="HENAO URANGO ANGELA MARIA                                   "/>
        <s v="PAEZ GUTIERREZ JOSE ORLANDO                                 "/>
        <s v="GUEVARA PEREIRA RAFAEL SIMON                                "/>
        <s v="OZUNA RIVERA LEONIDAS ABIGAIL                               "/>
        <s v="SIERRA NOYA JUANA JOSEFA                                    "/>
        <s v="ARRIETA SANCHEZ OMAR DE JESUS                               "/>
        <s v="GARCIA MUENTES NUBIA LUCIA                                  "/>
        <s v="BALDOVINO CASTELLAR IVAN DARIO                              "/>
        <s v="HEREDIA DIAZ IVER JOSE                                      "/>
        <s v="EL CAMPESINO FZQ S.A.S                                      "/>
        <s v="URIBE GAVIRIA JULIANA PATRICIA                              "/>
        <s v="SANCHEZ  MUnETON SOL CIELO                                  "/>
        <s v="PALACIO PORTILLO YESENIA ROSA                               "/>
        <s v="GOMEZ PUERTA RICHAR                                         "/>
        <s v="GONZALEZ ZAPATA LEONARDO                                    "/>
        <s v="ARROYO GAVIRIA SANDRA MARIA                                 "/>
        <s v="DISTRIBUIDORA Y DULCERIA MYR SAS                            "/>
        <s v="HERNANDEZ BENAVIDEZ JHEYNER JAVIER                          "/>
        <s v="BELLO MENDOZA MARIA ALEJANDRA                               "/>
        <s v="ZULUAGA GOMEZ LUZ MARY                                      "/>
        <s v="MELLAN MONTOYA ESTEFANIA                                    "/>
        <s v="NIETO ROGELIO                                               "/>
        <s v="ALZATE ZULUAGA RUBEN DARIO                                  "/>
        <s v="LASTRE MARTINEZ OMAIRA DE JESUS                             "/>
        <s v="SAMPAYO SANTOS RAFAEL EMIRO                                 "/>
        <s v="TEHERAN POMARES ROSMARY CANDELARIA                          "/>
        <s v="VALERIO MARQUEZ LEONARDO LIS                                "/>
        <s v="GUTIERREZ HERNANDEZ DIANA MILENA                            "/>
        <s v="ZULUAGA DE ZULUAGA AURA EDILMA                              "/>
        <s v="LUNA CHAVEZ OSCAR DAVID                                     "/>
        <s v="PALENCIA DONADO RUBIS ESTHER                                "/>
        <s v="RIVERA MEJIA CARMEN ALICIA                                  "/>
        <s v="RAMOS DIAZ ROQUELINA MARIA                                  "/>
        <s v="DISTRIBUCIONES LA MAZORCA DEL POLO SAS - ZOMAC              "/>
        <s v="PEREZ MARTINEZ NELSON                                       "/>
        <s v="MEDINA PEREZ LENIS ROSA                                     "/>
        <s v="MARTINEZ MANCHEGO ESNEDA ROSA                               "/>
        <s v="GALLEGO GARCIA TERESA DEL SOCORRO                           "/>
        <s v="HENAO HENAO JORGE ANIBAL                                    "/>
        <s v="URZOLA MALDONADO DAGOBERTO                                  "/>
        <s v="JULIO ALVAREZ JOHN CARLOS                                   "/>
        <s v="CASTAnO ROMERO FRANCISCO                                    "/>
        <s v="MAUSA GONZALEZ MAIRA JUDITH                                 "/>
        <s v="MUÑOZ VILLALBA IVAN ENRIQUE                                 "/>
        <s v="ROYO CONDE YOLANDA MARINA                                   "/>
        <s v="CORTES GONZALEZ DUVERNEY                                    "/>
        <s v="NARANJO SALAZAR ROSA INES                                   "/>
        <s v="BEDOYA ACOSTA ANIBAL                                        "/>
        <s v="GOMEZ BETANCURT DORA SOFIA                                  "/>
        <s v="GUZMAN BETANCURT CARLOS ALVARO                              "/>
        <s v="GRAJALES GRAJALES ROBERTO ADRIAN                            "/>
        <s v="GONZALEZ AGUDELO LUZ MARLENY                                "/>
        <s v="INVERSIONES DINASTIA H.R S.A.S.                             "/>
        <s v="GOMEZ VILLA DEISY JHOANA                                    "/>
        <s v="MENDOZA TUBERQUIA KARINA ISABEL                             "/>
        <s v="FUNDACION COLEGIO LOS SAUCES                                "/>
        <s v="MAZO QUInONEZ OMAR ALBERTO                                  "/>
        <s v="CATAnO MARIN LUIS JAIRO                                     "/>
        <s v="CUELLO FERIA EDUARDO CESAR                                  "/>
        <s v="BARRAGAN BENITEZ DARLING ROCIO                              "/>
        <s v="CORONADO ROMERO NICOLAS JOSE                                "/>
        <s v="OROZCO GIRALDO JORGE OLIVERIO                               "/>
        <s v="GONZALEZ POLO LUIS MIGUEL                                   "/>
        <s v="CERPA ESQUIVEL GUILLERMO ENRIQUE                            "/>
        <s v="MEZA TURIZO JUAN DAVID                                      "/>
        <s v="MENDES BUELVAS CARINA ISABEL                                "/>
        <s v="GONZALEZ AVILA LAURY LORENA                                 "/>
        <s v="DUQUE MARCHENA MARIA MERCEDES                               "/>
        <s v="CORREA BARRERA LUIS FERNANDO                                "/>
        <s v="GELIS ROJAS LINEY DEL SOCORRO                               "/>
        <s v="CLAROS DE USUGA LETICIA                                     "/>
        <s v="PEREZ GOMEZ CARY PATRICIA                                   "/>
        <s v="GRAJALES GRAJALES LUIS ARCADIO                              "/>
        <s v="DISFERRAGRO. R SAS ZOMAC                                    "/>
        <s v="ISAZA VARGAS MARIANA                                        "/>
        <s v="ZAYCO S.A.S                                                 "/>
        <s v="ROJAS ESPINOSA MERY LLANED                                  "/>
        <s v="GOMEZ ZULUAGA JHON EUCARIO                                  "/>
        <s v="GOMEZ GOMEZ EDWIN JAVIER                                    "/>
        <s v="PITALUA MARTINEZ RAFAEL EMIRO                               "/>
        <s v="GALLEGO CANO NORBEY HERNANDO                                "/>
        <s v="JIMENEZ TORRES CARLOS ALBERTO                               "/>
        <s v="TOVAR PACHECO ORGIL                                         "/>
        <s v="COGOLLO CORONADO FREDYS MIGUEL                              "/>
        <s v="GIRALDO GOMEZ EDGAR OCTAVIO                                 "/>
        <s v="CHOPERENA MERCADO NELIS ISABEL                              "/>
        <s v="VERGARA ARTEAGA FELIX                                       "/>
        <s v="MENESES HERRERA JOSE DE LA CRUZ                             "/>
        <s v="RUIZ ORTIZ KAROL LICETH                                     "/>
        <s v="ALVARADO MEDRANO GUSTAVO MANUEL                             "/>
        <s v="AGUILAR GOMEZ NANCY DEL CARMEN                              "/>
        <s v="GOMEZ MEJIA MARIA FELICIA                                   "/>
        <s v="DIAZ ORREGO RICARIO CESAR                                   "/>
        <s v="GRANERO CUARTO FRIO S.A.S                                   "/>
        <s v="ARANGO ATEHORTUA GLORIA ROSARIO                             "/>
        <s v="ROMAN MEJIA GLORIA ALBA                                     "/>
        <s v="MOLINA VASQUEZ CALED EMILIO                                 "/>
        <s v="DISTRIBUIDORA EL NUEVO REY S.A.S                            "/>
        <s v="RIQUEME MELENDRES ILDE DE JESUS                             "/>
        <s v="DUQUE RAMIREZ SANDRA MILENA                                 "/>
        <s v="RAMIREZ AGUDELO INGRIS PAOLA                                "/>
        <s v="GUZMAN NIEBLES ANIBAL MARTIN                                "/>
        <s v="MARTINEZ CORDERO JORGE JAIMEN                               "/>
        <s v="GIRALDO GIRALDO JOSE ABELARDO                               "/>
        <s v="AREIZA PAULA VALESKA                                        "/>
        <s v="ALVAREZ LILIAM DEL SOCORRO                                  "/>
        <s v="BALLESTAS DE PEREZ FATIMA ISABEL                            "/>
        <s v="ACOSTA MONTES MARTA ISABEL                                  "/>
        <s v="SUPERMERCADO CUARTO FRIO                                    "/>
        <s v=" LUNA FLOREZ MARTHA ROSA                                    "/>
        <s v="VALVERDE FERNANDEZ AURORA                                   "/>
        <s v="VALENCIA GIRALDO MARLEN                                     "/>
        <s v="ALVAREZ BELTRAN ALEXANDER JOSE                              "/>
        <s v="VARGAS RAMIREZ OSCAR IVAN                                   "/>
        <s v="GONZALEZ MILADIS DEL ROSARIO                                "/>
        <s v="RODRIGUEZ ARENAS URPIANO DE JESUS                           "/>
        <s v="VALENCIA CALLE ERMELANDO                                    "/>
        <s v="ORREGO HERNANDEZ LIBIHT YOANA                               "/>
        <s v="GOMEZ MONTOYA INGRI YOELIS                                  "/>
        <s v="ZULUAGA ZULUAGA DUVAN FELIPE                                "/>
        <s v="GARCIA CORONADO OSCAR EDUARDO                               "/>
        <s v="ARIAS RICHARD ANTONIO                                       "/>
        <s v="SALAZAR RODRIGUEZ MARIA LUCERO                              "/>
        <s v="GOMEZ HOLGUIN ELSON ARLEY                                   "/>
        <s v="SEPULVEDA MONTANO JUAN CAMILO                               "/>
        <s v="PALACIO VILLA CARLOS ALFONSO                                "/>
        <s v="RCM ACTIVOS EMPRESARIALES S.A.S                             "/>
        <s v="COMERCIALIZADORA MERCALCOSTO SAS                            "/>
        <s v="TAFUR AYALA LEYDIS YULIETH                                  "/>
        <s v="PADILLA DE HOYO MARIA ALEJANDRA                             "/>
        <s v="TORO VARELA LUISA FERNANDA                                  "/>
        <s v="MARTINEZ LASCARRO DORIS                                     "/>
        <s v="SALAZAR HERRERA LEONIDAS                                    "/>
        <s v="REGINO PEREZ WILMAR ERNESTO                                 "/>
        <s v="PARRA JAMES ALBERTO                                         "/>
        <s v="GARCIA JIMENEZ AYDE MILENA                                  "/>
        <s v="SOSA TABARES GERMAN EMILIO                                  "/>
        <s v="URIBE JARAMILLO YANETH ELENA                                "/>
        <s v="SANCHEZ AGUDELO FABIOLA DE JESUS                            "/>
        <s v="CHAVARRIA VILLA VIVIANA MARCELA                             "/>
        <s v="HERRERA CUARTAS NELLY DEL SOCORRO                           "/>
        <s v="USUGA FLAVIO HERNANDO                                       "/>
        <s v="BERDUGO RIVERA LEDYS FRUMENCIA                              "/>
        <s v="VASQUEZ PADILLA APARICIO DE JESUS                           "/>
        <s v="GENEY CORCHO GUSTAVO RAFAEL                                 "/>
        <s v="WILCHES SOTO YESSICA PAOLA                                  "/>
        <s v="CIRO ZULUAGA HUGO ALBERTO                                   "/>
        <s v="GALLEGO ARISTIZABAL LUIS CARLOS                             "/>
        <s v="PASTRANA NARANJO JOSE ANDRES                                "/>
        <s v="ARRIETA SUAREZ DERLY ROSA                                   "/>
        <s v="MIELES PADILLA DENIS NALLIREIS                              "/>
        <s v="NARVAEZ MORENO ALEXSANDRA ISABEL                            "/>
        <s v="ARISTIZABAL TATIS  ELKIN DE JESUS                           "/>
        <s v="COOPERATIVA MULTIALTIVA DE MADRES COMUNITARIAS              "/>
        <s v="RODRIGUEZ SANTOS JULIETH PATRICIA                           "/>
        <s v="ANGUILA CARRILLO MATILDE                                    "/>
        <s v="SIMANCA HOYOS RAFAEL EDUARDO                                "/>
        <s v="ROJAS RUIZ IVAN DARIO                                       "/>
        <s v="MONTES COTERA CARLOS ANDRES                                 "/>
        <s v="LOPEZ SOLORZANO LUIS HERNANDO                               "/>
        <s v="JARAMILLO ALVAREZ CARMEN ALICIA                             "/>
        <s v="VILLALOBO HERRERA YORLEDIS ROSA                             "/>
        <s v="URANGO PADILLA LICENIA                                      "/>
        <s v="PESTANA HERNANDEZ LORENA ISABEL                             "/>
        <s v="ARRIETA ALEMAN MARTIN JOSE                                  "/>
        <s v="RAMIREZ DUQUE HUMBERTO NICOLAS                              "/>
        <s v="BEDOYA ALIAN MARCO TULIO                                    "/>
        <s v="GARCIA ESPRIELLA AMPARO DE JESUS                            "/>
        <s v="MENESES MIRANDA YEIDIS PAOLA                                "/>
        <s v="ALMEIDA RAMOS NINI YOHANA                                   "/>
        <s v="MARTINEZ QUINTANA GERTRUDIZ ISABEL                          "/>
        <s v="CORREA LANCE JULIO EVER                                     "/>
        <s v="CORDERO ARGUMEDO MERLY JAEL                                 "/>
        <s v="RENDON ALVAREZ ORLEY                                        "/>
        <s v="DE LA CRUZ CARPIO  LEIDY DEL CARMEN                         "/>
        <s v="SINCELEJO LOPEZ OMAR GABRIEL                                "/>
        <s v="ISSA MARTINEZ ANUAR  DE JESUS                               "/>
        <s v="ESPITIA SERNA ANTONIO ELEUCIDES                             "/>
        <s v="CUELLO MORENO MISLEIDA DEL CARMEN                           "/>
        <s v="ATENCIO CHAVEZ SIRLEY MARIA                                 "/>
        <s v="ZAMBRANO HOYOS ARELYS MARIA                                 "/>
        <s v="SERNA RAMIREZ  LEON OSBALDO                                 "/>
        <s v="CABARCAS CAnAVERA MARIO ANTONIO                             "/>
        <s v="MACEA CARDOZO DAVID JOSE                                    "/>
        <s v="OSORIO HERNANDEZ ARLEN ENRIQUE                              "/>
        <s v="QUINTERO NARANJO KELLY JOHANA                               "/>
        <s v="CASTAÑEDA VERGARA JUAN CARLOS                               "/>
        <s v="MONTALVO MONTALVO FRAIT JOSE                                "/>
        <s v="NARANJO MENDEZ ERIKA ELIET                                  "/>
        <s v="MEJIA TABORDA JHON JAIRO                                    "/>
        <s v="VELASQUEZ ARANGO BERNARDO ANTONIO                           "/>
        <s v="ORTIZ NAVARRO JANDER ANTONIO                                "/>
        <s v="JIMENEZ MARQUEZ ALFONSO MANUEL                              "/>
        <s v="CHIQUILLO RODRIGUEZ DENI ALEJANDRA                          "/>
        <s v="SANTOS GONZALEZ MELKINZEDETH                                "/>
        <s v="CASTAÑO GARCIA RONALDO LEON                                 "/>
        <s v="GONZALEZ BERRIO JAIR ANTONIO                                "/>
        <s v="ALVARADO CORTES YULIANA MARIA                               "/>
        <s v="AREIZA ARANGO DORA ELENA                                    "/>
        <s v="ZULUAGA CASTRO CARLOS ANDRES                                "/>
        <s v="MORALES RIOS MARY LUZ                                       "/>
        <s v="ZABALA SURITA MARIA DELFINA                                 "/>
        <s v="VAQUERO MENDOZA WILMER ALFREDO                              "/>
        <s v="MARTINEZ MONTERROSA MARCELYS ELVIRA                         "/>
        <s v="FLOREZ GALEANO MARIA YESENIA                                "/>
        <s v="RADA TEJADA YEYSON DAVID                                    "/>
        <s v="VELASQUEZ PERALTA CRUZ ESTER                                "/>
        <s v="CALIZ FLOREZ JOSE DOMINGO                                   "/>
        <s v="ARELLANO JHONATHAN                                          "/>
        <s v="MISAS BANQUEZ EVELIO ANTONIO                                "/>
        <s v="CUERVO MARIN LEONEL DE JESUS                                "/>
        <s v="LOPERA JARAMILLO DAIRO ANTONIO                              "/>
        <s v="PEREZ NORMELYS MARIA                                        "/>
        <s v="HENAO TOBON GILDARDO                                        "/>
        <s v="BUSTOS AGUDELO ALEXIS                                       "/>
        <s v="MARQUEZ ORTEGA OSNEY DE JESUS                               "/>
        <s v="PASTRANA SAEZ TATIANA DEL SOCORRO                           "/>
        <s v="YEPES ARAGON YULIETH PAOLA                                  "/>
        <s v="RAMIREZ SALAZAR DUVAN ALIRIO                                "/>
        <s v="RUBIO LUNA CARLOS ANDRES                                    "/>
        <s v="ALQUERQUE LOZANO JOSE ANTONIO                               "/>
        <s v="MIRANDA CHAVEZ EUDES DE JESUS                               "/>
        <s v="CAMARGO ACOSTA OLIDES PATRICIA                              "/>
        <s v="PATIÑO GUTIERREZ JAMISON                                    "/>
        <s v="RUIZ OVIEDO JHON ALEX                                       "/>
        <s v="ROMERO ORTEGA ELDINORA                                      "/>
        <s v="DISTRIBUCIONES EL PROGRESO H&amp;C S.A.S                        "/>
        <s v="GONZALEZ AGUDELO MARIA ROSMERY                              "/>
        <s v="ECHEVERRY CORREA LUIS OVIDIO                                "/>
        <s v="DISTRILECO CAUCASIA S.A.S                                   "/>
        <s v="MARTINEZ FREDY ANTONIO                                      "/>
        <s v="ALZATE RAMIREZ PEDRO EMILIO                                 "/>
        <s v="APARICIO OLINDA MARIA                                       "/>
        <s v="GALARCIO CUADRADO DENIS DEL CARMEN                          "/>
        <s v="VARGAS CARDENAS JORGE ENRIQUE                               "/>
        <s v="CARDONA VELASQUEZ MARIANO DE JESUS                          "/>
        <s v="OSORIO MUnOZ DIANA ANDREA                                   "/>
        <s v="MERCADO MONTERROZA CARLOS ENRIQUE                           "/>
        <s v="MORA MENESES JOAQUIN EMILIO                                 "/>
        <s v="PIEDRAHITA HINCAPIE MONICA ANDREA                           "/>
        <s v="AGUDELO LONDOÑO MONICA YOHANNA                              "/>
        <s v="MERCADO VILLORINA YOLANDA                                   "/>
        <s v="PEREZ ZUnIGA NEIDA YANETH                                   "/>
        <s v="MAZABEL ARROYAVE CRISTIAN OSWALDO                           "/>
        <s v="LONDOÑO LOPEZ JESUS NICOLAS                                 "/>
        <s v="DIAZ VERGARA EDINSON MANUEL                                 "/>
        <s v="CONTRERAS NERY PRISCILA ISABEL                              "/>
        <s v="ZULUAGA PRASCA JUAN CAMILO                                  "/>
        <s v="AGAMEZ SOTELO AMINTA ANTONIA                                "/>
        <s v="AVENDAÑO PEREZ JUAN DAVID                                   "/>
        <s v="LIBERATO FELIX HERNANDO                                     "/>
        <s v="VIDES CENTENO CESAR DAVID                                   "/>
        <s v="CRUZADO TORREJANO JOSE LUIS                                 "/>
        <s v="ORTEGA FERNANDEZ LEMIS MARIA                                "/>
        <s v="DIAZ GARCIA JOSE REYNEL                                     "/>
        <s v="GRACIA MENDOZA LUIS DAVID                                   "/>
        <s v="JULIO HERNANDEZ LUZ MARINA                                  "/>
        <s v="SALAZAR OCAMPO EFRAIN                                       "/>
        <s v="PAUT FUERTE FELIZ ALBERTO                                   "/>
        <s v="MEJIA ANAYA CARMEN ROSA                                     "/>
        <s v="ARROYO POVEDA ROSIRIS                                       "/>
        <s v="MUnOZ PINILLO JESUS EMILIO                                  "/>
        <s v="CEBALLOS POLO FERNADO JOSE                                  "/>
        <s v="FERNANDEZ JARAMILLO DIANA MARCELA                           " u="1"/>
        <s v="ANAYA ARCOS YOMAIRA INES                                    " u="1"/>
        <s v="DEMOYA VERGARA BERTHA ISABEL                                " u="1"/>
        <s v="DEPOSITO Y MERCADOS ANTIOQUIA S.A.S.                        " u="1"/>
        <s v="HERNANDEZ ARRIETA YUDIS BIBIANA                             " u="1"/>
        <s v="HERNANDEZ CONDE JESUS GUILLERMO                             " u="1"/>
        <s v="HERNANDEZ RAMIREZ GABRIEL ANTONIO                           " u="1"/>
        <s v="EDOGRA DISTRIBUCIONES S.A.S                                 " u="1"/>
        <s v="ARIZAL AYALA ALEXANDER URBEY                                " u="1"/>
        <s v="DORADO PADILLA KELLY JOHANNA                                " u="1"/>
        <s v="VILLANUEVA JARABA MILENA REGINA                             " u="1"/>
        <s v="VILLEGAS VILORIA ROBINSON ENRIQUE                           " u="1"/>
        <s v="EMPAQUETADOS EL TRECE S.A.S                                 " u="1"/>
        <s v=" CHICA FERNANDEZ EDINSON MANUEL                             " u="1"/>
        <s v="CORRAL TAMAYO PEDRO JAVIER                                  " u="1"/>
        <s v="CORREA ZAPATA YAMILY DEL SOCORRO                            " u="1"/>
        <s v="CABALLERO ORTEGA MAYDEN MARIA                               " u="1"/>
        <s v="CAMARGO BALDOVINO MANUEL SALVADOR                           " u="1"/>
        <s v="CUADRADO BOHORQUEZ ADOLFO MARIO                             " u="1"/>
        <s v="GIRALDO MARIN JOHNY ANDRES                                  " u="1"/>
        <s v="CATAnO MARIN PABLO EMILIO                                   " u="1"/>
        <s v="CONSTRUCCIONES &amp; LOGISTICAS MAGA S.A.S                      " u="1"/>
        <s v="BERRIO BANQUEZ DEIMER ANTONIO                               " u="1"/>
        <s v="BERROCAL PETRO JOSE ALVEIRO                                 " u="1"/>
        <s v="OCHOA ARISMENDI EDER LUIS                                   " u="1"/>
        <s v="OCHOA PIEDRAHITA LEONARDO DARIO                             " u="1"/>
        <s v="LOZANO AVILEZ ELDER DARIO                                   " u="1"/>
        <s v="REBOLLEDO SALAS MODESTO                                     " u="1"/>
        <s v="MOSQUERA CASTILLO JEILER                                    " u="1"/>
        <s v="NISPERUZA FLOREZ LEONARDO FRANCISCO                         " u="1"/>
        <s v="NISPERUZA PATERNINA  JHON JAIME                             " u="1"/>
        <s v="ACASIO MENDIETA JAVIER                                      " u="1"/>
        <s v="BARRAGAN VIDES YEISON ANDRES                                " u="1"/>
        <s v="BARRIOS PEnA DIANA ESTELLA                                  " u="1"/>
        <s v="BARROSO GUTIERREZ DIANA LUZ                                 " u="1"/>
        <s v="PALOMINO SIERRA LUIS FERNANDO                               " u="1"/>
        <s v="PALOMINO TUIRAN LUIS EDUARDO                                " u="1"/>
        <s v="MIRANDA MASS JESUS EVELIO                                   " u="1"/>
        <s v="ACOSTA SOTO OLGA ELVIRA                                     " u="1"/>
        <s v="CORTES MEDRANO FELIX ANTONIO                                " u="1"/>
        <s v="CORTEZ DIAZ EVER DAVID                                      " u="1"/>
        <s v="ACUÑA FERNANDEZ LUISA MERCEDES                              " u="1"/>
        <s v="ROJAS CAMPO JAIDIR ANTONIO                                  " u="1"/>
        <s v="ROJAS GUERRA IVAN                                           " u="1"/>
        <s v="ROJAS ORTEGA DARIELA ROCIO                                  " u="1"/>
        <s v="VILORIA CORTES YARLIS                                       " u="1"/>
        <s v="VILORIA MARTINEZ MARICELA                                   " u="1"/>
        <s v="RAMOS APARICIO PEDRO LUIS                                   " u="1"/>
        <s v="RAMOS PINTO PASCUAL ANTONIO                                 " u="1"/>
        <s v="OSORIO OVIEDO LEONARDO MANUEL                               " u="1"/>
        <s v="ATENCIA ARAGON ROBERT SEBASTIAN                             " u="1"/>
        <s v="DUQUE BARRIENTOS VICTOR ALFONSO                             " u="1"/>
        <s v="DUQUE CANO BETTY EUGENIA                                    " u="1"/>
        <s v="DUQUE ZULUAGA CESAR DARIO                                   " u="1"/>
        <s v="HURTADO ESPEJO OTALVARO ENRIQUE                             " u="1"/>
        <s v="ALIMENTOS E INVERSIONES S.A.S.                              " u="1"/>
        <s v="HERRERA ARRIETA JUAN MANUEL                                 " u="1"/>
        <s v="HERRERA CONTRERAS ONEY EDER                                 " u="1"/>
        <s v="HERRERA JORGE                                               " u="1"/>
        <s v="BRANGO URANGO YESICA YULIETH                                " u="1"/>
        <s v="BERTEL GARCIA LUZ KARIME                                    " u="1"/>
        <s v="BETTIN VIDES JIMENA                                         " u="1"/>
        <s v="MAZA PABUENA YUDIS ISABEL                                   " u="1"/>
        <s v="MUNDIPOLLOS S.A.S                                           " u="1"/>
        <s v="BRUN MEZA DEIMER                                            " u="1"/>
        <s v="BRUNO MARTINEZ LUIS GABRIEL                                 " u="1"/>
        <s v="CALDERON BENITEZ JUAN CAMILO                                " u="1"/>
        <s v="GARCIA CARMONA EUSEBIO DE JESUS                             " u="1"/>
        <s v="GARCIA MILLAN FRANCISCO ANDRES                              " u="1"/>
        <s v="GARCIA QUINTERO FABIO NELSON                                " u="1"/>
        <s v="GARCIA QUIROZ MAURICIO DE JESUS                             " u="1"/>
        <s v="CARDENAS JAIMES RAUL                                        " u="1"/>
        <s v="FRANCO ARIAS JOSE ALONSO                                    " u="1"/>
        <s v="PEDRAZA MORALES LUIS JESUS                                  " u="1"/>
        <s v="SALAZAR CASTAnO URIEL DARIO                                 " u="1"/>
        <s v=" OROZCO ZULUAGA JORGE ALBEIRO                               " u="1"/>
        <s v="MONTALVO SAEN INGRIS ESTHER                                 " u="1"/>
        <s v="MONTERROSA RUA CARLOS ALBERTO                               " u="1"/>
        <s v="MONTIEL ARRIETA DAMARIS ISABEL                              " u="1"/>
        <s v="ALCON POSSO ERICA PATRICIA                                  " u="1"/>
        <s v="NIÑO NARVAEZ NEVER LUIS                                     " u="1"/>
        <s v="MERCADO CASTILLO TARCILA                                    " u="1"/>
        <s v="PETRO NUÑEZ AURA MARIA                                      " u="1"/>
        <s v="ACEVEDO GONZALEZ DOMINGO MANUEL                             " u="1"/>
        <s v="ACEVEDO ORTEGA EDILIA  EUGENIA                              " u="1"/>
        <s v="LOPEZ LOPEZ GUILLERMO ANTONIO                               " u="1"/>
        <s v="LOPEZ MARTINEZ AUDRY LUCIA                                  " u="1"/>
        <s v="LOPEZ PINEDA LUZ ELENA                                      " u="1"/>
        <s v="LOPEZ ROMAN NORMA CECILIA                                   " u="1"/>
        <s v="LOPEZ URANGO SINDI MARIA                                    " u="1"/>
        <s v="PARRA RIVAS MARIA ESTELLA                                   " u="1"/>
        <s v="RIOS SANCHEZ JOHN FREDY                                     " u="1"/>
        <s v="GALEANO CASARUBIA  JHEISON DAVID                            " u="1"/>
        <s v="MENDEZ ESPEJO JEAN CARLOS                                   " u="1"/>
        <s v="VASQUEZ VERGARA DIEGO ALBERTO                               " u="1"/>
        <s v="ARIAS PEREZ EVARISTO SEGUNDO                                " u="1"/>
        <s v="ARIAS TELLES DEIVIS ALFONSO                                 " u="1"/>
        <s v="OQUENDO ZABALA NURY                                         " u="1"/>
        <s v="LACTALIS COLOMBIA S.A.S                                     " u="1"/>
        <s v="ROMERO YANEZ JUAN ALBERTO                                   " u="1"/>
        <s v="SANCHEZ CHAVEZ MARIA ESTHER                                 " u="1"/>
        <s v="SANCHEZ GARCIA FRANCISCO JAVIER                             " u="1"/>
        <s v="SANCHEZ JIMENEZ ALEXANDER DE JESUS                          " u="1"/>
        <s v="SANCHEZ ORTEGA ELMIS ENRIQUE                                " u="1"/>
        <s v="GUTIERREZ MILLAN JULIO CESAR                                " u="1"/>
        <s v="ALARCON MARTINEZ AIDEE DEL CARMEN                           " u="1"/>
        <s v="ZULUAGA ATEHORTUA GUSTAVO                                   " u="1"/>
        <s v="ZULUAGA ESCOBAR WILMAR ALEXANDER                            " u="1"/>
        <s v="ZULUAGA GIRALDO ADRIANA PATRICIA                            " u="1"/>
        <s v="ZULUAGA GIRALDO LUIS FERNANDO                               " u="1"/>
        <s v="ZULUAGA GOMEZ OSCAR URIEL                                   " u="1"/>
        <s v="ZULUAGA RAMIREZ ROBINSON CAMILO                             " u="1"/>
        <s v="VENTAS MOSTRADOR DIARIA 02                                  " u="1"/>
        <s v="MUNICIPIO DE CAUCASIA                                       " u="1"/>
        <s v="DIAZ ALVAREZ LEDIS GERTRUDIS                                " u="1"/>
        <s v="DIAZ ANAYA YEIDIS YANETH                                    " u="1"/>
        <s v="DIAZ BALVERA GLADYS PETRONA                                 " u="1"/>
        <s v="DIAZ DIAZ MARY LENIS                                        " u="1"/>
        <s v="DIAZ FERIA MIRLEIDYS DEL CARMEN                             " u="1"/>
        <s v="DIAZ PIMIENTO JOSE IGNACIO                                  " u="1"/>
        <s v="DIAZ RODRIGUEZ JOSE IGNACIO                                 " u="1"/>
        <s v="CUELLO MEJIA JADER DE JESUS                                 " u="1"/>
        <s v="GONZALEZ ACEVEDO EMILIANA                                   " u="1"/>
        <s v="GONZALEZ ACOSTA JAIRO                                       " u="1"/>
        <s v="GONZALEZ ALZATE JOSE ALEJANDRO                              " u="1"/>
        <s v="GONZALEZ ARIAS YULEIDER                                     " u="1"/>
        <s v="GONZALEZ BOTERO NUBIA LUCIA                                 " u="1"/>
        <s v="GONZALEZ HURTADO FABER YESITH                               " u="1"/>
        <s v="GONZALEZ SALGADO GENARO MANUEL                              " u="1"/>
        <s v="YEPES SANCHEZ ISELA MARGARITA                               " u="1"/>
        <s v="GAVIRIA BOLAÑO EDWIN JAMES                                  " u="1"/>
        <s v="MEDINA SOLORZANO MINERVA ISABEL                             " u="1"/>
        <s v="URDA UPARELA VIVIANA                                        " u="1"/>
        <s v="MEJIA VERGARA ANGIE                                         " u="1"/>
        <s v="SALGADO SOLANO FELIX EDUARDO                                " u="1"/>
        <s v="RUIZ CONTRERAS HERNAN DAVID                                 " u="1"/>
        <s v="RUIZ MARTINEZ JOHANNA                                       " u="1"/>
        <s v="RUIZ MENDEZ LUIS CARLOS                                     " u="1"/>
        <s v="RUIZ MENDOZA LEONEL FERNEY                                  " u="1"/>
        <s v="RUIZ MESTRA MARIO ANDRES                                    " u="1"/>
        <s v="RUIZ VERGARA ROGER                                          " u="1"/>
        <s v="MARIN MACHADO HAROLD AUGUSTO                                " u="1"/>
        <s v="MARIN PENAGOS DEISY YORLADIZ                                " u="1"/>
        <s v="GUZMAN AVILA GENOVEL ANTONIO                                " u="1"/>
        <s v="URIBE JARAMILLO HERNAN DARIO                                " u="1"/>
        <s v="CALLE CANO FRANCISCO ALONSO                                 " u="1"/>
        <s v="AUTOSERVICIO LA GANGUITA SAS                                " u="1"/>
        <s v="CARLO ORTIZ MERY LUZ                                        " u="1"/>
        <s v="TINY S.A.S ZOMAC                                            " u="1"/>
        <s v="INGENIERIA DE SERVICIOS B.C. LTDA                           " u="1"/>
        <s v="CHAVEZ MERCADO PATRICIA                                     " u="1"/>
        <s v="GALLEGO AGUDELO ALEXANDER                                   " u="1"/>
        <s v="GALLEGO AGUDELO MARIA EUGENIA                               " u="1"/>
        <s v="GALLEGO CANO NICOLAS HUMBERTO                               " u="1"/>
        <s v="INVERSIONES LA ABEJITA S.A.S                                " u="1"/>
        <s v="INVERSIONES LA FORTALEZA S.A.S                              " u="1"/>
        <s v="OVIEDO MARQUEZ MARTA ELIZABETH                              " u="1"/>
        <s v="OVIEDO RADA JOSE LUIS                                       " u="1"/>
        <s v="OVIEDO ZABALETA HERNAN DARIO                                " u="1"/>
        <s v="PAEZ OSORIO BLANCA ROSA                                     " u="1"/>
        <s v="CARMONA DE ORO JOSE MANUEL                                  " u="1"/>
        <s v="BULA RUIZ RICARDO ANTONIO                                   " u="1"/>
        <s v="AREIZA BAENA MANUELA                                        " u="1"/>
        <s v="MERLANO URZOLA MERLIS                                       " u="1"/>
        <s v="ARRIETA ACOSTA YESSICA DEL CARMEN                           " u="1"/>
        <s v="ARRIETA BENITEZ MIRIAM DE LA CRUZ                           " u="1"/>
        <s v="ARRIETA GONZALEZ YEIMYS DEL CARMEN                          " u="1"/>
        <s v="ARRIETA MORENO YAQUELITH YAQUELINES                         " u="1"/>
        <s v="ARRIETA ORTEGA FLOR MARIA                                   " u="1"/>
        <s v="ARRIETA RESTREPO BIVIANA MARCELA                            " u="1"/>
        <s v="ARRIETA ZABALETA LUIS MANUEL                                " u="1"/>
        <s v="ARRIOLA ROMERO CILENA                                       " u="1"/>
        <s v="IMBOCAR S.A.S                                               " u="1"/>
        <s v="DURAN YARA MAURICIO                                         " u="1"/>
        <s v="QUINCHIA ATEHORTUA MARIA NOEMY                              " u="1"/>
        <s v="QUInONEZ ABREU NEIL CAMILO                                  " u="1"/>
        <s v="QUINTANA ROMERO JUAN CARLOS                                 " u="1"/>
        <s v="QUINTERO SERNA FABIO DE JESUS                               " u="1"/>
        <s v="HOYOS ABAD JOHANA PATRICIA                                  " u="1"/>
        <s v="HOYOS ESTRADA MARLEIDIS                                     " u="1"/>
        <s v="CANO RESTREPO OLGA LUCIA                                    " u="1"/>
        <s v="CANO TAPIAS ADRIANA PAOLA                                   " u="1"/>
        <s v="LOBO QUINTANA NELSON ENRIQUE                                " u="1"/>
        <s v="PROVECOL ANTIOQUIA S.A.S                                    " u="1"/>
        <s v="URREA BENJUMEA RIGOBERTO                                    " u="1"/>
        <s v="GUARIN VILLEGAS DAIRO ENRIQUE                               " u="1"/>
        <s v="BORRE RODRIGUEZ ESPERANZA                                   " u="1"/>
        <s v="GUERRA CHAVARRIA BERNEY ARNETH                              " u="1"/>
        <s v="GUERRA ESTRADA AURA CRISTINA                                " u="1"/>
        <s v="GUERRA GARCIA KATHYA KARIME                                 " u="1"/>
        <s v="BETANCOURT GAVIRIA LUZ STELA                                " u="1"/>
        <s v="POLO BARRERA JULIAN ESTEBAN                                 " u="1"/>
        <s v="POLO LOBO BELTI                                             " u="1"/>
        <s v="LUNA CARCAMO LIZ NEY                                        " u="1"/>
        <s v="LUNA CHAVEZ YORLEDIS ISABEL                                 " u="1"/>
        <s v="AVILA AGUAS JOSE IGNACIO                                    " u="1"/>
        <s v="AVILA BAQUERO SANTO DOMINGO                                 " u="1"/>
        <s v="AVILA BAQUERO WILIAN MANUEL                                 " u="1"/>
        <s v="AVILA CANTELLON ROBINSON JOSE                               " u="1"/>
        <s v="ECHAVARRIA LUZ ADRIANA                                      " u="1"/>
        <s v="ECHAVARRIA MONTIEL EDUAR JOSE                               " u="1"/>
        <s v="SARMIENTO SARMIENTO WILMAN JOSE                             " u="1"/>
        <s v="TODO ASEO Y MAS S.A.S                                       " u="1"/>
        <s v="CUETO DIAZ MARITZA ELENA                                    " u="1"/>
        <s v="HENAO HENAO HECTOR HERNAN                                   " u="1"/>
        <s v="HENAO SALAZAR EDWIN JAVIER                                  " u="1"/>
        <s v="MORALES RICARDO RUBEN DARIO                                 " u="1"/>
        <s v="MORALES TORIBIO LUIS ALBERTO                                " u="1"/>
        <s v="MORANTE TORRES SANDRITH JOHANNA                             " u="1"/>
        <s v="HERAZO BEDOYA EDILBERTO MANUEL                              " u="1"/>
        <s v="ACACIO MENDIETA ANGELICA                                    " u="1"/>
        <s v="ACACIO MENDIETA OMAIRA                                      " u="1"/>
        <s v="ORTIZ GARAVITO JAIDER ANTONIO                               " u="1"/>
        <s v="ORTIZ NISPERUZA DINERIS                                     " u="1"/>
        <s v="MAZO GELIZ SIRLEY DEL  PILAR                                " u="1"/>
        <s v="MAZO HERRERA YONAIRA                                        " u="1"/>
        <s v="FUNDACION EDUCATIVA DE AYAPEL &quot;FEDUCA&quot;                      " u="1"/>
        <s v="FUNDACION RENACER M &amp; L                                     " u="1"/>
        <s v="CORDOBA BERTEL CLARA INES                                   " u="1"/>
        <s v="CARRASCAL ALVAREZ NATALIA ANDREA                            " u="1"/>
        <s v="CARRASCAL QUINTANA MONICA MARIA                             " u="1"/>
        <s v="AVENDAnO GUTIERREZ RUBEN DARIO                              " u="1"/>
        <s v="JARAMILLO AVILA WILMAR DE JESUS                             " u="1"/>
        <s v="JARAMILLO GUILLERMO ANTONIO                                 " u="1"/>
        <s v="JARAMILLO JARAMILLO CARLOS MARIO                            " u="1"/>
        <s v="JARAMILLO JIMENEZ INES OFELIA                               " u="1"/>
        <s v="JARAMILLO LOPEZ FERNEY ALCIDES                              " u="1"/>
        <s v="JARAMILLO PINZON SANDRA PATRICIA                            " u="1"/>
        <s v="URBIÑEZ ACEVEDO JUAN MIGUEL                                 " u="1"/>
        <s v="AGUDELO VASQUEZ NANCY ADRIANA                               " u="1"/>
        <s v="SUAREZ HOYOS FREDY ANTONIO                                  " u="1"/>
        <s v="SUAREZ HOYOS MYRIAM ISABEL                                  " u="1"/>
        <s v="SUAREZ SIERRA LILIANA LUCIA                                 " u="1"/>
        <s v="ARENAS CAÑAS BEATRIZ ELENA                                  " u="1"/>
        <s v="ARENAS GOMEZ LUZ ESTELA                                     " u="1"/>
        <s v="COMERCIAL NUTRESA S.A.S                                     " u="1"/>
        <s v="MUÑOZ CARDENAS JOSE WILLIAM                                 " u="1"/>
        <s v="MUÑOZ MERCADO SOLINA ROSA                                   " u="1"/>
        <s v="LARA SALCEDO TEMILDA                                        " u="1"/>
        <s v="CAUSIL CARDOZO FERNANDO JOSE                                " u="1"/>
        <s v="CAUSIL DIAZ ENRIQUE                                         " u="1"/>
        <s v="CAUSIL GONZALEZ YULLY                                       " u="1"/>
        <s v="PIZANO NARVAEZ JORGE IVAN                                   " u="1"/>
        <s v="ENAMORADO SILGADO GLEIDYS MILENA                            " u="1"/>
        <s v="CENTRO CERAMICO ACH S.A.S.                                  " u="1"/>
        <s v="SERPA PATERNINA ALVARO JAVIER                               " u="1"/>
        <s v="SERPA RAMOS LEIDIS PAOLA                                    " u="1"/>
        <s v="PERALTA SALCEDO ANGELA SOFIA                                " u="1"/>
        <s v="PERALTA ZAPATA JUAN EMILIO                                  " u="1"/>
        <s v="RODRIGUEZ DIAZ ELSY YANETH                                  " u="1"/>
        <s v="RODRIGUEZ MARQUEZ REYNALDO                                  " u="1"/>
        <s v="RODRIGUEZ PACHECO CARMEN ELENA                              " u="1"/>
        <s v="RODRIGUEZ TARRIBA IBETH DEL SOCORRO                         " u="1"/>
        <s v="NAVARRO LOZANO UBALDO ENRIQUE                               " u="1"/>
        <s v="PAJARO CASTILLO IVAN DARIO                                  " u="1"/>
        <s v="ARBOLEDA MURILLO ADRIANA                                    " u="1"/>
        <s v="PALACIO PAYARES EIBER ANTONIO                               " u="1"/>
        <s v="GOMEZ ALVAREZ DORA PATRICIA                                 " u="1"/>
        <s v="GOMEZ PLATA MAGNOLIA                                        " u="1"/>
        <s v="GOMEZ ZULUAGA JOSE RAUL                                     " u="1"/>
        <s v="VIDAL VEGA MARIA DEL PILAR                                  " u="1"/>
        <s v="CASTELLAR NAVARRO LORENZO NICOLAS                           " u="1"/>
        <s v="CASTRO HIGUITA KETYS MARIA                                  " u="1"/>
        <s v="ARROYO AGAMEZ GABRIEL CAMILO                                " u="1"/>
        <s v="LUPERCIO RAMON  DAVID VERGARA                               " u="1"/>
        <s v="TORRES CAMPO YISETH JOHANA                                  " u="1"/>
        <s v="TORRES JIMENEZ WILBERTO                                     " u="1"/>
        <s v="TERAN HERNANDEZ JUAN CAMILO                                 " u="1"/>
        <s v="TABARES BUSTAMANTE JAIME ALBERTO                            " u="1"/>
        <s v="SIERRA BOHOQUEZ LUIS EDUARDO                                " u="1"/>
        <s v="SIERRA FUENTES HERNANDO JOSE                                " u="1"/>
        <s v="VELASQUEZ ATEHORTUA DANNOVER DE JESUS                       " u="1"/>
        <s v="VELASQUEZ MAZO ANDRES ENRIQUE                               " u="1"/>
        <s v="VELASQUEZ ZAMBRANO TARCILIA INES                            " u="1"/>
        <s v="ECHEVERRY CORREA CLAUDIA MARIA                              " u="1"/>
        <s v="NEZCO ALVAREZ JEDER MANUEL                                  " u="1"/>
        <s v="JIMENEZ AVILEZ ALEJANDRO MANUEL                             " u="1"/>
        <s v="JIMENEZ FIELD JULIETH ESCILDA                               " u="1"/>
        <s v="JIMENEZ HUBER HERLEY                                        " u="1"/>
        <s v="JIMENEZ QUINTERO JESUS MAURICIO                             " u="1"/>
        <s v="SERRANO MONTIEL ANA ROSA                                    " u="1"/>
        <s v="MORENO FRANCY ESTELA                                        " u="1"/>
        <s v="MORENO MONTALVO LUIS MIGUEL                                 " u="1"/>
        <s v="MORENO RODRIGUEZ IVAN DARIO                                 " u="1"/>
        <s v="TUBERQUIA GIRALDO NIDIA CONSUELO                            " u="1"/>
        <s v="ZABALA RIVERA BEATRIZ ELENA                                 " u="1"/>
        <s v="DE HOYOS ALVAREZ JAVIER ENRIQUE                             " u="1"/>
        <s v="DE HOYOS MARTINEZ JAIME LUIS                                " u="1"/>
        <s v="MESTRA BLANCO LIZ YANETH                                    " u="1"/>
        <s v="ZAPATA GONZALEZ JAIRO HUMBERTO                              " u="1"/>
        <s v="ZAPATA HERNANDEZ DINA LUZ                                   " u="1"/>
        <s v="ZAPATA RAMOS JESUS EDUARDO                                  " u="1"/>
        <s v="ZAPATA ZAPATA LUZ ALEIDA                                    " u="1"/>
        <s v="DELGADO BERROCAL BINYELIS MILDRED                           " u="1"/>
        <s v="ALGARIN GENES YANETH PATRICIA                               " u="1"/>
        <s v="ALGARIN OYOLA YINET VIVIANA                                 " u="1"/>
        <s v="MARTINEZ HERNANDEZ  CRUZ ALFONSO                            " u="1"/>
        <s v="MARTINEZ MARQUEZ GLUDIS DEL CARMEN                          " u="1"/>
        <s v="MARTINEZ MARTINEZ ANDRES YONAIRO                            " u="1"/>
        <s v="MARTINEZ MERCADO TONNY                                      " u="1"/>
        <s v="MARTINEZ PACHECO CLAUDIA SOFIA                              " u="1"/>
        <s v="MARTINEZ SALGADO JESUS DAVID                                " u="1"/>
        <s v="MARTINEZ VIDES JACINTA ISABEL                               " u="1"/>
        <s v="MARTINEZ VIDES NANCY ROSIRIS                                " u="1"/>
        <s v="MARTINEZ VILLALOBOS YEISON                                  " u="1"/>
        <s v="ALMARIO ZAPA YANETH PATRICIA                                " u="1"/>
        <s v="GALVAN SERVANTES CRISTOBAL DE JESUS                         " u="1"/>
        <s v="ALVAREZ AGUDELO LUZ ELENA                                   " u="1"/>
        <s v="ALVAREZ AMPARO DEL CARMEN                                   " u="1"/>
        <s v="ALVAREZ CHANCI DENIS MARIA                                  " u="1"/>
        <s v="ALVAREZ ENSUNCHO JUAN  MANUEL                               " u="1"/>
        <s v="ALVAREZ GARCIA INGRI ISABEL                                 " u="1"/>
        <s v="ALVAREZ QUICENO JULIAN FERNEY                               " u="1"/>
        <s v="ALVAREZ TAMAYO ESTEBAN                                      " u="1"/>
        <s v="ESPITIA DIAZ DORIS DEL CARMEN                               " u="1"/>
        <s v="ESPITIA HERRERA MANUEL RAMON                                " u="1"/>
        <s v="SOTELO ANGULO GLORIA ISABEL                                 " u="1"/>
        <s v="PEÑA LAGARES LIBARDO ENRIQUE                                " u="1"/>
        <s v="PEÑATE DE JESUS BREINE JOSE                                 " u="1"/>
        <s v="PEREZ ATENCIO OLBAR ENRIQUE                                 " u="1"/>
        <s v="PEREZ BARRERA MARIA MAGDALENA                               " u="1"/>
        <s v="PEREZ DE LLANOS CARMEN MARIA                                " u="1"/>
        <s v="PEREZ HERRERA JOHNNYS                                       " u="1"/>
        <s v="PEREZ HOYOS VENUS                                           " u="1"/>
        <s v="PEREZ PRADO PAOLA PATRICIA                                  " u="1"/>
        <s v="PEREZ RIVERA EDINSON ANTONIO                                " u="1"/>
        <s v="PEREZ SIERRA MANUEL EDUARDO                                 " u="1"/>
        <s v="PEREZ TORDECILLA ALEX                                       " u="1"/>
        <s v="PEREZ TORRES OTILIA ISABEL                                  " u="1"/>
        <s v="RIVERA ATEHORTUA DIANA MARIA                                " u="1"/>
        <s v="RIVERO CALDERA CESAR AUGUSTO                                " u="1"/>
        <s v="URANGO ESCOBAR MONICA PATRICIA                              " u="1"/>
        <s v="URANGO JARAMILLO ARGEMIRO MANUEL                            " u="1"/>
        <s v="BRACAMONTE MORELO LUIS ALFONSO                              " u="1"/>
        <s v="PALENCIA BALDOVINO ANGEL GABRIEL                            " u="1"/>
        <s v="BENITEZ ORTEGA LEDYS ROSA                                   " u="1"/>
        <s v="BENITEZ PEREZ MARIA CECILIA                                 " u="1"/>
        <s v=" LOZANO GOMEZ GINA AURORA                                   " u="1"/>
        <s v="VIDES SIERRA EMITIDA LUZ                                    " u="1"/>
        <s v="VIDES SIERRA MARIA                                          " u="1"/>
        <s v="REYES ALVAREZ ROY ROGER                                     " u="1"/>
        <s v="REYES FERNANDEZ ELSA MARIA                                  " u="1"/>
        <s v="CRESPO VILLADIEGO LUIS RAFAEL                               " u="1"/>
        <s v="BUELVAS JAIDER ANTONIO                                      " u="1"/>
        <s v="BASILIO PADILLA JAIRO ANTONIO                               " u="1"/>
        <s v="ERASO YEPES JUAN ANDRES                                     " u="1"/>
        <s v="CALY GARAVITO JUAN MANUEL                                   " u="1"/>
        <s v="NUÑEZ ALMANZA DIANA SOFIA                                   " u="1"/>
        <s v="FLOREZ VELILLA GUILLERMO DE JESUS                           " u="1"/>
        <s v="DAVID ACOSTA DIOGENES DANIEL                                " u="1"/>
        <s v="DAVID HERMANOS S.A.S                                        " u="1"/>
        <s v="VALENCIA SUAREZ GLORIA CECILIA                              " u="1"/>
        <s v="MOLINA CERPA MARE                                           " u="1"/>
        <s v="OLEA MURIEL DIANA ISABEL                                    " u="1"/>
        <s v=" ROMERO YANEZ MARY LUZ                                      " u="1"/>
        <s v="DE LA CRUZ BELTRAN JOSE DAVID                               " u="1"/>
        <s v="DE LA HOZ PANIZA PILAR DEL CARMEN                           " u="1"/>
        <s v="DE LA OSA ROMERO YORLADIS BEATRIZ                           " u="1"/>
        <s v="PACHECO COGOLLO ADILBERTO MANUEL                            " u="1"/>
        <s v="IBARRA PEREZ ALVARO ALBERTO                                 " u="1"/>
        <s v="PIMIENTA MESA LUZ ANGELA                                    " u="1"/>
        <s v="BELLO BERRIO VIDAL ENRIQUE                                  " u="1"/>
        <s v="PIÑEREZ MARTINEZ DEIBY ANDRES                               " u="1"/>
        <s v="VERGARA MORILLO JAIDER                                      " u="1"/>
        <s v="AGAMEZ RUIZ JENYS                                           " u="1"/>
        <s v=" GUERRERO JIMENEZ GLORIA ESTELA                             " u="1"/>
        <s v="VARGAS BEDOYA RUBIEL ARCANGEL                               " u="1"/>
        <s v="VARGAS RAMIREZ LEONARDO ARCANGEL                            " u="1"/>
        <s v="VARGAS VARGAS DADEIBA                                       " u="1"/>
        <s v="PADILLA COCHERO YENNIS PAOLA                                " u="1"/>
        <s v="PADILLA SUAREZ YANET DEL CARMEN                             " u="1"/>
        <s v="PANIZA MENDOZA PILAR DEL CARMEN                             " u="1"/>
        <s v="PATInO ALVAREZ CRUZ MARIELA                                 " u="1"/>
        <s v="INDUSTRIA JABONERA LA JIRAFA S.A.S                          " u="1"/>
        <s v="RAMIREZ JULIA ESTER                                         " u="1"/>
        <s v="RAMIREZ MARTINEZ INGRIS                                     " u="1"/>
        <s v="RAMIREZ PEREZ RAFAEL DARIO                                  " u="1"/>
        <s v="ATEHORTUA GALLEGO JUAN ANDRES                               " u="1"/>
        <s v="COBOS GARCIA AURELIANO FABIO                                " u="1"/>
        <s v="DROGUERIA Y DISPENSARIO DE ANTIOQUIA SAS                    " u="1"/>
        <s v="COLOMBINA S.A                                               " u="1"/>
        <s v="TAPIA GOMEZ MANUEL ALEJANDRO                                " u="1"/>
        <s v="TAPIAS JOSEFA APARICIO                                      " u="1"/>
        <s v="BERNAL GOMEZ BLANCA ALICIA                                  " u="1"/>
      </sharedItems>
    </cacheField>
    <cacheField name="ciudad" numFmtId="0">
      <sharedItems count="116">
        <s v="REMEDIOS"/>
        <s v="MONTELIBANO                   "/>
        <s v="MONTELIBANO"/>
        <s v="SAN PEDRO DE URABA"/>
        <s v="NECHI"/>
        <s v="SAN ANDRES DE CUERQUIA"/>
        <s v="VEGACHI                       "/>
        <s v="ITUANGO"/>
        <s v="SEGOVIA                       "/>
        <s v="TOLEDO                        "/>
        <s v="SEGOVIA"/>
        <s v="SAN ANDRES DE CUERQUIA        "/>
        <s v="PUERTO CLAVER                 "/>
        <s v="CAUCASIA                      "/>
        <s v="MONTERIA"/>
        <s v="TIERRALTA                     "/>
        <s v="SAN MARCOS                    "/>
        <s v="LA CAUCANA                    "/>
        <s v="MONTERIA                      "/>
        <s v="AYAPEL                        "/>
        <s v="PARAGUACHON                   "/>
        <s v="ZARAGOZA"/>
        <s v="EL BAGRE                      "/>
        <s v="JARDIN                        "/>
        <s v="PUERTO LIBERTADOR             "/>
        <s v="ZARAGOZA                      "/>
        <s v="URE                           "/>
        <s v="EL BAGRE"/>
        <s v="SANTA CATALINA                "/>
        <s v="VALDIVIA"/>
        <s v="BRICEÑO                       "/>
        <s v="TARAZA"/>
        <s v="SAN ANTERO                    "/>
        <s v="VEREDA LOS POLLOS             "/>
        <s v="TUCHIN                        "/>
        <s v="BOCAS DEL RIO                 "/>
        <s v="ARBOLETES"/>
        <s v="CAUCASIA"/>
        <s v="YARUMAL"/>
        <s v="VILLA FATIMA                  "/>
        <s v="VALENCIA                      "/>
        <s v="PLANETA RICA"/>
        <s v="SAHAGUN"/>
        <s v="LA SIERPE                     "/>
        <s v="PUERTO LIBERTADOR"/>
        <s v="PUERTO FRASQUILLO             "/>
        <s v="SAN PEDRO DE URABA            "/>
        <s v="PUERTO ESCONDIDO              "/>
        <s v="PUERTO LOPEZ"/>
        <s v="MAJAGUAL                      "/>
        <s v="CIENAGA DE ORO                "/>
        <s v="CAMPO BELLO                   "/>
        <s v="MOÑITOS                       "/>
        <s v="TARAZA                        "/>
        <s v="EL CRUCERO                    "/>
        <s v="SAN ANDRES DE SOTAVENTO       "/>
        <s v="MOMIL                         "/>
        <s v="BARRANQUILLA                  "/>
        <s v="LAS NEGRITAS                  "/>
        <s v="URE"/>
        <s v="PUERTO CLAVER"/>
        <s v="SANTA CATALINA"/>
        <s v="PLANETA RICA                  "/>
        <s v="GUARUMO                       "/>
        <s v="ARBOLETES                     "/>
        <s v="COLOMBOY                      "/>
        <s v="CACERES                       "/>
        <s v="NECHI                         "/>
        <s v="LORICA                        "/>
        <s v="LORICA"/>
        <s v="LA APARTADA"/>
        <s v="CUTURU"/>
        <s v="LOS CORDOBAS                  "/>
        <s v="SAN JUAN DE URABA             "/>
        <s v="PUERTO LOPEZ                  "/>
        <s v="VILLA DEL SOCORRO             "/>
        <s v="LA APARTADA                   "/>
        <s v="PUERTO VALDIVIA               "/>
        <s v="AYAPEL"/>
        <s v="CERETE                        "/>
        <s v="LA CAUCANA"/>
        <s v="COLORADO                      "/>
        <s v="CUTURU                        "/>
        <s v="VEREDA LAS BOCAS              "/>
        <s v="GUARUMO"/>
        <s v="SAHAGUN                       "/>
        <s v="BAGRE                         "/>
        <s v="PÚERTO CLAVER                 "/>
        <s v="KILOMETRO 12                  "/>
        <s v="CACERES"/>
        <s v="VIA SAN PEDRO DE URABA        "/>
        <s v="SAN MARCOS"/>
        <s v="PUEBLO NUEVO"/>
        <s v="PUEBLO LOCO                   "/>
        <s v="VALDIVIA                      "/>
        <s v="SAN JUAN DE URABA"/>
        <s v="CANALETE                      "/>
        <s v="LA YE DE SAHAGUN              "/>
        <s v="PIAMONTE                      "/>
        <s v="JARDIN"/>
        <s v="PUERTO BELGICA                "/>
        <s v="MEDELLIN"/>
        <s v="SAN VICENTE                   " u="1"/>
        <s v="ITAGUI" u="1"/>
        <s v="BUENAVISTA                    " u="1"/>
        <s v="MEDELLIN                      " u="1"/>
        <s v="PUERTO VALDIVIA" u="1"/>
        <s v="MELLITOS                      " u="1"/>
        <s v="NUEVA ESTACION                " u="1"/>
        <s v="PUEBLO NUEVO                  " u="1"/>
        <s v="PUENTE SAN JORGE              " u="1"/>
        <s v="KILOMETRO 12" u="1"/>
        <s v="LA PAULINA                    " u="1"/>
        <s v="PUERTO BELGICA" u="1"/>
        <s v="KILOMETRO 15                  " u="1"/>
        <s v="BUENAVISTA" u="1"/>
      </sharedItems>
    </cacheField>
    <cacheField name="numero" numFmtId="0">
      <sharedItems/>
    </cacheField>
    <cacheField name="ttotal" numFmtId="0">
      <sharedItems containsSemiMixedTypes="0" containsString="0" containsNumber="1" containsInteger="1" minValue="-800" maxValue="94380000"/>
    </cacheField>
    <cacheField name="plazo" numFmtId="0">
      <sharedItems containsSemiMixedTypes="0" containsString="0" containsNumber="1" minValue="0" maxValue="38" count="18">
        <n v="25"/>
        <n v="15"/>
        <n v="26"/>
        <n v="30"/>
        <n v="30.000347222223354"/>
        <n v="1"/>
        <n v="5"/>
        <n v="18"/>
        <n v="38"/>
        <n v="10"/>
        <n v="8"/>
        <n v="20"/>
        <n v="0"/>
        <n v="2"/>
        <n v="19"/>
        <n v="13"/>
        <n v="31" u="1"/>
        <n v="12" u="1"/>
      </sharedItems>
    </cacheField>
    <cacheField name="mora" numFmtId="0">
      <sharedItems containsSemiMixedTypes="0" containsString="0" containsNumber="1" containsInteger="1" minValue="1" maxValue="3778"/>
    </cacheField>
    <cacheField name="fecha" numFmtId="0">
      <sharedItems containsSemiMixedTypes="0" containsNonDate="0" containsDate="1" containsString="0" minDate="2015-09-25T00:00:00" maxDate="2026-01-28T00:00:00"/>
    </cacheField>
    <cacheField name="vencimiento" numFmtId="0">
      <sharedItems containsSemiMixedTypes="0" containsNonDate="0" containsDate="1" containsString="0" minDate="2015-10-20T00:00:00" maxDate="2026-02-27T00:00:00"/>
    </cacheField>
    <cacheField name="zona" numFmtId="0">
      <sharedItems count="57">
        <s v="75 "/>
        <s v="14 "/>
        <s v="44 "/>
        <s v="28 "/>
        <s v="69 "/>
        <s v="76 "/>
        <s v="66 "/>
        <s v="72 "/>
        <s v="68 "/>
        <s v="27 "/>
        <s v="04 "/>
        <s v="05 "/>
        <s v="06 "/>
        <s v="12 "/>
        <s v="03 "/>
        <s v="19 "/>
        <s v="08 "/>
        <s v="31 "/>
        <s v="01 "/>
        <s v="16 "/>
        <s v="25 "/>
        <s v="46 "/>
        <s v="09 "/>
        <s v="21 "/>
        <s v="15 "/>
        <s v="40 "/>
        <s v="45 "/>
        <s v="07 "/>
        <s v="80 "/>
        <s v="33 "/>
        <s v="87 "/>
        <s v="37 "/>
        <s v="51 "/>
        <s v="49 "/>
        <s v="85 "/>
        <s v="22 "/>
        <s v="43 "/>
        <s v="17 "/>
        <s v="10 "/>
        <s v="96 "/>
        <s v="86 "/>
        <s v="90 "/>
        <s v="38 "/>
        <s v="94 "/>
        <s v="57 "/>
        <s v="91 "/>
        <s v="13 "/>
        <s v="30 "/>
        <s v="82 "/>
        <s v="26 "/>
        <s v="32 "/>
        <s v="81 "/>
        <s v="89 "/>
        <s v="48 "/>
        <s v="24 "/>
        <s v="98 " u="1"/>
        <s v="95 " u="1"/>
      </sharedItems>
    </cacheField>
    <cacheField name="vendedor" numFmtId="0">
      <sharedItems count="17">
        <s v="25  "/>
        <s v="04  "/>
        <s v="24  "/>
        <s v="17  "/>
        <s v="03  "/>
        <s v="10  "/>
        <s v="22  "/>
        <s v="05  "/>
        <s v="07  "/>
        <s v="26  "/>
        <s v="28  "/>
        <s v="01  "/>
        <s v="06  "/>
        <s v="02  "/>
        <s v="33  "/>
        <s v="32  "/>
        <s v="12  "/>
      </sharedItems>
    </cacheField>
    <cacheField name="CATEGORIA" numFmtId="0">
      <sharedItems/>
    </cacheField>
    <cacheField name="telefonos" numFmtId="0">
      <sharedItems/>
    </cacheField>
    <cacheField name="plazo_credito" numFmtId="0">
      <sharedItems containsSemiMixedTypes="0" containsString="0" containsNumber="1" containsInteger="1" minValue="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s v="202601"/>
    <s v="15539344            "/>
    <x v="0"/>
    <x v="0"/>
    <s v="00443410    "/>
    <n v="984125"/>
    <x v="0"/>
    <n v="3778"/>
    <d v="2015-09-25T00:00:00"/>
    <d v="2015-10-20T00:00:00"/>
    <x v="0"/>
    <x v="0"/>
    <s v="0    "/>
    <s v="3116105105     "/>
    <n v="30"/>
  </r>
  <r>
    <s v="202601"/>
    <s v="15539344            "/>
    <x v="0"/>
    <x v="0"/>
    <s v="00444486    "/>
    <n v="2253978"/>
    <x v="0"/>
    <n v="3764"/>
    <d v="2015-10-09T00:00:00"/>
    <d v="2015-11-03T00:00:00"/>
    <x v="0"/>
    <x v="0"/>
    <s v="0    "/>
    <s v="3116105105     "/>
    <n v="30"/>
  </r>
  <r>
    <s v="202601"/>
    <s v="39159680            "/>
    <x v="1"/>
    <x v="1"/>
    <s v="00470497    "/>
    <n v="258740"/>
    <x v="0"/>
    <n v="3418"/>
    <d v="2016-09-19T00:00:00"/>
    <d v="2016-10-14T00:00:00"/>
    <x v="1"/>
    <x v="0"/>
    <s v="0    "/>
    <s v="3147095897     "/>
    <n v="30"/>
  </r>
  <r>
    <s v="202601"/>
    <s v="43896226            "/>
    <x v="2"/>
    <x v="1"/>
    <s v="00478928    "/>
    <n v="228615"/>
    <x v="0"/>
    <n v="3324"/>
    <d v="2016-12-22T00:00:00"/>
    <d v="2017-01-16T00:00:00"/>
    <x v="1"/>
    <x v="0"/>
    <s v="0    "/>
    <s v="3148518891     "/>
    <n v="30"/>
  </r>
  <r>
    <s v="202601"/>
    <s v="78301932            "/>
    <x v="3"/>
    <x v="2"/>
    <s v="DC5258      "/>
    <n v="2290968"/>
    <x v="0"/>
    <n v="3129"/>
    <d v="2017-07-05T00:00:00"/>
    <d v="2017-07-30T00:00:00"/>
    <x v="1"/>
    <x v="0"/>
    <s v="0    "/>
    <s v="3106856700"/>
    <n v="1"/>
  </r>
  <r>
    <s v="202601"/>
    <s v="78301932            "/>
    <x v="3"/>
    <x v="2"/>
    <s v="DC7142      "/>
    <n v="2409032"/>
    <x v="0"/>
    <n v="3108"/>
    <d v="2017-07-26T00:00:00"/>
    <d v="2017-08-20T00:00:00"/>
    <x v="1"/>
    <x v="0"/>
    <s v="0    "/>
    <s v="3106856700"/>
    <n v="1"/>
  </r>
  <r>
    <s v="202601"/>
    <s v="32271853            "/>
    <x v="4"/>
    <x v="3"/>
    <s v="DC28788     "/>
    <n v="576764"/>
    <x v="0"/>
    <n v="2841"/>
    <d v="2018-04-19T00:00:00"/>
    <d v="2018-05-14T00:00:00"/>
    <x v="2"/>
    <x v="1"/>
    <s v="0    "/>
    <s v="8205021        "/>
    <n v="30"/>
  </r>
  <r>
    <s v="202601"/>
    <s v="78303116-0          "/>
    <x v="5"/>
    <x v="2"/>
    <s v="DC30175     "/>
    <n v="1260352"/>
    <x v="0"/>
    <n v="2823"/>
    <d v="2018-05-07T00:00:00"/>
    <d v="2018-06-01T00:00:00"/>
    <x v="1"/>
    <x v="0"/>
    <s v="0    "/>
    <s v="3224439153 Lina Choperena     "/>
    <n v="30"/>
  </r>
  <r>
    <s v="202601"/>
    <s v="78303116-0          "/>
    <x v="5"/>
    <x v="2"/>
    <s v="DC30858     "/>
    <n v="492428"/>
    <x v="0"/>
    <n v="2814"/>
    <d v="2018-05-16T00:00:00"/>
    <d v="2018-06-10T00:00:00"/>
    <x v="1"/>
    <x v="0"/>
    <s v="0    "/>
    <s v="3224439153 Lina Choperena     "/>
    <n v="30"/>
  </r>
  <r>
    <s v="202601"/>
    <s v="78303116-0          "/>
    <x v="5"/>
    <x v="2"/>
    <s v="DC32688     "/>
    <n v="1526002"/>
    <x v="0"/>
    <n v="2792"/>
    <d v="2018-06-07T00:00:00"/>
    <d v="2018-07-02T00:00:00"/>
    <x v="1"/>
    <x v="0"/>
    <s v="0    "/>
    <s v="3224439153 Lina Choperena     "/>
    <n v="30"/>
  </r>
  <r>
    <s v="202601"/>
    <s v="78303116-0          "/>
    <x v="5"/>
    <x v="2"/>
    <s v="DC32710     "/>
    <n v="1239171"/>
    <x v="0"/>
    <n v="2792"/>
    <d v="2018-06-07T00:00:00"/>
    <d v="2018-07-02T00:00:00"/>
    <x v="1"/>
    <x v="0"/>
    <s v="0    "/>
    <s v="3224439153 Lina Choperena     "/>
    <n v="30"/>
  </r>
  <r>
    <s v="202601"/>
    <s v="70286909            "/>
    <x v="6"/>
    <x v="4"/>
    <s v="DC36776     "/>
    <n v="481208"/>
    <x v="0"/>
    <n v="2746"/>
    <d v="2018-07-23T00:00:00"/>
    <d v="2018-08-17T00:00:00"/>
    <x v="3"/>
    <x v="1"/>
    <s v="0    "/>
    <s v="3116900028     "/>
    <n v="25"/>
  </r>
  <r>
    <s v="202601"/>
    <s v="3556447             "/>
    <x v="7"/>
    <x v="5"/>
    <s v="DC43692     "/>
    <n v="1848010"/>
    <x v="0"/>
    <n v="2666"/>
    <d v="2018-10-11T00:00:00"/>
    <d v="2018-11-05T00:00:00"/>
    <x v="4"/>
    <x v="2"/>
    <s v="0    "/>
    <s v="3504681064 -8618430           "/>
    <n v="30"/>
  </r>
  <r>
    <s v="202601"/>
    <s v="32090582            "/>
    <x v="8"/>
    <x v="6"/>
    <s v="DC47047     "/>
    <n v="1509674"/>
    <x v="0"/>
    <n v="2624"/>
    <d v="2018-11-22T00:00:00"/>
    <d v="2018-12-17T00:00:00"/>
    <x v="5"/>
    <x v="0"/>
    <s v="0    "/>
    <s v="3145030413-3104491399Andres   "/>
    <n v="30"/>
  </r>
  <r>
    <s v="202601"/>
    <s v="32090582            "/>
    <x v="8"/>
    <x v="6"/>
    <s v="DC48230     "/>
    <n v="2273980"/>
    <x v="0"/>
    <n v="2610"/>
    <d v="2018-12-06T00:00:00"/>
    <d v="2018-12-31T00:00:00"/>
    <x v="5"/>
    <x v="0"/>
    <s v="0    "/>
    <s v="3145030413-3104491399Andres   "/>
    <n v="30"/>
  </r>
  <r>
    <s v="202601"/>
    <s v="32090582            "/>
    <x v="8"/>
    <x v="6"/>
    <s v="DC50508     "/>
    <n v="1920585"/>
    <x v="0"/>
    <n v="2581"/>
    <d v="2019-01-04T00:00:00"/>
    <d v="2019-01-29T00:00:00"/>
    <x v="5"/>
    <x v="0"/>
    <s v="0    "/>
    <s v="3145030413-3104491399Andres   "/>
    <n v="30"/>
  </r>
  <r>
    <s v="202601"/>
    <s v="32090582            "/>
    <x v="8"/>
    <x v="6"/>
    <s v="DC52948     "/>
    <n v="298700"/>
    <x v="1"/>
    <n v="2554"/>
    <d v="2019-01-31T00:00:00"/>
    <d v="2019-02-15T00:00:00"/>
    <x v="5"/>
    <x v="0"/>
    <s v="0    "/>
    <s v="3145030413-3104491399Andres   "/>
    <n v="30"/>
  </r>
  <r>
    <s v="202601"/>
    <s v="3556447             "/>
    <x v="7"/>
    <x v="5"/>
    <s v="DC58082     "/>
    <n v="2028313"/>
    <x v="0"/>
    <n v="2497"/>
    <d v="2019-03-29T00:00:00"/>
    <d v="2019-04-23T00:00:00"/>
    <x v="4"/>
    <x v="2"/>
    <s v="0    "/>
    <s v="3504681064 -8618430           "/>
    <n v="30"/>
  </r>
  <r>
    <s v="202601"/>
    <s v="900498218-0         "/>
    <x v="9"/>
    <x v="7"/>
    <s v="DC59358     "/>
    <n v="1330000"/>
    <x v="0"/>
    <n v="2483"/>
    <d v="2019-04-12T00:00:00"/>
    <d v="2019-05-07T00:00:00"/>
    <x v="6"/>
    <x v="2"/>
    <s v="0    "/>
    <s v="3167414483 Dora-8643006       "/>
    <n v="1"/>
  </r>
  <r>
    <s v="202601"/>
    <s v="91523897            "/>
    <x v="10"/>
    <x v="8"/>
    <s v="DT245352    "/>
    <n v="175863"/>
    <x v="2"/>
    <n v="2478"/>
    <d v="2019-04-17T00:00:00"/>
    <d v="2019-05-13T00:00:00"/>
    <x v="7"/>
    <x v="0"/>
    <s v="0    "/>
    <s v="3215656454     "/>
    <n v="30"/>
  </r>
  <r>
    <s v="202601"/>
    <s v="10899980            "/>
    <x v="11"/>
    <x v="7"/>
    <s v="DC61553     "/>
    <n v="1015366"/>
    <x v="0"/>
    <n v="2455"/>
    <d v="2019-05-10T00:00:00"/>
    <d v="2019-06-04T00:00:00"/>
    <x v="6"/>
    <x v="2"/>
    <s v="0    "/>
    <s v="3136932545 -3206178964        "/>
    <n v="1"/>
  </r>
  <r>
    <s v="202601"/>
    <s v="12722937            "/>
    <x v="12"/>
    <x v="9"/>
    <s v="DC61557     "/>
    <n v="585800"/>
    <x v="0"/>
    <n v="2455"/>
    <d v="2019-05-10T00:00:00"/>
    <d v="2019-06-04T00:00:00"/>
    <x v="8"/>
    <x v="2"/>
    <s v="0    "/>
    <s v="3502343570                    "/>
    <n v="1"/>
  </r>
  <r>
    <s v="202601"/>
    <s v="91523897            "/>
    <x v="10"/>
    <x v="8"/>
    <s v="DC62139     "/>
    <n v="176860"/>
    <x v="0"/>
    <n v="2448"/>
    <d v="2019-05-17T00:00:00"/>
    <d v="2019-06-11T00:00:00"/>
    <x v="7"/>
    <x v="0"/>
    <s v="0    "/>
    <s v="3215656454     "/>
    <n v="30"/>
  </r>
  <r>
    <s v="202601"/>
    <s v="70696266            "/>
    <x v="13"/>
    <x v="10"/>
    <s v="DT248473    "/>
    <n v="163300"/>
    <x v="3"/>
    <n v="2421"/>
    <d v="2019-06-13T00:00:00"/>
    <d v="2019-07-13T00:00:00"/>
    <x v="7"/>
    <x v="0"/>
    <s v="0    "/>
    <s v="3144717362     "/>
    <n v="30"/>
  </r>
  <r>
    <s v="202601"/>
    <s v="70579653            "/>
    <x v="14"/>
    <x v="7"/>
    <s v="DC65029     "/>
    <n v="228000"/>
    <x v="3"/>
    <n v="2413"/>
    <d v="2019-06-21T00:00:00"/>
    <d v="2019-07-21T00:00:00"/>
    <x v="6"/>
    <x v="2"/>
    <s v="0    "/>
    <s v="3206676980     "/>
    <n v="30"/>
  </r>
  <r>
    <s v="202601"/>
    <s v="70579653            "/>
    <x v="14"/>
    <x v="7"/>
    <s v="DC65044     "/>
    <n v="132260"/>
    <x v="3"/>
    <n v="2413"/>
    <d v="2019-06-21T00:00:00"/>
    <d v="2019-07-21T00:00:00"/>
    <x v="6"/>
    <x v="2"/>
    <s v="0    "/>
    <s v="3206676980     "/>
    <n v="30"/>
  </r>
  <r>
    <s v="202601"/>
    <s v="1037448653          "/>
    <x v="15"/>
    <x v="11"/>
    <s v="DC65020     "/>
    <n v="1035810"/>
    <x v="3"/>
    <n v="2413"/>
    <d v="2019-06-21T00:00:00"/>
    <d v="2019-07-21T00:00:00"/>
    <x v="4"/>
    <x v="2"/>
    <s v="0    "/>
    <s v="3136927358 -3217267375        "/>
    <n v="30"/>
  </r>
  <r>
    <s v="202601"/>
    <s v="1038105977          "/>
    <x v="16"/>
    <x v="12"/>
    <s v="FEDC3432    "/>
    <n v="991210"/>
    <x v="3"/>
    <n v="2281"/>
    <d v="2019-10-31T00:00:00"/>
    <d v="2019-11-30T00:00:00"/>
    <x v="9"/>
    <x v="1"/>
    <s v="0    "/>
    <s v="3137278921     "/>
    <n v="30"/>
  </r>
  <r>
    <s v="202601"/>
    <s v="1038105977          "/>
    <x v="16"/>
    <x v="12"/>
    <s v="FEDC5443    "/>
    <n v="2336849"/>
    <x v="3"/>
    <n v="2252"/>
    <d v="2019-11-29T00:00:00"/>
    <d v="2019-12-29T00:00:00"/>
    <x v="9"/>
    <x v="1"/>
    <s v="0    "/>
    <s v="3137278921     "/>
    <n v="30"/>
  </r>
  <r>
    <s v="202601"/>
    <s v="1038105977          "/>
    <x v="16"/>
    <x v="12"/>
    <s v="FEDC5445    "/>
    <n v="1271260"/>
    <x v="3"/>
    <n v="2252"/>
    <d v="2019-11-29T00:00:00"/>
    <d v="2019-12-29T00:00:00"/>
    <x v="9"/>
    <x v="1"/>
    <s v="0    "/>
    <s v="3137278921     "/>
    <n v="30"/>
  </r>
  <r>
    <s v="202601"/>
    <s v="50947779            "/>
    <x v="17"/>
    <x v="1"/>
    <s v="CO14808     "/>
    <n v="70882"/>
    <x v="1"/>
    <n v="2157"/>
    <d v="2020-03-03T00:00:00"/>
    <d v="2020-03-18T00:00:00"/>
    <x v="1"/>
    <x v="3"/>
    <s v="0    "/>
    <s v="3137071304     "/>
    <n v="30"/>
  </r>
  <r>
    <s v="202601"/>
    <s v="901410258-0         "/>
    <x v="18"/>
    <x v="13"/>
    <s v="FEDC36712   "/>
    <n v="16043822"/>
    <x v="3"/>
    <n v="1786"/>
    <d v="2021-03-09T00:00:00"/>
    <d v="2021-04-08T00:00:00"/>
    <x v="10"/>
    <x v="4"/>
    <s v="0    "/>
    <s v="                              "/>
    <n v="30"/>
  </r>
  <r>
    <s v="202601"/>
    <s v="901410258-0         "/>
    <x v="18"/>
    <x v="13"/>
    <s v="FEDC36653   "/>
    <n v="2017830"/>
    <x v="4"/>
    <n v="1786"/>
    <d v="2021-03-09T00:00:00"/>
    <d v="2021-04-08T00:00:30"/>
    <x v="11"/>
    <x v="4"/>
    <s v="0    "/>
    <s v="                              "/>
    <n v="30"/>
  </r>
  <r>
    <s v="202601"/>
    <s v="901410258-0         "/>
    <x v="18"/>
    <x v="13"/>
    <s v="FEDC36664   "/>
    <n v="194665"/>
    <x v="3"/>
    <n v="1786"/>
    <d v="2021-03-09T00:00:00"/>
    <d v="2021-04-08T00:00:00"/>
    <x v="12"/>
    <x v="4"/>
    <s v="0    "/>
    <s v="                              "/>
    <n v="30"/>
  </r>
  <r>
    <s v="202601"/>
    <s v="901410258-0         "/>
    <x v="18"/>
    <x v="13"/>
    <s v="FEDC36665   "/>
    <n v="2297695"/>
    <x v="3"/>
    <n v="1786"/>
    <d v="2021-03-09T00:00:00"/>
    <d v="2021-04-08T00:00:00"/>
    <x v="12"/>
    <x v="4"/>
    <s v="0    "/>
    <s v="                              "/>
    <n v="30"/>
  </r>
  <r>
    <s v="202601"/>
    <s v="901410258-0         "/>
    <x v="18"/>
    <x v="13"/>
    <s v="FEDC36809   "/>
    <n v="6511691"/>
    <x v="3"/>
    <n v="1784"/>
    <d v="2021-03-11T00:00:00"/>
    <d v="2021-04-10T00:00:00"/>
    <x v="13"/>
    <x v="4"/>
    <s v="0    "/>
    <s v="                              "/>
    <n v="30"/>
  </r>
  <r>
    <s v="202601"/>
    <s v="901410258-0         "/>
    <x v="18"/>
    <x v="13"/>
    <s v="FEDC36961   "/>
    <n v="185983"/>
    <x v="4"/>
    <n v="1782"/>
    <d v="2021-03-13T00:00:00"/>
    <d v="2021-04-12T00:00:30"/>
    <x v="10"/>
    <x v="5"/>
    <s v="0    "/>
    <s v="                              "/>
    <n v="30"/>
  </r>
  <r>
    <s v="202601"/>
    <s v="901410258-0         "/>
    <x v="18"/>
    <x v="13"/>
    <s v="FEDC37139   "/>
    <n v="2582646"/>
    <x v="3"/>
    <n v="1779"/>
    <d v="2021-03-16T00:00:00"/>
    <d v="2021-04-15T00:00:00"/>
    <x v="14"/>
    <x v="4"/>
    <s v="0    "/>
    <s v="                              "/>
    <n v="30"/>
  </r>
  <r>
    <s v="202601"/>
    <s v="901410258-0         "/>
    <x v="18"/>
    <x v="13"/>
    <s v="FEDC37140   "/>
    <n v="3368689"/>
    <x v="3"/>
    <n v="1779"/>
    <d v="2021-03-16T00:00:00"/>
    <d v="2021-04-15T00:00:00"/>
    <x v="14"/>
    <x v="4"/>
    <s v="0    "/>
    <s v="                              "/>
    <n v="30"/>
  </r>
  <r>
    <s v="202601"/>
    <s v="901410258-0         "/>
    <x v="18"/>
    <x v="13"/>
    <s v="FEDC37618   "/>
    <n v="31434480"/>
    <x v="3"/>
    <n v="1771"/>
    <d v="2021-03-24T00:00:00"/>
    <d v="2021-04-23T00:00:00"/>
    <x v="10"/>
    <x v="4"/>
    <s v="0    "/>
    <s v="                              "/>
    <n v="30"/>
  </r>
  <r>
    <s v="202601"/>
    <s v="901410258-0         "/>
    <x v="18"/>
    <x v="13"/>
    <s v="FEDC37653   "/>
    <n v="13312910"/>
    <x v="3"/>
    <n v="1771"/>
    <d v="2021-03-24T00:00:00"/>
    <d v="2021-04-23T00:00:00"/>
    <x v="10"/>
    <x v="4"/>
    <s v="0    "/>
    <s v="                              "/>
    <n v="30"/>
  </r>
  <r>
    <s v="202601"/>
    <s v="901410258-0         "/>
    <x v="18"/>
    <x v="13"/>
    <s v="FEDC37655   "/>
    <n v="4130957"/>
    <x v="3"/>
    <n v="1771"/>
    <d v="2021-03-24T00:00:00"/>
    <d v="2021-04-23T00:00:00"/>
    <x v="10"/>
    <x v="4"/>
    <s v="0    "/>
    <s v="                              "/>
    <n v="30"/>
  </r>
  <r>
    <s v="202601"/>
    <s v="901410258-0         "/>
    <x v="18"/>
    <x v="13"/>
    <s v="FEDC37614   "/>
    <n v="36866"/>
    <x v="3"/>
    <n v="1771"/>
    <d v="2021-03-24T00:00:00"/>
    <d v="2021-04-23T00:00:00"/>
    <x v="11"/>
    <x v="4"/>
    <s v="0    "/>
    <s v="                              "/>
    <n v="30"/>
  </r>
  <r>
    <s v="202601"/>
    <s v="901410258-0         "/>
    <x v="18"/>
    <x v="13"/>
    <s v="FEDC37612   "/>
    <n v="2351143"/>
    <x v="3"/>
    <n v="1771"/>
    <d v="2021-03-24T00:00:00"/>
    <d v="2021-04-23T00:00:00"/>
    <x v="12"/>
    <x v="4"/>
    <s v="0    "/>
    <s v="                              "/>
    <n v="30"/>
  </r>
  <r>
    <s v="202601"/>
    <s v="901410258-0         "/>
    <x v="18"/>
    <x v="13"/>
    <s v="FEDC37865   "/>
    <n v="25080000"/>
    <x v="3"/>
    <n v="1769"/>
    <d v="2021-03-26T00:00:00"/>
    <d v="2021-04-25T00:00:00"/>
    <x v="14"/>
    <x v="4"/>
    <s v="0    "/>
    <s v="                              "/>
    <n v="30"/>
  </r>
  <r>
    <s v="202601"/>
    <s v="901410258-0         "/>
    <x v="18"/>
    <x v="13"/>
    <s v="FEDC38219   "/>
    <n v="2260613"/>
    <x v="3"/>
    <n v="1765"/>
    <d v="2021-03-30T00:00:00"/>
    <d v="2021-04-29T00:00:00"/>
    <x v="14"/>
    <x v="4"/>
    <s v="0    "/>
    <s v="                              "/>
    <n v="30"/>
  </r>
  <r>
    <s v="202601"/>
    <s v="901410258-0         "/>
    <x v="18"/>
    <x v="13"/>
    <s v="FEDC38220   "/>
    <n v="4676067"/>
    <x v="3"/>
    <n v="1765"/>
    <d v="2021-03-30T00:00:00"/>
    <d v="2021-04-29T00:00:00"/>
    <x v="14"/>
    <x v="4"/>
    <s v="0    "/>
    <s v="                              "/>
    <n v="30"/>
  </r>
  <r>
    <s v="202601"/>
    <s v="901410258-0         "/>
    <x v="18"/>
    <x v="13"/>
    <s v="FEDC38221   "/>
    <n v="1156935"/>
    <x v="3"/>
    <n v="1765"/>
    <d v="2021-03-30T00:00:00"/>
    <d v="2021-04-29T00:00:00"/>
    <x v="14"/>
    <x v="4"/>
    <s v="0    "/>
    <s v="                              "/>
    <n v="30"/>
  </r>
  <r>
    <s v="202601"/>
    <s v="901410258-0         "/>
    <x v="18"/>
    <x v="13"/>
    <s v="FEDC38488   "/>
    <n v="7592277"/>
    <x v="3"/>
    <n v="1758"/>
    <d v="2021-04-06T00:00:00"/>
    <d v="2021-05-06T00:00:00"/>
    <x v="10"/>
    <x v="4"/>
    <s v="0    "/>
    <s v="                              "/>
    <n v="30"/>
  </r>
  <r>
    <s v="202601"/>
    <s v="901410258-0         "/>
    <x v="18"/>
    <x v="13"/>
    <s v="FEDC38438   "/>
    <n v="2066286"/>
    <x v="3"/>
    <n v="1758"/>
    <d v="2021-04-06T00:00:00"/>
    <d v="2021-05-06T00:00:00"/>
    <x v="11"/>
    <x v="4"/>
    <s v="0    "/>
    <s v="                              "/>
    <n v="30"/>
  </r>
  <r>
    <s v="202601"/>
    <s v="901410258-0         "/>
    <x v="18"/>
    <x v="13"/>
    <s v="FEDC38430   "/>
    <n v="3102049"/>
    <x v="3"/>
    <n v="1758"/>
    <d v="2021-04-06T00:00:00"/>
    <d v="2021-05-06T00:00:00"/>
    <x v="12"/>
    <x v="4"/>
    <s v="0    "/>
    <s v="                              "/>
    <n v="30"/>
  </r>
  <r>
    <s v="202601"/>
    <s v="901410258-0         "/>
    <x v="18"/>
    <x v="13"/>
    <s v="FEDC38431   "/>
    <n v="475675"/>
    <x v="3"/>
    <n v="1758"/>
    <d v="2021-04-06T00:00:00"/>
    <d v="2021-05-06T00:00:00"/>
    <x v="12"/>
    <x v="4"/>
    <s v="0    "/>
    <s v="                              "/>
    <n v="30"/>
  </r>
  <r>
    <s v="202601"/>
    <s v="901410258-0         "/>
    <x v="18"/>
    <x v="13"/>
    <s v="FEDC38589   "/>
    <n v="7141014"/>
    <x v="3"/>
    <n v="1756"/>
    <d v="2021-04-08T00:00:00"/>
    <d v="2021-05-08T00:00:00"/>
    <x v="13"/>
    <x v="4"/>
    <s v="0    "/>
    <s v="                              "/>
    <n v="30"/>
  </r>
  <r>
    <s v="202601"/>
    <s v="901410258-0         "/>
    <x v="18"/>
    <x v="13"/>
    <s v="FEDC39002   "/>
    <n v="3706728"/>
    <x v="3"/>
    <n v="1751"/>
    <d v="2021-04-13T00:00:00"/>
    <d v="2021-05-13T00:00:00"/>
    <x v="14"/>
    <x v="4"/>
    <s v="0    "/>
    <s v="                              "/>
    <n v="30"/>
  </r>
  <r>
    <s v="202601"/>
    <s v="901410258-0         "/>
    <x v="18"/>
    <x v="13"/>
    <s v="FEDC39003   "/>
    <n v="2310861"/>
    <x v="3"/>
    <n v="1751"/>
    <d v="2021-04-13T00:00:00"/>
    <d v="2021-05-13T00:00:00"/>
    <x v="14"/>
    <x v="4"/>
    <s v="0    "/>
    <s v="                              "/>
    <n v="30"/>
  </r>
  <r>
    <s v="202601"/>
    <s v="901410258-0         "/>
    <x v="18"/>
    <x v="13"/>
    <s v="FEDC39004   "/>
    <n v="5832225"/>
    <x v="3"/>
    <n v="1751"/>
    <d v="2021-04-13T00:00:00"/>
    <d v="2021-05-13T00:00:00"/>
    <x v="14"/>
    <x v="4"/>
    <s v="0    "/>
    <s v="                              "/>
    <n v="30"/>
  </r>
  <r>
    <s v="202601"/>
    <s v="901410258-0         "/>
    <x v="18"/>
    <x v="13"/>
    <s v="FEDC39219   "/>
    <n v="112500"/>
    <x v="3"/>
    <n v="1748"/>
    <d v="2021-04-16T00:00:00"/>
    <d v="2021-05-16T00:00:00"/>
    <x v="14"/>
    <x v="4"/>
    <s v="0    "/>
    <s v="                              "/>
    <n v="30"/>
  </r>
  <r>
    <s v="202601"/>
    <s v="901410258-0         "/>
    <x v="18"/>
    <x v="13"/>
    <s v="FEDC39471   "/>
    <n v="1810666"/>
    <x v="3"/>
    <n v="1744"/>
    <d v="2021-04-20T00:00:00"/>
    <d v="2021-05-20T00:00:00"/>
    <x v="10"/>
    <x v="4"/>
    <s v="0    "/>
    <s v="                              "/>
    <n v="30"/>
  </r>
  <r>
    <s v="202601"/>
    <s v="901410258-0         "/>
    <x v="18"/>
    <x v="13"/>
    <s v="FEDC39462   "/>
    <n v="2137118"/>
    <x v="3"/>
    <n v="1744"/>
    <d v="2021-04-20T00:00:00"/>
    <d v="2021-05-20T00:00:00"/>
    <x v="12"/>
    <x v="4"/>
    <s v="0    "/>
    <s v="                              "/>
    <n v="30"/>
  </r>
  <r>
    <s v="202601"/>
    <s v="901410258-0         "/>
    <x v="18"/>
    <x v="13"/>
    <s v="FEDC39463   "/>
    <n v="594650"/>
    <x v="3"/>
    <n v="1744"/>
    <d v="2021-04-20T00:00:00"/>
    <d v="2021-05-20T00:00:00"/>
    <x v="12"/>
    <x v="4"/>
    <s v="0    "/>
    <s v="                              "/>
    <n v="30"/>
  </r>
  <r>
    <s v="202601"/>
    <s v="901410258-0         "/>
    <x v="18"/>
    <x v="13"/>
    <s v="FEDC39517   "/>
    <n v="10427367"/>
    <x v="3"/>
    <n v="1743"/>
    <d v="2021-04-21T00:00:00"/>
    <d v="2021-05-21T00:00:00"/>
    <x v="10"/>
    <x v="4"/>
    <s v="0    "/>
    <s v="                              "/>
    <n v="30"/>
  </r>
  <r>
    <s v="202601"/>
    <s v="901410258-0         "/>
    <x v="18"/>
    <x v="13"/>
    <s v="FEDC39518   "/>
    <n v="394685"/>
    <x v="3"/>
    <n v="1743"/>
    <d v="2021-04-21T00:00:00"/>
    <d v="2021-05-21T00:00:00"/>
    <x v="10"/>
    <x v="4"/>
    <s v="0    "/>
    <s v="                              "/>
    <n v="30"/>
  </r>
  <r>
    <s v="202601"/>
    <s v="901410258-0         "/>
    <x v="18"/>
    <x v="13"/>
    <s v="FEDC39595   "/>
    <n v="6180376"/>
    <x v="3"/>
    <n v="1742"/>
    <d v="2021-04-22T00:00:00"/>
    <d v="2021-05-22T00:00:00"/>
    <x v="13"/>
    <x v="4"/>
    <s v="0    "/>
    <s v="                              "/>
    <n v="30"/>
  </r>
  <r>
    <s v="202601"/>
    <s v="32271198            "/>
    <x v="19"/>
    <x v="3"/>
    <s v="FEDC39648   "/>
    <n v="38646651"/>
    <x v="3"/>
    <n v="1742"/>
    <d v="2021-04-22T00:00:00"/>
    <d v="2021-05-22T00:00:00"/>
    <x v="2"/>
    <x v="1"/>
    <s v="0    "/>
    <s v="3117190379     "/>
    <n v="1"/>
  </r>
  <r>
    <s v="202601"/>
    <s v="901410258-0         "/>
    <x v="18"/>
    <x v="13"/>
    <s v="FEDC39959   "/>
    <n v="1888591"/>
    <x v="3"/>
    <n v="1737"/>
    <d v="2021-04-27T00:00:00"/>
    <d v="2021-05-27T00:00:00"/>
    <x v="14"/>
    <x v="4"/>
    <s v="0    "/>
    <s v="                              "/>
    <n v="30"/>
  </r>
  <r>
    <s v="202601"/>
    <s v="901410258-0         "/>
    <x v="18"/>
    <x v="13"/>
    <s v="FEDC39960   "/>
    <n v="5106846"/>
    <x v="3"/>
    <n v="1737"/>
    <d v="2021-04-27T00:00:00"/>
    <d v="2021-05-27T00:00:00"/>
    <x v="14"/>
    <x v="4"/>
    <s v="0    "/>
    <s v="                              "/>
    <n v="30"/>
  </r>
  <r>
    <s v="202601"/>
    <s v="901410258-0         "/>
    <x v="18"/>
    <x v="13"/>
    <s v="FEDC39961   "/>
    <n v="1178323"/>
    <x v="3"/>
    <n v="1737"/>
    <d v="2021-04-27T00:00:00"/>
    <d v="2021-05-27T00:00:00"/>
    <x v="14"/>
    <x v="4"/>
    <s v="0    "/>
    <s v="                              "/>
    <n v="30"/>
  </r>
  <r>
    <s v="202601"/>
    <s v="901410258-0         "/>
    <x v="18"/>
    <x v="13"/>
    <s v="FEDC40190   "/>
    <n v="830000"/>
    <x v="3"/>
    <n v="1734"/>
    <d v="2021-04-30T00:00:00"/>
    <d v="2021-05-30T00:00:00"/>
    <x v="14"/>
    <x v="4"/>
    <s v="0    "/>
    <s v="                              "/>
    <n v="30"/>
  </r>
  <r>
    <s v="202601"/>
    <s v="901410258-0         "/>
    <x v="18"/>
    <x v="13"/>
    <s v="FEDC40230   "/>
    <n v="830000"/>
    <x v="3"/>
    <n v="1734"/>
    <d v="2021-04-30T00:00:00"/>
    <d v="2021-05-30T00:00:00"/>
    <x v="14"/>
    <x v="4"/>
    <s v="0    "/>
    <s v="                              "/>
    <n v="30"/>
  </r>
  <r>
    <s v="202601"/>
    <s v="901410258-0         "/>
    <x v="18"/>
    <x v="13"/>
    <s v="FEDC40224   "/>
    <n v="1992333"/>
    <x v="5"/>
    <n v="1734"/>
    <d v="2021-04-30T00:00:00"/>
    <d v="2021-05-01T00:00:00"/>
    <x v="10"/>
    <x v="6"/>
    <s v="0    "/>
    <s v="                              "/>
    <n v="30"/>
  </r>
  <r>
    <s v="202601"/>
    <s v="901410258-0         "/>
    <x v="18"/>
    <x v="13"/>
    <s v="FEDC40303   "/>
    <n v="2971642"/>
    <x v="3"/>
    <n v="1731"/>
    <d v="2021-05-03T00:00:00"/>
    <d v="2021-06-02T00:00:00"/>
    <x v="14"/>
    <x v="4"/>
    <s v="0    "/>
    <s v="                              "/>
    <n v="30"/>
  </r>
  <r>
    <s v="202601"/>
    <s v="901410258-0         "/>
    <x v="18"/>
    <x v="13"/>
    <s v="FEDC40304   "/>
    <n v="539035"/>
    <x v="3"/>
    <n v="1731"/>
    <d v="2021-05-03T00:00:00"/>
    <d v="2021-06-02T00:00:00"/>
    <x v="10"/>
    <x v="4"/>
    <s v="0    "/>
    <s v="                              "/>
    <n v="30"/>
  </r>
  <r>
    <s v="202601"/>
    <s v="901410258-0         "/>
    <x v="18"/>
    <x v="13"/>
    <s v="FEDC40368   "/>
    <n v="1969207"/>
    <x v="3"/>
    <n v="1730"/>
    <d v="2021-05-04T00:00:00"/>
    <d v="2021-06-03T00:00:00"/>
    <x v="11"/>
    <x v="4"/>
    <s v="0    "/>
    <s v="                              "/>
    <n v="30"/>
  </r>
  <r>
    <s v="202601"/>
    <s v="901410258-0         "/>
    <x v="18"/>
    <x v="13"/>
    <s v="FEDC40378   "/>
    <n v="16483678"/>
    <x v="3"/>
    <n v="1729"/>
    <d v="2021-05-05T00:00:00"/>
    <d v="2021-06-04T00:00:00"/>
    <x v="10"/>
    <x v="4"/>
    <s v="0    "/>
    <s v="                              "/>
    <n v="30"/>
  </r>
  <r>
    <s v="202601"/>
    <s v="901410258-0         "/>
    <x v="18"/>
    <x v="13"/>
    <s v="FEDC40379   "/>
    <n v="3794948"/>
    <x v="3"/>
    <n v="1729"/>
    <d v="2021-05-05T00:00:00"/>
    <d v="2021-06-04T00:00:00"/>
    <x v="10"/>
    <x v="4"/>
    <s v="0    "/>
    <s v="                              "/>
    <n v="30"/>
  </r>
  <r>
    <s v="202601"/>
    <s v="901410258-0         "/>
    <x v="18"/>
    <x v="13"/>
    <s v="FEDC40565   "/>
    <n v="6558530"/>
    <x v="3"/>
    <n v="1728"/>
    <d v="2021-05-06T00:00:00"/>
    <d v="2021-06-05T00:00:00"/>
    <x v="13"/>
    <x v="4"/>
    <s v="0    "/>
    <s v="                              "/>
    <n v="30"/>
  </r>
  <r>
    <s v="202601"/>
    <s v="901410258-0         "/>
    <x v="18"/>
    <x v="13"/>
    <s v="FEDC40944   "/>
    <n v="6439807"/>
    <x v="3"/>
    <n v="1722"/>
    <d v="2021-05-12T00:00:00"/>
    <d v="2021-06-11T00:00:00"/>
    <x v="14"/>
    <x v="4"/>
    <s v="0    "/>
    <s v="                              "/>
    <n v="30"/>
  </r>
  <r>
    <s v="202601"/>
    <s v="901410258-0         "/>
    <x v="18"/>
    <x v="13"/>
    <s v="FEDC40945   "/>
    <n v="6693404"/>
    <x v="3"/>
    <n v="1722"/>
    <d v="2021-05-12T00:00:00"/>
    <d v="2021-06-11T00:00:00"/>
    <x v="14"/>
    <x v="4"/>
    <s v="0    "/>
    <s v="                              "/>
    <n v="30"/>
  </r>
  <r>
    <s v="202601"/>
    <s v="901410258-0         "/>
    <x v="18"/>
    <x v="13"/>
    <s v="FEDC40946   "/>
    <n v="811842"/>
    <x v="3"/>
    <n v="1722"/>
    <d v="2021-05-12T00:00:00"/>
    <d v="2021-06-11T00:00:00"/>
    <x v="14"/>
    <x v="4"/>
    <s v="0    "/>
    <s v="                              "/>
    <n v="30"/>
  </r>
  <r>
    <s v="202601"/>
    <s v="901410258-0         "/>
    <x v="18"/>
    <x v="13"/>
    <s v="FEDC40950   "/>
    <n v="259004"/>
    <x v="3"/>
    <n v="1722"/>
    <d v="2021-05-12T00:00:00"/>
    <d v="2021-06-11T00:00:00"/>
    <x v="14"/>
    <x v="4"/>
    <s v="0    "/>
    <s v="                              "/>
    <n v="30"/>
  </r>
  <r>
    <s v="202601"/>
    <s v="901410258-0         "/>
    <x v="18"/>
    <x v="13"/>
    <s v="FEDC41442   "/>
    <n v="7185004"/>
    <x v="3"/>
    <n v="1715"/>
    <d v="2021-05-19T00:00:00"/>
    <d v="2021-06-18T00:00:00"/>
    <x v="10"/>
    <x v="4"/>
    <s v="0    "/>
    <s v="                              "/>
    <n v="30"/>
  </r>
  <r>
    <s v="202601"/>
    <s v="901410258-0         "/>
    <x v="18"/>
    <x v="13"/>
    <s v="FEDC41434   "/>
    <n v="2280001"/>
    <x v="3"/>
    <n v="1715"/>
    <d v="2021-05-19T00:00:00"/>
    <d v="2021-06-18T00:00:00"/>
    <x v="11"/>
    <x v="4"/>
    <s v="0    "/>
    <s v="                              "/>
    <n v="30"/>
  </r>
  <r>
    <s v="202601"/>
    <s v="901410258-0         "/>
    <x v="18"/>
    <x v="13"/>
    <s v="FEDC41382   "/>
    <n v="4527285"/>
    <x v="3"/>
    <n v="1715"/>
    <d v="2021-05-19T00:00:00"/>
    <d v="2021-06-18T00:00:00"/>
    <x v="12"/>
    <x v="4"/>
    <s v="0    "/>
    <s v="                              "/>
    <n v="30"/>
  </r>
  <r>
    <s v="202601"/>
    <s v="901410258-0         "/>
    <x v="18"/>
    <x v="13"/>
    <s v="FEDC41383   "/>
    <n v="481800"/>
    <x v="3"/>
    <n v="1715"/>
    <d v="2021-05-19T00:00:00"/>
    <d v="2021-06-18T00:00:00"/>
    <x v="12"/>
    <x v="4"/>
    <s v="0    "/>
    <s v="                              "/>
    <n v="30"/>
  </r>
  <r>
    <s v="202601"/>
    <s v="901410258-0         "/>
    <x v="18"/>
    <x v="13"/>
    <s v="FEDC41443   "/>
    <n v="7185004"/>
    <x v="3"/>
    <n v="1715"/>
    <d v="2021-05-19T00:00:00"/>
    <d v="2021-06-18T00:00:00"/>
    <x v="13"/>
    <x v="4"/>
    <s v="0    "/>
    <s v="                              "/>
    <n v="30"/>
  </r>
  <r>
    <s v="202601"/>
    <s v="901410258-0         "/>
    <x v="18"/>
    <x v="13"/>
    <s v="FEDC41355   "/>
    <n v="5377069"/>
    <x v="3"/>
    <n v="1715"/>
    <d v="2021-05-19T00:00:00"/>
    <d v="2021-06-18T00:00:00"/>
    <x v="15"/>
    <x v="7"/>
    <s v="0    "/>
    <s v="                              "/>
    <n v="30"/>
  </r>
  <r>
    <s v="202601"/>
    <s v="901410258-0         "/>
    <x v="18"/>
    <x v="13"/>
    <s v="FEDC41356   "/>
    <n v="356435"/>
    <x v="3"/>
    <n v="1715"/>
    <d v="2021-05-19T00:00:00"/>
    <d v="2021-06-18T00:00:00"/>
    <x v="15"/>
    <x v="7"/>
    <s v="0    "/>
    <s v="                              "/>
    <n v="30"/>
  </r>
  <r>
    <s v="202601"/>
    <s v="901410258-0         "/>
    <x v="18"/>
    <x v="13"/>
    <s v="FEDC41484   "/>
    <n v="14556010"/>
    <x v="3"/>
    <n v="1714"/>
    <d v="2021-05-20T00:00:00"/>
    <d v="2021-06-19T00:00:00"/>
    <x v="10"/>
    <x v="4"/>
    <s v="0    "/>
    <s v="                              "/>
    <n v="30"/>
  </r>
  <r>
    <s v="202601"/>
    <s v="901410258-0         "/>
    <x v="18"/>
    <x v="13"/>
    <s v="FEDC41581   "/>
    <n v="5085026"/>
    <x v="3"/>
    <n v="1713"/>
    <d v="2021-05-21T00:00:00"/>
    <d v="2021-06-20T00:00:00"/>
    <x v="13"/>
    <x v="4"/>
    <s v="0    "/>
    <s v="                              "/>
    <n v="30"/>
  </r>
  <r>
    <s v="202601"/>
    <s v="901410258-0         "/>
    <x v="18"/>
    <x v="13"/>
    <s v="FEDC41582   "/>
    <n v="110947"/>
    <x v="3"/>
    <n v="1713"/>
    <d v="2021-05-21T00:00:00"/>
    <d v="2021-06-20T00:00:00"/>
    <x v="13"/>
    <x v="4"/>
    <s v="0    "/>
    <s v="                              "/>
    <n v="30"/>
  </r>
  <r>
    <s v="202601"/>
    <s v="901410258-0         "/>
    <x v="18"/>
    <x v="13"/>
    <s v="FEDC41735   "/>
    <n v="1678436"/>
    <x v="3"/>
    <n v="1710"/>
    <d v="2021-05-24T00:00:00"/>
    <d v="2021-06-23T00:00:00"/>
    <x v="10"/>
    <x v="5"/>
    <s v="0    "/>
    <s v="                              "/>
    <n v="30"/>
  </r>
  <r>
    <s v="202601"/>
    <s v="901410258-0         "/>
    <x v="18"/>
    <x v="13"/>
    <s v="FEDC41860   "/>
    <n v="508320"/>
    <x v="3"/>
    <n v="1709"/>
    <d v="2021-05-25T00:00:00"/>
    <d v="2021-06-24T00:00:00"/>
    <x v="14"/>
    <x v="4"/>
    <s v="0    "/>
    <s v="                              "/>
    <n v="30"/>
  </r>
  <r>
    <s v="202601"/>
    <s v="901410258-0         "/>
    <x v="18"/>
    <x v="13"/>
    <s v="FEDC41996   "/>
    <n v="9583028"/>
    <x v="3"/>
    <n v="1708"/>
    <d v="2021-05-26T00:00:00"/>
    <d v="2021-06-25T00:00:00"/>
    <x v="14"/>
    <x v="4"/>
    <s v="0    "/>
    <s v="                              "/>
    <n v="30"/>
  </r>
  <r>
    <s v="202601"/>
    <s v="901410258-0         "/>
    <x v="18"/>
    <x v="13"/>
    <s v="FEDC41998   "/>
    <n v="4397761"/>
    <x v="3"/>
    <n v="1708"/>
    <d v="2021-05-26T00:00:00"/>
    <d v="2021-06-25T00:00:00"/>
    <x v="14"/>
    <x v="4"/>
    <s v="0    "/>
    <s v="                              "/>
    <n v="30"/>
  </r>
  <r>
    <s v="202601"/>
    <s v="901410258-0         "/>
    <x v="18"/>
    <x v="13"/>
    <s v="FEDC41999   "/>
    <n v="128254"/>
    <x v="3"/>
    <n v="1708"/>
    <d v="2021-05-26T00:00:00"/>
    <d v="2021-06-25T00:00:00"/>
    <x v="14"/>
    <x v="4"/>
    <s v="0    "/>
    <s v="                              "/>
    <n v="30"/>
  </r>
  <r>
    <s v="202601"/>
    <s v="901410258-0         "/>
    <x v="18"/>
    <x v="13"/>
    <s v="FEDC42053   "/>
    <n v="858816"/>
    <x v="3"/>
    <n v="1707"/>
    <d v="2021-05-27T00:00:00"/>
    <d v="2021-06-26T00:00:00"/>
    <x v="14"/>
    <x v="4"/>
    <s v="0    "/>
    <s v="                              "/>
    <n v="30"/>
  </r>
  <r>
    <s v="202601"/>
    <s v="901410258-0         "/>
    <x v="18"/>
    <x v="13"/>
    <s v="FEDC42355   "/>
    <n v="2055084"/>
    <x v="3"/>
    <n v="1703"/>
    <d v="2021-05-31T00:00:00"/>
    <d v="2021-06-30T00:00:00"/>
    <x v="12"/>
    <x v="4"/>
    <s v="0    "/>
    <s v="                              "/>
    <n v="30"/>
  </r>
  <r>
    <s v="202601"/>
    <s v="901410258-0         "/>
    <x v="18"/>
    <x v="13"/>
    <s v="FEDC42356   "/>
    <n v="691210"/>
    <x v="3"/>
    <n v="1703"/>
    <d v="2021-05-31T00:00:00"/>
    <d v="2021-06-30T00:00:00"/>
    <x v="12"/>
    <x v="4"/>
    <s v="0    "/>
    <s v="                              "/>
    <n v="30"/>
  </r>
  <r>
    <s v="202601"/>
    <s v="901410258-0         "/>
    <x v="18"/>
    <x v="13"/>
    <s v="FEDC42376   "/>
    <n v="12193601"/>
    <x v="3"/>
    <n v="1702"/>
    <d v="2021-06-01T00:00:00"/>
    <d v="2021-07-01T00:00:00"/>
    <x v="10"/>
    <x v="4"/>
    <s v="0    "/>
    <s v="                              "/>
    <n v="30"/>
  </r>
  <r>
    <s v="202601"/>
    <s v="901410258-0         "/>
    <x v="18"/>
    <x v="13"/>
    <s v="FEDC42377   "/>
    <n v="467557"/>
    <x v="3"/>
    <n v="1702"/>
    <d v="2021-06-01T00:00:00"/>
    <d v="2021-07-01T00:00:00"/>
    <x v="10"/>
    <x v="4"/>
    <s v="0    "/>
    <s v="                              "/>
    <n v="30"/>
  </r>
  <r>
    <s v="202601"/>
    <s v="901410258-0         "/>
    <x v="18"/>
    <x v="13"/>
    <s v="FEDC42370   "/>
    <n v="1443286"/>
    <x v="3"/>
    <n v="1702"/>
    <d v="2021-06-01T00:00:00"/>
    <d v="2021-07-01T00:00:00"/>
    <x v="11"/>
    <x v="4"/>
    <s v="0    "/>
    <s v="                              "/>
    <n v="30"/>
  </r>
  <r>
    <s v="202601"/>
    <s v="901410258-0         "/>
    <x v="18"/>
    <x v="13"/>
    <s v="FEDC42456   "/>
    <n v="7080807"/>
    <x v="3"/>
    <n v="1701"/>
    <d v="2021-06-02T00:00:00"/>
    <d v="2021-07-02T00:00:00"/>
    <x v="13"/>
    <x v="4"/>
    <s v="0    "/>
    <s v="                              "/>
    <n v="30"/>
  </r>
  <r>
    <s v="202601"/>
    <s v="901410258-0         "/>
    <x v="18"/>
    <x v="13"/>
    <s v="FEDC42574   "/>
    <n v="2629276"/>
    <x v="3"/>
    <n v="1700"/>
    <d v="2021-06-03T00:00:00"/>
    <d v="2021-07-03T00:00:00"/>
    <x v="10"/>
    <x v="5"/>
    <s v="0    "/>
    <s v="                              "/>
    <n v="30"/>
  </r>
  <r>
    <s v="202601"/>
    <s v="901410258-0         "/>
    <x v="18"/>
    <x v="13"/>
    <s v="FEDC42547   "/>
    <n v="6876043"/>
    <x v="3"/>
    <n v="1700"/>
    <d v="2021-06-03T00:00:00"/>
    <d v="2021-07-03T00:00:00"/>
    <x v="16"/>
    <x v="7"/>
    <s v="0    "/>
    <s v="                              "/>
    <n v="30"/>
  </r>
  <r>
    <s v="202601"/>
    <s v="901410258-0         "/>
    <x v="18"/>
    <x v="13"/>
    <s v="FEDC42863   "/>
    <n v="3530592"/>
    <x v="3"/>
    <n v="1694"/>
    <d v="2021-06-09T00:00:00"/>
    <d v="2021-07-09T00:00:00"/>
    <x v="14"/>
    <x v="4"/>
    <s v="0    "/>
    <s v="                              "/>
    <n v="30"/>
  </r>
  <r>
    <s v="202601"/>
    <s v="901410258-0         "/>
    <x v="18"/>
    <x v="13"/>
    <s v="FEDC42864   "/>
    <n v="3590833"/>
    <x v="3"/>
    <n v="1694"/>
    <d v="2021-06-09T00:00:00"/>
    <d v="2021-07-09T00:00:00"/>
    <x v="14"/>
    <x v="4"/>
    <s v="0    "/>
    <s v="                              "/>
    <n v="30"/>
  </r>
  <r>
    <s v="202601"/>
    <s v="901410258-0         "/>
    <x v="18"/>
    <x v="13"/>
    <s v="FEDC42865   "/>
    <n v="714560"/>
    <x v="3"/>
    <n v="1694"/>
    <d v="2021-06-09T00:00:00"/>
    <d v="2021-07-09T00:00:00"/>
    <x v="14"/>
    <x v="4"/>
    <s v="0    "/>
    <s v="                              "/>
    <n v="30"/>
  </r>
  <r>
    <s v="202601"/>
    <s v="901410258-0         "/>
    <x v="18"/>
    <x v="13"/>
    <s v="FEDC42954   "/>
    <n v="996069"/>
    <x v="3"/>
    <n v="1693"/>
    <d v="2021-06-10T00:00:00"/>
    <d v="2021-07-10T00:00:00"/>
    <x v="14"/>
    <x v="5"/>
    <s v="0    "/>
    <s v="                              "/>
    <n v="30"/>
  </r>
  <r>
    <s v="202601"/>
    <s v="901410258-0         "/>
    <x v="18"/>
    <x v="13"/>
    <s v="FEDC42948   "/>
    <n v="2382144"/>
    <x v="3"/>
    <n v="1693"/>
    <d v="2021-06-10T00:00:00"/>
    <d v="2021-07-10T00:00:00"/>
    <x v="10"/>
    <x v="5"/>
    <s v="0    "/>
    <s v="                              "/>
    <n v="30"/>
  </r>
  <r>
    <s v="202601"/>
    <s v="901410258-0         "/>
    <x v="18"/>
    <x v="13"/>
    <s v="CO37709     "/>
    <n v="1319209"/>
    <x v="5"/>
    <n v="1691"/>
    <d v="2021-06-12T00:00:00"/>
    <d v="2021-06-13T00:00:00"/>
    <x v="10"/>
    <x v="6"/>
    <s v="0    "/>
    <s v="                              "/>
    <n v="30"/>
  </r>
  <r>
    <s v="202601"/>
    <s v="901410258-0         "/>
    <x v="18"/>
    <x v="13"/>
    <s v="FEDC43221   "/>
    <n v="683244"/>
    <x v="3"/>
    <n v="1688"/>
    <d v="2021-06-15T00:00:00"/>
    <d v="2021-07-15T00:00:00"/>
    <x v="10"/>
    <x v="4"/>
    <s v="0    "/>
    <s v="                              "/>
    <n v="30"/>
  </r>
  <r>
    <s v="202601"/>
    <s v="901410258-0         "/>
    <x v="18"/>
    <x v="13"/>
    <s v="FEDC43201   "/>
    <n v="6396013"/>
    <x v="3"/>
    <n v="1688"/>
    <d v="2021-06-15T00:00:00"/>
    <d v="2021-07-15T00:00:00"/>
    <x v="15"/>
    <x v="7"/>
    <s v="0    "/>
    <s v="                              "/>
    <n v="30"/>
  </r>
  <r>
    <s v="202601"/>
    <s v="901410258-0         "/>
    <x v="18"/>
    <x v="13"/>
    <s v="FEDC43235   "/>
    <n v="4109630"/>
    <x v="3"/>
    <n v="1687"/>
    <d v="2021-06-16T00:00:00"/>
    <d v="2021-07-16T00:00:00"/>
    <x v="11"/>
    <x v="4"/>
    <s v="0    "/>
    <s v="                              "/>
    <n v="30"/>
  </r>
  <r>
    <s v="202601"/>
    <s v="901410258-0         "/>
    <x v="18"/>
    <x v="13"/>
    <s v="FEDC43227   "/>
    <n v="4112253"/>
    <x v="3"/>
    <n v="1687"/>
    <d v="2021-06-16T00:00:00"/>
    <d v="2021-07-16T00:00:00"/>
    <x v="12"/>
    <x v="4"/>
    <s v="0    "/>
    <s v="                              "/>
    <n v="30"/>
  </r>
  <r>
    <s v="202601"/>
    <s v="901410258-0         "/>
    <x v="18"/>
    <x v="13"/>
    <s v="FEDC43228   "/>
    <n v="344033"/>
    <x v="3"/>
    <n v="1687"/>
    <d v="2021-06-16T00:00:00"/>
    <d v="2021-07-16T00:00:00"/>
    <x v="12"/>
    <x v="4"/>
    <s v="0    "/>
    <s v="                              "/>
    <n v="30"/>
  </r>
  <r>
    <s v="202601"/>
    <s v="78705859-1          "/>
    <x v="20"/>
    <x v="14"/>
    <s v="FEDC43291   "/>
    <n v="3399936"/>
    <x v="3"/>
    <n v="1687"/>
    <d v="2021-06-16T00:00:00"/>
    <d v="2021-07-16T00:00:00"/>
    <x v="17"/>
    <x v="8"/>
    <s v="0    "/>
    <s v="3145962021 -7824122           "/>
    <n v="30"/>
  </r>
  <r>
    <s v="202601"/>
    <s v="901410258-0         "/>
    <x v="18"/>
    <x v="13"/>
    <s v="FEDC43352   "/>
    <n v="14040514"/>
    <x v="3"/>
    <n v="1686"/>
    <d v="2021-06-17T00:00:00"/>
    <d v="2021-07-17T00:00:00"/>
    <x v="10"/>
    <x v="4"/>
    <s v="0    "/>
    <s v="                              "/>
    <n v="30"/>
  </r>
  <r>
    <s v="202601"/>
    <s v="901410258-0         "/>
    <x v="18"/>
    <x v="13"/>
    <s v="FEDC43370   "/>
    <n v="6455963"/>
    <x v="3"/>
    <n v="1686"/>
    <d v="2021-06-17T00:00:00"/>
    <d v="2021-07-17T00:00:00"/>
    <x v="13"/>
    <x v="4"/>
    <s v="0    "/>
    <s v="                              "/>
    <n v="30"/>
  </r>
  <r>
    <s v="202601"/>
    <s v="901410258-0         "/>
    <x v="18"/>
    <x v="13"/>
    <s v="FEDC43465   "/>
    <n v="207312"/>
    <x v="3"/>
    <n v="1685"/>
    <d v="2021-06-18T00:00:00"/>
    <d v="2021-07-18T00:00:00"/>
    <x v="16"/>
    <x v="5"/>
    <s v="0    "/>
    <s v="                              "/>
    <n v="30"/>
  </r>
  <r>
    <s v="202601"/>
    <s v="901410258-0         "/>
    <x v="18"/>
    <x v="13"/>
    <s v="FEDC43754   "/>
    <n v="2405128"/>
    <x v="3"/>
    <n v="1680"/>
    <d v="2021-06-23T00:00:00"/>
    <d v="2021-07-23T00:00:00"/>
    <x v="10"/>
    <x v="4"/>
    <s v="0    "/>
    <s v="                              "/>
    <n v="30"/>
  </r>
  <r>
    <s v="202601"/>
    <s v="901410258-0         "/>
    <x v="18"/>
    <x v="13"/>
    <s v="FEDC43755   "/>
    <n v="22307682"/>
    <x v="3"/>
    <n v="1680"/>
    <d v="2021-06-23T00:00:00"/>
    <d v="2021-07-23T00:00:00"/>
    <x v="10"/>
    <x v="4"/>
    <s v="0    "/>
    <s v="                              "/>
    <n v="30"/>
  </r>
  <r>
    <s v="202601"/>
    <s v="901410258-0         "/>
    <x v="18"/>
    <x v="13"/>
    <s v="FEDC43885   "/>
    <n v="7377848"/>
    <x v="3"/>
    <n v="1679"/>
    <d v="2021-06-24T00:00:00"/>
    <d v="2021-07-24T00:00:00"/>
    <x v="14"/>
    <x v="4"/>
    <s v="0    "/>
    <s v="                              "/>
    <n v="30"/>
  </r>
  <r>
    <s v="202601"/>
    <s v="901410258-0         "/>
    <x v="18"/>
    <x v="13"/>
    <s v="FEDC43886   "/>
    <n v="3005542"/>
    <x v="3"/>
    <n v="1679"/>
    <d v="2021-06-24T00:00:00"/>
    <d v="2021-07-24T00:00:00"/>
    <x v="14"/>
    <x v="4"/>
    <s v="0    "/>
    <s v="                              "/>
    <n v="30"/>
  </r>
  <r>
    <s v="202601"/>
    <s v="901410258-0         "/>
    <x v="18"/>
    <x v="13"/>
    <s v="FEDC43887   "/>
    <n v="769024"/>
    <x v="3"/>
    <n v="1679"/>
    <d v="2021-06-24T00:00:00"/>
    <d v="2021-07-24T00:00:00"/>
    <x v="14"/>
    <x v="4"/>
    <s v="0    "/>
    <s v="                              "/>
    <n v="30"/>
  </r>
  <r>
    <s v="202601"/>
    <s v="901410258-0         "/>
    <x v="18"/>
    <x v="13"/>
    <s v="FEDC44167   "/>
    <n v="3477610"/>
    <x v="3"/>
    <n v="1674"/>
    <d v="2021-06-29T00:00:00"/>
    <d v="2021-07-29T00:00:00"/>
    <x v="11"/>
    <x v="4"/>
    <s v="0    "/>
    <s v="                              "/>
    <n v="30"/>
  </r>
  <r>
    <s v="202601"/>
    <s v="901410258-0         "/>
    <x v="18"/>
    <x v="13"/>
    <s v="FECT156     "/>
    <n v="1200000"/>
    <x v="3"/>
    <n v="1673"/>
    <d v="2021-06-30T00:00:00"/>
    <d v="2021-07-30T00:00:00"/>
    <x v="10"/>
    <x v="4"/>
    <s v="0    "/>
    <s v="                              "/>
    <n v="30"/>
  </r>
  <r>
    <s v="202601"/>
    <s v="901410258-0         "/>
    <x v="18"/>
    <x v="13"/>
    <s v="FEDC44234   "/>
    <n v="11389856"/>
    <x v="3"/>
    <n v="1673"/>
    <d v="2021-06-30T00:00:00"/>
    <d v="2021-07-30T00:00:00"/>
    <x v="10"/>
    <x v="4"/>
    <s v="0    "/>
    <s v="                              "/>
    <n v="30"/>
  </r>
  <r>
    <s v="202601"/>
    <s v="901410258-0         "/>
    <x v="18"/>
    <x v="13"/>
    <s v="FEDC44265   "/>
    <n v="4710947"/>
    <x v="3"/>
    <n v="1673"/>
    <d v="2021-06-30T00:00:00"/>
    <d v="2021-07-30T00:00:00"/>
    <x v="16"/>
    <x v="7"/>
    <s v="0    "/>
    <s v="                              "/>
    <n v="30"/>
  </r>
  <r>
    <s v="202601"/>
    <s v="901410258-0         "/>
    <x v="18"/>
    <x v="13"/>
    <s v="FEDC44266   "/>
    <n v="4239681"/>
    <x v="3"/>
    <n v="1673"/>
    <d v="2021-06-30T00:00:00"/>
    <d v="2021-07-30T00:00:00"/>
    <x v="16"/>
    <x v="7"/>
    <s v="0    "/>
    <s v="                              "/>
    <n v="30"/>
  </r>
  <r>
    <s v="202601"/>
    <s v="901410258-0         "/>
    <x v="18"/>
    <x v="13"/>
    <s v="FECT162     "/>
    <n v="5760933"/>
    <x v="3"/>
    <n v="1673"/>
    <d v="2021-06-30T00:00:00"/>
    <d v="2021-07-30T00:00:00"/>
    <x v="13"/>
    <x v="4"/>
    <s v="0    "/>
    <s v="                              "/>
    <n v="30"/>
  </r>
  <r>
    <s v="202601"/>
    <s v="901410258-0         "/>
    <x v="18"/>
    <x v="13"/>
    <s v="FEDC44559   "/>
    <n v="6240459"/>
    <x v="3"/>
    <n v="1665"/>
    <d v="2021-07-08T00:00:00"/>
    <d v="2021-08-07T00:00:00"/>
    <x v="14"/>
    <x v="4"/>
    <s v="0    "/>
    <s v="                              "/>
    <n v="30"/>
  </r>
  <r>
    <s v="202601"/>
    <s v="901410258-0         "/>
    <x v="18"/>
    <x v="13"/>
    <s v="FEDC44560   "/>
    <n v="2287827"/>
    <x v="3"/>
    <n v="1665"/>
    <d v="2021-07-08T00:00:00"/>
    <d v="2021-08-07T00:00:00"/>
    <x v="14"/>
    <x v="4"/>
    <s v="0    "/>
    <s v="                              "/>
    <n v="30"/>
  </r>
  <r>
    <s v="202601"/>
    <s v="901410258-0         "/>
    <x v="18"/>
    <x v="13"/>
    <s v="FEDC44561   "/>
    <n v="3555732"/>
    <x v="3"/>
    <n v="1665"/>
    <d v="2021-07-08T00:00:00"/>
    <d v="2021-08-07T00:00:00"/>
    <x v="14"/>
    <x v="4"/>
    <s v="0    "/>
    <s v="                              "/>
    <n v="30"/>
  </r>
  <r>
    <s v="202601"/>
    <s v="901410258-0         "/>
    <x v="18"/>
    <x v="13"/>
    <s v="FEDC44562   "/>
    <n v="338266"/>
    <x v="3"/>
    <n v="1665"/>
    <d v="2021-07-08T00:00:00"/>
    <d v="2021-08-07T00:00:00"/>
    <x v="14"/>
    <x v="4"/>
    <s v="0    "/>
    <s v="                              "/>
    <n v="30"/>
  </r>
  <r>
    <s v="202601"/>
    <s v="901410258-0         "/>
    <x v="18"/>
    <x v="13"/>
    <s v="FEDC44743   "/>
    <n v="478250"/>
    <x v="3"/>
    <n v="1664"/>
    <d v="2021-07-09T00:00:00"/>
    <d v="2021-08-08T00:00:00"/>
    <x v="14"/>
    <x v="5"/>
    <s v="0    "/>
    <s v="                              "/>
    <n v="30"/>
  </r>
  <r>
    <s v="202601"/>
    <s v="901410258-0         "/>
    <x v="18"/>
    <x v="13"/>
    <s v="FEDC45037   "/>
    <n v="734010"/>
    <x v="3"/>
    <n v="1660"/>
    <d v="2021-07-13T00:00:00"/>
    <d v="2021-08-12T00:00:00"/>
    <x v="10"/>
    <x v="5"/>
    <s v="0    "/>
    <s v="                              "/>
    <n v="30"/>
  </r>
  <r>
    <s v="202601"/>
    <s v="901410258-0         "/>
    <x v="18"/>
    <x v="13"/>
    <s v="FEDC45006   "/>
    <n v="1772694"/>
    <x v="3"/>
    <n v="1660"/>
    <d v="2021-07-13T00:00:00"/>
    <d v="2021-08-12T00:00:00"/>
    <x v="11"/>
    <x v="4"/>
    <s v="0    "/>
    <s v="                              "/>
    <n v="30"/>
  </r>
  <r>
    <s v="202601"/>
    <s v="901410258-0         "/>
    <x v="18"/>
    <x v="13"/>
    <s v="FEDC45003   "/>
    <n v="3631059"/>
    <x v="3"/>
    <n v="1660"/>
    <d v="2021-07-13T00:00:00"/>
    <d v="2021-08-12T00:00:00"/>
    <x v="12"/>
    <x v="4"/>
    <s v="0    "/>
    <s v="                              "/>
    <n v="30"/>
  </r>
  <r>
    <s v="202601"/>
    <s v="901410258-0         "/>
    <x v="18"/>
    <x v="13"/>
    <s v="FEDC45004   "/>
    <n v="1265233"/>
    <x v="3"/>
    <n v="1660"/>
    <d v="2021-07-13T00:00:00"/>
    <d v="2021-08-12T00:00:00"/>
    <x v="12"/>
    <x v="4"/>
    <s v="0    "/>
    <s v="                              "/>
    <n v="30"/>
  </r>
  <r>
    <s v="202601"/>
    <s v="901410258-0         "/>
    <x v="18"/>
    <x v="13"/>
    <s v="FEDC45018   "/>
    <n v="1817717"/>
    <x v="3"/>
    <n v="1660"/>
    <d v="2021-07-13T00:00:00"/>
    <d v="2021-08-12T00:00:00"/>
    <x v="15"/>
    <x v="7"/>
    <s v="0    "/>
    <s v="                              "/>
    <n v="30"/>
  </r>
  <r>
    <s v="202601"/>
    <s v="901410258-0         "/>
    <x v="18"/>
    <x v="13"/>
    <s v="FEDC45019   "/>
    <n v="364960"/>
    <x v="3"/>
    <n v="1660"/>
    <d v="2021-07-13T00:00:00"/>
    <d v="2021-08-12T00:00:00"/>
    <x v="15"/>
    <x v="7"/>
    <s v="0    "/>
    <s v="                              "/>
    <n v="30"/>
  </r>
  <r>
    <s v="202601"/>
    <s v="901410258-0         "/>
    <x v="18"/>
    <x v="13"/>
    <s v="FEDC45022   "/>
    <n v="1000500"/>
    <x v="3"/>
    <n v="1660"/>
    <d v="2021-07-13T00:00:00"/>
    <d v="2021-08-12T00:00:00"/>
    <x v="15"/>
    <x v="7"/>
    <s v="0    "/>
    <s v="                              "/>
    <n v="30"/>
  </r>
  <r>
    <s v="202601"/>
    <s v="901410258-0         "/>
    <x v="18"/>
    <x v="13"/>
    <s v="FEDC45077   "/>
    <n v="5850122"/>
    <x v="3"/>
    <n v="1659"/>
    <d v="2021-07-14T00:00:00"/>
    <d v="2021-08-13T00:00:00"/>
    <x v="10"/>
    <x v="4"/>
    <s v="0    "/>
    <s v="                              "/>
    <n v="30"/>
  </r>
  <r>
    <s v="202601"/>
    <s v="901410258-0         "/>
    <x v="18"/>
    <x v="13"/>
    <s v="FEDC45112   "/>
    <n v="1366570"/>
    <x v="3"/>
    <n v="1659"/>
    <d v="2021-07-14T00:00:00"/>
    <d v="2021-08-13T00:00:00"/>
    <x v="10"/>
    <x v="5"/>
    <s v="0    "/>
    <s v="                              "/>
    <n v="30"/>
  </r>
  <r>
    <s v="202601"/>
    <s v="901410258-0         "/>
    <x v="18"/>
    <x v="13"/>
    <s v="FEDC45113   "/>
    <n v="2199677"/>
    <x v="3"/>
    <n v="1659"/>
    <d v="2021-07-14T00:00:00"/>
    <d v="2021-08-13T00:00:00"/>
    <x v="10"/>
    <x v="5"/>
    <s v="0    "/>
    <s v="                              "/>
    <n v="30"/>
  </r>
  <r>
    <s v="202601"/>
    <s v="901410258-0         "/>
    <x v="18"/>
    <x v="13"/>
    <s v="FEDC45141   "/>
    <n v="8180251"/>
    <x v="3"/>
    <n v="1659"/>
    <d v="2021-07-14T00:00:00"/>
    <d v="2021-08-13T00:00:00"/>
    <x v="13"/>
    <x v="4"/>
    <s v="0    "/>
    <s v="                              "/>
    <n v="30"/>
  </r>
  <r>
    <s v="202601"/>
    <s v="901410258-0         "/>
    <x v="18"/>
    <x v="13"/>
    <s v="FEDC45587   "/>
    <n v="8225486"/>
    <x v="3"/>
    <n v="1653"/>
    <d v="2021-07-20T00:00:00"/>
    <d v="2021-08-19T00:00:00"/>
    <x v="14"/>
    <x v="4"/>
    <s v="0    "/>
    <s v="                              "/>
    <n v="30"/>
  </r>
  <r>
    <s v="202601"/>
    <s v="901410258-0         "/>
    <x v="18"/>
    <x v="13"/>
    <s v="FEDC45588   "/>
    <n v="2030581"/>
    <x v="3"/>
    <n v="1653"/>
    <d v="2021-07-20T00:00:00"/>
    <d v="2021-08-19T00:00:00"/>
    <x v="14"/>
    <x v="4"/>
    <s v="0    "/>
    <s v="                              "/>
    <n v="30"/>
  </r>
  <r>
    <s v="202601"/>
    <s v="901410258-0         "/>
    <x v="18"/>
    <x v="13"/>
    <s v="FEDC45589   "/>
    <n v="2811032"/>
    <x v="3"/>
    <n v="1653"/>
    <d v="2021-07-20T00:00:00"/>
    <d v="2021-08-19T00:00:00"/>
    <x v="14"/>
    <x v="4"/>
    <s v="0    "/>
    <s v="                              "/>
    <n v="30"/>
  </r>
  <r>
    <s v="202601"/>
    <s v="901410258-0         "/>
    <x v="18"/>
    <x v="13"/>
    <s v="FEDC45590   "/>
    <n v="119695"/>
    <x v="3"/>
    <n v="1653"/>
    <d v="2021-07-20T00:00:00"/>
    <d v="2021-08-19T00:00:00"/>
    <x v="14"/>
    <x v="5"/>
    <s v="0    "/>
    <s v="                              "/>
    <n v="30"/>
  </r>
  <r>
    <s v="202601"/>
    <s v="901410258-0         "/>
    <x v="18"/>
    <x v="13"/>
    <s v="FEDC46123   "/>
    <n v="927721"/>
    <x v="3"/>
    <n v="1646"/>
    <d v="2021-07-27T00:00:00"/>
    <d v="2021-08-26T00:00:00"/>
    <x v="11"/>
    <x v="4"/>
    <s v="0    "/>
    <s v="                              "/>
    <n v="30"/>
  </r>
  <r>
    <s v="202601"/>
    <s v="901410258-0         "/>
    <x v="18"/>
    <x v="13"/>
    <s v="FEDC46100   "/>
    <n v="4045973"/>
    <x v="3"/>
    <n v="1646"/>
    <d v="2021-07-27T00:00:00"/>
    <d v="2021-08-26T00:00:00"/>
    <x v="12"/>
    <x v="4"/>
    <s v="0    "/>
    <s v="                              "/>
    <n v="30"/>
  </r>
  <r>
    <s v="202601"/>
    <s v="901410258-0         "/>
    <x v="18"/>
    <x v="13"/>
    <s v="FEDC46101   "/>
    <n v="1363881"/>
    <x v="3"/>
    <n v="1646"/>
    <d v="2021-07-27T00:00:00"/>
    <d v="2021-08-26T00:00:00"/>
    <x v="12"/>
    <x v="4"/>
    <s v="0    "/>
    <s v="                              "/>
    <n v="30"/>
  </r>
  <r>
    <s v="202601"/>
    <s v="901410258-0         "/>
    <x v="18"/>
    <x v="13"/>
    <s v="FEDC46102   "/>
    <n v="536533"/>
    <x v="3"/>
    <n v="1646"/>
    <d v="2021-07-27T00:00:00"/>
    <d v="2021-08-26T00:00:00"/>
    <x v="12"/>
    <x v="4"/>
    <s v="0    "/>
    <s v="                              "/>
    <n v="30"/>
  </r>
  <r>
    <s v="202601"/>
    <s v="901410258-0         "/>
    <x v="18"/>
    <x v="13"/>
    <s v="FEDC46138   "/>
    <n v="11798293"/>
    <x v="3"/>
    <n v="1645"/>
    <d v="2021-07-28T00:00:00"/>
    <d v="2021-08-27T00:00:00"/>
    <x v="10"/>
    <x v="4"/>
    <s v="0    "/>
    <s v="                              "/>
    <n v="30"/>
  </r>
  <r>
    <s v="202601"/>
    <s v="901410258-0         "/>
    <x v="18"/>
    <x v="13"/>
    <s v="FEDC46264   "/>
    <n v="336516"/>
    <x v="3"/>
    <n v="1644"/>
    <d v="2021-07-29T00:00:00"/>
    <d v="2021-08-28T00:00:00"/>
    <x v="16"/>
    <x v="5"/>
    <s v="0    "/>
    <s v="                              "/>
    <n v="30"/>
  </r>
  <r>
    <s v="202601"/>
    <s v="901410258-0         "/>
    <x v="18"/>
    <x v="13"/>
    <s v="FEDC46208   "/>
    <n v="7947031"/>
    <x v="3"/>
    <n v="1644"/>
    <d v="2021-07-29T00:00:00"/>
    <d v="2021-08-28T00:00:00"/>
    <x v="13"/>
    <x v="4"/>
    <s v="0    "/>
    <s v="                              "/>
    <n v="30"/>
  </r>
  <r>
    <s v="202601"/>
    <s v="901410258-0         "/>
    <x v="18"/>
    <x v="13"/>
    <s v="FEDC46367   "/>
    <n v="691040"/>
    <x v="3"/>
    <n v="1643"/>
    <d v="2021-07-30T00:00:00"/>
    <d v="2021-08-29T00:00:00"/>
    <x v="16"/>
    <x v="5"/>
    <s v="0    "/>
    <s v="                              "/>
    <n v="30"/>
  </r>
  <r>
    <s v="202601"/>
    <s v="901410258-0         "/>
    <x v="18"/>
    <x v="13"/>
    <s v="FEDC46687   "/>
    <n v="1744664"/>
    <x v="3"/>
    <n v="1638"/>
    <d v="2021-08-04T00:00:00"/>
    <d v="2021-09-03T00:00:00"/>
    <x v="14"/>
    <x v="5"/>
    <s v="0    "/>
    <s v="                              "/>
    <n v="30"/>
  </r>
  <r>
    <s v="202601"/>
    <s v="901410258-0         "/>
    <x v="18"/>
    <x v="13"/>
    <s v="FEDC46691   "/>
    <n v="3588189"/>
    <x v="3"/>
    <n v="1638"/>
    <d v="2021-08-04T00:00:00"/>
    <d v="2021-09-03T00:00:00"/>
    <x v="14"/>
    <x v="4"/>
    <s v="0    "/>
    <s v="                              "/>
    <n v="30"/>
  </r>
  <r>
    <s v="202601"/>
    <s v="901410258-0         "/>
    <x v="18"/>
    <x v="13"/>
    <s v="FEDC46692   "/>
    <n v="2285734"/>
    <x v="3"/>
    <n v="1638"/>
    <d v="2021-08-04T00:00:00"/>
    <d v="2021-09-03T00:00:00"/>
    <x v="14"/>
    <x v="4"/>
    <s v="0    "/>
    <s v="                              "/>
    <n v="30"/>
  </r>
  <r>
    <s v="202601"/>
    <s v="901410258-0         "/>
    <x v="18"/>
    <x v="13"/>
    <s v="FEDC46884   "/>
    <n v="754301"/>
    <x v="3"/>
    <n v="1636"/>
    <d v="2021-08-06T00:00:00"/>
    <d v="2021-09-05T00:00:00"/>
    <x v="14"/>
    <x v="4"/>
    <s v="0    "/>
    <s v="                              "/>
    <n v="30"/>
  </r>
  <r>
    <s v="202601"/>
    <s v="901410258-0         "/>
    <x v="18"/>
    <x v="13"/>
    <s v="FEDC46893   "/>
    <n v="3306259"/>
    <x v="3"/>
    <n v="1636"/>
    <d v="2021-08-06T00:00:00"/>
    <d v="2021-09-05T00:00:00"/>
    <x v="10"/>
    <x v="4"/>
    <s v="0    "/>
    <s v="                              "/>
    <n v="30"/>
  </r>
  <r>
    <s v="202601"/>
    <s v="901410258-0         "/>
    <x v="18"/>
    <x v="13"/>
    <s v="FEDC47103   "/>
    <n v="8743874"/>
    <x v="3"/>
    <n v="1632"/>
    <d v="2021-08-10T00:00:00"/>
    <d v="2021-09-09T00:00:00"/>
    <x v="10"/>
    <x v="4"/>
    <s v="0    "/>
    <s v="                              "/>
    <n v="30"/>
  </r>
  <r>
    <s v="202601"/>
    <s v="901410258-0         "/>
    <x v="18"/>
    <x v="13"/>
    <s v="FEDC47088   "/>
    <n v="2814462"/>
    <x v="3"/>
    <n v="1632"/>
    <d v="2021-08-10T00:00:00"/>
    <d v="2021-09-09T00:00:00"/>
    <x v="15"/>
    <x v="7"/>
    <s v="0    "/>
    <s v="                              "/>
    <n v="30"/>
  </r>
  <r>
    <s v="202601"/>
    <s v="901410258-0         "/>
    <x v="18"/>
    <x v="13"/>
    <s v="FEDC47197   "/>
    <n v="5733873"/>
    <x v="3"/>
    <n v="1630"/>
    <d v="2021-08-12T00:00:00"/>
    <d v="2021-09-11T00:00:00"/>
    <x v="10"/>
    <x v="4"/>
    <s v="0    "/>
    <s v="                              "/>
    <n v="30"/>
  </r>
  <r>
    <s v="202601"/>
    <s v="901410258-0         "/>
    <x v="18"/>
    <x v="13"/>
    <s v="FEDC47221   "/>
    <n v="2545820"/>
    <x v="3"/>
    <n v="1630"/>
    <d v="2021-08-12T00:00:00"/>
    <d v="2021-09-11T00:00:00"/>
    <x v="11"/>
    <x v="4"/>
    <s v="0    "/>
    <s v="                              "/>
    <n v="30"/>
  </r>
  <r>
    <s v="202601"/>
    <s v="901410258-0         "/>
    <x v="18"/>
    <x v="13"/>
    <s v="FEDC47220   "/>
    <n v="2478056"/>
    <x v="3"/>
    <n v="1630"/>
    <d v="2021-08-12T00:00:00"/>
    <d v="2021-09-11T00:00:00"/>
    <x v="12"/>
    <x v="4"/>
    <s v="0    "/>
    <s v="                              "/>
    <n v="30"/>
  </r>
  <r>
    <s v="202601"/>
    <s v="901410258-0         "/>
    <x v="18"/>
    <x v="13"/>
    <s v="FEDC47338   "/>
    <n v="1264448"/>
    <x v="3"/>
    <n v="1629"/>
    <d v="2021-08-13T00:00:00"/>
    <d v="2021-09-12T00:00:00"/>
    <x v="10"/>
    <x v="5"/>
    <s v="0    "/>
    <s v="                              "/>
    <n v="30"/>
  </r>
  <r>
    <s v="202601"/>
    <s v="901410258-0         "/>
    <x v="18"/>
    <x v="13"/>
    <s v="FEDC47349   "/>
    <n v="6592574"/>
    <x v="3"/>
    <n v="1629"/>
    <d v="2021-08-13T00:00:00"/>
    <d v="2021-09-12T00:00:00"/>
    <x v="13"/>
    <x v="4"/>
    <s v="0    "/>
    <s v="                              "/>
    <n v="30"/>
  </r>
  <r>
    <s v="202601"/>
    <s v="901410258-0         "/>
    <x v="18"/>
    <x v="13"/>
    <s v="FEDC47395   "/>
    <n v="5095492"/>
    <x v="3"/>
    <n v="1628"/>
    <d v="2021-08-14T00:00:00"/>
    <d v="2021-09-13T00:00:00"/>
    <x v="16"/>
    <x v="7"/>
    <s v="0    "/>
    <s v="                              "/>
    <n v="30"/>
  </r>
  <r>
    <s v="202601"/>
    <s v="901410258-0         "/>
    <x v="18"/>
    <x v="13"/>
    <s v="FEDC47396   "/>
    <n v="3989988"/>
    <x v="3"/>
    <n v="1628"/>
    <d v="2021-08-14T00:00:00"/>
    <d v="2021-09-13T00:00:00"/>
    <x v="16"/>
    <x v="7"/>
    <s v="0    "/>
    <s v="                              "/>
    <n v="30"/>
  </r>
  <r>
    <s v="202601"/>
    <s v="901410258-0         "/>
    <x v="18"/>
    <x v="13"/>
    <s v="FEDC47397   "/>
    <n v="2375288"/>
    <x v="3"/>
    <n v="1628"/>
    <d v="2021-08-14T00:00:00"/>
    <d v="2021-09-13T00:00:00"/>
    <x v="16"/>
    <x v="7"/>
    <s v="0    "/>
    <s v="                              "/>
    <n v="30"/>
  </r>
  <r>
    <s v="202601"/>
    <s v="901410258-0         "/>
    <x v="18"/>
    <x v="13"/>
    <s v="FEDC47560   "/>
    <n v="941001"/>
    <x v="3"/>
    <n v="1624"/>
    <d v="2021-08-18T00:00:00"/>
    <d v="2021-09-17T00:00:00"/>
    <x v="14"/>
    <x v="5"/>
    <s v="0    "/>
    <s v="                              "/>
    <n v="30"/>
  </r>
  <r>
    <s v="202601"/>
    <s v="901410258-0         "/>
    <x v="18"/>
    <x v="13"/>
    <s v="FEDC47748   "/>
    <n v="5245654"/>
    <x v="3"/>
    <n v="1622"/>
    <d v="2021-08-20T00:00:00"/>
    <d v="2021-09-19T00:00:00"/>
    <x v="14"/>
    <x v="4"/>
    <s v="0    "/>
    <s v="                              "/>
    <n v="30"/>
  </r>
  <r>
    <s v="202601"/>
    <s v="901410258-0         "/>
    <x v="18"/>
    <x v="13"/>
    <s v="FEDC47749   "/>
    <n v="2504400"/>
    <x v="3"/>
    <n v="1622"/>
    <d v="2021-08-20T00:00:00"/>
    <d v="2021-09-19T00:00:00"/>
    <x v="14"/>
    <x v="4"/>
    <s v="0    "/>
    <s v="                              "/>
    <n v="30"/>
  </r>
  <r>
    <s v="202601"/>
    <s v="901410258-0         "/>
    <x v="18"/>
    <x v="13"/>
    <s v="FEDC47750   "/>
    <n v="1606380"/>
    <x v="3"/>
    <n v="1622"/>
    <d v="2021-08-20T00:00:00"/>
    <d v="2021-09-19T00:00:00"/>
    <x v="14"/>
    <x v="4"/>
    <s v="0    "/>
    <s v="                              "/>
    <n v="30"/>
  </r>
  <r>
    <s v="202601"/>
    <s v="901410258-0         "/>
    <x v="18"/>
    <x v="13"/>
    <s v="FEDC47958   "/>
    <n v="819807"/>
    <x v="3"/>
    <n v="1621"/>
    <d v="2021-08-21T00:00:00"/>
    <d v="2021-09-20T00:00:00"/>
    <x v="10"/>
    <x v="6"/>
    <s v="0    "/>
    <s v="                              "/>
    <n v="30"/>
  </r>
  <r>
    <s v="202601"/>
    <s v="901410258-0         "/>
    <x v="18"/>
    <x v="13"/>
    <s v="FEDC48047   "/>
    <n v="1079284"/>
    <x v="3"/>
    <n v="1618"/>
    <d v="2021-08-24T00:00:00"/>
    <d v="2021-09-23T00:00:00"/>
    <x v="14"/>
    <x v="4"/>
    <s v="0    "/>
    <s v="                              "/>
    <n v="30"/>
  </r>
  <r>
    <s v="202601"/>
    <s v="901410258-0         "/>
    <x v="18"/>
    <x v="13"/>
    <s v="FEDC48048   "/>
    <n v="379011"/>
    <x v="3"/>
    <n v="1618"/>
    <d v="2021-08-24T00:00:00"/>
    <d v="2021-09-23T00:00:00"/>
    <x v="14"/>
    <x v="4"/>
    <s v="0    "/>
    <s v="                              "/>
    <n v="30"/>
  </r>
  <r>
    <s v="202601"/>
    <s v="901410258-0         "/>
    <x v="18"/>
    <x v="13"/>
    <s v="FEDC48053   "/>
    <n v="2228034"/>
    <x v="3"/>
    <n v="1618"/>
    <d v="2021-08-24T00:00:00"/>
    <d v="2021-09-23T00:00:00"/>
    <x v="14"/>
    <x v="4"/>
    <s v="0    "/>
    <s v="                              "/>
    <n v="30"/>
  </r>
  <r>
    <s v="202601"/>
    <s v="901410258-0         "/>
    <x v="18"/>
    <x v="13"/>
    <s v="FEDC48045   "/>
    <n v="2358754"/>
    <x v="3"/>
    <n v="1618"/>
    <d v="2021-08-24T00:00:00"/>
    <d v="2021-09-23T00:00:00"/>
    <x v="12"/>
    <x v="4"/>
    <s v="0    "/>
    <s v="                              "/>
    <n v="30"/>
  </r>
  <r>
    <s v="202601"/>
    <s v="901410258-0         "/>
    <x v="18"/>
    <x v="13"/>
    <s v="FEDC48167   "/>
    <n v="645599"/>
    <x v="5"/>
    <n v="1616"/>
    <d v="2021-08-26T00:00:00"/>
    <d v="2021-08-27T00:00:00"/>
    <x v="10"/>
    <x v="6"/>
    <s v="0    "/>
    <s v="                              "/>
    <n v="30"/>
  </r>
  <r>
    <s v="202601"/>
    <s v="901410258-0         "/>
    <x v="18"/>
    <x v="13"/>
    <s v="FEDC48199   "/>
    <n v="276000"/>
    <x v="3"/>
    <n v="1616"/>
    <d v="2021-08-26T00:00:00"/>
    <d v="2021-09-25T00:00:00"/>
    <x v="16"/>
    <x v="7"/>
    <s v="0    "/>
    <s v="                              "/>
    <n v="30"/>
  </r>
  <r>
    <s v="202601"/>
    <s v="901410258-0         "/>
    <x v="18"/>
    <x v="13"/>
    <s v="FEDC48204   "/>
    <n v="3685599"/>
    <x v="3"/>
    <n v="1616"/>
    <d v="2021-08-26T00:00:00"/>
    <d v="2021-09-25T00:00:00"/>
    <x v="16"/>
    <x v="7"/>
    <s v="0    "/>
    <s v="                              "/>
    <n v="30"/>
  </r>
  <r>
    <s v="202601"/>
    <s v="901410258-0         "/>
    <x v="18"/>
    <x v="13"/>
    <s v="FEDC48165   "/>
    <n v="4762936"/>
    <x v="3"/>
    <n v="1616"/>
    <d v="2021-08-26T00:00:00"/>
    <d v="2021-09-25T00:00:00"/>
    <x v="13"/>
    <x v="4"/>
    <s v="0    "/>
    <s v="                              "/>
    <n v="30"/>
  </r>
  <r>
    <s v="202601"/>
    <s v="901410258-0         "/>
    <x v="18"/>
    <x v="13"/>
    <s v="FEDC48464   "/>
    <n v="7074120"/>
    <x v="3"/>
    <n v="1611"/>
    <d v="2021-08-31T00:00:00"/>
    <d v="2021-09-30T00:00:00"/>
    <x v="14"/>
    <x v="4"/>
    <s v="0    "/>
    <s v="                              "/>
    <n v="30"/>
  </r>
  <r>
    <s v="202601"/>
    <s v="901410258-0         "/>
    <x v="18"/>
    <x v="13"/>
    <s v="FEDC48465   "/>
    <n v="1903819"/>
    <x v="3"/>
    <n v="1611"/>
    <d v="2021-08-31T00:00:00"/>
    <d v="2021-09-30T00:00:00"/>
    <x v="14"/>
    <x v="4"/>
    <s v="0    "/>
    <s v="                              "/>
    <n v="30"/>
  </r>
  <r>
    <s v="202601"/>
    <s v="901410258-0         "/>
    <x v="18"/>
    <x v="13"/>
    <s v="FEDC48466   "/>
    <n v="263448"/>
    <x v="3"/>
    <n v="1611"/>
    <d v="2021-08-31T00:00:00"/>
    <d v="2021-09-30T00:00:00"/>
    <x v="14"/>
    <x v="4"/>
    <s v="0    "/>
    <s v="                              "/>
    <n v="30"/>
  </r>
  <r>
    <s v="202601"/>
    <s v="901410258-0         "/>
    <x v="18"/>
    <x v="13"/>
    <s v="FEDC48551   "/>
    <n v="1239360"/>
    <x v="3"/>
    <n v="1610"/>
    <d v="2021-09-01T00:00:00"/>
    <d v="2021-10-01T00:00:00"/>
    <x v="13"/>
    <x v="4"/>
    <s v="0    "/>
    <s v="                              "/>
    <n v="30"/>
  </r>
  <r>
    <s v="202601"/>
    <s v="901410258-0         "/>
    <x v="18"/>
    <x v="13"/>
    <s v="FEDC48617   "/>
    <n v="563410"/>
    <x v="3"/>
    <n v="1609"/>
    <d v="2021-09-02T00:00:00"/>
    <d v="2021-10-02T00:00:00"/>
    <x v="14"/>
    <x v="5"/>
    <s v="0    "/>
    <s v="                              "/>
    <n v="30"/>
  </r>
  <r>
    <s v="202601"/>
    <s v="901410258-0         "/>
    <x v="18"/>
    <x v="13"/>
    <s v="FEDC48674   "/>
    <n v="16745564"/>
    <x v="3"/>
    <n v="1608"/>
    <d v="2021-09-03T00:00:00"/>
    <d v="2021-10-03T00:00:00"/>
    <x v="18"/>
    <x v="4"/>
    <s v="0    "/>
    <s v="                              "/>
    <n v="30"/>
  </r>
  <r>
    <s v="202601"/>
    <s v="901410258-0         "/>
    <x v="18"/>
    <x v="13"/>
    <s v="FEDC48675   "/>
    <n v="3601335"/>
    <x v="3"/>
    <n v="1608"/>
    <d v="2021-09-03T00:00:00"/>
    <d v="2021-10-03T00:00:00"/>
    <x v="18"/>
    <x v="4"/>
    <s v="0    "/>
    <s v="                              "/>
    <n v="30"/>
  </r>
  <r>
    <s v="202601"/>
    <s v="901410258-0         "/>
    <x v="18"/>
    <x v="13"/>
    <s v="FEDC48746   "/>
    <n v="1990017"/>
    <x v="3"/>
    <n v="1608"/>
    <d v="2021-09-03T00:00:00"/>
    <d v="2021-10-03T00:00:00"/>
    <x v="18"/>
    <x v="4"/>
    <s v="0    "/>
    <s v="                              "/>
    <n v="30"/>
  </r>
  <r>
    <s v="202601"/>
    <s v="901410258-0         "/>
    <x v="18"/>
    <x v="13"/>
    <s v="FEDC48877   "/>
    <n v="6052437"/>
    <x v="3"/>
    <n v="1605"/>
    <d v="2021-09-06T00:00:00"/>
    <d v="2021-10-06T00:00:00"/>
    <x v="18"/>
    <x v="5"/>
    <s v="0    "/>
    <s v="                              "/>
    <n v="30"/>
  </r>
  <r>
    <s v="202601"/>
    <s v="901410258-0         "/>
    <x v="18"/>
    <x v="13"/>
    <s v="FEDC48986   "/>
    <n v="3366164"/>
    <x v="3"/>
    <n v="1604"/>
    <d v="2021-09-07T00:00:00"/>
    <d v="2021-10-07T00:00:00"/>
    <x v="15"/>
    <x v="7"/>
    <s v="0    "/>
    <s v="                              "/>
    <n v="30"/>
  </r>
  <r>
    <s v="202601"/>
    <s v="901410258-0         "/>
    <x v="18"/>
    <x v="13"/>
    <s v="FEDC49090   "/>
    <n v="1036602"/>
    <x v="3"/>
    <n v="1603"/>
    <d v="2021-09-08T00:00:00"/>
    <d v="2021-10-08T00:00:00"/>
    <x v="18"/>
    <x v="5"/>
    <s v="0    "/>
    <s v="                              "/>
    <n v="30"/>
  </r>
  <r>
    <s v="202601"/>
    <s v="901410258-0         "/>
    <x v="18"/>
    <x v="13"/>
    <s v="FEDC49029   "/>
    <n v="1161230"/>
    <x v="3"/>
    <n v="1603"/>
    <d v="2021-09-08T00:00:00"/>
    <d v="2021-10-08T00:00:00"/>
    <x v="11"/>
    <x v="4"/>
    <s v="0    "/>
    <s v="                              "/>
    <n v="30"/>
  </r>
  <r>
    <s v="202601"/>
    <s v="901410258-0         "/>
    <x v="18"/>
    <x v="13"/>
    <s v="FEDC49038   "/>
    <n v="550000"/>
    <x v="3"/>
    <n v="1603"/>
    <d v="2021-09-08T00:00:00"/>
    <d v="2021-10-08T00:00:00"/>
    <x v="11"/>
    <x v="4"/>
    <s v="0    "/>
    <s v="                              "/>
    <n v="30"/>
  </r>
  <r>
    <s v="202601"/>
    <s v="901410258-0         "/>
    <x v="18"/>
    <x v="13"/>
    <s v="FEDC49023   "/>
    <n v="2973615"/>
    <x v="3"/>
    <n v="1603"/>
    <d v="2021-09-08T00:00:00"/>
    <d v="2021-10-08T00:00:00"/>
    <x v="12"/>
    <x v="4"/>
    <s v="0    "/>
    <s v="                              "/>
    <n v="30"/>
  </r>
  <r>
    <s v="202601"/>
    <s v="901410258-0         "/>
    <x v="18"/>
    <x v="13"/>
    <s v="FEDC49024   "/>
    <n v="2133606"/>
    <x v="3"/>
    <n v="1603"/>
    <d v="2021-09-08T00:00:00"/>
    <d v="2021-10-08T00:00:00"/>
    <x v="12"/>
    <x v="4"/>
    <s v="0    "/>
    <s v="                              "/>
    <n v="30"/>
  </r>
  <r>
    <s v="202601"/>
    <s v="901410258-0         "/>
    <x v="18"/>
    <x v="13"/>
    <s v="FEDC49025   "/>
    <n v="413532"/>
    <x v="3"/>
    <n v="1603"/>
    <d v="2021-09-08T00:00:00"/>
    <d v="2021-10-08T00:00:00"/>
    <x v="12"/>
    <x v="4"/>
    <s v="0    "/>
    <s v="                              "/>
    <n v="30"/>
  </r>
  <r>
    <s v="202601"/>
    <s v="901410258-0         "/>
    <x v="18"/>
    <x v="13"/>
    <s v="FEDC49091   "/>
    <n v="1269618"/>
    <x v="3"/>
    <n v="1603"/>
    <d v="2021-09-08T00:00:00"/>
    <d v="2021-10-08T00:00:00"/>
    <x v="16"/>
    <x v="5"/>
    <s v="0    "/>
    <s v="                              "/>
    <n v="30"/>
  </r>
  <r>
    <s v="202601"/>
    <s v="901410258-0         "/>
    <x v="18"/>
    <x v="13"/>
    <s v="FEDC49197   "/>
    <n v="2751860"/>
    <x v="3"/>
    <n v="1602"/>
    <d v="2021-09-09T00:00:00"/>
    <d v="2021-10-09T00:00:00"/>
    <x v="13"/>
    <x v="4"/>
    <s v="0    "/>
    <s v="                              "/>
    <n v="30"/>
  </r>
  <r>
    <s v="202601"/>
    <s v="901410258-0         "/>
    <x v="18"/>
    <x v="13"/>
    <s v="FEDC49199   "/>
    <n v="5955600"/>
    <x v="3"/>
    <n v="1602"/>
    <d v="2021-09-09T00:00:00"/>
    <d v="2021-10-09T00:00:00"/>
    <x v="13"/>
    <x v="4"/>
    <s v="0    "/>
    <s v="                              "/>
    <n v="30"/>
  </r>
  <r>
    <s v="202601"/>
    <s v="901410258-0         "/>
    <x v="18"/>
    <x v="13"/>
    <s v="FEDC49530   "/>
    <n v="3636627"/>
    <x v="3"/>
    <n v="1597"/>
    <d v="2021-09-14T00:00:00"/>
    <d v="2021-10-14T00:00:00"/>
    <x v="14"/>
    <x v="4"/>
    <s v="0    "/>
    <s v="                              "/>
    <n v="30"/>
  </r>
  <r>
    <s v="202601"/>
    <s v="901410258-0         "/>
    <x v="18"/>
    <x v="13"/>
    <s v="FEDC49531   "/>
    <n v="2678507"/>
    <x v="3"/>
    <n v="1597"/>
    <d v="2021-09-14T00:00:00"/>
    <d v="2021-10-14T00:00:00"/>
    <x v="14"/>
    <x v="4"/>
    <s v="0    "/>
    <s v="                              "/>
    <n v="30"/>
  </r>
  <r>
    <s v="202601"/>
    <s v="901410258-0         "/>
    <x v="18"/>
    <x v="13"/>
    <s v="FEDC49532   "/>
    <n v="1796661"/>
    <x v="3"/>
    <n v="1597"/>
    <d v="2021-09-14T00:00:00"/>
    <d v="2021-10-14T00:00:00"/>
    <x v="14"/>
    <x v="4"/>
    <s v="0    "/>
    <s v="                              "/>
    <n v="30"/>
  </r>
  <r>
    <s v="202601"/>
    <s v="901410258-0         "/>
    <x v="18"/>
    <x v="13"/>
    <s v="FEDC49533   "/>
    <n v="9001796"/>
    <x v="3"/>
    <n v="1597"/>
    <d v="2021-09-14T00:00:00"/>
    <d v="2021-10-14T00:00:00"/>
    <x v="14"/>
    <x v="4"/>
    <s v="0    "/>
    <s v="                              "/>
    <n v="30"/>
  </r>
  <r>
    <s v="202601"/>
    <s v="901410258-0         "/>
    <x v="18"/>
    <x v="13"/>
    <s v="FEDC49789   "/>
    <n v="14996668"/>
    <x v="3"/>
    <n v="1594"/>
    <d v="2021-09-17T00:00:00"/>
    <d v="2021-10-17T00:00:00"/>
    <x v="18"/>
    <x v="4"/>
    <s v="0    "/>
    <s v="                              "/>
    <n v="30"/>
  </r>
  <r>
    <s v="202601"/>
    <s v="901410258-0         "/>
    <x v="18"/>
    <x v="13"/>
    <s v="FEDC49996   "/>
    <n v="2724221"/>
    <x v="3"/>
    <n v="1590"/>
    <d v="2021-09-21T00:00:00"/>
    <d v="2021-10-21T00:00:00"/>
    <x v="12"/>
    <x v="4"/>
    <s v="0    "/>
    <s v="                              "/>
    <n v="30"/>
  </r>
  <r>
    <s v="202601"/>
    <s v="901410258-0         "/>
    <x v="18"/>
    <x v="13"/>
    <s v="FEDC49997   "/>
    <n v="596840"/>
    <x v="3"/>
    <n v="1590"/>
    <d v="2021-09-21T00:00:00"/>
    <d v="2021-10-21T00:00:00"/>
    <x v="12"/>
    <x v="4"/>
    <s v="0    "/>
    <s v="                              "/>
    <n v="30"/>
  </r>
  <r>
    <s v="202601"/>
    <s v="901410258-0         "/>
    <x v="18"/>
    <x v="13"/>
    <s v="FEDC50111   "/>
    <n v="9486272"/>
    <x v="3"/>
    <n v="1589"/>
    <d v="2021-09-22T00:00:00"/>
    <d v="2021-10-22T00:00:00"/>
    <x v="13"/>
    <x v="4"/>
    <s v="0    "/>
    <s v="                              "/>
    <n v="30"/>
  </r>
  <r>
    <s v="202601"/>
    <s v="901410258-0         "/>
    <x v="18"/>
    <x v="13"/>
    <s v="FEDC50496   "/>
    <n v="4455547"/>
    <x v="3"/>
    <n v="1582"/>
    <d v="2021-09-29T00:00:00"/>
    <d v="2021-10-29T00:00:00"/>
    <x v="14"/>
    <x v="4"/>
    <s v="0    "/>
    <s v="                              "/>
    <n v="30"/>
  </r>
  <r>
    <s v="202601"/>
    <s v="901410258-0         "/>
    <x v="18"/>
    <x v="13"/>
    <s v="FEDC50497   "/>
    <n v="2616334"/>
    <x v="3"/>
    <n v="1582"/>
    <d v="2021-09-29T00:00:00"/>
    <d v="2021-10-29T00:00:00"/>
    <x v="14"/>
    <x v="4"/>
    <s v="0    "/>
    <s v="                              "/>
    <n v="30"/>
  </r>
  <r>
    <s v="202601"/>
    <s v="901410258-0         "/>
    <x v="18"/>
    <x v="13"/>
    <s v="FEDC50498   "/>
    <n v="2120380"/>
    <x v="3"/>
    <n v="1582"/>
    <d v="2021-09-29T00:00:00"/>
    <d v="2021-10-29T00:00:00"/>
    <x v="14"/>
    <x v="4"/>
    <s v="0    "/>
    <s v="                              "/>
    <n v="30"/>
  </r>
  <r>
    <s v="202601"/>
    <s v="901410258-0         "/>
    <x v="18"/>
    <x v="13"/>
    <s v="FEDC50500   "/>
    <n v="336853"/>
    <x v="3"/>
    <n v="1582"/>
    <d v="2021-09-29T00:00:00"/>
    <d v="2021-10-29T00:00:00"/>
    <x v="14"/>
    <x v="4"/>
    <s v="0    "/>
    <s v="                              "/>
    <n v="30"/>
  </r>
  <r>
    <s v="202601"/>
    <s v="1073973900          "/>
    <x v="21"/>
    <x v="15"/>
    <s v="FEDC50513   "/>
    <n v="5991700"/>
    <x v="3"/>
    <n v="1582"/>
    <d v="2021-09-29T00:00:00"/>
    <d v="2021-10-29T00:00:00"/>
    <x v="19"/>
    <x v="9"/>
    <s v="0    "/>
    <s v="3207176730 -3126240841        "/>
    <n v="1"/>
  </r>
  <r>
    <s v="202601"/>
    <s v="901410258-0         "/>
    <x v="18"/>
    <x v="13"/>
    <s v="FECT539     "/>
    <n v="11924282"/>
    <x v="3"/>
    <n v="1581"/>
    <d v="2021-09-30T00:00:00"/>
    <d v="2021-10-30T00:00:00"/>
    <x v="18"/>
    <x v="4"/>
    <s v="0    "/>
    <s v="                              "/>
    <n v="30"/>
  </r>
  <r>
    <s v="202601"/>
    <s v="901410258-0         "/>
    <x v="18"/>
    <x v="13"/>
    <s v="FECT397     "/>
    <n v="1560006"/>
    <x v="3"/>
    <n v="1581"/>
    <d v="2021-09-30T00:00:00"/>
    <d v="2021-10-30T00:00:00"/>
    <x v="14"/>
    <x v="4"/>
    <s v="0    "/>
    <s v="                              "/>
    <n v="30"/>
  </r>
  <r>
    <s v="202601"/>
    <s v="901410258-0         "/>
    <x v="18"/>
    <x v="13"/>
    <s v="FEDC50723   "/>
    <n v="1450771"/>
    <x v="3"/>
    <n v="1576"/>
    <d v="2021-10-05T00:00:00"/>
    <d v="2021-11-04T00:00:00"/>
    <x v="15"/>
    <x v="7"/>
    <s v="0    "/>
    <s v="                              "/>
    <n v="30"/>
  </r>
  <r>
    <s v="202601"/>
    <s v="901410258-0         "/>
    <x v="18"/>
    <x v="13"/>
    <s v="FEDC50799   "/>
    <n v="1628574"/>
    <x v="3"/>
    <n v="1575"/>
    <d v="2021-10-06T00:00:00"/>
    <d v="2021-11-05T00:00:00"/>
    <x v="11"/>
    <x v="4"/>
    <s v="0    "/>
    <s v="                              "/>
    <n v="30"/>
  </r>
  <r>
    <s v="202601"/>
    <s v="901410258-0         "/>
    <x v="18"/>
    <x v="13"/>
    <s v="FEDC50795   "/>
    <n v="3392073"/>
    <x v="3"/>
    <n v="1575"/>
    <d v="2021-10-06T00:00:00"/>
    <d v="2021-11-05T00:00:00"/>
    <x v="12"/>
    <x v="4"/>
    <s v="0    "/>
    <s v="                              "/>
    <n v="30"/>
  </r>
  <r>
    <s v="202601"/>
    <s v="901410258-0         "/>
    <x v="18"/>
    <x v="13"/>
    <s v="FEDC50796   "/>
    <n v="343866"/>
    <x v="3"/>
    <n v="1575"/>
    <d v="2021-10-06T00:00:00"/>
    <d v="2021-11-05T00:00:00"/>
    <x v="12"/>
    <x v="4"/>
    <s v="0    "/>
    <s v="                              "/>
    <n v="30"/>
  </r>
  <r>
    <s v="202601"/>
    <s v="901410258-0         "/>
    <x v="18"/>
    <x v="13"/>
    <s v="FEDC50978   "/>
    <n v="7536576"/>
    <x v="3"/>
    <n v="1574"/>
    <d v="2021-10-07T00:00:00"/>
    <d v="2021-11-06T00:00:00"/>
    <x v="13"/>
    <x v="4"/>
    <s v="0    "/>
    <s v="                              "/>
    <n v="30"/>
  </r>
  <r>
    <s v="202601"/>
    <s v="901410258-0         "/>
    <x v="18"/>
    <x v="13"/>
    <s v="FEDC51325   "/>
    <n v="41492761"/>
    <x v="3"/>
    <n v="1568"/>
    <d v="2021-10-13T00:00:00"/>
    <d v="2021-11-12T00:00:00"/>
    <x v="18"/>
    <x v="4"/>
    <s v="0    "/>
    <s v="                              "/>
    <n v="30"/>
  </r>
  <r>
    <s v="202601"/>
    <s v="901410258-0         "/>
    <x v="18"/>
    <x v="13"/>
    <s v="FEDC51405   "/>
    <n v="2173266"/>
    <x v="3"/>
    <n v="1567"/>
    <d v="2021-10-14T00:00:00"/>
    <d v="2021-11-13T00:00:00"/>
    <x v="14"/>
    <x v="4"/>
    <s v="0    "/>
    <s v="                              "/>
    <n v="30"/>
  </r>
  <r>
    <s v="202601"/>
    <s v="901410258-0         "/>
    <x v="18"/>
    <x v="13"/>
    <s v="FEDC51407   "/>
    <n v="4309961"/>
    <x v="3"/>
    <n v="1567"/>
    <d v="2021-10-14T00:00:00"/>
    <d v="2021-11-13T00:00:00"/>
    <x v="14"/>
    <x v="4"/>
    <s v="0    "/>
    <s v="                              "/>
    <n v="30"/>
  </r>
  <r>
    <s v="202601"/>
    <s v="901410258-0         "/>
    <x v="18"/>
    <x v="13"/>
    <s v="FEDC51408   "/>
    <n v="2001201"/>
    <x v="3"/>
    <n v="1567"/>
    <d v="2021-10-14T00:00:00"/>
    <d v="2021-11-13T00:00:00"/>
    <x v="14"/>
    <x v="4"/>
    <s v="0    "/>
    <s v="                              "/>
    <n v="30"/>
  </r>
  <r>
    <s v="202601"/>
    <s v="901410258-0         "/>
    <x v="18"/>
    <x v="13"/>
    <s v="FEDC51636   "/>
    <n v="2296128"/>
    <x v="3"/>
    <n v="1566"/>
    <d v="2021-10-15T00:00:00"/>
    <d v="2021-11-14T00:00:00"/>
    <x v="14"/>
    <x v="5"/>
    <s v="0    "/>
    <s v="                              "/>
    <n v="30"/>
  </r>
  <r>
    <s v="202601"/>
    <s v="901410258-0         "/>
    <x v="18"/>
    <x v="13"/>
    <s v="FEDC51858   "/>
    <n v="733348"/>
    <x v="3"/>
    <n v="1561"/>
    <d v="2021-10-20T00:00:00"/>
    <d v="2021-11-19T00:00:00"/>
    <x v="11"/>
    <x v="4"/>
    <s v="0    "/>
    <s v="                              "/>
    <n v="30"/>
  </r>
  <r>
    <s v="202601"/>
    <s v="901410258-0         "/>
    <x v="18"/>
    <x v="13"/>
    <s v="FEDC51860   "/>
    <n v="4526844"/>
    <x v="3"/>
    <n v="1561"/>
    <d v="2021-10-20T00:00:00"/>
    <d v="2021-11-19T00:00:00"/>
    <x v="12"/>
    <x v="4"/>
    <s v="0    "/>
    <s v="                              "/>
    <n v="30"/>
  </r>
  <r>
    <s v="202601"/>
    <s v="901410258-0         "/>
    <x v="18"/>
    <x v="13"/>
    <s v="FEDC51974   "/>
    <n v="3941286"/>
    <x v="3"/>
    <n v="1560"/>
    <d v="2021-10-21T00:00:00"/>
    <d v="2021-11-20T00:00:00"/>
    <x v="14"/>
    <x v="4"/>
    <s v="0    "/>
    <s v="                              "/>
    <n v="30"/>
  </r>
  <r>
    <s v="202601"/>
    <s v="901410258-0         "/>
    <x v="18"/>
    <x v="13"/>
    <s v="FEDC52007   "/>
    <n v="10218028"/>
    <x v="3"/>
    <n v="1560"/>
    <d v="2021-10-21T00:00:00"/>
    <d v="2021-11-20T00:00:00"/>
    <x v="13"/>
    <x v="4"/>
    <s v="0    "/>
    <s v="                              "/>
    <n v="30"/>
  </r>
  <r>
    <s v="202601"/>
    <s v="901410258-0         "/>
    <x v="18"/>
    <x v="13"/>
    <s v="FEDC52093   "/>
    <n v="16749179"/>
    <x v="3"/>
    <n v="1558"/>
    <d v="2021-10-23T00:00:00"/>
    <d v="2021-11-22T00:00:00"/>
    <x v="18"/>
    <x v="4"/>
    <s v="0    "/>
    <s v="                              "/>
    <n v="30"/>
  </r>
  <r>
    <s v="202601"/>
    <s v="901410258-0         "/>
    <x v="18"/>
    <x v="13"/>
    <s v="FEDC52094   "/>
    <n v="6131240"/>
    <x v="3"/>
    <n v="1558"/>
    <d v="2021-10-23T00:00:00"/>
    <d v="2021-11-22T00:00:00"/>
    <x v="18"/>
    <x v="4"/>
    <s v="0    "/>
    <s v="                              "/>
    <n v="30"/>
  </r>
  <r>
    <s v="202601"/>
    <s v="901410258-0         "/>
    <x v="18"/>
    <x v="13"/>
    <s v="FEDC52275   "/>
    <n v="3258018"/>
    <x v="3"/>
    <n v="1555"/>
    <d v="2021-10-26T00:00:00"/>
    <d v="2021-11-25T00:00:00"/>
    <x v="14"/>
    <x v="4"/>
    <s v="0    "/>
    <s v="                              "/>
    <n v="30"/>
  </r>
  <r>
    <s v="202601"/>
    <s v="901410258-0         "/>
    <x v="18"/>
    <x v="13"/>
    <s v="FEDC52276   "/>
    <n v="3512076"/>
    <x v="3"/>
    <n v="1555"/>
    <d v="2021-10-26T00:00:00"/>
    <d v="2021-11-25T00:00:00"/>
    <x v="14"/>
    <x v="4"/>
    <s v="0    "/>
    <s v="                              "/>
    <n v="30"/>
  </r>
  <r>
    <s v="202601"/>
    <s v="901410258-0         "/>
    <x v="18"/>
    <x v="13"/>
    <s v="FEDC52277   "/>
    <n v="1833106"/>
    <x v="3"/>
    <n v="1555"/>
    <d v="2021-10-26T00:00:00"/>
    <d v="2021-11-25T00:00:00"/>
    <x v="14"/>
    <x v="4"/>
    <s v="0    "/>
    <s v="                              "/>
    <n v="30"/>
  </r>
  <r>
    <s v="202601"/>
    <s v="901410258-0         "/>
    <x v="18"/>
    <x v="13"/>
    <s v="FEDC52278   "/>
    <n v="2292945"/>
    <x v="3"/>
    <n v="1555"/>
    <d v="2021-10-26T00:00:00"/>
    <d v="2021-11-25T00:00:00"/>
    <x v="14"/>
    <x v="4"/>
    <s v="0    "/>
    <s v="                              "/>
    <n v="30"/>
  </r>
  <r>
    <s v="202601"/>
    <s v="901410258-0         "/>
    <x v="18"/>
    <x v="13"/>
    <s v="FEDC52279   "/>
    <n v="825783"/>
    <x v="3"/>
    <n v="1555"/>
    <d v="2021-10-26T00:00:00"/>
    <d v="2021-11-25T00:00:00"/>
    <x v="14"/>
    <x v="4"/>
    <s v="0    "/>
    <s v="                              "/>
    <n v="30"/>
  </r>
  <r>
    <s v="202601"/>
    <s v="901410258-0         "/>
    <x v="18"/>
    <x v="13"/>
    <s v="FEDC52703   "/>
    <n v="1653708"/>
    <x v="3"/>
    <n v="1548"/>
    <d v="2021-11-02T00:00:00"/>
    <d v="2021-12-02T00:00:00"/>
    <x v="15"/>
    <x v="7"/>
    <s v="0    "/>
    <s v="                              "/>
    <n v="30"/>
  </r>
  <r>
    <s v="202601"/>
    <s v="901410258-0         "/>
    <x v="18"/>
    <x v="13"/>
    <s v="FEDC52746   "/>
    <n v="1707031"/>
    <x v="3"/>
    <n v="1547"/>
    <d v="2021-11-03T00:00:00"/>
    <d v="2021-12-03T00:00:00"/>
    <x v="11"/>
    <x v="4"/>
    <s v="0    "/>
    <s v="                              "/>
    <n v="30"/>
  </r>
  <r>
    <s v="202601"/>
    <s v="901410258-0         "/>
    <x v="18"/>
    <x v="13"/>
    <s v="FEDC52742   "/>
    <n v="3028252"/>
    <x v="3"/>
    <n v="1547"/>
    <d v="2021-11-03T00:00:00"/>
    <d v="2021-12-03T00:00:00"/>
    <x v="12"/>
    <x v="4"/>
    <s v="0    "/>
    <s v="                              "/>
    <n v="30"/>
  </r>
  <r>
    <s v="202601"/>
    <s v="901410258-0         "/>
    <x v="18"/>
    <x v="13"/>
    <s v="FEDC52743   "/>
    <n v="707804"/>
    <x v="3"/>
    <n v="1547"/>
    <d v="2021-11-03T00:00:00"/>
    <d v="2021-12-03T00:00:00"/>
    <x v="12"/>
    <x v="4"/>
    <s v="0    "/>
    <s v="                              "/>
    <n v="30"/>
  </r>
  <r>
    <s v="202601"/>
    <s v="901410258-0         "/>
    <x v="18"/>
    <x v="13"/>
    <s v="FEDC52711   "/>
    <n v="39024"/>
    <x v="3"/>
    <n v="1547"/>
    <d v="2021-11-03T00:00:00"/>
    <d v="2021-12-03T00:00:00"/>
    <x v="15"/>
    <x v="7"/>
    <s v="0    "/>
    <s v="                              "/>
    <n v="30"/>
  </r>
  <r>
    <s v="202601"/>
    <s v="901410258-0         "/>
    <x v="18"/>
    <x v="13"/>
    <s v="FEDC52795   "/>
    <n v="14166124"/>
    <x v="3"/>
    <n v="1546"/>
    <d v="2021-11-04T00:00:00"/>
    <d v="2021-12-04T00:00:00"/>
    <x v="18"/>
    <x v="4"/>
    <s v="0    "/>
    <s v="                              "/>
    <n v="30"/>
  </r>
  <r>
    <s v="202601"/>
    <s v="901410258-0         "/>
    <x v="18"/>
    <x v="13"/>
    <s v="FEDC53029   "/>
    <n v="4458973"/>
    <x v="3"/>
    <n v="1544"/>
    <d v="2021-11-06T00:00:00"/>
    <d v="2021-12-06T00:00:00"/>
    <x v="18"/>
    <x v="5"/>
    <s v="0    "/>
    <s v="                              "/>
    <n v="30"/>
  </r>
  <r>
    <s v="202601"/>
    <s v="901410258-0         "/>
    <x v="18"/>
    <x v="13"/>
    <s v="FEDC53030   "/>
    <n v="2138352"/>
    <x v="3"/>
    <n v="1544"/>
    <d v="2021-11-06T00:00:00"/>
    <d v="2021-12-06T00:00:00"/>
    <x v="18"/>
    <x v="5"/>
    <s v="0    "/>
    <s v="                              "/>
    <n v="30"/>
  </r>
  <r>
    <s v="202601"/>
    <s v="901410258-0         "/>
    <x v="18"/>
    <x v="13"/>
    <s v="FEDC53156   "/>
    <n v="1707544"/>
    <x v="3"/>
    <n v="1541"/>
    <d v="2021-11-09T00:00:00"/>
    <d v="2021-12-09T00:00:00"/>
    <x v="18"/>
    <x v="4"/>
    <s v="0    "/>
    <s v="                              "/>
    <n v="30"/>
  </r>
  <r>
    <s v="202601"/>
    <s v="901410258-0         "/>
    <x v="18"/>
    <x v="13"/>
    <s v="FEDC53237   "/>
    <n v="3302400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238   "/>
    <n v="4994970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239   "/>
    <n v="4745001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240   "/>
    <n v="1516510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241   "/>
    <n v="50394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242   "/>
    <n v="284000"/>
    <x v="3"/>
    <n v="1541"/>
    <d v="2021-11-09T00:00:00"/>
    <d v="2021-12-09T00:00:00"/>
    <x v="14"/>
    <x v="4"/>
    <s v="0    "/>
    <s v="                              "/>
    <n v="30"/>
  </r>
  <r>
    <s v="202601"/>
    <s v="901410258-0         "/>
    <x v="18"/>
    <x v="13"/>
    <s v="FEDC53418   "/>
    <n v="1353197"/>
    <x v="3"/>
    <n v="1539"/>
    <d v="2021-11-11T00:00:00"/>
    <d v="2021-12-11T00:00:00"/>
    <x v="14"/>
    <x v="5"/>
    <s v="0    "/>
    <s v="                              "/>
    <n v="30"/>
  </r>
  <r>
    <s v="202601"/>
    <s v="901410258-0         "/>
    <x v="18"/>
    <x v="13"/>
    <s v="FEDC53582   "/>
    <n v="360228"/>
    <x v="3"/>
    <n v="1537"/>
    <d v="2021-11-13T00:00:00"/>
    <d v="2021-12-13T00:00:00"/>
    <x v="14"/>
    <x v="4"/>
    <s v="0    "/>
    <s v="                              "/>
    <n v="30"/>
  </r>
  <r>
    <s v="202601"/>
    <s v="901410258-0         "/>
    <x v="18"/>
    <x v="13"/>
    <s v="FEDC53690   "/>
    <n v="5449984"/>
    <x v="3"/>
    <n v="1534"/>
    <d v="2021-11-16T00:00:00"/>
    <d v="2021-12-16T00:00:00"/>
    <x v="18"/>
    <x v="4"/>
    <s v="0    "/>
    <s v="                              "/>
    <n v="30"/>
  </r>
  <r>
    <s v="202601"/>
    <s v="901410258-0         "/>
    <x v="18"/>
    <x v="13"/>
    <s v="FEDC53691   "/>
    <n v="1685170"/>
    <x v="3"/>
    <n v="1534"/>
    <d v="2021-11-16T00:00:00"/>
    <d v="2021-12-16T00:00:00"/>
    <x v="18"/>
    <x v="5"/>
    <s v="0    "/>
    <s v="                              "/>
    <n v="30"/>
  </r>
  <r>
    <s v="202601"/>
    <s v="901410258-0         "/>
    <x v="18"/>
    <x v="13"/>
    <s v="FEDC53693   "/>
    <n v="1654243"/>
    <x v="3"/>
    <n v="1534"/>
    <d v="2021-11-16T00:00:00"/>
    <d v="2021-12-16T00:00:00"/>
    <x v="18"/>
    <x v="4"/>
    <s v="0    "/>
    <s v="                              "/>
    <n v="30"/>
  </r>
  <r>
    <s v="202601"/>
    <s v="901410258-0         "/>
    <x v="18"/>
    <x v="13"/>
    <s v="FEDC53752   "/>
    <n v="5129200"/>
    <x v="3"/>
    <n v="1533"/>
    <d v="2021-11-17T00:00:00"/>
    <d v="2021-12-17T00:00:00"/>
    <x v="11"/>
    <x v="4"/>
    <s v="0    "/>
    <s v="                              "/>
    <n v="30"/>
  </r>
  <r>
    <s v="202601"/>
    <s v="901410258-0         "/>
    <x v="18"/>
    <x v="13"/>
    <s v="FEDC53745   "/>
    <n v="3436573"/>
    <x v="3"/>
    <n v="1533"/>
    <d v="2021-11-17T00:00:00"/>
    <d v="2021-12-17T00:00:00"/>
    <x v="12"/>
    <x v="4"/>
    <s v="0    "/>
    <s v="                              "/>
    <n v="30"/>
  </r>
  <r>
    <s v="202601"/>
    <s v="901410258-0         "/>
    <x v="18"/>
    <x v="13"/>
    <s v="FEDC53746   "/>
    <n v="1274007"/>
    <x v="3"/>
    <n v="1533"/>
    <d v="2021-11-17T00:00:00"/>
    <d v="2021-12-17T00:00:00"/>
    <x v="12"/>
    <x v="4"/>
    <s v="0    "/>
    <s v="                              "/>
    <n v="30"/>
  </r>
  <r>
    <s v="202601"/>
    <s v="901410258-0         "/>
    <x v="18"/>
    <x v="13"/>
    <s v="FEDC53792   "/>
    <n v="265890"/>
    <x v="3"/>
    <n v="1532"/>
    <d v="2021-11-18T00:00:00"/>
    <d v="2021-12-18T00:00:00"/>
    <x v="18"/>
    <x v="5"/>
    <s v="0    "/>
    <s v="                              "/>
    <n v="30"/>
  </r>
  <r>
    <s v="202601"/>
    <s v="901410258-0         "/>
    <x v="18"/>
    <x v="13"/>
    <s v="FEDC53876   "/>
    <n v="8956687"/>
    <x v="3"/>
    <n v="1531"/>
    <d v="2021-11-19T00:00:00"/>
    <d v="2021-12-19T00:00:00"/>
    <x v="13"/>
    <x v="4"/>
    <s v="0    "/>
    <s v="                              "/>
    <n v="30"/>
  </r>
  <r>
    <s v="202601"/>
    <s v="70695782            "/>
    <x v="22"/>
    <x v="16"/>
    <s v="FEDC53938   "/>
    <n v="2665741"/>
    <x v="3"/>
    <n v="1531"/>
    <d v="2021-11-19T00:00:00"/>
    <d v="2021-12-19T00:00:00"/>
    <x v="20"/>
    <x v="8"/>
    <s v="0    "/>
    <s v="3041557323                    "/>
    <n v="30"/>
  </r>
  <r>
    <s v="202601"/>
    <s v="901410258-0         "/>
    <x v="18"/>
    <x v="13"/>
    <s v="FEDC54012   "/>
    <n v="2341731"/>
    <x v="3"/>
    <n v="1530"/>
    <d v="2021-11-20T00:00:00"/>
    <d v="2021-12-20T00:00:00"/>
    <x v="18"/>
    <x v="4"/>
    <s v="0    "/>
    <s v="                              "/>
    <n v="30"/>
  </r>
  <r>
    <s v="202601"/>
    <s v="901410258-0         "/>
    <x v="18"/>
    <x v="13"/>
    <s v="FEDC54234   "/>
    <n v="7208738"/>
    <x v="3"/>
    <n v="1526"/>
    <d v="2021-11-24T00:00:00"/>
    <d v="2021-12-24T00:00:00"/>
    <x v="14"/>
    <x v="4"/>
    <s v="0    "/>
    <s v="                              "/>
    <n v="30"/>
  </r>
  <r>
    <s v="202601"/>
    <s v="901410258-0         "/>
    <x v="18"/>
    <x v="13"/>
    <s v="FEDC54235   "/>
    <n v="2157715"/>
    <x v="3"/>
    <n v="1526"/>
    <d v="2021-11-24T00:00:00"/>
    <d v="2021-12-24T00:00:00"/>
    <x v="14"/>
    <x v="4"/>
    <s v="0    "/>
    <s v="                              "/>
    <n v="30"/>
  </r>
  <r>
    <s v="202601"/>
    <s v="901410258-0         "/>
    <x v="18"/>
    <x v="13"/>
    <s v="FEDC54236   "/>
    <n v="2391678"/>
    <x v="3"/>
    <n v="1526"/>
    <d v="2021-11-24T00:00:00"/>
    <d v="2021-12-24T00:00:00"/>
    <x v="14"/>
    <x v="4"/>
    <s v="0    "/>
    <s v="                              "/>
    <n v="30"/>
  </r>
  <r>
    <s v="202601"/>
    <s v="901410258-0         "/>
    <x v="18"/>
    <x v="13"/>
    <s v="FEDC54238   "/>
    <n v="1486467"/>
    <x v="3"/>
    <n v="1526"/>
    <d v="2021-11-24T00:00:00"/>
    <d v="2021-12-24T00:00:00"/>
    <x v="14"/>
    <x v="4"/>
    <s v="0    "/>
    <s v="                              "/>
    <n v="30"/>
  </r>
  <r>
    <s v="202601"/>
    <s v="901410258-0         "/>
    <x v="18"/>
    <x v="13"/>
    <s v="FEDC54552   "/>
    <n v="2490651"/>
    <x v="3"/>
    <n v="1523"/>
    <d v="2021-11-27T00:00:00"/>
    <d v="2021-12-27T00:00:00"/>
    <x v="15"/>
    <x v="7"/>
    <s v="0    "/>
    <s v="                              "/>
    <n v="30"/>
  </r>
  <r>
    <s v="202601"/>
    <s v="901410258-0         "/>
    <x v="18"/>
    <x v="13"/>
    <s v="FEDC54582   "/>
    <n v="18120000"/>
    <x v="3"/>
    <n v="1521"/>
    <d v="2021-11-29T00:00:00"/>
    <d v="2021-12-29T00:00:00"/>
    <x v="18"/>
    <x v="4"/>
    <s v="0    "/>
    <s v="                              "/>
    <n v="30"/>
  </r>
  <r>
    <s v="202601"/>
    <s v="901410258-0         "/>
    <x v="18"/>
    <x v="13"/>
    <s v="FEDC54714   "/>
    <n v="11905051"/>
    <x v="3"/>
    <n v="1520"/>
    <d v="2021-11-30T00:00:00"/>
    <d v="2021-12-30T00:00:00"/>
    <x v="18"/>
    <x v="4"/>
    <s v="0    "/>
    <s v="                              "/>
    <n v="30"/>
  </r>
  <r>
    <s v="202601"/>
    <s v="901410258-0         "/>
    <x v="18"/>
    <x v="13"/>
    <s v="FEDC54675   "/>
    <n v="4140649"/>
    <x v="3"/>
    <n v="1520"/>
    <d v="2021-11-30T00:00:00"/>
    <d v="2021-12-30T00:00:00"/>
    <x v="11"/>
    <x v="4"/>
    <s v="0    "/>
    <s v="                              "/>
    <n v="30"/>
  </r>
  <r>
    <s v="202601"/>
    <s v="901410258-0         "/>
    <x v="18"/>
    <x v="13"/>
    <s v="FEDC54633   "/>
    <n v="2260471"/>
    <x v="3"/>
    <n v="1520"/>
    <d v="2021-11-30T00:00:00"/>
    <d v="2021-12-30T00:00:00"/>
    <x v="12"/>
    <x v="4"/>
    <s v="0    "/>
    <s v="                              "/>
    <n v="30"/>
  </r>
  <r>
    <s v="202601"/>
    <s v="901410258-0         "/>
    <x v="18"/>
    <x v="13"/>
    <s v="FEDC54644   "/>
    <n v="1652119"/>
    <x v="3"/>
    <n v="1520"/>
    <d v="2021-11-30T00:00:00"/>
    <d v="2021-12-30T00:00:00"/>
    <x v="12"/>
    <x v="4"/>
    <s v="0    "/>
    <s v="                              "/>
    <n v="30"/>
  </r>
  <r>
    <s v="202601"/>
    <s v="901410258-0         "/>
    <x v="18"/>
    <x v="13"/>
    <s v="FEDC54753   "/>
    <n v="7125093"/>
    <x v="3"/>
    <n v="1519"/>
    <d v="2021-12-01T00:00:00"/>
    <d v="2021-12-31T00:00:00"/>
    <x v="13"/>
    <x v="4"/>
    <s v="0    "/>
    <s v="                              "/>
    <n v="30"/>
  </r>
  <r>
    <s v="202601"/>
    <s v="70695782            "/>
    <x v="22"/>
    <x v="16"/>
    <s v="FEDC54732   "/>
    <n v="5261092"/>
    <x v="3"/>
    <n v="1519"/>
    <d v="2021-12-01T00:00:00"/>
    <d v="2021-12-31T00:00:00"/>
    <x v="20"/>
    <x v="8"/>
    <s v="0    "/>
    <s v="3041557323                    "/>
    <n v="30"/>
  </r>
  <r>
    <s v="202601"/>
    <s v="901410258-0         "/>
    <x v="18"/>
    <x v="13"/>
    <s v="FEDC55076   "/>
    <n v="6621973"/>
    <x v="3"/>
    <n v="1513"/>
    <d v="2021-12-07T00:00:00"/>
    <d v="2022-01-06T00:00:00"/>
    <x v="14"/>
    <x v="4"/>
    <s v="0    "/>
    <s v="                              "/>
    <n v="30"/>
  </r>
  <r>
    <s v="202601"/>
    <s v="901410258-0         "/>
    <x v="18"/>
    <x v="13"/>
    <s v="FEDC55077   "/>
    <n v="2125948"/>
    <x v="3"/>
    <n v="1513"/>
    <d v="2021-12-07T00:00:00"/>
    <d v="2022-01-06T00:00:00"/>
    <x v="14"/>
    <x v="4"/>
    <s v="0    "/>
    <s v="                              "/>
    <n v="30"/>
  </r>
  <r>
    <s v="202601"/>
    <s v="901410258-0         "/>
    <x v="18"/>
    <x v="13"/>
    <s v="FEDC55078   "/>
    <n v="2650157"/>
    <x v="3"/>
    <n v="1513"/>
    <d v="2021-12-07T00:00:00"/>
    <d v="2022-01-06T00:00:00"/>
    <x v="14"/>
    <x v="4"/>
    <s v="0    "/>
    <s v="                              "/>
    <n v="30"/>
  </r>
  <r>
    <s v="202601"/>
    <s v="901410258-0         "/>
    <x v="18"/>
    <x v="13"/>
    <s v="FEDC55079   "/>
    <n v="1748844"/>
    <x v="3"/>
    <n v="1513"/>
    <d v="2021-12-07T00:00:00"/>
    <d v="2022-01-06T00:00:00"/>
    <x v="14"/>
    <x v="4"/>
    <s v="0    "/>
    <s v="                              "/>
    <n v="30"/>
  </r>
  <r>
    <s v="202601"/>
    <s v="901410258-0         "/>
    <x v="18"/>
    <x v="13"/>
    <s v="FEDC55147   "/>
    <n v="857646"/>
    <x v="3"/>
    <n v="1513"/>
    <d v="2021-12-07T00:00:00"/>
    <d v="2022-01-06T00:00:00"/>
    <x v="14"/>
    <x v="5"/>
    <s v="0    "/>
    <s v="                              "/>
    <n v="30"/>
  </r>
  <r>
    <s v="202601"/>
    <s v="901410258-0         "/>
    <x v="18"/>
    <x v="13"/>
    <s v="FEDC55628   "/>
    <n v="5710747"/>
    <x v="3"/>
    <n v="1506"/>
    <d v="2021-12-14T00:00:00"/>
    <d v="2022-01-13T00:00:00"/>
    <x v="11"/>
    <x v="4"/>
    <s v="0    "/>
    <s v="                              "/>
    <n v="30"/>
  </r>
  <r>
    <s v="202601"/>
    <s v="901410258-0         "/>
    <x v="18"/>
    <x v="13"/>
    <s v="FEDC55619   "/>
    <n v="2104831"/>
    <x v="3"/>
    <n v="1506"/>
    <d v="2021-12-14T00:00:00"/>
    <d v="2022-01-13T00:00:00"/>
    <x v="12"/>
    <x v="4"/>
    <s v="0    "/>
    <s v="                              "/>
    <n v="30"/>
  </r>
  <r>
    <s v="202601"/>
    <s v="70695782            "/>
    <x v="22"/>
    <x v="16"/>
    <s v="FEDC55656   "/>
    <n v="3883533"/>
    <x v="3"/>
    <n v="1506"/>
    <d v="2021-12-14T00:00:00"/>
    <d v="2022-01-13T00:00:00"/>
    <x v="20"/>
    <x v="8"/>
    <s v="0    "/>
    <s v="3041557323                    "/>
    <n v="30"/>
  </r>
  <r>
    <s v="202601"/>
    <s v="901410258-0         "/>
    <x v="18"/>
    <x v="13"/>
    <s v="FEDC55740   "/>
    <n v="67159734"/>
    <x v="3"/>
    <n v="1504"/>
    <d v="2021-12-16T00:00:00"/>
    <d v="2022-01-15T00:00:00"/>
    <x v="18"/>
    <x v="4"/>
    <s v="0    "/>
    <s v="                              "/>
    <n v="30"/>
  </r>
  <r>
    <s v="202601"/>
    <s v="901410258-0         "/>
    <x v="18"/>
    <x v="13"/>
    <s v="FEDC55741   "/>
    <n v="9851764"/>
    <x v="3"/>
    <n v="1504"/>
    <d v="2021-12-16T00:00:00"/>
    <d v="2022-01-15T00:00:00"/>
    <x v="18"/>
    <x v="4"/>
    <s v="0    "/>
    <s v="                              "/>
    <n v="30"/>
  </r>
  <r>
    <s v="202601"/>
    <s v="901410258-0         "/>
    <x v="18"/>
    <x v="13"/>
    <s v="FEDC55748   "/>
    <n v="6670394"/>
    <x v="3"/>
    <n v="1504"/>
    <d v="2021-12-16T00:00:00"/>
    <d v="2022-01-15T00:00:00"/>
    <x v="13"/>
    <x v="4"/>
    <s v="0    "/>
    <s v="                              "/>
    <n v="30"/>
  </r>
  <r>
    <s v="202601"/>
    <s v="901410258-0         "/>
    <x v="18"/>
    <x v="13"/>
    <s v="FEDC55794   "/>
    <n v="5115086"/>
    <x v="3"/>
    <n v="1503"/>
    <d v="2021-12-17T00:00:00"/>
    <d v="2022-01-16T00:00:00"/>
    <x v="18"/>
    <x v="4"/>
    <s v="0    "/>
    <s v="                              "/>
    <n v="30"/>
  </r>
  <r>
    <s v="202601"/>
    <s v="901410258-0         "/>
    <x v="18"/>
    <x v="13"/>
    <s v="FEDC55779   "/>
    <n v="6120000"/>
    <x v="3"/>
    <n v="1503"/>
    <d v="2021-12-17T00:00:00"/>
    <d v="2022-01-16T00:00:00"/>
    <x v="13"/>
    <x v="4"/>
    <s v="0    "/>
    <s v="                              "/>
    <n v="30"/>
  </r>
  <r>
    <s v="202601"/>
    <s v="901410258-0         "/>
    <x v="18"/>
    <x v="13"/>
    <s v="FEDC56058   "/>
    <n v="6381510"/>
    <x v="3"/>
    <n v="1499"/>
    <d v="2021-12-21T00:00:00"/>
    <d v="2022-01-20T00:00:00"/>
    <x v="14"/>
    <x v="4"/>
    <s v="0    "/>
    <s v="                              "/>
    <n v="30"/>
  </r>
  <r>
    <s v="202601"/>
    <s v="901410258-0         "/>
    <x v="18"/>
    <x v="13"/>
    <s v="FEDC56059   "/>
    <n v="1898999"/>
    <x v="3"/>
    <n v="1499"/>
    <d v="2021-12-21T00:00:00"/>
    <d v="2022-01-20T00:00:00"/>
    <x v="14"/>
    <x v="4"/>
    <s v="0    "/>
    <s v="                              "/>
    <n v="30"/>
  </r>
  <r>
    <s v="202601"/>
    <s v="901410258-0         "/>
    <x v="18"/>
    <x v="13"/>
    <s v="FEDC56060   "/>
    <n v="3543950"/>
    <x v="3"/>
    <n v="1499"/>
    <d v="2021-12-21T00:00:00"/>
    <d v="2022-01-20T00:00:00"/>
    <x v="14"/>
    <x v="4"/>
    <s v="0    "/>
    <s v="                              "/>
    <n v="30"/>
  </r>
  <r>
    <s v="202601"/>
    <s v="901410258-0         "/>
    <x v="18"/>
    <x v="13"/>
    <s v="FEDC56061   "/>
    <n v="1409280"/>
    <x v="3"/>
    <n v="1499"/>
    <d v="2021-12-21T00:00:00"/>
    <d v="2022-01-20T00:00:00"/>
    <x v="14"/>
    <x v="4"/>
    <s v="0    "/>
    <s v="                              "/>
    <n v="30"/>
  </r>
  <r>
    <s v="202601"/>
    <s v="70695782            "/>
    <x v="22"/>
    <x v="16"/>
    <s v="FEDC56421   "/>
    <n v="2971203"/>
    <x v="3"/>
    <n v="1493"/>
    <d v="2021-12-27T00:00:00"/>
    <d v="2022-01-26T00:00:00"/>
    <x v="20"/>
    <x v="8"/>
    <s v="0    "/>
    <s v="3041557323                    "/>
    <n v="30"/>
  </r>
  <r>
    <s v="202601"/>
    <s v="901410258-0         "/>
    <x v="18"/>
    <x v="13"/>
    <s v="FEDC56470   "/>
    <n v="8058183"/>
    <x v="3"/>
    <n v="1492"/>
    <d v="2021-12-28T00:00:00"/>
    <d v="2022-01-27T00:00:00"/>
    <x v="11"/>
    <x v="4"/>
    <s v="0    "/>
    <s v="                              "/>
    <n v="30"/>
  </r>
  <r>
    <s v="202601"/>
    <s v="901410258-0         "/>
    <x v="18"/>
    <x v="13"/>
    <s v="FEDC56465   "/>
    <n v="3276036"/>
    <x v="5"/>
    <n v="1492"/>
    <d v="2021-12-28T00:00:00"/>
    <d v="2021-12-29T00:00:00"/>
    <x v="12"/>
    <x v="4"/>
    <s v="0    "/>
    <s v="                              "/>
    <n v="30"/>
  </r>
  <r>
    <s v="202601"/>
    <s v="901410258-0         "/>
    <x v="18"/>
    <x v="13"/>
    <s v="FEDC56615   "/>
    <n v="25064457"/>
    <x v="3"/>
    <n v="1486"/>
    <d v="2022-01-03T00:00:00"/>
    <d v="2022-02-02T00:00:00"/>
    <x v="18"/>
    <x v="4"/>
    <s v="0    "/>
    <s v="                              "/>
    <n v="30"/>
  </r>
  <r>
    <s v="202601"/>
    <s v="901410258-0         "/>
    <x v="18"/>
    <x v="13"/>
    <s v="FEDC56625   "/>
    <n v="1400722"/>
    <x v="3"/>
    <n v="1486"/>
    <d v="2022-01-03T00:00:00"/>
    <d v="2022-02-02T00:00:00"/>
    <x v="12"/>
    <x v="4"/>
    <s v="0    "/>
    <s v="                              "/>
    <n v="30"/>
  </r>
  <r>
    <s v="202601"/>
    <s v="901410258-0         "/>
    <x v="18"/>
    <x v="13"/>
    <s v="FEDC56886   "/>
    <n v="5817172"/>
    <x v="3"/>
    <n v="1483"/>
    <d v="2022-01-06T00:00:00"/>
    <d v="2022-02-05T00:00:00"/>
    <x v="14"/>
    <x v="4"/>
    <s v="0    "/>
    <s v="                              "/>
    <n v="30"/>
  </r>
  <r>
    <s v="202601"/>
    <s v="901410258-0         "/>
    <x v="18"/>
    <x v="13"/>
    <s v="FEDC56887   "/>
    <n v="1220540"/>
    <x v="3"/>
    <n v="1483"/>
    <d v="2022-01-06T00:00:00"/>
    <d v="2022-02-05T00:00:00"/>
    <x v="14"/>
    <x v="4"/>
    <s v="0    "/>
    <s v="                              "/>
    <n v="30"/>
  </r>
  <r>
    <s v="202601"/>
    <s v="901410258-0         "/>
    <x v="18"/>
    <x v="13"/>
    <s v="FEDC56888   "/>
    <n v="970120"/>
    <x v="3"/>
    <n v="1483"/>
    <d v="2022-01-06T00:00:00"/>
    <d v="2022-02-05T00:00:00"/>
    <x v="14"/>
    <x v="4"/>
    <s v="0    "/>
    <s v="                              "/>
    <n v="30"/>
  </r>
  <r>
    <s v="202601"/>
    <s v="901410258-0         "/>
    <x v="18"/>
    <x v="13"/>
    <s v="FEDC56963   "/>
    <n v="1832930"/>
    <x v="5"/>
    <n v="1482"/>
    <d v="2022-01-07T00:00:00"/>
    <d v="2022-01-08T00:00:00"/>
    <x v="14"/>
    <x v="4"/>
    <s v="0    "/>
    <s v="                              "/>
    <n v="30"/>
  </r>
  <r>
    <s v="202601"/>
    <s v="901410258-0         "/>
    <x v="18"/>
    <x v="13"/>
    <s v="FECT674     "/>
    <n v="1955099"/>
    <x v="3"/>
    <n v="1477"/>
    <d v="2022-01-12T00:00:00"/>
    <d v="2022-02-11T00:00:00"/>
    <x v="18"/>
    <x v="4"/>
    <s v="0    "/>
    <s v="                              "/>
    <n v="30"/>
  </r>
  <r>
    <s v="202601"/>
    <s v="901410258-0         "/>
    <x v="18"/>
    <x v="13"/>
    <s v="FECT675     "/>
    <n v="3944067"/>
    <x v="3"/>
    <n v="1477"/>
    <d v="2022-01-12T00:00:00"/>
    <d v="2022-02-11T00:00:00"/>
    <x v="18"/>
    <x v="4"/>
    <s v="0    "/>
    <s v="                              "/>
    <n v="30"/>
  </r>
  <r>
    <s v="202601"/>
    <s v="901410258-0         "/>
    <x v="18"/>
    <x v="13"/>
    <s v="FECT704     "/>
    <n v="3980167"/>
    <x v="3"/>
    <n v="1477"/>
    <d v="2022-01-12T00:00:00"/>
    <d v="2022-02-11T00:00:00"/>
    <x v="11"/>
    <x v="4"/>
    <s v="0    "/>
    <s v="                              "/>
    <n v="30"/>
  </r>
  <r>
    <s v="202601"/>
    <s v="901410258-0         "/>
    <x v="18"/>
    <x v="13"/>
    <s v="FECT729     "/>
    <n v="1076569"/>
    <x v="3"/>
    <n v="1476"/>
    <d v="2022-01-13T00:00:00"/>
    <d v="2022-02-12T00:00:00"/>
    <x v="18"/>
    <x v="4"/>
    <s v="0    "/>
    <s v="                              "/>
    <n v="30"/>
  </r>
  <r>
    <s v="202601"/>
    <s v="901410258-0         "/>
    <x v="18"/>
    <x v="13"/>
    <s v="FECT730     "/>
    <n v="21473908"/>
    <x v="3"/>
    <n v="1476"/>
    <d v="2022-01-13T00:00:00"/>
    <d v="2022-02-12T00:00:00"/>
    <x v="18"/>
    <x v="4"/>
    <s v="0    "/>
    <s v="                              "/>
    <n v="30"/>
  </r>
  <r>
    <s v="202601"/>
    <s v="901410258-0         "/>
    <x v="18"/>
    <x v="13"/>
    <s v="FEDC57265   "/>
    <n v="349022"/>
    <x v="3"/>
    <n v="1476"/>
    <d v="2022-01-13T00:00:00"/>
    <d v="2022-02-12T00:00:00"/>
    <x v="16"/>
    <x v="5"/>
    <s v="0    "/>
    <s v="                              "/>
    <n v="30"/>
  </r>
  <r>
    <s v="202601"/>
    <s v="901410258-0         "/>
    <x v="18"/>
    <x v="13"/>
    <s v="FEDC57352   "/>
    <n v="7963174"/>
    <x v="3"/>
    <n v="1475"/>
    <d v="2022-01-14T00:00:00"/>
    <d v="2022-02-13T00:00:00"/>
    <x v="18"/>
    <x v="5"/>
    <s v="0    "/>
    <s v="                              "/>
    <n v="30"/>
  </r>
  <r>
    <s v="202601"/>
    <s v="901410258-0         "/>
    <x v="18"/>
    <x v="13"/>
    <s v="FEDC57353   "/>
    <n v="3783586"/>
    <x v="3"/>
    <n v="1475"/>
    <d v="2022-01-14T00:00:00"/>
    <d v="2022-02-13T00:00:00"/>
    <x v="18"/>
    <x v="5"/>
    <s v="0    "/>
    <s v="                              "/>
    <n v="30"/>
  </r>
  <r>
    <s v="202601"/>
    <s v="901410258-0         "/>
    <x v="18"/>
    <x v="13"/>
    <s v="FEDC57335   "/>
    <n v="7763970"/>
    <x v="3"/>
    <n v="1475"/>
    <d v="2022-01-14T00:00:00"/>
    <d v="2022-02-13T00:00:00"/>
    <x v="13"/>
    <x v="4"/>
    <s v="0    "/>
    <s v="                              "/>
    <n v="30"/>
  </r>
  <r>
    <s v="202601"/>
    <s v="901410258-0         "/>
    <x v="18"/>
    <x v="13"/>
    <s v="FEDC57484   "/>
    <n v="1264315"/>
    <x v="3"/>
    <n v="1472"/>
    <d v="2022-01-17T00:00:00"/>
    <d v="2022-02-16T00:00:00"/>
    <x v="18"/>
    <x v="4"/>
    <s v="0    "/>
    <s v="                              "/>
    <n v="30"/>
  </r>
  <r>
    <s v="202601"/>
    <s v="901410258-0         "/>
    <x v="18"/>
    <x v="13"/>
    <s v="FEDC57687   "/>
    <n v="3807939"/>
    <x v="3"/>
    <n v="1470"/>
    <d v="2022-01-19T00:00:00"/>
    <d v="2022-02-18T00:00:00"/>
    <x v="14"/>
    <x v="4"/>
    <s v="0    "/>
    <s v="                              "/>
    <n v="30"/>
  </r>
  <r>
    <s v="202601"/>
    <s v="901410258-0         "/>
    <x v="18"/>
    <x v="13"/>
    <s v="FEDC57688   "/>
    <n v="7020761"/>
    <x v="3"/>
    <n v="1470"/>
    <d v="2022-01-19T00:00:00"/>
    <d v="2022-02-18T00:00:00"/>
    <x v="14"/>
    <x v="4"/>
    <s v="0    "/>
    <s v="                              "/>
    <n v="30"/>
  </r>
  <r>
    <s v="202601"/>
    <s v="901410258-0         "/>
    <x v="18"/>
    <x v="13"/>
    <s v="FEDC57689   "/>
    <n v="3317678"/>
    <x v="3"/>
    <n v="1470"/>
    <d v="2022-01-19T00:00:00"/>
    <d v="2022-02-18T00:00:00"/>
    <x v="14"/>
    <x v="4"/>
    <s v="0    "/>
    <s v="                              "/>
    <n v="30"/>
  </r>
  <r>
    <s v="202601"/>
    <s v="901410258-0         "/>
    <x v="18"/>
    <x v="13"/>
    <s v="FEDC57690   "/>
    <n v="197444"/>
    <x v="3"/>
    <n v="1470"/>
    <d v="2022-01-19T00:00:00"/>
    <d v="2022-02-18T00:00:00"/>
    <x v="14"/>
    <x v="4"/>
    <s v="0    "/>
    <s v="                              "/>
    <n v="30"/>
  </r>
  <r>
    <s v="202601"/>
    <s v="901410258-0         "/>
    <x v="18"/>
    <x v="13"/>
    <s v="FEDC57851   "/>
    <n v="250943"/>
    <x v="3"/>
    <n v="1468"/>
    <d v="2022-01-21T00:00:00"/>
    <d v="2022-02-20T00:00:00"/>
    <x v="14"/>
    <x v="4"/>
    <s v="0    "/>
    <s v="                              "/>
    <n v="30"/>
  </r>
  <r>
    <s v="202601"/>
    <s v="901410258-0         "/>
    <x v="18"/>
    <x v="13"/>
    <s v="FEDC57939   "/>
    <n v="1081297"/>
    <x v="3"/>
    <n v="1468"/>
    <d v="2022-01-21T00:00:00"/>
    <d v="2022-02-20T00:00:00"/>
    <x v="14"/>
    <x v="5"/>
    <s v="0    "/>
    <s v="                              "/>
    <n v="30"/>
  </r>
  <r>
    <s v="202601"/>
    <s v="901410258-0         "/>
    <x v="18"/>
    <x v="13"/>
    <s v="FEDC57940   "/>
    <n v="2621394"/>
    <x v="3"/>
    <n v="1468"/>
    <d v="2022-01-21T00:00:00"/>
    <d v="2022-02-20T00:00:00"/>
    <x v="14"/>
    <x v="5"/>
    <s v="0    "/>
    <s v="                              "/>
    <n v="30"/>
  </r>
  <r>
    <s v="202601"/>
    <s v="901410258-0         "/>
    <x v="18"/>
    <x v="13"/>
    <s v="FEDC58180   "/>
    <n v="1305795"/>
    <x v="5"/>
    <n v="1464"/>
    <d v="2022-01-25T00:00:00"/>
    <d v="2022-01-26T00:00:00"/>
    <x v="15"/>
    <x v="7"/>
    <s v="0    "/>
    <s v="                              "/>
    <n v="30"/>
  </r>
  <r>
    <s v="202601"/>
    <s v="901410258-0         "/>
    <x v="18"/>
    <x v="13"/>
    <s v="FEDC58181   "/>
    <n v="1212486"/>
    <x v="5"/>
    <n v="1464"/>
    <d v="2022-01-25T00:00:00"/>
    <d v="2022-01-26T00:00:00"/>
    <x v="15"/>
    <x v="7"/>
    <s v="0    "/>
    <s v="                              "/>
    <n v="30"/>
  </r>
  <r>
    <s v="202601"/>
    <s v="901410258-0         "/>
    <x v="18"/>
    <x v="13"/>
    <s v="FEDC58274   "/>
    <n v="22920883"/>
    <x v="3"/>
    <n v="1462"/>
    <d v="2022-01-27T00:00:00"/>
    <d v="2022-02-26T00:00:00"/>
    <x v="18"/>
    <x v="4"/>
    <s v="0    "/>
    <s v="                              "/>
    <n v="30"/>
  </r>
  <r>
    <s v="202601"/>
    <s v="901410258-0         "/>
    <x v="18"/>
    <x v="13"/>
    <s v="FEDC58275   "/>
    <n v="1130093"/>
    <x v="3"/>
    <n v="1462"/>
    <d v="2022-01-27T00:00:00"/>
    <d v="2022-02-26T00:00:00"/>
    <x v="18"/>
    <x v="4"/>
    <s v="0    "/>
    <s v="                              "/>
    <n v="30"/>
  </r>
  <r>
    <s v="202601"/>
    <s v="901410258-0         "/>
    <x v="18"/>
    <x v="13"/>
    <s v="FEDC58358   "/>
    <n v="1848632"/>
    <x v="3"/>
    <n v="1462"/>
    <d v="2022-01-27T00:00:00"/>
    <d v="2022-02-26T00:00:00"/>
    <x v="13"/>
    <x v="4"/>
    <s v="0    "/>
    <s v="                              "/>
    <n v="30"/>
  </r>
  <r>
    <s v="202601"/>
    <s v="901410258-0         "/>
    <x v="18"/>
    <x v="13"/>
    <s v="FEDC58734   "/>
    <n v="1135241"/>
    <x v="3"/>
    <n v="1456"/>
    <d v="2022-02-02T00:00:00"/>
    <d v="2022-03-04T00:00:00"/>
    <x v="14"/>
    <x v="4"/>
    <s v="0    "/>
    <s v="                              "/>
    <n v="30"/>
  </r>
  <r>
    <s v="202601"/>
    <s v="901410258-0         "/>
    <x v="18"/>
    <x v="13"/>
    <s v="FEDC58735   "/>
    <n v="5664283"/>
    <x v="3"/>
    <n v="1456"/>
    <d v="2022-02-02T00:00:00"/>
    <d v="2022-03-04T00:00:00"/>
    <x v="14"/>
    <x v="4"/>
    <s v="0    "/>
    <s v="                              "/>
    <n v="30"/>
  </r>
  <r>
    <s v="202601"/>
    <s v="901410258-0         "/>
    <x v="18"/>
    <x v="13"/>
    <s v="FEDC58736   "/>
    <n v="1057036"/>
    <x v="3"/>
    <n v="1456"/>
    <d v="2022-02-02T00:00:00"/>
    <d v="2022-03-04T00:00:00"/>
    <x v="14"/>
    <x v="4"/>
    <s v="0    "/>
    <s v="                              "/>
    <n v="30"/>
  </r>
  <r>
    <s v="202601"/>
    <s v="901410258-0         "/>
    <x v="18"/>
    <x v="13"/>
    <s v="FEDC59084   "/>
    <n v="13770787"/>
    <x v="3"/>
    <n v="1450"/>
    <d v="2022-02-08T00:00:00"/>
    <d v="2022-03-10T00:00:00"/>
    <x v="18"/>
    <x v="4"/>
    <s v="0    "/>
    <s v="                              "/>
    <n v="30"/>
  </r>
  <r>
    <s v="202601"/>
    <s v="901410258-0         "/>
    <x v="18"/>
    <x v="13"/>
    <s v="FEDC59085   "/>
    <n v="732386"/>
    <x v="3"/>
    <n v="1450"/>
    <d v="2022-02-08T00:00:00"/>
    <d v="2022-03-10T00:00:00"/>
    <x v="18"/>
    <x v="4"/>
    <s v="0    "/>
    <s v="                              "/>
    <n v="30"/>
  </r>
  <r>
    <s v="202601"/>
    <s v="901410258-0         "/>
    <x v="18"/>
    <x v="13"/>
    <s v="FEDC59097   "/>
    <n v="261600"/>
    <x v="3"/>
    <n v="1450"/>
    <d v="2022-02-08T00:00:00"/>
    <d v="2022-03-10T00:00:00"/>
    <x v="18"/>
    <x v="4"/>
    <s v="0    "/>
    <s v="                              "/>
    <n v="30"/>
  </r>
  <r>
    <s v="202601"/>
    <s v="901410258-0         "/>
    <x v="18"/>
    <x v="13"/>
    <s v="FEDC59120   "/>
    <n v="5999945"/>
    <x v="3"/>
    <n v="1450"/>
    <d v="2022-02-08T00:00:00"/>
    <d v="2022-03-10T00:00:00"/>
    <x v="11"/>
    <x v="4"/>
    <s v="0    "/>
    <s v="                              "/>
    <n v="30"/>
  </r>
  <r>
    <s v="202601"/>
    <s v="901410258-0         "/>
    <x v="18"/>
    <x v="13"/>
    <s v="FEDC59109   "/>
    <n v="5934257"/>
    <x v="3"/>
    <n v="1450"/>
    <d v="2022-02-08T00:00:00"/>
    <d v="2022-03-10T00:00:00"/>
    <x v="12"/>
    <x v="4"/>
    <s v="0    "/>
    <s v="                              "/>
    <n v="30"/>
  </r>
  <r>
    <s v="202601"/>
    <s v="901410258-0         "/>
    <x v="18"/>
    <x v="13"/>
    <s v="FEDC59110   "/>
    <n v="2068238"/>
    <x v="3"/>
    <n v="1450"/>
    <d v="2022-02-08T00:00:00"/>
    <d v="2022-03-10T00:00:00"/>
    <x v="12"/>
    <x v="4"/>
    <s v="0    "/>
    <s v="                              "/>
    <n v="30"/>
  </r>
  <r>
    <s v="202601"/>
    <s v="901410258-0         "/>
    <x v="18"/>
    <x v="13"/>
    <s v="FEDC59234   "/>
    <n v="2569329"/>
    <x v="3"/>
    <n v="1449"/>
    <d v="2022-02-09T00:00:00"/>
    <d v="2022-03-11T00:00:00"/>
    <x v="13"/>
    <x v="4"/>
    <s v="0    "/>
    <s v="                              "/>
    <n v="30"/>
  </r>
  <r>
    <s v="202601"/>
    <s v="901410258-0         "/>
    <x v="18"/>
    <x v="13"/>
    <s v="FEDC59396   "/>
    <n v="11631263"/>
    <x v="3"/>
    <n v="1446"/>
    <d v="2022-02-12T00:00:00"/>
    <d v="2022-03-14T00:00:00"/>
    <x v="18"/>
    <x v="4"/>
    <s v="0    "/>
    <s v="                              "/>
    <n v="30"/>
  </r>
  <r>
    <s v="202601"/>
    <s v="901410258-0         "/>
    <x v="18"/>
    <x v="13"/>
    <s v="FEDC59586   "/>
    <n v="720125"/>
    <x v="3"/>
    <n v="1443"/>
    <d v="2022-02-15T00:00:00"/>
    <d v="2022-03-17T00:00:00"/>
    <x v="18"/>
    <x v="4"/>
    <s v="0    "/>
    <s v="                              "/>
    <n v="30"/>
  </r>
  <r>
    <s v="202601"/>
    <s v="901410258-0         "/>
    <x v="18"/>
    <x v="13"/>
    <s v="FEDC59571   "/>
    <n v="3244844"/>
    <x v="3"/>
    <n v="1443"/>
    <d v="2022-02-15T00:00:00"/>
    <d v="2022-03-17T00:00:00"/>
    <x v="14"/>
    <x v="4"/>
    <s v="0    "/>
    <s v="                              "/>
    <n v="30"/>
  </r>
  <r>
    <s v="202601"/>
    <s v="901410258-0         "/>
    <x v="18"/>
    <x v="13"/>
    <s v="FEDC59572   "/>
    <n v="4081023"/>
    <x v="3"/>
    <n v="1443"/>
    <d v="2022-02-15T00:00:00"/>
    <d v="2022-03-17T00:00:00"/>
    <x v="14"/>
    <x v="4"/>
    <s v="0    "/>
    <s v="                              "/>
    <n v="30"/>
  </r>
  <r>
    <s v="202601"/>
    <s v="901410258-0         "/>
    <x v="18"/>
    <x v="13"/>
    <s v="FEDC59573   "/>
    <n v="4742881"/>
    <x v="3"/>
    <n v="1443"/>
    <d v="2022-02-15T00:00:00"/>
    <d v="2022-03-17T00:00:00"/>
    <x v="14"/>
    <x v="4"/>
    <s v="0    "/>
    <s v="                              "/>
    <n v="30"/>
  </r>
  <r>
    <s v="202601"/>
    <s v="901410258-0         "/>
    <x v="18"/>
    <x v="13"/>
    <s v="FEDC59574   "/>
    <n v="2622431"/>
    <x v="3"/>
    <n v="1443"/>
    <d v="2022-02-15T00:00:00"/>
    <d v="2022-03-17T00:00:00"/>
    <x v="14"/>
    <x v="4"/>
    <s v="0    "/>
    <s v="                              "/>
    <n v="30"/>
  </r>
  <r>
    <s v="202601"/>
    <s v="901410258-0         "/>
    <x v="18"/>
    <x v="13"/>
    <s v="FEDC59742   "/>
    <n v="1871514"/>
    <x v="3"/>
    <n v="1441"/>
    <d v="2022-02-17T00:00:00"/>
    <d v="2022-03-19T00:00:00"/>
    <x v="14"/>
    <x v="5"/>
    <s v="0    "/>
    <s v="                              "/>
    <n v="30"/>
  </r>
  <r>
    <s v="202601"/>
    <s v="901410258-0         "/>
    <x v="18"/>
    <x v="13"/>
    <s v="FEDC59972   "/>
    <n v="3714000"/>
    <x v="3"/>
    <n v="1437"/>
    <d v="2022-02-21T00:00:00"/>
    <d v="2022-03-23T00:00:00"/>
    <x v="14"/>
    <x v="4"/>
    <s v="0    "/>
    <s v="                              "/>
    <n v="30"/>
  </r>
  <r>
    <s v="202601"/>
    <s v="901410258-0         "/>
    <x v="18"/>
    <x v="13"/>
    <s v="FEDC60110   "/>
    <n v="5200000"/>
    <x v="3"/>
    <n v="1435"/>
    <d v="2022-02-23T00:00:00"/>
    <d v="2022-03-25T00:00:00"/>
    <x v="11"/>
    <x v="4"/>
    <s v="0    "/>
    <s v="                              "/>
    <n v="30"/>
  </r>
  <r>
    <s v="202601"/>
    <s v="901410258-0         "/>
    <x v="18"/>
    <x v="13"/>
    <s v="FEDC60136   "/>
    <n v="1093620"/>
    <x v="3"/>
    <n v="1435"/>
    <d v="2022-02-23T00:00:00"/>
    <d v="2022-03-25T00:00:00"/>
    <x v="11"/>
    <x v="4"/>
    <s v="0    "/>
    <s v="                              "/>
    <n v="30"/>
  </r>
  <r>
    <s v="202601"/>
    <s v="901410258-0         "/>
    <x v="18"/>
    <x v="13"/>
    <s v="FEDC60111   "/>
    <n v="6605000"/>
    <x v="3"/>
    <n v="1435"/>
    <d v="2022-02-23T00:00:00"/>
    <d v="2022-03-25T00:00:00"/>
    <x v="12"/>
    <x v="4"/>
    <s v="0    "/>
    <s v="                              "/>
    <n v="30"/>
  </r>
  <r>
    <s v="202601"/>
    <s v="901410258-0         "/>
    <x v="18"/>
    <x v="13"/>
    <s v="FEDC60124   "/>
    <n v="2459211"/>
    <x v="3"/>
    <n v="1435"/>
    <d v="2022-02-23T00:00:00"/>
    <d v="2022-03-25T00:00:00"/>
    <x v="12"/>
    <x v="4"/>
    <s v="0    "/>
    <s v="                              "/>
    <n v="30"/>
  </r>
  <r>
    <s v="202601"/>
    <s v="901410258-0         "/>
    <x v="18"/>
    <x v="13"/>
    <s v="FEDC60125   "/>
    <n v="723478"/>
    <x v="3"/>
    <n v="1435"/>
    <d v="2022-02-23T00:00:00"/>
    <d v="2022-03-25T00:00:00"/>
    <x v="12"/>
    <x v="4"/>
    <s v="0    "/>
    <s v="                              "/>
    <n v="30"/>
  </r>
  <r>
    <s v="202601"/>
    <s v="901410258-0         "/>
    <x v="18"/>
    <x v="13"/>
    <s v="FEDC60223   "/>
    <n v="12620000"/>
    <x v="3"/>
    <n v="1434"/>
    <d v="2022-02-24T00:00:00"/>
    <d v="2022-03-26T00:00:00"/>
    <x v="13"/>
    <x v="4"/>
    <s v="0    "/>
    <s v="                              "/>
    <n v="30"/>
  </r>
  <r>
    <s v="202601"/>
    <s v="901410258-0         "/>
    <x v="18"/>
    <x v="13"/>
    <s v="FEDC60280   "/>
    <n v="26869061"/>
    <x v="3"/>
    <n v="1433"/>
    <d v="2022-02-25T00:00:00"/>
    <d v="2022-03-27T00:00:00"/>
    <x v="18"/>
    <x v="4"/>
    <s v="0    "/>
    <s v="                              "/>
    <n v="30"/>
  </r>
  <r>
    <s v="202601"/>
    <s v="901410258-0         "/>
    <x v="18"/>
    <x v="13"/>
    <s v="FEDC60228   "/>
    <n v="2980000"/>
    <x v="3"/>
    <n v="1433"/>
    <d v="2022-02-25T00:00:00"/>
    <d v="2022-03-27T00:00:00"/>
    <x v="10"/>
    <x v="4"/>
    <s v="0    "/>
    <s v="                              "/>
    <n v="30"/>
  </r>
  <r>
    <s v="202601"/>
    <s v="901410258-0         "/>
    <x v="18"/>
    <x v="13"/>
    <s v="FEDC60247   "/>
    <n v="2557729"/>
    <x v="3"/>
    <n v="1433"/>
    <d v="2022-02-25T00:00:00"/>
    <d v="2022-03-27T00:00:00"/>
    <x v="13"/>
    <x v="4"/>
    <s v="0    "/>
    <s v="                              "/>
    <n v="30"/>
  </r>
  <r>
    <s v="202601"/>
    <s v="901410258-0         "/>
    <x v="18"/>
    <x v="13"/>
    <s v="FEDC60413   "/>
    <n v="29539512"/>
    <x v="3"/>
    <n v="1430"/>
    <d v="2022-02-28T00:00:00"/>
    <d v="2022-03-30T00:00:00"/>
    <x v="18"/>
    <x v="4"/>
    <s v="0    "/>
    <s v="                              "/>
    <n v="30"/>
  </r>
  <r>
    <s v="202601"/>
    <s v="901410258-0         "/>
    <x v="18"/>
    <x v="13"/>
    <s v="FEDC60525   "/>
    <n v="10874400"/>
    <x v="3"/>
    <n v="1430"/>
    <d v="2022-02-28T00:00:00"/>
    <d v="2022-03-30T00:00:00"/>
    <x v="14"/>
    <x v="4"/>
    <s v="0    "/>
    <s v="                              "/>
    <n v="30"/>
  </r>
  <r>
    <s v="202601"/>
    <s v="901410258-0         "/>
    <x v="18"/>
    <x v="13"/>
    <s v="FEDC60527   "/>
    <n v="8251680"/>
    <x v="3"/>
    <n v="1430"/>
    <d v="2022-02-28T00:00:00"/>
    <d v="2022-03-30T00:00:00"/>
    <x v="14"/>
    <x v="4"/>
    <s v="0    "/>
    <s v="                              "/>
    <n v="30"/>
  </r>
  <r>
    <s v="202601"/>
    <s v="901410258-0         "/>
    <x v="18"/>
    <x v="13"/>
    <s v="FEDC60641   "/>
    <n v="3607612"/>
    <x v="3"/>
    <n v="1428"/>
    <d v="2022-03-02T00:00:00"/>
    <d v="2022-04-01T00:00:00"/>
    <x v="14"/>
    <x v="4"/>
    <s v="0    "/>
    <s v="                              "/>
    <n v="30"/>
  </r>
  <r>
    <s v="202601"/>
    <s v="901410258-0         "/>
    <x v="18"/>
    <x v="13"/>
    <s v="FEDC60642   "/>
    <n v="2065205"/>
    <x v="3"/>
    <n v="1428"/>
    <d v="2022-03-02T00:00:00"/>
    <d v="2022-04-01T00:00:00"/>
    <x v="14"/>
    <x v="4"/>
    <s v="0    "/>
    <s v="                              "/>
    <n v="30"/>
  </r>
  <r>
    <s v="202601"/>
    <s v="901410258-0         "/>
    <x v="18"/>
    <x v="13"/>
    <s v="FEDC60643   "/>
    <n v="5051519"/>
    <x v="3"/>
    <n v="1428"/>
    <d v="2022-03-02T00:00:00"/>
    <d v="2022-04-01T00:00:00"/>
    <x v="14"/>
    <x v="4"/>
    <s v="0    "/>
    <s v="                              "/>
    <n v="30"/>
  </r>
  <r>
    <s v="202601"/>
    <s v="901410258-0         "/>
    <x v="18"/>
    <x v="13"/>
    <s v="FEDC60644   "/>
    <n v="2737904"/>
    <x v="3"/>
    <n v="1428"/>
    <d v="2022-03-02T00:00:00"/>
    <d v="2022-04-01T00:00:00"/>
    <x v="14"/>
    <x v="4"/>
    <s v="0    "/>
    <s v="                              "/>
    <n v="30"/>
  </r>
  <r>
    <s v="202601"/>
    <s v="901410258-0         "/>
    <x v="18"/>
    <x v="13"/>
    <s v="FEDC60860   "/>
    <n v="2688505"/>
    <x v="3"/>
    <n v="1425"/>
    <d v="2022-03-05T00:00:00"/>
    <d v="2022-04-04T00:00:00"/>
    <x v="18"/>
    <x v="4"/>
    <s v="0    "/>
    <s v="                              "/>
    <n v="30"/>
  </r>
  <r>
    <s v="202601"/>
    <s v="901410258-0         "/>
    <x v="18"/>
    <x v="13"/>
    <s v="FEDC60992   "/>
    <n v="3770345"/>
    <x v="3"/>
    <n v="1422"/>
    <d v="2022-03-08T00:00:00"/>
    <d v="2022-04-07T00:00:00"/>
    <x v="12"/>
    <x v="4"/>
    <s v="0    "/>
    <s v="                              "/>
    <n v="30"/>
  </r>
  <r>
    <s v="202601"/>
    <s v="901410258-0         "/>
    <x v="18"/>
    <x v="13"/>
    <s v="FEDC60993   "/>
    <n v="29950"/>
    <x v="3"/>
    <n v="1422"/>
    <d v="2022-03-08T00:00:00"/>
    <d v="2022-04-07T00:00:00"/>
    <x v="12"/>
    <x v="4"/>
    <s v="0    "/>
    <s v="                              "/>
    <n v="30"/>
  </r>
  <r>
    <s v="202601"/>
    <s v="901410258-0         "/>
    <x v="18"/>
    <x v="13"/>
    <s v="FEDC61072   "/>
    <n v="4239891"/>
    <x v="3"/>
    <n v="1421"/>
    <d v="2022-03-09T00:00:00"/>
    <d v="2022-04-08T00:00:00"/>
    <x v="18"/>
    <x v="4"/>
    <s v="0    "/>
    <s v="                              "/>
    <n v="30"/>
  </r>
  <r>
    <s v="202601"/>
    <s v="901410258-0         "/>
    <x v="18"/>
    <x v="13"/>
    <s v="FEDC61101   "/>
    <n v="10738639"/>
    <x v="3"/>
    <n v="1420"/>
    <d v="2022-03-10T00:00:00"/>
    <d v="2022-04-09T00:00:00"/>
    <x v="13"/>
    <x v="4"/>
    <s v="0    "/>
    <s v="                              "/>
    <n v="30"/>
  </r>
  <r>
    <s v="202601"/>
    <s v="901410258-0         "/>
    <x v="18"/>
    <x v="13"/>
    <s v="FEDC61286   "/>
    <n v="9676128"/>
    <x v="3"/>
    <n v="1418"/>
    <d v="2022-03-12T00:00:00"/>
    <d v="2022-04-11T00:00:00"/>
    <x v="18"/>
    <x v="4"/>
    <s v="0    "/>
    <s v="                              "/>
    <n v="30"/>
  </r>
  <r>
    <s v="202601"/>
    <s v="901410258-0         "/>
    <x v="18"/>
    <x v="13"/>
    <s v="FEDC61488   "/>
    <n v="2635916"/>
    <x v="3"/>
    <n v="1414"/>
    <d v="2022-03-16T00:00:00"/>
    <d v="2022-04-15T00:00:00"/>
    <x v="14"/>
    <x v="4"/>
    <s v="0    "/>
    <s v="                              "/>
    <n v="30"/>
  </r>
  <r>
    <s v="202601"/>
    <s v="901410258-0         "/>
    <x v="18"/>
    <x v="13"/>
    <s v="FEDC61489   "/>
    <n v="3274000"/>
    <x v="3"/>
    <n v="1414"/>
    <d v="2022-03-16T00:00:00"/>
    <d v="2022-04-15T00:00:00"/>
    <x v="14"/>
    <x v="4"/>
    <s v="0    "/>
    <s v="                              "/>
    <n v="30"/>
  </r>
  <r>
    <s v="202601"/>
    <s v="901410258-0         "/>
    <x v="18"/>
    <x v="13"/>
    <s v="FEDC61490   "/>
    <n v="2187838"/>
    <x v="3"/>
    <n v="1414"/>
    <d v="2022-03-16T00:00:00"/>
    <d v="2022-04-15T00:00:00"/>
    <x v="14"/>
    <x v="4"/>
    <s v="0    "/>
    <s v="                              "/>
    <n v="30"/>
  </r>
  <r>
    <s v="202601"/>
    <s v="901410258-0         "/>
    <x v="18"/>
    <x v="13"/>
    <s v="FEDC61491   "/>
    <n v="6821358"/>
    <x v="3"/>
    <n v="1414"/>
    <d v="2022-03-16T00:00:00"/>
    <d v="2022-04-15T00:00:00"/>
    <x v="14"/>
    <x v="4"/>
    <s v="0    "/>
    <s v="                              "/>
    <n v="30"/>
  </r>
  <r>
    <s v="202601"/>
    <s v="901410258-0         "/>
    <x v="18"/>
    <x v="13"/>
    <s v="FEDC61492   "/>
    <n v="3459730"/>
    <x v="3"/>
    <n v="1414"/>
    <d v="2022-03-16T00:00:00"/>
    <d v="2022-04-15T00:00:00"/>
    <x v="14"/>
    <x v="4"/>
    <s v="0    "/>
    <s v="                              "/>
    <n v="30"/>
  </r>
  <r>
    <s v="202601"/>
    <s v="901410258-0         "/>
    <x v="18"/>
    <x v="13"/>
    <s v="FEDC61743   "/>
    <n v="5630709"/>
    <x v="3"/>
    <n v="1412"/>
    <d v="2022-03-18T00:00:00"/>
    <d v="2022-04-17T00:00:00"/>
    <x v="14"/>
    <x v="4"/>
    <s v="0    "/>
    <s v="                              "/>
    <n v="30"/>
  </r>
  <r>
    <s v="202601"/>
    <s v="901410258-0         "/>
    <x v="18"/>
    <x v="13"/>
    <s v="FEDC61999   "/>
    <n v="1582170"/>
    <x v="3"/>
    <n v="1407"/>
    <d v="2022-03-23T00:00:00"/>
    <d v="2022-04-22T00:00:00"/>
    <x v="18"/>
    <x v="4"/>
    <s v="0    "/>
    <s v="                              "/>
    <n v="30"/>
  </r>
  <r>
    <s v="202601"/>
    <s v="901410258-0         "/>
    <x v="18"/>
    <x v="13"/>
    <s v="FEDC62006   "/>
    <n v="328008"/>
    <x v="3"/>
    <n v="1407"/>
    <d v="2022-03-23T00:00:00"/>
    <d v="2022-04-22T00:00:00"/>
    <x v="11"/>
    <x v="4"/>
    <s v="0    "/>
    <s v="                              "/>
    <n v="30"/>
  </r>
  <r>
    <s v="202601"/>
    <s v="901410258-0         "/>
    <x v="18"/>
    <x v="13"/>
    <s v="FEDC61998   "/>
    <n v="835000"/>
    <x v="3"/>
    <n v="1407"/>
    <d v="2022-03-23T00:00:00"/>
    <d v="2022-04-22T00:00:00"/>
    <x v="12"/>
    <x v="4"/>
    <s v="0    "/>
    <s v="                              "/>
    <n v="30"/>
  </r>
  <r>
    <s v="202601"/>
    <s v="901410258-0         "/>
    <x v="18"/>
    <x v="13"/>
    <s v="FEDC62069   "/>
    <n v="1244997"/>
    <x v="3"/>
    <n v="1406"/>
    <d v="2022-03-24T00:00:00"/>
    <d v="2022-04-23T00:00:00"/>
    <x v="18"/>
    <x v="4"/>
    <s v="0    "/>
    <s v="                              "/>
    <n v="30"/>
  </r>
  <r>
    <s v="202601"/>
    <s v="901410258-0         "/>
    <x v="18"/>
    <x v="13"/>
    <s v="FEDC62086   "/>
    <n v="3986995"/>
    <x v="3"/>
    <n v="1406"/>
    <d v="2022-03-24T00:00:00"/>
    <d v="2022-04-23T00:00:00"/>
    <x v="13"/>
    <x v="4"/>
    <s v="0    "/>
    <s v="                              "/>
    <n v="30"/>
  </r>
  <r>
    <s v="202601"/>
    <s v="901410258-0         "/>
    <x v="18"/>
    <x v="13"/>
    <s v="FEDC62192   "/>
    <n v="8827204"/>
    <x v="3"/>
    <n v="1404"/>
    <d v="2022-03-26T00:00:00"/>
    <d v="2022-04-25T00:00:00"/>
    <x v="18"/>
    <x v="4"/>
    <s v="0    "/>
    <s v="                              "/>
    <n v="30"/>
  </r>
  <r>
    <s v="202601"/>
    <s v="901410258-0         "/>
    <x v="18"/>
    <x v="13"/>
    <s v="FEDC62368   "/>
    <n v="5743865"/>
    <x v="3"/>
    <n v="1400"/>
    <d v="2022-03-30T00:00:00"/>
    <d v="2022-04-29T00:00:00"/>
    <x v="14"/>
    <x v="4"/>
    <s v="0    "/>
    <s v="                              "/>
    <n v="30"/>
  </r>
  <r>
    <s v="202601"/>
    <s v="901410258-0         "/>
    <x v="18"/>
    <x v="13"/>
    <s v="FEDC62369   "/>
    <n v="2421568"/>
    <x v="3"/>
    <n v="1400"/>
    <d v="2022-03-30T00:00:00"/>
    <d v="2022-04-29T00:00:00"/>
    <x v="14"/>
    <x v="4"/>
    <s v="0    "/>
    <s v="                              "/>
    <n v="30"/>
  </r>
  <r>
    <s v="202601"/>
    <s v="901410258-0         "/>
    <x v="18"/>
    <x v="13"/>
    <s v="FEDC62370   "/>
    <n v="1635057"/>
    <x v="3"/>
    <n v="1400"/>
    <d v="2022-03-30T00:00:00"/>
    <d v="2022-04-29T00:00:00"/>
    <x v="14"/>
    <x v="4"/>
    <s v="0    "/>
    <s v="                              "/>
    <n v="30"/>
  </r>
  <r>
    <s v="202601"/>
    <s v="901410258-0         "/>
    <x v="18"/>
    <x v="13"/>
    <s v="FEDC62371   "/>
    <n v="2679563"/>
    <x v="3"/>
    <n v="1400"/>
    <d v="2022-03-30T00:00:00"/>
    <d v="2022-04-29T00:00:00"/>
    <x v="14"/>
    <x v="4"/>
    <s v="0    "/>
    <s v="                              "/>
    <n v="30"/>
  </r>
  <r>
    <s v="202601"/>
    <s v="901410258-0         "/>
    <x v="18"/>
    <x v="13"/>
    <s v="FEDC62380   "/>
    <n v="2018856"/>
    <x v="3"/>
    <n v="1400"/>
    <d v="2022-03-30T00:00:00"/>
    <d v="2022-04-29T00:00:00"/>
    <x v="14"/>
    <x v="5"/>
    <s v="0    "/>
    <s v="                              "/>
    <n v="30"/>
  </r>
  <r>
    <s v="202601"/>
    <s v="901410258-0         "/>
    <x v="18"/>
    <x v="13"/>
    <s v="FECT800     "/>
    <n v="1219226"/>
    <x v="3"/>
    <n v="1399"/>
    <d v="2022-03-31T00:00:00"/>
    <d v="2022-04-30T00:00:00"/>
    <x v="14"/>
    <x v="4"/>
    <s v="0    "/>
    <s v="                              "/>
    <n v="30"/>
  </r>
  <r>
    <s v="202601"/>
    <s v="901410258-0         "/>
    <x v="18"/>
    <x v="13"/>
    <s v="FEDC62580   "/>
    <n v="1789950"/>
    <x v="3"/>
    <n v="1394"/>
    <d v="2022-04-05T00:00:00"/>
    <d v="2022-05-05T00:00:00"/>
    <x v="18"/>
    <x v="5"/>
    <s v="0    "/>
    <s v="                              "/>
    <n v="30"/>
  </r>
  <r>
    <s v="202601"/>
    <s v="901410258-0         "/>
    <x v="18"/>
    <x v="13"/>
    <s v="FEDC62620   "/>
    <n v="3522641"/>
    <x v="3"/>
    <n v="1394"/>
    <d v="2022-04-05T00:00:00"/>
    <d v="2022-05-05T00:00:00"/>
    <x v="11"/>
    <x v="4"/>
    <s v="0    "/>
    <s v="                              "/>
    <n v="30"/>
  </r>
  <r>
    <s v="202601"/>
    <s v="901410258-0         "/>
    <x v="18"/>
    <x v="13"/>
    <s v="FEDC62611   "/>
    <n v="4452120"/>
    <x v="3"/>
    <n v="1394"/>
    <d v="2022-04-05T00:00:00"/>
    <d v="2022-05-05T00:00:00"/>
    <x v="12"/>
    <x v="4"/>
    <s v="0    "/>
    <s v="                              "/>
    <n v="30"/>
  </r>
  <r>
    <s v="202601"/>
    <s v="901410258-0         "/>
    <x v="18"/>
    <x v="13"/>
    <s v="FEDC62612   "/>
    <n v="2792310"/>
    <x v="3"/>
    <n v="1394"/>
    <d v="2022-04-05T00:00:00"/>
    <d v="2022-05-05T00:00:00"/>
    <x v="12"/>
    <x v="4"/>
    <s v="0    "/>
    <s v="                              "/>
    <n v="30"/>
  </r>
  <r>
    <s v="202601"/>
    <s v="901410258-0         "/>
    <x v="18"/>
    <x v="13"/>
    <s v="FEDC62708   "/>
    <n v="1207476"/>
    <x v="3"/>
    <n v="1393"/>
    <d v="2022-04-06T00:00:00"/>
    <d v="2022-05-06T00:00:00"/>
    <x v="13"/>
    <x v="4"/>
    <s v="0    "/>
    <s v="                              "/>
    <n v="30"/>
  </r>
  <r>
    <s v="202601"/>
    <s v="901410258-0         "/>
    <x v="18"/>
    <x v="13"/>
    <s v="FEDC62902   "/>
    <n v="2657984"/>
    <x v="3"/>
    <n v="1391"/>
    <d v="2022-04-08T00:00:00"/>
    <d v="2022-05-08T00:00:00"/>
    <x v="18"/>
    <x v="4"/>
    <s v="0    "/>
    <s v="                              "/>
    <n v="30"/>
  </r>
  <r>
    <s v="202601"/>
    <s v="901410258-0         "/>
    <x v="18"/>
    <x v="13"/>
    <s v="FEDC63152   "/>
    <n v="7130290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153   "/>
    <n v="4103000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154   "/>
    <n v="1763630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156   "/>
    <n v="7407652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157   "/>
    <n v="16157327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158   "/>
    <n v="1426305"/>
    <x v="3"/>
    <n v="1387"/>
    <d v="2022-04-12T00:00:00"/>
    <d v="2022-05-12T00:00:00"/>
    <x v="14"/>
    <x v="4"/>
    <s v="0    "/>
    <s v="                              "/>
    <n v="30"/>
  </r>
  <r>
    <s v="202601"/>
    <s v="901410258-0         "/>
    <x v="18"/>
    <x v="13"/>
    <s v="FEDC63598   "/>
    <n v="4767690"/>
    <x v="3"/>
    <n v="1378"/>
    <d v="2022-04-21T00:00:00"/>
    <d v="2022-05-21T00:00:00"/>
    <x v="18"/>
    <x v="4"/>
    <s v="0    "/>
    <s v="                              "/>
    <n v="30"/>
  </r>
  <r>
    <s v="202601"/>
    <s v="901410258-0         "/>
    <x v="18"/>
    <x v="13"/>
    <s v="FEDC63594   "/>
    <n v="4831594"/>
    <x v="3"/>
    <n v="1378"/>
    <d v="2022-04-21T00:00:00"/>
    <d v="2022-05-21T00:00:00"/>
    <x v="12"/>
    <x v="4"/>
    <s v="0    "/>
    <s v="                              "/>
    <n v="30"/>
  </r>
  <r>
    <s v="202601"/>
    <s v="901410258-0         "/>
    <x v="18"/>
    <x v="13"/>
    <s v="FEDC63595   "/>
    <n v="1413663"/>
    <x v="3"/>
    <n v="1378"/>
    <d v="2022-04-21T00:00:00"/>
    <d v="2022-05-21T00:00:00"/>
    <x v="12"/>
    <x v="4"/>
    <s v="0    "/>
    <s v="                              "/>
    <n v="30"/>
  </r>
  <r>
    <s v="202601"/>
    <s v="901410258-0         "/>
    <x v="18"/>
    <x v="13"/>
    <s v="FEDC63780   "/>
    <n v="3911559"/>
    <x v="3"/>
    <n v="1376"/>
    <d v="2022-04-23T00:00:00"/>
    <d v="2022-05-23T00:00:00"/>
    <x v="18"/>
    <x v="4"/>
    <s v="0    "/>
    <s v="                              "/>
    <n v="30"/>
  </r>
  <r>
    <s v="202601"/>
    <s v="901410258-0         "/>
    <x v="18"/>
    <x v="13"/>
    <s v="FEDC63857   "/>
    <n v="4469164"/>
    <x v="3"/>
    <n v="1374"/>
    <d v="2022-04-25T00:00:00"/>
    <d v="2022-05-25T00:00:00"/>
    <x v="18"/>
    <x v="4"/>
    <s v="0    "/>
    <s v="                              "/>
    <n v="30"/>
  </r>
  <r>
    <s v="202601"/>
    <s v="901410258-0         "/>
    <x v="18"/>
    <x v="13"/>
    <s v="FEDC64045   "/>
    <n v="2828011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046   "/>
    <n v="3727000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047   "/>
    <n v="4982382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048   "/>
    <n v="2319807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049   "/>
    <n v="176115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050   "/>
    <n v="206427"/>
    <x v="3"/>
    <n v="1372"/>
    <d v="2022-04-27T00:00:00"/>
    <d v="2022-05-27T00:00:00"/>
    <x v="14"/>
    <x v="4"/>
    <s v="0    "/>
    <s v="                              "/>
    <n v="30"/>
  </r>
  <r>
    <s v="202601"/>
    <s v="901410258-0         "/>
    <x v="18"/>
    <x v="13"/>
    <s v="FEDC64179   "/>
    <n v="146066"/>
    <x v="3"/>
    <n v="1371"/>
    <d v="2022-04-28T00:00:00"/>
    <d v="2022-05-28T00:00:00"/>
    <x v="14"/>
    <x v="4"/>
    <s v="0    "/>
    <s v="                              "/>
    <n v="30"/>
  </r>
  <r>
    <s v="202601"/>
    <s v="901410258-0         "/>
    <x v="18"/>
    <x v="13"/>
    <s v="FEDC64301   "/>
    <n v="24166469"/>
    <x v="3"/>
    <n v="1370"/>
    <d v="2022-04-29T00:00:00"/>
    <d v="2022-05-29T00:00:00"/>
    <x v="18"/>
    <x v="4"/>
    <s v="0    "/>
    <s v="                              "/>
    <n v="30"/>
  </r>
  <r>
    <s v="202601"/>
    <s v="901410258-0         "/>
    <x v="18"/>
    <x v="13"/>
    <s v="FEDC64519   "/>
    <n v="3079000"/>
    <x v="3"/>
    <n v="1366"/>
    <d v="2022-05-03T00:00:00"/>
    <d v="2022-06-02T00:00:00"/>
    <x v="12"/>
    <x v="4"/>
    <s v="0    "/>
    <s v="                              "/>
    <n v="30"/>
  </r>
  <r>
    <s v="202601"/>
    <s v="901410258-0         "/>
    <x v="18"/>
    <x v="13"/>
    <s v="FEDC64520   "/>
    <n v="4265882"/>
    <x v="3"/>
    <n v="1366"/>
    <d v="2022-05-03T00:00:00"/>
    <d v="2022-06-02T00:00:00"/>
    <x v="12"/>
    <x v="4"/>
    <s v="0    "/>
    <s v="                              "/>
    <n v="30"/>
  </r>
  <r>
    <s v="202601"/>
    <s v="901410258-0         "/>
    <x v="18"/>
    <x v="13"/>
    <s v="FEDC64521   "/>
    <n v="255878"/>
    <x v="3"/>
    <n v="1366"/>
    <d v="2022-05-03T00:00:00"/>
    <d v="2022-06-02T00:00:00"/>
    <x v="12"/>
    <x v="4"/>
    <s v="0    "/>
    <s v="                              "/>
    <n v="30"/>
  </r>
  <r>
    <s v="202601"/>
    <s v="901410258-0         "/>
    <x v="18"/>
    <x v="13"/>
    <s v="FEDC64621   "/>
    <n v="5889762"/>
    <x v="3"/>
    <n v="1365"/>
    <d v="2022-05-04T00:00:00"/>
    <d v="2022-06-03T00:00:00"/>
    <x v="13"/>
    <x v="4"/>
    <s v="0    "/>
    <s v="                              "/>
    <n v="30"/>
  </r>
  <r>
    <s v="202601"/>
    <s v="901410258-0         "/>
    <x v="18"/>
    <x v="13"/>
    <s v="FEDC64694   "/>
    <n v="1296072"/>
    <x v="3"/>
    <n v="1360"/>
    <d v="2022-05-09T00:00:00"/>
    <d v="2022-06-08T00:00:00"/>
    <x v="18"/>
    <x v="4"/>
    <s v="0    "/>
    <s v="                              "/>
    <n v="30"/>
  </r>
  <r>
    <s v="202601"/>
    <s v="901410258-0         "/>
    <x v="18"/>
    <x v="13"/>
    <s v="FEDC64695   "/>
    <n v="7284068"/>
    <x v="3"/>
    <n v="1360"/>
    <d v="2022-05-09T00:00:00"/>
    <d v="2022-06-08T00:00:00"/>
    <x v="18"/>
    <x v="4"/>
    <s v="0    "/>
    <s v="                              "/>
    <n v="30"/>
  </r>
  <r>
    <s v="202601"/>
    <s v="901410258-0         "/>
    <x v="18"/>
    <x v="13"/>
    <s v="FEDC64921   "/>
    <n v="9877138"/>
    <x v="3"/>
    <n v="1358"/>
    <d v="2022-05-11T00:00:00"/>
    <d v="2022-06-10T00:00:00"/>
    <x v="14"/>
    <x v="4"/>
    <s v="0    "/>
    <s v="                              "/>
    <n v="30"/>
  </r>
  <r>
    <s v="202601"/>
    <s v="901410258-0         "/>
    <x v="18"/>
    <x v="13"/>
    <s v="FEDC64922   "/>
    <n v="2505070"/>
    <x v="3"/>
    <n v="1358"/>
    <d v="2022-05-11T00:00:00"/>
    <d v="2022-06-10T00:00:00"/>
    <x v="14"/>
    <x v="4"/>
    <s v="0    "/>
    <s v="                              "/>
    <n v="30"/>
  </r>
  <r>
    <s v="202601"/>
    <s v="901410258-0         "/>
    <x v="18"/>
    <x v="13"/>
    <s v="FEDC64923   "/>
    <n v="5259291"/>
    <x v="3"/>
    <n v="1358"/>
    <d v="2022-05-11T00:00:00"/>
    <d v="2022-06-10T00:00:00"/>
    <x v="14"/>
    <x v="4"/>
    <s v="0    "/>
    <s v="                              "/>
    <n v="30"/>
  </r>
  <r>
    <s v="202601"/>
    <s v="901410258-0         "/>
    <x v="18"/>
    <x v="13"/>
    <s v="FEDC64925   "/>
    <n v="2395473"/>
    <x v="3"/>
    <n v="1358"/>
    <d v="2022-05-11T00:00:00"/>
    <d v="2022-06-10T00:00:00"/>
    <x v="14"/>
    <x v="4"/>
    <s v="0    "/>
    <s v="                              "/>
    <n v="30"/>
  </r>
  <r>
    <s v="202601"/>
    <s v="901410258-0         "/>
    <x v="18"/>
    <x v="13"/>
    <s v="FEDC64943   "/>
    <n v="1619948"/>
    <x v="3"/>
    <n v="1358"/>
    <d v="2022-05-11T00:00:00"/>
    <d v="2022-06-10T00:00:00"/>
    <x v="14"/>
    <x v="5"/>
    <s v="0    "/>
    <s v="                              "/>
    <n v="30"/>
  </r>
  <r>
    <s v="202601"/>
    <s v="901410258-0         "/>
    <x v="18"/>
    <x v="13"/>
    <s v="FEDC64949   "/>
    <n v="708396"/>
    <x v="3"/>
    <n v="1358"/>
    <d v="2022-05-11T00:00:00"/>
    <d v="2022-06-10T00:00:00"/>
    <x v="14"/>
    <x v="4"/>
    <s v="0    "/>
    <s v="                              "/>
    <n v="30"/>
  </r>
  <r>
    <s v="202601"/>
    <s v="901410258-0         "/>
    <x v="18"/>
    <x v="13"/>
    <s v="FEDC64995   "/>
    <n v="10646908"/>
    <x v="3"/>
    <n v="1357"/>
    <d v="2022-05-12T00:00:00"/>
    <d v="2022-06-11T00:00:00"/>
    <x v="18"/>
    <x v="4"/>
    <s v="0    "/>
    <s v="                              "/>
    <n v="30"/>
  </r>
  <r>
    <s v="202601"/>
    <s v="901410258-0         "/>
    <x v="18"/>
    <x v="13"/>
    <s v="FEDC64996   "/>
    <n v="61461600"/>
    <x v="3"/>
    <n v="1357"/>
    <d v="2022-05-12T00:00:00"/>
    <d v="2022-06-11T00:00:00"/>
    <x v="18"/>
    <x v="4"/>
    <s v="0    "/>
    <s v="                              "/>
    <n v="30"/>
  </r>
  <r>
    <s v="202601"/>
    <s v="901410258-0         "/>
    <x v="18"/>
    <x v="13"/>
    <s v="FEDC65361   "/>
    <n v="4519000"/>
    <x v="3"/>
    <n v="1355"/>
    <d v="2022-05-14T00:00:00"/>
    <d v="2022-06-13T00:00:00"/>
    <x v="14"/>
    <x v="4"/>
    <s v="0    "/>
    <s v="                              "/>
    <n v="30"/>
  </r>
  <r>
    <s v="202601"/>
    <s v="901410258-0         "/>
    <x v="18"/>
    <x v="13"/>
    <s v="FEDC65452   "/>
    <n v="589410"/>
    <x v="3"/>
    <n v="1353"/>
    <d v="2022-05-16T00:00:00"/>
    <d v="2022-06-15T00:00:00"/>
    <x v="18"/>
    <x v="4"/>
    <s v="0    "/>
    <s v="                              "/>
    <n v="30"/>
  </r>
  <r>
    <s v="202601"/>
    <s v="901410258-0         "/>
    <x v="18"/>
    <x v="13"/>
    <s v="FEDC65539   "/>
    <n v="6582576"/>
    <x v="3"/>
    <n v="1352"/>
    <d v="2022-05-17T00:00:00"/>
    <d v="2022-06-16T00:00:00"/>
    <x v="14"/>
    <x v="4"/>
    <s v="0    "/>
    <s v="                              "/>
    <n v="30"/>
  </r>
  <r>
    <s v="202601"/>
    <s v="901410258-0         "/>
    <x v="18"/>
    <x v="13"/>
    <s v="FEDC65540   "/>
    <n v="489705"/>
    <x v="3"/>
    <n v="1352"/>
    <d v="2022-05-17T00:00:00"/>
    <d v="2022-06-16T00:00:00"/>
    <x v="12"/>
    <x v="4"/>
    <s v="0    "/>
    <s v="                              "/>
    <n v="30"/>
  </r>
  <r>
    <s v="202601"/>
    <s v="901410258-0         "/>
    <x v="18"/>
    <x v="13"/>
    <s v="FEDC65549   "/>
    <n v="7730988"/>
    <x v="3"/>
    <n v="1351"/>
    <d v="2022-05-18T00:00:00"/>
    <d v="2022-06-17T00:00:00"/>
    <x v="18"/>
    <x v="4"/>
    <s v="0    "/>
    <s v="                              "/>
    <n v="30"/>
  </r>
  <r>
    <s v="202601"/>
    <s v="901410258-0         "/>
    <x v="18"/>
    <x v="13"/>
    <s v="FEDC65675   "/>
    <n v="2097361"/>
    <x v="3"/>
    <n v="1350"/>
    <d v="2022-05-19T00:00:00"/>
    <d v="2022-06-18T00:00:00"/>
    <x v="11"/>
    <x v="4"/>
    <s v="0    "/>
    <s v="                              "/>
    <n v="30"/>
  </r>
  <r>
    <s v="202601"/>
    <s v="901410258-0         "/>
    <x v="18"/>
    <x v="13"/>
    <s v="FEDC65808   "/>
    <n v="10340000"/>
    <x v="3"/>
    <n v="1349"/>
    <d v="2022-05-20T00:00:00"/>
    <d v="2022-06-19T00:00:00"/>
    <x v="18"/>
    <x v="4"/>
    <s v="0    "/>
    <s v="                              "/>
    <n v="30"/>
  </r>
  <r>
    <s v="202601"/>
    <s v="901410258-0         "/>
    <x v="18"/>
    <x v="13"/>
    <s v="FEDC65809   "/>
    <n v="7632000"/>
    <x v="3"/>
    <n v="1349"/>
    <d v="2022-05-20T00:00:00"/>
    <d v="2022-06-19T00:00:00"/>
    <x v="18"/>
    <x v="4"/>
    <s v="0    "/>
    <s v="                              "/>
    <n v="30"/>
  </r>
  <r>
    <s v="202601"/>
    <s v="901410258-0         "/>
    <x v="18"/>
    <x v="13"/>
    <s v="FEDC65818   "/>
    <n v="1812484"/>
    <x v="3"/>
    <n v="1349"/>
    <d v="2022-05-20T00:00:00"/>
    <d v="2022-06-19T00:00:00"/>
    <x v="13"/>
    <x v="4"/>
    <s v="0    "/>
    <s v="                              "/>
    <n v="30"/>
  </r>
  <r>
    <s v="202601"/>
    <s v="901410258-0         "/>
    <x v="18"/>
    <x v="13"/>
    <s v="FEDC65910   "/>
    <n v="5458838"/>
    <x v="3"/>
    <n v="1348"/>
    <d v="2022-05-21T00:00:00"/>
    <d v="2022-06-20T00:00:00"/>
    <x v="18"/>
    <x v="4"/>
    <s v="0    "/>
    <s v="                              "/>
    <n v="30"/>
  </r>
  <r>
    <s v="202601"/>
    <s v="901410258-0         "/>
    <x v="18"/>
    <x v="13"/>
    <s v="FEDC66038   "/>
    <n v="4835925"/>
    <x v="3"/>
    <n v="1345"/>
    <d v="2022-05-24T00:00:00"/>
    <d v="2022-06-23T00:00:00"/>
    <x v="14"/>
    <x v="4"/>
    <s v="0    "/>
    <s v="                              "/>
    <n v="30"/>
  </r>
  <r>
    <s v="202601"/>
    <s v="901410258-0         "/>
    <x v="18"/>
    <x v="13"/>
    <s v="FEDC66039   "/>
    <n v="2681000"/>
    <x v="3"/>
    <n v="1345"/>
    <d v="2022-05-24T00:00:00"/>
    <d v="2022-06-23T00:00:00"/>
    <x v="14"/>
    <x v="4"/>
    <s v="0    "/>
    <s v="                              "/>
    <n v="30"/>
  </r>
  <r>
    <s v="202601"/>
    <s v="901410258-0         "/>
    <x v="18"/>
    <x v="13"/>
    <s v="FEDC66040   "/>
    <n v="4235227"/>
    <x v="3"/>
    <n v="1345"/>
    <d v="2022-05-24T00:00:00"/>
    <d v="2022-06-23T00:00:00"/>
    <x v="14"/>
    <x v="4"/>
    <s v="0    "/>
    <s v="                              "/>
    <n v="30"/>
  </r>
  <r>
    <s v="202601"/>
    <s v="901410258-0         "/>
    <x v="18"/>
    <x v="13"/>
    <s v="FEDC66041   "/>
    <n v="1488252"/>
    <x v="3"/>
    <n v="1345"/>
    <d v="2022-05-24T00:00:00"/>
    <d v="2022-06-23T00:00:00"/>
    <x v="14"/>
    <x v="4"/>
    <s v="0    "/>
    <s v="                              "/>
    <n v="30"/>
  </r>
  <r>
    <s v="202601"/>
    <s v="901410258-0         "/>
    <x v="18"/>
    <x v="13"/>
    <s v="FEDC66042   "/>
    <n v="1069834"/>
    <x v="3"/>
    <n v="1345"/>
    <d v="2022-05-24T00:00:00"/>
    <d v="2022-06-23T00:00:00"/>
    <x v="14"/>
    <x v="4"/>
    <s v="0    "/>
    <s v="                              "/>
    <n v="30"/>
  </r>
  <r>
    <s v="202601"/>
    <s v="901410258-0         "/>
    <x v="18"/>
    <x v="13"/>
    <s v="FEDC66093   "/>
    <n v="1062075"/>
    <x v="3"/>
    <n v="1344"/>
    <d v="2022-05-25T00:00:00"/>
    <d v="2022-06-24T00:00:00"/>
    <x v="18"/>
    <x v="4"/>
    <s v="0    "/>
    <s v="                              "/>
    <n v="30"/>
  </r>
  <r>
    <s v="202601"/>
    <s v="901410258-0         "/>
    <x v="18"/>
    <x v="13"/>
    <s v="FEDC66425   "/>
    <n v="1180442"/>
    <x v="3"/>
    <n v="1338"/>
    <d v="2022-05-31T00:00:00"/>
    <d v="2022-06-30T00:00:00"/>
    <x v="18"/>
    <x v="4"/>
    <s v="0    "/>
    <s v="                              "/>
    <n v="30"/>
  </r>
  <r>
    <s v="202601"/>
    <s v="901410258-0         "/>
    <x v="18"/>
    <x v="13"/>
    <s v="FEDC66577   "/>
    <n v="3824608"/>
    <x v="3"/>
    <n v="1336"/>
    <d v="2022-06-02T00:00:00"/>
    <d v="2022-07-02T00:00:00"/>
    <x v="18"/>
    <x v="4"/>
    <s v="0    "/>
    <s v="                              "/>
    <n v="30"/>
  </r>
  <r>
    <s v="202601"/>
    <s v="901410258-0         "/>
    <x v="18"/>
    <x v="13"/>
    <s v="FEDC66579   "/>
    <n v="843000"/>
    <x v="3"/>
    <n v="1336"/>
    <d v="2022-06-02T00:00:00"/>
    <d v="2022-07-02T00:00:00"/>
    <x v="13"/>
    <x v="4"/>
    <s v="0    "/>
    <s v="                              "/>
    <n v="30"/>
  </r>
  <r>
    <s v="202601"/>
    <s v="901410258-0         "/>
    <x v="18"/>
    <x v="13"/>
    <s v="FEDC66745   "/>
    <n v="6735577"/>
    <x v="3"/>
    <n v="1334"/>
    <d v="2022-06-04T00:00:00"/>
    <d v="2022-07-04T00:00:00"/>
    <x v="18"/>
    <x v="4"/>
    <s v="0    "/>
    <s v="                              "/>
    <n v="30"/>
  </r>
  <r>
    <s v="202601"/>
    <s v="901410258-0         "/>
    <x v="18"/>
    <x v="13"/>
    <s v="FEDC66936   "/>
    <n v="6525618"/>
    <x v="3"/>
    <n v="1331"/>
    <d v="2022-06-07T00:00:00"/>
    <d v="2022-07-07T00:00:00"/>
    <x v="14"/>
    <x v="4"/>
    <s v="0    "/>
    <s v="                              "/>
    <n v="30"/>
  </r>
  <r>
    <s v="202601"/>
    <s v="901410258-0         "/>
    <x v="18"/>
    <x v="13"/>
    <s v="FEDC66937   "/>
    <n v="3921200"/>
    <x v="3"/>
    <n v="1331"/>
    <d v="2022-06-07T00:00:00"/>
    <d v="2022-07-07T00:00:00"/>
    <x v="14"/>
    <x v="4"/>
    <s v="0    "/>
    <s v="                              "/>
    <n v="30"/>
  </r>
  <r>
    <s v="202601"/>
    <s v="901410258-0         "/>
    <x v="18"/>
    <x v="13"/>
    <s v="FEDC66938   "/>
    <n v="2315769"/>
    <x v="3"/>
    <n v="1331"/>
    <d v="2022-06-07T00:00:00"/>
    <d v="2022-07-07T00:00:00"/>
    <x v="14"/>
    <x v="4"/>
    <s v="0    "/>
    <s v="                              "/>
    <n v="30"/>
  </r>
  <r>
    <s v="202601"/>
    <s v="901410258-0         "/>
    <x v="18"/>
    <x v="13"/>
    <s v="FEDC66939   "/>
    <n v="4789981"/>
    <x v="3"/>
    <n v="1331"/>
    <d v="2022-06-07T00:00:00"/>
    <d v="2022-07-07T00:00:00"/>
    <x v="14"/>
    <x v="4"/>
    <s v="0    "/>
    <s v="                              "/>
    <n v="30"/>
  </r>
  <r>
    <s v="202601"/>
    <s v="901410258-0         "/>
    <x v="18"/>
    <x v="13"/>
    <s v="FEDC66940   "/>
    <n v="2868259"/>
    <x v="3"/>
    <n v="1331"/>
    <d v="2022-06-07T00:00:00"/>
    <d v="2022-07-07T00:00:00"/>
    <x v="14"/>
    <x v="4"/>
    <s v="0    "/>
    <s v="                              "/>
    <n v="30"/>
  </r>
  <r>
    <s v="202601"/>
    <s v="901410258-0         "/>
    <x v="18"/>
    <x v="13"/>
    <s v="FEDC67013   "/>
    <n v="452332"/>
    <x v="3"/>
    <n v="1330"/>
    <d v="2022-06-08T00:00:00"/>
    <d v="2022-07-08T00:00:00"/>
    <x v="14"/>
    <x v="5"/>
    <s v="0    "/>
    <s v="                              "/>
    <n v="30"/>
  </r>
  <r>
    <s v="202601"/>
    <s v="901410258-0         "/>
    <x v="18"/>
    <x v="13"/>
    <s v="FEDC67031   "/>
    <n v="2255629"/>
    <x v="3"/>
    <n v="1330"/>
    <d v="2022-06-08T00:00:00"/>
    <d v="2022-07-08T00:00:00"/>
    <x v="14"/>
    <x v="4"/>
    <s v="0    "/>
    <s v="                              "/>
    <n v="30"/>
  </r>
  <r>
    <s v="202601"/>
    <s v="901410258-0         "/>
    <x v="18"/>
    <x v="13"/>
    <s v="FEDC67393   "/>
    <n v="2246712"/>
    <x v="3"/>
    <n v="1323"/>
    <d v="2022-06-15T00:00:00"/>
    <d v="2022-07-15T00:00:00"/>
    <x v="11"/>
    <x v="4"/>
    <s v="0    "/>
    <s v="                              "/>
    <n v="30"/>
  </r>
  <r>
    <s v="202601"/>
    <s v="98672921            "/>
    <x v="23"/>
    <x v="17"/>
    <s v="FEDC67446   "/>
    <n v="1904346"/>
    <x v="3"/>
    <n v="1322"/>
    <d v="2022-06-16T00:00:00"/>
    <d v="2022-07-16T00:00:00"/>
    <x v="21"/>
    <x v="1"/>
    <s v="0    "/>
    <s v="3126897732                    "/>
    <n v="1"/>
  </r>
  <r>
    <s v="202601"/>
    <s v="98672921            "/>
    <x v="23"/>
    <x v="17"/>
    <s v="FEDC67447   "/>
    <n v="414437"/>
    <x v="3"/>
    <n v="1322"/>
    <d v="2022-06-16T00:00:00"/>
    <d v="2022-07-16T00:00:00"/>
    <x v="21"/>
    <x v="1"/>
    <s v="0    "/>
    <s v="3126897732                    "/>
    <n v="1"/>
  </r>
  <r>
    <s v="202601"/>
    <s v="901410258-0         "/>
    <x v="18"/>
    <x v="13"/>
    <s v="FEDC67567   "/>
    <n v="777936"/>
    <x v="3"/>
    <n v="1321"/>
    <d v="2022-06-17T00:00:00"/>
    <d v="2022-07-17T00:00:00"/>
    <x v="14"/>
    <x v="4"/>
    <s v="0    "/>
    <s v="                              "/>
    <n v="30"/>
  </r>
  <r>
    <s v="202601"/>
    <s v="901410258-0         "/>
    <x v="18"/>
    <x v="13"/>
    <s v="FEDC67571   "/>
    <n v="811000"/>
    <x v="3"/>
    <n v="1321"/>
    <d v="2022-06-17T00:00:00"/>
    <d v="2022-07-17T00:00:00"/>
    <x v="13"/>
    <x v="4"/>
    <s v="0    "/>
    <s v="                              "/>
    <n v="30"/>
  </r>
  <r>
    <s v="202601"/>
    <s v="901410258-0         "/>
    <x v="18"/>
    <x v="13"/>
    <s v="FEDC67649   "/>
    <n v="8280006"/>
    <x v="3"/>
    <n v="1320"/>
    <d v="2022-06-18T00:00:00"/>
    <d v="2022-07-18T00:00:00"/>
    <x v="18"/>
    <x v="4"/>
    <s v="0    "/>
    <s v="                              "/>
    <n v="30"/>
  </r>
  <r>
    <s v="202601"/>
    <s v="901410258-0         "/>
    <x v="18"/>
    <x v="13"/>
    <s v="FEDC67673   "/>
    <n v="15949736"/>
    <x v="3"/>
    <n v="1317"/>
    <d v="2022-06-21T00:00:00"/>
    <d v="2022-07-21T00:00:00"/>
    <x v="18"/>
    <x v="4"/>
    <s v="0    "/>
    <s v="                              "/>
    <n v="30"/>
  </r>
  <r>
    <s v="202601"/>
    <s v="901410258-0         "/>
    <x v="18"/>
    <x v="13"/>
    <s v="FEDC67759   "/>
    <n v="3556801"/>
    <x v="3"/>
    <n v="1316"/>
    <d v="2022-06-22T00:00:00"/>
    <d v="2022-07-22T00:00:00"/>
    <x v="14"/>
    <x v="4"/>
    <s v="0    "/>
    <s v="                              "/>
    <n v="30"/>
  </r>
  <r>
    <s v="202601"/>
    <s v="901410258-0         "/>
    <x v="18"/>
    <x v="13"/>
    <s v="FEDC67760   "/>
    <n v="3539200"/>
    <x v="3"/>
    <n v="1316"/>
    <d v="2022-06-22T00:00:00"/>
    <d v="2022-07-22T00:00:00"/>
    <x v="14"/>
    <x v="4"/>
    <s v="0    "/>
    <s v="                              "/>
    <n v="30"/>
  </r>
  <r>
    <s v="202601"/>
    <s v="901410258-0         "/>
    <x v="18"/>
    <x v="13"/>
    <s v="FEDC67761   "/>
    <n v="2261542"/>
    <x v="3"/>
    <n v="1316"/>
    <d v="2022-06-22T00:00:00"/>
    <d v="2022-07-22T00:00:00"/>
    <x v="14"/>
    <x v="4"/>
    <s v="0    "/>
    <s v="                              "/>
    <n v="30"/>
  </r>
  <r>
    <s v="202601"/>
    <s v="901410258-0         "/>
    <x v="18"/>
    <x v="13"/>
    <s v="FEDC67762   "/>
    <n v="2553008"/>
    <x v="3"/>
    <n v="1316"/>
    <d v="2022-06-22T00:00:00"/>
    <d v="2022-07-22T00:00:00"/>
    <x v="14"/>
    <x v="4"/>
    <s v="0    "/>
    <s v="                              "/>
    <n v="30"/>
  </r>
  <r>
    <s v="202601"/>
    <s v="901410258-0         "/>
    <x v="18"/>
    <x v="13"/>
    <s v="FEDC67763   "/>
    <n v="1041330"/>
    <x v="3"/>
    <n v="1316"/>
    <d v="2022-06-22T00:00:00"/>
    <d v="2022-07-22T00:00:00"/>
    <x v="14"/>
    <x v="4"/>
    <s v="0    "/>
    <s v="                              "/>
    <n v="30"/>
  </r>
  <r>
    <s v="202601"/>
    <s v="901410258-0         "/>
    <x v="18"/>
    <x v="13"/>
    <s v="FEDC67872   "/>
    <n v="8280006"/>
    <x v="3"/>
    <n v="1315"/>
    <d v="2022-06-23T00:00:00"/>
    <d v="2022-07-23T00:00:00"/>
    <x v="13"/>
    <x v="4"/>
    <s v="0    "/>
    <s v="                              "/>
    <n v="30"/>
  </r>
  <r>
    <s v="202601"/>
    <s v="901410258-0         "/>
    <x v="18"/>
    <x v="13"/>
    <s v="FEDC68239   "/>
    <n v="6662382"/>
    <x v="3"/>
    <n v="1309"/>
    <d v="2022-06-29T00:00:00"/>
    <d v="2022-07-29T00:00:00"/>
    <x v="18"/>
    <x v="4"/>
    <s v="0    "/>
    <s v="                              "/>
    <n v="30"/>
  </r>
  <r>
    <s v="202601"/>
    <s v="901410258-0         "/>
    <x v="18"/>
    <x v="13"/>
    <s v="FEDC68288   "/>
    <n v="2905001"/>
    <x v="3"/>
    <n v="1309"/>
    <d v="2022-06-29T00:00:00"/>
    <d v="2022-07-29T00:00:00"/>
    <x v="11"/>
    <x v="4"/>
    <s v="0    "/>
    <s v="                              "/>
    <n v="30"/>
  </r>
  <r>
    <s v="202601"/>
    <s v="901410258-0         "/>
    <x v="18"/>
    <x v="13"/>
    <s v="FEDC68289   "/>
    <n v="564522"/>
    <x v="3"/>
    <n v="1309"/>
    <d v="2022-06-29T00:00:00"/>
    <d v="2022-07-29T00:00:00"/>
    <x v="11"/>
    <x v="4"/>
    <s v="0    "/>
    <s v="                              "/>
    <n v="30"/>
  </r>
  <r>
    <s v="202601"/>
    <s v="901410258-0         "/>
    <x v="18"/>
    <x v="13"/>
    <s v="FECT1034    "/>
    <n v="1634000"/>
    <x v="3"/>
    <n v="1308"/>
    <d v="2022-06-30T00:00:00"/>
    <d v="2022-07-30T00:00:00"/>
    <x v="18"/>
    <x v="4"/>
    <s v="0    "/>
    <s v="                              "/>
    <n v="30"/>
  </r>
  <r>
    <s v="202601"/>
    <s v="901410258-0         "/>
    <x v="18"/>
    <x v="13"/>
    <s v="FECT1035    "/>
    <n v="8898695"/>
    <x v="3"/>
    <n v="1308"/>
    <d v="2022-06-30T00:00:00"/>
    <d v="2022-07-30T00:00:00"/>
    <x v="18"/>
    <x v="4"/>
    <s v="0    "/>
    <s v="                              "/>
    <n v="30"/>
  </r>
  <r>
    <s v="202601"/>
    <s v="901410258-0         "/>
    <x v="18"/>
    <x v="13"/>
    <s v="FECT935     "/>
    <n v="16200012"/>
    <x v="3"/>
    <n v="1308"/>
    <d v="2022-06-30T00:00:00"/>
    <d v="2022-07-30T00:00:00"/>
    <x v="18"/>
    <x v="4"/>
    <s v="0    "/>
    <s v="                              "/>
    <n v="30"/>
  </r>
  <r>
    <s v="202601"/>
    <s v="901410258-0         "/>
    <x v="18"/>
    <x v="13"/>
    <s v="FEDC68378   "/>
    <n v="94380000"/>
    <x v="3"/>
    <n v="1308"/>
    <d v="2022-06-30T00:00:00"/>
    <d v="2022-07-30T00:00:00"/>
    <x v="18"/>
    <x v="4"/>
    <s v="0    "/>
    <s v="                              "/>
    <n v="30"/>
  </r>
  <r>
    <s v="202601"/>
    <s v="901410258-0         "/>
    <x v="18"/>
    <x v="13"/>
    <s v="FECT919     "/>
    <n v="8100003"/>
    <x v="3"/>
    <n v="1308"/>
    <d v="2022-06-30T00:00:00"/>
    <d v="2022-07-30T00:00:00"/>
    <x v="13"/>
    <x v="4"/>
    <s v="0    "/>
    <s v="                              "/>
    <n v="30"/>
  </r>
  <r>
    <s v="202601"/>
    <s v="901410258-0         "/>
    <x v="18"/>
    <x v="13"/>
    <s v="FECT999     "/>
    <n v="4050003"/>
    <x v="3"/>
    <n v="1308"/>
    <d v="2022-06-30T00:00:00"/>
    <d v="2022-07-30T00:00:00"/>
    <x v="13"/>
    <x v="4"/>
    <s v="0    "/>
    <s v="                              "/>
    <n v="30"/>
  </r>
  <r>
    <s v="202601"/>
    <s v="901410258-0         "/>
    <x v="18"/>
    <x v="13"/>
    <s v="FEDC68397   "/>
    <n v="341153"/>
    <x v="3"/>
    <n v="1308"/>
    <d v="2022-06-30T00:00:00"/>
    <d v="2022-07-30T00:00:00"/>
    <x v="13"/>
    <x v="4"/>
    <s v="0    "/>
    <s v="                              "/>
    <n v="30"/>
  </r>
  <r>
    <s v="202601"/>
    <s v="901410258-0         "/>
    <x v="18"/>
    <x v="13"/>
    <s v="FEDC68399   "/>
    <n v="6303804"/>
    <x v="3"/>
    <n v="1308"/>
    <d v="2022-06-30T00:00:00"/>
    <d v="2022-07-30T00:00:00"/>
    <x v="13"/>
    <x v="4"/>
    <s v="0    "/>
    <s v="                              "/>
    <n v="30"/>
  </r>
  <r>
    <s v="202601"/>
    <s v="901410258-0         "/>
    <x v="18"/>
    <x v="13"/>
    <s v="FEDC68456   "/>
    <n v="4867003"/>
    <x v="3"/>
    <n v="1303"/>
    <d v="2022-07-05T00:00:00"/>
    <d v="2022-08-04T00:00:00"/>
    <x v="10"/>
    <x v="4"/>
    <s v="0    "/>
    <s v="                              "/>
    <n v="30"/>
  </r>
  <r>
    <s v="202601"/>
    <s v="901410258-0         "/>
    <x v="18"/>
    <x v="13"/>
    <s v="FEDC68462   "/>
    <n v="4867003"/>
    <x v="3"/>
    <n v="1303"/>
    <d v="2022-07-05T00:00:00"/>
    <d v="2022-08-04T00:00:00"/>
    <x v="11"/>
    <x v="4"/>
    <s v="0    "/>
    <s v="                              "/>
    <n v="30"/>
  </r>
  <r>
    <s v="202601"/>
    <s v="901410258-0         "/>
    <x v="18"/>
    <x v="13"/>
    <s v="FEDC68461   "/>
    <n v="4867003"/>
    <x v="3"/>
    <n v="1303"/>
    <d v="2022-07-05T00:00:00"/>
    <d v="2022-08-04T00:00:00"/>
    <x v="12"/>
    <x v="4"/>
    <s v="0    "/>
    <s v="                              "/>
    <n v="30"/>
  </r>
  <r>
    <s v="202601"/>
    <s v="901410258-0         "/>
    <x v="18"/>
    <x v="13"/>
    <s v="FEDC68458   "/>
    <n v="4867003"/>
    <x v="3"/>
    <n v="1303"/>
    <d v="2022-07-05T00:00:00"/>
    <d v="2022-08-04T00:00:00"/>
    <x v="13"/>
    <x v="4"/>
    <s v="0    "/>
    <s v="                              "/>
    <n v="30"/>
  </r>
  <r>
    <s v="202601"/>
    <s v="901410258-0         "/>
    <x v="18"/>
    <x v="13"/>
    <s v="FEDC68655   "/>
    <n v="5268109"/>
    <x v="3"/>
    <n v="1301"/>
    <d v="2022-07-07T00:00:00"/>
    <d v="2022-08-06T00:00:00"/>
    <x v="14"/>
    <x v="4"/>
    <s v="0    "/>
    <s v="                              "/>
    <n v="30"/>
  </r>
  <r>
    <s v="202601"/>
    <s v="901410258-0         "/>
    <x v="18"/>
    <x v="13"/>
    <s v="FEDC68656   "/>
    <n v="4521002"/>
    <x v="3"/>
    <n v="1301"/>
    <d v="2022-07-07T00:00:00"/>
    <d v="2022-08-06T00:00:00"/>
    <x v="14"/>
    <x v="4"/>
    <s v="0    "/>
    <s v="                              "/>
    <n v="30"/>
  </r>
  <r>
    <s v="202601"/>
    <s v="901410258-0         "/>
    <x v="18"/>
    <x v="13"/>
    <s v="FEDC68657   "/>
    <n v="1284605"/>
    <x v="3"/>
    <n v="1301"/>
    <d v="2022-07-07T00:00:00"/>
    <d v="2022-08-06T00:00:00"/>
    <x v="14"/>
    <x v="4"/>
    <s v="0    "/>
    <s v="                              "/>
    <n v="30"/>
  </r>
  <r>
    <s v="202601"/>
    <s v="901410258-0         "/>
    <x v="18"/>
    <x v="13"/>
    <s v="FEDC68658   "/>
    <n v="2398616"/>
    <x v="3"/>
    <n v="1301"/>
    <d v="2022-07-07T00:00:00"/>
    <d v="2022-08-06T00:00:00"/>
    <x v="14"/>
    <x v="4"/>
    <s v="0    "/>
    <s v="                              "/>
    <n v="30"/>
  </r>
  <r>
    <s v="202601"/>
    <s v="901410258-0         "/>
    <x v="18"/>
    <x v="13"/>
    <s v="FEDC68659   "/>
    <n v="3582188"/>
    <x v="3"/>
    <n v="1301"/>
    <d v="2022-07-07T00:00:00"/>
    <d v="2022-08-06T00:00:00"/>
    <x v="14"/>
    <x v="4"/>
    <s v="0    "/>
    <s v="                              "/>
    <n v="30"/>
  </r>
  <r>
    <s v="202601"/>
    <s v="901410258-0         "/>
    <x v="18"/>
    <x v="13"/>
    <s v="FEDC69161   "/>
    <n v="485760"/>
    <x v="3"/>
    <n v="1295"/>
    <d v="2022-07-13T00:00:00"/>
    <d v="2022-08-12T00:00:00"/>
    <x v="11"/>
    <x v="4"/>
    <s v="0    "/>
    <s v="                              "/>
    <n v="30"/>
  </r>
  <r>
    <s v="202601"/>
    <s v="901410258-0         "/>
    <x v="18"/>
    <x v="13"/>
    <s v="FEDC69153   "/>
    <n v="1047883"/>
    <x v="3"/>
    <n v="1295"/>
    <d v="2022-07-13T00:00:00"/>
    <d v="2022-08-12T00:00:00"/>
    <x v="12"/>
    <x v="4"/>
    <s v="0    "/>
    <s v="                              "/>
    <n v="30"/>
  </r>
  <r>
    <s v="202601"/>
    <s v="901410258-0         "/>
    <x v="18"/>
    <x v="13"/>
    <s v="FEDC69195   "/>
    <n v="866428"/>
    <x v="3"/>
    <n v="1294"/>
    <d v="2022-07-14T00:00:00"/>
    <d v="2022-08-13T00:00:00"/>
    <x v="10"/>
    <x v="4"/>
    <s v="0    "/>
    <s v="                              "/>
    <n v="30"/>
  </r>
  <r>
    <s v="202601"/>
    <s v="901410258-0         "/>
    <x v="18"/>
    <x v="13"/>
    <s v="FEDC69301   "/>
    <n v="2672273"/>
    <x v="3"/>
    <n v="1293"/>
    <d v="2022-07-15T00:00:00"/>
    <d v="2022-08-14T00:00:00"/>
    <x v="13"/>
    <x v="4"/>
    <s v="0    "/>
    <s v="                              "/>
    <n v="30"/>
  </r>
  <r>
    <s v="202601"/>
    <s v="901410258-0         "/>
    <x v="18"/>
    <x v="13"/>
    <s v="FEDC69305   "/>
    <n v="1318496"/>
    <x v="1"/>
    <n v="1293"/>
    <d v="2022-07-15T00:00:00"/>
    <d v="2022-07-30T00:00:00"/>
    <x v="13"/>
    <x v="4"/>
    <s v="0    "/>
    <s v="                              "/>
    <n v="30"/>
  </r>
  <r>
    <s v="202601"/>
    <s v="901410258-0         "/>
    <x v="18"/>
    <x v="13"/>
    <s v="FEDC69478   "/>
    <n v="14296980"/>
    <x v="3"/>
    <n v="1290"/>
    <d v="2022-07-18T00:00:00"/>
    <d v="2022-08-17T00:00:00"/>
    <x v="18"/>
    <x v="4"/>
    <s v="0    "/>
    <s v="                              "/>
    <n v="30"/>
  </r>
  <r>
    <s v="202601"/>
    <s v="901410258-0         "/>
    <x v="18"/>
    <x v="13"/>
    <s v="FEDC69886   "/>
    <n v="4000390"/>
    <x v="3"/>
    <n v="1285"/>
    <d v="2022-07-23T00:00:00"/>
    <d v="2022-08-22T00:00:00"/>
    <x v="14"/>
    <x v="4"/>
    <s v="0    "/>
    <s v="                              "/>
    <n v="30"/>
  </r>
  <r>
    <s v="202601"/>
    <s v="901410258-0         "/>
    <x v="18"/>
    <x v="13"/>
    <s v="FEDC69887   "/>
    <n v="2116541"/>
    <x v="3"/>
    <n v="1285"/>
    <d v="2022-07-23T00:00:00"/>
    <d v="2022-08-22T00:00:00"/>
    <x v="14"/>
    <x v="4"/>
    <s v="0    "/>
    <s v="                              "/>
    <n v="30"/>
  </r>
  <r>
    <s v="202601"/>
    <s v="901410258-0         "/>
    <x v="18"/>
    <x v="13"/>
    <s v="FEDC69888   "/>
    <n v="2643600"/>
    <x v="3"/>
    <n v="1285"/>
    <d v="2022-07-23T00:00:00"/>
    <d v="2022-08-22T00:00:00"/>
    <x v="14"/>
    <x v="4"/>
    <s v="0    "/>
    <s v="                              "/>
    <n v="30"/>
  </r>
  <r>
    <s v="202601"/>
    <s v="901410258-0         "/>
    <x v="18"/>
    <x v="13"/>
    <s v="FEDC69889   "/>
    <n v="5586385"/>
    <x v="3"/>
    <n v="1285"/>
    <d v="2022-07-23T00:00:00"/>
    <d v="2022-08-22T00:00:00"/>
    <x v="14"/>
    <x v="4"/>
    <s v="0    "/>
    <s v="                              "/>
    <n v="30"/>
  </r>
  <r>
    <s v="202601"/>
    <s v="1040492525          "/>
    <x v="24"/>
    <x v="12"/>
    <s v="FEDC69906   "/>
    <n v="79027"/>
    <x v="3"/>
    <n v="1285"/>
    <d v="2022-07-23T00:00:00"/>
    <d v="2022-08-22T00:00:00"/>
    <x v="9"/>
    <x v="1"/>
    <s v="0    "/>
    <s v="3218415163                    "/>
    <n v="30"/>
  </r>
  <r>
    <s v="202601"/>
    <s v="901410258-0         "/>
    <x v="18"/>
    <x v="13"/>
    <s v="FEDC70078   "/>
    <n v="1205579"/>
    <x v="3"/>
    <n v="1281"/>
    <d v="2022-07-27T00:00:00"/>
    <d v="2022-08-26T00:00:00"/>
    <x v="11"/>
    <x v="4"/>
    <s v="0    "/>
    <s v="                              "/>
    <n v="30"/>
  </r>
  <r>
    <s v="202601"/>
    <s v="901410258-0         "/>
    <x v="18"/>
    <x v="13"/>
    <s v="FEDC70071   "/>
    <n v="1193502"/>
    <x v="3"/>
    <n v="1281"/>
    <d v="2022-07-27T00:00:00"/>
    <d v="2022-08-26T00:00:00"/>
    <x v="12"/>
    <x v="4"/>
    <s v="0    "/>
    <s v="                              "/>
    <n v="30"/>
  </r>
  <r>
    <s v="202601"/>
    <s v="901410258-0         "/>
    <x v="18"/>
    <x v="13"/>
    <s v="FEDC70179   "/>
    <n v="3064680"/>
    <x v="3"/>
    <n v="1280"/>
    <d v="2022-07-28T00:00:00"/>
    <d v="2022-08-27T00:00:00"/>
    <x v="14"/>
    <x v="4"/>
    <s v="0    "/>
    <s v="                              "/>
    <n v="30"/>
  </r>
  <r>
    <s v="202601"/>
    <s v="901410258-0         "/>
    <x v="18"/>
    <x v="13"/>
    <s v="FEDC70185   "/>
    <n v="1293000"/>
    <x v="3"/>
    <n v="1280"/>
    <d v="2022-07-28T00:00:00"/>
    <d v="2022-08-27T00:00:00"/>
    <x v="13"/>
    <x v="4"/>
    <s v="0    "/>
    <s v="                              "/>
    <n v="30"/>
  </r>
  <r>
    <s v="202601"/>
    <s v="901410258-0         "/>
    <x v="18"/>
    <x v="13"/>
    <s v="FEDC70356   "/>
    <n v="9020000"/>
    <x v="3"/>
    <n v="1279"/>
    <d v="2022-07-29T00:00:00"/>
    <d v="2022-08-28T00:00:00"/>
    <x v="10"/>
    <x v="4"/>
    <s v="0    "/>
    <s v="                              "/>
    <n v="30"/>
  </r>
  <r>
    <s v="202601"/>
    <s v="901410258-0         "/>
    <x v="18"/>
    <x v="13"/>
    <s v="FEDC70357   "/>
    <n v="4510000"/>
    <x v="3"/>
    <n v="1279"/>
    <d v="2022-07-29T00:00:00"/>
    <d v="2022-08-28T00:00:00"/>
    <x v="11"/>
    <x v="4"/>
    <s v="0    "/>
    <s v="                              "/>
    <n v="30"/>
  </r>
  <r>
    <s v="202601"/>
    <s v="901410258-0         "/>
    <x v="18"/>
    <x v="13"/>
    <s v="FEDC70358   "/>
    <n v="4510000"/>
    <x v="3"/>
    <n v="1279"/>
    <d v="2022-07-29T00:00:00"/>
    <d v="2022-08-28T00:00:00"/>
    <x v="12"/>
    <x v="4"/>
    <s v="0    "/>
    <s v="                              "/>
    <n v="30"/>
  </r>
  <r>
    <s v="202601"/>
    <s v="901410258-0         "/>
    <x v="18"/>
    <x v="13"/>
    <s v="FEDC70355   "/>
    <n v="13093000"/>
    <x v="3"/>
    <n v="1279"/>
    <d v="2022-07-29T00:00:00"/>
    <d v="2022-08-28T00:00:00"/>
    <x v="13"/>
    <x v="4"/>
    <s v="0    "/>
    <s v="                              "/>
    <n v="30"/>
  </r>
  <r>
    <s v="202601"/>
    <s v="901410258-0         "/>
    <x v="18"/>
    <x v="13"/>
    <s v="FEDC70365   "/>
    <n v="16257000"/>
    <x v="3"/>
    <n v="1278"/>
    <d v="2022-07-30T00:00:00"/>
    <d v="2022-08-29T00:00:00"/>
    <x v="18"/>
    <x v="4"/>
    <s v="0    "/>
    <s v="                              "/>
    <n v="30"/>
  </r>
  <r>
    <s v="202601"/>
    <s v="901410258-0         "/>
    <x v="18"/>
    <x v="13"/>
    <s v="FEDC70366   "/>
    <n v="5866795"/>
    <x v="3"/>
    <n v="1278"/>
    <d v="2022-07-30T00:00:00"/>
    <d v="2022-08-29T00:00:00"/>
    <x v="18"/>
    <x v="4"/>
    <s v="0    "/>
    <s v="                              "/>
    <n v="30"/>
  </r>
  <r>
    <s v="202601"/>
    <s v="901410258-0         "/>
    <x v="18"/>
    <x v="13"/>
    <s v="FEDC70786   "/>
    <n v="5134758"/>
    <x v="3"/>
    <n v="1273"/>
    <d v="2022-08-04T00:00:00"/>
    <d v="2022-09-03T00:00:00"/>
    <x v="14"/>
    <x v="4"/>
    <s v="0    "/>
    <s v="                              "/>
    <n v="30"/>
  </r>
  <r>
    <s v="202601"/>
    <s v="901410258-0         "/>
    <x v="18"/>
    <x v="13"/>
    <s v="FEDC70787   "/>
    <n v="545400"/>
    <x v="3"/>
    <n v="1273"/>
    <d v="2022-08-04T00:00:00"/>
    <d v="2022-09-03T00:00:00"/>
    <x v="14"/>
    <x v="4"/>
    <s v="0    "/>
    <s v="                              "/>
    <n v="30"/>
  </r>
  <r>
    <s v="202601"/>
    <s v="901410258-0         "/>
    <x v="18"/>
    <x v="13"/>
    <s v="FEDC70788   "/>
    <n v="1852817"/>
    <x v="3"/>
    <n v="1273"/>
    <d v="2022-08-04T00:00:00"/>
    <d v="2022-09-03T00:00:00"/>
    <x v="14"/>
    <x v="4"/>
    <s v="0    "/>
    <s v="                              "/>
    <n v="30"/>
  </r>
  <r>
    <s v="202601"/>
    <s v="901410258-0         "/>
    <x v="18"/>
    <x v="13"/>
    <s v="FEDC70789   "/>
    <n v="1934338"/>
    <x v="3"/>
    <n v="1273"/>
    <d v="2022-08-04T00:00:00"/>
    <d v="2022-09-03T00:00:00"/>
    <x v="14"/>
    <x v="4"/>
    <s v="0    "/>
    <s v="                              "/>
    <n v="30"/>
  </r>
  <r>
    <s v="202601"/>
    <s v="901410258-0         "/>
    <x v="18"/>
    <x v="13"/>
    <s v="FEDC70790   "/>
    <n v="3075861"/>
    <x v="3"/>
    <n v="1273"/>
    <d v="2022-08-04T00:00:00"/>
    <d v="2022-09-03T00:00:00"/>
    <x v="14"/>
    <x v="4"/>
    <s v="0    "/>
    <s v="                              "/>
    <n v="30"/>
  </r>
  <r>
    <s v="202601"/>
    <s v="901410258-0         "/>
    <x v="18"/>
    <x v="13"/>
    <s v="FEDC70988   "/>
    <n v="1587740"/>
    <x v="3"/>
    <n v="1271"/>
    <d v="2022-08-06T00:00:00"/>
    <d v="2022-09-05T00:00:00"/>
    <x v="18"/>
    <x v="4"/>
    <s v="0    "/>
    <s v="                              "/>
    <n v="30"/>
  </r>
  <r>
    <s v="202601"/>
    <s v="901410258-0         "/>
    <x v="18"/>
    <x v="13"/>
    <s v="FEDC71211   "/>
    <n v="6328000"/>
    <x v="3"/>
    <n v="1266"/>
    <d v="2022-08-11T00:00:00"/>
    <d v="2022-09-10T00:00:00"/>
    <x v="11"/>
    <x v="4"/>
    <s v="0    "/>
    <s v="                              "/>
    <n v="30"/>
  </r>
  <r>
    <s v="202601"/>
    <s v="901410258-0         "/>
    <x v="18"/>
    <x v="13"/>
    <s v="FEDC71212   "/>
    <n v="1229612"/>
    <x v="3"/>
    <n v="1266"/>
    <d v="2022-08-11T00:00:00"/>
    <d v="2022-09-10T00:00:00"/>
    <x v="11"/>
    <x v="4"/>
    <s v="0    "/>
    <s v="                              "/>
    <n v="30"/>
  </r>
  <r>
    <s v="202601"/>
    <s v="901410258-0         "/>
    <x v="18"/>
    <x v="13"/>
    <s v="FEDC71199   "/>
    <n v="2112388"/>
    <x v="3"/>
    <n v="1266"/>
    <d v="2022-08-11T00:00:00"/>
    <d v="2022-09-10T00:00:00"/>
    <x v="12"/>
    <x v="4"/>
    <s v="0    "/>
    <s v="                              "/>
    <n v="30"/>
  </r>
  <r>
    <s v="202601"/>
    <s v="901410258-0         "/>
    <x v="18"/>
    <x v="13"/>
    <s v="FEDC71200   "/>
    <n v="584795"/>
    <x v="3"/>
    <n v="1266"/>
    <d v="2022-08-11T00:00:00"/>
    <d v="2022-09-10T00:00:00"/>
    <x v="12"/>
    <x v="4"/>
    <s v="0    "/>
    <s v="                              "/>
    <n v="30"/>
  </r>
  <r>
    <s v="202601"/>
    <s v="901410258-0         "/>
    <x v="18"/>
    <x v="13"/>
    <s v="FEDC71281   "/>
    <n v="850857"/>
    <x v="3"/>
    <n v="1265"/>
    <d v="2022-08-12T00:00:00"/>
    <d v="2022-09-11T00:00:00"/>
    <x v="18"/>
    <x v="4"/>
    <s v="0    "/>
    <s v="                              "/>
    <n v="30"/>
  </r>
  <r>
    <s v="202601"/>
    <s v="901410258-0         "/>
    <x v="18"/>
    <x v="13"/>
    <s v="FEDC71267   "/>
    <n v="1166714"/>
    <x v="3"/>
    <n v="1265"/>
    <d v="2022-08-12T00:00:00"/>
    <d v="2022-09-11T00:00:00"/>
    <x v="10"/>
    <x v="4"/>
    <s v="0    "/>
    <s v="                              "/>
    <n v="30"/>
  </r>
  <r>
    <s v="202601"/>
    <s v="901410258-0         "/>
    <x v="18"/>
    <x v="13"/>
    <s v="FEDC71270   "/>
    <n v="13093000"/>
    <x v="3"/>
    <n v="1265"/>
    <d v="2022-08-12T00:00:00"/>
    <d v="2022-09-11T00:00:00"/>
    <x v="13"/>
    <x v="4"/>
    <s v="0    "/>
    <s v="                              "/>
    <n v="30"/>
  </r>
  <r>
    <s v="202601"/>
    <s v="901410258-0         "/>
    <x v="18"/>
    <x v="13"/>
    <s v="FEDC71282   "/>
    <n v="530400"/>
    <x v="3"/>
    <n v="1265"/>
    <d v="2022-08-12T00:00:00"/>
    <d v="2022-09-11T00:00:00"/>
    <x v="13"/>
    <x v="4"/>
    <s v="0    "/>
    <s v="                              "/>
    <n v="30"/>
  </r>
  <r>
    <s v="202601"/>
    <s v="901410258-0         "/>
    <x v="18"/>
    <x v="13"/>
    <s v="FEDC71393   "/>
    <n v="2350805"/>
    <x v="3"/>
    <n v="1264"/>
    <d v="2022-08-13T00:00:00"/>
    <d v="2022-09-12T00:00:00"/>
    <x v="18"/>
    <x v="4"/>
    <s v="0    "/>
    <s v="                              "/>
    <n v="30"/>
  </r>
  <r>
    <s v="202601"/>
    <s v="901410258-0         "/>
    <x v="18"/>
    <x v="13"/>
    <s v="FEDC71394   "/>
    <n v="511393"/>
    <x v="3"/>
    <n v="1264"/>
    <d v="2022-08-13T00:00:00"/>
    <d v="2022-09-12T00:00:00"/>
    <x v="18"/>
    <x v="4"/>
    <s v="0    "/>
    <s v="                              "/>
    <n v="30"/>
  </r>
  <r>
    <s v="202601"/>
    <s v="901410258-0         "/>
    <x v="18"/>
    <x v="13"/>
    <s v="FEDC71570   "/>
    <n v="3539174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571   "/>
    <n v="1840200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572   "/>
    <n v="2189962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573   "/>
    <n v="2042821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574   "/>
    <n v="382965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583   "/>
    <n v="218879"/>
    <x v="3"/>
    <n v="1260"/>
    <d v="2022-08-17T00:00:00"/>
    <d v="2022-09-16T00:00:00"/>
    <x v="14"/>
    <x v="4"/>
    <s v="0    "/>
    <s v="                              "/>
    <n v="30"/>
  </r>
  <r>
    <s v="202601"/>
    <s v="901410258-0         "/>
    <x v="18"/>
    <x v="13"/>
    <s v="FEDC71730   "/>
    <n v="2337397"/>
    <x v="3"/>
    <n v="1258"/>
    <d v="2022-08-19T00:00:00"/>
    <d v="2022-09-18T00:00:00"/>
    <x v="14"/>
    <x v="5"/>
    <s v="0    "/>
    <s v="                              "/>
    <n v="30"/>
  </r>
  <r>
    <s v="202601"/>
    <s v="901410258-0         "/>
    <x v="18"/>
    <x v="13"/>
    <s v="FEDC71780   "/>
    <n v="728341"/>
    <x v="3"/>
    <n v="1258"/>
    <d v="2022-08-19T00:00:00"/>
    <d v="2022-09-18T00:00:00"/>
    <x v="14"/>
    <x v="5"/>
    <s v="0    "/>
    <s v="                              "/>
    <n v="30"/>
  </r>
  <r>
    <s v="202601"/>
    <s v="901410258-0         "/>
    <x v="18"/>
    <x v="13"/>
    <s v="FEDC71781   "/>
    <n v="301155"/>
    <x v="3"/>
    <n v="1258"/>
    <d v="2022-08-19T00:00:00"/>
    <d v="2022-09-18T00:00:00"/>
    <x v="14"/>
    <x v="5"/>
    <s v="0    "/>
    <s v="                              "/>
    <n v="30"/>
  </r>
  <r>
    <s v="202601"/>
    <s v="901410258-0         "/>
    <x v="18"/>
    <x v="13"/>
    <s v="FEDC72015   "/>
    <n v="1701527"/>
    <x v="3"/>
    <n v="1254"/>
    <d v="2022-08-23T00:00:00"/>
    <d v="2022-09-22T00:00:00"/>
    <x v="12"/>
    <x v="4"/>
    <s v="0    "/>
    <s v="                              "/>
    <n v="30"/>
  </r>
  <r>
    <s v="202601"/>
    <s v="901410258-0         "/>
    <x v="18"/>
    <x v="13"/>
    <s v="FEDC72045   "/>
    <n v="6905348"/>
    <x v="3"/>
    <n v="1253"/>
    <d v="2022-08-24T00:00:00"/>
    <d v="2022-09-23T00:00:00"/>
    <x v="18"/>
    <x v="4"/>
    <s v="0    "/>
    <s v="                              "/>
    <n v="30"/>
  </r>
  <r>
    <s v="202601"/>
    <s v="901410258-0         "/>
    <x v="18"/>
    <x v="13"/>
    <s v="FEDC72088   "/>
    <n v="1195944"/>
    <x v="3"/>
    <n v="1253"/>
    <d v="2022-08-24T00:00:00"/>
    <d v="2022-09-23T00:00:00"/>
    <x v="18"/>
    <x v="4"/>
    <s v="0    "/>
    <s v="                              "/>
    <n v="30"/>
  </r>
  <r>
    <s v="202601"/>
    <s v="901410258-0         "/>
    <x v="18"/>
    <x v="13"/>
    <s v="FEDC72071   "/>
    <n v="1166247"/>
    <x v="3"/>
    <n v="1253"/>
    <d v="2022-08-24T00:00:00"/>
    <d v="2022-09-23T00:00:00"/>
    <x v="14"/>
    <x v="4"/>
    <s v="0    "/>
    <s v="                              "/>
    <n v="30"/>
  </r>
  <r>
    <s v="202601"/>
    <s v="901554209           "/>
    <x v="25"/>
    <x v="18"/>
    <s v="FEDC72199   "/>
    <n v="400000"/>
    <x v="3"/>
    <n v="1252"/>
    <d v="2022-08-25T00:00:00"/>
    <d v="2022-09-24T00:00:00"/>
    <x v="17"/>
    <x v="8"/>
    <s v="0    "/>
    <s v="                              "/>
    <n v="30"/>
  </r>
  <r>
    <s v="202601"/>
    <s v="901410258-0         "/>
    <x v="18"/>
    <x v="13"/>
    <s v="FEDC72244   "/>
    <n v="19734689"/>
    <x v="3"/>
    <n v="1250"/>
    <d v="2022-08-27T00:00:00"/>
    <d v="2022-09-26T00:00:00"/>
    <x v="18"/>
    <x v="4"/>
    <s v="0    "/>
    <s v="                              "/>
    <n v="30"/>
  </r>
  <r>
    <s v="202601"/>
    <s v="901410258-0         "/>
    <x v="18"/>
    <x v="13"/>
    <s v="FEDC72245   "/>
    <n v="1858000"/>
    <x v="3"/>
    <n v="1250"/>
    <d v="2022-08-27T00:00:00"/>
    <d v="2022-09-26T00:00:00"/>
    <x v="18"/>
    <x v="4"/>
    <s v="0    "/>
    <s v="                              "/>
    <n v="30"/>
  </r>
  <r>
    <s v="202601"/>
    <s v="901410258-0         "/>
    <x v="18"/>
    <x v="13"/>
    <s v="FEDC72246   "/>
    <n v="2009958"/>
    <x v="3"/>
    <n v="1250"/>
    <d v="2022-08-27T00:00:00"/>
    <d v="2022-09-26T00:00:00"/>
    <x v="18"/>
    <x v="4"/>
    <s v="0    "/>
    <s v="                              "/>
    <n v="30"/>
  </r>
  <r>
    <s v="202601"/>
    <s v="901410258-0         "/>
    <x v="18"/>
    <x v="13"/>
    <s v="FEDC72247   "/>
    <n v="699150"/>
    <x v="3"/>
    <n v="1250"/>
    <d v="2022-08-27T00:00:00"/>
    <d v="2022-09-26T00:00:00"/>
    <x v="18"/>
    <x v="4"/>
    <s v="0    "/>
    <s v="                              "/>
    <n v="30"/>
  </r>
  <r>
    <s v="202601"/>
    <s v="901410258-0         "/>
    <x v="18"/>
    <x v="13"/>
    <s v="FEDC72417   "/>
    <n v="3198310"/>
    <x v="3"/>
    <n v="1246"/>
    <d v="2022-08-31T00:00:00"/>
    <d v="2022-09-30T00:00:00"/>
    <x v="14"/>
    <x v="4"/>
    <s v="0    "/>
    <s v="                              "/>
    <n v="30"/>
  </r>
  <r>
    <s v="202601"/>
    <s v="901410258-0         "/>
    <x v="18"/>
    <x v="13"/>
    <s v="FEDC72418   "/>
    <n v="1654400"/>
    <x v="3"/>
    <n v="1246"/>
    <d v="2022-08-31T00:00:00"/>
    <d v="2022-09-30T00:00:00"/>
    <x v="14"/>
    <x v="4"/>
    <s v="0    "/>
    <s v="                              "/>
    <n v="30"/>
  </r>
  <r>
    <s v="202601"/>
    <s v="901410258-0         "/>
    <x v="18"/>
    <x v="13"/>
    <s v="FEDC72419   "/>
    <n v="2607679"/>
    <x v="3"/>
    <n v="1246"/>
    <d v="2022-08-31T00:00:00"/>
    <d v="2022-09-30T00:00:00"/>
    <x v="14"/>
    <x v="4"/>
    <s v="0    "/>
    <s v="                              "/>
    <n v="30"/>
  </r>
  <r>
    <s v="202601"/>
    <s v="901410258-0         "/>
    <x v="18"/>
    <x v="13"/>
    <s v="FEDC72420   "/>
    <n v="1343620"/>
    <x v="3"/>
    <n v="1246"/>
    <d v="2022-08-31T00:00:00"/>
    <d v="2022-09-30T00:00:00"/>
    <x v="14"/>
    <x v="4"/>
    <s v="0    "/>
    <s v="                              "/>
    <n v="30"/>
  </r>
  <r>
    <s v="202601"/>
    <s v="1066510443          "/>
    <x v="26"/>
    <x v="19"/>
    <s v="CO64947     "/>
    <n v="139106"/>
    <x v="5"/>
    <n v="1241"/>
    <d v="2022-09-05T00:00:00"/>
    <d v="2022-09-06T00:00:00"/>
    <x v="22"/>
    <x v="10"/>
    <s v="0    "/>
    <s v="3115349865                    "/>
    <n v="1"/>
  </r>
  <r>
    <s v="202601"/>
    <s v="901410258-0         "/>
    <x v="18"/>
    <x v="13"/>
    <s v="FEDC72939   "/>
    <n v="2573837"/>
    <x v="3"/>
    <n v="1239"/>
    <d v="2022-09-07T00:00:00"/>
    <d v="2022-10-07T00:00:00"/>
    <x v="11"/>
    <x v="4"/>
    <s v="0    "/>
    <s v="                              "/>
    <n v="30"/>
  </r>
  <r>
    <s v="202601"/>
    <s v="901410258-0         "/>
    <x v="18"/>
    <x v="13"/>
    <s v="FEDC72888   "/>
    <n v="1321114"/>
    <x v="5"/>
    <n v="1239"/>
    <d v="2022-09-07T00:00:00"/>
    <d v="2022-09-08T00:00:00"/>
    <x v="12"/>
    <x v="4"/>
    <s v="0    "/>
    <s v="                              "/>
    <n v="30"/>
  </r>
  <r>
    <s v="202601"/>
    <s v="901410258-0         "/>
    <x v="18"/>
    <x v="13"/>
    <s v="FEDC72889   "/>
    <n v="1829072"/>
    <x v="5"/>
    <n v="1239"/>
    <d v="2022-09-07T00:00:00"/>
    <d v="2022-09-08T00:00:00"/>
    <x v="12"/>
    <x v="4"/>
    <s v="0    "/>
    <s v="                              "/>
    <n v="30"/>
  </r>
  <r>
    <s v="202601"/>
    <s v="901410258-0         "/>
    <x v="18"/>
    <x v="13"/>
    <s v="FEDC73206   "/>
    <n v="6841869"/>
    <x v="3"/>
    <n v="1237"/>
    <d v="2022-09-09T00:00:00"/>
    <d v="2022-10-09T00:00:00"/>
    <x v="18"/>
    <x v="4"/>
    <s v="0    "/>
    <s v="                              "/>
    <n v="30"/>
  </r>
  <r>
    <s v="202601"/>
    <s v="901410258-0         "/>
    <x v="18"/>
    <x v="13"/>
    <s v="FEDC73207   "/>
    <n v="1858000"/>
    <x v="3"/>
    <n v="1237"/>
    <d v="2022-09-09T00:00:00"/>
    <d v="2022-10-09T00:00:00"/>
    <x v="18"/>
    <x v="4"/>
    <s v="0    "/>
    <s v="                              "/>
    <n v="30"/>
  </r>
  <r>
    <s v="202601"/>
    <s v="901410258-0         "/>
    <x v="18"/>
    <x v="13"/>
    <s v="FEDC73076   "/>
    <n v="667421"/>
    <x v="3"/>
    <n v="1237"/>
    <d v="2022-09-09T00:00:00"/>
    <d v="2022-10-09T00:00:00"/>
    <x v="10"/>
    <x v="4"/>
    <s v="0    "/>
    <s v="                              "/>
    <n v="30"/>
  </r>
  <r>
    <s v="202601"/>
    <s v="901410258-0         "/>
    <x v="18"/>
    <x v="13"/>
    <s v="FEDC73086   "/>
    <n v="757498"/>
    <x v="3"/>
    <n v="1237"/>
    <d v="2022-09-09T00:00:00"/>
    <d v="2022-10-09T00:00:00"/>
    <x v="13"/>
    <x v="4"/>
    <s v="0    "/>
    <s v="                              "/>
    <n v="30"/>
  </r>
  <r>
    <s v="202601"/>
    <s v="901410258-0         "/>
    <x v="18"/>
    <x v="13"/>
    <s v="FEDC73322   "/>
    <n v="2300302"/>
    <x v="3"/>
    <n v="1233"/>
    <d v="2022-09-13T00:00:00"/>
    <d v="2022-10-13T00:00:00"/>
    <x v="14"/>
    <x v="4"/>
    <s v="0    "/>
    <s v="                              "/>
    <n v="30"/>
  </r>
  <r>
    <s v="202601"/>
    <s v="901410258-0         "/>
    <x v="18"/>
    <x v="13"/>
    <s v="FEDC73323   "/>
    <n v="2795600"/>
    <x v="3"/>
    <n v="1233"/>
    <d v="2022-09-13T00:00:00"/>
    <d v="2022-10-13T00:00:00"/>
    <x v="14"/>
    <x v="4"/>
    <s v="0    "/>
    <s v="                              "/>
    <n v="30"/>
  </r>
  <r>
    <s v="202601"/>
    <s v="901410258-0         "/>
    <x v="18"/>
    <x v="13"/>
    <s v="FEDC73324   "/>
    <n v="1083566"/>
    <x v="3"/>
    <n v="1233"/>
    <d v="2022-09-13T00:00:00"/>
    <d v="2022-10-13T00:00:00"/>
    <x v="14"/>
    <x v="4"/>
    <s v="0    "/>
    <s v="                              "/>
    <n v="30"/>
  </r>
  <r>
    <s v="202601"/>
    <s v="901410258-0         "/>
    <x v="18"/>
    <x v="13"/>
    <s v="FEDC73325   "/>
    <n v="3000836"/>
    <x v="3"/>
    <n v="1233"/>
    <d v="2022-09-13T00:00:00"/>
    <d v="2022-10-13T00:00:00"/>
    <x v="14"/>
    <x v="4"/>
    <s v="0    "/>
    <s v="                              "/>
    <n v="30"/>
  </r>
  <r>
    <s v="202601"/>
    <s v="901410258-0         "/>
    <x v="18"/>
    <x v="13"/>
    <s v="FEDC73326   "/>
    <n v="1621424"/>
    <x v="3"/>
    <n v="1233"/>
    <d v="2022-09-13T00:00:00"/>
    <d v="2022-10-13T00:00:00"/>
    <x v="14"/>
    <x v="4"/>
    <s v="0    "/>
    <s v="                              "/>
    <n v="30"/>
  </r>
  <r>
    <s v="202601"/>
    <s v="1040512823          "/>
    <x v="27"/>
    <x v="12"/>
    <s v="FEDC73617   "/>
    <n v="695264"/>
    <x v="3"/>
    <n v="1230"/>
    <d v="2022-09-16T00:00:00"/>
    <d v="2022-10-16T00:00:00"/>
    <x v="9"/>
    <x v="1"/>
    <s v="0    "/>
    <s v="3113197352                    "/>
    <n v="30"/>
  </r>
  <r>
    <s v="202601"/>
    <s v="901410258-0         "/>
    <x v="18"/>
    <x v="13"/>
    <s v="FEDC73681   "/>
    <n v="2460938"/>
    <x v="3"/>
    <n v="1229"/>
    <d v="2022-09-17T00:00:00"/>
    <d v="2022-10-17T00:00:00"/>
    <x v="14"/>
    <x v="5"/>
    <s v="0    "/>
    <s v="                              "/>
    <n v="30"/>
  </r>
  <r>
    <s v="202601"/>
    <s v="901410258-0         "/>
    <x v="18"/>
    <x v="13"/>
    <s v="FEDC73711   "/>
    <n v="15688000"/>
    <x v="3"/>
    <n v="1227"/>
    <d v="2022-09-19T00:00:00"/>
    <d v="2022-10-19T00:00:00"/>
    <x v="18"/>
    <x v="4"/>
    <s v="0    "/>
    <s v="                              "/>
    <n v="30"/>
  </r>
  <r>
    <s v="202601"/>
    <s v="901410258-0         "/>
    <x v="18"/>
    <x v="13"/>
    <s v="FEDC73743   "/>
    <n v="11078000"/>
    <x v="3"/>
    <n v="1227"/>
    <d v="2022-09-19T00:00:00"/>
    <d v="2022-10-19T00:00:00"/>
    <x v="10"/>
    <x v="4"/>
    <s v="0    "/>
    <s v="                              "/>
    <n v="30"/>
  </r>
  <r>
    <s v="202601"/>
    <s v="901410258-0         "/>
    <x v="18"/>
    <x v="13"/>
    <s v="FEDC73742   "/>
    <n v="8773000"/>
    <x v="3"/>
    <n v="1227"/>
    <d v="2022-09-19T00:00:00"/>
    <d v="2022-10-19T00:00:00"/>
    <x v="11"/>
    <x v="4"/>
    <s v="0    "/>
    <s v="                              "/>
    <n v="30"/>
  </r>
  <r>
    <s v="202601"/>
    <s v="901410258-0         "/>
    <x v="18"/>
    <x v="13"/>
    <s v="FEDC73741   "/>
    <n v="11078000"/>
    <x v="3"/>
    <n v="1227"/>
    <d v="2022-09-19T00:00:00"/>
    <d v="2022-10-19T00:00:00"/>
    <x v="12"/>
    <x v="4"/>
    <s v="0    "/>
    <s v="                              "/>
    <n v="30"/>
  </r>
  <r>
    <s v="202601"/>
    <s v="901410258-0         "/>
    <x v="18"/>
    <x v="13"/>
    <s v="FEDC73800   "/>
    <n v="1284360"/>
    <x v="3"/>
    <n v="1226"/>
    <d v="2022-09-20T00:00:00"/>
    <d v="2022-10-20T00:00:00"/>
    <x v="11"/>
    <x v="4"/>
    <s v="0    "/>
    <s v="                              "/>
    <n v="30"/>
  </r>
  <r>
    <s v="202601"/>
    <s v="901410258-0         "/>
    <x v="18"/>
    <x v="13"/>
    <s v="FEDC73792   "/>
    <n v="1748217"/>
    <x v="3"/>
    <n v="1226"/>
    <d v="2022-09-20T00:00:00"/>
    <d v="2022-10-20T00:00:00"/>
    <x v="12"/>
    <x v="4"/>
    <s v="0    "/>
    <s v="                              "/>
    <n v="30"/>
  </r>
  <r>
    <s v="202601"/>
    <s v="901410258-0         "/>
    <x v="18"/>
    <x v="13"/>
    <s v="FEDC73793   "/>
    <n v="205932"/>
    <x v="3"/>
    <n v="1226"/>
    <d v="2022-09-20T00:00:00"/>
    <d v="2022-10-20T00:00:00"/>
    <x v="12"/>
    <x v="4"/>
    <s v="0    "/>
    <s v="                              "/>
    <n v="30"/>
  </r>
  <r>
    <s v="202601"/>
    <s v="901410258-0         "/>
    <x v="18"/>
    <x v="13"/>
    <s v="FEDC73833   "/>
    <n v="20298000"/>
    <x v="3"/>
    <n v="1225"/>
    <d v="2022-09-21T00:00:00"/>
    <d v="2022-10-21T00:00:00"/>
    <x v="13"/>
    <x v="4"/>
    <s v="0    "/>
    <s v="                              "/>
    <n v="30"/>
  </r>
  <r>
    <s v="202601"/>
    <s v="901410258-0         "/>
    <x v="18"/>
    <x v="13"/>
    <s v="FEDC73894   "/>
    <n v="1750091"/>
    <x v="3"/>
    <n v="1225"/>
    <d v="2022-09-21T00:00:00"/>
    <d v="2022-10-21T00:00:00"/>
    <x v="13"/>
    <x v="4"/>
    <s v="0    "/>
    <s v="                              "/>
    <n v="30"/>
  </r>
  <r>
    <s v="202601"/>
    <s v="901410258-0         "/>
    <x v="18"/>
    <x v="13"/>
    <s v="FEDC73986   "/>
    <n v="47207550"/>
    <x v="3"/>
    <n v="1223"/>
    <d v="2022-09-23T00:00:00"/>
    <d v="2022-10-23T00:00:00"/>
    <x v="18"/>
    <x v="4"/>
    <s v="0    "/>
    <s v="                              "/>
    <n v="30"/>
  </r>
  <r>
    <s v="202601"/>
    <s v="901410258-0         "/>
    <x v="18"/>
    <x v="13"/>
    <s v="FEDC73997   "/>
    <n v="6748000"/>
    <x v="3"/>
    <n v="1223"/>
    <d v="2022-09-23T00:00:00"/>
    <d v="2022-10-23T00:00:00"/>
    <x v="14"/>
    <x v="4"/>
    <s v="0    "/>
    <s v="                              "/>
    <n v="30"/>
  </r>
  <r>
    <s v="202601"/>
    <s v="901410258-0         "/>
    <x v="18"/>
    <x v="13"/>
    <s v="FEDC74170   "/>
    <n v="5327333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171   "/>
    <n v="557400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172   "/>
    <n v="6009493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173   "/>
    <n v="3002916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174   "/>
    <n v="4846119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175   "/>
    <n v="966461"/>
    <x v="3"/>
    <n v="1219"/>
    <d v="2022-09-27T00:00:00"/>
    <d v="2022-10-27T00:00:00"/>
    <x v="14"/>
    <x v="4"/>
    <s v="0    "/>
    <s v="                              "/>
    <n v="30"/>
  </r>
  <r>
    <s v="202601"/>
    <s v="901410258-0         "/>
    <x v="18"/>
    <x v="13"/>
    <s v="FEDC74655   "/>
    <n v="1007716"/>
    <x v="3"/>
    <n v="1211"/>
    <d v="2022-10-05T00:00:00"/>
    <d v="2022-11-04T00:00:00"/>
    <x v="11"/>
    <x v="4"/>
    <s v="0    "/>
    <s v="                              "/>
    <n v="30"/>
  </r>
  <r>
    <s v="202601"/>
    <s v="901410258-0         "/>
    <x v="18"/>
    <x v="13"/>
    <s v="FEDC74780   "/>
    <n v="2301681"/>
    <x v="3"/>
    <n v="1210"/>
    <d v="2022-10-06T00:00:00"/>
    <d v="2022-11-05T00:00:00"/>
    <x v="13"/>
    <x v="4"/>
    <s v="0    "/>
    <s v="                              "/>
    <n v="30"/>
  </r>
  <r>
    <s v="202601"/>
    <s v="901410258-0         "/>
    <x v="18"/>
    <x v="13"/>
    <s v="FEDC74873   "/>
    <n v="1073095"/>
    <x v="3"/>
    <n v="1208"/>
    <d v="2022-10-08T00:00:00"/>
    <d v="2022-11-07T00:00:00"/>
    <x v="18"/>
    <x v="4"/>
    <s v="0    "/>
    <s v="                              "/>
    <n v="30"/>
  </r>
  <r>
    <s v="202601"/>
    <s v="901410258-0         "/>
    <x v="18"/>
    <x v="13"/>
    <s v="FEDC74877   "/>
    <n v="1150800"/>
    <x v="3"/>
    <n v="1208"/>
    <d v="2022-10-08T00:00:00"/>
    <d v="2022-11-07T00:00:00"/>
    <x v="18"/>
    <x v="4"/>
    <s v="0    "/>
    <s v="                              "/>
    <n v="30"/>
  </r>
  <r>
    <s v="202601"/>
    <s v="901410258-0         "/>
    <x v="18"/>
    <x v="13"/>
    <s v="FEDC74878   "/>
    <n v="45220095"/>
    <x v="3"/>
    <n v="1208"/>
    <d v="2022-10-08T00:00:00"/>
    <d v="2022-11-07T00:00:00"/>
    <x v="18"/>
    <x v="4"/>
    <s v="0    "/>
    <s v="                              "/>
    <n v="30"/>
  </r>
  <r>
    <s v="202601"/>
    <s v="901410258-0         "/>
    <x v="18"/>
    <x v="13"/>
    <s v="FEDC75105   "/>
    <n v="5021360"/>
    <x v="3"/>
    <n v="1204"/>
    <d v="2022-10-12T00:00:00"/>
    <d v="2022-11-11T00:00:00"/>
    <x v="14"/>
    <x v="4"/>
    <s v="0    "/>
    <s v="                              "/>
    <n v="30"/>
  </r>
  <r>
    <s v="202601"/>
    <s v="901410258-0         "/>
    <x v="18"/>
    <x v="13"/>
    <s v="FEDC75106   "/>
    <n v="2505000"/>
    <x v="3"/>
    <n v="1204"/>
    <d v="2022-10-12T00:00:00"/>
    <d v="2022-11-11T00:00:00"/>
    <x v="14"/>
    <x v="4"/>
    <s v="0    "/>
    <s v="                              "/>
    <n v="30"/>
  </r>
  <r>
    <s v="202601"/>
    <s v="901410258-0         "/>
    <x v="18"/>
    <x v="13"/>
    <s v="FEDC75107   "/>
    <n v="1733233"/>
    <x v="3"/>
    <n v="1204"/>
    <d v="2022-10-12T00:00:00"/>
    <d v="2022-11-11T00:00:00"/>
    <x v="14"/>
    <x v="4"/>
    <s v="0    "/>
    <s v="                              "/>
    <n v="30"/>
  </r>
  <r>
    <s v="202601"/>
    <s v="901410258-0         "/>
    <x v="18"/>
    <x v="13"/>
    <s v="FEDC75108   "/>
    <n v="5016870"/>
    <x v="3"/>
    <n v="1204"/>
    <d v="2022-10-12T00:00:00"/>
    <d v="2022-11-11T00:00:00"/>
    <x v="14"/>
    <x v="4"/>
    <s v="0    "/>
    <s v="                              "/>
    <n v="30"/>
  </r>
  <r>
    <s v="202601"/>
    <s v="901410258-0         "/>
    <x v="18"/>
    <x v="13"/>
    <s v="FEDC75109   "/>
    <n v="1764100"/>
    <x v="3"/>
    <n v="1204"/>
    <d v="2022-10-12T00:00:00"/>
    <d v="2022-11-11T00:00:00"/>
    <x v="14"/>
    <x v="4"/>
    <s v="0    "/>
    <s v="                              "/>
    <n v="30"/>
  </r>
  <r>
    <s v="202601"/>
    <s v="901410258-0         "/>
    <x v="18"/>
    <x v="13"/>
    <s v="FEDC75323   "/>
    <n v="5545000"/>
    <x v="3"/>
    <n v="1202"/>
    <d v="2022-10-14T00:00:00"/>
    <d v="2022-11-13T00:00:00"/>
    <x v="14"/>
    <x v="4"/>
    <s v="0    "/>
    <s v="                              "/>
    <n v="30"/>
  </r>
  <r>
    <s v="202601"/>
    <s v="901410258-0         "/>
    <x v="18"/>
    <x v="13"/>
    <s v="FEDC75324   "/>
    <n v="1189366"/>
    <x v="3"/>
    <n v="1202"/>
    <d v="2022-10-14T00:00:00"/>
    <d v="2022-11-13T00:00:00"/>
    <x v="14"/>
    <x v="4"/>
    <s v="0    "/>
    <s v="                              "/>
    <n v="30"/>
  </r>
  <r>
    <s v="202601"/>
    <s v="901410258-0         "/>
    <x v="18"/>
    <x v="13"/>
    <s v="FEDC75364   "/>
    <n v="7604990"/>
    <x v="3"/>
    <n v="1201"/>
    <d v="2022-10-15T00:00:00"/>
    <d v="2022-11-14T00:00:00"/>
    <x v="18"/>
    <x v="4"/>
    <s v="0    "/>
    <s v="                              "/>
    <n v="30"/>
  </r>
  <r>
    <s v="202601"/>
    <s v="901410258-0         "/>
    <x v="18"/>
    <x v="13"/>
    <s v="FEDC75437   "/>
    <n v="9520000"/>
    <x v="3"/>
    <n v="1198"/>
    <d v="2022-10-18T00:00:00"/>
    <d v="2022-11-17T00:00:00"/>
    <x v="18"/>
    <x v="4"/>
    <s v="0    "/>
    <s v="                              "/>
    <n v="30"/>
  </r>
  <r>
    <s v="202601"/>
    <s v="901410258-0         "/>
    <x v="18"/>
    <x v="13"/>
    <s v="FEDC75518   "/>
    <n v="1942032"/>
    <x v="3"/>
    <n v="1197"/>
    <d v="2022-10-19T00:00:00"/>
    <d v="2022-11-18T00:00:00"/>
    <x v="18"/>
    <x v="4"/>
    <s v="0    "/>
    <s v="                              "/>
    <n v="30"/>
  </r>
  <r>
    <s v="202601"/>
    <s v="901410258-0         "/>
    <x v="18"/>
    <x v="13"/>
    <s v="FEDC75480   "/>
    <n v="1918000"/>
    <x v="3"/>
    <n v="1197"/>
    <d v="2022-10-19T00:00:00"/>
    <d v="2022-11-18T00:00:00"/>
    <x v="11"/>
    <x v="4"/>
    <s v="0    "/>
    <s v="                              "/>
    <n v="30"/>
  </r>
  <r>
    <s v="202601"/>
    <s v="901410258-0         "/>
    <x v="18"/>
    <x v="13"/>
    <s v="FEDC75479   "/>
    <n v="1918000"/>
    <x v="3"/>
    <n v="1197"/>
    <d v="2022-10-19T00:00:00"/>
    <d v="2022-11-18T00:00:00"/>
    <x v="12"/>
    <x v="4"/>
    <s v="0    "/>
    <s v="                              "/>
    <n v="30"/>
  </r>
  <r>
    <s v="202601"/>
    <s v="901410258-0         "/>
    <x v="18"/>
    <x v="13"/>
    <s v="FEDC75490   "/>
    <n v="1518603"/>
    <x v="3"/>
    <n v="1197"/>
    <d v="2022-10-19T00:00:00"/>
    <d v="2022-11-18T00:00:00"/>
    <x v="12"/>
    <x v="4"/>
    <s v="0    "/>
    <s v="                              "/>
    <n v="30"/>
  </r>
  <r>
    <s v="202601"/>
    <s v="901410258-0         "/>
    <x v="18"/>
    <x v="13"/>
    <s v="FEDC75597   "/>
    <n v="4760000"/>
    <x v="3"/>
    <n v="1196"/>
    <d v="2022-10-20T00:00:00"/>
    <d v="2022-11-19T00:00:00"/>
    <x v="14"/>
    <x v="4"/>
    <s v="0    "/>
    <s v="                              "/>
    <n v="30"/>
  </r>
  <r>
    <s v="202601"/>
    <s v="901410258-0         "/>
    <x v="18"/>
    <x v="13"/>
    <s v="FEDC75556   "/>
    <n v="3339000"/>
    <x v="3"/>
    <n v="1196"/>
    <d v="2022-10-20T00:00:00"/>
    <d v="2022-11-19T00:00:00"/>
    <x v="10"/>
    <x v="4"/>
    <s v="0    "/>
    <s v="                              "/>
    <n v="30"/>
  </r>
  <r>
    <s v="202601"/>
    <s v="901410258-0         "/>
    <x v="18"/>
    <x v="13"/>
    <s v="FEDC75557   "/>
    <n v="1918000"/>
    <x v="3"/>
    <n v="1196"/>
    <d v="2022-10-20T00:00:00"/>
    <d v="2022-11-19T00:00:00"/>
    <x v="10"/>
    <x v="4"/>
    <s v="0    "/>
    <s v="                              "/>
    <n v="30"/>
  </r>
  <r>
    <s v="202601"/>
    <s v="901410258-0         "/>
    <x v="18"/>
    <x v="13"/>
    <s v="FEDC75566   "/>
    <n v="334872"/>
    <x v="3"/>
    <n v="1196"/>
    <d v="2022-10-20T00:00:00"/>
    <d v="2022-11-19T00:00:00"/>
    <x v="10"/>
    <x v="4"/>
    <s v="0    "/>
    <s v="                              "/>
    <n v="30"/>
  </r>
  <r>
    <s v="202601"/>
    <s v="901410258-0         "/>
    <x v="18"/>
    <x v="13"/>
    <s v="FEDC75563   "/>
    <n v="3044063"/>
    <x v="3"/>
    <n v="1196"/>
    <d v="2022-10-20T00:00:00"/>
    <d v="2022-11-19T00:00:00"/>
    <x v="11"/>
    <x v="4"/>
    <s v="0    "/>
    <s v="                              "/>
    <n v="30"/>
  </r>
  <r>
    <s v="202601"/>
    <s v="901410258-0         "/>
    <x v="18"/>
    <x v="13"/>
    <s v="FEDC75634   "/>
    <n v="1380475"/>
    <x v="3"/>
    <n v="1196"/>
    <d v="2022-10-20T00:00:00"/>
    <d v="2022-11-19T00:00:00"/>
    <x v="13"/>
    <x v="4"/>
    <s v="0    "/>
    <s v="                              "/>
    <n v="30"/>
  </r>
  <r>
    <s v="202601"/>
    <s v="901410258-0         "/>
    <x v="18"/>
    <x v="13"/>
    <s v="FEDC75800   "/>
    <n v="9108391"/>
    <x v="3"/>
    <n v="1194"/>
    <d v="2022-10-22T00:00:00"/>
    <d v="2022-11-21T00:00:00"/>
    <x v="18"/>
    <x v="4"/>
    <s v="0    "/>
    <s v="                              "/>
    <n v="30"/>
  </r>
  <r>
    <s v="202601"/>
    <s v="901410258-0         "/>
    <x v="18"/>
    <x v="13"/>
    <s v="FEDC75989   "/>
    <n v="7166598"/>
    <x v="3"/>
    <n v="1190"/>
    <d v="2022-10-26T00:00:00"/>
    <d v="2022-11-25T00:00:00"/>
    <x v="14"/>
    <x v="4"/>
    <s v="0    "/>
    <s v="                              "/>
    <n v="30"/>
  </r>
  <r>
    <s v="202601"/>
    <s v="901410258-0         "/>
    <x v="18"/>
    <x v="13"/>
    <s v="FEDC75990   "/>
    <n v="1387800"/>
    <x v="3"/>
    <n v="1190"/>
    <d v="2022-10-26T00:00:00"/>
    <d v="2022-11-25T00:00:00"/>
    <x v="14"/>
    <x v="4"/>
    <s v="0    "/>
    <s v="                              "/>
    <n v="30"/>
  </r>
  <r>
    <s v="202601"/>
    <s v="901410258-0         "/>
    <x v="18"/>
    <x v="13"/>
    <s v="FEDC75991   "/>
    <n v="1742926"/>
    <x v="3"/>
    <n v="1190"/>
    <d v="2022-10-26T00:00:00"/>
    <d v="2022-11-25T00:00:00"/>
    <x v="14"/>
    <x v="4"/>
    <s v="0    "/>
    <s v="                              "/>
    <n v="30"/>
  </r>
  <r>
    <s v="202601"/>
    <s v="901410258-0         "/>
    <x v="18"/>
    <x v="13"/>
    <s v="FEDC75992   "/>
    <n v="2189216"/>
    <x v="3"/>
    <n v="1190"/>
    <d v="2022-10-26T00:00:00"/>
    <d v="2022-11-25T00:00:00"/>
    <x v="14"/>
    <x v="4"/>
    <s v="0    "/>
    <s v="                              "/>
    <n v="30"/>
  </r>
  <r>
    <s v="202601"/>
    <s v="901410258-0         "/>
    <x v="18"/>
    <x v="13"/>
    <s v="FEDC75993   "/>
    <n v="2164684"/>
    <x v="3"/>
    <n v="1190"/>
    <d v="2022-10-26T00:00:00"/>
    <d v="2022-11-25T00:00:00"/>
    <x v="14"/>
    <x v="4"/>
    <s v="0    "/>
    <s v="                              "/>
    <n v="30"/>
  </r>
  <r>
    <s v="202601"/>
    <s v="901410258-0         "/>
    <x v="18"/>
    <x v="13"/>
    <s v="FEDC76402   "/>
    <n v="512610"/>
    <x v="3"/>
    <n v="1183"/>
    <d v="2022-11-02T00:00:00"/>
    <d v="2022-12-02T00:00:00"/>
    <x v="11"/>
    <x v="4"/>
    <s v="0    "/>
    <s v="                              "/>
    <n v="30"/>
  </r>
  <r>
    <s v="202601"/>
    <s v="901410258-0         "/>
    <x v="18"/>
    <x v="13"/>
    <s v="FEDC76399   "/>
    <n v="982996"/>
    <x v="3"/>
    <n v="1183"/>
    <d v="2022-11-02T00:00:00"/>
    <d v="2022-12-02T00:00:00"/>
    <x v="12"/>
    <x v="4"/>
    <s v="0    "/>
    <s v="                              "/>
    <n v="30"/>
  </r>
  <r>
    <s v="202601"/>
    <s v="901410258-0         "/>
    <x v="18"/>
    <x v="13"/>
    <s v="FEDC76539   "/>
    <n v="955196"/>
    <x v="3"/>
    <n v="1182"/>
    <d v="2022-11-03T00:00:00"/>
    <d v="2022-12-03T00:00:00"/>
    <x v="10"/>
    <x v="4"/>
    <s v="0    "/>
    <s v="                              "/>
    <n v="30"/>
  </r>
  <r>
    <s v="202601"/>
    <s v="901410258-0         "/>
    <x v="18"/>
    <x v="13"/>
    <s v="FEDC76547   "/>
    <n v="4461655"/>
    <x v="3"/>
    <n v="1182"/>
    <d v="2022-11-03T00:00:00"/>
    <d v="2022-12-03T00:00:00"/>
    <x v="13"/>
    <x v="4"/>
    <s v="0    "/>
    <s v="                              "/>
    <n v="30"/>
  </r>
  <r>
    <s v="202601"/>
    <s v="901410258-0         "/>
    <x v="18"/>
    <x v="13"/>
    <s v="FEDC76644   "/>
    <n v="60951775"/>
    <x v="3"/>
    <n v="1180"/>
    <d v="2022-11-05T00:00:00"/>
    <d v="2022-12-05T00:00:00"/>
    <x v="18"/>
    <x v="4"/>
    <s v="0    "/>
    <s v="                              "/>
    <n v="30"/>
  </r>
  <r>
    <s v="202601"/>
    <s v="901410258-0         "/>
    <x v="18"/>
    <x v="13"/>
    <s v="FEDC77050   "/>
    <n v="7695911"/>
    <x v="3"/>
    <n v="1174"/>
    <d v="2022-11-11T00:00:00"/>
    <d v="2022-12-11T00:00:00"/>
    <x v="14"/>
    <x v="4"/>
    <s v="0    "/>
    <s v="                              "/>
    <n v="30"/>
  </r>
  <r>
    <s v="202601"/>
    <s v="901410258-0         "/>
    <x v="18"/>
    <x v="13"/>
    <s v="FEDC77051   "/>
    <n v="4263800"/>
    <x v="3"/>
    <n v="1174"/>
    <d v="2022-11-11T00:00:00"/>
    <d v="2022-12-11T00:00:00"/>
    <x v="14"/>
    <x v="4"/>
    <s v="0    "/>
    <s v="                              "/>
    <n v="30"/>
  </r>
  <r>
    <s v="202601"/>
    <s v="901410258-0         "/>
    <x v="18"/>
    <x v="13"/>
    <s v="FEDC77052   "/>
    <n v="3207168"/>
    <x v="3"/>
    <n v="1174"/>
    <d v="2022-11-11T00:00:00"/>
    <d v="2022-12-11T00:00:00"/>
    <x v="14"/>
    <x v="4"/>
    <s v="0    "/>
    <s v="                              "/>
    <n v="30"/>
  </r>
  <r>
    <s v="202601"/>
    <s v="901410258-0         "/>
    <x v="18"/>
    <x v="13"/>
    <s v="FEDC77053   "/>
    <n v="2721163"/>
    <x v="3"/>
    <n v="1174"/>
    <d v="2022-11-11T00:00:00"/>
    <d v="2022-12-11T00:00:00"/>
    <x v="14"/>
    <x v="4"/>
    <s v="0    "/>
    <s v="                              "/>
    <n v="30"/>
  </r>
  <r>
    <s v="202601"/>
    <s v="901410258-0         "/>
    <x v="18"/>
    <x v="13"/>
    <s v="FEDC77054   "/>
    <n v="6415993"/>
    <x v="3"/>
    <n v="1174"/>
    <d v="2022-11-11T00:00:00"/>
    <d v="2022-12-11T00:00:00"/>
    <x v="14"/>
    <x v="4"/>
    <s v="0    "/>
    <s v="                              "/>
    <n v="30"/>
  </r>
  <r>
    <s v="202601"/>
    <s v="901410258-0         "/>
    <x v="18"/>
    <x v="13"/>
    <s v="FEDC77253   "/>
    <n v="1478976"/>
    <x v="3"/>
    <n v="1169"/>
    <d v="2022-11-16T00:00:00"/>
    <d v="2022-12-16T00:00:00"/>
    <x v="11"/>
    <x v="4"/>
    <s v="0    "/>
    <s v="                              "/>
    <n v="30"/>
  </r>
  <r>
    <s v="202601"/>
    <s v="901118088-4         "/>
    <x v="28"/>
    <x v="20"/>
    <s v="FEDC77369   "/>
    <n v="87903300"/>
    <x v="6"/>
    <n v="1168"/>
    <d v="2022-11-17T00:00:00"/>
    <d v="2022-11-22T00:00:00"/>
    <x v="18"/>
    <x v="11"/>
    <s v="0    "/>
    <s v="6017042802                    "/>
    <n v="1"/>
  </r>
  <r>
    <s v="202601"/>
    <s v="901410258-0         "/>
    <x v="18"/>
    <x v="13"/>
    <s v="FEDC77355   "/>
    <n v="564882"/>
    <x v="3"/>
    <n v="1168"/>
    <d v="2022-11-17T00:00:00"/>
    <d v="2022-12-17T00:00:00"/>
    <x v="10"/>
    <x v="4"/>
    <s v="0    "/>
    <s v="                              "/>
    <n v="30"/>
  </r>
  <r>
    <s v="202601"/>
    <s v="901410258-0         "/>
    <x v="18"/>
    <x v="13"/>
    <s v="FEDC77356   "/>
    <n v="12400000"/>
    <x v="3"/>
    <n v="1168"/>
    <d v="2022-11-17T00:00:00"/>
    <d v="2022-12-17T00:00:00"/>
    <x v="13"/>
    <x v="4"/>
    <s v="0    "/>
    <s v="                              "/>
    <n v="30"/>
  </r>
  <r>
    <s v="202601"/>
    <s v="901410258-0         "/>
    <x v="18"/>
    <x v="13"/>
    <s v="FEDC77487   "/>
    <n v="3038121"/>
    <x v="3"/>
    <n v="1166"/>
    <d v="2022-11-19T00:00:00"/>
    <d v="2022-12-19T00:00:00"/>
    <x v="18"/>
    <x v="4"/>
    <s v="0    "/>
    <s v="                              "/>
    <n v="30"/>
  </r>
  <r>
    <s v="202601"/>
    <s v="901410258-0         "/>
    <x v="18"/>
    <x v="13"/>
    <s v="FEDC77521   "/>
    <n v="1980000"/>
    <x v="3"/>
    <n v="1164"/>
    <d v="2022-11-21T00:00:00"/>
    <d v="2022-12-21T00:00:00"/>
    <x v="13"/>
    <x v="4"/>
    <s v="0    "/>
    <s v="                              "/>
    <n v="30"/>
  </r>
  <r>
    <s v="202601"/>
    <s v="901410258-0         "/>
    <x v="18"/>
    <x v="13"/>
    <s v="FEDC77647   "/>
    <n v="2509724"/>
    <x v="3"/>
    <n v="1163"/>
    <d v="2022-11-22T00:00:00"/>
    <d v="2022-12-22T00:00:00"/>
    <x v="18"/>
    <x v="4"/>
    <s v="0    "/>
    <s v="                              "/>
    <n v="30"/>
  </r>
  <r>
    <s v="202601"/>
    <s v="901410258-0         "/>
    <x v="18"/>
    <x v="13"/>
    <s v="FEDC77645   "/>
    <n v="3554323"/>
    <x v="3"/>
    <n v="1163"/>
    <d v="2022-11-22T00:00:00"/>
    <d v="2022-12-22T00:00:00"/>
    <x v="14"/>
    <x v="4"/>
    <s v="0    "/>
    <s v="                              "/>
    <n v="30"/>
  </r>
  <r>
    <s v="202601"/>
    <s v="901410258-0         "/>
    <x v="18"/>
    <x v="13"/>
    <s v="FEDC77646   "/>
    <n v="4461800"/>
    <x v="3"/>
    <n v="1163"/>
    <d v="2022-11-22T00:00:00"/>
    <d v="2022-12-22T00:00:00"/>
    <x v="14"/>
    <x v="4"/>
    <s v="0    "/>
    <s v="                              "/>
    <n v="30"/>
  </r>
  <r>
    <s v="202601"/>
    <s v="901410258-0         "/>
    <x v="18"/>
    <x v="13"/>
    <s v="FEDC77648   "/>
    <n v="2133500"/>
    <x v="3"/>
    <n v="1163"/>
    <d v="2022-11-22T00:00:00"/>
    <d v="2022-12-22T00:00:00"/>
    <x v="14"/>
    <x v="4"/>
    <s v="0    "/>
    <s v="                              "/>
    <n v="30"/>
  </r>
  <r>
    <s v="202601"/>
    <s v="71005690            "/>
    <x v="29"/>
    <x v="21"/>
    <s v="FEDC78121   "/>
    <n v="149983"/>
    <x v="3"/>
    <n v="1155"/>
    <d v="2022-11-30T00:00:00"/>
    <d v="2022-12-30T00:00:00"/>
    <x v="16"/>
    <x v="4"/>
    <s v="0    "/>
    <s v="3113824100                    "/>
    <n v="30"/>
  </r>
  <r>
    <s v="202601"/>
    <s v="901410258-0         "/>
    <x v="18"/>
    <x v="13"/>
    <s v="FEDC78234   "/>
    <n v="2644785"/>
    <x v="3"/>
    <n v="1153"/>
    <d v="2022-12-02T00:00:00"/>
    <d v="2023-01-01T00:00:00"/>
    <x v="13"/>
    <x v="4"/>
    <s v="0    "/>
    <s v="                              "/>
    <n v="30"/>
  </r>
  <r>
    <s v="202601"/>
    <s v="901434767-1         "/>
    <x v="30"/>
    <x v="22"/>
    <s v="FEDC85702   "/>
    <n v="10729181"/>
    <x v="3"/>
    <n v="1023"/>
    <d v="2023-04-11T00:00:00"/>
    <d v="2023-05-11T00:00:00"/>
    <x v="14"/>
    <x v="4"/>
    <s v="0    "/>
    <s v="3137225561                    "/>
    <n v="30"/>
  </r>
  <r>
    <s v="202601"/>
    <s v="901434767-1         "/>
    <x v="30"/>
    <x v="22"/>
    <s v="FEDC85703   "/>
    <n v="6990929"/>
    <x v="3"/>
    <n v="1023"/>
    <d v="2023-04-11T00:00:00"/>
    <d v="2023-05-11T00:00:00"/>
    <x v="14"/>
    <x v="4"/>
    <s v="0    "/>
    <s v="3137225561                    "/>
    <n v="30"/>
  </r>
  <r>
    <s v="202601"/>
    <s v="901434767-1         "/>
    <x v="30"/>
    <x v="22"/>
    <s v="FEDC85704   "/>
    <n v="9798131"/>
    <x v="3"/>
    <n v="1023"/>
    <d v="2023-04-11T00:00:00"/>
    <d v="2023-05-11T00:00:00"/>
    <x v="14"/>
    <x v="4"/>
    <s v="0    "/>
    <s v="3137225561                    "/>
    <n v="30"/>
  </r>
  <r>
    <s v="202601"/>
    <s v="901434767-1         "/>
    <x v="30"/>
    <x v="22"/>
    <s v="FEDC85705   "/>
    <n v="2431080"/>
    <x v="3"/>
    <n v="1023"/>
    <d v="2023-04-11T00:00:00"/>
    <d v="2023-05-11T00:00:00"/>
    <x v="14"/>
    <x v="4"/>
    <s v="0    "/>
    <s v="3137225561                    "/>
    <n v="30"/>
  </r>
  <r>
    <s v="202601"/>
    <s v="10821205            "/>
    <x v="31"/>
    <x v="23"/>
    <s v="FEDC85881   "/>
    <n v="3086230"/>
    <x v="3"/>
    <n v="1021"/>
    <d v="2023-04-13T00:00:00"/>
    <d v="2023-05-13T00:00:00"/>
    <x v="23"/>
    <x v="4"/>
    <s v="0    "/>
    <s v="3016312492 - 3126538151       "/>
    <n v="30"/>
  </r>
  <r>
    <s v="202601"/>
    <s v="10821205            "/>
    <x v="31"/>
    <x v="23"/>
    <s v="FEDC85882   "/>
    <n v="1355995"/>
    <x v="3"/>
    <n v="1021"/>
    <d v="2023-04-13T00:00:00"/>
    <d v="2023-05-13T00:00:00"/>
    <x v="23"/>
    <x v="4"/>
    <s v="0    "/>
    <s v="3016312492 - 3126538151       "/>
    <n v="30"/>
  </r>
  <r>
    <s v="202601"/>
    <s v="91076665            "/>
    <x v="32"/>
    <x v="4"/>
    <s v="FEDC87261   "/>
    <n v="8967823"/>
    <x v="3"/>
    <n v="1006"/>
    <d v="2023-04-28T00:00:00"/>
    <d v="2023-05-28T00:00:00"/>
    <x v="3"/>
    <x v="1"/>
    <s v="0    "/>
    <s v="3147032170 -3216344540        "/>
    <n v="30"/>
  </r>
  <r>
    <s v="202601"/>
    <s v="91076665            "/>
    <x v="32"/>
    <x v="4"/>
    <s v="FEDC87262   "/>
    <n v="10912382"/>
    <x v="3"/>
    <n v="1006"/>
    <d v="2023-04-28T00:00:00"/>
    <d v="2023-05-28T00:00:00"/>
    <x v="3"/>
    <x v="1"/>
    <s v="0    "/>
    <s v="3147032170 -3216344540        "/>
    <n v="30"/>
  </r>
  <r>
    <s v="202601"/>
    <s v="1045022348          "/>
    <x v="33"/>
    <x v="24"/>
    <s v="FEDC88018   "/>
    <n v="3335575"/>
    <x v="3"/>
    <n v="996"/>
    <d v="2023-05-08T00:00:00"/>
    <d v="2023-06-07T00:00:00"/>
    <x v="24"/>
    <x v="12"/>
    <s v="0    "/>
    <s v="3127825001                    "/>
    <n v="30"/>
  </r>
  <r>
    <s v="202601"/>
    <s v="1045022348          "/>
    <x v="33"/>
    <x v="24"/>
    <s v="FEDC88791   "/>
    <n v="5619425"/>
    <x v="3"/>
    <n v="989"/>
    <d v="2023-05-15T00:00:00"/>
    <d v="2023-06-14T00:00:00"/>
    <x v="24"/>
    <x v="12"/>
    <s v="0    "/>
    <s v="3127825001                    "/>
    <n v="30"/>
  </r>
  <r>
    <s v="202601"/>
    <s v="92428613            "/>
    <x v="34"/>
    <x v="25"/>
    <s v="FEDC89123   "/>
    <n v="1300000"/>
    <x v="3"/>
    <n v="985"/>
    <d v="2023-05-19T00:00:00"/>
    <d v="2023-06-18T00:00:00"/>
    <x v="16"/>
    <x v="4"/>
    <s v="0    "/>
    <s v="3217985691                    "/>
    <n v="30"/>
  </r>
  <r>
    <s v="202601"/>
    <s v="1045022348          "/>
    <x v="33"/>
    <x v="24"/>
    <s v="FEDC89235   "/>
    <n v="2445000"/>
    <x v="3"/>
    <n v="981"/>
    <d v="2023-05-23T00:00:00"/>
    <d v="2023-06-22T00:00:00"/>
    <x v="24"/>
    <x v="12"/>
    <s v="0    "/>
    <s v="3127825001                    "/>
    <n v="30"/>
  </r>
  <r>
    <s v="202601"/>
    <s v="901434767-1         "/>
    <x v="30"/>
    <x v="22"/>
    <s v="FEDC90741   "/>
    <n v="9844896"/>
    <x v="3"/>
    <n v="965"/>
    <d v="2023-06-08T00:00:00"/>
    <d v="2023-07-08T00:00:00"/>
    <x v="14"/>
    <x v="4"/>
    <s v="0    "/>
    <s v="3137225561                    "/>
    <n v="30"/>
  </r>
  <r>
    <s v="202601"/>
    <s v="901434767-1         "/>
    <x v="30"/>
    <x v="22"/>
    <s v="FEDC90742   "/>
    <n v="10744435"/>
    <x v="3"/>
    <n v="965"/>
    <d v="2023-06-08T00:00:00"/>
    <d v="2023-07-08T00:00:00"/>
    <x v="14"/>
    <x v="4"/>
    <s v="0    "/>
    <s v="3137225561                    "/>
    <n v="30"/>
  </r>
  <r>
    <s v="202601"/>
    <s v="78301253            "/>
    <x v="35"/>
    <x v="26"/>
    <s v="FEDC93729   "/>
    <n v="342030"/>
    <x v="1"/>
    <n v="929"/>
    <d v="2023-07-14T00:00:00"/>
    <d v="2023-07-29T00:00:00"/>
    <x v="25"/>
    <x v="12"/>
    <s v="0    "/>
    <s v="3135672695                    "/>
    <n v="15"/>
  </r>
  <r>
    <s v="202601"/>
    <s v="1063721503          "/>
    <x v="36"/>
    <x v="27"/>
    <s v="FEDC95298   "/>
    <n v="8864311"/>
    <x v="3"/>
    <n v="912"/>
    <d v="2023-07-31T00:00:00"/>
    <d v="2023-08-30T00:00:00"/>
    <x v="14"/>
    <x v="4"/>
    <s v="0    "/>
    <s v="3136126031 -3137226812        "/>
    <n v="25"/>
  </r>
  <r>
    <s v="202601"/>
    <s v="1063721503          "/>
    <x v="36"/>
    <x v="27"/>
    <s v="FEDC95316   "/>
    <n v="8755995"/>
    <x v="3"/>
    <n v="912"/>
    <d v="2023-07-31T00:00:00"/>
    <d v="2023-08-30T00:00:00"/>
    <x v="14"/>
    <x v="4"/>
    <s v="0    "/>
    <s v="3136126031 -3137226812        "/>
    <n v="25"/>
  </r>
  <r>
    <s v="202601"/>
    <s v="1041261992          "/>
    <x v="37"/>
    <x v="28"/>
    <s v="FEDC100065  "/>
    <n v="260167"/>
    <x v="3"/>
    <n v="867"/>
    <d v="2023-09-14T00:00:00"/>
    <d v="2023-10-14T00:00:00"/>
    <x v="26"/>
    <x v="1"/>
    <s v="0    "/>
    <s v="3105598331                    "/>
    <n v="30"/>
  </r>
  <r>
    <s v="202601"/>
    <s v="1063721503          "/>
    <x v="36"/>
    <x v="27"/>
    <s v="FEDC102575  "/>
    <n v="4742825"/>
    <x v="3"/>
    <n v="838"/>
    <d v="2023-10-13T00:00:00"/>
    <d v="2023-11-12T00:00:00"/>
    <x v="14"/>
    <x v="4"/>
    <s v="0    "/>
    <s v="3136126031 -3137226812        "/>
    <n v="25"/>
  </r>
  <r>
    <s v="202601"/>
    <s v="1063721503          "/>
    <x v="36"/>
    <x v="27"/>
    <s v="FEDC102576  "/>
    <n v="2758707"/>
    <x v="3"/>
    <n v="838"/>
    <d v="2023-10-13T00:00:00"/>
    <d v="2023-11-12T00:00:00"/>
    <x v="14"/>
    <x v="4"/>
    <s v="0    "/>
    <s v="3136126031 -3137226812        "/>
    <n v="25"/>
  </r>
  <r>
    <s v="202601"/>
    <s v="1041261992          "/>
    <x v="37"/>
    <x v="28"/>
    <s v="FEDC102602  "/>
    <n v="1209400"/>
    <x v="3"/>
    <n v="838"/>
    <d v="2023-10-13T00:00:00"/>
    <d v="2023-11-12T00:00:00"/>
    <x v="26"/>
    <x v="1"/>
    <s v="0    "/>
    <s v="3105598331                    "/>
    <n v="30"/>
  </r>
  <r>
    <s v="202601"/>
    <s v="1041261992          "/>
    <x v="37"/>
    <x v="28"/>
    <s v="FEDC102603  "/>
    <n v="1926350"/>
    <x v="3"/>
    <n v="838"/>
    <d v="2023-10-13T00:00:00"/>
    <d v="2023-11-12T00:00:00"/>
    <x v="26"/>
    <x v="1"/>
    <s v="0    "/>
    <s v="3105598331                    "/>
    <n v="30"/>
  </r>
  <r>
    <s v="202601"/>
    <s v="901173006-4         "/>
    <x v="38"/>
    <x v="1"/>
    <s v="FEDC104040  "/>
    <n v="2246762"/>
    <x v="7"/>
    <n v="820"/>
    <d v="2023-10-31T00:00:00"/>
    <d v="2023-11-18T00:00:00"/>
    <x v="1"/>
    <x v="3"/>
    <s v="0    "/>
    <s v="3022186290                    "/>
    <n v="1"/>
  </r>
  <r>
    <s v="202601"/>
    <s v="1001741091-4        "/>
    <x v="39"/>
    <x v="22"/>
    <s v="FEDC108125  "/>
    <n v="743426"/>
    <x v="3"/>
    <n v="771"/>
    <d v="2023-12-19T00:00:00"/>
    <d v="2024-01-18T00:00:00"/>
    <x v="14"/>
    <x v="4"/>
    <s v="0    "/>
    <s v="3017250021-3106514567         "/>
    <n v="30"/>
  </r>
  <r>
    <s v="202601"/>
    <s v="1001741091-4        "/>
    <x v="39"/>
    <x v="22"/>
    <s v="FEDC109601  "/>
    <n v="10114453"/>
    <x v="3"/>
    <n v="754"/>
    <d v="2024-01-05T00:00:00"/>
    <d v="2024-02-04T00:00:00"/>
    <x v="14"/>
    <x v="4"/>
    <s v="0    "/>
    <s v="3017250021-3106514567         "/>
    <n v="30"/>
  </r>
  <r>
    <s v="202601"/>
    <s v="1152441291          "/>
    <x v="40"/>
    <x v="21"/>
    <s v="FEDC110454  "/>
    <n v="354812"/>
    <x v="1"/>
    <n v="747"/>
    <d v="2024-01-12T00:00:00"/>
    <d v="2024-01-27T00:00:00"/>
    <x v="16"/>
    <x v="4"/>
    <s v="0    "/>
    <s v="3136226114                    "/>
    <n v="30"/>
  </r>
  <r>
    <s v="202601"/>
    <s v="1152441291          "/>
    <x v="40"/>
    <x v="21"/>
    <s v="FEDC110455  "/>
    <n v="1281442"/>
    <x v="3"/>
    <n v="747"/>
    <d v="2024-01-12T00:00:00"/>
    <d v="2024-02-11T00:00:00"/>
    <x v="16"/>
    <x v="4"/>
    <s v="0    "/>
    <s v="3136226114                    "/>
    <n v="30"/>
  </r>
  <r>
    <s v="202601"/>
    <s v="1152441291          "/>
    <x v="40"/>
    <x v="21"/>
    <s v="FEDC110456  "/>
    <n v="994782"/>
    <x v="3"/>
    <n v="747"/>
    <d v="2024-01-12T00:00:00"/>
    <d v="2024-02-11T00:00:00"/>
    <x v="16"/>
    <x v="4"/>
    <s v="0    "/>
    <s v="3136226114                    "/>
    <n v="30"/>
  </r>
  <r>
    <s v="202601"/>
    <s v="1001741091-4        "/>
    <x v="39"/>
    <x v="22"/>
    <s v="FEDC110860  "/>
    <n v="6826177"/>
    <x v="3"/>
    <n v="743"/>
    <d v="2024-01-16T00:00:00"/>
    <d v="2024-02-15T00:00:00"/>
    <x v="14"/>
    <x v="4"/>
    <s v="0    "/>
    <s v="3017250021-3106514567         "/>
    <n v="30"/>
  </r>
  <r>
    <s v="202601"/>
    <s v="1001741091-4        "/>
    <x v="39"/>
    <x v="22"/>
    <s v="FEDC110862  "/>
    <n v="5315944"/>
    <x v="3"/>
    <n v="743"/>
    <d v="2024-01-16T00:00:00"/>
    <d v="2024-02-15T00:00:00"/>
    <x v="14"/>
    <x v="4"/>
    <s v="0    "/>
    <s v="3017250021-3106514567         "/>
    <n v="30"/>
  </r>
  <r>
    <s v="202601"/>
    <s v="1152441291          "/>
    <x v="40"/>
    <x v="21"/>
    <s v="FEDC111834  "/>
    <n v="840999"/>
    <x v="1"/>
    <n v="733"/>
    <d v="2024-01-26T00:00:00"/>
    <d v="2024-02-10T00:00:00"/>
    <x v="16"/>
    <x v="4"/>
    <s v="0    "/>
    <s v="3136226114                    "/>
    <n v="30"/>
  </r>
  <r>
    <s v="202601"/>
    <s v="1152441291          "/>
    <x v="40"/>
    <x v="21"/>
    <s v="FEDC111835  "/>
    <n v="4437369"/>
    <x v="3"/>
    <n v="733"/>
    <d v="2024-01-26T00:00:00"/>
    <d v="2024-02-25T00:00:00"/>
    <x v="16"/>
    <x v="4"/>
    <s v="0    "/>
    <s v="3136226114                    "/>
    <n v="30"/>
  </r>
  <r>
    <s v="202601"/>
    <s v="15322769            "/>
    <x v="41"/>
    <x v="29"/>
    <s v="FEDC113393  "/>
    <n v="2409501"/>
    <x v="3"/>
    <n v="708"/>
    <d v="2024-02-20T00:00:00"/>
    <d v="2024-03-21T00:00:00"/>
    <x v="27"/>
    <x v="4"/>
    <s v="0    "/>
    <s v="3137321385"/>
    <n v="30"/>
  </r>
  <r>
    <s v="202601"/>
    <s v="1023802195          "/>
    <x v="42"/>
    <x v="30"/>
    <s v="FEDC113367  "/>
    <n v="2861088"/>
    <x v="3"/>
    <n v="708"/>
    <d v="2024-02-20T00:00:00"/>
    <d v="2024-03-21T00:00:00"/>
    <x v="28"/>
    <x v="4"/>
    <s v="0    "/>
    <s v="3146659010 Bernardo Padre     "/>
    <n v="30"/>
  </r>
  <r>
    <s v="202601"/>
    <s v="15322769            "/>
    <x v="41"/>
    <x v="29"/>
    <s v="FEDC114165  "/>
    <n v="3090499"/>
    <x v="3"/>
    <n v="695"/>
    <d v="2024-03-04T00:00:00"/>
    <d v="2024-04-03T00:00:00"/>
    <x v="27"/>
    <x v="4"/>
    <s v="0    "/>
    <s v="3137321385"/>
    <n v="30"/>
  </r>
  <r>
    <s v="202601"/>
    <s v="71685098            "/>
    <x v="43"/>
    <x v="18"/>
    <s v="FEDC116346  "/>
    <n v="1079482"/>
    <x v="3"/>
    <n v="660"/>
    <d v="2024-04-08T00:00:00"/>
    <d v="2024-05-08T00:00:00"/>
    <x v="17"/>
    <x v="8"/>
    <s v="0    "/>
    <s v="3106056375                    "/>
    <n v="30"/>
  </r>
  <r>
    <s v="202601"/>
    <s v="1066527375          "/>
    <x v="44"/>
    <x v="19"/>
    <s v="FEVM6340    "/>
    <n v="866179"/>
    <x v="1"/>
    <n v="645"/>
    <d v="2024-04-23T00:00:00"/>
    <d v="2024-05-08T00:00:00"/>
    <x v="22"/>
    <x v="10"/>
    <s v="0    "/>
    <s v="3137895245                    "/>
    <n v="15"/>
  </r>
  <r>
    <s v="202601"/>
    <s v="71685098            "/>
    <x v="43"/>
    <x v="18"/>
    <s v="FEDC118201  "/>
    <n v="2309590"/>
    <x v="3"/>
    <n v="629"/>
    <d v="2024-05-09T00:00:00"/>
    <d v="2024-06-08T00:00:00"/>
    <x v="17"/>
    <x v="8"/>
    <s v="0    "/>
    <s v="3106056375                    "/>
    <n v="30"/>
  </r>
  <r>
    <s v="202601"/>
    <s v="78768906            "/>
    <x v="45"/>
    <x v="31"/>
    <s v="FEDC118604  "/>
    <n v="1200000"/>
    <x v="3"/>
    <n v="622"/>
    <d v="2024-05-16T00:00:00"/>
    <d v="2024-06-15T00:00:00"/>
    <x v="10"/>
    <x v="4"/>
    <s v="0    "/>
    <s v="3127463564                    "/>
    <n v="15"/>
  </r>
  <r>
    <s v="202601"/>
    <s v="98621964            "/>
    <x v="46"/>
    <x v="15"/>
    <s v="FEDC121178  "/>
    <n v="16031810"/>
    <x v="3"/>
    <n v="583"/>
    <d v="2024-06-24T00:00:00"/>
    <d v="2024-07-24T00:00:00"/>
    <x v="19"/>
    <x v="9"/>
    <s v="0    "/>
    <s v="3104603876Tiberio -3206202535 "/>
    <n v="30"/>
  </r>
  <r>
    <s v="202601"/>
    <s v="1104427683          "/>
    <x v="47"/>
    <x v="16"/>
    <s v="FEDC122214  "/>
    <n v="1318986"/>
    <x v="3"/>
    <n v="567"/>
    <d v="2024-07-10T00:00:00"/>
    <d v="2024-08-09T00:00:00"/>
    <x v="20"/>
    <x v="8"/>
    <s v="0    "/>
    <s v="3186880861                    "/>
    <n v="30"/>
  </r>
  <r>
    <s v="202601"/>
    <s v="22590330            "/>
    <x v="48"/>
    <x v="25"/>
    <s v="FEDC122297  "/>
    <n v="100000"/>
    <x v="3"/>
    <n v="566"/>
    <d v="2024-07-11T00:00:00"/>
    <d v="2024-08-10T00:00:00"/>
    <x v="16"/>
    <x v="4"/>
    <s v="0    "/>
    <s v="3135999760                    "/>
    <n v="1"/>
  </r>
  <r>
    <s v="202601"/>
    <s v="92524678            "/>
    <x v="49"/>
    <x v="19"/>
    <s v="FEVM11868   "/>
    <n v="782383"/>
    <x v="3"/>
    <n v="561"/>
    <d v="2024-07-16T00:00:00"/>
    <d v="2024-08-15T00:00:00"/>
    <x v="22"/>
    <x v="10"/>
    <s v="0    "/>
    <s v="3235207288                    "/>
    <n v="1"/>
  </r>
  <r>
    <s v="202601"/>
    <s v="49797173            "/>
    <x v="50"/>
    <x v="12"/>
    <s v="FEDC124918  "/>
    <n v="429892"/>
    <x v="3"/>
    <n v="530"/>
    <d v="2024-08-16T00:00:00"/>
    <d v="2024-09-15T00:00:00"/>
    <x v="9"/>
    <x v="1"/>
    <s v="0    "/>
    <s v="3135397004     "/>
    <n v="30"/>
  </r>
  <r>
    <s v="202601"/>
    <s v="1032254761          "/>
    <x v="51"/>
    <x v="12"/>
    <s v="FEDC124924  "/>
    <n v="999805"/>
    <x v="1"/>
    <n v="530"/>
    <d v="2024-08-16T00:00:00"/>
    <d v="2024-08-31T00:00:00"/>
    <x v="9"/>
    <x v="1"/>
    <s v="0    "/>
    <s v="3128781675-3207481434         "/>
    <n v="1"/>
  </r>
  <r>
    <s v="202601"/>
    <s v="1032254761          "/>
    <x v="51"/>
    <x v="12"/>
    <s v="FECT2300    "/>
    <n v="3467878"/>
    <x v="1"/>
    <n v="519"/>
    <d v="2024-08-27T00:00:00"/>
    <d v="2024-09-11T00:00:00"/>
    <x v="9"/>
    <x v="1"/>
    <s v="0    "/>
    <s v="3128781675-3207481434         "/>
    <n v="1"/>
  </r>
  <r>
    <s v="202601"/>
    <s v="1032254761          "/>
    <x v="51"/>
    <x v="12"/>
    <s v="FECT2301    "/>
    <n v="1845000"/>
    <x v="1"/>
    <n v="519"/>
    <d v="2024-08-27T00:00:00"/>
    <d v="2024-09-11T00:00:00"/>
    <x v="9"/>
    <x v="1"/>
    <s v="0    "/>
    <s v="3128781675-3207481434         "/>
    <n v="1"/>
  </r>
  <r>
    <s v="202601"/>
    <s v="8371950             "/>
    <x v="52"/>
    <x v="4"/>
    <s v="FEDC130887  "/>
    <n v="200000"/>
    <x v="3"/>
    <n v="424"/>
    <d v="2024-11-30T00:00:00"/>
    <d v="2024-12-30T00:00:00"/>
    <x v="3"/>
    <x v="1"/>
    <s v="0    "/>
    <s v="3206994665 -3128718785        "/>
    <n v="30"/>
  </r>
  <r>
    <s v="202601"/>
    <s v="43403408            "/>
    <x v="53"/>
    <x v="32"/>
    <s v="FEDC131814  "/>
    <n v="5005966"/>
    <x v="5"/>
    <n v="411"/>
    <d v="2024-12-13T00:00:00"/>
    <d v="2024-12-14T00:00:00"/>
    <x v="29"/>
    <x v="9"/>
    <s v="0    "/>
    <s v="3103533684     "/>
    <n v="30"/>
  </r>
  <r>
    <s v="202601"/>
    <s v="1104417334          "/>
    <x v="54"/>
    <x v="16"/>
    <s v="FEDC133959  "/>
    <n v="3537073"/>
    <x v="3"/>
    <n v="371"/>
    <d v="2025-01-22T00:00:00"/>
    <d v="2025-02-21T00:00:00"/>
    <x v="20"/>
    <x v="8"/>
    <s v="0    "/>
    <s v="3005595835                    "/>
    <n v="30"/>
  </r>
  <r>
    <s v="202601"/>
    <s v="78302691            "/>
    <x v="55"/>
    <x v="13"/>
    <s v="FEDC135864  "/>
    <n v="1432296"/>
    <x v="3"/>
    <n v="336"/>
    <d v="2025-02-26T00:00:00"/>
    <d v="2025-03-28T00:00:00"/>
    <x v="18"/>
    <x v="13"/>
    <s v="0    "/>
    <s v="3127672025                    "/>
    <n v="30"/>
  </r>
  <r>
    <s v="202601"/>
    <s v="1003288071          "/>
    <x v="56"/>
    <x v="19"/>
    <s v="FEVM27058   "/>
    <n v="2815989"/>
    <x v="3"/>
    <n v="316"/>
    <d v="2025-03-18T00:00:00"/>
    <d v="2025-04-17T00:00:00"/>
    <x v="22"/>
    <x v="10"/>
    <s v="0    "/>
    <s v="3128309133-3234665815         "/>
    <n v="30"/>
  </r>
  <r>
    <s v="202601"/>
    <s v="6844135             "/>
    <x v="57"/>
    <x v="33"/>
    <s v="FEDC137112  "/>
    <n v="2594846"/>
    <x v="3"/>
    <n v="316"/>
    <d v="2025-03-18T00:00:00"/>
    <d v="2025-04-17T00:00:00"/>
    <x v="30"/>
    <x v="9"/>
    <s v="0    "/>
    <s v="3156061781                    "/>
    <n v="30"/>
  </r>
  <r>
    <s v="202601"/>
    <s v="78302691            "/>
    <x v="55"/>
    <x v="13"/>
    <s v="FEDC137258  "/>
    <n v="748439"/>
    <x v="3"/>
    <n v="314"/>
    <d v="2025-03-20T00:00:00"/>
    <d v="2025-04-19T00:00:00"/>
    <x v="18"/>
    <x v="13"/>
    <s v="0    "/>
    <s v="3127672025                    "/>
    <n v="30"/>
  </r>
  <r>
    <s v="202601"/>
    <s v="70385089            "/>
    <x v="58"/>
    <x v="13"/>
    <s v="FEDC137396  "/>
    <n v="1980795"/>
    <x v="3"/>
    <n v="312"/>
    <d v="2025-03-22T00:00:00"/>
    <d v="2025-04-21T00:00:00"/>
    <x v="18"/>
    <x v="4"/>
    <s v="0    "/>
    <s v="3138501094                    "/>
    <n v="30"/>
  </r>
  <r>
    <s v="202601"/>
    <s v="1003288071          "/>
    <x v="56"/>
    <x v="19"/>
    <s v="FEVM27762   "/>
    <n v="532234"/>
    <x v="3"/>
    <n v="303"/>
    <d v="2025-03-31T00:00:00"/>
    <d v="2025-04-30T00:00:00"/>
    <x v="22"/>
    <x v="10"/>
    <s v="0    "/>
    <s v="3128309133-3234665815         "/>
    <n v="30"/>
  </r>
  <r>
    <s v="202601"/>
    <s v="6844135             "/>
    <x v="57"/>
    <x v="33"/>
    <s v="FEDC137946  "/>
    <n v="2977280"/>
    <x v="3"/>
    <n v="303"/>
    <d v="2025-03-31T00:00:00"/>
    <d v="2025-04-30T00:00:00"/>
    <x v="30"/>
    <x v="9"/>
    <s v="0    "/>
    <s v="3156061781                    "/>
    <n v="30"/>
  </r>
  <r>
    <s v="202601"/>
    <s v="70385089            "/>
    <x v="58"/>
    <x v="13"/>
    <s v="FEDC138291  "/>
    <n v="1531800"/>
    <x v="3"/>
    <n v="298"/>
    <d v="2025-04-05T00:00:00"/>
    <d v="2025-05-05T00:00:00"/>
    <x v="18"/>
    <x v="4"/>
    <s v="0    "/>
    <s v="3138501094                    "/>
    <n v="30"/>
  </r>
  <r>
    <s v="202601"/>
    <s v="1003288071          "/>
    <x v="56"/>
    <x v="19"/>
    <s v="FEVM28341   "/>
    <n v="3921819"/>
    <x v="3"/>
    <n v="295"/>
    <d v="2025-04-08T00:00:00"/>
    <d v="2025-05-08T00:00:00"/>
    <x v="22"/>
    <x v="10"/>
    <s v="0    "/>
    <s v="3128309133-3234665815         "/>
    <n v="30"/>
  </r>
  <r>
    <s v="202601"/>
    <s v="6844135             "/>
    <x v="57"/>
    <x v="33"/>
    <s v="FEDC138918  "/>
    <n v="2559729"/>
    <x v="3"/>
    <n v="288"/>
    <d v="2025-04-15T00:00:00"/>
    <d v="2025-05-15T00:00:00"/>
    <x v="30"/>
    <x v="9"/>
    <s v="0    "/>
    <s v="3156061781                    "/>
    <n v="30"/>
  </r>
  <r>
    <s v="202601"/>
    <s v="900744350-0         "/>
    <x v="59"/>
    <x v="34"/>
    <s v="FEDC143264  "/>
    <n v="202110"/>
    <x v="3"/>
    <n v="216"/>
    <d v="2025-06-26T00:00:00"/>
    <d v="2025-07-26T00:00:00"/>
    <x v="31"/>
    <x v="9"/>
    <s v="0    "/>
    <s v="3004232098                    "/>
    <n v="30"/>
  </r>
  <r>
    <s v="202601"/>
    <s v="891000860-0         "/>
    <x v="60"/>
    <x v="2"/>
    <s v="FEDC144656  "/>
    <n v="99509"/>
    <x v="3"/>
    <n v="195"/>
    <d v="2025-07-17T00:00:00"/>
    <d v="2025-08-16T00:00:00"/>
    <x v="1"/>
    <x v="5"/>
    <s v="0    "/>
    <s v="7722037 -                     "/>
    <n v="30"/>
  </r>
  <r>
    <s v="202601"/>
    <s v="70353560            "/>
    <x v="61"/>
    <x v="2"/>
    <s v="FEDC144991  "/>
    <n v="27205"/>
    <x v="3"/>
    <n v="190"/>
    <d v="2025-07-22T00:00:00"/>
    <d v="2025-08-21T00:00:00"/>
    <x v="1"/>
    <x v="12"/>
    <s v="0    "/>
    <s v="3205180472-3205172000 ALEXA   "/>
    <n v="30"/>
  </r>
  <r>
    <s v="202601"/>
    <s v="1152210244          "/>
    <x v="62"/>
    <x v="1"/>
    <s v="FEDC146420  "/>
    <n v="2105"/>
    <x v="3"/>
    <n v="168"/>
    <d v="2025-08-13T00:00:00"/>
    <d v="2025-09-12T00:00:00"/>
    <x v="1"/>
    <x v="12"/>
    <s v="0    "/>
    <s v="3205555535                    "/>
    <n v="30"/>
  </r>
  <r>
    <s v="202601"/>
    <s v="1038131345          "/>
    <x v="63"/>
    <x v="35"/>
    <s v="FEDC146403  "/>
    <n v="980497"/>
    <x v="3"/>
    <n v="168"/>
    <d v="2025-08-13T00:00:00"/>
    <d v="2025-09-12T00:00:00"/>
    <x v="32"/>
    <x v="8"/>
    <s v="0    "/>
    <s v="3007552626- 3206683787        "/>
    <n v="1"/>
  </r>
  <r>
    <s v="202601"/>
    <s v="1038131345          "/>
    <x v="63"/>
    <x v="35"/>
    <s v="FEDC147284  "/>
    <n v="1133779"/>
    <x v="3"/>
    <n v="154"/>
    <d v="2025-08-27T00:00:00"/>
    <d v="2025-09-26T00:00:00"/>
    <x v="32"/>
    <x v="8"/>
    <s v="0    "/>
    <s v="3007552626- 3206683787        "/>
    <n v="1"/>
  </r>
  <r>
    <s v="202601"/>
    <s v="18532717            "/>
    <x v="64"/>
    <x v="36"/>
    <s v="FEDC148181  "/>
    <n v="98362"/>
    <x v="3"/>
    <n v="140"/>
    <d v="2025-09-10T00:00:00"/>
    <d v="2025-10-10T00:00:00"/>
    <x v="33"/>
    <x v="8"/>
    <s v="0    "/>
    <s v="3126701128                    "/>
    <n v="30"/>
  </r>
  <r>
    <s v="202601"/>
    <s v="50883830            "/>
    <x v="65"/>
    <x v="37"/>
    <s v="FEDC148293  "/>
    <n v="90000"/>
    <x v="3"/>
    <n v="138"/>
    <d v="2025-09-12T00:00:00"/>
    <d v="2025-10-12T00:00:00"/>
    <x v="18"/>
    <x v="14"/>
    <s v="0    "/>
    <s v="3147341953"/>
    <n v="15"/>
  </r>
  <r>
    <s v="202601"/>
    <s v="1038131345          "/>
    <x v="63"/>
    <x v="35"/>
    <s v="FEDC148416  "/>
    <n v="658949"/>
    <x v="3"/>
    <n v="135"/>
    <d v="2025-09-15T00:00:00"/>
    <d v="2025-10-15T00:00:00"/>
    <x v="34"/>
    <x v="8"/>
    <s v="0    "/>
    <s v="3007552626- 3206683787        "/>
    <n v="1"/>
  </r>
  <r>
    <s v="202601"/>
    <s v="15323165            "/>
    <x v="66"/>
    <x v="38"/>
    <s v="FEDC148589  "/>
    <n v="5070"/>
    <x v="3"/>
    <n v="133"/>
    <d v="2025-09-17T00:00:00"/>
    <d v="2025-10-17T00:00:00"/>
    <x v="15"/>
    <x v="14"/>
    <s v="0    "/>
    <s v="3113930851                    "/>
    <n v="30"/>
  </r>
  <r>
    <s v="202601"/>
    <s v="64563204            "/>
    <x v="67"/>
    <x v="39"/>
    <s v="FEVM37757   "/>
    <n v="4822"/>
    <x v="5"/>
    <n v="132"/>
    <d v="2025-09-18T00:00:00"/>
    <d v="2025-09-19T00:00:00"/>
    <x v="35"/>
    <x v="10"/>
    <s v="0    "/>
    <s v="3176176264                    "/>
    <n v="30"/>
  </r>
  <r>
    <s v="202601"/>
    <s v="9104183             "/>
    <x v="68"/>
    <x v="40"/>
    <s v="FEDC149505  "/>
    <n v="-2"/>
    <x v="3"/>
    <n v="120"/>
    <d v="2025-09-30T00:00:00"/>
    <d v="2025-10-30T00:00:00"/>
    <x v="36"/>
    <x v="9"/>
    <s v="0    "/>
    <s v="3117189197                    "/>
    <n v="30"/>
  </r>
  <r>
    <s v="202601"/>
    <s v="10889066            "/>
    <x v="69"/>
    <x v="16"/>
    <s v="FEDC149771  "/>
    <n v="335208"/>
    <x v="3"/>
    <n v="117"/>
    <d v="2025-10-03T00:00:00"/>
    <d v="2025-11-02T00:00:00"/>
    <x v="20"/>
    <x v="8"/>
    <s v="0    "/>
    <s v="3116445982                    "/>
    <n v="1"/>
  </r>
  <r>
    <s v="202601"/>
    <s v="39287937            "/>
    <x v="70"/>
    <x v="41"/>
    <s v="FEDC150144  "/>
    <n v="2968606"/>
    <x v="3"/>
    <n v="112"/>
    <d v="2025-10-08T00:00:00"/>
    <d v="2025-11-07T00:00:00"/>
    <x v="37"/>
    <x v="12"/>
    <s v="0    "/>
    <s v="3113865672 -7763166           "/>
    <n v="30"/>
  </r>
  <r>
    <s v="202601"/>
    <s v="18532717            "/>
    <x v="64"/>
    <x v="36"/>
    <s v="FEDC150114  "/>
    <n v="69174"/>
    <x v="3"/>
    <n v="112"/>
    <d v="2025-10-08T00:00:00"/>
    <d v="2025-11-07T00:00:00"/>
    <x v="33"/>
    <x v="8"/>
    <s v="0    "/>
    <s v="3126701128                    "/>
    <n v="30"/>
  </r>
  <r>
    <s v="202601"/>
    <s v="50859648            "/>
    <x v="71"/>
    <x v="40"/>
    <s v="FEDC150691  "/>
    <n v="16800"/>
    <x v="3"/>
    <n v="104"/>
    <d v="2025-10-16T00:00:00"/>
    <d v="2025-11-15T00:00:00"/>
    <x v="36"/>
    <x v="9"/>
    <s v="0    "/>
    <s v="3007679631     "/>
    <n v="30"/>
  </r>
  <r>
    <s v="202601"/>
    <s v="901122343-3         "/>
    <x v="72"/>
    <x v="32"/>
    <s v="FEDC150897  "/>
    <n v="1223"/>
    <x v="3"/>
    <n v="102"/>
    <d v="2025-10-18T00:00:00"/>
    <d v="2025-11-17T00:00:00"/>
    <x v="29"/>
    <x v="9"/>
    <s v="0    "/>
    <s v="3205411304                    "/>
    <n v="30"/>
  </r>
  <r>
    <s v="202601"/>
    <s v="3674529             "/>
    <x v="73"/>
    <x v="25"/>
    <s v="FEDC151474  "/>
    <n v="2276"/>
    <x v="5"/>
    <n v="95"/>
    <d v="2025-10-25T00:00:00"/>
    <d v="2025-10-26T00:00:00"/>
    <x v="16"/>
    <x v="5"/>
    <s v="0    "/>
    <s v="3117985870"/>
    <n v="30"/>
  </r>
  <r>
    <s v="202601"/>
    <s v="900670430-2         "/>
    <x v="74"/>
    <x v="40"/>
    <s v="FEDC151654  "/>
    <n v="4415718"/>
    <x v="3"/>
    <n v="91"/>
    <d v="2025-10-29T00:00:00"/>
    <d v="2025-11-28T00:00:00"/>
    <x v="36"/>
    <x v="9"/>
    <s v="0    "/>
    <s v="3114149410     "/>
    <n v="30"/>
  </r>
  <r>
    <s v="202601"/>
    <s v="30574986            "/>
    <x v="75"/>
    <x v="42"/>
    <s v="FEDC151719  "/>
    <n v="498932"/>
    <x v="3"/>
    <n v="90"/>
    <d v="2025-10-30T00:00:00"/>
    <d v="2025-11-29T00:00:00"/>
    <x v="38"/>
    <x v="8"/>
    <s v="0    "/>
    <s v="3013513431 -3105027158 Nadin  "/>
    <n v="30"/>
  </r>
  <r>
    <s v="202601"/>
    <s v="1005682618          "/>
    <x v="76"/>
    <x v="43"/>
    <s v="FEDC151729  "/>
    <n v="154000"/>
    <x v="3"/>
    <n v="90"/>
    <d v="2025-10-30T00:00:00"/>
    <d v="2025-11-29T00:00:00"/>
    <x v="34"/>
    <x v="8"/>
    <s v="0    "/>
    <s v="3234961674                    "/>
    <n v="30"/>
  </r>
  <r>
    <s v="202601"/>
    <s v="30060279            "/>
    <x v="77"/>
    <x v="44"/>
    <s v="FEVM40499   "/>
    <n v="30700"/>
    <x v="5"/>
    <n v="89"/>
    <d v="2025-10-31T00:00:00"/>
    <d v="2025-11-01T00:00:00"/>
    <x v="24"/>
    <x v="3"/>
    <s v="0    "/>
    <s v="3145151582                    "/>
    <n v="1"/>
  </r>
  <r>
    <s v="202601"/>
    <s v="78701684            "/>
    <x v="78"/>
    <x v="18"/>
    <s v="FEDC151911  "/>
    <n v="32736"/>
    <x v="3"/>
    <n v="89"/>
    <d v="2025-10-31T00:00:00"/>
    <d v="2025-11-30T00:00:00"/>
    <x v="17"/>
    <x v="8"/>
    <s v="0    "/>
    <s v="3114036195                    "/>
    <n v="30"/>
  </r>
  <r>
    <s v="202601"/>
    <s v="1037582300          "/>
    <x v="79"/>
    <x v="45"/>
    <s v="FEDC151929  "/>
    <n v="237358"/>
    <x v="3"/>
    <n v="89"/>
    <d v="2025-10-31T00:00:00"/>
    <d v="2025-11-30T00:00:00"/>
    <x v="30"/>
    <x v="9"/>
    <s v="0    "/>
    <s v="3192610072     "/>
    <n v="30"/>
  </r>
  <r>
    <s v="202601"/>
    <s v="1041256612          "/>
    <x v="80"/>
    <x v="46"/>
    <s v="FEDC152127  "/>
    <n v="35798"/>
    <x v="3"/>
    <n v="84"/>
    <d v="2025-11-05T00:00:00"/>
    <d v="2025-12-05T00:00:00"/>
    <x v="2"/>
    <x v="9"/>
    <s v="0    "/>
    <s v="3106053105                    "/>
    <n v="30"/>
  </r>
  <r>
    <s v="202601"/>
    <s v="98458537            "/>
    <x v="81"/>
    <x v="47"/>
    <s v="FEDC152092  "/>
    <n v="273248"/>
    <x v="3"/>
    <n v="84"/>
    <d v="2025-11-05T00:00:00"/>
    <d v="2025-12-05T00:00:00"/>
    <x v="39"/>
    <x v="8"/>
    <s v="0    "/>
    <s v="3134962572     "/>
    <n v="30"/>
  </r>
  <r>
    <s v="202601"/>
    <s v="92519934            "/>
    <x v="82"/>
    <x v="48"/>
    <s v="FEDC152212  "/>
    <n v="41690"/>
    <x v="3"/>
    <n v="83"/>
    <d v="2025-11-06T00:00:00"/>
    <d v="2025-12-06T00:00:00"/>
    <x v="14"/>
    <x v="4"/>
    <s v="0    "/>
    <s v="3156590971                    "/>
    <n v="30"/>
  </r>
  <r>
    <s v="202601"/>
    <s v="1045419221          "/>
    <x v="83"/>
    <x v="25"/>
    <s v="FEDC152411  "/>
    <n v="640507"/>
    <x v="3"/>
    <n v="82"/>
    <d v="2025-11-07T00:00:00"/>
    <d v="2025-12-07T00:00:00"/>
    <x v="16"/>
    <x v="4"/>
    <s v="0    "/>
    <s v="323746081                     "/>
    <n v="30"/>
  </r>
  <r>
    <s v="202601"/>
    <s v="78295897            "/>
    <x v="84"/>
    <x v="1"/>
    <s v="FEVM40909   "/>
    <n v="399373"/>
    <x v="1"/>
    <n v="82"/>
    <d v="2025-11-07T00:00:00"/>
    <d v="2025-11-22T00:00:00"/>
    <x v="1"/>
    <x v="3"/>
    <s v="0    "/>
    <s v="3013033891     "/>
    <n v="15"/>
  </r>
  <r>
    <s v="202601"/>
    <s v="78295897            "/>
    <x v="84"/>
    <x v="1"/>
    <s v="FEVM40910   "/>
    <n v="496297"/>
    <x v="1"/>
    <n v="82"/>
    <d v="2025-11-07T00:00:00"/>
    <d v="2025-11-22T00:00:00"/>
    <x v="1"/>
    <x v="3"/>
    <s v="0    "/>
    <s v="3013033891     "/>
    <n v="15"/>
  </r>
  <r>
    <s v="202601"/>
    <s v="78295897            "/>
    <x v="84"/>
    <x v="1"/>
    <s v="FEVM40911   "/>
    <n v="664876"/>
    <x v="1"/>
    <n v="82"/>
    <d v="2025-11-07T00:00:00"/>
    <d v="2025-11-22T00:00:00"/>
    <x v="1"/>
    <x v="3"/>
    <s v="0    "/>
    <s v="3013033891     "/>
    <n v="15"/>
  </r>
  <r>
    <s v="202601"/>
    <s v="900670430-2         "/>
    <x v="74"/>
    <x v="40"/>
    <s v="FEDC152676  "/>
    <n v="3855505"/>
    <x v="3"/>
    <n v="77"/>
    <d v="2025-11-12T00:00:00"/>
    <d v="2025-12-12T00:00:00"/>
    <x v="36"/>
    <x v="9"/>
    <s v="0    "/>
    <s v="3114149410     "/>
    <n v="30"/>
  </r>
  <r>
    <s v="202601"/>
    <s v="900670430-2         "/>
    <x v="74"/>
    <x v="40"/>
    <s v="FEDC152677  "/>
    <n v="1128200"/>
    <x v="3"/>
    <n v="77"/>
    <d v="2025-11-12T00:00:00"/>
    <d v="2025-12-12T00:00:00"/>
    <x v="36"/>
    <x v="9"/>
    <s v="0    "/>
    <s v="3114149410     "/>
    <n v="30"/>
  </r>
  <r>
    <s v="202601"/>
    <s v="9020231             "/>
    <x v="85"/>
    <x v="45"/>
    <s v="FEDC152661  "/>
    <n v="59671"/>
    <x v="3"/>
    <n v="77"/>
    <d v="2025-11-12T00:00:00"/>
    <d v="2025-12-12T00:00:00"/>
    <x v="30"/>
    <x v="9"/>
    <s v="0    "/>
    <s v="3118875212                    "/>
    <n v="1"/>
  </r>
  <r>
    <s v="202601"/>
    <s v="30574986            "/>
    <x v="75"/>
    <x v="42"/>
    <s v="FEDC152705  "/>
    <n v="2957351"/>
    <x v="3"/>
    <n v="76"/>
    <d v="2025-11-13T00:00:00"/>
    <d v="2025-12-13T00:00:00"/>
    <x v="38"/>
    <x v="8"/>
    <s v="0    "/>
    <s v="3013513431 -3105027158 Nadin  "/>
    <n v="30"/>
  </r>
  <r>
    <s v="202601"/>
    <s v="15304619            "/>
    <x v="86"/>
    <x v="4"/>
    <s v="FEDC152731  "/>
    <n v="3688034"/>
    <x v="3"/>
    <n v="76"/>
    <d v="2025-11-13T00:00:00"/>
    <d v="2025-12-13T00:00:00"/>
    <x v="3"/>
    <x v="1"/>
    <s v="0    "/>
    <s v="3136304945 Cristian Indabur   "/>
    <n v="30"/>
  </r>
  <r>
    <s v="202601"/>
    <s v="72212007            "/>
    <x v="87"/>
    <x v="49"/>
    <s v="FEDC152714  "/>
    <n v="88014"/>
    <x v="3"/>
    <n v="76"/>
    <d v="2025-11-13T00:00:00"/>
    <d v="2025-12-13T00:00:00"/>
    <x v="34"/>
    <x v="8"/>
    <s v="0    "/>
    <s v="3107074324     "/>
    <n v="30"/>
  </r>
  <r>
    <s v="202601"/>
    <s v="78295897            "/>
    <x v="84"/>
    <x v="1"/>
    <s v="FEVM41368   "/>
    <n v="953128"/>
    <x v="1"/>
    <n v="75"/>
    <d v="2025-11-14T00:00:00"/>
    <d v="2025-11-29T00:00:00"/>
    <x v="1"/>
    <x v="3"/>
    <s v="0    "/>
    <s v="3013033891     "/>
    <n v="15"/>
  </r>
  <r>
    <s v="202601"/>
    <s v="1041263820          "/>
    <x v="88"/>
    <x v="50"/>
    <s v="FEDC152830  "/>
    <n v="159433"/>
    <x v="3"/>
    <n v="75"/>
    <d v="2025-11-14T00:00:00"/>
    <d v="2025-12-14T00:00:00"/>
    <x v="40"/>
    <x v="9"/>
    <s v="0    "/>
    <s v="3122997042     "/>
    <n v="30"/>
  </r>
  <r>
    <s v="202601"/>
    <s v="98600001            "/>
    <x v="89"/>
    <x v="46"/>
    <s v="FEDC153170  "/>
    <n v="498805"/>
    <x v="3"/>
    <n v="70"/>
    <d v="2025-11-19T00:00:00"/>
    <d v="2025-12-19T00:00:00"/>
    <x v="2"/>
    <x v="9"/>
    <s v="0    "/>
    <s v="3216130320                    "/>
    <n v="30"/>
  </r>
  <r>
    <s v="202601"/>
    <s v="1037582300          "/>
    <x v="79"/>
    <x v="45"/>
    <s v="FEDC153183  "/>
    <n v="99109"/>
    <x v="3"/>
    <n v="70"/>
    <d v="2025-11-19T00:00:00"/>
    <d v="2025-12-19T00:00:00"/>
    <x v="30"/>
    <x v="9"/>
    <s v="0    "/>
    <s v="3192610072     "/>
    <n v="30"/>
  </r>
  <r>
    <s v="202601"/>
    <s v="92519934            "/>
    <x v="82"/>
    <x v="48"/>
    <s v="FEDC153210  "/>
    <n v="62226"/>
    <x v="3"/>
    <n v="69"/>
    <d v="2025-11-20T00:00:00"/>
    <d v="2025-12-20T00:00:00"/>
    <x v="14"/>
    <x v="4"/>
    <s v="0    "/>
    <s v="3156590971                    "/>
    <n v="30"/>
  </r>
  <r>
    <s v="202601"/>
    <s v="84068395            "/>
    <x v="90"/>
    <x v="45"/>
    <s v="FEDC153296  "/>
    <n v="2256526"/>
    <x v="8"/>
    <n v="69"/>
    <d v="2025-11-20T00:00:00"/>
    <d v="2025-12-28T00:00:00"/>
    <x v="30"/>
    <x v="9"/>
    <s v="0    "/>
    <s v="3105105295     "/>
    <n v="30"/>
  </r>
  <r>
    <s v="202601"/>
    <s v="84068395            "/>
    <x v="90"/>
    <x v="45"/>
    <s v="FEDC153297  "/>
    <n v="3720000"/>
    <x v="3"/>
    <n v="69"/>
    <d v="2025-11-20T00:00:00"/>
    <d v="2025-12-20T00:00:00"/>
    <x v="30"/>
    <x v="9"/>
    <s v="0    "/>
    <s v="3105105295     "/>
    <n v="30"/>
  </r>
  <r>
    <s v="202601"/>
    <s v="84068395            "/>
    <x v="90"/>
    <x v="45"/>
    <s v="FEDC153298  "/>
    <n v="3963748"/>
    <x v="3"/>
    <n v="69"/>
    <d v="2025-11-20T00:00:00"/>
    <d v="2025-12-20T00:00:00"/>
    <x v="30"/>
    <x v="9"/>
    <s v="0    "/>
    <s v="3105105295     "/>
    <n v="30"/>
  </r>
  <r>
    <s v="202601"/>
    <s v="84068395            "/>
    <x v="90"/>
    <x v="45"/>
    <s v="FEDC153300  "/>
    <n v="7679991"/>
    <x v="3"/>
    <n v="69"/>
    <d v="2025-11-20T00:00:00"/>
    <d v="2025-12-20T00:00:00"/>
    <x v="30"/>
    <x v="9"/>
    <s v="0    "/>
    <s v="3105105295     "/>
    <n v="30"/>
  </r>
  <r>
    <s v="202601"/>
    <s v="84068395            "/>
    <x v="90"/>
    <x v="45"/>
    <s v="FEDC153301  "/>
    <n v="4880000"/>
    <x v="3"/>
    <n v="69"/>
    <d v="2025-11-20T00:00:00"/>
    <d v="2025-12-20T00:00:00"/>
    <x v="30"/>
    <x v="9"/>
    <s v="0    "/>
    <s v="3105105295     "/>
    <n v="30"/>
  </r>
  <r>
    <s v="202601"/>
    <s v="84068395            "/>
    <x v="90"/>
    <x v="45"/>
    <s v="FEDC153302  "/>
    <n v="3586968"/>
    <x v="3"/>
    <n v="69"/>
    <d v="2025-11-20T00:00:00"/>
    <d v="2025-12-20T00:00:00"/>
    <x v="30"/>
    <x v="9"/>
    <s v="0    "/>
    <s v="3105105295     "/>
    <n v="30"/>
  </r>
  <r>
    <s v="202601"/>
    <s v="72156776            "/>
    <x v="91"/>
    <x v="47"/>
    <s v="FEDC153226  "/>
    <n v="1383171"/>
    <x v="3"/>
    <n v="69"/>
    <d v="2025-11-20T00:00:00"/>
    <d v="2025-12-20T00:00:00"/>
    <x v="39"/>
    <x v="8"/>
    <s v="0    "/>
    <s v="3161762979                    "/>
    <n v="30"/>
  </r>
  <r>
    <s v="202601"/>
    <s v="72156776            "/>
    <x v="91"/>
    <x v="47"/>
    <s v="FEDC153228  "/>
    <n v="783648"/>
    <x v="3"/>
    <n v="69"/>
    <d v="2025-11-20T00:00:00"/>
    <d v="2025-12-20T00:00:00"/>
    <x v="39"/>
    <x v="8"/>
    <s v="0    "/>
    <s v="3161762979                    "/>
    <n v="30"/>
  </r>
  <r>
    <s v="202601"/>
    <s v="72156776            "/>
    <x v="91"/>
    <x v="47"/>
    <s v="FEDC153299  "/>
    <n v="295062"/>
    <x v="3"/>
    <n v="69"/>
    <d v="2025-11-20T00:00:00"/>
    <d v="2025-12-20T00:00:00"/>
    <x v="39"/>
    <x v="8"/>
    <s v="0    "/>
    <s v="3161762979                    "/>
    <n v="30"/>
  </r>
  <r>
    <s v="202601"/>
    <s v="1045419221          "/>
    <x v="83"/>
    <x v="25"/>
    <s v="FEDC153428  "/>
    <n v="955860"/>
    <x v="3"/>
    <n v="67"/>
    <d v="2025-11-22T00:00:00"/>
    <d v="2025-12-22T00:00:00"/>
    <x v="16"/>
    <x v="4"/>
    <s v="0    "/>
    <s v="323746081                     "/>
    <n v="30"/>
  </r>
  <r>
    <s v="202601"/>
    <s v="98599124            "/>
    <x v="92"/>
    <x v="28"/>
    <s v="FEDC153425  "/>
    <n v="218155"/>
    <x v="3"/>
    <n v="67"/>
    <d v="2025-11-22T00:00:00"/>
    <d v="2025-12-22T00:00:00"/>
    <x v="26"/>
    <x v="9"/>
    <s v="0    "/>
    <s v="3117412176                    "/>
    <n v="1"/>
  </r>
  <r>
    <s v="202601"/>
    <s v="84068395            "/>
    <x v="90"/>
    <x v="45"/>
    <s v="FEDC153582  "/>
    <n v="1844751"/>
    <x v="3"/>
    <n v="64"/>
    <d v="2025-11-25T00:00:00"/>
    <d v="2025-12-25T00:00:00"/>
    <x v="19"/>
    <x v="9"/>
    <s v="0    "/>
    <s v="3105105295     "/>
    <n v="30"/>
  </r>
  <r>
    <s v="202601"/>
    <s v="70691309            "/>
    <x v="93"/>
    <x v="15"/>
    <s v="FEDC153594  "/>
    <n v="451403"/>
    <x v="3"/>
    <n v="64"/>
    <d v="2025-11-25T00:00:00"/>
    <d v="2025-12-25T00:00:00"/>
    <x v="19"/>
    <x v="9"/>
    <s v="0    "/>
    <s v="3205719278     "/>
    <n v="30"/>
  </r>
  <r>
    <s v="202601"/>
    <s v="34994357-1          "/>
    <x v="94"/>
    <x v="14"/>
    <s v="FEDC153604  "/>
    <n v="300759"/>
    <x v="3"/>
    <n v="64"/>
    <d v="2025-11-25T00:00:00"/>
    <d v="2025-12-25T00:00:00"/>
    <x v="17"/>
    <x v="8"/>
    <s v="0    "/>
    <s v="3187948834                    "/>
    <n v="30"/>
  </r>
  <r>
    <s v="202601"/>
    <s v="1104406269          "/>
    <x v="95"/>
    <x v="18"/>
    <s v="FEDC153607  "/>
    <n v="20605"/>
    <x v="3"/>
    <n v="64"/>
    <d v="2025-11-25T00:00:00"/>
    <d v="2025-12-25T00:00:00"/>
    <x v="17"/>
    <x v="8"/>
    <s v="0    "/>
    <s v="3217438651                    "/>
    <n v="30"/>
  </r>
  <r>
    <s v="202601"/>
    <s v="9104183             "/>
    <x v="68"/>
    <x v="40"/>
    <s v="FEDC153579  "/>
    <n v="1489124"/>
    <x v="3"/>
    <n v="64"/>
    <d v="2025-11-25T00:00:00"/>
    <d v="2025-12-25T00:00:00"/>
    <x v="36"/>
    <x v="9"/>
    <s v="0    "/>
    <s v="3117189197                    "/>
    <n v="30"/>
  </r>
  <r>
    <s v="202601"/>
    <s v="900670430-2         "/>
    <x v="74"/>
    <x v="40"/>
    <s v="FEDC153598  "/>
    <n v="1166800"/>
    <x v="3"/>
    <n v="64"/>
    <d v="2025-11-25T00:00:00"/>
    <d v="2025-12-25T00:00:00"/>
    <x v="36"/>
    <x v="9"/>
    <s v="0    "/>
    <s v="3114149410     "/>
    <n v="30"/>
  </r>
  <r>
    <s v="202601"/>
    <s v="900670430-2         "/>
    <x v="74"/>
    <x v="40"/>
    <s v="FEDC153599  "/>
    <n v="937199"/>
    <x v="3"/>
    <n v="64"/>
    <d v="2025-11-25T00:00:00"/>
    <d v="2025-12-25T00:00:00"/>
    <x v="36"/>
    <x v="9"/>
    <s v="0    "/>
    <s v="3114149410     "/>
    <n v="30"/>
  </r>
  <r>
    <s v="202601"/>
    <s v="43345692            "/>
    <x v="96"/>
    <x v="51"/>
    <s v="FEDC153601  "/>
    <n v="1125320"/>
    <x v="3"/>
    <n v="64"/>
    <d v="2025-11-25T00:00:00"/>
    <d v="2025-12-25T00:00:00"/>
    <x v="36"/>
    <x v="9"/>
    <s v="0    "/>
    <s v="3206917062                    "/>
    <n v="1"/>
  </r>
  <r>
    <s v="202601"/>
    <s v="84068395            "/>
    <x v="90"/>
    <x v="45"/>
    <s v="FEDC153589  "/>
    <n v="1962000"/>
    <x v="3"/>
    <n v="64"/>
    <d v="2025-11-25T00:00:00"/>
    <d v="2025-12-25T00:00:00"/>
    <x v="30"/>
    <x v="9"/>
    <s v="0    "/>
    <s v="3105105295     "/>
    <n v="30"/>
  </r>
  <r>
    <s v="202601"/>
    <s v="84068395            "/>
    <x v="90"/>
    <x v="45"/>
    <s v="FEDC153590  "/>
    <n v="2907242"/>
    <x v="3"/>
    <n v="64"/>
    <d v="2025-11-25T00:00:00"/>
    <d v="2025-12-25T00:00:00"/>
    <x v="30"/>
    <x v="9"/>
    <s v="0    "/>
    <s v="3105105295     "/>
    <n v="30"/>
  </r>
  <r>
    <s v="202601"/>
    <s v="84068395            "/>
    <x v="90"/>
    <x v="45"/>
    <s v="FEDC153592  "/>
    <n v="2191011"/>
    <x v="3"/>
    <n v="64"/>
    <d v="2025-11-25T00:00:00"/>
    <d v="2025-12-25T00:00:00"/>
    <x v="30"/>
    <x v="9"/>
    <s v="0    "/>
    <s v="3105105295     "/>
    <n v="30"/>
  </r>
  <r>
    <s v="202601"/>
    <s v="84068395            "/>
    <x v="90"/>
    <x v="45"/>
    <s v="FEDC153593  "/>
    <n v="2431199"/>
    <x v="3"/>
    <n v="64"/>
    <d v="2025-11-25T00:00:00"/>
    <d v="2025-12-25T00:00:00"/>
    <x v="30"/>
    <x v="9"/>
    <s v="0    "/>
    <s v="3105105295     "/>
    <n v="30"/>
  </r>
  <r>
    <s v="202601"/>
    <s v="9020231             "/>
    <x v="85"/>
    <x v="45"/>
    <s v="FEDC153595  "/>
    <n v="2401867"/>
    <x v="3"/>
    <n v="64"/>
    <d v="2025-11-25T00:00:00"/>
    <d v="2025-12-25T00:00:00"/>
    <x v="30"/>
    <x v="9"/>
    <s v="0    "/>
    <s v="3118875212                    "/>
    <n v="1"/>
  </r>
  <r>
    <s v="202601"/>
    <s v="84068395            "/>
    <x v="90"/>
    <x v="45"/>
    <s v="FEDC153596  "/>
    <n v="1815000"/>
    <x v="3"/>
    <n v="64"/>
    <d v="2025-11-25T00:00:00"/>
    <d v="2025-12-25T00:00:00"/>
    <x v="30"/>
    <x v="9"/>
    <s v="0    "/>
    <s v="3105105295     "/>
    <n v="30"/>
  </r>
  <r>
    <s v="202601"/>
    <s v="84068395            "/>
    <x v="90"/>
    <x v="45"/>
    <s v="FEDC153597  "/>
    <n v="2332051"/>
    <x v="3"/>
    <n v="64"/>
    <d v="2025-11-25T00:00:00"/>
    <d v="2025-12-25T00:00:00"/>
    <x v="30"/>
    <x v="9"/>
    <s v="0    "/>
    <s v="3105105295     "/>
    <n v="30"/>
  </r>
  <r>
    <s v="202601"/>
    <s v="901523817-3         "/>
    <x v="97"/>
    <x v="52"/>
    <s v="FEDC153613  "/>
    <n v="127200"/>
    <x v="3"/>
    <n v="64"/>
    <d v="2025-11-25T00:00:00"/>
    <d v="2025-12-25T00:00:00"/>
    <x v="41"/>
    <x v="8"/>
    <s v="0    "/>
    <s v="3126183068                    "/>
    <n v="30"/>
  </r>
  <r>
    <s v="202601"/>
    <s v="901847874-4         "/>
    <x v="98"/>
    <x v="53"/>
    <s v="FEDC153742  "/>
    <n v="2"/>
    <x v="3"/>
    <n v="62"/>
    <d v="2025-11-27T00:00:00"/>
    <d v="2025-12-27T00:00:00"/>
    <x v="10"/>
    <x v="15"/>
    <s v="0    "/>
    <s v="3205677296                    "/>
    <n v="30"/>
  </r>
  <r>
    <s v="202601"/>
    <s v="92527863            "/>
    <x v="99"/>
    <x v="54"/>
    <s v="FEDC153838  "/>
    <n v="413399"/>
    <x v="3"/>
    <n v="62"/>
    <d v="2025-11-27T00:00:00"/>
    <d v="2025-12-27T00:00:00"/>
    <x v="17"/>
    <x v="8"/>
    <s v="0    "/>
    <s v="3104213413                    "/>
    <n v="30"/>
  </r>
  <r>
    <s v="202601"/>
    <s v="92527863            "/>
    <x v="99"/>
    <x v="54"/>
    <s v="FEDC153839  "/>
    <n v="455398"/>
    <x v="3"/>
    <n v="62"/>
    <d v="2025-11-27T00:00:00"/>
    <d v="2025-12-27T00:00:00"/>
    <x v="17"/>
    <x v="8"/>
    <s v="0    "/>
    <s v="3104213413                    "/>
    <n v="30"/>
  </r>
  <r>
    <s v="202601"/>
    <s v="11037195            "/>
    <x v="100"/>
    <x v="34"/>
    <s v="FEDC153950  "/>
    <n v="598890"/>
    <x v="3"/>
    <n v="61"/>
    <d v="2025-11-28T00:00:00"/>
    <d v="2025-12-28T00:00:00"/>
    <x v="31"/>
    <x v="9"/>
    <s v="0    "/>
    <s v="3175457191                    "/>
    <n v="30"/>
  </r>
  <r>
    <s v="202601"/>
    <s v="11037195            "/>
    <x v="100"/>
    <x v="34"/>
    <s v="FEDC153951  "/>
    <n v="320415"/>
    <x v="3"/>
    <n v="61"/>
    <d v="2025-11-28T00:00:00"/>
    <d v="2025-12-28T00:00:00"/>
    <x v="31"/>
    <x v="9"/>
    <s v="0    "/>
    <s v="3175457191                    "/>
    <n v="30"/>
  </r>
  <r>
    <s v="202601"/>
    <s v="11063582            "/>
    <x v="101"/>
    <x v="55"/>
    <s v="FEDC153948  "/>
    <n v="1107509"/>
    <x v="3"/>
    <n v="61"/>
    <d v="2025-11-28T00:00:00"/>
    <d v="2025-12-28T00:00:00"/>
    <x v="42"/>
    <x v="9"/>
    <s v="0    "/>
    <s v="3205026928     "/>
    <n v="30"/>
  </r>
  <r>
    <s v="202601"/>
    <s v="50881295            "/>
    <x v="102"/>
    <x v="56"/>
    <s v="FEDC153952  "/>
    <n v="606612"/>
    <x v="3"/>
    <n v="61"/>
    <d v="2025-11-28T00:00:00"/>
    <d v="2025-12-28T00:00:00"/>
    <x v="43"/>
    <x v="9"/>
    <s v="0    "/>
    <s v="3145338156     "/>
    <n v="30"/>
  </r>
  <r>
    <s v="202601"/>
    <s v="50881295            "/>
    <x v="102"/>
    <x v="56"/>
    <s v="FEDC153953  "/>
    <n v="1621637"/>
    <x v="3"/>
    <n v="61"/>
    <d v="2025-11-28T00:00:00"/>
    <d v="2025-12-28T00:00:00"/>
    <x v="43"/>
    <x v="9"/>
    <s v="0    "/>
    <s v="3145338156     "/>
    <n v="30"/>
  </r>
  <r>
    <s v="202601"/>
    <s v="39273406            "/>
    <x v="103"/>
    <x v="14"/>
    <s v="FEDC154050  "/>
    <n v="199799"/>
    <x v="3"/>
    <n v="60"/>
    <d v="2025-11-29T00:00:00"/>
    <d v="2025-12-29T00:00:00"/>
    <x v="17"/>
    <x v="8"/>
    <s v="0    "/>
    <s v="3205029760                    "/>
    <n v="30"/>
  </r>
  <r>
    <s v="202601"/>
    <s v="39273406            "/>
    <x v="103"/>
    <x v="14"/>
    <s v="FEDC154051  "/>
    <n v="509609"/>
    <x v="3"/>
    <n v="60"/>
    <d v="2025-11-29T00:00:00"/>
    <d v="2025-12-29T00:00:00"/>
    <x v="17"/>
    <x v="8"/>
    <s v="0    "/>
    <s v="3205029760                    "/>
    <n v="30"/>
  </r>
  <r>
    <s v="202601"/>
    <s v="1037582300          "/>
    <x v="79"/>
    <x v="45"/>
    <s v="FEDC154048  "/>
    <n v="480000"/>
    <x v="3"/>
    <n v="60"/>
    <d v="2025-11-29T00:00:00"/>
    <d v="2025-12-29T00:00:00"/>
    <x v="30"/>
    <x v="9"/>
    <s v="0    "/>
    <s v="3192610072     "/>
    <n v="30"/>
  </r>
  <r>
    <s v="202601"/>
    <s v="901523817-3         "/>
    <x v="97"/>
    <x v="52"/>
    <s v="FEDC154038  "/>
    <n v="954306"/>
    <x v="3"/>
    <n v="60"/>
    <d v="2025-11-29T00:00:00"/>
    <d v="2025-12-29T00:00:00"/>
    <x v="41"/>
    <x v="8"/>
    <s v="0    "/>
    <s v="3126183068                    "/>
    <n v="30"/>
  </r>
  <r>
    <s v="202601"/>
    <s v="890100363-7         "/>
    <x v="104"/>
    <x v="57"/>
    <s v="FEDC154073  "/>
    <n v="416500"/>
    <x v="5"/>
    <n v="58"/>
    <d v="2025-12-01T00:00:00"/>
    <d v="2025-12-02T00:00:00"/>
    <x v="18"/>
    <x v="16"/>
    <s v="0    "/>
    <s v="3716888        "/>
    <n v="30"/>
  </r>
  <r>
    <s v="202601"/>
    <s v="890101815-9         "/>
    <x v="105"/>
    <x v="37"/>
    <s v="FEDC154092  "/>
    <n v="3238228"/>
    <x v="5"/>
    <n v="58"/>
    <d v="2025-12-01T00:00:00"/>
    <d v="2025-12-02T00:00:00"/>
    <x v="18"/>
    <x v="16"/>
    <s v="0    "/>
    <s v="               "/>
    <n v="0"/>
  </r>
  <r>
    <s v="202601"/>
    <s v="901868532-0         "/>
    <x v="106"/>
    <x v="24"/>
    <s v="FEDC154088  "/>
    <n v="92560"/>
    <x v="3"/>
    <n v="58"/>
    <d v="2025-12-01T00:00:00"/>
    <d v="2025-12-31T00:00:00"/>
    <x v="24"/>
    <x v="12"/>
    <s v="0    "/>
    <s v="3138778653                    "/>
    <n v="30"/>
  </r>
  <r>
    <s v="202601"/>
    <s v="98599409            "/>
    <x v="107"/>
    <x v="3"/>
    <s v="FEDC154187  "/>
    <n v="732000"/>
    <x v="3"/>
    <n v="57"/>
    <d v="2025-12-02T00:00:00"/>
    <d v="2026-01-01T00:00:00"/>
    <x v="2"/>
    <x v="9"/>
    <s v="1    "/>
    <s v="3165313681                    "/>
    <n v="30"/>
  </r>
  <r>
    <s v="202601"/>
    <s v="98599409            "/>
    <x v="107"/>
    <x v="3"/>
    <s v="FEDC154196  "/>
    <n v="578604"/>
    <x v="3"/>
    <n v="57"/>
    <d v="2025-12-02T00:00:00"/>
    <d v="2026-01-01T00:00:00"/>
    <x v="2"/>
    <x v="9"/>
    <s v="1    "/>
    <s v="3165313681                    "/>
    <n v="30"/>
  </r>
  <r>
    <s v="202601"/>
    <s v="98599409            "/>
    <x v="107"/>
    <x v="3"/>
    <s v="FEDC154197  "/>
    <n v="497618"/>
    <x v="3"/>
    <n v="57"/>
    <d v="2025-12-02T00:00:00"/>
    <d v="2026-01-01T00:00:00"/>
    <x v="2"/>
    <x v="9"/>
    <s v="1    "/>
    <s v="3165313681                    "/>
    <n v="30"/>
  </r>
  <r>
    <s v="202601"/>
    <s v="78646687            "/>
    <x v="108"/>
    <x v="58"/>
    <s v="FEDC154302  "/>
    <n v="1105020"/>
    <x v="3"/>
    <n v="56"/>
    <d v="2025-12-03T00:00:00"/>
    <d v="2026-01-02T00:00:00"/>
    <x v="18"/>
    <x v="4"/>
    <s v="0    "/>
    <s v="3135074289                    "/>
    <n v="30"/>
  </r>
  <r>
    <s v="202601"/>
    <s v="78646687            "/>
    <x v="108"/>
    <x v="58"/>
    <s v="FEDC154303  "/>
    <n v="523188"/>
    <x v="3"/>
    <n v="56"/>
    <d v="2025-12-03T00:00:00"/>
    <d v="2026-01-02T00:00:00"/>
    <x v="18"/>
    <x v="4"/>
    <s v="0    "/>
    <s v="3135074289                    "/>
    <n v="30"/>
  </r>
  <r>
    <s v="202601"/>
    <s v="92519934            "/>
    <x v="82"/>
    <x v="48"/>
    <s v="FEDC154285  "/>
    <n v="1757298"/>
    <x v="3"/>
    <n v="56"/>
    <d v="2025-12-03T00:00:00"/>
    <d v="2026-01-02T00:00:00"/>
    <x v="14"/>
    <x v="4"/>
    <s v="0    "/>
    <s v="3156590971                    "/>
    <n v="30"/>
  </r>
  <r>
    <s v="202601"/>
    <s v="70903957            "/>
    <x v="109"/>
    <x v="47"/>
    <s v="FEDC154430  "/>
    <n v="208064"/>
    <x v="3"/>
    <n v="56"/>
    <d v="2025-12-03T00:00:00"/>
    <d v="2026-01-02T00:00:00"/>
    <x v="38"/>
    <x v="8"/>
    <s v="0    "/>
    <s v="3135637569                    "/>
    <n v="30"/>
  </r>
  <r>
    <s v="202601"/>
    <s v="70903957            "/>
    <x v="109"/>
    <x v="47"/>
    <s v="FEDC154431  "/>
    <n v="322300"/>
    <x v="3"/>
    <n v="56"/>
    <d v="2025-12-03T00:00:00"/>
    <d v="2026-01-02T00:00:00"/>
    <x v="38"/>
    <x v="8"/>
    <s v="0    "/>
    <s v="3135637569                    "/>
    <n v="30"/>
  </r>
  <r>
    <s v="202601"/>
    <s v="78302612            "/>
    <x v="110"/>
    <x v="2"/>
    <s v="FEDC154376  "/>
    <n v="72860"/>
    <x v="3"/>
    <n v="56"/>
    <d v="2025-12-03T00:00:00"/>
    <d v="2026-01-02T00:00:00"/>
    <x v="1"/>
    <x v="12"/>
    <s v="0    "/>
    <s v="3126603940 -3041037151        "/>
    <n v="30"/>
  </r>
  <r>
    <s v="202601"/>
    <s v="1047403252          "/>
    <x v="111"/>
    <x v="2"/>
    <s v="FEDC154380  "/>
    <n v="2890000"/>
    <x v="3"/>
    <n v="56"/>
    <d v="2025-12-03T00:00:00"/>
    <d v="2026-01-02T00:00:00"/>
    <x v="1"/>
    <x v="12"/>
    <s v="0    "/>
    <s v="3117322753 -7767418           "/>
    <n v="30"/>
  </r>
  <r>
    <s v="202601"/>
    <s v="1047403252          "/>
    <x v="111"/>
    <x v="2"/>
    <s v="FEDC154435  "/>
    <n v="7634740"/>
    <x v="3"/>
    <n v="56"/>
    <d v="2025-12-03T00:00:00"/>
    <d v="2026-01-02T00:00:00"/>
    <x v="1"/>
    <x v="12"/>
    <s v="0    "/>
    <s v="3117322753 -7767418           "/>
    <n v="30"/>
  </r>
  <r>
    <s v="202601"/>
    <s v="1047403252          "/>
    <x v="111"/>
    <x v="2"/>
    <s v="FEDC154436  "/>
    <n v="4447682"/>
    <x v="3"/>
    <n v="56"/>
    <d v="2025-12-03T00:00:00"/>
    <d v="2026-01-02T00:00:00"/>
    <x v="1"/>
    <x v="12"/>
    <s v="0    "/>
    <s v="3117322753 -7767418           "/>
    <n v="30"/>
  </r>
  <r>
    <s v="202601"/>
    <s v="1036422731          "/>
    <x v="112"/>
    <x v="12"/>
    <s v="FEDC154306  "/>
    <n v="3298172"/>
    <x v="3"/>
    <n v="56"/>
    <d v="2025-12-03T00:00:00"/>
    <d v="2026-01-02T00:00:00"/>
    <x v="9"/>
    <x v="1"/>
    <s v="0    "/>
    <s v="3136876168                    "/>
    <n v="1"/>
  </r>
  <r>
    <s v="202601"/>
    <s v="3552564             "/>
    <x v="113"/>
    <x v="12"/>
    <s v="FEDC154315  "/>
    <n v="1790615"/>
    <x v="3"/>
    <n v="56"/>
    <d v="2025-12-03T00:00:00"/>
    <d v="2026-01-02T00:00:00"/>
    <x v="9"/>
    <x v="1"/>
    <s v="0    "/>
    <s v="3225062847                    "/>
    <n v="30"/>
  </r>
  <r>
    <s v="202601"/>
    <s v="3552564             "/>
    <x v="113"/>
    <x v="12"/>
    <s v="FEDC154316  "/>
    <n v="4369791"/>
    <x v="3"/>
    <n v="56"/>
    <d v="2025-12-03T00:00:00"/>
    <d v="2026-01-02T00:00:00"/>
    <x v="9"/>
    <x v="1"/>
    <s v="0    "/>
    <s v="3225062847                    "/>
    <n v="30"/>
  </r>
  <r>
    <s v="202601"/>
    <s v="3552564             "/>
    <x v="113"/>
    <x v="12"/>
    <s v="FEDC154317  "/>
    <n v="1786871"/>
    <x v="3"/>
    <n v="56"/>
    <d v="2025-12-03T00:00:00"/>
    <d v="2026-01-02T00:00:00"/>
    <x v="9"/>
    <x v="1"/>
    <s v="0    "/>
    <s v="3225062847                    "/>
    <n v="30"/>
  </r>
  <r>
    <s v="202601"/>
    <s v="98762510            "/>
    <x v="114"/>
    <x v="3"/>
    <s v="FEDC154367  "/>
    <n v="1114820"/>
    <x v="3"/>
    <n v="56"/>
    <d v="2025-12-03T00:00:00"/>
    <d v="2026-01-02T00:00:00"/>
    <x v="2"/>
    <x v="9"/>
    <s v="0    "/>
    <s v="3126211914                    "/>
    <n v="30"/>
  </r>
  <r>
    <s v="202601"/>
    <s v="98762510            "/>
    <x v="114"/>
    <x v="3"/>
    <s v="FEDC154368  "/>
    <n v="806800"/>
    <x v="3"/>
    <n v="56"/>
    <d v="2025-12-03T00:00:00"/>
    <d v="2026-01-02T00:00:00"/>
    <x v="2"/>
    <x v="9"/>
    <s v="0    "/>
    <s v="3126211914                    "/>
    <n v="30"/>
  </r>
  <r>
    <s v="202601"/>
    <s v="1041256612          "/>
    <x v="80"/>
    <x v="46"/>
    <s v="FEDC154410  "/>
    <n v="762397"/>
    <x v="3"/>
    <n v="56"/>
    <d v="2025-12-03T00:00:00"/>
    <d v="2026-01-02T00:00:00"/>
    <x v="2"/>
    <x v="9"/>
    <s v="0    "/>
    <s v="3106053105                    "/>
    <n v="30"/>
  </r>
  <r>
    <s v="202601"/>
    <s v="8328496             "/>
    <x v="115"/>
    <x v="3"/>
    <s v="FEDC154411  "/>
    <n v="920800"/>
    <x v="3"/>
    <n v="56"/>
    <d v="2025-12-03T00:00:00"/>
    <d v="2026-01-02T00:00:00"/>
    <x v="2"/>
    <x v="9"/>
    <s v="0    "/>
    <s v="3215166593"/>
    <n v="30"/>
  </r>
  <r>
    <s v="202601"/>
    <s v="8328496             "/>
    <x v="115"/>
    <x v="3"/>
    <s v="FEDC154412  "/>
    <n v="323200"/>
    <x v="3"/>
    <n v="56"/>
    <d v="2025-12-03T00:00:00"/>
    <d v="2026-01-02T00:00:00"/>
    <x v="2"/>
    <x v="9"/>
    <s v="0    "/>
    <s v="3215166593"/>
    <n v="30"/>
  </r>
  <r>
    <s v="202601"/>
    <s v="8328496             "/>
    <x v="115"/>
    <x v="3"/>
    <s v="FEDC154413  "/>
    <n v="221201"/>
    <x v="3"/>
    <n v="56"/>
    <d v="2025-12-03T00:00:00"/>
    <d v="2026-01-02T00:00:00"/>
    <x v="2"/>
    <x v="9"/>
    <s v="0    "/>
    <s v="3215166593"/>
    <n v="30"/>
  </r>
  <r>
    <s v="202601"/>
    <s v="71256025            "/>
    <x v="116"/>
    <x v="46"/>
    <s v="FEDC154414  "/>
    <n v="505698"/>
    <x v="3"/>
    <n v="56"/>
    <d v="2025-12-03T00:00:00"/>
    <d v="2026-01-02T00:00:00"/>
    <x v="2"/>
    <x v="9"/>
    <s v="0    "/>
    <s v="3008137639                    "/>
    <n v="30"/>
  </r>
  <r>
    <s v="202601"/>
    <s v="71256025            "/>
    <x v="116"/>
    <x v="46"/>
    <s v="FEDC154415  "/>
    <n v="1046713"/>
    <x v="3"/>
    <n v="56"/>
    <d v="2025-12-03T00:00:00"/>
    <d v="2026-01-02T00:00:00"/>
    <x v="2"/>
    <x v="9"/>
    <s v="0    "/>
    <s v="3008137639                    "/>
    <n v="30"/>
  </r>
  <r>
    <s v="202601"/>
    <s v="18532717            "/>
    <x v="64"/>
    <x v="36"/>
    <s v="FEDC154256  "/>
    <n v="30151"/>
    <x v="3"/>
    <n v="56"/>
    <d v="2025-12-03T00:00:00"/>
    <d v="2026-01-02T00:00:00"/>
    <x v="33"/>
    <x v="8"/>
    <s v="0    "/>
    <s v="3126701128                    "/>
    <n v="30"/>
  </r>
  <r>
    <s v="202601"/>
    <s v="890101815-9         "/>
    <x v="105"/>
    <x v="37"/>
    <s v="FEDC154522  "/>
    <n v="4601969"/>
    <x v="5"/>
    <n v="55"/>
    <d v="2025-12-04T00:00:00"/>
    <d v="2025-12-05T00:00:00"/>
    <x v="18"/>
    <x v="16"/>
    <s v="0    "/>
    <s v="               "/>
    <n v="0"/>
  </r>
  <r>
    <s v="202601"/>
    <s v="78293319            "/>
    <x v="117"/>
    <x v="59"/>
    <s v="FEDC154543  "/>
    <n v="236004"/>
    <x v="3"/>
    <n v="55"/>
    <d v="2025-12-04T00:00:00"/>
    <d v="2026-01-03T00:00:00"/>
    <x v="25"/>
    <x v="12"/>
    <s v="0    "/>
    <s v="3135677618 -3013982709        "/>
    <n v="0"/>
  </r>
  <r>
    <s v="202601"/>
    <s v="98600662            "/>
    <x v="118"/>
    <x v="46"/>
    <s v="FEDC154506  "/>
    <n v="1162207"/>
    <x v="3"/>
    <n v="55"/>
    <d v="2025-12-04T00:00:00"/>
    <d v="2026-01-03T00:00:00"/>
    <x v="2"/>
    <x v="9"/>
    <s v="0    "/>
    <s v="3145313565                    "/>
    <n v="30"/>
  </r>
  <r>
    <s v="202601"/>
    <s v="98600662            "/>
    <x v="118"/>
    <x v="46"/>
    <s v="FEDC154507  "/>
    <n v="1528631"/>
    <x v="3"/>
    <n v="55"/>
    <d v="2025-12-04T00:00:00"/>
    <d v="2026-01-03T00:00:00"/>
    <x v="2"/>
    <x v="9"/>
    <s v="0    "/>
    <s v="3145313565                    "/>
    <n v="30"/>
  </r>
  <r>
    <s v="202601"/>
    <s v="98656409            "/>
    <x v="119"/>
    <x v="60"/>
    <s v="FEDC154763  "/>
    <n v="75413"/>
    <x v="3"/>
    <n v="54"/>
    <d v="2025-12-05T00:00:00"/>
    <d v="2026-01-04T00:00:00"/>
    <x v="18"/>
    <x v="1"/>
    <s v="0    "/>
    <s v="3217830126                    "/>
    <n v="30"/>
  </r>
  <r>
    <s v="202601"/>
    <s v="1045419221          "/>
    <x v="83"/>
    <x v="25"/>
    <s v="FEDC154669  "/>
    <n v="541399"/>
    <x v="3"/>
    <n v="54"/>
    <d v="2025-12-05T00:00:00"/>
    <d v="2026-01-04T00:00:00"/>
    <x v="16"/>
    <x v="4"/>
    <s v="0    "/>
    <s v="323746081                     "/>
    <n v="30"/>
  </r>
  <r>
    <s v="202601"/>
    <s v="1045419221          "/>
    <x v="83"/>
    <x v="25"/>
    <s v="FEDC154670  "/>
    <n v="1465645"/>
    <x v="3"/>
    <n v="54"/>
    <d v="2025-12-05T00:00:00"/>
    <d v="2026-01-04T00:00:00"/>
    <x v="16"/>
    <x v="4"/>
    <s v="0    "/>
    <s v="323746081                     "/>
    <n v="30"/>
  </r>
  <r>
    <s v="202601"/>
    <s v="1045419221          "/>
    <x v="83"/>
    <x v="25"/>
    <s v="FEDC154671  "/>
    <n v="425000"/>
    <x v="3"/>
    <n v="54"/>
    <d v="2025-12-05T00:00:00"/>
    <d v="2026-01-04T00:00:00"/>
    <x v="16"/>
    <x v="4"/>
    <s v="0    "/>
    <s v="323746081                     "/>
    <n v="30"/>
  </r>
  <r>
    <s v="202601"/>
    <s v="43560596            "/>
    <x v="120"/>
    <x v="21"/>
    <s v="FEDC154675  "/>
    <n v="34498"/>
    <x v="3"/>
    <n v="54"/>
    <d v="2025-12-05T00:00:00"/>
    <d v="2026-01-04T00:00:00"/>
    <x v="16"/>
    <x v="4"/>
    <s v="0    "/>
    <s v="3104288738                    "/>
    <n v="30"/>
  </r>
  <r>
    <s v="202601"/>
    <s v="98656409            "/>
    <x v="119"/>
    <x v="60"/>
    <s v="FEDC154621  "/>
    <n v="3212994"/>
    <x v="3"/>
    <n v="54"/>
    <d v="2025-12-05T00:00:00"/>
    <d v="2026-01-04T00:00:00"/>
    <x v="9"/>
    <x v="1"/>
    <s v="0    "/>
    <s v="3217830126                    "/>
    <n v="30"/>
  </r>
  <r>
    <s v="202601"/>
    <s v="70163318            "/>
    <x v="121"/>
    <x v="46"/>
    <s v="FEDC154685  "/>
    <n v="539325"/>
    <x v="3"/>
    <n v="54"/>
    <d v="2025-12-05T00:00:00"/>
    <d v="2026-01-04T00:00:00"/>
    <x v="2"/>
    <x v="9"/>
    <s v="0    "/>
    <s v="3148732837 -3146457008Cesar   "/>
    <n v="30"/>
  </r>
  <r>
    <s v="202601"/>
    <s v="70163318            "/>
    <x v="121"/>
    <x v="46"/>
    <s v="FEDC154686  "/>
    <n v="1308765"/>
    <x v="3"/>
    <n v="54"/>
    <d v="2025-12-05T00:00:00"/>
    <d v="2026-01-04T00:00:00"/>
    <x v="2"/>
    <x v="9"/>
    <s v="0    "/>
    <s v="3148732837 -3146457008Cesar   "/>
    <n v="30"/>
  </r>
  <r>
    <s v="202601"/>
    <s v="1073996347          "/>
    <x v="122"/>
    <x v="46"/>
    <s v="FEDC154687  "/>
    <n v="4240002"/>
    <x v="3"/>
    <n v="54"/>
    <d v="2025-12-05T00:00:00"/>
    <d v="2026-01-04T00:00:00"/>
    <x v="2"/>
    <x v="9"/>
    <s v="0    "/>
    <s v="3167167184                    "/>
    <n v="30"/>
  </r>
  <r>
    <s v="202601"/>
    <s v="98600662            "/>
    <x v="118"/>
    <x v="46"/>
    <s v="FEDC154694  "/>
    <n v="8000"/>
    <x v="3"/>
    <n v="54"/>
    <d v="2025-12-05T00:00:00"/>
    <d v="2026-01-04T00:00:00"/>
    <x v="2"/>
    <x v="9"/>
    <s v="0    "/>
    <s v="3145313565                    "/>
    <n v="30"/>
  </r>
  <r>
    <s v="202601"/>
    <s v="98611367            "/>
    <x v="123"/>
    <x v="46"/>
    <s v="FEDC154695  "/>
    <n v="127370"/>
    <x v="3"/>
    <n v="54"/>
    <d v="2025-12-05T00:00:00"/>
    <d v="2026-01-04T00:00:00"/>
    <x v="2"/>
    <x v="9"/>
    <s v="0    "/>
    <s v="3182088367-3155764811         "/>
    <n v="30"/>
  </r>
  <r>
    <s v="202601"/>
    <s v="98611367            "/>
    <x v="123"/>
    <x v="46"/>
    <s v="FEDC154696  "/>
    <n v="374197"/>
    <x v="3"/>
    <n v="54"/>
    <d v="2025-12-05T00:00:00"/>
    <d v="2026-01-04T00:00:00"/>
    <x v="2"/>
    <x v="9"/>
    <s v="0    "/>
    <s v="3182088367-3155764811         "/>
    <n v="30"/>
  </r>
  <r>
    <s v="202601"/>
    <s v="98611367            "/>
    <x v="123"/>
    <x v="46"/>
    <s v="FEDC154697  "/>
    <n v="526520"/>
    <x v="3"/>
    <n v="54"/>
    <d v="2025-12-05T00:00:00"/>
    <d v="2026-01-04T00:00:00"/>
    <x v="2"/>
    <x v="9"/>
    <s v="0    "/>
    <s v="3182088367-3155764811         "/>
    <n v="30"/>
  </r>
  <r>
    <s v="202601"/>
    <s v="43474894            "/>
    <x v="124"/>
    <x v="61"/>
    <s v="FEDC154699  "/>
    <n v="4713585"/>
    <x v="3"/>
    <n v="54"/>
    <d v="2025-12-05T00:00:00"/>
    <d v="2026-01-04T00:00:00"/>
    <x v="26"/>
    <x v="9"/>
    <s v="0    "/>
    <s v="3127806146"/>
    <n v="30"/>
  </r>
  <r>
    <s v="202601"/>
    <s v="43474894            "/>
    <x v="124"/>
    <x v="61"/>
    <s v="FEDC154700  "/>
    <n v="1117196"/>
    <x v="3"/>
    <n v="54"/>
    <d v="2025-12-05T00:00:00"/>
    <d v="2026-01-04T00:00:00"/>
    <x v="26"/>
    <x v="9"/>
    <s v="0    "/>
    <s v="3127806146"/>
    <n v="30"/>
  </r>
  <r>
    <s v="202601"/>
    <s v="43474894            "/>
    <x v="124"/>
    <x v="61"/>
    <s v="FEDC154701  "/>
    <n v="253735"/>
    <x v="3"/>
    <n v="54"/>
    <d v="2025-12-05T00:00:00"/>
    <d v="2026-01-04T00:00:00"/>
    <x v="26"/>
    <x v="9"/>
    <s v="0    "/>
    <s v="3127806146"/>
    <n v="30"/>
  </r>
  <r>
    <s v="202601"/>
    <s v="43474894            "/>
    <x v="124"/>
    <x v="61"/>
    <s v="FEDC154702  "/>
    <n v="1339592"/>
    <x v="3"/>
    <n v="54"/>
    <d v="2025-12-05T00:00:00"/>
    <d v="2026-01-04T00:00:00"/>
    <x v="26"/>
    <x v="9"/>
    <s v="0    "/>
    <s v="3127806146"/>
    <n v="30"/>
  </r>
  <r>
    <s v="202601"/>
    <s v="98599124            "/>
    <x v="92"/>
    <x v="28"/>
    <s v="FEDC154712  "/>
    <n v="826068"/>
    <x v="3"/>
    <n v="54"/>
    <d v="2025-12-05T00:00:00"/>
    <d v="2026-01-04T00:00:00"/>
    <x v="26"/>
    <x v="9"/>
    <s v="0    "/>
    <s v="3117412176                    "/>
    <n v="1"/>
  </r>
  <r>
    <s v="202601"/>
    <s v="98599124            "/>
    <x v="92"/>
    <x v="28"/>
    <s v="FEDC154713  "/>
    <n v="548783"/>
    <x v="3"/>
    <n v="54"/>
    <d v="2025-12-05T00:00:00"/>
    <d v="2026-01-04T00:00:00"/>
    <x v="26"/>
    <x v="9"/>
    <s v="0    "/>
    <s v="3117412176                    "/>
    <n v="1"/>
  </r>
  <r>
    <s v="202601"/>
    <s v="1045419221          "/>
    <x v="83"/>
    <x v="25"/>
    <s v="FEDC154790  "/>
    <n v="300997"/>
    <x v="3"/>
    <n v="53"/>
    <d v="2025-12-06T00:00:00"/>
    <d v="2026-01-05T00:00:00"/>
    <x v="16"/>
    <x v="4"/>
    <s v="0    "/>
    <s v="323746081                     "/>
    <n v="30"/>
  </r>
  <r>
    <s v="202601"/>
    <s v="10953882            "/>
    <x v="125"/>
    <x v="62"/>
    <s v="FEDC154808  "/>
    <n v="1421020"/>
    <x v="3"/>
    <n v="53"/>
    <d v="2025-12-06T00:00:00"/>
    <d v="2026-01-05T00:00:00"/>
    <x v="37"/>
    <x v="12"/>
    <s v="0    "/>
    <s v="3205413224                    "/>
    <n v="30"/>
  </r>
  <r>
    <s v="202601"/>
    <s v="8045405             "/>
    <x v="126"/>
    <x v="63"/>
    <s v="FEVM42780   "/>
    <n v="289181"/>
    <x v="1"/>
    <n v="53"/>
    <d v="2025-12-06T00:00:00"/>
    <d v="2025-12-21T00:00:00"/>
    <x v="44"/>
    <x v="6"/>
    <s v="0    "/>
    <s v="3122016396                    "/>
    <n v="30"/>
  </r>
  <r>
    <s v="202601"/>
    <s v="901158992-9         "/>
    <x v="127"/>
    <x v="24"/>
    <s v="FEDC154827  "/>
    <n v="3963599"/>
    <x v="3"/>
    <n v="50"/>
    <d v="2025-12-09T00:00:00"/>
    <d v="2026-01-08T00:00:00"/>
    <x v="24"/>
    <x v="12"/>
    <s v="0    "/>
    <s v="3002863464 - 3013900884       "/>
    <n v="30"/>
  </r>
  <r>
    <s v="202601"/>
    <s v="901868532-0         "/>
    <x v="106"/>
    <x v="24"/>
    <s v="FEDC154831  "/>
    <n v="1483768"/>
    <x v="3"/>
    <n v="50"/>
    <d v="2025-12-09T00:00:00"/>
    <d v="2026-01-08T00:00:00"/>
    <x v="24"/>
    <x v="12"/>
    <s v="0    "/>
    <s v="3138778653                    "/>
    <n v="30"/>
  </r>
  <r>
    <s v="202601"/>
    <s v="901868532-0         "/>
    <x v="106"/>
    <x v="24"/>
    <s v="FEDC154832  "/>
    <n v="2604359"/>
    <x v="3"/>
    <n v="50"/>
    <d v="2025-12-09T00:00:00"/>
    <d v="2026-01-08T00:00:00"/>
    <x v="24"/>
    <x v="12"/>
    <s v="0    "/>
    <s v="3138778653                    "/>
    <n v="30"/>
  </r>
  <r>
    <s v="202601"/>
    <s v="901247382-8         "/>
    <x v="128"/>
    <x v="18"/>
    <s v="FEDC154899  "/>
    <n v="5940152"/>
    <x v="3"/>
    <n v="50"/>
    <d v="2025-12-09T00:00:00"/>
    <d v="2026-01-08T00:00:00"/>
    <x v="17"/>
    <x v="8"/>
    <s v="0    "/>
    <s v="3205493815                    "/>
    <n v="30"/>
  </r>
  <r>
    <s v="202601"/>
    <s v="70529245            "/>
    <x v="129"/>
    <x v="64"/>
    <s v="FEDC154887  "/>
    <n v="665102"/>
    <x v="3"/>
    <n v="50"/>
    <d v="2025-12-09T00:00:00"/>
    <d v="2026-01-08T00:00:00"/>
    <x v="33"/>
    <x v="8"/>
    <s v="0    "/>
    <s v="3215222148     "/>
    <n v="30"/>
  </r>
  <r>
    <s v="202601"/>
    <s v="98530606            "/>
    <x v="130"/>
    <x v="37"/>
    <s v="FEDC155052  "/>
    <n v="645420"/>
    <x v="3"/>
    <n v="49"/>
    <d v="2025-12-10T00:00:00"/>
    <d v="2026-01-09T00:00:00"/>
    <x v="18"/>
    <x v="11"/>
    <s v="0    "/>
    <s v="3123193694     "/>
    <n v="30"/>
  </r>
  <r>
    <s v="202601"/>
    <s v="70951988            "/>
    <x v="131"/>
    <x v="27"/>
    <s v="FEDC155048  "/>
    <n v="424202"/>
    <x v="3"/>
    <n v="49"/>
    <d v="2025-12-10T00:00:00"/>
    <d v="2026-01-09T00:00:00"/>
    <x v="14"/>
    <x v="4"/>
    <s v="0    "/>
    <s v="8372646- 3127061378 cocho     "/>
    <n v="30"/>
  </r>
  <r>
    <s v="202601"/>
    <s v="78382514            "/>
    <x v="132"/>
    <x v="15"/>
    <s v="FEDC154990  "/>
    <n v="494400"/>
    <x v="3"/>
    <n v="49"/>
    <d v="2025-12-10T00:00:00"/>
    <d v="2026-01-09T00:00:00"/>
    <x v="19"/>
    <x v="9"/>
    <s v="0    "/>
    <s v="3012056316                    "/>
    <n v="30"/>
  </r>
  <r>
    <s v="202601"/>
    <s v="78382514            "/>
    <x v="132"/>
    <x v="15"/>
    <s v="FEDC154991  "/>
    <n v="2975909"/>
    <x v="3"/>
    <n v="49"/>
    <d v="2025-12-10T00:00:00"/>
    <d v="2026-01-09T00:00:00"/>
    <x v="19"/>
    <x v="9"/>
    <s v="0    "/>
    <s v="3012056316                    "/>
    <n v="30"/>
  </r>
  <r>
    <s v="202601"/>
    <s v="78382514            "/>
    <x v="132"/>
    <x v="15"/>
    <s v="FEDC154992  "/>
    <n v="3260562"/>
    <x v="3"/>
    <n v="49"/>
    <d v="2025-12-10T00:00:00"/>
    <d v="2026-01-09T00:00:00"/>
    <x v="19"/>
    <x v="9"/>
    <s v="0    "/>
    <s v="3012056316                    "/>
    <n v="30"/>
  </r>
  <r>
    <s v="202601"/>
    <s v="78382514            "/>
    <x v="132"/>
    <x v="15"/>
    <s v="FEDC155049  "/>
    <n v="1784400"/>
    <x v="3"/>
    <n v="49"/>
    <d v="2025-12-10T00:00:00"/>
    <d v="2026-01-09T00:00:00"/>
    <x v="19"/>
    <x v="9"/>
    <s v="0    "/>
    <s v="3012056316                    "/>
    <n v="30"/>
  </r>
  <r>
    <s v="202601"/>
    <s v="901349219-3         "/>
    <x v="133"/>
    <x v="1"/>
    <s v="FEDC155032  "/>
    <n v="1448488"/>
    <x v="3"/>
    <n v="49"/>
    <d v="2025-12-10T00:00:00"/>
    <d v="2026-01-09T00:00:00"/>
    <x v="35"/>
    <x v="15"/>
    <s v="0    "/>
    <s v="3156264634- 7721444           "/>
    <n v="30"/>
  </r>
  <r>
    <s v="202601"/>
    <s v="901349219-3         "/>
    <x v="133"/>
    <x v="1"/>
    <s v="FEDC155033  "/>
    <n v="520849"/>
    <x v="3"/>
    <n v="49"/>
    <d v="2025-12-10T00:00:00"/>
    <d v="2026-01-09T00:00:00"/>
    <x v="35"/>
    <x v="15"/>
    <s v="0    "/>
    <s v="3156264634- 7721444           "/>
    <n v="30"/>
  </r>
  <r>
    <s v="202601"/>
    <s v="9104183             "/>
    <x v="68"/>
    <x v="40"/>
    <s v="FEDC154999  "/>
    <n v="574094"/>
    <x v="3"/>
    <n v="49"/>
    <d v="2025-12-10T00:00:00"/>
    <d v="2026-01-09T00:00:00"/>
    <x v="36"/>
    <x v="9"/>
    <s v="0    "/>
    <s v="3117189197                    "/>
    <n v="30"/>
  </r>
  <r>
    <s v="202601"/>
    <s v="9104183             "/>
    <x v="68"/>
    <x v="40"/>
    <s v="FEDC155000  "/>
    <n v="379796"/>
    <x v="3"/>
    <n v="49"/>
    <d v="2025-12-10T00:00:00"/>
    <d v="2026-01-09T00:00:00"/>
    <x v="36"/>
    <x v="9"/>
    <s v="0    "/>
    <s v="3117189197                    "/>
    <n v="30"/>
  </r>
  <r>
    <s v="202601"/>
    <s v="9104183             "/>
    <x v="68"/>
    <x v="40"/>
    <s v="FEDC155001  "/>
    <n v="856000"/>
    <x v="3"/>
    <n v="49"/>
    <d v="2025-12-10T00:00:00"/>
    <d v="2026-01-09T00:00:00"/>
    <x v="36"/>
    <x v="9"/>
    <s v="0    "/>
    <s v="3117189197                    "/>
    <n v="30"/>
  </r>
  <r>
    <s v="202601"/>
    <s v="10902348            "/>
    <x v="134"/>
    <x v="40"/>
    <s v="FEDC155012  "/>
    <n v="1362231"/>
    <x v="3"/>
    <n v="49"/>
    <d v="2025-12-10T00:00:00"/>
    <d v="2026-01-09T00:00:00"/>
    <x v="36"/>
    <x v="9"/>
    <s v="0    "/>
    <s v="3015516071     "/>
    <n v="30"/>
  </r>
  <r>
    <s v="202601"/>
    <s v="900670430-2         "/>
    <x v="74"/>
    <x v="40"/>
    <s v="FEDC155018  "/>
    <n v="2015412"/>
    <x v="3"/>
    <n v="49"/>
    <d v="2025-12-10T00:00:00"/>
    <d v="2026-01-09T00:00:00"/>
    <x v="36"/>
    <x v="9"/>
    <s v="0    "/>
    <s v="3114149410     "/>
    <n v="30"/>
  </r>
  <r>
    <s v="202601"/>
    <s v="900670430-2         "/>
    <x v="74"/>
    <x v="40"/>
    <s v="FEDC155019  "/>
    <n v="1672630"/>
    <x v="3"/>
    <n v="49"/>
    <d v="2025-12-10T00:00:00"/>
    <d v="2026-01-09T00:00:00"/>
    <x v="36"/>
    <x v="9"/>
    <s v="0    "/>
    <s v="3114149410     "/>
    <n v="30"/>
  </r>
  <r>
    <s v="202601"/>
    <s v="900670430-2         "/>
    <x v="74"/>
    <x v="40"/>
    <s v="FEDC155020  "/>
    <n v="1150000"/>
    <x v="3"/>
    <n v="49"/>
    <d v="2025-12-10T00:00:00"/>
    <d v="2026-01-09T00:00:00"/>
    <x v="36"/>
    <x v="9"/>
    <s v="0    "/>
    <s v="3114149410     "/>
    <n v="30"/>
  </r>
  <r>
    <s v="202601"/>
    <s v="78768332            "/>
    <x v="135"/>
    <x v="51"/>
    <s v="FEDC155003  "/>
    <n v="454818"/>
    <x v="3"/>
    <n v="49"/>
    <d v="2025-12-10T00:00:00"/>
    <d v="2026-01-09T00:00:00"/>
    <x v="30"/>
    <x v="9"/>
    <s v="0    "/>
    <s v="3123294774                    "/>
    <n v="30"/>
  </r>
  <r>
    <s v="202601"/>
    <s v="78768332            "/>
    <x v="135"/>
    <x v="51"/>
    <s v="FEDC155004  "/>
    <n v="888899"/>
    <x v="3"/>
    <n v="49"/>
    <d v="2025-12-10T00:00:00"/>
    <d v="2026-01-09T00:00:00"/>
    <x v="30"/>
    <x v="9"/>
    <s v="0    "/>
    <s v="3123294774                    "/>
    <n v="30"/>
  </r>
  <r>
    <s v="202601"/>
    <s v="9020231             "/>
    <x v="85"/>
    <x v="45"/>
    <s v="FEDC155005  "/>
    <n v="5700000"/>
    <x v="3"/>
    <n v="49"/>
    <d v="2025-12-10T00:00:00"/>
    <d v="2026-01-09T00:00:00"/>
    <x v="30"/>
    <x v="9"/>
    <s v="0    "/>
    <s v="3118875212                    "/>
    <n v="1"/>
  </r>
  <r>
    <s v="202601"/>
    <s v="9020231             "/>
    <x v="85"/>
    <x v="45"/>
    <s v="FEDC155006  "/>
    <n v="1134051"/>
    <x v="3"/>
    <n v="49"/>
    <d v="2025-12-10T00:00:00"/>
    <d v="2026-01-09T00:00:00"/>
    <x v="30"/>
    <x v="9"/>
    <s v="0    "/>
    <s v="3118875212                    "/>
    <n v="1"/>
  </r>
  <r>
    <s v="202601"/>
    <s v="9020231             "/>
    <x v="85"/>
    <x v="45"/>
    <s v="FEDC155007  "/>
    <n v="6805351"/>
    <x v="3"/>
    <n v="49"/>
    <d v="2025-12-10T00:00:00"/>
    <d v="2026-01-09T00:00:00"/>
    <x v="30"/>
    <x v="9"/>
    <s v="0    "/>
    <s v="3118875212                    "/>
    <n v="1"/>
  </r>
  <r>
    <s v="202601"/>
    <s v="39301699-1          "/>
    <x v="136"/>
    <x v="65"/>
    <s v="FEDC154998  "/>
    <n v="5700400"/>
    <x v="3"/>
    <n v="49"/>
    <d v="2025-12-10T00:00:00"/>
    <d v="2026-01-09T00:00:00"/>
    <x v="45"/>
    <x v="9"/>
    <s v="0    "/>
    <s v="3127056442                    "/>
    <n v="30"/>
  </r>
  <r>
    <s v="202601"/>
    <s v="3424271             "/>
    <x v="137"/>
    <x v="53"/>
    <s v="FEDC155101  "/>
    <n v="247137"/>
    <x v="3"/>
    <n v="48"/>
    <d v="2025-12-11T00:00:00"/>
    <d v="2026-01-10T00:00:00"/>
    <x v="10"/>
    <x v="4"/>
    <s v="0    "/>
    <s v="3137226788                    "/>
    <n v="30"/>
  </r>
  <r>
    <s v="202601"/>
    <s v="3424271             "/>
    <x v="137"/>
    <x v="53"/>
    <s v="FEDC155117  "/>
    <n v="297531"/>
    <x v="3"/>
    <n v="48"/>
    <d v="2025-12-11T00:00:00"/>
    <d v="2026-01-10T00:00:00"/>
    <x v="10"/>
    <x v="4"/>
    <s v="0    "/>
    <s v="3137226788                    "/>
    <n v="30"/>
  </r>
  <r>
    <s v="202601"/>
    <s v="15306102            "/>
    <x v="138"/>
    <x v="31"/>
    <s v="FEDC155168  "/>
    <n v="1695882"/>
    <x v="3"/>
    <n v="48"/>
    <d v="2025-12-11T00:00:00"/>
    <d v="2026-01-10T00:00:00"/>
    <x v="10"/>
    <x v="4"/>
    <s v="0    "/>
    <s v="3103720204                    "/>
    <n v="30"/>
  </r>
  <r>
    <s v="202601"/>
    <s v="15305280            "/>
    <x v="139"/>
    <x v="66"/>
    <s v="FEDC155193  "/>
    <n v="256300"/>
    <x v="3"/>
    <n v="48"/>
    <d v="2025-12-11T00:00:00"/>
    <d v="2026-01-10T00:00:00"/>
    <x v="13"/>
    <x v="4"/>
    <s v="0    "/>
    <s v="3113241811                    "/>
    <n v="30"/>
  </r>
  <r>
    <s v="202601"/>
    <s v="15305280            "/>
    <x v="139"/>
    <x v="66"/>
    <s v="FEDC155195  "/>
    <n v="42800"/>
    <x v="3"/>
    <n v="48"/>
    <d v="2025-12-11T00:00:00"/>
    <d v="2026-01-10T00:00:00"/>
    <x v="13"/>
    <x v="4"/>
    <s v="0    "/>
    <s v="3113241811                    "/>
    <n v="30"/>
  </r>
  <r>
    <s v="202601"/>
    <s v="900540697           "/>
    <x v="140"/>
    <x v="67"/>
    <s v="FEDC155165  "/>
    <n v="6354000"/>
    <x v="3"/>
    <n v="48"/>
    <d v="2025-12-11T00:00:00"/>
    <d v="2026-01-10T00:00:00"/>
    <x v="46"/>
    <x v="11"/>
    <s v="0    "/>
    <s v="3218037194                    "/>
    <n v="30"/>
  </r>
  <r>
    <s v="202601"/>
    <s v="78302654            "/>
    <x v="141"/>
    <x v="2"/>
    <s v="FEDC155186  "/>
    <n v="9440"/>
    <x v="1"/>
    <n v="48"/>
    <d v="2025-12-11T00:00:00"/>
    <d v="2025-12-26T00:00:00"/>
    <x v="1"/>
    <x v="12"/>
    <s v="0    "/>
    <s v="3232928340 -3116576434        "/>
    <n v="15"/>
  </r>
  <r>
    <s v="202601"/>
    <s v="92230646-9          "/>
    <x v="142"/>
    <x v="1"/>
    <s v="FEVM43106   "/>
    <n v="1912538"/>
    <x v="3"/>
    <n v="48"/>
    <d v="2025-12-11T00:00:00"/>
    <d v="2026-01-10T00:00:00"/>
    <x v="1"/>
    <x v="12"/>
    <s v="0    "/>
    <s v="3137991253                    "/>
    <n v="30"/>
  </r>
  <r>
    <s v="202601"/>
    <s v="26040349            "/>
    <x v="143"/>
    <x v="62"/>
    <s v="FEDC155237  "/>
    <n v="4000000"/>
    <x v="3"/>
    <n v="48"/>
    <d v="2025-12-11T00:00:00"/>
    <d v="2026-01-10T00:00:00"/>
    <x v="37"/>
    <x v="12"/>
    <s v="0    "/>
    <s v="3002625361                    "/>
    <n v="30"/>
  </r>
  <r>
    <s v="202601"/>
    <s v="50949659            "/>
    <x v="144"/>
    <x v="16"/>
    <s v="FEDC155230  "/>
    <n v="378129"/>
    <x v="3"/>
    <n v="48"/>
    <d v="2025-12-11T00:00:00"/>
    <d v="2026-01-10T00:00:00"/>
    <x v="20"/>
    <x v="8"/>
    <s v="0    "/>
    <s v="3138351535                    "/>
    <n v="30"/>
  </r>
  <r>
    <s v="202601"/>
    <s v="50949659            "/>
    <x v="144"/>
    <x v="16"/>
    <s v="FEDC155231  "/>
    <n v="727592"/>
    <x v="3"/>
    <n v="48"/>
    <d v="2025-12-11T00:00:00"/>
    <d v="2026-01-10T00:00:00"/>
    <x v="20"/>
    <x v="8"/>
    <s v="0    "/>
    <s v="3138351535                    "/>
    <n v="30"/>
  </r>
  <r>
    <s v="202601"/>
    <s v="901912553-3         "/>
    <x v="145"/>
    <x v="13"/>
    <s v="FEDC155151  "/>
    <n v="46271"/>
    <x v="3"/>
    <n v="48"/>
    <d v="2025-12-11T00:00:00"/>
    <d v="2026-01-10T00:00:00"/>
    <x v="3"/>
    <x v="1"/>
    <s v="0    "/>
    <s v="3206269517                    "/>
    <n v="30"/>
  </r>
  <r>
    <s v="202601"/>
    <s v="900540697           "/>
    <x v="140"/>
    <x v="67"/>
    <s v="FEDC155163  "/>
    <n v="9877000"/>
    <x v="3"/>
    <n v="48"/>
    <d v="2025-12-11T00:00:00"/>
    <d v="2026-01-10T00:00:00"/>
    <x v="3"/>
    <x v="11"/>
    <s v="0    "/>
    <s v="3218037194                    "/>
    <n v="30"/>
  </r>
  <r>
    <s v="202601"/>
    <s v="900540697           "/>
    <x v="140"/>
    <x v="67"/>
    <s v="FEDC155164  "/>
    <n v="5836000"/>
    <x v="3"/>
    <n v="48"/>
    <d v="2025-12-11T00:00:00"/>
    <d v="2026-01-10T00:00:00"/>
    <x v="3"/>
    <x v="11"/>
    <s v="0    "/>
    <s v="3218037194                    "/>
    <n v="30"/>
  </r>
  <r>
    <s v="202601"/>
    <s v="900540697           "/>
    <x v="140"/>
    <x v="67"/>
    <s v="FEDC155166  "/>
    <n v="4272576"/>
    <x v="3"/>
    <n v="48"/>
    <d v="2025-12-11T00:00:00"/>
    <d v="2026-01-10T00:00:00"/>
    <x v="3"/>
    <x v="11"/>
    <s v="0    "/>
    <s v="3218037194                    "/>
    <n v="30"/>
  </r>
  <r>
    <s v="202601"/>
    <s v="900540697           "/>
    <x v="140"/>
    <x v="67"/>
    <s v="FEVM43070   "/>
    <n v="17390000"/>
    <x v="3"/>
    <n v="48"/>
    <d v="2025-12-11T00:00:00"/>
    <d v="2026-01-10T00:00:00"/>
    <x v="3"/>
    <x v="11"/>
    <s v="0    "/>
    <s v="3218037194                    "/>
    <n v="30"/>
  </r>
  <r>
    <s v="202601"/>
    <s v="1003343990-0        "/>
    <x v="146"/>
    <x v="68"/>
    <s v="FEDC155206  "/>
    <n v="183401"/>
    <x v="3"/>
    <n v="48"/>
    <d v="2025-12-11T00:00:00"/>
    <d v="2026-01-10T00:00:00"/>
    <x v="47"/>
    <x v="8"/>
    <s v="0    "/>
    <s v="3008404870 7738877            "/>
    <n v="30"/>
  </r>
  <r>
    <s v="202601"/>
    <s v="1003343990-0        "/>
    <x v="146"/>
    <x v="68"/>
    <s v="FEDC155207  "/>
    <n v="534072"/>
    <x v="3"/>
    <n v="48"/>
    <d v="2025-12-11T00:00:00"/>
    <d v="2026-01-10T00:00:00"/>
    <x v="47"/>
    <x v="8"/>
    <s v="0    "/>
    <s v="3008404870 7738877            "/>
    <n v="30"/>
  </r>
  <r>
    <s v="202601"/>
    <s v="21482306-2          "/>
    <x v="147"/>
    <x v="69"/>
    <s v="FEDC155208  "/>
    <n v="25090"/>
    <x v="3"/>
    <n v="48"/>
    <d v="2025-12-11T00:00:00"/>
    <d v="2026-01-10T00:00:00"/>
    <x v="47"/>
    <x v="8"/>
    <s v="0    "/>
    <s v="3218118823                    "/>
    <n v="30"/>
  </r>
  <r>
    <s v="202601"/>
    <s v="70693535            "/>
    <x v="148"/>
    <x v="69"/>
    <s v="FEDC155209  "/>
    <n v="400000"/>
    <x v="3"/>
    <n v="48"/>
    <d v="2025-12-11T00:00:00"/>
    <d v="2026-01-10T00:00:00"/>
    <x v="47"/>
    <x v="8"/>
    <s v="0    "/>
    <s v="305 3229048                   "/>
    <n v="30"/>
  </r>
  <r>
    <s v="202601"/>
    <s v="70693535            "/>
    <x v="148"/>
    <x v="69"/>
    <s v="FEDC155210  "/>
    <n v="537586"/>
    <x v="3"/>
    <n v="48"/>
    <d v="2025-12-11T00:00:00"/>
    <d v="2026-01-10T00:00:00"/>
    <x v="47"/>
    <x v="8"/>
    <s v="0    "/>
    <s v="305 3229048                   "/>
    <n v="30"/>
  </r>
  <r>
    <s v="202601"/>
    <s v="1193318371          "/>
    <x v="149"/>
    <x v="43"/>
    <s v="FEDC155214  "/>
    <n v="1140885"/>
    <x v="3"/>
    <n v="48"/>
    <d v="2025-12-11T00:00:00"/>
    <d v="2026-01-10T00:00:00"/>
    <x v="34"/>
    <x v="8"/>
    <s v="0    "/>
    <s v="3138319028                    "/>
    <n v="1"/>
  </r>
  <r>
    <s v="202601"/>
    <s v="1193318371          "/>
    <x v="149"/>
    <x v="43"/>
    <s v="FEDC155215  "/>
    <n v="3123428"/>
    <x v="3"/>
    <n v="48"/>
    <d v="2025-12-11T00:00:00"/>
    <d v="2026-01-10T00:00:00"/>
    <x v="34"/>
    <x v="8"/>
    <s v="0    "/>
    <s v="3138319028                    "/>
    <n v="1"/>
  </r>
  <r>
    <s v="202601"/>
    <s v="1038112989          "/>
    <x v="150"/>
    <x v="37"/>
    <s v="FEDC155248  "/>
    <n v="3643937"/>
    <x v="3"/>
    <n v="47"/>
    <d v="2025-12-12T00:00:00"/>
    <d v="2026-01-11T00:00:00"/>
    <x v="18"/>
    <x v="13"/>
    <s v="0    "/>
    <s v="3135912628     "/>
    <n v="30"/>
  </r>
  <r>
    <s v="202601"/>
    <s v="78291927            "/>
    <x v="151"/>
    <x v="37"/>
    <s v="FEDC155390  "/>
    <n v="352757"/>
    <x v="3"/>
    <n v="47"/>
    <d v="2025-12-12T00:00:00"/>
    <d v="2026-01-11T00:00:00"/>
    <x v="18"/>
    <x v="4"/>
    <s v="0    "/>
    <s v="3137046935"/>
    <n v="30"/>
  </r>
  <r>
    <s v="202601"/>
    <s v="78291927            "/>
    <x v="151"/>
    <x v="37"/>
    <s v="FEDC155391  "/>
    <n v="428200"/>
    <x v="3"/>
    <n v="47"/>
    <d v="2025-12-12T00:00:00"/>
    <d v="2026-01-11T00:00:00"/>
    <x v="18"/>
    <x v="4"/>
    <s v="0    "/>
    <s v="3137046935"/>
    <n v="30"/>
  </r>
  <r>
    <s v="202601"/>
    <s v="78291927            "/>
    <x v="151"/>
    <x v="37"/>
    <s v="FEDC155392  "/>
    <n v="597909"/>
    <x v="3"/>
    <n v="47"/>
    <d v="2025-12-12T00:00:00"/>
    <d v="2026-01-11T00:00:00"/>
    <x v="18"/>
    <x v="4"/>
    <s v="0    "/>
    <s v="3137046935"/>
    <n v="30"/>
  </r>
  <r>
    <s v="202601"/>
    <s v="10953882            "/>
    <x v="125"/>
    <x v="62"/>
    <s v="FEDC155377  "/>
    <n v="1432083"/>
    <x v="3"/>
    <n v="47"/>
    <d v="2025-12-12T00:00:00"/>
    <d v="2026-01-11T00:00:00"/>
    <x v="37"/>
    <x v="12"/>
    <s v="0    "/>
    <s v="3205413224                    "/>
    <n v="30"/>
  </r>
  <r>
    <s v="202601"/>
    <s v="15309183            "/>
    <x v="152"/>
    <x v="70"/>
    <s v="FEDC155359  "/>
    <n v="169804"/>
    <x v="3"/>
    <n v="47"/>
    <d v="2025-12-12T00:00:00"/>
    <d v="2026-01-11T00:00:00"/>
    <x v="35"/>
    <x v="12"/>
    <s v="0    "/>
    <s v="3217254890                    "/>
    <n v="30"/>
  </r>
  <r>
    <s v="202601"/>
    <s v="15309183            "/>
    <x v="152"/>
    <x v="70"/>
    <s v="FEDC155360  "/>
    <n v="1035821"/>
    <x v="3"/>
    <n v="47"/>
    <d v="2025-12-12T00:00:00"/>
    <d v="2026-01-11T00:00:00"/>
    <x v="35"/>
    <x v="12"/>
    <s v="0    "/>
    <s v="3217254890                    "/>
    <n v="30"/>
  </r>
  <r>
    <s v="202601"/>
    <s v="901349219-3         "/>
    <x v="133"/>
    <x v="1"/>
    <s v="FEDC155374  "/>
    <n v="3342652"/>
    <x v="3"/>
    <n v="47"/>
    <d v="2025-12-12T00:00:00"/>
    <d v="2026-01-11T00:00:00"/>
    <x v="35"/>
    <x v="5"/>
    <s v="0    "/>
    <s v="3156264634- 7721444           "/>
    <n v="30"/>
  </r>
  <r>
    <s v="202601"/>
    <s v="1104430584          "/>
    <x v="153"/>
    <x v="16"/>
    <s v="FEDC155325  "/>
    <n v="317420"/>
    <x v="3"/>
    <n v="47"/>
    <d v="2025-12-12T00:00:00"/>
    <d v="2026-01-11T00:00:00"/>
    <x v="20"/>
    <x v="8"/>
    <s v="0    "/>
    <s v="3107047714-3015586055         "/>
    <n v="30"/>
  </r>
  <r>
    <s v="202601"/>
    <s v="1104430584          "/>
    <x v="153"/>
    <x v="16"/>
    <s v="FEDC155326  "/>
    <n v="348701"/>
    <x v="3"/>
    <n v="47"/>
    <d v="2025-12-12T00:00:00"/>
    <d v="2026-01-11T00:00:00"/>
    <x v="20"/>
    <x v="8"/>
    <s v="0    "/>
    <s v="3107047714-3015586055         "/>
    <n v="30"/>
  </r>
  <r>
    <s v="202601"/>
    <s v="10886435            "/>
    <x v="154"/>
    <x v="16"/>
    <s v="FEDC155335  "/>
    <n v="334415"/>
    <x v="3"/>
    <n v="47"/>
    <d v="2025-12-12T00:00:00"/>
    <d v="2026-01-11T00:00:00"/>
    <x v="20"/>
    <x v="8"/>
    <s v="0    "/>
    <s v="3214898085                    "/>
    <n v="30"/>
  </r>
  <r>
    <s v="202601"/>
    <s v="10886435            "/>
    <x v="154"/>
    <x v="16"/>
    <s v="FEDC155336  "/>
    <n v="1967652"/>
    <x v="3"/>
    <n v="47"/>
    <d v="2025-12-12T00:00:00"/>
    <d v="2026-01-11T00:00:00"/>
    <x v="20"/>
    <x v="8"/>
    <s v="0    "/>
    <s v="3214898085                    "/>
    <n v="30"/>
  </r>
  <r>
    <s v="202601"/>
    <s v="8052366             "/>
    <x v="155"/>
    <x v="67"/>
    <s v="FEDC155291  "/>
    <n v="679335"/>
    <x v="3"/>
    <n v="47"/>
    <d v="2025-12-12T00:00:00"/>
    <d v="2026-01-11T00:00:00"/>
    <x v="3"/>
    <x v="1"/>
    <s v="0    "/>
    <s v="3216175857     "/>
    <n v="30"/>
  </r>
  <r>
    <s v="202601"/>
    <s v="11037195            "/>
    <x v="100"/>
    <x v="34"/>
    <s v="FEDC155313  "/>
    <n v="79797"/>
    <x v="3"/>
    <n v="47"/>
    <d v="2025-12-12T00:00:00"/>
    <d v="2026-01-11T00:00:00"/>
    <x v="31"/>
    <x v="9"/>
    <s v="0    "/>
    <s v="3175457191                    "/>
    <n v="30"/>
  </r>
  <r>
    <s v="202601"/>
    <s v="1108764025          "/>
    <x v="156"/>
    <x v="55"/>
    <s v="FEDC155311  "/>
    <n v="13580582"/>
    <x v="3"/>
    <n v="47"/>
    <d v="2025-12-12T00:00:00"/>
    <d v="2026-01-11T00:00:00"/>
    <x v="42"/>
    <x v="9"/>
    <s v="0    "/>
    <s v="3024374835                    "/>
    <n v="30"/>
  </r>
  <r>
    <s v="202601"/>
    <s v="1045019250          "/>
    <x v="157"/>
    <x v="16"/>
    <s v="FEDC155343  "/>
    <n v="2501278"/>
    <x v="3"/>
    <n v="47"/>
    <d v="2025-12-12T00:00:00"/>
    <d v="2026-01-11T00:00:00"/>
    <x v="48"/>
    <x v="8"/>
    <s v="0    "/>
    <s v="3126151011     "/>
    <n v="30"/>
  </r>
  <r>
    <s v="202601"/>
    <s v="1045019250          "/>
    <x v="157"/>
    <x v="16"/>
    <s v="FEDC155344  "/>
    <n v="4751813"/>
    <x v="3"/>
    <n v="47"/>
    <d v="2025-12-12T00:00:00"/>
    <d v="2026-01-11T00:00:00"/>
    <x v="48"/>
    <x v="8"/>
    <s v="0    "/>
    <s v="3126151011     "/>
    <n v="30"/>
  </r>
  <r>
    <s v="202601"/>
    <s v="1104424316          "/>
    <x v="158"/>
    <x v="43"/>
    <s v="FEDC155337  "/>
    <n v="2664062"/>
    <x v="3"/>
    <n v="47"/>
    <d v="2025-12-12T00:00:00"/>
    <d v="2026-01-11T00:00:00"/>
    <x v="34"/>
    <x v="8"/>
    <s v="0    "/>
    <s v="3232448565                    "/>
    <n v="30"/>
  </r>
  <r>
    <s v="202601"/>
    <s v="1041263820          "/>
    <x v="88"/>
    <x v="50"/>
    <s v="FEDC155317  "/>
    <n v="418930"/>
    <x v="3"/>
    <n v="47"/>
    <d v="2025-12-12T00:00:00"/>
    <d v="2026-01-11T00:00:00"/>
    <x v="40"/>
    <x v="9"/>
    <s v="0    "/>
    <s v="3122997042     "/>
    <n v="30"/>
  </r>
  <r>
    <s v="202601"/>
    <s v="1041263820          "/>
    <x v="88"/>
    <x v="50"/>
    <s v="FEDC155318  "/>
    <n v="1524381"/>
    <x v="3"/>
    <n v="47"/>
    <d v="2025-12-12T00:00:00"/>
    <d v="2026-01-11T00:00:00"/>
    <x v="40"/>
    <x v="9"/>
    <s v="0    "/>
    <s v="3122997042     "/>
    <n v="30"/>
  </r>
  <r>
    <s v="202601"/>
    <s v="50881295            "/>
    <x v="102"/>
    <x v="56"/>
    <s v="FEDC155319  "/>
    <n v="986522"/>
    <x v="3"/>
    <n v="47"/>
    <d v="2025-12-12T00:00:00"/>
    <d v="2026-01-11T00:00:00"/>
    <x v="43"/>
    <x v="9"/>
    <s v="0    "/>
    <s v="3145338156     "/>
    <n v="30"/>
  </r>
  <r>
    <s v="202601"/>
    <s v="50881295            "/>
    <x v="102"/>
    <x v="56"/>
    <s v="FEDC155320  "/>
    <n v="1914767"/>
    <x v="3"/>
    <n v="47"/>
    <d v="2025-12-12T00:00:00"/>
    <d v="2026-01-11T00:00:00"/>
    <x v="43"/>
    <x v="9"/>
    <s v="0    "/>
    <s v="3145338156     "/>
    <n v="30"/>
  </r>
  <r>
    <s v="202601"/>
    <s v="1127958438          "/>
    <x v="159"/>
    <x v="13"/>
    <s v="FEDC155421  "/>
    <n v="13916"/>
    <x v="3"/>
    <n v="46"/>
    <d v="2025-12-13T00:00:00"/>
    <d v="2026-01-12T00:00:00"/>
    <x v="18"/>
    <x v="13"/>
    <s v="0    "/>
    <s v="3204475005                    "/>
    <n v="30"/>
  </r>
  <r>
    <s v="202601"/>
    <s v="70577337            "/>
    <x v="160"/>
    <x v="4"/>
    <s v="FEDC155422  "/>
    <n v="941566"/>
    <x v="3"/>
    <n v="46"/>
    <d v="2025-12-13T00:00:00"/>
    <d v="2026-01-12T00:00:00"/>
    <x v="18"/>
    <x v="1"/>
    <s v="0    "/>
    <s v="3136585060 -8368478           "/>
    <n v="30"/>
  </r>
  <r>
    <s v="202601"/>
    <s v="70577337            "/>
    <x v="160"/>
    <x v="4"/>
    <s v="FEDC155423  "/>
    <n v="462626"/>
    <x v="3"/>
    <n v="46"/>
    <d v="2025-12-13T00:00:00"/>
    <d v="2026-01-12T00:00:00"/>
    <x v="18"/>
    <x v="1"/>
    <s v="0    "/>
    <s v="3136585060 -8368478           "/>
    <n v="30"/>
  </r>
  <r>
    <s v="202601"/>
    <s v="1007318486          "/>
    <x v="161"/>
    <x v="13"/>
    <s v="FEDC155441  "/>
    <n v="4058251"/>
    <x v="3"/>
    <n v="44"/>
    <d v="2025-12-15T00:00:00"/>
    <d v="2026-01-14T00:00:00"/>
    <x v="18"/>
    <x v="11"/>
    <s v="0    "/>
    <s v="3158145059 -4793876           "/>
    <n v="30"/>
  </r>
  <r>
    <s v="202601"/>
    <s v="1007318486          "/>
    <x v="161"/>
    <x v="13"/>
    <s v="FEDC155442  "/>
    <n v="81202"/>
    <x v="3"/>
    <n v="44"/>
    <d v="2025-12-15T00:00:00"/>
    <d v="2026-01-14T00:00:00"/>
    <x v="18"/>
    <x v="11"/>
    <s v="0    "/>
    <s v="3158145059 -4793876           "/>
    <n v="30"/>
  </r>
  <r>
    <s v="202601"/>
    <s v="50859648            "/>
    <x v="71"/>
    <x v="40"/>
    <s v="FEDC155466  "/>
    <n v="665388"/>
    <x v="3"/>
    <n v="44"/>
    <d v="2025-12-15T00:00:00"/>
    <d v="2026-01-14T00:00:00"/>
    <x v="36"/>
    <x v="9"/>
    <s v="0    "/>
    <s v="3007679631     "/>
    <n v="30"/>
  </r>
  <r>
    <s v="202601"/>
    <s v="22041533            "/>
    <x v="162"/>
    <x v="3"/>
    <s v="FEDC155446  "/>
    <n v="1144988"/>
    <x v="3"/>
    <n v="44"/>
    <d v="2025-12-15T00:00:00"/>
    <d v="2026-01-14T00:00:00"/>
    <x v="2"/>
    <x v="9"/>
    <s v="0    "/>
    <s v="3217615388     "/>
    <n v="30"/>
  </r>
  <r>
    <s v="202601"/>
    <s v="8174072             "/>
    <x v="163"/>
    <x v="3"/>
    <s v="FEDC155448  "/>
    <n v="1"/>
    <x v="3"/>
    <n v="44"/>
    <d v="2025-12-15T00:00:00"/>
    <d v="2026-01-14T00:00:00"/>
    <x v="2"/>
    <x v="9"/>
    <s v="0    "/>
    <s v="3223640656                    "/>
    <n v="30"/>
  </r>
  <r>
    <s v="202601"/>
    <s v="8174072             "/>
    <x v="163"/>
    <x v="3"/>
    <s v="FEDC155449  "/>
    <n v="4030001"/>
    <x v="3"/>
    <n v="44"/>
    <d v="2025-12-15T00:00:00"/>
    <d v="2026-01-14T00:00:00"/>
    <x v="2"/>
    <x v="9"/>
    <s v="0    "/>
    <s v="3223640656                    "/>
    <n v="30"/>
  </r>
  <r>
    <s v="202601"/>
    <s v="8174072             "/>
    <x v="163"/>
    <x v="3"/>
    <s v="FEDC155450  "/>
    <n v="2945552"/>
    <x v="3"/>
    <n v="44"/>
    <d v="2025-12-15T00:00:00"/>
    <d v="2026-01-14T00:00:00"/>
    <x v="2"/>
    <x v="9"/>
    <s v="0    "/>
    <s v="3223640656                    "/>
    <n v="30"/>
  </r>
  <r>
    <s v="202601"/>
    <s v="8174072             "/>
    <x v="163"/>
    <x v="3"/>
    <s v="FEDC155451  "/>
    <n v="709743"/>
    <x v="3"/>
    <n v="44"/>
    <d v="2025-12-15T00:00:00"/>
    <d v="2026-01-14T00:00:00"/>
    <x v="2"/>
    <x v="9"/>
    <s v="0    "/>
    <s v="3223640656                    "/>
    <n v="30"/>
  </r>
  <r>
    <s v="202601"/>
    <s v="50929248            "/>
    <x v="164"/>
    <x v="46"/>
    <s v="FEDC155454  "/>
    <n v="423400"/>
    <x v="3"/>
    <n v="44"/>
    <d v="2025-12-15T00:00:00"/>
    <d v="2026-01-14T00:00:00"/>
    <x v="2"/>
    <x v="9"/>
    <s v="0    "/>
    <s v="3122345938                    "/>
    <n v="30"/>
  </r>
  <r>
    <s v="202601"/>
    <s v="50929248            "/>
    <x v="164"/>
    <x v="46"/>
    <s v="FEDC155455  "/>
    <n v="85999"/>
    <x v="3"/>
    <n v="44"/>
    <d v="2025-12-15T00:00:00"/>
    <d v="2026-01-14T00:00:00"/>
    <x v="2"/>
    <x v="9"/>
    <s v="0    "/>
    <s v="3122345938                    "/>
    <n v="30"/>
  </r>
  <r>
    <s v="202601"/>
    <s v="50929248            "/>
    <x v="164"/>
    <x v="46"/>
    <s v="FEDC155456  "/>
    <n v="2398"/>
    <x v="3"/>
    <n v="44"/>
    <d v="2025-12-15T00:00:00"/>
    <d v="2026-01-14T00:00:00"/>
    <x v="2"/>
    <x v="9"/>
    <s v="0    "/>
    <s v="3122345938                    "/>
    <n v="30"/>
  </r>
  <r>
    <s v="202601"/>
    <s v="98600662            "/>
    <x v="118"/>
    <x v="46"/>
    <s v="FEDC155460  "/>
    <n v="675781"/>
    <x v="3"/>
    <n v="44"/>
    <d v="2025-12-15T00:00:00"/>
    <d v="2026-01-14T00:00:00"/>
    <x v="2"/>
    <x v="9"/>
    <s v="0    "/>
    <s v="3145313565                    "/>
    <n v="30"/>
  </r>
  <r>
    <s v="202601"/>
    <s v="98600001            "/>
    <x v="89"/>
    <x v="46"/>
    <s v="FEDC155461  "/>
    <n v="428000"/>
    <x v="3"/>
    <n v="44"/>
    <d v="2025-12-15T00:00:00"/>
    <d v="2026-01-14T00:00:00"/>
    <x v="2"/>
    <x v="9"/>
    <s v="0    "/>
    <s v="3216130320                    "/>
    <n v="30"/>
  </r>
  <r>
    <s v="202601"/>
    <s v="98600001            "/>
    <x v="89"/>
    <x v="46"/>
    <s v="FEDC155462  "/>
    <n v="790292"/>
    <x v="3"/>
    <n v="44"/>
    <d v="2025-12-15T00:00:00"/>
    <d v="2026-01-14T00:00:00"/>
    <x v="2"/>
    <x v="9"/>
    <s v="0    "/>
    <s v="3216130320                    "/>
    <n v="30"/>
  </r>
  <r>
    <s v="202601"/>
    <s v="98600001            "/>
    <x v="89"/>
    <x v="46"/>
    <s v="FEDC155463  "/>
    <n v="499744"/>
    <x v="3"/>
    <n v="44"/>
    <d v="2025-12-15T00:00:00"/>
    <d v="2026-01-14T00:00:00"/>
    <x v="2"/>
    <x v="9"/>
    <s v="0    "/>
    <s v="3216130320                    "/>
    <n v="30"/>
  </r>
  <r>
    <s v="202601"/>
    <s v="98762510            "/>
    <x v="114"/>
    <x v="3"/>
    <s v="FEDC155464  "/>
    <n v="2703015"/>
    <x v="3"/>
    <n v="44"/>
    <d v="2025-12-15T00:00:00"/>
    <d v="2026-01-14T00:00:00"/>
    <x v="2"/>
    <x v="9"/>
    <s v="0    "/>
    <s v="3126211914                    "/>
    <n v="30"/>
  </r>
  <r>
    <s v="202601"/>
    <s v="1038097681          "/>
    <x v="165"/>
    <x v="13"/>
    <s v="FEVM43334   "/>
    <n v="352794"/>
    <x v="3"/>
    <n v="43"/>
    <d v="2025-12-16T00:00:00"/>
    <d v="2026-01-15T00:00:00"/>
    <x v="18"/>
    <x v="10"/>
    <s v="0    "/>
    <s v="3186811106                    "/>
    <n v="30"/>
  </r>
  <r>
    <s v="202601"/>
    <s v="1040495180          "/>
    <x v="166"/>
    <x v="22"/>
    <s v="FEDC155589  "/>
    <n v="1367287"/>
    <x v="3"/>
    <n v="43"/>
    <d v="2025-12-16T00:00:00"/>
    <d v="2026-01-15T00:00:00"/>
    <x v="14"/>
    <x v="4"/>
    <s v="0    "/>
    <s v="3135653489     "/>
    <n v="30"/>
  </r>
  <r>
    <s v="202601"/>
    <s v="1040495180          "/>
    <x v="166"/>
    <x v="22"/>
    <s v="FEDC155590  "/>
    <n v="147601"/>
    <x v="3"/>
    <n v="43"/>
    <d v="2025-12-16T00:00:00"/>
    <d v="2026-01-15T00:00:00"/>
    <x v="14"/>
    <x v="4"/>
    <s v="0    "/>
    <s v="3135653489     "/>
    <n v="30"/>
  </r>
  <r>
    <s v="202601"/>
    <s v="1040495180          "/>
    <x v="166"/>
    <x v="22"/>
    <s v="FEDC155591  "/>
    <n v="364800"/>
    <x v="3"/>
    <n v="43"/>
    <d v="2025-12-16T00:00:00"/>
    <d v="2026-01-15T00:00:00"/>
    <x v="14"/>
    <x v="4"/>
    <s v="0    "/>
    <s v="3135653489     "/>
    <n v="30"/>
  </r>
  <r>
    <s v="202601"/>
    <s v="98653342            "/>
    <x v="167"/>
    <x v="27"/>
    <s v="FEDC155596  "/>
    <n v="2125096"/>
    <x v="3"/>
    <n v="43"/>
    <d v="2025-12-16T00:00:00"/>
    <d v="2026-01-15T00:00:00"/>
    <x v="14"/>
    <x v="4"/>
    <s v="0    "/>
    <s v="3104692729 - 8372463          "/>
    <n v="30"/>
  </r>
  <r>
    <s v="202601"/>
    <s v="98653342            "/>
    <x v="167"/>
    <x v="27"/>
    <s v="FEDC155597  "/>
    <n v="3021965"/>
    <x v="3"/>
    <n v="43"/>
    <d v="2025-12-16T00:00:00"/>
    <d v="2026-01-15T00:00:00"/>
    <x v="14"/>
    <x v="4"/>
    <s v="0    "/>
    <s v="3104692729 - 8372463          "/>
    <n v="30"/>
  </r>
  <r>
    <s v="202601"/>
    <s v="70951988            "/>
    <x v="131"/>
    <x v="27"/>
    <s v="FEDC155606  "/>
    <n v="6743200"/>
    <x v="3"/>
    <n v="43"/>
    <d v="2025-12-16T00:00:00"/>
    <d v="2026-01-15T00:00:00"/>
    <x v="14"/>
    <x v="4"/>
    <s v="0    "/>
    <s v="8372646- 3127061378 cocho     "/>
    <n v="30"/>
  </r>
  <r>
    <s v="202601"/>
    <s v="70951907            "/>
    <x v="168"/>
    <x v="27"/>
    <s v="FEDC155618  "/>
    <n v="1380792"/>
    <x v="3"/>
    <n v="43"/>
    <d v="2025-12-16T00:00:00"/>
    <d v="2026-01-15T00:00:00"/>
    <x v="14"/>
    <x v="4"/>
    <s v="1    "/>
    <s v="3183563837 - 3126163099       "/>
    <n v="30"/>
  </r>
  <r>
    <s v="202601"/>
    <s v="1066524935          "/>
    <x v="169"/>
    <x v="19"/>
    <s v="FEVM43348   "/>
    <n v="190029"/>
    <x v="3"/>
    <n v="43"/>
    <d v="2025-12-16T00:00:00"/>
    <d v="2026-01-15T00:00:00"/>
    <x v="22"/>
    <x v="10"/>
    <s v="0    "/>
    <s v="3117567994                    "/>
    <n v="30"/>
  </r>
  <r>
    <s v="202601"/>
    <s v="78302612            "/>
    <x v="110"/>
    <x v="2"/>
    <s v="FEDC155479  "/>
    <n v="1337988"/>
    <x v="3"/>
    <n v="43"/>
    <d v="2025-12-16T00:00:00"/>
    <d v="2026-01-15T00:00:00"/>
    <x v="1"/>
    <x v="12"/>
    <s v="0    "/>
    <s v="3126603940 -3041037151        "/>
    <n v="30"/>
  </r>
  <r>
    <s v="202601"/>
    <s v="901758127-9         "/>
    <x v="170"/>
    <x v="24"/>
    <s v="FEDC155480  "/>
    <n v="5398554"/>
    <x v="3"/>
    <n v="43"/>
    <d v="2025-12-16T00:00:00"/>
    <d v="2026-01-15T00:00:00"/>
    <x v="24"/>
    <x v="12"/>
    <s v="0    "/>
    <s v="3107091608                    "/>
    <n v="30"/>
  </r>
  <r>
    <s v="202601"/>
    <s v="10993438            "/>
    <x v="171"/>
    <x v="24"/>
    <s v="FEDC155486  "/>
    <n v="1277662"/>
    <x v="3"/>
    <n v="43"/>
    <d v="2025-12-16T00:00:00"/>
    <d v="2026-01-15T00:00:00"/>
    <x v="24"/>
    <x v="12"/>
    <s v="0    "/>
    <s v="3127389279                    "/>
    <n v="30"/>
  </r>
  <r>
    <s v="202601"/>
    <s v="10993438            "/>
    <x v="171"/>
    <x v="24"/>
    <s v="FEDC155487  "/>
    <n v="8203403"/>
    <x v="3"/>
    <n v="43"/>
    <d v="2025-12-16T00:00:00"/>
    <d v="2026-01-15T00:00:00"/>
    <x v="24"/>
    <x v="12"/>
    <s v="0    "/>
    <s v="3127389279                    "/>
    <n v="30"/>
  </r>
  <r>
    <s v="202601"/>
    <s v="901158992-9         "/>
    <x v="127"/>
    <x v="24"/>
    <s v="FEDC155488  "/>
    <n v="287542"/>
    <x v="3"/>
    <n v="43"/>
    <d v="2025-12-16T00:00:00"/>
    <d v="2026-01-15T00:00:00"/>
    <x v="24"/>
    <x v="12"/>
    <s v="0    "/>
    <s v="3002863464 - 3013900884       "/>
    <n v="30"/>
  </r>
  <r>
    <s v="202601"/>
    <s v="901158992-9         "/>
    <x v="127"/>
    <x v="24"/>
    <s v="FEDC155489  "/>
    <n v="3742312"/>
    <x v="3"/>
    <n v="43"/>
    <d v="2025-12-16T00:00:00"/>
    <d v="2026-01-15T00:00:00"/>
    <x v="24"/>
    <x v="12"/>
    <s v="0    "/>
    <s v="3002863464 - 3013900884       "/>
    <n v="30"/>
  </r>
  <r>
    <s v="202601"/>
    <s v="901349219-3         "/>
    <x v="133"/>
    <x v="1"/>
    <s v="FEDC155492  "/>
    <n v="3670429"/>
    <x v="3"/>
    <n v="43"/>
    <d v="2025-12-16T00:00:00"/>
    <d v="2026-01-15T00:00:00"/>
    <x v="24"/>
    <x v="5"/>
    <s v="0    "/>
    <s v="3156264634- 7721444           "/>
    <n v="30"/>
  </r>
  <r>
    <s v="202601"/>
    <s v="901349219-3         "/>
    <x v="133"/>
    <x v="1"/>
    <s v="FEDC155493  "/>
    <n v="4195156"/>
    <x v="3"/>
    <n v="43"/>
    <d v="2025-12-16T00:00:00"/>
    <d v="2026-01-15T00:00:00"/>
    <x v="24"/>
    <x v="5"/>
    <s v="0    "/>
    <s v="3156264634- 7721444           "/>
    <n v="30"/>
  </r>
  <r>
    <s v="202601"/>
    <s v="43896567            "/>
    <x v="172"/>
    <x v="71"/>
    <s v="FEDC155516  "/>
    <n v="304519"/>
    <x v="3"/>
    <n v="43"/>
    <d v="2025-12-16T00:00:00"/>
    <d v="2026-01-15T00:00:00"/>
    <x v="49"/>
    <x v="1"/>
    <s v="0    "/>
    <s v="3217546640 -3234584973        "/>
    <n v="30"/>
  </r>
  <r>
    <s v="202601"/>
    <s v="3672849             "/>
    <x v="173"/>
    <x v="71"/>
    <s v="FEDC155610  "/>
    <n v="7210115"/>
    <x v="3"/>
    <n v="43"/>
    <d v="2025-12-16T00:00:00"/>
    <d v="2026-01-15T00:00:00"/>
    <x v="49"/>
    <x v="1"/>
    <s v="0    "/>
    <s v="3148749298 -8385366           "/>
    <n v="30"/>
  </r>
  <r>
    <s v="202601"/>
    <s v="3672849             "/>
    <x v="173"/>
    <x v="71"/>
    <s v="FEDC155612  "/>
    <n v="3487837"/>
    <x v="3"/>
    <n v="43"/>
    <d v="2025-12-16T00:00:00"/>
    <d v="2026-01-15T00:00:00"/>
    <x v="49"/>
    <x v="1"/>
    <s v="0    "/>
    <s v="3148749298 -8385366           "/>
    <n v="30"/>
  </r>
  <r>
    <s v="202601"/>
    <s v="98599409            "/>
    <x v="107"/>
    <x v="3"/>
    <s v="FEDC155551  "/>
    <n v="486000"/>
    <x v="3"/>
    <n v="43"/>
    <d v="2025-12-16T00:00:00"/>
    <d v="2026-01-15T00:00:00"/>
    <x v="2"/>
    <x v="9"/>
    <s v="1    "/>
    <s v="3165313681                    "/>
    <n v="30"/>
  </r>
  <r>
    <s v="202601"/>
    <s v="98599409            "/>
    <x v="107"/>
    <x v="3"/>
    <s v="FEDC155552  "/>
    <n v="560818"/>
    <x v="3"/>
    <n v="43"/>
    <d v="2025-12-16T00:00:00"/>
    <d v="2026-01-15T00:00:00"/>
    <x v="2"/>
    <x v="9"/>
    <s v="1    "/>
    <s v="3165313681                    "/>
    <n v="30"/>
  </r>
  <r>
    <s v="202601"/>
    <s v="98599409            "/>
    <x v="107"/>
    <x v="3"/>
    <s v="FEDC155553  "/>
    <n v="799670"/>
    <x v="3"/>
    <n v="43"/>
    <d v="2025-12-16T00:00:00"/>
    <d v="2026-01-15T00:00:00"/>
    <x v="2"/>
    <x v="9"/>
    <s v="1    "/>
    <s v="3165313681                    "/>
    <n v="30"/>
  </r>
  <r>
    <s v="202601"/>
    <s v="98599409            "/>
    <x v="107"/>
    <x v="3"/>
    <s v="FEDC155554  "/>
    <n v="230000"/>
    <x v="3"/>
    <n v="43"/>
    <d v="2025-12-16T00:00:00"/>
    <d v="2026-01-15T00:00:00"/>
    <x v="2"/>
    <x v="9"/>
    <s v="1    "/>
    <s v="3165313681                    "/>
    <n v="30"/>
  </r>
  <r>
    <s v="202601"/>
    <s v="1073996347          "/>
    <x v="122"/>
    <x v="46"/>
    <s v="FEDC155555  "/>
    <n v="6840000"/>
    <x v="3"/>
    <n v="43"/>
    <d v="2025-12-16T00:00:00"/>
    <d v="2026-01-15T00:00:00"/>
    <x v="2"/>
    <x v="9"/>
    <s v="0    "/>
    <s v="3167167184                    "/>
    <n v="30"/>
  </r>
  <r>
    <s v="202601"/>
    <s v="1073996347          "/>
    <x v="122"/>
    <x v="46"/>
    <s v="FEDC155556  "/>
    <n v="2327177"/>
    <x v="3"/>
    <n v="43"/>
    <d v="2025-12-16T00:00:00"/>
    <d v="2026-01-15T00:00:00"/>
    <x v="2"/>
    <x v="9"/>
    <s v="0    "/>
    <s v="3167167184                    "/>
    <n v="30"/>
  </r>
  <r>
    <s v="202601"/>
    <s v="1073996347          "/>
    <x v="122"/>
    <x v="46"/>
    <s v="FEDC155557  "/>
    <n v="1"/>
    <x v="3"/>
    <n v="43"/>
    <d v="2025-12-16T00:00:00"/>
    <d v="2026-01-15T00:00:00"/>
    <x v="2"/>
    <x v="9"/>
    <s v="0    "/>
    <s v="3167167184                    "/>
    <n v="30"/>
  </r>
  <r>
    <s v="202601"/>
    <s v="1073996347          "/>
    <x v="122"/>
    <x v="46"/>
    <s v="FEDC155558  "/>
    <n v="3343400"/>
    <x v="3"/>
    <n v="43"/>
    <d v="2025-12-16T00:00:00"/>
    <d v="2026-01-15T00:00:00"/>
    <x v="2"/>
    <x v="9"/>
    <s v="0    "/>
    <s v="3167167184                    "/>
    <n v="30"/>
  </r>
  <r>
    <s v="202601"/>
    <s v="8173730             "/>
    <x v="174"/>
    <x v="3"/>
    <s v="FEDC155559  "/>
    <n v="508800"/>
    <x v="3"/>
    <n v="43"/>
    <d v="2025-12-16T00:00:00"/>
    <d v="2026-01-15T00:00:00"/>
    <x v="2"/>
    <x v="9"/>
    <s v="0    "/>
    <s v="3123817408                    "/>
    <n v="1"/>
  </r>
  <r>
    <s v="202601"/>
    <s v="8173730             "/>
    <x v="174"/>
    <x v="3"/>
    <s v="FEDC155560  "/>
    <n v="210702"/>
    <x v="3"/>
    <n v="43"/>
    <d v="2025-12-16T00:00:00"/>
    <d v="2026-01-15T00:00:00"/>
    <x v="2"/>
    <x v="9"/>
    <s v="0    "/>
    <s v="3123817408                    "/>
    <n v="1"/>
  </r>
  <r>
    <s v="202601"/>
    <s v="8173730             "/>
    <x v="174"/>
    <x v="3"/>
    <s v="FEDC155561  "/>
    <n v="221296"/>
    <x v="3"/>
    <n v="43"/>
    <d v="2025-12-16T00:00:00"/>
    <d v="2026-01-15T00:00:00"/>
    <x v="2"/>
    <x v="9"/>
    <s v="0    "/>
    <s v="3123817408                    "/>
    <n v="1"/>
  </r>
  <r>
    <s v="202601"/>
    <s v="10897747            "/>
    <x v="175"/>
    <x v="3"/>
    <s v="FEDC155562  "/>
    <n v="311876"/>
    <x v="3"/>
    <n v="43"/>
    <d v="2025-12-16T00:00:00"/>
    <d v="2026-01-15T00:00:00"/>
    <x v="2"/>
    <x v="9"/>
    <s v="0    "/>
    <s v="3136406489     "/>
    <n v="30"/>
  </r>
  <r>
    <s v="202601"/>
    <s v="10897747            "/>
    <x v="175"/>
    <x v="3"/>
    <s v="FEDC155563  "/>
    <n v="254604"/>
    <x v="3"/>
    <n v="43"/>
    <d v="2025-12-16T00:00:00"/>
    <d v="2026-01-15T00:00:00"/>
    <x v="2"/>
    <x v="9"/>
    <s v="0    "/>
    <s v="3136406489     "/>
    <n v="30"/>
  </r>
  <r>
    <s v="202601"/>
    <s v="8328496             "/>
    <x v="115"/>
    <x v="3"/>
    <s v="FEDC155577  "/>
    <n v="94501"/>
    <x v="3"/>
    <n v="43"/>
    <d v="2025-12-16T00:00:00"/>
    <d v="2026-01-15T00:00:00"/>
    <x v="2"/>
    <x v="9"/>
    <s v="0    "/>
    <s v="3215166593"/>
    <n v="30"/>
  </r>
  <r>
    <s v="202601"/>
    <s v="8328496             "/>
    <x v="115"/>
    <x v="3"/>
    <s v="FEDC155578  "/>
    <n v="94316"/>
    <x v="3"/>
    <n v="43"/>
    <d v="2025-12-16T00:00:00"/>
    <d v="2026-01-15T00:00:00"/>
    <x v="2"/>
    <x v="9"/>
    <s v="0    "/>
    <s v="3215166593"/>
    <n v="30"/>
  </r>
  <r>
    <s v="202601"/>
    <s v="8328496             "/>
    <x v="115"/>
    <x v="3"/>
    <s v="FEDC155579  "/>
    <n v="339200"/>
    <x v="3"/>
    <n v="43"/>
    <d v="2025-12-16T00:00:00"/>
    <d v="2026-01-15T00:00:00"/>
    <x v="2"/>
    <x v="9"/>
    <s v="0    "/>
    <s v="3215166593"/>
    <n v="30"/>
  </r>
  <r>
    <s v="202601"/>
    <s v="78240006            "/>
    <x v="176"/>
    <x v="46"/>
    <s v="FEDC155580  "/>
    <n v="238800"/>
    <x v="3"/>
    <n v="43"/>
    <d v="2025-12-16T00:00:00"/>
    <d v="2026-01-15T00:00:00"/>
    <x v="2"/>
    <x v="9"/>
    <s v="0    "/>
    <s v="3122821283     "/>
    <n v="30"/>
  </r>
  <r>
    <s v="202601"/>
    <s v="78240006            "/>
    <x v="176"/>
    <x v="46"/>
    <s v="FEDC155581  "/>
    <n v="106899"/>
    <x v="3"/>
    <n v="43"/>
    <d v="2025-12-16T00:00:00"/>
    <d v="2026-01-15T00:00:00"/>
    <x v="2"/>
    <x v="9"/>
    <s v="0    "/>
    <s v="3122821283     "/>
    <n v="30"/>
  </r>
  <r>
    <s v="202601"/>
    <s v="78240006            "/>
    <x v="176"/>
    <x v="46"/>
    <s v="FEDC155582  "/>
    <n v="110200"/>
    <x v="3"/>
    <n v="43"/>
    <d v="2025-12-16T00:00:00"/>
    <d v="2026-01-15T00:00:00"/>
    <x v="2"/>
    <x v="9"/>
    <s v="0    "/>
    <s v="3122821283     "/>
    <n v="30"/>
  </r>
  <r>
    <s v="202601"/>
    <s v="8174109             "/>
    <x v="177"/>
    <x v="46"/>
    <s v="FEDC155650  "/>
    <n v="532123"/>
    <x v="3"/>
    <n v="43"/>
    <d v="2025-12-16T00:00:00"/>
    <d v="2026-01-15T00:00:00"/>
    <x v="2"/>
    <x v="9"/>
    <s v="0    "/>
    <s v="8205243"/>
    <n v="30"/>
  </r>
  <r>
    <s v="202601"/>
    <s v="8174109             "/>
    <x v="177"/>
    <x v="46"/>
    <s v="FEDC155651  "/>
    <n v="44411"/>
    <x v="3"/>
    <n v="43"/>
    <d v="2025-12-16T00:00:00"/>
    <d v="2026-01-15T00:00:00"/>
    <x v="2"/>
    <x v="9"/>
    <s v="0    "/>
    <s v="8205243"/>
    <n v="30"/>
  </r>
  <r>
    <s v="202601"/>
    <s v="8328496             "/>
    <x v="115"/>
    <x v="3"/>
    <s v="FEDC155655  "/>
    <n v="258000"/>
    <x v="3"/>
    <n v="43"/>
    <d v="2025-12-16T00:00:00"/>
    <d v="2026-01-15T00:00:00"/>
    <x v="2"/>
    <x v="9"/>
    <s v="0    "/>
    <s v="3215166593"/>
    <n v="30"/>
  </r>
  <r>
    <s v="202601"/>
    <s v="8328496             "/>
    <x v="115"/>
    <x v="3"/>
    <s v="FEDC155656  "/>
    <n v="266897"/>
    <x v="3"/>
    <n v="43"/>
    <d v="2025-12-16T00:00:00"/>
    <d v="2026-01-15T00:00:00"/>
    <x v="2"/>
    <x v="9"/>
    <s v="0    "/>
    <s v="3215166593"/>
    <n v="30"/>
  </r>
  <r>
    <s v="202601"/>
    <s v="8328496             "/>
    <x v="115"/>
    <x v="3"/>
    <s v="FEDC155657  "/>
    <n v="208727"/>
    <x v="3"/>
    <n v="43"/>
    <d v="2025-12-16T00:00:00"/>
    <d v="2026-01-15T00:00:00"/>
    <x v="2"/>
    <x v="9"/>
    <s v="0    "/>
    <s v="3215166593"/>
    <n v="30"/>
  </r>
  <r>
    <s v="202601"/>
    <s v="1001589910          "/>
    <x v="178"/>
    <x v="72"/>
    <s v="FEDC155640  "/>
    <n v="1099650"/>
    <x v="3"/>
    <n v="43"/>
    <d v="2025-12-16T00:00:00"/>
    <d v="2026-01-15T00:00:00"/>
    <x v="48"/>
    <x v="8"/>
    <s v="0    "/>
    <s v="3108951859     "/>
    <n v="30"/>
  </r>
  <r>
    <s v="202601"/>
    <s v="1001589910          "/>
    <x v="178"/>
    <x v="72"/>
    <s v="FEDC155641  "/>
    <n v="1305802"/>
    <x v="3"/>
    <n v="43"/>
    <d v="2025-12-16T00:00:00"/>
    <d v="2026-01-15T00:00:00"/>
    <x v="48"/>
    <x v="8"/>
    <s v="0    "/>
    <s v="3108951859     "/>
    <n v="30"/>
  </r>
  <r>
    <s v="202601"/>
    <s v="901523817-3         "/>
    <x v="97"/>
    <x v="52"/>
    <s v="FEDC155636  "/>
    <n v="769522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37  "/>
    <n v="1754439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38  "/>
    <n v="4297327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39  "/>
    <n v="100740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42  "/>
    <n v="6237431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43  "/>
    <n v="1382342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44  "/>
    <n v="3616474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45  "/>
    <n v="1382057"/>
    <x v="3"/>
    <n v="43"/>
    <d v="2025-12-16T00:00:00"/>
    <d v="2026-01-15T00:00:00"/>
    <x v="41"/>
    <x v="8"/>
    <s v="0    "/>
    <s v="3126183068                    "/>
    <n v="30"/>
  </r>
  <r>
    <s v="202601"/>
    <s v="901523817-3         "/>
    <x v="97"/>
    <x v="52"/>
    <s v="FEDC155646  "/>
    <n v="2945420"/>
    <x v="3"/>
    <n v="43"/>
    <d v="2025-12-16T00:00:00"/>
    <d v="2026-01-15T00:00:00"/>
    <x v="41"/>
    <x v="8"/>
    <s v="0    "/>
    <s v="3126183068                    "/>
    <n v="30"/>
  </r>
  <r>
    <s v="202601"/>
    <s v="70903957            "/>
    <x v="109"/>
    <x v="47"/>
    <s v="FEDC155628  "/>
    <n v="530513"/>
    <x v="3"/>
    <n v="43"/>
    <d v="2025-12-16T00:00:00"/>
    <d v="2026-01-15T00:00:00"/>
    <x v="39"/>
    <x v="8"/>
    <s v="0    "/>
    <s v="3135637569                    "/>
    <n v="30"/>
  </r>
  <r>
    <s v="202601"/>
    <s v="70903957            "/>
    <x v="109"/>
    <x v="47"/>
    <s v="FEDC155629  "/>
    <n v="54150"/>
    <x v="3"/>
    <n v="43"/>
    <d v="2025-12-16T00:00:00"/>
    <d v="2026-01-15T00:00:00"/>
    <x v="39"/>
    <x v="8"/>
    <s v="0    "/>
    <s v="3135637569                    "/>
    <n v="30"/>
  </r>
  <r>
    <s v="202601"/>
    <s v="78746792            "/>
    <x v="179"/>
    <x v="47"/>
    <s v="FEDC155630  "/>
    <n v="543110"/>
    <x v="3"/>
    <n v="43"/>
    <d v="2025-12-16T00:00:00"/>
    <d v="2026-01-15T00:00:00"/>
    <x v="39"/>
    <x v="8"/>
    <s v="0    "/>
    <s v="3145104965                    "/>
    <n v="30"/>
  </r>
  <r>
    <s v="202601"/>
    <s v="78746792            "/>
    <x v="179"/>
    <x v="47"/>
    <s v="FEDC155631  "/>
    <n v="770275"/>
    <x v="3"/>
    <n v="43"/>
    <d v="2025-12-16T00:00:00"/>
    <d v="2026-01-15T00:00:00"/>
    <x v="39"/>
    <x v="8"/>
    <s v="0    "/>
    <s v="3145104965                    "/>
    <n v="30"/>
  </r>
  <r>
    <s v="202601"/>
    <s v="70697057            "/>
    <x v="180"/>
    <x v="47"/>
    <s v="FEDC155634  "/>
    <n v="406357"/>
    <x v="3"/>
    <n v="43"/>
    <d v="2025-12-16T00:00:00"/>
    <d v="2026-01-15T00:00:00"/>
    <x v="39"/>
    <x v="8"/>
    <s v="0    "/>
    <s v="3135761446     "/>
    <n v="1"/>
  </r>
  <r>
    <s v="202601"/>
    <s v="70697057            "/>
    <x v="180"/>
    <x v="47"/>
    <s v="FEDC155635  "/>
    <n v="381058"/>
    <x v="3"/>
    <n v="43"/>
    <d v="2025-12-16T00:00:00"/>
    <d v="2026-01-15T00:00:00"/>
    <x v="39"/>
    <x v="8"/>
    <s v="0    "/>
    <s v="3135761446     "/>
    <n v="1"/>
  </r>
  <r>
    <s v="202601"/>
    <s v="15303584            "/>
    <x v="181"/>
    <x v="37"/>
    <s v="FEDC155683  "/>
    <n v="744501"/>
    <x v="3"/>
    <n v="42"/>
    <d v="2025-12-17T00:00:00"/>
    <d v="2026-01-16T00:00:00"/>
    <x v="18"/>
    <x v="11"/>
    <s v="0    "/>
    <s v="3215390315 - 3126155149       "/>
    <n v="30"/>
  </r>
  <r>
    <s v="202601"/>
    <s v="1038138797          "/>
    <x v="182"/>
    <x v="13"/>
    <s v="FEDC155691  "/>
    <n v="2895050"/>
    <x v="3"/>
    <n v="42"/>
    <d v="2025-12-17T00:00:00"/>
    <d v="2026-01-16T00:00:00"/>
    <x v="18"/>
    <x v="13"/>
    <s v="0    "/>
    <s v="3223117873                    "/>
    <n v="30"/>
  </r>
  <r>
    <s v="202601"/>
    <s v="70383501            "/>
    <x v="183"/>
    <x v="13"/>
    <s v="FEDC155698  "/>
    <n v="1832458"/>
    <x v="3"/>
    <n v="42"/>
    <d v="2025-12-17T00:00:00"/>
    <d v="2026-01-16T00:00:00"/>
    <x v="18"/>
    <x v="13"/>
    <s v="0    "/>
    <s v="3145052021                    "/>
    <n v="30"/>
  </r>
  <r>
    <s v="202601"/>
    <s v="3552564             "/>
    <x v="113"/>
    <x v="12"/>
    <s v="FEDC155792  "/>
    <n v="4559272"/>
    <x v="3"/>
    <n v="42"/>
    <d v="2025-12-17T00:00:00"/>
    <d v="2026-01-16T00:00:00"/>
    <x v="18"/>
    <x v="1"/>
    <s v="0    "/>
    <s v="3225062847                    "/>
    <n v="30"/>
  </r>
  <r>
    <s v="202601"/>
    <s v="78302612            "/>
    <x v="110"/>
    <x v="2"/>
    <s v="FEDC155732  "/>
    <n v="2731367"/>
    <x v="3"/>
    <n v="42"/>
    <d v="2025-12-17T00:00:00"/>
    <d v="2026-01-16T00:00:00"/>
    <x v="1"/>
    <x v="15"/>
    <s v="0    "/>
    <s v="3126603940 -3041037151        "/>
    <n v="30"/>
  </r>
  <r>
    <s v="202601"/>
    <s v="1047403252          "/>
    <x v="111"/>
    <x v="2"/>
    <s v="FEDC155804  "/>
    <n v="14965124"/>
    <x v="3"/>
    <n v="42"/>
    <d v="2025-12-17T00:00:00"/>
    <d v="2026-01-16T00:00:00"/>
    <x v="1"/>
    <x v="12"/>
    <s v="0    "/>
    <s v="3117322753 -7767418           "/>
    <n v="30"/>
  </r>
  <r>
    <s v="202601"/>
    <s v="49717314            "/>
    <x v="184"/>
    <x v="1"/>
    <s v="FEVM43503   "/>
    <n v="273118"/>
    <x v="3"/>
    <n v="42"/>
    <d v="2025-12-17T00:00:00"/>
    <d v="2026-01-16T00:00:00"/>
    <x v="1"/>
    <x v="12"/>
    <s v="0    "/>
    <s v="3112216146                    "/>
    <n v="30"/>
  </r>
  <r>
    <s v="202601"/>
    <s v="1152210244          "/>
    <x v="62"/>
    <x v="1"/>
    <s v="FEVM43504   "/>
    <n v="5850128"/>
    <x v="3"/>
    <n v="42"/>
    <d v="2025-12-17T00:00:00"/>
    <d v="2026-01-16T00:00:00"/>
    <x v="1"/>
    <x v="12"/>
    <s v="0    "/>
    <s v="3205555535                    "/>
    <n v="30"/>
  </r>
  <r>
    <s v="202601"/>
    <s v="1152210244          "/>
    <x v="62"/>
    <x v="1"/>
    <s v="FEVM43505   "/>
    <n v="2815937"/>
    <x v="3"/>
    <n v="42"/>
    <d v="2025-12-17T00:00:00"/>
    <d v="2026-01-16T00:00:00"/>
    <x v="1"/>
    <x v="12"/>
    <s v="0    "/>
    <s v="3205555535                    "/>
    <n v="30"/>
  </r>
  <r>
    <s v="202601"/>
    <s v="78302612            "/>
    <x v="110"/>
    <x v="2"/>
    <s v="FEVM43513   "/>
    <n v="14989"/>
    <x v="3"/>
    <n v="42"/>
    <d v="2025-12-17T00:00:00"/>
    <d v="2026-01-16T00:00:00"/>
    <x v="1"/>
    <x v="15"/>
    <s v="0    "/>
    <s v="3126603940 -3041037151        "/>
    <n v="30"/>
  </r>
  <r>
    <s v="202601"/>
    <s v="901349219-3         "/>
    <x v="133"/>
    <x v="1"/>
    <s v="FEDC155728  "/>
    <n v="1977789"/>
    <x v="3"/>
    <n v="42"/>
    <d v="2025-12-17T00:00:00"/>
    <d v="2026-01-16T00:00:00"/>
    <x v="35"/>
    <x v="12"/>
    <s v="0    "/>
    <s v="3156264634- 7721444           "/>
    <n v="30"/>
  </r>
  <r>
    <s v="202601"/>
    <s v="901349219-3         "/>
    <x v="133"/>
    <x v="1"/>
    <s v="FEDC155729  "/>
    <n v="626340"/>
    <x v="3"/>
    <n v="42"/>
    <d v="2025-12-17T00:00:00"/>
    <d v="2026-01-16T00:00:00"/>
    <x v="35"/>
    <x v="12"/>
    <s v="0    "/>
    <s v="3156264634- 7721444           "/>
    <n v="30"/>
  </r>
  <r>
    <s v="202601"/>
    <s v="3552564             "/>
    <x v="113"/>
    <x v="12"/>
    <s v="FEDC155793  "/>
    <n v="2770329"/>
    <x v="3"/>
    <n v="42"/>
    <d v="2025-12-17T00:00:00"/>
    <d v="2026-01-16T00:00:00"/>
    <x v="9"/>
    <x v="1"/>
    <s v="0    "/>
    <s v="3225062847                    "/>
    <n v="30"/>
  </r>
  <r>
    <s v="202601"/>
    <s v="6700758             "/>
    <x v="185"/>
    <x v="60"/>
    <s v="FEDC155795  "/>
    <n v="348247"/>
    <x v="3"/>
    <n v="42"/>
    <d v="2025-12-17T00:00:00"/>
    <d v="2026-01-16T00:00:00"/>
    <x v="9"/>
    <x v="1"/>
    <s v="0    "/>
    <s v="3113518364     "/>
    <n v="30"/>
  </r>
  <r>
    <s v="202601"/>
    <s v="39287024            "/>
    <x v="186"/>
    <x v="12"/>
    <s v="FEDC155801  "/>
    <n v="979869"/>
    <x v="3"/>
    <n v="42"/>
    <d v="2025-12-17T00:00:00"/>
    <d v="2026-01-16T00:00:00"/>
    <x v="9"/>
    <x v="1"/>
    <s v="0    "/>
    <s v="3146416435     "/>
    <n v="30"/>
  </r>
  <r>
    <s v="202601"/>
    <s v="900902664-6         "/>
    <x v="187"/>
    <x v="46"/>
    <s v="FEDC155704  "/>
    <n v="12600"/>
    <x v="3"/>
    <n v="42"/>
    <d v="2025-12-17T00:00:00"/>
    <d v="2026-01-16T00:00:00"/>
    <x v="2"/>
    <x v="9"/>
    <s v="0    "/>
    <s v="8205080 - 3122489981          "/>
    <n v="30"/>
  </r>
  <r>
    <s v="202601"/>
    <s v="22041533            "/>
    <x v="162"/>
    <x v="3"/>
    <s v="FEDC155705  "/>
    <n v="1410000"/>
    <x v="3"/>
    <n v="42"/>
    <d v="2025-12-17T00:00:00"/>
    <d v="2026-01-16T00:00:00"/>
    <x v="2"/>
    <x v="9"/>
    <s v="0    "/>
    <s v="3217615388     "/>
    <n v="30"/>
  </r>
  <r>
    <s v="202601"/>
    <s v="22041533            "/>
    <x v="162"/>
    <x v="3"/>
    <s v="FEDC155706  "/>
    <n v="407395"/>
    <x v="3"/>
    <n v="42"/>
    <d v="2025-12-17T00:00:00"/>
    <d v="2026-01-16T00:00:00"/>
    <x v="2"/>
    <x v="9"/>
    <s v="0    "/>
    <s v="3217615388     "/>
    <n v="30"/>
  </r>
  <r>
    <s v="202601"/>
    <s v="22041533            "/>
    <x v="162"/>
    <x v="3"/>
    <s v="FEDC155707  "/>
    <n v="652222"/>
    <x v="3"/>
    <n v="42"/>
    <d v="2025-12-17T00:00:00"/>
    <d v="2026-01-16T00:00:00"/>
    <x v="2"/>
    <x v="9"/>
    <s v="0    "/>
    <s v="3217615388     "/>
    <n v="30"/>
  </r>
  <r>
    <s v="202601"/>
    <s v="10766878            "/>
    <x v="188"/>
    <x v="46"/>
    <s v="FEDC155715  "/>
    <n v="214000"/>
    <x v="3"/>
    <n v="42"/>
    <d v="2025-12-17T00:00:00"/>
    <d v="2026-01-16T00:00:00"/>
    <x v="2"/>
    <x v="9"/>
    <s v="0    "/>
    <s v="3135734283                    "/>
    <n v="30"/>
  </r>
  <r>
    <s v="202601"/>
    <s v="10766878            "/>
    <x v="188"/>
    <x v="46"/>
    <s v="FEDC155716  "/>
    <n v="203796"/>
    <x v="3"/>
    <n v="42"/>
    <d v="2025-12-17T00:00:00"/>
    <d v="2026-01-16T00:00:00"/>
    <x v="2"/>
    <x v="9"/>
    <s v="0    "/>
    <s v="3135734283                    "/>
    <n v="30"/>
  </r>
  <r>
    <s v="202601"/>
    <s v="10766878            "/>
    <x v="188"/>
    <x v="46"/>
    <s v="FEDC155717  "/>
    <n v="63000"/>
    <x v="3"/>
    <n v="42"/>
    <d v="2025-12-17T00:00:00"/>
    <d v="2026-01-16T00:00:00"/>
    <x v="2"/>
    <x v="9"/>
    <s v="0    "/>
    <s v="3135734283                    "/>
    <n v="30"/>
  </r>
  <r>
    <s v="202601"/>
    <s v="1041261379          "/>
    <x v="189"/>
    <x v="3"/>
    <s v="FEDC155741  "/>
    <n v="1207000"/>
    <x v="3"/>
    <n v="42"/>
    <d v="2025-12-17T00:00:00"/>
    <d v="2026-01-16T00:00:00"/>
    <x v="2"/>
    <x v="9"/>
    <s v="0    "/>
    <s v="3128631222                    "/>
    <n v="30"/>
  </r>
  <r>
    <s v="202601"/>
    <s v="1041261379          "/>
    <x v="189"/>
    <x v="3"/>
    <s v="FEDC155742  "/>
    <n v="887320"/>
    <x v="3"/>
    <n v="42"/>
    <d v="2025-12-17T00:00:00"/>
    <d v="2026-01-16T00:00:00"/>
    <x v="2"/>
    <x v="9"/>
    <s v="0    "/>
    <s v="3128631222                    "/>
    <n v="30"/>
  </r>
  <r>
    <s v="202601"/>
    <s v="1041261379          "/>
    <x v="189"/>
    <x v="3"/>
    <s v="FEDC155743  "/>
    <n v="715465"/>
    <x v="3"/>
    <n v="42"/>
    <d v="2025-12-17T00:00:00"/>
    <d v="2026-01-16T00:00:00"/>
    <x v="2"/>
    <x v="9"/>
    <s v="0    "/>
    <s v="3128631222                    "/>
    <n v="30"/>
  </r>
  <r>
    <s v="202601"/>
    <s v="71256025            "/>
    <x v="116"/>
    <x v="46"/>
    <s v="FEDC155745  "/>
    <n v="2120001"/>
    <x v="3"/>
    <n v="42"/>
    <d v="2025-12-17T00:00:00"/>
    <d v="2026-01-16T00:00:00"/>
    <x v="2"/>
    <x v="9"/>
    <s v="0    "/>
    <s v="3008137639                    "/>
    <n v="30"/>
  </r>
  <r>
    <s v="202601"/>
    <s v="71256025            "/>
    <x v="116"/>
    <x v="46"/>
    <s v="FEDC155746  "/>
    <n v="241500"/>
    <x v="3"/>
    <n v="42"/>
    <d v="2025-12-17T00:00:00"/>
    <d v="2026-01-16T00:00:00"/>
    <x v="2"/>
    <x v="9"/>
    <s v="0    "/>
    <s v="3008137639                    "/>
    <n v="30"/>
  </r>
  <r>
    <s v="202601"/>
    <s v="71256025            "/>
    <x v="116"/>
    <x v="46"/>
    <s v="FEDC155747  "/>
    <n v="56398"/>
    <x v="3"/>
    <n v="42"/>
    <d v="2025-12-17T00:00:00"/>
    <d v="2026-01-16T00:00:00"/>
    <x v="2"/>
    <x v="9"/>
    <s v="0    "/>
    <s v="3008137639                    "/>
    <n v="30"/>
  </r>
  <r>
    <s v="202601"/>
    <s v="71256025            "/>
    <x v="116"/>
    <x v="46"/>
    <s v="FEDC155748  "/>
    <n v="111802"/>
    <x v="3"/>
    <n v="42"/>
    <d v="2025-12-17T00:00:00"/>
    <d v="2026-01-16T00:00:00"/>
    <x v="2"/>
    <x v="9"/>
    <s v="0    "/>
    <s v="3008137639                    "/>
    <n v="30"/>
  </r>
  <r>
    <s v="202601"/>
    <s v="71256025            "/>
    <x v="116"/>
    <x v="46"/>
    <s v="FEDC155749  "/>
    <n v="222596"/>
    <x v="3"/>
    <n v="42"/>
    <d v="2025-12-17T00:00:00"/>
    <d v="2026-01-16T00:00:00"/>
    <x v="2"/>
    <x v="9"/>
    <s v="0    "/>
    <s v="3008137639                    "/>
    <n v="30"/>
  </r>
  <r>
    <s v="202601"/>
    <s v="1041256612          "/>
    <x v="80"/>
    <x v="46"/>
    <s v="FEDC155753  "/>
    <n v="11403"/>
    <x v="3"/>
    <n v="42"/>
    <d v="2025-12-17T00:00:00"/>
    <d v="2026-01-16T00:00:00"/>
    <x v="2"/>
    <x v="9"/>
    <s v="0    "/>
    <s v="3106053105                    "/>
    <n v="30"/>
  </r>
  <r>
    <s v="202601"/>
    <s v="1041256612          "/>
    <x v="80"/>
    <x v="46"/>
    <s v="FEDC155754  "/>
    <n v="335399"/>
    <x v="3"/>
    <n v="42"/>
    <d v="2025-12-17T00:00:00"/>
    <d v="2026-01-16T00:00:00"/>
    <x v="2"/>
    <x v="9"/>
    <s v="0    "/>
    <s v="3106053105                    "/>
    <n v="30"/>
  </r>
  <r>
    <s v="202601"/>
    <s v="1041256612          "/>
    <x v="80"/>
    <x v="46"/>
    <s v="FEDC155755  "/>
    <n v="300200"/>
    <x v="3"/>
    <n v="42"/>
    <d v="2025-12-17T00:00:00"/>
    <d v="2026-01-16T00:00:00"/>
    <x v="2"/>
    <x v="9"/>
    <s v="0    "/>
    <s v="3106053105                    "/>
    <n v="30"/>
  </r>
  <r>
    <s v="202601"/>
    <s v="98600662            "/>
    <x v="118"/>
    <x v="46"/>
    <s v="FEDC155757  "/>
    <n v="1978090"/>
    <x v="3"/>
    <n v="42"/>
    <d v="2025-12-17T00:00:00"/>
    <d v="2026-01-16T00:00:00"/>
    <x v="2"/>
    <x v="9"/>
    <s v="0    "/>
    <s v="3145313565                    "/>
    <n v="30"/>
  </r>
  <r>
    <s v="202601"/>
    <s v="98600662            "/>
    <x v="118"/>
    <x v="46"/>
    <s v="FEDC155758  "/>
    <n v="1027893"/>
    <x v="3"/>
    <n v="42"/>
    <d v="2025-12-17T00:00:00"/>
    <d v="2026-01-16T00:00:00"/>
    <x v="2"/>
    <x v="9"/>
    <s v="0    "/>
    <s v="3145313565                    "/>
    <n v="30"/>
  </r>
  <r>
    <s v="202601"/>
    <s v="98600662            "/>
    <x v="118"/>
    <x v="46"/>
    <s v="FEDC155759  "/>
    <n v="318439"/>
    <x v="3"/>
    <n v="42"/>
    <d v="2025-12-17T00:00:00"/>
    <d v="2026-01-16T00:00:00"/>
    <x v="2"/>
    <x v="9"/>
    <s v="0    "/>
    <s v="3145313565                    "/>
    <n v="30"/>
  </r>
  <r>
    <s v="202601"/>
    <s v="98600662            "/>
    <x v="118"/>
    <x v="46"/>
    <s v="FEDC155760  "/>
    <n v="3424800"/>
    <x v="3"/>
    <n v="42"/>
    <d v="2025-12-17T00:00:00"/>
    <d v="2026-01-16T00:00:00"/>
    <x v="2"/>
    <x v="9"/>
    <s v="0    "/>
    <s v="3145313565                    "/>
    <n v="30"/>
  </r>
  <r>
    <s v="202601"/>
    <s v="98600662            "/>
    <x v="118"/>
    <x v="46"/>
    <s v="FEDC155761  "/>
    <n v="1067987"/>
    <x v="3"/>
    <n v="42"/>
    <d v="2025-12-17T00:00:00"/>
    <d v="2026-01-16T00:00:00"/>
    <x v="2"/>
    <x v="9"/>
    <s v="0    "/>
    <s v="3145313565                    "/>
    <n v="30"/>
  </r>
  <r>
    <s v="202601"/>
    <s v="70163318            "/>
    <x v="121"/>
    <x v="46"/>
    <s v="FEDC155762  "/>
    <n v="2120001"/>
    <x v="3"/>
    <n v="42"/>
    <d v="2025-12-17T00:00:00"/>
    <d v="2026-01-16T00:00:00"/>
    <x v="2"/>
    <x v="9"/>
    <s v="0    "/>
    <s v="3148732837 -3146457008Cesar   "/>
    <n v="30"/>
  </r>
  <r>
    <s v="202601"/>
    <s v="901530931-4         "/>
    <x v="190"/>
    <x v="73"/>
    <s v="FEDC155776  "/>
    <n v="1045"/>
    <x v="5"/>
    <n v="42"/>
    <d v="2025-12-17T00:00:00"/>
    <d v="2025-12-18T00:00:00"/>
    <x v="32"/>
    <x v="8"/>
    <s v="0    "/>
    <s v="3105977799                    "/>
    <n v="1"/>
  </r>
  <r>
    <s v="202601"/>
    <s v="1007452788          "/>
    <x v="191"/>
    <x v="63"/>
    <s v="FEDC155693  "/>
    <n v="1445000"/>
    <x v="3"/>
    <n v="42"/>
    <d v="2025-12-17T00:00:00"/>
    <d v="2026-01-16T00:00:00"/>
    <x v="44"/>
    <x v="13"/>
    <s v="0    "/>
    <s v="3137712482                    "/>
    <n v="30"/>
  </r>
  <r>
    <s v="202601"/>
    <s v="1037582300          "/>
    <x v="79"/>
    <x v="45"/>
    <s v="FEDC155751  "/>
    <n v="5383795"/>
    <x v="3"/>
    <n v="42"/>
    <d v="2025-12-17T00:00:00"/>
    <d v="2026-01-16T00:00:00"/>
    <x v="30"/>
    <x v="9"/>
    <s v="0    "/>
    <s v="3192610072     "/>
    <n v="30"/>
  </r>
  <r>
    <s v="202601"/>
    <s v="1037582300          "/>
    <x v="79"/>
    <x v="45"/>
    <s v="FEDC155752  "/>
    <n v="3761921"/>
    <x v="3"/>
    <n v="42"/>
    <d v="2025-12-17T00:00:00"/>
    <d v="2026-01-16T00:00:00"/>
    <x v="30"/>
    <x v="9"/>
    <s v="0    "/>
    <s v="3192610072     "/>
    <n v="30"/>
  </r>
  <r>
    <s v="202601"/>
    <s v="1037582300          "/>
    <x v="79"/>
    <x v="45"/>
    <s v="FEDC155756  "/>
    <n v="2308419"/>
    <x v="3"/>
    <n v="42"/>
    <d v="2025-12-17T00:00:00"/>
    <d v="2026-01-16T00:00:00"/>
    <x v="30"/>
    <x v="9"/>
    <s v="0    "/>
    <s v="3192610072     "/>
    <n v="30"/>
  </r>
  <r>
    <s v="202601"/>
    <s v="1003810605          "/>
    <x v="192"/>
    <x v="13"/>
    <s v="FEDC155816  "/>
    <n v="3069136"/>
    <x v="3"/>
    <n v="41"/>
    <d v="2025-12-18T00:00:00"/>
    <d v="2026-01-17T00:00:00"/>
    <x v="18"/>
    <x v="13"/>
    <s v="0    "/>
    <s v="3218007944                    "/>
    <n v="30"/>
  </r>
  <r>
    <s v="202601"/>
    <s v="1003810605          "/>
    <x v="192"/>
    <x v="13"/>
    <s v="FEDC155817  "/>
    <n v="426000"/>
    <x v="3"/>
    <n v="41"/>
    <d v="2025-12-18T00:00:00"/>
    <d v="2026-01-17T00:00:00"/>
    <x v="18"/>
    <x v="13"/>
    <s v="0    "/>
    <s v="3218007944                    "/>
    <n v="30"/>
  </r>
  <r>
    <s v="202601"/>
    <s v="901725680           "/>
    <x v="193"/>
    <x v="13"/>
    <s v="FEDC155818  "/>
    <n v="17256363"/>
    <x v="3"/>
    <n v="41"/>
    <d v="2025-12-18T00:00:00"/>
    <d v="2026-01-17T00:00:00"/>
    <x v="18"/>
    <x v="13"/>
    <s v="0    "/>
    <s v="8392261                       "/>
    <n v="30"/>
  </r>
  <r>
    <s v="202601"/>
    <s v="8055522             "/>
    <x v="194"/>
    <x v="13"/>
    <s v="FEDC155852  "/>
    <n v="10592001"/>
    <x v="3"/>
    <n v="41"/>
    <d v="2025-12-18T00:00:00"/>
    <d v="2026-01-17T00:00:00"/>
    <x v="18"/>
    <x v="13"/>
    <s v="0    "/>
    <s v="3238539266                    "/>
    <n v="30"/>
  </r>
  <r>
    <s v="202601"/>
    <s v="1040517048          "/>
    <x v="195"/>
    <x v="22"/>
    <s v="FEDC155824  "/>
    <n v="599550"/>
    <x v="3"/>
    <n v="41"/>
    <d v="2025-12-18T00:00:00"/>
    <d v="2026-01-17T00:00:00"/>
    <x v="14"/>
    <x v="4"/>
    <s v="0    "/>
    <s v="8372131-3175914711            "/>
    <n v="30"/>
  </r>
  <r>
    <s v="202601"/>
    <s v="1026569148          "/>
    <x v="196"/>
    <x v="60"/>
    <s v="FEDC155827  "/>
    <n v="807000"/>
    <x v="3"/>
    <n v="41"/>
    <d v="2025-12-18T00:00:00"/>
    <d v="2026-01-17T00:00:00"/>
    <x v="14"/>
    <x v="4"/>
    <s v="0    "/>
    <s v="3135069525     "/>
    <n v="30"/>
  </r>
  <r>
    <s v="202601"/>
    <s v="1026569148          "/>
    <x v="196"/>
    <x v="60"/>
    <s v="FEDC155828  "/>
    <n v="110200"/>
    <x v="3"/>
    <n v="41"/>
    <d v="2025-12-18T00:00:00"/>
    <d v="2026-01-17T00:00:00"/>
    <x v="14"/>
    <x v="4"/>
    <s v="0    "/>
    <s v="3135069525     "/>
    <n v="30"/>
  </r>
  <r>
    <s v="202601"/>
    <s v="78303665            "/>
    <x v="197"/>
    <x v="74"/>
    <s v="FEDC155829  "/>
    <n v="14806721"/>
    <x v="3"/>
    <n v="41"/>
    <d v="2025-12-18T00:00:00"/>
    <d v="2026-01-17T00:00:00"/>
    <x v="14"/>
    <x v="4"/>
    <s v="0    "/>
    <s v="3204898577                    "/>
    <n v="30"/>
  </r>
  <r>
    <s v="202601"/>
    <s v="78303665            "/>
    <x v="197"/>
    <x v="74"/>
    <s v="FEDC155830  "/>
    <n v="3384000"/>
    <x v="3"/>
    <n v="41"/>
    <d v="2025-12-18T00:00:00"/>
    <d v="2026-01-17T00:00:00"/>
    <x v="14"/>
    <x v="4"/>
    <s v="0    "/>
    <s v="3204898577                    "/>
    <n v="30"/>
  </r>
  <r>
    <s v="202601"/>
    <s v="26230803-9          "/>
    <x v="198"/>
    <x v="75"/>
    <s v="FEDC155834  "/>
    <n v="7000628"/>
    <x v="3"/>
    <n v="41"/>
    <d v="2025-12-18T00:00:00"/>
    <d v="2026-01-17T00:00:00"/>
    <x v="14"/>
    <x v="4"/>
    <s v="0    "/>
    <s v="3108901980                    "/>
    <n v="30"/>
  </r>
  <r>
    <s v="202601"/>
    <s v="78303665            "/>
    <x v="197"/>
    <x v="74"/>
    <s v="FEDC155835  "/>
    <n v="2137375"/>
    <x v="3"/>
    <n v="41"/>
    <d v="2025-12-18T00:00:00"/>
    <d v="2026-01-17T00:00:00"/>
    <x v="14"/>
    <x v="4"/>
    <s v="0    "/>
    <s v="3204898577                    "/>
    <n v="30"/>
  </r>
  <r>
    <s v="202601"/>
    <s v="1040517048          "/>
    <x v="195"/>
    <x v="22"/>
    <s v="FEDC155836  "/>
    <n v="310365"/>
    <x v="3"/>
    <n v="41"/>
    <d v="2025-12-18T00:00:00"/>
    <d v="2026-01-17T00:00:00"/>
    <x v="14"/>
    <x v="5"/>
    <s v="0    "/>
    <s v="8372131-3175914711            "/>
    <n v="30"/>
  </r>
  <r>
    <s v="202601"/>
    <s v="98475267            "/>
    <x v="199"/>
    <x v="27"/>
    <s v="FEDC155865  "/>
    <n v="100441"/>
    <x v="3"/>
    <n v="41"/>
    <d v="2025-12-18T00:00:00"/>
    <d v="2026-01-17T00:00:00"/>
    <x v="14"/>
    <x v="5"/>
    <s v="0    "/>
    <s v="8372024"/>
    <n v="30"/>
  </r>
  <r>
    <s v="202601"/>
    <s v="78293319            "/>
    <x v="117"/>
    <x v="59"/>
    <s v="FEDC155892  "/>
    <n v="1805599"/>
    <x v="3"/>
    <n v="41"/>
    <d v="2025-12-18T00:00:00"/>
    <d v="2026-01-17T00:00:00"/>
    <x v="25"/>
    <x v="12"/>
    <s v="0    "/>
    <s v="3135677618 -3013982709        "/>
    <n v="0"/>
  </r>
  <r>
    <s v="202601"/>
    <s v="1003336739          "/>
    <x v="200"/>
    <x v="26"/>
    <s v="FEDC155893  "/>
    <n v="3740581"/>
    <x v="3"/>
    <n v="41"/>
    <d v="2025-12-18T00:00:00"/>
    <d v="2026-01-17T00:00:00"/>
    <x v="25"/>
    <x v="12"/>
    <s v="0    "/>
    <s v="3044454539                    "/>
    <n v="30"/>
  </r>
  <r>
    <s v="202601"/>
    <s v="1003289933          "/>
    <x v="201"/>
    <x v="26"/>
    <s v="FEDC155896  "/>
    <n v="10000000"/>
    <x v="3"/>
    <n v="41"/>
    <d v="2025-12-18T00:00:00"/>
    <d v="2026-01-17T00:00:00"/>
    <x v="25"/>
    <x v="12"/>
    <s v="0    "/>
    <s v="3229228485                    "/>
    <n v="30"/>
  </r>
  <r>
    <s v="202601"/>
    <s v="901158992-9         "/>
    <x v="127"/>
    <x v="24"/>
    <s v="FEDC155900  "/>
    <n v="4540355"/>
    <x v="3"/>
    <n v="41"/>
    <d v="2025-12-18T00:00:00"/>
    <d v="2026-01-17T00:00:00"/>
    <x v="25"/>
    <x v="12"/>
    <s v="0    "/>
    <s v="3002863464 - 3013900884       "/>
    <n v="30"/>
  </r>
  <r>
    <s v="202601"/>
    <s v="1063281231          "/>
    <x v="202"/>
    <x v="26"/>
    <s v="FEDC155901  "/>
    <n v="1000000"/>
    <x v="3"/>
    <n v="41"/>
    <d v="2025-12-18T00:00:00"/>
    <d v="2026-01-17T00:00:00"/>
    <x v="25"/>
    <x v="12"/>
    <s v="0    "/>
    <s v="3122924842                    "/>
    <n v="15"/>
  </r>
  <r>
    <s v="202601"/>
    <s v="10992195            "/>
    <x v="203"/>
    <x v="59"/>
    <s v="FEDC155902  "/>
    <n v="212310"/>
    <x v="3"/>
    <n v="41"/>
    <d v="2025-12-18T00:00:00"/>
    <d v="2026-01-17T00:00:00"/>
    <x v="25"/>
    <x v="12"/>
    <s v="0    "/>
    <s v="3117733890     "/>
    <n v="30"/>
  </r>
  <r>
    <s v="202601"/>
    <s v="1073996347          "/>
    <x v="122"/>
    <x v="46"/>
    <s v="FEDC155857  "/>
    <n v="2850"/>
    <x v="3"/>
    <n v="41"/>
    <d v="2025-12-18T00:00:00"/>
    <d v="2026-01-17T00:00:00"/>
    <x v="2"/>
    <x v="9"/>
    <s v="0    "/>
    <s v="3167167184                    "/>
    <n v="30"/>
  </r>
  <r>
    <s v="202601"/>
    <s v="43474894            "/>
    <x v="124"/>
    <x v="61"/>
    <s v="FEDC155871  "/>
    <n v="1272000"/>
    <x v="3"/>
    <n v="41"/>
    <d v="2025-12-18T00:00:00"/>
    <d v="2026-01-17T00:00:00"/>
    <x v="26"/>
    <x v="9"/>
    <s v="0    "/>
    <s v="3127806146"/>
    <n v="30"/>
  </r>
  <r>
    <s v="202601"/>
    <s v="91521121            "/>
    <x v="204"/>
    <x v="13"/>
    <s v="FEDC155917  "/>
    <n v="5780000"/>
    <x v="3"/>
    <n v="40"/>
    <d v="2025-12-19T00:00:00"/>
    <d v="2026-01-18T00:00:00"/>
    <x v="18"/>
    <x v="15"/>
    <s v="0    "/>
    <s v="3206429252                    "/>
    <n v="30"/>
  </r>
  <r>
    <s v="202601"/>
    <s v="91521121            "/>
    <x v="204"/>
    <x v="13"/>
    <s v="FEDC155919  "/>
    <n v="3025086"/>
    <x v="3"/>
    <n v="40"/>
    <d v="2025-12-19T00:00:00"/>
    <d v="2026-01-18T00:00:00"/>
    <x v="18"/>
    <x v="15"/>
    <s v="0    "/>
    <s v="3206429252                    "/>
    <n v="30"/>
  </r>
  <r>
    <s v="202601"/>
    <s v="39271861            "/>
    <x v="205"/>
    <x v="13"/>
    <s v="FEDC155921  "/>
    <n v="629149"/>
    <x v="3"/>
    <n v="40"/>
    <d v="2025-12-19T00:00:00"/>
    <d v="2026-01-18T00:00:00"/>
    <x v="18"/>
    <x v="13"/>
    <s v="0    "/>
    <s v="3113595761                    "/>
    <n v="30"/>
  </r>
  <r>
    <s v="202601"/>
    <s v="1007652832          "/>
    <x v="206"/>
    <x v="13"/>
    <s v="FEDC155922  "/>
    <n v="2811135"/>
    <x v="3"/>
    <n v="40"/>
    <d v="2025-12-19T00:00:00"/>
    <d v="2026-01-18T00:00:00"/>
    <x v="18"/>
    <x v="13"/>
    <s v="0    "/>
    <s v="3003097106 -3013682585        "/>
    <n v="30"/>
  </r>
  <r>
    <s v="202601"/>
    <s v="901679438-5         "/>
    <x v="207"/>
    <x v="12"/>
    <s v="FEDC155980  "/>
    <n v="339626"/>
    <x v="3"/>
    <n v="40"/>
    <d v="2025-12-19T00:00:00"/>
    <d v="2026-01-18T00:00:00"/>
    <x v="18"/>
    <x v="1"/>
    <s v="0    "/>
    <s v="3142941956                    "/>
    <n v="30"/>
  </r>
  <r>
    <s v="202601"/>
    <s v="1                   "/>
    <x v="208"/>
    <x v="13"/>
    <s v="FEDC155999  "/>
    <n v="70172"/>
    <x v="5"/>
    <n v="40"/>
    <d v="2025-12-19T00:00:00"/>
    <d v="2025-12-20T00:00:00"/>
    <x v="18"/>
    <x v="8"/>
    <s v="0    "/>
    <s v=""/>
    <n v="1"/>
  </r>
  <r>
    <s v="202601"/>
    <s v="3674410             "/>
    <x v="209"/>
    <x v="25"/>
    <s v="FEDC155945  "/>
    <n v="806000"/>
    <x v="3"/>
    <n v="40"/>
    <d v="2025-12-19T00:00:00"/>
    <d v="2026-01-18T00:00:00"/>
    <x v="16"/>
    <x v="4"/>
    <s v="0    "/>
    <s v="3226683258-3117071439         "/>
    <n v="30"/>
  </r>
  <r>
    <s v="202601"/>
    <s v="3674410             "/>
    <x v="209"/>
    <x v="25"/>
    <s v="FEDC155946  "/>
    <n v="1020491"/>
    <x v="3"/>
    <n v="40"/>
    <d v="2025-12-19T00:00:00"/>
    <d v="2026-01-18T00:00:00"/>
    <x v="16"/>
    <x v="4"/>
    <s v="0    "/>
    <s v="3226683258-3117071439         "/>
    <n v="30"/>
  </r>
  <r>
    <s v="202601"/>
    <s v="22238237            "/>
    <x v="210"/>
    <x v="25"/>
    <s v="FEDC155951  "/>
    <n v="229560"/>
    <x v="3"/>
    <n v="40"/>
    <d v="2025-12-19T00:00:00"/>
    <d v="2026-01-18T00:00:00"/>
    <x v="16"/>
    <x v="4"/>
    <s v="0    "/>
    <s v="3146019058 -8388385           "/>
    <n v="30"/>
  </r>
  <r>
    <s v="202601"/>
    <s v="1002066668          "/>
    <x v="211"/>
    <x v="25"/>
    <s v="FEDC155989  "/>
    <n v="153807"/>
    <x v="3"/>
    <n v="40"/>
    <d v="2025-12-19T00:00:00"/>
    <d v="2026-01-18T00:00:00"/>
    <x v="16"/>
    <x v="15"/>
    <s v="0    "/>
    <s v="3122718636-3194510198         "/>
    <n v="30"/>
  </r>
  <r>
    <s v="202601"/>
    <s v="1002066668          "/>
    <x v="211"/>
    <x v="25"/>
    <s v="FEDC155990  "/>
    <n v="590000"/>
    <x v="3"/>
    <n v="40"/>
    <d v="2025-12-19T00:00:00"/>
    <d v="2026-01-18T00:00:00"/>
    <x v="16"/>
    <x v="15"/>
    <s v="0    "/>
    <s v="3122718636-3194510198         "/>
    <n v="30"/>
  </r>
  <r>
    <s v="202601"/>
    <s v="901758127-9         "/>
    <x v="170"/>
    <x v="24"/>
    <s v="FEVM43604   "/>
    <n v="1768721"/>
    <x v="3"/>
    <n v="40"/>
    <d v="2025-12-19T00:00:00"/>
    <d v="2026-01-18T00:00:00"/>
    <x v="24"/>
    <x v="12"/>
    <s v="0    "/>
    <s v="3107091608                    "/>
    <n v="30"/>
  </r>
  <r>
    <s v="202601"/>
    <s v="15309183            "/>
    <x v="152"/>
    <x v="70"/>
    <s v="FEDC156011  "/>
    <n v="2613071"/>
    <x v="3"/>
    <n v="40"/>
    <d v="2025-12-19T00:00:00"/>
    <d v="2026-01-18T00:00:00"/>
    <x v="35"/>
    <x v="12"/>
    <s v="0    "/>
    <s v="3217254890                    "/>
    <n v="30"/>
  </r>
  <r>
    <s v="202601"/>
    <s v="1193127295          "/>
    <x v="212"/>
    <x v="76"/>
    <s v="FEDC156014  "/>
    <n v="617088"/>
    <x v="3"/>
    <n v="40"/>
    <d v="2025-12-19T00:00:00"/>
    <d v="2026-01-18T00:00:00"/>
    <x v="35"/>
    <x v="12"/>
    <s v="0    "/>
    <s v="3212393367                    "/>
    <n v="15"/>
  </r>
  <r>
    <s v="202601"/>
    <s v="45530013            "/>
    <x v="213"/>
    <x v="60"/>
    <s v="FEDC155933  "/>
    <n v="659484"/>
    <x v="3"/>
    <n v="40"/>
    <d v="2025-12-19T00:00:00"/>
    <d v="2026-01-18T00:00:00"/>
    <x v="9"/>
    <x v="1"/>
    <s v="0    "/>
    <s v="3104595450 -3113771327        "/>
    <n v="30"/>
  </r>
  <r>
    <s v="202601"/>
    <s v="78032182            "/>
    <x v="214"/>
    <x v="60"/>
    <s v="FEDC155936  "/>
    <n v="14159283"/>
    <x v="3"/>
    <n v="40"/>
    <d v="2025-12-19T00:00:00"/>
    <d v="2026-01-18T00:00:00"/>
    <x v="9"/>
    <x v="1"/>
    <s v="0    "/>
    <s v="3205713141 -3148890308        "/>
    <n v="30"/>
  </r>
  <r>
    <s v="202601"/>
    <s v="1026569148          "/>
    <x v="196"/>
    <x v="60"/>
    <s v="FEDC155937  "/>
    <n v="1480000"/>
    <x v="3"/>
    <n v="40"/>
    <d v="2025-12-19T00:00:00"/>
    <d v="2026-01-18T00:00:00"/>
    <x v="9"/>
    <x v="1"/>
    <s v="0    "/>
    <s v="3135069525     "/>
    <n v="30"/>
  </r>
  <r>
    <s v="202601"/>
    <s v="1036422731          "/>
    <x v="112"/>
    <x v="12"/>
    <s v="FEDC155940  "/>
    <n v="5460347"/>
    <x v="3"/>
    <n v="40"/>
    <d v="2025-12-19T00:00:00"/>
    <d v="2026-01-18T00:00:00"/>
    <x v="9"/>
    <x v="1"/>
    <s v="0    "/>
    <s v="3136876168                    "/>
    <n v="1"/>
  </r>
  <r>
    <s v="202601"/>
    <s v="1026569148          "/>
    <x v="196"/>
    <x v="60"/>
    <s v="FEDC155978  "/>
    <n v="5927425"/>
    <x v="3"/>
    <n v="40"/>
    <d v="2025-12-19T00:00:00"/>
    <d v="2026-01-18T00:00:00"/>
    <x v="9"/>
    <x v="1"/>
    <s v="0    "/>
    <s v="3135069525     "/>
    <n v="30"/>
  </r>
  <r>
    <s v="202601"/>
    <s v="901264229-0         "/>
    <x v="215"/>
    <x v="68"/>
    <s v="FEDC155998  "/>
    <n v="2652343"/>
    <x v="3"/>
    <n v="40"/>
    <d v="2025-12-19T00:00:00"/>
    <d v="2026-01-18T00:00:00"/>
    <x v="47"/>
    <x v="8"/>
    <s v="0    "/>
    <s v="3167390770                    "/>
    <n v="30"/>
  </r>
  <r>
    <s v="202601"/>
    <s v="901247382-8         "/>
    <x v="128"/>
    <x v="18"/>
    <s v="FEDC155994  "/>
    <n v="1555697"/>
    <x v="3"/>
    <n v="40"/>
    <d v="2025-12-19T00:00:00"/>
    <d v="2026-01-18T00:00:00"/>
    <x v="17"/>
    <x v="8"/>
    <s v="0    "/>
    <s v="3205493815                    "/>
    <n v="30"/>
  </r>
  <r>
    <s v="202601"/>
    <s v="1233341108-6        "/>
    <x v="216"/>
    <x v="18"/>
    <s v="FEDC156001  "/>
    <n v="1518711"/>
    <x v="3"/>
    <n v="40"/>
    <d v="2025-12-19T00:00:00"/>
    <d v="2026-01-18T00:00:00"/>
    <x v="17"/>
    <x v="8"/>
    <s v="0    "/>
    <s v="3137326911                    "/>
    <n v="30"/>
  </r>
  <r>
    <s v="202601"/>
    <s v="1                   "/>
    <x v="208"/>
    <x v="13"/>
    <s v="FEDC156003  "/>
    <n v="120000"/>
    <x v="5"/>
    <n v="40"/>
    <d v="2025-12-19T00:00:00"/>
    <d v="2025-12-20T00:00:00"/>
    <x v="17"/>
    <x v="8"/>
    <s v="0    "/>
    <s v=""/>
    <n v="1"/>
  </r>
  <r>
    <s v="202601"/>
    <s v="22041533            "/>
    <x v="162"/>
    <x v="3"/>
    <s v="FEDC155952  "/>
    <n v="653602"/>
    <x v="3"/>
    <n v="40"/>
    <d v="2025-12-19T00:00:00"/>
    <d v="2026-01-18T00:00:00"/>
    <x v="2"/>
    <x v="9"/>
    <s v="0    "/>
    <s v="3217615388     "/>
    <n v="30"/>
  </r>
  <r>
    <s v="202601"/>
    <s v="22041533            "/>
    <x v="162"/>
    <x v="3"/>
    <s v="FEDC155983  "/>
    <n v="848000"/>
    <x v="3"/>
    <n v="40"/>
    <d v="2025-12-19T00:00:00"/>
    <d v="2026-01-18T00:00:00"/>
    <x v="2"/>
    <x v="9"/>
    <s v="0    "/>
    <s v="3217615388     "/>
    <n v="30"/>
  </r>
  <r>
    <s v="202601"/>
    <s v="43474894            "/>
    <x v="124"/>
    <x v="61"/>
    <s v="FEDC155954  "/>
    <n v="3844038"/>
    <x v="3"/>
    <n v="40"/>
    <d v="2025-12-19T00:00:00"/>
    <d v="2026-01-18T00:00:00"/>
    <x v="26"/>
    <x v="9"/>
    <s v="0    "/>
    <s v="3127806146"/>
    <n v="30"/>
  </r>
  <r>
    <s v="202601"/>
    <s v="98599124            "/>
    <x v="92"/>
    <x v="28"/>
    <s v="FEDC155956  "/>
    <n v="1538474"/>
    <x v="3"/>
    <n v="40"/>
    <d v="2025-12-19T00:00:00"/>
    <d v="2026-01-18T00:00:00"/>
    <x v="26"/>
    <x v="9"/>
    <s v="0    "/>
    <s v="3117412176                    "/>
    <n v="1"/>
  </r>
  <r>
    <s v="202601"/>
    <s v="15304190            "/>
    <x v="217"/>
    <x v="37"/>
    <s v="FEDC156035  "/>
    <n v="676503"/>
    <x v="3"/>
    <n v="39"/>
    <d v="2025-12-20T00:00:00"/>
    <d v="2026-01-19T00:00:00"/>
    <x v="18"/>
    <x v="13"/>
    <s v="0    "/>
    <s v=""/>
    <n v="30"/>
  </r>
  <r>
    <s v="202601"/>
    <s v="98654169            "/>
    <x v="218"/>
    <x v="13"/>
    <s v="FEDC156038  "/>
    <n v="1061214"/>
    <x v="3"/>
    <n v="39"/>
    <d v="2025-12-20T00:00:00"/>
    <d v="2026-01-19T00:00:00"/>
    <x v="18"/>
    <x v="13"/>
    <s v="0    "/>
    <s v="3113235407                    "/>
    <n v="30"/>
  </r>
  <r>
    <s v="202601"/>
    <s v="1038112989          "/>
    <x v="150"/>
    <x v="37"/>
    <s v="FEDC156040  "/>
    <n v="374597"/>
    <x v="3"/>
    <n v="39"/>
    <d v="2025-12-20T00:00:00"/>
    <d v="2026-01-19T00:00:00"/>
    <x v="18"/>
    <x v="13"/>
    <s v="0    "/>
    <s v="3135912628     "/>
    <n v="30"/>
  </r>
  <r>
    <s v="202601"/>
    <s v="1038112989          "/>
    <x v="150"/>
    <x v="37"/>
    <s v="FEDC156041  "/>
    <n v="6979729"/>
    <x v="3"/>
    <n v="39"/>
    <d v="2025-12-20T00:00:00"/>
    <d v="2026-01-19T00:00:00"/>
    <x v="18"/>
    <x v="13"/>
    <s v="0    "/>
    <s v="3135912628     "/>
    <n v="30"/>
  </r>
  <r>
    <s v="202601"/>
    <s v="8374032             "/>
    <x v="219"/>
    <x v="13"/>
    <s v="FEDC156043  "/>
    <n v="7270655"/>
    <x v="3"/>
    <n v="39"/>
    <d v="2025-12-20T00:00:00"/>
    <d v="2026-01-19T00:00:00"/>
    <x v="18"/>
    <x v="13"/>
    <s v="0    "/>
    <s v="3145644503-323243142          "/>
    <n v="30"/>
  </r>
  <r>
    <s v="202601"/>
    <s v="70142980            "/>
    <x v="220"/>
    <x v="37"/>
    <s v="FEDC156049  "/>
    <n v="12708959"/>
    <x v="3"/>
    <n v="39"/>
    <d v="2025-12-20T00:00:00"/>
    <d v="2026-01-19T00:00:00"/>
    <x v="18"/>
    <x v="15"/>
    <s v="0    "/>
    <s v="8393030                       "/>
    <n v="30"/>
  </r>
  <r>
    <s v="202601"/>
    <s v="70142980            "/>
    <x v="220"/>
    <x v="37"/>
    <s v="FEDC156050  "/>
    <n v="9984000"/>
    <x v="3"/>
    <n v="39"/>
    <d v="2025-12-20T00:00:00"/>
    <d v="2026-01-19T00:00:00"/>
    <x v="18"/>
    <x v="15"/>
    <s v="0    "/>
    <s v="8393030                       "/>
    <n v="30"/>
  </r>
  <r>
    <s v="202601"/>
    <s v="901816917-1         "/>
    <x v="221"/>
    <x v="22"/>
    <s v="FEDC156067  "/>
    <n v="7932650"/>
    <x v="3"/>
    <n v="39"/>
    <d v="2025-12-20T00:00:00"/>
    <d v="2026-01-19T00:00:00"/>
    <x v="14"/>
    <x v="4"/>
    <s v="0    "/>
    <s v="3233996696                    "/>
    <n v="30"/>
  </r>
  <r>
    <s v="202601"/>
    <s v="901816917-1         "/>
    <x v="221"/>
    <x v="22"/>
    <s v="FEDC156068  "/>
    <n v="1386679"/>
    <x v="3"/>
    <n v="39"/>
    <d v="2025-12-20T00:00:00"/>
    <d v="2026-01-19T00:00:00"/>
    <x v="14"/>
    <x v="5"/>
    <s v="0    "/>
    <s v="3233996696                    "/>
    <n v="30"/>
  </r>
  <r>
    <s v="202601"/>
    <s v="901816917-1         "/>
    <x v="221"/>
    <x v="22"/>
    <s v="FEDC156069  "/>
    <n v="2861100"/>
    <x v="3"/>
    <n v="39"/>
    <d v="2025-12-20T00:00:00"/>
    <d v="2026-01-19T00:00:00"/>
    <x v="14"/>
    <x v="15"/>
    <s v="0    "/>
    <s v="3233996696                    "/>
    <n v="30"/>
  </r>
  <r>
    <s v="202601"/>
    <s v="901816917-1         "/>
    <x v="221"/>
    <x v="22"/>
    <s v="FEDC156070  "/>
    <n v="8951440"/>
    <x v="3"/>
    <n v="39"/>
    <d v="2025-12-20T00:00:00"/>
    <d v="2026-01-19T00:00:00"/>
    <x v="14"/>
    <x v="4"/>
    <s v="0    "/>
    <s v="3233996696                    "/>
    <n v="30"/>
  </r>
  <r>
    <s v="202601"/>
    <s v="98476403            "/>
    <x v="222"/>
    <x v="25"/>
    <s v="FEDC156051  "/>
    <n v="665844"/>
    <x v="3"/>
    <n v="39"/>
    <d v="2025-12-20T00:00:00"/>
    <d v="2026-01-19T00:00:00"/>
    <x v="16"/>
    <x v="4"/>
    <s v="0    "/>
    <s v="3216084912 -3207680191        "/>
    <n v="30"/>
  </r>
  <r>
    <s v="202601"/>
    <s v="1002066668          "/>
    <x v="211"/>
    <x v="25"/>
    <s v="FEDC156057  "/>
    <n v="2280604"/>
    <x v="3"/>
    <n v="39"/>
    <d v="2025-12-20T00:00:00"/>
    <d v="2026-01-19T00:00:00"/>
    <x v="16"/>
    <x v="4"/>
    <s v="0    "/>
    <s v="3122718636-3194510198         "/>
    <n v="30"/>
  </r>
  <r>
    <s v="202601"/>
    <s v="901871276-0         "/>
    <x v="223"/>
    <x v="25"/>
    <s v="FEDC156058  "/>
    <n v="1183302"/>
    <x v="3"/>
    <n v="39"/>
    <d v="2025-12-20T00:00:00"/>
    <d v="2026-01-19T00:00:00"/>
    <x v="16"/>
    <x v="4"/>
    <s v="0    "/>
    <s v="3145691266                    "/>
    <n v="30"/>
  </r>
  <r>
    <s v="202601"/>
    <s v="43693040            "/>
    <x v="224"/>
    <x v="21"/>
    <s v="FEDC156060  "/>
    <n v="818759"/>
    <x v="3"/>
    <n v="39"/>
    <d v="2025-12-20T00:00:00"/>
    <d v="2026-01-19T00:00:00"/>
    <x v="16"/>
    <x v="4"/>
    <s v="0    "/>
    <s v="3235082460                    "/>
    <n v="30"/>
  </r>
  <r>
    <s v="202601"/>
    <s v="22243725            "/>
    <x v="225"/>
    <x v="25"/>
    <s v="FEDC156062  "/>
    <n v="2145228"/>
    <x v="3"/>
    <n v="39"/>
    <d v="2025-12-20T00:00:00"/>
    <d v="2026-01-19T00:00:00"/>
    <x v="16"/>
    <x v="4"/>
    <s v="0    "/>
    <s v="3143929658                    "/>
    <n v="30"/>
  </r>
  <r>
    <s v="202601"/>
    <s v="22243725            "/>
    <x v="225"/>
    <x v="25"/>
    <s v="FEDC156063  "/>
    <n v="850000"/>
    <x v="3"/>
    <n v="39"/>
    <d v="2025-12-20T00:00:00"/>
    <d v="2026-01-19T00:00:00"/>
    <x v="16"/>
    <x v="4"/>
    <s v="0    "/>
    <s v="3143929658                    "/>
    <n v="30"/>
  </r>
  <r>
    <s v="202601"/>
    <s v="1002066668          "/>
    <x v="211"/>
    <x v="25"/>
    <s v="FEDC156047  "/>
    <n v="862742"/>
    <x v="3"/>
    <n v="39"/>
    <d v="2025-12-20T00:00:00"/>
    <d v="2026-01-19T00:00:00"/>
    <x v="24"/>
    <x v="5"/>
    <s v="0    "/>
    <s v="3122718636-3194510198         "/>
    <n v="30"/>
  </r>
  <r>
    <s v="202601"/>
    <s v="15047058            "/>
    <x v="226"/>
    <x v="37"/>
    <s v="FEDC156097  "/>
    <n v="831808"/>
    <x v="3"/>
    <n v="37"/>
    <d v="2025-12-22T00:00:00"/>
    <d v="2026-01-21T00:00:00"/>
    <x v="18"/>
    <x v="13"/>
    <s v="0    "/>
    <s v="3226993920     "/>
    <n v="30"/>
  </r>
  <r>
    <s v="202601"/>
    <s v="15030463            "/>
    <x v="227"/>
    <x v="37"/>
    <s v="FEDC156099  "/>
    <n v="511207"/>
    <x v="3"/>
    <n v="37"/>
    <d v="2025-12-22T00:00:00"/>
    <d v="2026-01-21T00:00:00"/>
    <x v="18"/>
    <x v="13"/>
    <s v="0    "/>
    <s v="3185068224     "/>
    <n v="30"/>
  </r>
  <r>
    <s v="202601"/>
    <s v="43786215            "/>
    <x v="228"/>
    <x v="13"/>
    <s v="FEDC156100  "/>
    <n v="518800"/>
    <x v="3"/>
    <n v="37"/>
    <d v="2025-12-22T00:00:00"/>
    <d v="2026-01-21T00:00:00"/>
    <x v="18"/>
    <x v="13"/>
    <s v="0    "/>
    <s v="3183468239     "/>
    <n v="30"/>
  </r>
  <r>
    <s v="202601"/>
    <s v="15047058            "/>
    <x v="226"/>
    <x v="37"/>
    <s v="FEDC156139  "/>
    <n v="330010"/>
    <x v="3"/>
    <n v="37"/>
    <d v="2025-12-22T00:00:00"/>
    <d v="2026-01-21T00:00:00"/>
    <x v="18"/>
    <x v="13"/>
    <s v="0    "/>
    <s v="3226993920     "/>
    <n v="30"/>
  </r>
  <r>
    <s v="202601"/>
    <s v="70142980            "/>
    <x v="220"/>
    <x v="37"/>
    <s v="FEDC156173  "/>
    <n v="8125634"/>
    <x v="3"/>
    <n v="37"/>
    <d v="2025-12-22T00:00:00"/>
    <d v="2026-01-21T00:00:00"/>
    <x v="18"/>
    <x v="11"/>
    <s v="0    "/>
    <s v="8393030                       "/>
    <n v="30"/>
  </r>
  <r>
    <s v="202601"/>
    <s v="1045426219          "/>
    <x v="229"/>
    <x v="31"/>
    <s v="FEDC156157  "/>
    <n v="745217"/>
    <x v="3"/>
    <n v="37"/>
    <d v="2025-12-22T00:00:00"/>
    <d v="2026-01-21T00:00:00"/>
    <x v="10"/>
    <x v="5"/>
    <s v="0    "/>
    <s v="3104709144     "/>
    <n v="30"/>
  </r>
  <r>
    <s v="202601"/>
    <s v="1040499122          "/>
    <x v="230"/>
    <x v="77"/>
    <s v="FEDC156127  "/>
    <n v="5579058"/>
    <x v="3"/>
    <n v="37"/>
    <d v="2025-12-22T00:00:00"/>
    <d v="2026-01-21T00:00:00"/>
    <x v="12"/>
    <x v="4"/>
    <s v="0    "/>
    <s v="3197296033 - 3023024694       "/>
    <n v="30"/>
  </r>
  <r>
    <s v="202601"/>
    <s v="1040499122          "/>
    <x v="230"/>
    <x v="77"/>
    <s v="FEDC156129  "/>
    <n v="2183961"/>
    <x v="3"/>
    <n v="37"/>
    <d v="2025-12-22T00:00:00"/>
    <d v="2026-01-21T00:00:00"/>
    <x v="12"/>
    <x v="4"/>
    <s v="0    "/>
    <s v="3197296033 - 3023024694       "/>
    <n v="30"/>
  </r>
  <r>
    <s v="202601"/>
    <s v="1040499122          "/>
    <x v="230"/>
    <x v="77"/>
    <s v="FEDC156130  "/>
    <n v="1618000"/>
    <x v="3"/>
    <n v="37"/>
    <d v="2025-12-22T00:00:00"/>
    <d v="2026-01-21T00:00:00"/>
    <x v="12"/>
    <x v="4"/>
    <s v="0    "/>
    <s v="3197296033 - 3023024694       "/>
    <n v="30"/>
  </r>
  <r>
    <s v="202601"/>
    <s v="78106019            "/>
    <x v="231"/>
    <x v="78"/>
    <s v="FEVM43706   "/>
    <n v="903818"/>
    <x v="3"/>
    <n v="37"/>
    <d v="2025-12-22T00:00:00"/>
    <d v="2026-01-21T00:00:00"/>
    <x v="22"/>
    <x v="10"/>
    <s v="0    "/>
    <s v="3126864497                    "/>
    <n v="30"/>
  </r>
  <r>
    <s v="202601"/>
    <s v="78106019            "/>
    <x v="231"/>
    <x v="78"/>
    <s v="FEVM43719   "/>
    <n v="2234066"/>
    <x v="3"/>
    <n v="37"/>
    <d v="2025-12-22T00:00:00"/>
    <d v="2026-01-21T00:00:00"/>
    <x v="22"/>
    <x v="10"/>
    <s v="0    "/>
    <s v="3126864497                    "/>
    <n v="30"/>
  </r>
  <r>
    <s v="202601"/>
    <s v="78113896            "/>
    <x v="232"/>
    <x v="19"/>
    <s v="FEVM43759   "/>
    <n v="535103"/>
    <x v="3"/>
    <n v="37"/>
    <d v="2025-12-22T00:00:00"/>
    <d v="2026-01-21T00:00:00"/>
    <x v="22"/>
    <x v="10"/>
    <s v="0    "/>
    <s v="3006233938                    "/>
    <n v="30"/>
  </r>
  <r>
    <s v="202601"/>
    <s v="1066270216          "/>
    <x v="233"/>
    <x v="19"/>
    <s v="FEVM43763   "/>
    <n v="1204074"/>
    <x v="3"/>
    <n v="37"/>
    <d v="2025-12-22T00:00:00"/>
    <d v="2026-01-21T00:00:00"/>
    <x v="22"/>
    <x v="10"/>
    <s v="0    "/>
    <s v="3134923550                    "/>
    <n v="30"/>
  </r>
  <r>
    <s v="202601"/>
    <s v="78113894            "/>
    <x v="234"/>
    <x v="78"/>
    <s v="FEVM43767   "/>
    <n v="1242799"/>
    <x v="3"/>
    <n v="37"/>
    <d v="2025-12-22T00:00:00"/>
    <d v="2026-01-21T00:00:00"/>
    <x v="22"/>
    <x v="10"/>
    <s v="0    "/>
    <s v="3137710031                    "/>
    <n v="30"/>
  </r>
  <r>
    <s v="202601"/>
    <s v="1066524935          "/>
    <x v="169"/>
    <x v="19"/>
    <s v="FEVM43772   "/>
    <n v="495000"/>
    <x v="3"/>
    <n v="37"/>
    <d v="2025-12-22T00:00:00"/>
    <d v="2026-01-21T00:00:00"/>
    <x v="22"/>
    <x v="10"/>
    <s v="0    "/>
    <s v="3117567994                    "/>
    <n v="30"/>
  </r>
  <r>
    <s v="202601"/>
    <s v="50994786            "/>
    <x v="235"/>
    <x v="19"/>
    <s v="FEVM43777   "/>
    <n v="198009"/>
    <x v="3"/>
    <n v="37"/>
    <d v="2025-12-22T00:00:00"/>
    <d v="2026-01-21T00:00:00"/>
    <x v="22"/>
    <x v="10"/>
    <s v="0    "/>
    <s v="3136427693 - 3217353632       "/>
    <n v="30"/>
  </r>
  <r>
    <s v="202601"/>
    <s v="70696568            "/>
    <x v="236"/>
    <x v="78"/>
    <s v="FEVM43779   "/>
    <n v="1730950"/>
    <x v="3"/>
    <n v="37"/>
    <d v="2025-12-22T00:00:00"/>
    <d v="2026-01-21T00:00:00"/>
    <x v="22"/>
    <x v="10"/>
    <s v="0    "/>
    <s v="3114240949                    "/>
    <n v="30"/>
  </r>
  <r>
    <s v="202601"/>
    <s v="1063366355          "/>
    <x v="237"/>
    <x v="24"/>
    <s v="FEDC156160  "/>
    <n v="3370151"/>
    <x v="3"/>
    <n v="37"/>
    <d v="2025-12-22T00:00:00"/>
    <d v="2026-01-21T00:00:00"/>
    <x v="24"/>
    <x v="12"/>
    <s v="0    "/>
    <s v="3107516465                    "/>
    <n v="30"/>
  </r>
  <r>
    <s v="202601"/>
    <s v="901158992-9         "/>
    <x v="127"/>
    <x v="24"/>
    <s v="FEDC156161  "/>
    <n v="9679502"/>
    <x v="3"/>
    <n v="37"/>
    <d v="2025-12-22T00:00:00"/>
    <d v="2026-01-21T00:00:00"/>
    <x v="24"/>
    <x v="12"/>
    <s v="0    "/>
    <s v="3002863464 - 3013900884       "/>
    <n v="30"/>
  </r>
  <r>
    <s v="202601"/>
    <s v="901158992-9         "/>
    <x v="127"/>
    <x v="24"/>
    <s v="FEDC156162  "/>
    <n v="614800"/>
    <x v="3"/>
    <n v="37"/>
    <d v="2025-12-22T00:00:00"/>
    <d v="2026-01-21T00:00:00"/>
    <x v="24"/>
    <x v="12"/>
    <s v="0    "/>
    <s v="3002863464 - 3013900884       "/>
    <n v="30"/>
  </r>
  <r>
    <s v="202601"/>
    <s v="1045026065          "/>
    <x v="238"/>
    <x v="24"/>
    <s v="FEDC156164  "/>
    <n v="18618289"/>
    <x v="3"/>
    <n v="37"/>
    <d v="2025-12-22T00:00:00"/>
    <d v="2026-01-21T00:00:00"/>
    <x v="24"/>
    <x v="12"/>
    <s v="0    "/>
    <s v="3108220432                    "/>
    <n v="30"/>
  </r>
  <r>
    <s v="202601"/>
    <s v="901868532-0         "/>
    <x v="106"/>
    <x v="24"/>
    <s v="FEDC156165  "/>
    <n v="2896593"/>
    <x v="3"/>
    <n v="37"/>
    <d v="2025-12-22T00:00:00"/>
    <d v="2026-01-21T00:00:00"/>
    <x v="24"/>
    <x v="12"/>
    <s v="0    "/>
    <s v="3138778653                    "/>
    <n v="30"/>
  </r>
  <r>
    <s v="202601"/>
    <s v="901868532-0         "/>
    <x v="106"/>
    <x v="24"/>
    <s v="FEDC156171  "/>
    <n v="4980315"/>
    <x v="3"/>
    <n v="37"/>
    <d v="2025-12-22T00:00:00"/>
    <d v="2026-01-21T00:00:00"/>
    <x v="24"/>
    <x v="12"/>
    <s v="0    "/>
    <s v="3138778653                    "/>
    <n v="30"/>
  </r>
  <r>
    <s v="202601"/>
    <s v="901758127-9         "/>
    <x v="170"/>
    <x v="24"/>
    <s v="FEVM43782   "/>
    <n v="335445"/>
    <x v="3"/>
    <n v="37"/>
    <d v="2025-12-22T00:00:00"/>
    <d v="2026-01-21T00:00:00"/>
    <x v="24"/>
    <x v="12"/>
    <s v="0    "/>
    <s v="3107091608                    "/>
    <n v="30"/>
  </r>
  <r>
    <s v="202601"/>
    <s v="901758127-9         "/>
    <x v="170"/>
    <x v="24"/>
    <s v="FEVM43783   "/>
    <n v="5643651"/>
    <x v="3"/>
    <n v="37"/>
    <d v="2025-12-22T00:00:00"/>
    <d v="2026-01-21T00:00:00"/>
    <x v="24"/>
    <x v="12"/>
    <s v="0    "/>
    <s v="3107091608                    "/>
    <n v="30"/>
  </r>
  <r>
    <s v="202601"/>
    <s v="78382514            "/>
    <x v="132"/>
    <x v="15"/>
    <s v="FEDC156104  "/>
    <n v="2481962"/>
    <x v="3"/>
    <n v="37"/>
    <d v="2025-12-22T00:00:00"/>
    <d v="2026-01-21T00:00:00"/>
    <x v="19"/>
    <x v="9"/>
    <s v="0    "/>
    <s v="3012056316                    "/>
    <n v="30"/>
  </r>
  <r>
    <s v="202601"/>
    <s v="70691309            "/>
    <x v="93"/>
    <x v="15"/>
    <s v="FEDC156106  "/>
    <n v="776192"/>
    <x v="3"/>
    <n v="37"/>
    <d v="2025-12-22T00:00:00"/>
    <d v="2026-01-21T00:00:00"/>
    <x v="19"/>
    <x v="9"/>
    <s v="0    "/>
    <s v="3205719278     "/>
    <n v="30"/>
  </r>
  <r>
    <s v="202601"/>
    <s v="1037582300          "/>
    <x v="79"/>
    <x v="45"/>
    <s v="FEDC156107  "/>
    <n v="8559920"/>
    <x v="3"/>
    <n v="37"/>
    <d v="2025-12-22T00:00:00"/>
    <d v="2026-01-21T00:00:00"/>
    <x v="19"/>
    <x v="9"/>
    <s v="0    "/>
    <s v="3192610072     "/>
    <n v="30"/>
  </r>
  <r>
    <s v="202601"/>
    <s v="901795751-2         "/>
    <x v="239"/>
    <x v="15"/>
    <s v="FEDC156112  "/>
    <n v="1041648"/>
    <x v="3"/>
    <n v="37"/>
    <d v="2025-12-22T00:00:00"/>
    <d v="2026-01-21T00:00:00"/>
    <x v="19"/>
    <x v="9"/>
    <s v="0    "/>
    <s v="3006358840                    "/>
    <n v="30"/>
  </r>
  <r>
    <s v="202601"/>
    <s v="901795751-2         "/>
    <x v="239"/>
    <x v="15"/>
    <s v="FEDC156115  "/>
    <n v="1290000"/>
    <x v="3"/>
    <n v="37"/>
    <d v="2025-12-22T00:00:00"/>
    <d v="2026-01-21T00:00:00"/>
    <x v="19"/>
    <x v="9"/>
    <s v="0    "/>
    <s v="3006358840                    "/>
    <n v="30"/>
  </r>
  <r>
    <s v="202601"/>
    <s v="1003343990-0        "/>
    <x v="146"/>
    <x v="68"/>
    <s v="FEDC156147  "/>
    <n v="803904"/>
    <x v="3"/>
    <n v="37"/>
    <d v="2025-12-22T00:00:00"/>
    <d v="2026-01-21T00:00:00"/>
    <x v="47"/>
    <x v="8"/>
    <s v="0    "/>
    <s v="3008404870 7738877            "/>
    <n v="30"/>
  </r>
  <r>
    <s v="202601"/>
    <s v="1007461336          "/>
    <x v="240"/>
    <x v="68"/>
    <s v="FEDC156149  "/>
    <n v="2287255"/>
    <x v="3"/>
    <n v="37"/>
    <d v="2025-12-22T00:00:00"/>
    <d v="2026-01-21T00:00:00"/>
    <x v="47"/>
    <x v="8"/>
    <s v="0    "/>
    <s v="3184337340                    "/>
    <n v="30"/>
  </r>
  <r>
    <s v="202601"/>
    <s v="78711251            "/>
    <x v="241"/>
    <x v="18"/>
    <s v="FEDC156074  "/>
    <n v="43903"/>
    <x v="3"/>
    <n v="37"/>
    <d v="2025-12-22T00:00:00"/>
    <d v="2026-01-21T00:00:00"/>
    <x v="17"/>
    <x v="8"/>
    <s v="0    "/>
    <s v="3106701483                    "/>
    <n v="1"/>
  </r>
  <r>
    <s v="202601"/>
    <s v="1067927754          "/>
    <x v="242"/>
    <x v="18"/>
    <s v="FEDC156075  "/>
    <n v="1999988"/>
    <x v="3"/>
    <n v="37"/>
    <d v="2025-12-22T00:00:00"/>
    <d v="2026-01-21T00:00:00"/>
    <x v="17"/>
    <x v="8"/>
    <s v="0    "/>
    <s v="3013657333 -7816909           "/>
    <n v="30"/>
  </r>
  <r>
    <s v="202601"/>
    <s v="34994357-1          "/>
    <x v="94"/>
    <x v="14"/>
    <s v="FEDC156137  "/>
    <n v="3157339"/>
    <x v="3"/>
    <n v="37"/>
    <d v="2025-12-22T00:00:00"/>
    <d v="2026-01-21T00:00:00"/>
    <x v="17"/>
    <x v="8"/>
    <s v="0    "/>
    <s v="3187948834                    "/>
    <n v="30"/>
  </r>
  <r>
    <s v="202601"/>
    <s v="3497025             "/>
    <x v="243"/>
    <x v="79"/>
    <s v="FEDC156144  "/>
    <n v="639664"/>
    <x v="3"/>
    <n v="37"/>
    <d v="2025-12-22T00:00:00"/>
    <d v="2026-01-21T00:00:00"/>
    <x v="50"/>
    <x v="8"/>
    <s v="0    "/>
    <s v="7642813 -3216807619           "/>
    <n v="30"/>
  </r>
  <r>
    <s v="202601"/>
    <s v="3497025             "/>
    <x v="243"/>
    <x v="79"/>
    <s v="FEDC156146  "/>
    <n v="1267155"/>
    <x v="3"/>
    <n v="37"/>
    <d v="2025-12-22T00:00:00"/>
    <d v="2026-01-21T00:00:00"/>
    <x v="50"/>
    <x v="8"/>
    <s v="0    "/>
    <s v="7642813 -3216807619           "/>
    <n v="30"/>
  </r>
  <r>
    <s v="202601"/>
    <s v="70694116            "/>
    <x v="244"/>
    <x v="40"/>
    <s v="FEDC156105  "/>
    <n v="3774031"/>
    <x v="3"/>
    <n v="37"/>
    <d v="2025-12-22T00:00:00"/>
    <d v="2026-01-21T00:00:00"/>
    <x v="36"/>
    <x v="9"/>
    <s v="0    "/>
    <s v="3145314051     "/>
    <n v="30"/>
  </r>
  <r>
    <s v="202601"/>
    <s v="10902348            "/>
    <x v="134"/>
    <x v="40"/>
    <s v="FEDC156117  "/>
    <n v="1708009"/>
    <x v="3"/>
    <n v="37"/>
    <d v="2025-12-22T00:00:00"/>
    <d v="2026-01-21T00:00:00"/>
    <x v="36"/>
    <x v="9"/>
    <s v="0    "/>
    <s v="3015516071     "/>
    <n v="30"/>
  </r>
  <r>
    <s v="202601"/>
    <s v="70694116            "/>
    <x v="244"/>
    <x v="40"/>
    <s v="FEDC156118  "/>
    <n v="234092"/>
    <x v="3"/>
    <n v="37"/>
    <d v="2025-12-22T00:00:00"/>
    <d v="2026-01-21T00:00:00"/>
    <x v="36"/>
    <x v="9"/>
    <s v="0    "/>
    <s v="3145314051     "/>
    <n v="30"/>
  </r>
  <r>
    <s v="202601"/>
    <s v="32116683            "/>
    <x v="245"/>
    <x v="80"/>
    <s v="FEDC156088  "/>
    <n v="703603"/>
    <x v="3"/>
    <n v="37"/>
    <d v="2025-12-22T00:00:00"/>
    <d v="2026-01-21T00:00:00"/>
    <x v="21"/>
    <x v="1"/>
    <s v="0    "/>
    <s v="312 812 7966"/>
    <n v="0"/>
  </r>
  <r>
    <s v="202601"/>
    <s v="21592331            "/>
    <x v="246"/>
    <x v="17"/>
    <s v="FEDC156089  "/>
    <n v="1474247"/>
    <x v="3"/>
    <n v="37"/>
    <d v="2025-12-22T00:00:00"/>
    <d v="2026-01-21T00:00:00"/>
    <x v="21"/>
    <x v="1"/>
    <s v="0    "/>
    <s v="3206702607                    "/>
    <n v="30"/>
  </r>
  <r>
    <s v="202601"/>
    <s v="1037582300          "/>
    <x v="79"/>
    <x v="45"/>
    <s v="FEDC156110  "/>
    <n v="1820895"/>
    <x v="3"/>
    <n v="37"/>
    <d v="2025-12-22T00:00:00"/>
    <d v="2026-01-21T00:00:00"/>
    <x v="30"/>
    <x v="9"/>
    <s v="0    "/>
    <s v="3192610072     "/>
    <n v="30"/>
  </r>
  <r>
    <s v="202601"/>
    <s v="1037582300          "/>
    <x v="79"/>
    <x v="45"/>
    <s v="FEDC156111  "/>
    <n v="1450000"/>
    <x v="3"/>
    <n v="37"/>
    <d v="2025-12-22T00:00:00"/>
    <d v="2026-01-21T00:00:00"/>
    <x v="30"/>
    <x v="9"/>
    <s v="0    "/>
    <s v="3192610072     "/>
    <n v="30"/>
  </r>
  <r>
    <s v="202601"/>
    <s v="15073132            "/>
    <x v="247"/>
    <x v="45"/>
    <s v="FEDC156114  "/>
    <n v="2606471"/>
    <x v="3"/>
    <n v="37"/>
    <d v="2025-12-22T00:00:00"/>
    <d v="2026-01-21T00:00:00"/>
    <x v="30"/>
    <x v="9"/>
    <s v="0    "/>
    <s v="3106468005                    "/>
    <n v="30"/>
  </r>
  <r>
    <s v="202601"/>
    <s v="9020231             "/>
    <x v="85"/>
    <x v="45"/>
    <s v="FEDC156116  "/>
    <n v="1639440"/>
    <x v="3"/>
    <n v="37"/>
    <d v="2025-12-22T00:00:00"/>
    <d v="2026-01-21T00:00:00"/>
    <x v="30"/>
    <x v="9"/>
    <s v="0    "/>
    <s v="3118875212                    "/>
    <n v="1"/>
  </r>
  <r>
    <s v="202601"/>
    <s v="78768332            "/>
    <x v="135"/>
    <x v="51"/>
    <s v="FEDC156142  "/>
    <n v="828393"/>
    <x v="3"/>
    <n v="37"/>
    <d v="2025-12-22T00:00:00"/>
    <d v="2026-01-21T00:00:00"/>
    <x v="30"/>
    <x v="9"/>
    <s v="0    "/>
    <s v="3123294774                    "/>
    <n v="30"/>
  </r>
  <r>
    <s v="202601"/>
    <s v="78768332            "/>
    <x v="135"/>
    <x v="51"/>
    <s v="FEDC156143  "/>
    <n v="214000"/>
    <x v="3"/>
    <n v="37"/>
    <d v="2025-12-22T00:00:00"/>
    <d v="2026-01-21T00:00:00"/>
    <x v="30"/>
    <x v="9"/>
    <s v="0    "/>
    <s v="3123294774                    "/>
    <n v="30"/>
  </r>
  <r>
    <s v="202601"/>
    <s v="1037582300          "/>
    <x v="79"/>
    <x v="45"/>
    <s v="FEDC156148  "/>
    <n v="12025031"/>
    <x v="3"/>
    <n v="37"/>
    <d v="2025-12-22T00:00:00"/>
    <d v="2026-01-21T00:00:00"/>
    <x v="30"/>
    <x v="9"/>
    <s v="0    "/>
    <s v="3192610072     "/>
    <n v="30"/>
  </r>
  <r>
    <s v="202601"/>
    <s v="1037582300          "/>
    <x v="79"/>
    <x v="45"/>
    <s v="FEDC156172  "/>
    <n v="2207135"/>
    <x v="3"/>
    <n v="37"/>
    <d v="2025-12-22T00:00:00"/>
    <d v="2026-01-21T00:00:00"/>
    <x v="30"/>
    <x v="9"/>
    <s v="0    "/>
    <s v="3192610072     "/>
    <n v="30"/>
  </r>
  <r>
    <s v="202601"/>
    <s v="15047058            "/>
    <x v="226"/>
    <x v="37"/>
    <s v="FEDC156174  "/>
    <n v="381619"/>
    <x v="3"/>
    <n v="36"/>
    <d v="2025-12-23T00:00:00"/>
    <d v="2026-01-22T00:00:00"/>
    <x v="18"/>
    <x v="13"/>
    <s v="0    "/>
    <s v="3226993920     "/>
    <n v="30"/>
  </r>
  <r>
    <s v="202601"/>
    <s v="1038138066          "/>
    <x v="248"/>
    <x v="13"/>
    <s v="FEDC156177  "/>
    <n v="2120000"/>
    <x v="3"/>
    <n v="36"/>
    <d v="2025-12-23T00:00:00"/>
    <d v="2026-01-22T00:00:00"/>
    <x v="18"/>
    <x v="13"/>
    <s v="0    "/>
    <s v="3114279212     "/>
    <n v="30"/>
  </r>
  <r>
    <s v="202601"/>
    <s v="1038138066          "/>
    <x v="248"/>
    <x v="13"/>
    <s v="FEDC156178  "/>
    <n v="82795"/>
    <x v="3"/>
    <n v="36"/>
    <d v="2025-12-23T00:00:00"/>
    <d v="2026-01-22T00:00:00"/>
    <x v="18"/>
    <x v="13"/>
    <s v="0    "/>
    <s v="3114279212     "/>
    <n v="30"/>
  </r>
  <r>
    <s v="202601"/>
    <s v="15030463            "/>
    <x v="227"/>
    <x v="37"/>
    <s v="FEDC156179  "/>
    <n v="1191056"/>
    <x v="3"/>
    <n v="36"/>
    <d v="2025-12-23T00:00:00"/>
    <d v="2026-01-22T00:00:00"/>
    <x v="18"/>
    <x v="13"/>
    <s v="0    "/>
    <s v="3185068224     "/>
    <n v="30"/>
  </r>
  <r>
    <s v="202601"/>
    <s v="15030463            "/>
    <x v="227"/>
    <x v="37"/>
    <s v="FEDC156180  "/>
    <n v="2074900"/>
    <x v="3"/>
    <n v="36"/>
    <d v="2025-12-23T00:00:00"/>
    <d v="2026-01-22T00:00:00"/>
    <x v="18"/>
    <x v="13"/>
    <s v="0    "/>
    <s v="3185068224     "/>
    <n v="30"/>
  </r>
  <r>
    <s v="202601"/>
    <s v="15047058            "/>
    <x v="226"/>
    <x v="37"/>
    <s v="FEDC156181  "/>
    <n v="327000"/>
    <x v="3"/>
    <n v="36"/>
    <d v="2025-12-23T00:00:00"/>
    <d v="2026-01-22T00:00:00"/>
    <x v="18"/>
    <x v="13"/>
    <s v="0    "/>
    <s v="3226993920     "/>
    <n v="30"/>
  </r>
  <r>
    <s v="202601"/>
    <s v="32624344            "/>
    <x v="249"/>
    <x v="37"/>
    <s v="FEDC156183  "/>
    <n v="1160700"/>
    <x v="3"/>
    <n v="36"/>
    <d v="2025-12-23T00:00:00"/>
    <d v="2026-01-22T00:00:00"/>
    <x v="18"/>
    <x v="13"/>
    <s v="0    "/>
    <s v="33105051916                   "/>
    <n v="30"/>
  </r>
  <r>
    <s v="202601"/>
    <s v="1127958438          "/>
    <x v="159"/>
    <x v="13"/>
    <s v="FEDC156186  "/>
    <n v="1167080"/>
    <x v="3"/>
    <n v="36"/>
    <d v="2025-12-23T00:00:00"/>
    <d v="2026-01-22T00:00:00"/>
    <x v="18"/>
    <x v="13"/>
    <s v="0    "/>
    <s v="3204475005                    "/>
    <n v="30"/>
  </r>
  <r>
    <s v="202601"/>
    <s v="91521121            "/>
    <x v="204"/>
    <x v="13"/>
    <s v="FEDC156192  "/>
    <n v="8400000"/>
    <x v="3"/>
    <n v="36"/>
    <d v="2025-12-23T00:00:00"/>
    <d v="2026-01-22T00:00:00"/>
    <x v="18"/>
    <x v="13"/>
    <s v="0    "/>
    <s v="3206429252                    "/>
    <n v="30"/>
  </r>
  <r>
    <s v="202601"/>
    <s v="3442140             "/>
    <x v="250"/>
    <x v="81"/>
    <s v="FEDC156211  "/>
    <n v="1465319"/>
    <x v="3"/>
    <n v="36"/>
    <d v="2025-12-23T00:00:00"/>
    <d v="2026-01-22T00:00:00"/>
    <x v="18"/>
    <x v="1"/>
    <s v="0    "/>
    <s v="3218923274     "/>
    <n v="30"/>
  </r>
  <r>
    <s v="202601"/>
    <s v="43786215            "/>
    <x v="228"/>
    <x v="13"/>
    <s v="FEDC156263  "/>
    <n v="289000"/>
    <x v="3"/>
    <n v="36"/>
    <d v="2025-12-23T00:00:00"/>
    <d v="2026-01-22T00:00:00"/>
    <x v="18"/>
    <x v="13"/>
    <s v="0    "/>
    <s v="3183468239     "/>
    <n v="30"/>
  </r>
  <r>
    <s v="202601"/>
    <s v="1038129599          "/>
    <x v="251"/>
    <x v="13"/>
    <s v="FEDC156265  "/>
    <n v="1472265"/>
    <x v="3"/>
    <n v="36"/>
    <d v="2025-12-23T00:00:00"/>
    <d v="2026-01-22T00:00:00"/>
    <x v="18"/>
    <x v="13"/>
    <s v="0    "/>
    <s v="3208613025                    "/>
    <n v="30"/>
  </r>
  <r>
    <s v="202601"/>
    <s v="98654169            "/>
    <x v="218"/>
    <x v="13"/>
    <s v="FEDC156268  "/>
    <n v="2039934"/>
    <x v="3"/>
    <n v="36"/>
    <d v="2025-12-23T00:00:00"/>
    <d v="2026-01-22T00:00:00"/>
    <x v="18"/>
    <x v="13"/>
    <s v="0    "/>
    <s v="3113235407                    "/>
    <n v="30"/>
  </r>
  <r>
    <s v="202601"/>
    <s v="1127958438          "/>
    <x v="159"/>
    <x v="13"/>
    <s v="FEDC156271  "/>
    <n v="269999"/>
    <x v="3"/>
    <n v="36"/>
    <d v="2025-12-23T00:00:00"/>
    <d v="2026-01-22T00:00:00"/>
    <x v="18"/>
    <x v="13"/>
    <s v="0    "/>
    <s v="3204475005                    "/>
    <n v="30"/>
  </r>
  <r>
    <s v="202601"/>
    <s v="1038138797          "/>
    <x v="182"/>
    <x v="13"/>
    <s v="FEDC156272  "/>
    <n v="2120000"/>
    <x v="9"/>
    <n v="36"/>
    <d v="2025-12-23T00:00:00"/>
    <d v="2026-01-02T00:00:00"/>
    <x v="18"/>
    <x v="13"/>
    <s v="0    "/>
    <s v="3223117873                    "/>
    <n v="30"/>
  </r>
  <r>
    <s v="202601"/>
    <s v="15030463            "/>
    <x v="227"/>
    <x v="37"/>
    <s v="FEDC156278  "/>
    <n v="73199"/>
    <x v="3"/>
    <n v="36"/>
    <d v="2025-12-23T00:00:00"/>
    <d v="2026-01-22T00:00:00"/>
    <x v="18"/>
    <x v="13"/>
    <s v="0    "/>
    <s v="3185068224     "/>
    <n v="30"/>
  </r>
  <r>
    <s v="202601"/>
    <s v="15030463            "/>
    <x v="227"/>
    <x v="37"/>
    <s v="FEDC156299  "/>
    <n v="554397"/>
    <x v="3"/>
    <n v="36"/>
    <d v="2025-12-23T00:00:00"/>
    <d v="2026-01-22T00:00:00"/>
    <x v="18"/>
    <x v="13"/>
    <s v="0    "/>
    <s v="3185068224     "/>
    <n v="30"/>
  </r>
  <r>
    <s v="202601"/>
    <s v="70692127            "/>
    <x v="252"/>
    <x v="37"/>
    <s v="FEDC156300  "/>
    <n v="2934378"/>
    <x v="3"/>
    <n v="36"/>
    <d v="2025-12-23T00:00:00"/>
    <d v="2026-01-22T00:00:00"/>
    <x v="18"/>
    <x v="13"/>
    <s v="0    "/>
    <s v="3007388755 Andres -3148623512 "/>
    <n v="30"/>
  </r>
  <r>
    <s v="202601"/>
    <s v="8048692             "/>
    <x v="253"/>
    <x v="13"/>
    <s v="FEVM43789   "/>
    <n v="719362"/>
    <x v="3"/>
    <n v="36"/>
    <d v="2025-12-23T00:00:00"/>
    <d v="2026-01-22T00:00:00"/>
    <x v="18"/>
    <x v="10"/>
    <s v="0    "/>
    <s v="3148355602"/>
    <n v="30"/>
  </r>
  <r>
    <s v="202601"/>
    <s v="1038138066          "/>
    <x v="248"/>
    <x v="13"/>
    <s v="FEVM43863   "/>
    <n v="212000"/>
    <x v="3"/>
    <n v="36"/>
    <d v="2025-12-23T00:00:00"/>
    <d v="2026-01-22T00:00:00"/>
    <x v="18"/>
    <x v="13"/>
    <s v="0    "/>
    <s v="3114279212     "/>
    <n v="30"/>
  </r>
  <r>
    <s v="202601"/>
    <s v="15306102            "/>
    <x v="138"/>
    <x v="31"/>
    <s v="FEDC156202  "/>
    <n v="2765200"/>
    <x v="3"/>
    <n v="36"/>
    <d v="2025-12-23T00:00:00"/>
    <d v="2026-01-22T00:00:00"/>
    <x v="10"/>
    <x v="4"/>
    <s v="0    "/>
    <s v="3103720204                    "/>
    <n v="30"/>
  </r>
  <r>
    <s v="202601"/>
    <s v="15306102            "/>
    <x v="138"/>
    <x v="31"/>
    <s v="FEDC156203  "/>
    <n v="642333"/>
    <x v="3"/>
    <n v="36"/>
    <d v="2025-12-23T00:00:00"/>
    <d v="2026-01-22T00:00:00"/>
    <x v="10"/>
    <x v="4"/>
    <s v="0    "/>
    <s v="3103720204                    "/>
    <n v="30"/>
  </r>
  <r>
    <s v="202601"/>
    <s v="3424271             "/>
    <x v="137"/>
    <x v="53"/>
    <s v="FEDC156205  "/>
    <n v="1004776"/>
    <x v="3"/>
    <n v="36"/>
    <d v="2025-12-23T00:00:00"/>
    <d v="2026-01-22T00:00:00"/>
    <x v="10"/>
    <x v="4"/>
    <s v="0    "/>
    <s v="3137226788                    "/>
    <n v="30"/>
  </r>
  <r>
    <s v="202601"/>
    <s v="3424271             "/>
    <x v="137"/>
    <x v="53"/>
    <s v="FEDC156206  "/>
    <n v="1011800"/>
    <x v="3"/>
    <n v="36"/>
    <d v="2025-12-23T00:00:00"/>
    <d v="2026-01-22T00:00:00"/>
    <x v="10"/>
    <x v="4"/>
    <s v="0    "/>
    <s v="3137226788                    "/>
    <n v="30"/>
  </r>
  <r>
    <s v="202601"/>
    <s v="8039801             "/>
    <x v="254"/>
    <x v="2"/>
    <s v="FEDC156284  "/>
    <n v="1507729"/>
    <x v="3"/>
    <n v="36"/>
    <d v="2025-12-23T00:00:00"/>
    <d v="2026-01-22T00:00:00"/>
    <x v="1"/>
    <x v="12"/>
    <s v="0    "/>
    <s v="3137338262                    "/>
    <n v="30"/>
  </r>
  <r>
    <s v="202601"/>
    <s v="901972197           "/>
    <x v="255"/>
    <x v="1"/>
    <s v="FEDC156285  "/>
    <n v="893705"/>
    <x v="3"/>
    <n v="36"/>
    <d v="2025-12-23T00:00:00"/>
    <d v="2026-01-22T00:00:00"/>
    <x v="1"/>
    <x v="12"/>
    <s v="0    "/>
    <s v="3215776957                    "/>
    <n v="30"/>
  </r>
  <r>
    <s v="202601"/>
    <s v="78302612            "/>
    <x v="110"/>
    <x v="2"/>
    <s v="FEDC156287  "/>
    <n v="783173"/>
    <x v="3"/>
    <n v="36"/>
    <d v="2025-12-23T00:00:00"/>
    <d v="2026-01-22T00:00:00"/>
    <x v="1"/>
    <x v="12"/>
    <s v="0    "/>
    <s v="3126603940 -3041037151        "/>
    <n v="30"/>
  </r>
  <r>
    <s v="202601"/>
    <s v="78302612            "/>
    <x v="110"/>
    <x v="2"/>
    <s v="FEDC156288  "/>
    <n v="6014003"/>
    <x v="3"/>
    <n v="36"/>
    <d v="2025-12-23T00:00:00"/>
    <d v="2026-01-22T00:00:00"/>
    <x v="1"/>
    <x v="12"/>
    <s v="0    "/>
    <s v="3126603940 -3041037151        "/>
    <n v="30"/>
  </r>
  <r>
    <s v="202601"/>
    <s v="1047403252          "/>
    <x v="111"/>
    <x v="2"/>
    <s v="FEDC156289  "/>
    <n v="3630011"/>
    <x v="3"/>
    <n v="36"/>
    <d v="2025-12-23T00:00:00"/>
    <d v="2026-01-22T00:00:00"/>
    <x v="1"/>
    <x v="12"/>
    <s v="0    "/>
    <s v="3117322753 -7767418           "/>
    <n v="30"/>
  </r>
  <r>
    <s v="202601"/>
    <s v="1152210244          "/>
    <x v="62"/>
    <x v="1"/>
    <s v="FEDC156290  "/>
    <n v="693122"/>
    <x v="3"/>
    <n v="36"/>
    <d v="2025-12-23T00:00:00"/>
    <d v="2026-01-22T00:00:00"/>
    <x v="1"/>
    <x v="12"/>
    <s v="0    "/>
    <s v="3205555535                    "/>
    <n v="30"/>
  </r>
  <r>
    <s v="202601"/>
    <s v="92230646-9          "/>
    <x v="142"/>
    <x v="1"/>
    <s v="FEDC156291  "/>
    <n v="1923748"/>
    <x v="3"/>
    <n v="36"/>
    <d v="2025-12-23T00:00:00"/>
    <d v="2026-01-22T00:00:00"/>
    <x v="1"/>
    <x v="12"/>
    <s v="0    "/>
    <s v="3137991253                    "/>
    <n v="30"/>
  </r>
  <r>
    <s v="202601"/>
    <s v="78297325            "/>
    <x v="256"/>
    <x v="2"/>
    <s v="FEDC156292  "/>
    <n v="1376393"/>
    <x v="3"/>
    <n v="36"/>
    <d v="2025-12-23T00:00:00"/>
    <d v="2026-01-22T00:00:00"/>
    <x v="1"/>
    <x v="12"/>
    <s v="0    "/>
    <s v=""/>
    <n v="30"/>
  </r>
  <r>
    <s v="202601"/>
    <s v="901349219-3         "/>
    <x v="133"/>
    <x v="1"/>
    <s v="FEDC156301  "/>
    <n v="3796234"/>
    <x v="3"/>
    <n v="36"/>
    <d v="2025-12-23T00:00:00"/>
    <d v="2026-01-22T00:00:00"/>
    <x v="1"/>
    <x v="12"/>
    <s v="0    "/>
    <s v="3156264634- 7721444           "/>
    <n v="30"/>
  </r>
  <r>
    <s v="202601"/>
    <s v="1036422210          "/>
    <x v="257"/>
    <x v="23"/>
    <s v="FEDC156257  "/>
    <n v="1272000"/>
    <x v="3"/>
    <n v="36"/>
    <d v="2025-12-23T00:00:00"/>
    <d v="2026-01-22T00:00:00"/>
    <x v="23"/>
    <x v="4"/>
    <s v="0    "/>
    <s v="3148255825                    "/>
    <n v="30"/>
  </r>
  <r>
    <s v="202601"/>
    <s v="15304619            "/>
    <x v="86"/>
    <x v="4"/>
    <s v="FEDC156213  "/>
    <n v="224601"/>
    <x v="3"/>
    <n v="36"/>
    <d v="2025-12-23T00:00:00"/>
    <d v="2026-01-22T00:00:00"/>
    <x v="3"/>
    <x v="1"/>
    <s v="0    "/>
    <s v="3136304945 Cristian Indabur   "/>
    <n v="30"/>
  </r>
  <r>
    <s v="202601"/>
    <s v="15304619            "/>
    <x v="86"/>
    <x v="4"/>
    <s v="FEDC156214  "/>
    <n v="2140000"/>
    <x v="3"/>
    <n v="36"/>
    <d v="2025-12-23T00:00:00"/>
    <d v="2026-01-22T00:00:00"/>
    <x v="3"/>
    <x v="1"/>
    <s v="0    "/>
    <s v="3136304945 Cristian Indabur   "/>
    <n v="30"/>
  </r>
  <r>
    <s v="202601"/>
    <s v="901912553-3         "/>
    <x v="145"/>
    <x v="13"/>
    <s v="FEDC156219  "/>
    <n v="6935022"/>
    <x v="3"/>
    <n v="36"/>
    <d v="2025-12-23T00:00:00"/>
    <d v="2026-01-22T00:00:00"/>
    <x v="3"/>
    <x v="1"/>
    <s v="0    "/>
    <s v="3206269517                    "/>
    <n v="30"/>
  </r>
  <r>
    <s v="202601"/>
    <s v="14243446            "/>
    <x v="258"/>
    <x v="67"/>
    <s v="FEDC156221  "/>
    <n v="250983"/>
    <x v="3"/>
    <n v="36"/>
    <d v="2025-12-23T00:00:00"/>
    <d v="2026-01-22T00:00:00"/>
    <x v="3"/>
    <x v="1"/>
    <s v="0    "/>
    <s v="3165078204-3117125440         "/>
    <n v="30"/>
  </r>
  <r>
    <s v="202601"/>
    <s v="14243446            "/>
    <x v="258"/>
    <x v="67"/>
    <s v="FEDC156222  "/>
    <n v="3267078"/>
    <x v="3"/>
    <n v="36"/>
    <d v="2025-12-23T00:00:00"/>
    <d v="2026-01-22T00:00:00"/>
    <x v="3"/>
    <x v="1"/>
    <s v="0    "/>
    <s v="3165078204-3117125440         "/>
    <n v="30"/>
  </r>
  <r>
    <s v="202601"/>
    <s v="10770798            "/>
    <x v="259"/>
    <x v="4"/>
    <s v="FEDC156282  "/>
    <n v="4151197"/>
    <x v="3"/>
    <n v="36"/>
    <d v="2025-12-23T00:00:00"/>
    <d v="2026-01-22T00:00:00"/>
    <x v="3"/>
    <x v="1"/>
    <s v="1    "/>
    <s v="3108204786                    "/>
    <n v="30"/>
  </r>
  <r>
    <s v="202601"/>
    <s v="10770798            "/>
    <x v="259"/>
    <x v="4"/>
    <s v="FEDC156295  "/>
    <n v="714083"/>
    <x v="3"/>
    <n v="36"/>
    <d v="2025-12-23T00:00:00"/>
    <d v="2026-01-22T00:00:00"/>
    <x v="3"/>
    <x v="1"/>
    <s v="1    "/>
    <s v="3108204786                    "/>
    <n v="30"/>
  </r>
  <r>
    <s v="202601"/>
    <s v="43403646            "/>
    <x v="260"/>
    <x v="13"/>
    <s v="FEDC156308  "/>
    <n v="386200"/>
    <x v="3"/>
    <n v="35"/>
    <d v="2025-12-24T00:00:00"/>
    <d v="2026-01-23T00:00:00"/>
    <x v="18"/>
    <x v="13"/>
    <s v="0    "/>
    <s v="3016755296                    "/>
    <n v="30"/>
  </r>
  <r>
    <s v="202601"/>
    <s v="26880684            "/>
    <x v="261"/>
    <x v="13"/>
    <s v="FEDC156311  "/>
    <n v="265800"/>
    <x v="3"/>
    <n v="35"/>
    <d v="2025-12-24T00:00:00"/>
    <d v="2026-01-23T00:00:00"/>
    <x v="18"/>
    <x v="13"/>
    <s v="0    "/>
    <s v="3135884368                    "/>
    <n v="30"/>
  </r>
  <r>
    <s v="202601"/>
    <s v="8052366             "/>
    <x v="155"/>
    <x v="67"/>
    <s v="FEVM43873   "/>
    <n v="523660"/>
    <x v="3"/>
    <n v="35"/>
    <d v="2025-12-24T00:00:00"/>
    <d v="2026-01-23T00:00:00"/>
    <x v="18"/>
    <x v="1"/>
    <s v="0    "/>
    <s v="3216175857     "/>
    <n v="30"/>
  </r>
  <r>
    <s v="202601"/>
    <s v="49717314            "/>
    <x v="184"/>
    <x v="1"/>
    <s v="FEDC156305  "/>
    <n v="1828300"/>
    <x v="3"/>
    <n v="35"/>
    <d v="2025-12-24T00:00:00"/>
    <d v="2026-01-23T00:00:00"/>
    <x v="1"/>
    <x v="12"/>
    <s v="0    "/>
    <s v="3112216146                    "/>
    <n v="30"/>
  </r>
  <r>
    <s v="202601"/>
    <s v="901349219-3         "/>
    <x v="133"/>
    <x v="1"/>
    <s v="FEDC156306  "/>
    <n v="560722"/>
    <x v="3"/>
    <n v="35"/>
    <d v="2025-12-24T00:00:00"/>
    <d v="2026-01-23T00:00:00"/>
    <x v="1"/>
    <x v="15"/>
    <s v="0    "/>
    <s v="3156264634- 7721444           "/>
    <n v="30"/>
  </r>
  <r>
    <s v="202601"/>
    <s v="78301453            "/>
    <x v="262"/>
    <x v="2"/>
    <s v="FEDC156307  "/>
    <n v="1268351"/>
    <x v="3"/>
    <n v="35"/>
    <d v="2025-12-24T00:00:00"/>
    <d v="2026-01-23T00:00:00"/>
    <x v="1"/>
    <x v="15"/>
    <s v="0    "/>
    <s v="721821                        "/>
    <n v="30"/>
  </r>
  <r>
    <s v="202601"/>
    <s v="1036422210          "/>
    <x v="257"/>
    <x v="23"/>
    <s v="FEDC156321  "/>
    <n v="2545000"/>
    <x v="3"/>
    <n v="35"/>
    <d v="2025-12-24T00:00:00"/>
    <d v="2026-01-23T00:00:00"/>
    <x v="23"/>
    <x v="15"/>
    <s v="0    "/>
    <s v="3148255825                    "/>
    <n v="30"/>
  </r>
  <r>
    <s v="202601"/>
    <s v="901912553-3         "/>
    <x v="145"/>
    <x v="13"/>
    <s v="FEDC156318  "/>
    <n v="754609"/>
    <x v="3"/>
    <n v="35"/>
    <d v="2025-12-24T00:00:00"/>
    <d v="2026-01-23T00:00:00"/>
    <x v="3"/>
    <x v="1"/>
    <s v="0    "/>
    <s v="3206269517                    "/>
    <n v="30"/>
  </r>
  <r>
    <s v="202601"/>
    <s v="901912553-3         "/>
    <x v="145"/>
    <x v="13"/>
    <s v="FEDC156319  "/>
    <n v="1011500"/>
    <x v="3"/>
    <n v="35"/>
    <d v="2025-12-24T00:00:00"/>
    <d v="2026-01-23T00:00:00"/>
    <x v="3"/>
    <x v="1"/>
    <s v="0    "/>
    <s v="3206269517                    "/>
    <n v="30"/>
  </r>
  <r>
    <s v="202601"/>
    <s v="43699606            "/>
    <x v="263"/>
    <x v="4"/>
    <s v="FEDC156322  "/>
    <n v="685942"/>
    <x v="5"/>
    <n v="35"/>
    <d v="2025-12-24T00:00:00"/>
    <d v="2025-12-25T00:00:00"/>
    <x v="3"/>
    <x v="1"/>
    <s v="0    "/>
    <s v="3148371149 -8368328           "/>
    <n v="25"/>
  </r>
  <r>
    <s v="202601"/>
    <s v="11062614            "/>
    <x v="264"/>
    <x v="55"/>
    <s v="FEDC156323  "/>
    <n v="406000"/>
    <x v="3"/>
    <n v="35"/>
    <d v="2025-12-24T00:00:00"/>
    <d v="2026-01-23T00:00:00"/>
    <x v="42"/>
    <x v="9"/>
    <s v="0    "/>
    <s v="3205775787     "/>
    <n v="25"/>
  </r>
  <r>
    <s v="202601"/>
    <s v="13167526            "/>
    <x v="265"/>
    <x v="55"/>
    <s v="FEDC156327  "/>
    <n v="2697793"/>
    <x v="3"/>
    <n v="35"/>
    <d v="2025-12-24T00:00:00"/>
    <d v="2026-01-23T00:00:00"/>
    <x v="42"/>
    <x v="9"/>
    <s v="0    "/>
    <s v="3114015059                    "/>
    <n v="1"/>
  </r>
  <r>
    <s v="202601"/>
    <s v="1108764025          "/>
    <x v="156"/>
    <x v="55"/>
    <s v="FEDC156336  "/>
    <n v="96004"/>
    <x v="3"/>
    <n v="35"/>
    <d v="2025-12-24T00:00:00"/>
    <d v="2026-01-23T00:00:00"/>
    <x v="42"/>
    <x v="9"/>
    <s v="0    "/>
    <s v="3024374835                    "/>
    <n v="30"/>
  </r>
  <r>
    <s v="202601"/>
    <s v="1108764025          "/>
    <x v="156"/>
    <x v="55"/>
    <s v="FEDC156337  "/>
    <n v="10224144"/>
    <x v="3"/>
    <n v="35"/>
    <d v="2025-12-24T00:00:00"/>
    <d v="2026-01-23T00:00:00"/>
    <x v="42"/>
    <x v="9"/>
    <s v="0    "/>
    <s v="3024374835                    "/>
    <n v="30"/>
  </r>
  <r>
    <s v="202601"/>
    <s v="39301699-1          "/>
    <x v="136"/>
    <x v="65"/>
    <s v="FEDC156324  "/>
    <n v="2045181"/>
    <x v="3"/>
    <n v="35"/>
    <d v="2025-12-24T00:00:00"/>
    <d v="2026-01-23T00:00:00"/>
    <x v="45"/>
    <x v="9"/>
    <s v="0    "/>
    <s v="3127056442                    "/>
    <n v="30"/>
  </r>
  <r>
    <s v="202601"/>
    <s v="39301699-1          "/>
    <x v="136"/>
    <x v="65"/>
    <s v="FEDC156325  "/>
    <n v="508800"/>
    <x v="3"/>
    <n v="35"/>
    <d v="2025-12-24T00:00:00"/>
    <d v="2026-01-23T00:00:00"/>
    <x v="45"/>
    <x v="9"/>
    <s v="0    "/>
    <s v="3127056442                    "/>
    <n v="30"/>
  </r>
  <r>
    <s v="202601"/>
    <s v="15700424            "/>
    <x v="266"/>
    <x v="56"/>
    <s v="FEDC156328  "/>
    <n v="1066172"/>
    <x v="3"/>
    <n v="35"/>
    <d v="2025-12-24T00:00:00"/>
    <d v="2026-01-23T00:00:00"/>
    <x v="43"/>
    <x v="9"/>
    <s v="0    "/>
    <s v="3022732750                    "/>
    <n v="30"/>
  </r>
  <r>
    <s v="202601"/>
    <s v="50881295            "/>
    <x v="102"/>
    <x v="56"/>
    <s v="FEDC156329  "/>
    <n v="2591141"/>
    <x v="3"/>
    <n v="35"/>
    <d v="2025-12-24T00:00:00"/>
    <d v="2026-01-23T00:00:00"/>
    <x v="43"/>
    <x v="9"/>
    <s v="0    "/>
    <s v="3145338156     "/>
    <n v="30"/>
  </r>
  <r>
    <s v="202601"/>
    <s v="98654842            "/>
    <x v="267"/>
    <x v="13"/>
    <s v="FECT3216    "/>
    <n v="327600"/>
    <x v="3"/>
    <n v="33"/>
    <d v="2025-12-26T00:00:00"/>
    <d v="2026-01-25T00:00:00"/>
    <x v="18"/>
    <x v="13"/>
    <s v="0    "/>
    <s v="3209042070                    "/>
    <n v="30"/>
  </r>
  <r>
    <s v="202601"/>
    <s v="29117634            "/>
    <x v="268"/>
    <x v="82"/>
    <s v="FEDC156370  "/>
    <n v="1997606"/>
    <x v="3"/>
    <n v="33"/>
    <d v="2025-12-26T00:00:00"/>
    <d v="2026-01-25T00:00:00"/>
    <x v="18"/>
    <x v="1"/>
    <s v="0    "/>
    <s v="3217378928                    "/>
    <n v="30"/>
  </r>
  <r>
    <s v="202601"/>
    <s v="30566220            "/>
    <x v="269"/>
    <x v="42"/>
    <s v="FEDC156399  "/>
    <n v="595198"/>
    <x v="3"/>
    <n v="33"/>
    <d v="2025-12-26T00:00:00"/>
    <d v="2026-01-25T00:00:00"/>
    <x v="38"/>
    <x v="8"/>
    <s v="0    "/>
    <s v="3106324304     "/>
    <n v="30"/>
  </r>
  <r>
    <s v="202601"/>
    <s v="70693388            "/>
    <x v="270"/>
    <x v="42"/>
    <s v="FEDC156400  "/>
    <n v="1158718"/>
    <x v="3"/>
    <n v="33"/>
    <d v="2025-12-26T00:00:00"/>
    <d v="2026-01-25T00:00:00"/>
    <x v="38"/>
    <x v="8"/>
    <s v="0    "/>
    <s v="7777419 - 3145882079          "/>
    <n v="30"/>
  </r>
  <r>
    <s v="202601"/>
    <s v="10953882            "/>
    <x v="125"/>
    <x v="62"/>
    <s v="FEDC156385  "/>
    <n v="2436065"/>
    <x v="3"/>
    <n v="33"/>
    <d v="2025-12-26T00:00:00"/>
    <d v="2026-01-25T00:00:00"/>
    <x v="37"/>
    <x v="12"/>
    <s v="0    "/>
    <s v="3205413224                    "/>
    <n v="30"/>
  </r>
  <r>
    <s v="202601"/>
    <s v="26040349            "/>
    <x v="143"/>
    <x v="62"/>
    <s v="FEDC156386  "/>
    <n v="6536047"/>
    <x v="3"/>
    <n v="33"/>
    <d v="2025-12-26T00:00:00"/>
    <d v="2026-01-25T00:00:00"/>
    <x v="37"/>
    <x v="12"/>
    <s v="0    "/>
    <s v="3002625361                    "/>
    <n v="30"/>
  </r>
  <r>
    <s v="202601"/>
    <s v="26040349            "/>
    <x v="143"/>
    <x v="62"/>
    <s v="FEDC156387  "/>
    <n v="3092650"/>
    <x v="3"/>
    <n v="33"/>
    <d v="2025-12-26T00:00:00"/>
    <d v="2026-01-25T00:00:00"/>
    <x v="37"/>
    <x v="12"/>
    <s v="0    "/>
    <s v="3002625361                    "/>
    <n v="30"/>
  </r>
  <r>
    <s v="202601"/>
    <s v="10953882            "/>
    <x v="125"/>
    <x v="62"/>
    <s v="FEDC156413  "/>
    <n v="7227823"/>
    <x v="3"/>
    <n v="33"/>
    <d v="2025-12-26T00:00:00"/>
    <d v="2026-01-25T00:00:00"/>
    <x v="37"/>
    <x v="15"/>
    <s v="0    "/>
    <s v="3205413224                    "/>
    <n v="30"/>
  </r>
  <r>
    <s v="202601"/>
    <s v="10953882            "/>
    <x v="125"/>
    <x v="62"/>
    <s v="FEDC156414  "/>
    <n v="1537535"/>
    <x v="3"/>
    <n v="33"/>
    <d v="2025-12-26T00:00:00"/>
    <d v="2026-01-25T00:00:00"/>
    <x v="37"/>
    <x v="12"/>
    <s v="0    "/>
    <s v="3205413224                    "/>
    <n v="30"/>
  </r>
  <r>
    <s v="202601"/>
    <s v="10953882            "/>
    <x v="125"/>
    <x v="62"/>
    <s v="FEDC156415  "/>
    <n v="5111669"/>
    <x v="3"/>
    <n v="33"/>
    <d v="2025-12-26T00:00:00"/>
    <d v="2026-01-25T00:00:00"/>
    <x v="37"/>
    <x v="12"/>
    <s v="0    "/>
    <s v="3205413224                    "/>
    <n v="30"/>
  </r>
  <r>
    <s v="202601"/>
    <s v="15309183            "/>
    <x v="152"/>
    <x v="70"/>
    <s v="FEDC156390  "/>
    <n v="2286132"/>
    <x v="3"/>
    <n v="33"/>
    <d v="2025-12-26T00:00:00"/>
    <d v="2026-01-25T00:00:00"/>
    <x v="35"/>
    <x v="12"/>
    <s v="0    "/>
    <s v="3217254890                    "/>
    <n v="30"/>
  </r>
  <r>
    <s v="202601"/>
    <s v="78290785            "/>
    <x v="271"/>
    <x v="70"/>
    <s v="FEDC156394  "/>
    <n v="1244299"/>
    <x v="3"/>
    <n v="33"/>
    <d v="2025-12-26T00:00:00"/>
    <d v="2026-01-25T00:00:00"/>
    <x v="35"/>
    <x v="12"/>
    <s v="0    "/>
    <s v="3157383902     "/>
    <n v="30"/>
  </r>
  <r>
    <s v="202601"/>
    <s v="92527863            "/>
    <x v="99"/>
    <x v="54"/>
    <s v="FEDC156403  "/>
    <n v="14163673"/>
    <x v="3"/>
    <n v="33"/>
    <d v="2025-12-26T00:00:00"/>
    <d v="2026-01-25T00:00:00"/>
    <x v="20"/>
    <x v="8"/>
    <s v="0    "/>
    <s v="3104213413                    "/>
    <n v="30"/>
  </r>
  <r>
    <s v="202601"/>
    <s v="34946043            "/>
    <x v="272"/>
    <x v="83"/>
    <s v="FEDC156404  "/>
    <n v="1279372"/>
    <x v="3"/>
    <n v="33"/>
    <d v="2025-12-26T00:00:00"/>
    <d v="2026-01-25T00:00:00"/>
    <x v="20"/>
    <x v="8"/>
    <s v="0    "/>
    <s v="3107216356                    "/>
    <n v="30"/>
  </r>
  <r>
    <s v="202601"/>
    <s v="34947918            "/>
    <x v="273"/>
    <x v="16"/>
    <s v="FEDC156406  "/>
    <n v="1342100"/>
    <x v="3"/>
    <n v="33"/>
    <d v="2025-12-26T00:00:00"/>
    <d v="2026-01-25T00:00:00"/>
    <x v="20"/>
    <x v="8"/>
    <s v="0    "/>
    <s v="3226534046                    "/>
    <n v="30"/>
  </r>
  <r>
    <s v="202601"/>
    <s v="10886435            "/>
    <x v="154"/>
    <x v="16"/>
    <s v="FEDC156417  "/>
    <n v="3067243"/>
    <x v="3"/>
    <n v="33"/>
    <d v="2025-12-26T00:00:00"/>
    <d v="2026-01-25T00:00:00"/>
    <x v="20"/>
    <x v="8"/>
    <s v="0    "/>
    <s v="3214898085                    "/>
    <n v="30"/>
  </r>
  <r>
    <s v="202601"/>
    <s v="1104430584          "/>
    <x v="153"/>
    <x v="16"/>
    <s v="FEDC156418  "/>
    <n v="1037128"/>
    <x v="3"/>
    <n v="33"/>
    <d v="2025-12-26T00:00:00"/>
    <d v="2026-01-25T00:00:00"/>
    <x v="20"/>
    <x v="8"/>
    <s v="0    "/>
    <s v="3107047714-3015586055         "/>
    <n v="30"/>
  </r>
  <r>
    <s v="202601"/>
    <s v="3672849             "/>
    <x v="173"/>
    <x v="71"/>
    <s v="FEDC156365  "/>
    <n v="5492842"/>
    <x v="3"/>
    <n v="33"/>
    <d v="2025-12-26T00:00:00"/>
    <d v="2026-01-25T00:00:00"/>
    <x v="49"/>
    <x v="1"/>
    <s v="0    "/>
    <s v="3148749298 -8385366           "/>
    <n v="30"/>
  </r>
  <r>
    <s v="202601"/>
    <s v="3672849             "/>
    <x v="173"/>
    <x v="71"/>
    <s v="FEDC156366  "/>
    <n v="4021820"/>
    <x v="3"/>
    <n v="33"/>
    <d v="2025-12-26T00:00:00"/>
    <d v="2026-01-25T00:00:00"/>
    <x v="49"/>
    <x v="1"/>
    <s v="0    "/>
    <s v="3148749298 -8385366           "/>
    <n v="30"/>
  </r>
  <r>
    <s v="202601"/>
    <s v="3672849             "/>
    <x v="173"/>
    <x v="71"/>
    <s v="FEDC156367  "/>
    <n v="2412426"/>
    <x v="3"/>
    <n v="33"/>
    <d v="2025-12-26T00:00:00"/>
    <d v="2026-01-25T00:00:00"/>
    <x v="49"/>
    <x v="1"/>
    <s v="0    "/>
    <s v="3148749298 -8385366           "/>
    <n v="30"/>
  </r>
  <r>
    <s v="202601"/>
    <s v="3672849             "/>
    <x v="173"/>
    <x v="71"/>
    <s v="FEDC156368  "/>
    <n v="1908254"/>
    <x v="3"/>
    <n v="33"/>
    <d v="2025-12-26T00:00:00"/>
    <d v="2026-01-25T00:00:00"/>
    <x v="49"/>
    <x v="1"/>
    <s v="0    "/>
    <s v="3148749298 -8385366           "/>
    <n v="30"/>
  </r>
  <r>
    <s v="202601"/>
    <s v="3672849             "/>
    <x v="173"/>
    <x v="71"/>
    <s v="FEDC156369  "/>
    <n v="3978000"/>
    <x v="3"/>
    <n v="33"/>
    <d v="2025-12-26T00:00:00"/>
    <d v="2026-01-25T00:00:00"/>
    <x v="49"/>
    <x v="1"/>
    <s v="0    "/>
    <s v="3148749298 -8385366           "/>
    <n v="30"/>
  </r>
  <r>
    <s v="202601"/>
    <s v="29117634            "/>
    <x v="268"/>
    <x v="82"/>
    <s v="FEDC156371  "/>
    <n v="499976"/>
    <x v="3"/>
    <n v="33"/>
    <d v="2025-12-26T00:00:00"/>
    <d v="2026-01-25T00:00:00"/>
    <x v="49"/>
    <x v="1"/>
    <s v="0    "/>
    <s v="3217378928                    "/>
    <n v="30"/>
  </r>
  <r>
    <s v="202601"/>
    <s v="43896567            "/>
    <x v="172"/>
    <x v="71"/>
    <s v="FEDC156407  "/>
    <n v="1017583"/>
    <x v="3"/>
    <n v="33"/>
    <d v="2025-12-26T00:00:00"/>
    <d v="2026-01-25T00:00:00"/>
    <x v="49"/>
    <x v="1"/>
    <s v="0    "/>
    <s v="3217546640 -3234584973        "/>
    <n v="30"/>
  </r>
  <r>
    <s v="202601"/>
    <s v="15305256            "/>
    <x v="274"/>
    <x v="71"/>
    <s v="FEDC156408  "/>
    <n v="2500100"/>
    <x v="3"/>
    <n v="33"/>
    <d v="2025-12-26T00:00:00"/>
    <d v="2026-01-25T00:00:00"/>
    <x v="49"/>
    <x v="1"/>
    <s v="0    "/>
    <s v="3113240967 -3104719821        "/>
    <n v="30"/>
  </r>
  <r>
    <s v="202601"/>
    <s v="15305256            "/>
    <x v="274"/>
    <x v="71"/>
    <s v="FEDC156409  "/>
    <n v="151209"/>
    <x v="3"/>
    <n v="33"/>
    <d v="2025-12-26T00:00:00"/>
    <d v="2026-01-25T00:00:00"/>
    <x v="49"/>
    <x v="1"/>
    <s v="0    "/>
    <s v="3113240967 -3104719821        "/>
    <n v="30"/>
  </r>
  <r>
    <s v="202601"/>
    <s v="3671832             "/>
    <x v="275"/>
    <x v="71"/>
    <s v="FEDC156423  "/>
    <n v="172000"/>
    <x v="3"/>
    <n v="33"/>
    <d v="2025-12-26T00:00:00"/>
    <d v="2026-01-25T00:00:00"/>
    <x v="49"/>
    <x v="1"/>
    <s v="0    "/>
    <s v="034-8385101 -3128397720       "/>
    <n v="30"/>
  </r>
  <r>
    <s v="202601"/>
    <s v="3671832             "/>
    <x v="275"/>
    <x v="71"/>
    <s v="FEDC156424  "/>
    <n v="575980"/>
    <x v="3"/>
    <n v="33"/>
    <d v="2025-12-26T00:00:00"/>
    <d v="2026-01-25T00:00:00"/>
    <x v="49"/>
    <x v="1"/>
    <s v="0    "/>
    <s v="034-8385101 -3128397720       "/>
    <n v="30"/>
  </r>
  <r>
    <s v="202601"/>
    <s v="3671832             "/>
    <x v="275"/>
    <x v="71"/>
    <s v="FEDC156425  "/>
    <n v="1434838"/>
    <x v="3"/>
    <n v="33"/>
    <d v="2025-12-26T00:00:00"/>
    <d v="2026-01-25T00:00:00"/>
    <x v="49"/>
    <x v="1"/>
    <s v="0    "/>
    <s v="034-8385101 -3128397720       "/>
    <n v="30"/>
  </r>
  <r>
    <s v="202601"/>
    <s v="15929255            "/>
    <x v="276"/>
    <x v="40"/>
    <s v="FEDC156342  "/>
    <n v="4361303"/>
    <x v="3"/>
    <n v="33"/>
    <d v="2025-12-26T00:00:00"/>
    <d v="2026-01-25T00:00:00"/>
    <x v="36"/>
    <x v="9"/>
    <s v="0    "/>
    <s v="3103639542-3114290867         "/>
    <n v="30"/>
  </r>
  <r>
    <s v="202601"/>
    <s v="9104183             "/>
    <x v="68"/>
    <x v="40"/>
    <s v="FEDC156343  "/>
    <n v="428000"/>
    <x v="3"/>
    <n v="33"/>
    <d v="2025-12-26T00:00:00"/>
    <d v="2026-01-25T00:00:00"/>
    <x v="36"/>
    <x v="9"/>
    <s v="0    "/>
    <s v="3117189197                    "/>
    <n v="30"/>
  </r>
  <r>
    <s v="202601"/>
    <s v="9104183             "/>
    <x v="68"/>
    <x v="40"/>
    <s v="FEDC156344  "/>
    <n v="775771"/>
    <x v="3"/>
    <n v="33"/>
    <d v="2025-12-26T00:00:00"/>
    <d v="2026-01-25T00:00:00"/>
    <x v="36"/>
    <x v="9"/>
    <s v="0    "/>
    <s v="3117189197                    "/>
    <n v="30"/>
  </r>
  <r>
    <s v="202601"/>
    <s v="50859648            "/>
    <x v="71"/>
    <x v="40"/>
    <s v="FEDC156352  "/>
    <n v="135007"/>
    <x v="3"/>
    <n v="33"/>
    <d v="2025-12-26T00:00:00"/>
    <d v="2026-01-25T00:00:00"/>
    <x v="36"/>
    <x v="9"/>
    <s v="0    "/>
    <s v="3007679631     "/>
    <n v="30"/>
  </r>
  <r>
    <s v="202601"/>
    <s v="8174109             "/>
    <x v="177"/>
    <x v="46"/>
    <s v="FEDC156345  "/>
    <n v="662063"/>
    <x v="3"/>
    <n v="33"/>
    <d v="2025-12-26T00:00:00"/>
    <d v="2026-01-25T00:00:00"/>
    <x v="2"/>
    <x v="9"/>
    <s v="0    "/>
    <s v="8205243"/>
    <n v="30"/>
  </r>
  <r>
    <s v="202601"/>
    <s v="901556925-2         "/>
    <x v="277"/>
    <x v="46"/>
    <s v="FEDC156346  "/>
    <n v="2440000"/>
    <x v="3"/>
    <n v="33"/>
    <d v="2025-12-26T00:00:00"/>
    <d v="2026-01-25T00:00:00"/>
    <x v="2"/>
    <x v="9"/>
    <s v="0    "/>
    <s v="3104362600-3202084435         "/>
    <n v="30"/>
  </r>
  <r>
    <s v="202601"/>
    <s v="901556925-2         "/>
    <x v="277"/>
    <x v="46"/>
    <s v="FEDC156347  "/>
    <n v="58616"/>
    <x v="3"/>
    <n v="33"/>
    <d v="2025-12-26T00:00:00"/>
    <d v="2026-01-25T00:00:00"/>
    <x v="2"/>
    <x v="9"/>
    <s v="0    "/>
    <s v="3104362600-3202084435         "/>
    <n v="30"/>
  </r>
  <r>
    <s v="202601"/>
    <s v="98600662            "/>
    <x v="118"/>
    <x v="46"/>
    <s v="FEDC156351  "/>
    <n v="2205334"/>
    <x v="3"/>
    <n v="33"/>
    <d v="2025-12-26T00:00:00"/>
    <d v="2026-01-25T00:00:00"/>
    <x v="2"/>
    <x v="9"/>
    <s v="0    "/>
    <s v="3145313565                    "/>
    <n v="30"/>
  </r>
  <r>
    <s v="202601"/>
    <s v="8174072             "/>
    <x v="163"/>
    <x v="3"/>
    <s v="FEDC156354  "/>
    <n v="2544001"/>
    <x v="3"/>
    <n v="33"/>
    <d v="2025-12-26T00:00:00"/>
    <d v="2026-01-25T00:00:00"/>
    <x v="2"/>
    <x v="9"/>
    <s v="0    "/>
    <s v="3223640656                    "/>
    <n v="30"/>
  </r>
  <r>
    <s v="202601"/>
    <s v="8174072             "/>
    <x v="163"/>
    <x v="3"/>
    <s v="FEDC156355  "/>
    <n v="591876"/>
    <x v="3"/>
    <n v="33"/>
    <d v="2025-12-26T00:00:00"/>
    <d v="2026-01-25T00:00:00"/>
    <x v="2"/>
    <x v="9"/>
    <s v="0    "/>
    <s v="3223640656                    "/>
    <n v="30"/>
  </r>
  <r>
    <s v="202601"/>
    <s v="1066721431-6        "/>
    <x v="278"/>
    <x v="46"/>
    <s v="FEDC156358  "/>
    <n v="2924715"/>
    <x v="3"/>
    <n v="33"/>
    <d v="2025-12-26T00:00:00"/>
    <d v="2026-01-25T00:00:00"/>
    <x v="2"/>
    <x v="9"/>
    <s v="0    "/>
    <s v="3106828423-3125599059         "/>
    <n v="30"/>
  </r>
  <r>
    <s v="202601"/>
    <s v="71256025            "/>
    <x v="116"/>
    <x v="46"/>
    <s v="FEDC156359  "/>
    <n v="360009"/>
    <x v="3"/>
    <n v="33"/>
    <d v="2025-12-26T00:00:00"/>
    <d v="2026-01-25T00:00:00"/>
    <x v="2"/>
    <x v="9"/>
    <s v="0    "/>
    <s v="3008137639                    "/>
    <n v="30"/>
  </r>
  <r>
    <s v="202601"/>
    <s v="900902664-6         "/>
    <x v="187"/>
    <x v="46"/>
    <s v="FEDC156372  "/>
    <n v="503400"/>
    <x v="3"/>
    <n v="33"/>
    <d v="2025-12-26T00:00:00"/>
    <d v="2026-01-25T00:00:00"/>
    <x v="2"/>
    <x v="9"/>
    <s v="0    "/>
    <s v="8205080 - 3122489981          "/>
    <n v="30"/>
  </r>
  <r>
    <s v="202601"/>
    <s v="900902664-6         "/>
    <x v="187"/>
    <x v="46"/>
    <s v="FEDC156373  "/>
    <n v="428000"/>
    <x v="3"/>
    <n v="33"/>
    <d v="2025-12-26T00:00:00"/>
    <d v="2026-01-25T00:00:00"/>
    <x v="2"/>
    <x v="9"/>
    <s v="0    "/>
    <s v="8205080 - 3122489981          "/>
    <n v="30"/>
  </r>
  <r>
    <s v="202601"/>
    <s v="98673091            "/>
    <x v="279"/>
    <x v="84"/>
    <s v="FEDC156375  "/>
    <n v="581099"/>
    <x v="3"/>
    <n v="33"/>
    <d v="2025-12-26T00:00:00"/>
    <d v="2026-01-25T00:00:00"/>
    <x v="44"/>
    <x v="13"/>
    <s v="0    "/>
    <s v="3206802136                    "/>
    <n v="30"/>
  </r>
  <r>
    <s v="202601"/>
    <s v="1001159461          "/>
    <x v="280"/>
    <x v="63"/>
    <s v="FEDC156377  "/>
    <n v="778262"/>
    <x v="3"/>
    <n v="33"/>
    <d v="2025-12-26T00:00:00"/>
    <d v="2026-01-25T00:00:00"/>
    <x v="44"/>
    <x v="13"/>
    <s v="0    "/>
    <s v="3147480422                    "/>
    <n v="30"/>
  </r>
  <r>
    <s v="202601"/>
    <s v="1007452788          "/>
    <x v="191"/>
    <x v="63"/>
    <s v="FEDC156378  "/>
    <n v="394799"/>
    <x v="3"/>
    <n v="33"/>
    <d v="2025-12-26T00:00:00"/>
    <d v="2026-01-25T00:00:00"/>
    <x v="44"/>
    <x v="13"/>
    <s v="0    "/>
    <s v="3137712482                    "/>
    <n v="30"/>
  </r>
  <r>
    <s v="202601"/>
    <s v="1069481976          "/>
    <x v="281"/>
    <x v="85"/>
    <s v="FEDC156398  "/>
    <n v="1022414"/>
    <x v="3"/>
    <n v="33"/>
    <d v="2025-12-26T00:00:00"/>
    <d v="2026-01-25T00:00:00"/>
    <x v="51"/>
    <x v="8"/>
    <s v="0    "/>
    <s v="3106324304     "/>
    <n v="30"/>
  </r>
  <r>
    <s v="202601"/>
    <s v="10886435            "/>
    <x v="154"/>
    <x v="16"/>
    <s v="FEDC156401  "/>
    <n v="4532670"/>
    <x v="3"/>
    <n v="33"/>
    <d v="2025-12-26T00:00:00"/>
    <d v="2026-01-25T00:00:00"/>
    <x v="48"/>
    <x v="8"/>
    <s v="0    "/>
    <s v="3214898085                    "/>
    <n v="30"/>
  </r>
  <r>
    <s v="202601"/>
    <s v="72212007            "/>
    <x v="87"/>
    <x v="49"/>
    <s v="FEDC156419  "/>
    <n v="1357181"/>
    <x v="3"/>
    <n v="33"/>
    <d v="2025-12-26T00:00:00"/>
    <d v="2026-01-25T00:00:00"/>
    <x v="34"/>
    <x v="8"/>
    <s v="0    "/>
    <s v="3107074324     "/>
    <n v="30"/>
  </r>
  <r>
    <s v="202601"/>
    <s v="1045019250          "/>
    <x v="157"/>
    <x v="16"/>
    <s v="FEDC156416  "/>
    <n v="6335798"/>
    <x v="3"/>
    <n v="33"/>
    <d v="2025-12-26T00:00:00"/>
    <d v="2026-01-25T00:00:00"/>
    <x v="52"/>
    <x v="8"/>
    <s v="0    "/>
    <s v="3126151011     "/>
    <n v="30"/>
  </r>
  <r>
    <s v="202601"/>
    <s v="1045019250          "/>
    <x v="157"/>
    <x v="16"/>
    <s v="FEDC156422  "/>
    <n v="3199980"/>
    <x v="3"/>
    <n v="33"/>
    <d v="2025-12-26T00:00:00"/>
    <d v="2026-01-25T00:00:00"/>
    <x v="52"/>
    <x v="8"/>
    <s v="0    "/>
    <s v="3126151011     "/>
    <n v="30"/>
  </r>
  <r>
    <s v="202601"/>
    <s v="39279638            "/>
    <x v="282"/>
    <x v="13"/>
    <s v="FEDC156428  "/>
    <n v="511207"/>
    <x v="3"/>
    <n v="32"/>
    <d v="2025-12-27T00:00:00"/>
    <d v="2026-01-26T00:00:00"/>
    <x v="18"/>
    <x v="13"/>
    <s v="0    "/>
    <s v="3105913666                    "/>
    <n v="30"/>
  </r>
  <r>
    <s v="202601"/>
    <s v="70693392            "/>
    <x v="283"/>
    <x v="37"/>
    <s v="FEDC156430  "/>
    <n v="512183"/>
    <x v="3"/>
    <n v="32"/>
    <d v="2025-12-27T00:00:00"/>
    <d v="2026-01-26T00:00:00"/>
    <x v="18"/>
    <x v="13"/>
    <s v="0    "/>
    <s v="3233203149                    "/>
    <n v="30"/>
  </r>
  <r>
    <s v="202601"/>
    <s v="98654842            "/>
    <x v="267"/>
    <x v="13"/>
    <s v="FEDC156432  "/>
    <n v="1399216"/>
    <x v="3"/>
    <n v="32"/>
    <d v="2025-12-27T00:00:00"/>
    <d v="2026-01-26T00:00:00"/>
    <x v="18"/>
    <x v="13"/>
    <s v="0    "/>
    <s v="3209042070                    "/>
    <n v="30"/>
  </r>
  <r>
    <s v="202601"/>
    <s v="78703962            "/>
    <x v="284"/>
    <x v="13"/>
    <s v="FEDC156434  "/>
    <n v="896207"/>
    <x v="3"/>
    <n v="32"/>
    <d v="2025-12-27T00:00:00"/>
    <d v="2026-01-26T00:00:00"/>
    <x v="18"/>
    <x v="13"/>
    <s v="0    "/>
    <s v="3105410896                    "/>
    <n v="30"/>
  </r>
  <r>
    <s v="202601"/>
    <s v="98651531            "/>
    <x v="285"/>
    <x v="37"/>
    <s v="FEDC156435  "/>
    <n v="293400"/>
    <x v="3"/>
    <n v="32"/>
    <d v="2025-12-27T00:00:00"/>
    <d v="2026-01-26T00:00:00"/>
    <x v="18"/>
    <x v="13"/>
    <s v="0    "/>
    <s v="3115674271"/>
    <n v="30"/>
  </r>
  <r>
    <s v="202601"/>
    <s v="1038112989          "/>
    <x v="150"/>
    <x v="37"/>
    <s v="FEDC156436  "/>
    <n v="256694"/>
    <x v="3"/>
    <n v="32"/>
    <d v="2025-12-27T00:00:00"/>
    <d v="2026-01-26T00:00:00"/>
    <x v="18"/>
    <x v="13"/>
    <s v="0    "/>
    <s v="3135912628     "/>
    <n v="30"/>
  </r>
  <r>
    <s v="202601"/>
    <s v="1038112989          "/>
    <x v="150"/>
    <x v="37"/>
    <s v="FEDC156437  "/>
    <n v="2757919"/>
    <x v="3"/>
    <n v="32"/>
    <d v="2025-12-27T00:00:00"/>
    <d v="2026-01-26T00:00:00"/>
    <x v="18"/>
    <x v="13"/>
    <s v="0    "/>
    <s v="3135912628     "/>
    <n v="30"/>
  </r>
  <r>
    <s v="202601"/>
    <s v="25528171            "/>
    <x v="286"/>
    <x v="13"/>
    <s v="FEDC156442  "/>
    <n v="644010"/>
    <x v="3"/>
    <n v="32"/>
    <d v="2025-12-27T00:00:00"/>
    <d v="2026-01-26T00:00:00"/>
    <x v="18"/>
    <x v="11"/>
    <s v="0    "/>
    <s v="3137415053 -8146183           "/>
    <n v="30"/>
  </r>
  <r>
    <s v="202601"/>
    <s v="25528171            "/>
    <x v="286"/>
    <x v="13"/>
    <s v="FEDC156443  "/>
    <n v="1108541"/>
    <x v="3"/>
    <n v="32"/>
    <d v="2025-12-27T00:00:00"/>
    <d v="2026-01-26T00:00:00"/>
    <x v="18"/>
    <x v="11"/>
    <s v="0    "/>
    <s v="3137415053 -8146183           "/>
    <n v="30"/>
  </r>
  <r>
    <s v="202601"/>
    <s v="1038129599          "/>
    <x v="251"/>
    <x v="13"/>
    <s v="FEDC156447  "/>
    <n v="1237444"/>
    <x v="3"/>
    <n v="30"/>
    <d v="2025-12-29T00:00:00"/>
    <d v="2026-01-28T00:00:00"/>
    <x v="18"/>
    <x v="13"/>
    <s v="0    "/>
    <s v="3208613025                    "/>
    <n v="30"/>
  </r>
  <r>
    <s v="202601"/>
    <s v="98651531            "/>
    <x v="285"/>
    <x v="37"/>
    <s v="FEDC156449  "/>
    <n v="640788"/>
    <x v="3"/>
    <n v="30"/>
    <d v="2025-12-29T00:00:00"/>
    <d v="2026-01-28T00:00:00"/>
    <x v="18"/>
    <x v="13"/>
    <s v="0    "/>
    <s v="3115674271"/>
    <n v="30"/>
  </r>
  <r>
    <s v="202601"/>
    <s v="91521121            "/>
    <x v="204"/>
    <x v="13"/>
    <s v="FEDC156451  "/>
    <n v="383995"/>
    <x v="3"/>
    <n v="30"/>
    <d v="2025-12-29T00:00:00"/>
    <d v="2026-01-28T00:00:00"/>
    <x v="18"/>
    <x v="13"/>
    <s v="0    "/>
    <s v="3206429252                    "/>
    <n v="30"/>
  </r>
  <r>
    <s v="202601"/>
    <s v="94414770            "/>
    <x v="287"/>
    <x v="13"/>
    <s v="FEVM44039   "/>
    <n v="96000"/>
    <x v="10"/>
    <n v="30"/>
    <d v="2025-12-29T00:00:00"/>
    <d v="2026-01-06T00:00:00"/>
    <x v="18"/>
    <x v="10"/>
    <s v="0    "/>
    <s v="3143860305     "/>
    <n v="30"/>
  </r>
  <r>
    <s v="202601"/>
    <s v="91521121            "/>
    <x v="204"/>
    <x v="13"/>
    <s v="FEVM44081   "/>
    <n v="1585961"/>
    <x v="3"/>
    <n v="30"/>
    <d v="2025-12-29T00:00:00"/>
    <d v="2026-01-28T00:00:00"/>
    <x v="18"/>
    <x v="15"/>
    <s v="0    "/>
    <s v="3206429252                    "/>
    <n v="30"/>
  </r>
  <r>
    <s v="202601"/>
    <s v="1038119592          "/>
    <x v="288"/>
    <x v="13"/>
    <s v="FEVM44087   "/>
    <n v="504043"/>
    <x v="3"/>
    <n v="30"/>
    <d v="2025-12-29T00:00:00"/>
    <d v="2026-01-28T00:00:00"/>
    <x v="18"/>
    <x v="6"/>
    <s v="0    "/>
    <s v="3126862464                    "/>
    <n v="30"/>
  </r>
  <r>
    <s v="202601"/>
    <s v="8204172             "/>
    <x v="289"/>
    <x v="27"/>
    <s v="FEDC156543  "/>
    <n v="1462087"/>
    <x v="3"/>
    <n v="30"/>
    <d v="2025-12-29T00:00:00"/>
    <d v="2026-01-28T00:00:00"/>
    <x v="14"/>
    <x v="4"/>
    <s v="0    "/>
    <s v="3104097081 8370555            "/>
    <n v="30"/>
  </r>
  <r>
    <s v="202601"/>
    <s v="98653342            "/>
    <x v="167"/>
    <x v="27"/>
    <s v="FEDC156546  "/>
    <n v="2771759"/>
    <x v="3"/>
    <n v="30"/>
    <d v="2025-12-29T00:00:00"/>
    <d v="2026-01-28T00:00:00"/>
    <x v="14"/>
    <x v="4"/>
    <s v="0    "/>
    <s v="3104692729 - 8372463          "/>
    <n v="30"/>
  </r>
  <r>
    <s v="202601"/>
    <s v="901933116           "/>
    <x v="290"/>
    <x v="86"/>
    <s v="FEDC156547  "/>
    <n v="4190163"/>
    <x v="3"/>
    <n v="30"/>
    <d v="2025-12-29T00:00:00"/>
    <d v="2026-01-28T00:00:00"/>
    <x v="14"/>
    <x v="4"/>
    <s v="0    "/>
    <s v="3128202172                    "/>
    <n v="30"/>
  </r>
  <r>
    <s v="202601"/>
    <s v="8200704             "/>
    <x v="291"/>
    <x v="27"/>
    <s v="FEDC156549  "/>
    <n v="1079383"/>
    <x v="3"/>
    <n v="30"/>
    <d v="2025-12-29T00:00:00"/>
    <d v="2026-01-28T00:00:00"/>
    <x v="14"/>
    <x v="4"/>
    <s v="0    "/>
    <s v="3207817065"/>
    <n v="30"/>
  </r>
  <r>
    <s v="202601"/>
    <s v="8204172             "/>
    <x v="289"/>
    <x v="27"/>
    <s v="FEDC156556  "/>
    <n v="228984"/>
    <x v="3"/>
    <n v="30"/>
    <d v="2025-12-29T00:00:00"/>
    <d v="2026-01-28T00:00:00"/>
    <x v="14"/>
    <x v="4"/>
    <s v="0    "/>
    <s v="3104097081 8370555            "/>
    <n v="30"/>
  </r>
  <r>
    <s v="202601"/>
    <s v="1040495180          "/>
    <x v="166"/>
    <x v="22"/>
    <s v="FEDC156557  "/>
    <n v="873505"/>
    <x v="3"/>
    <n v="30"/>
    <d v="2025-12-29T00:00:00"/>
    <d v="2026-01-28T00:00:00"/>
    <x v="14"/>
    <x v="4"/>
    <s v="0    "/>
    <s v="3135653489     "/>
    <n v="30"/>
  </r>
  <r>
    <s v="202601"/>
    <s v="1040495180          "/>
    <x v="166"/>
    <x v="22"/>
    <s v="FEDC156558  "/>
    <n v="1026400"/>
    <x v="3"/>
    <n v="30"/>
    <d v="2025-12-29T00:00:00"/>
    <d v="2026-01-28T00:00:00"/>
    <x v="14"/>
    <x v="4"/>
    <s v="0    "/>
    <s v="3135653489     "/>
    <n v="30"/>
  </r>
  <r>
    <s v="202601"/>
    <s v="1040517048          "/>
    <x v="195"/>
    <x v="22"/>
    <s v="FEDC156559  "/>
    <n v="129602"/>
    <x v="3"/>
    <n v="30"/>
    <d v="2025-12-29T00:00:00"/>
    <d v="2026-01-28T00:00:00"/>
    <x v="14"/>
    <x v="15"/>
    <s v="0    "/>
    <s v="8372131-3175914711            "/>
    <n v="30"/>
  </r>
  <r>
    <s v="202601"/>
    <s v="70951988            "/>
    <x v="131"/>
    <x v="27"/>
    <s v="FEDC156561  "/>
    <n v="1393857"/>
    <x v="3"/>
    <n v="30"/>
    <d v="2025-12-29T00:00:00"/>
    <d v="2026-01-28T00:00:00"/>
    <x v="14"/>
    <x v="15"/>
    <s v="0    "/>
    <s v="8372646- 3127061378 cocho     "/>
    <n v="30"/>
  </r>
  <r>
    <s v="202601"/>
    <s v="1040517048          "/>
    <x v="195"/>
    <x v="22"/>
    <s v="FEDC156564  "/>
    <n v="668051"/>
    <x v="3"/>
    <n v="30"/>
    <d v="2025-12-29T00:00:00"/>
    <d v="2026-01-28T00:00:00"/>
    <x v="14"/>
    <x v="5"/>
    <s v="0    "/>
    <s v="8372131-3175914711            "/>
    <n v="30"/>
  </r>
  <r>
    <s v="202601"/>
    <s v="1066513494          "/>
    <x v="292"/>
    <x v="19"/>
    <s v="FEVM44059   "/>
    <n v="592800"/>
    <x v="3"/>
    <n v="30"/>
    <d v="2025-12-29T00:00:00"/>
    <d v="2026-01-28T00:00:00"/>
    <x v="22"/>
    <x v="10"/>
    <s v="0    "/>
    <s v="3108277335                    "/>
    <n v="30"/>
  </r>
  <r>
    <s v="202601"/>
    <s v="1066518174          "/>
    <x v="293"/>
    <x v="19"/>
    <s v="FEVM44076   "/>
    <n v="548923"/>
    <x v="3"/>
    <n v="30"/>
    <d v="2025-12-29T00:00:00"/>
    <d v="2026-01-28T00:00:00"/>
    <x v="22"/>
    <x v="10"/>
    <s v="0    "/>
    <s v="3216102127-3155095670         "/>
    <n v="30"/>
  </r>
  <r>
    <s v="202601"/>
    <s v="70696568            "/>
    <x v="236"/>
    <x v="78"/>
    <s v="FEVM44117   "/>
    <n v="716404"/>
    <x v="3"/>
    <n v="30"/>
    <d v="2025-12-29T00:00:00"/>
    <d v="2026-01-28T00:00:00"/>
    <x v="22"/>
    <x v="10"/>
    <s v="0    "/>
    <s v="3114240949                    "/>
    <n v="30"/>
  </r>
  <r>
    <s v="202601"/>
    <s v="1193562013          "/>
    <x v="294"/>
    <x v="19"/>
    <s v="FEVM44122   "/>
    <n v="370147"/>
    <x v="3"/>
    <n v="30"/>
    <d v="2025-12-29T00:00:00"/>
    <d v="2026-01-28T00:00:00"/>
    <x v="22"/>
    <x v="10"/>
    <s v="0    "/>
    <s v="3046029289 - 3136112676       "/>
    <n v="30"/>
  </r>
  <r>
    <s v="202601"/>
    <s v="1066514536          "/>
    <x v="295"/>
    <x v="78"/>
    <s v="FEVM44125   "/>
    <n v="1158639"/>
    <x v="3"/>
    <n v="30"/>
    <d v="2025-12-29T00:00:00"/>
    <d v="2026-01-28T00:00:00"/>
    <x v="22"/>
    <x v="10"/>
    <s v="0    "/>
    <s v="3126387574     "/>
    <n v="30"/>
  </r>
  <r>
    <s v="202601"/>
    <s v="78113896            "/>
    <x v="232"/>
    <x v="19"/>
    <s v="FEVM44130   "/>
    <n v="428000"/>
    <x v="3"/>
    <n v="30"/>
    <d v="2025-12-29T00:00:00"/>
    <d v="2026-01-28T00:00:00"/>
    <x v="22"/>
    <x v="10"/>
    <s v="0    "/>
    <s v="3006233938                    "/>
    <n v="30"/>
  </r>
  <r>
    <s v="202601"/>
    <s v="78113894            "/>
    <x v="234"/>
    <x v="78"/>
    <s v="FEVM44138   "/>
    <n v="1470318"/>
    <x v="3"/>
    <n v="30"/>
    <d v="2025-12-29T00:00:00"/>
    <d v="2026-01-28T00:00:00"/>
    <x v="22"/>
    <x v="10"/>
    <s v="0    "/>
    <s v="3137710031                    "/>
    <n v="30"/>
  </r>
  <r>
    <s v="202601"/>
    <s v="50993448            "/>
    <x v="296"/>
    <x v="78"/>
    <s v="FEVM44143   "/>
    <n v="909349"/>
    <x v="3"/>
    <n v="30"/>
    <d v="2025-12-29T00:00:00"/>
    <d v="2026-01-28T00:00:00"/>
    <x v="22"/>
    <x v="10"/>
    <s v="0    "/>
    <s v="7705266        "/>
    <n v="30"/>
  </r>
  <r>
    <s v="202601"/>
    <s v="1066524935          "/>
    <x v="169"/>
    <x v="19"/>
    <s v="FEVM44145   "/>
    <n v="630412"/>
    <x v="3"/>
    <n v="30"/>
    <d v="2025-12-29T00:00:00"/>
    <d v="2026-01-28T00:00:00"/>
    <x v="22"/>
    <x v="10"/>
    <s v="0    "/>
    <s v="3117567994                    "/>
    <n v="30"/>
  </r>
  <r>
    <s v="202601"/>
    <s v="78115036            "/>
    <x v="297"/>
    <x v="78"/>
    <s v="FEVM44151   "/>
    <n v="809288"/>
    <x v="3"/>
    <n v="30"/>
    <d v="2025-12-29T00:00:00"/>
    <d v="2026-01-28T00:00:00"/>
    <x v="22"/>
    <x v="10"/>
    <s v="0    "/>
    <s v="7724344"/>
    <n v="30"/>
  </r>
  <r>
    <s v="202601"/>
    <s v="50947056            "/>
    <x v="298"/>
    <x v="2"/>
    <s v="FEVM44150   "/>
    <n v="416908"/>
    <x v="1"/>
    <n v="30"/>
    <d v="2025-12-29T00:00:00"/>
    <d v="2026-01-13T00:00:00"/>
    <x v="1"/>
    <x v="3"/>
    <s v="0    "/>
    <s v="3207223567     "/>
    <n v="30"/>
  </r>
  <r>
    <s v="202601"/>
    <s v="98476266            "/>
    <x v="299"/>
    <x v="12"/>
    <s v="FEDC156457  "/>
    <n v="852167"/>
    <x v="3"/>
    <n v="30"/>
    <d v="2025-12-29T00:00:00"/>
    <d v="2026-01-28T00:00:00"/>
    <x v="9"/>
    <x v="1"/>
    <s v="0    "/>
    <s v="3125541849                    "/>
    <n v="30"/>
  </r>
  <r>
    <s v="202601"/>
    <s v="78032182            "/>
    <x v="214"/>
    <x v="60"/>
    <s v="FEDC156461  "/>
    <n v="5171625"/>
    <x v="3"/>
    <n v="30"/>
    <d v="2025-12-29T00:00:00"/>
    <d v="2026-01-28T00:00:00"/>
    <x v="9"/>
    <x v="1"/>
    <s v="0    "/>
    <s v="3205713141 -3148890308        "/>
    <n v="30"/>
  </r>
  <r>
    <s v="202601"/>
    <s v="8203925             "/>
    <x v="300"/>
    <x v="12"/>
    <s v="FEDC156462  "/>
    <n v="13711492"/>
    <x v="3"/>
    <n v="30"/>
    <d v="2025-12-29T00:00:00"/>
    <d v="2026-01-28T00:00:00"/>
    <x v="9"/>
    <x v="1"/>
    <s v="0    "/>
    <s v="322 5264648                   "/>
    <n v="30"/>
  </r>
  <r>
    <s v="202601"/>
    <s v="8203925             "/>
    <x v="300"/>
    <x v="12"/>
    <s v="FEDC156463  "/>
    <n v="1949464"/>
    <x v="3"/>
    <n v="30"/>
    <d v="2025-12-29T00:00:00"/>
    <d v="2026-01-28T00:00:00"/>
    <x v="9"/>
    <x v="1"/>
    <s v="0    "/>
    <s v="322 5264648                   "/>
    <n v="30"/>
  </r>
  <r>
    <s v="202601"/>
    <s v="6700758             "/>
    <x v="185"/>
    <x v="60"/>
    <s v="FEDC156464  "/>
    <n v="1734309"/>
    <x v="3"/>
    <n v="30"/>
    <d v="2025-12-29T00:00:00"/>
    <d v="2026-01-28T00:00:00"/>
    <x v="9"/>
    <x v="1"/>
    <s v="0    "/>
    <s v="3113518364     "/>
    <n v="30"/>
  </r>
  <r>
    <s v="202601"/>
    <s v="6700758             "/>
    <x v="185"/>
    <x v="60"/>
    <s v="FEDC156466  "/>
    <n v="540011"/>
    <x v="3"/>
    <n v="30"/>
    <d v="2025-12-29T00:00:00"/>
    <d v="2026-01-28T00:00:00"/>
    <x v="9"/>
    <x v="1"/>
    <s v="0    "/>
    <s v="3113518364     "/>
    <n v="30"/>
  </r>
  <r>
    <s v="202601"/>
    <s v="3552564             "/>
    <x v="113"/>
    <x v="12"/>
    <s v="FEDC156467  "/>
    <n v="8592441"/>
    <x v="3"/>
    <n v="30"/>
    <d v="2025-12-29T00:00:00"/>
    <d v="2026-01-28T00:00:00"/>
    <x v="9"/>
    <x v="1"/>
    <s v="0    "/>
    <s v="3225062847                    "/>
    <n v="30"/>
  </r>
  <r>
    <s v="202601"/>
    <s v="3552564             "/>
    <x v="113"/>
    <x v="12"/>
    <s v="FEDC156468  "/>
    <n v="1955082"/>
    <x v="3"/>
    <n v="30"/>
    <d v="2025-12-29T00:00:00"/>
    <d v="2026-01-28T00:00:00"/>
    <x v="9"/>
    <x v="1"/>
    <s v="0    "/>
    <s v="3225062847                    "/>
    <n v="30"/>
  </r>
  <r>
    <s v="202601"/>
    <s v="901679438-5         "/>
    <x v="207"/>
    <x v="12"/>
    <s v="FEDC156469  "/>
    <n v="6029569"/>
    <x v="3"/>
    <n v="30"/>
    <d v="2025-12-29T00:00:00"/>
    <d v="2026-01-28T00:00:00"/>
    <x v="9"/>
    <x v="1"/>
    <s v="0    "/>
    <s v="3142941956                    "/>
    <n v="30"/>
  </r>
  <r>
    <s v="202601"/>
    <s v="42785040            "/>
    <x v="301"/>
    <x v="12"/>
    <s v="FEDC156472  "/>
    <n v="321001"/>
    <x v="3"/>
    <n v="30"/>
    <d v="2025-12-29T00:00:00"/>
    <d v="2026-01-28T00:00:00"/>
    <x v="9"/>
    <x v="1"/>
    <s v="0    "/>
    <s v="3147014009                    "/>
    <n v="30"/>
  </r>
  <r>
    <s v="202601"/>
    <s v="1026569148          "/>
    <x v="196"/>
    <x v="60"/>
    <s v="FEDC156473  "/>
    <n v="6695229"/>
    <x v="3"/>
    <n v="30"/>
    <d v="2025-12-29T00:00:00"/>
    <d v="2026-01-28T00:00:00"/>
    <x v="9"/>
    <x v="1"/>
    <s v="0    "/>
    <s v="3135069525     "/>
    <n v="30"/>
  </r>
  <r>
    <s v="202601"/>
    <s v="78032182            "/>
    <x v="214"/>
    <x v="60"/>
    <s v="FEDC156474  "/>
    <n v="2550346"/>
    <x v="3"/>
    <n v="30"/>
    <d v="2025-12-29T00:00:00"/>
    <d v="2026-01-28T00:00:00"/>
    <x v="9"/>
    <x v="1"/>
    <s v="0    "/>
    <s v="3205713141 -3148890308        "/>
    <n v="30"/>
  </r>
  <r>
    <s v="202601"/>
    <s v="1026569148          "/>
    <x v="196"/>
    <x v="60"/>
    <s v="FEDC156477  "/>
    <n v="5698884"/>
    <x v="3"/>
    <n v="30"/>
    <d v="2025-12-29T00:00:00"/>
    <d v="2026-01-28T00:00:00"/>
    <x v="9"/>
    <x v="1"/>
    <s v="0    "/>
    <s v="3135069525     "/>
    <n v="30"/>
  </r>
  <r>
    <s v="202601"/>
    <s v="1026569148          "/>
    <x v="196"/>
    <x v="60"/>
    <s v="FEDC156478  "/>
    <n v="16087902"/>
    <x v="3"/>
    <n v="30"/>
    <d v="2025-12-29T00:00:00"/>
    <d v="2026-01-28T00:00:00"/>
    <x v="9"/>
    <x v="1"/>
    <s v="0    "/>
    <s v="3135069525     "/>
    <n v="30"/>
  </r>
  <r>
    <s v="202601"/>
    <s v="8201058             "/>
    <x v="302"/>
    <x v="87"/>
    <s v="FEDC156479  "/>
    <n v="6191571"/>
    <x v="3"/>
    <n v="30"/>
    <d v="2025-12-29T00:00:00"/>
    <d v="2026-01-28T00:00:00"/>
    <x v="9"/>
    <x v="1"/>
    <s v="0    "/>
    <s v="3207536706                    "/>
    <n v="30"/>
  </r>
  <r>
    <s v="202601"/>
    <s v="8201058             "/>
    <x v="302"/>
    <x v="87"/>
    <s v="FEDC156481  "/>
    <n v="179044"/>
    <x v="3"/>
    <n v="30"/>
    <d v="2025-12-29T00:00:00"/>
    <d v="2026-01-28T00:00:00"/>
    <x v="9"/>
    <x v="1"/>
    <s v="0    "/>
    <s v="3207536706                    "/>
    <n v="30"/>
  </r>
  <r>
    <s v="202601"/>
    <s v="1040495046          "/>
    <x v="303"/>
    <x v="12"/>
    <s v="FEDC156483  "/>
    <n v="499955"/>
    <x v="3"/>
    <n v="30"/>
    <d v="2025-12-29T00:00:00"/>
    <d v="2026-01-28T00:00:00"/>
    <x v="9"/>
    <x v="1"/>
    <s v="0    "/>
    <s v="3148350978-3113898648         "/>
    <n v="30"/>
  </r>
  <r>
    <s v="202601"/>
    <s v="1026569148          "/>
    <x v="196"/>
    <x v="60"/>
    <s v="FEDC156485  "/>
    <n v="5159958"/>
    <x v="3"/>
    <n v="30"/>
    <d v="2025-12-29T00:00:00"/>
    <d v="2026-01-28T00:00:00"/>
    <x v="9"/>
    <x v="1"/>
    <s v="0    "/>
    <s v="3135069525     "/>
    <n v="30"/>
  </r>
  <r>
    <s v="202601"/>
    <s v="1026569148          "/>
    <x v="196"/>
    <x v="60"/>
    <s v="FEDC156486  "/>
    <n v="507707"/>
    <x v="3"/>
    <n v="30"/>
    <d v="2025-12-29T00:00:00"/>
    <d v="2026-01-28T00:00:00"/>
    <x v="9"/>
    <x v="5"/>
    <s v="0    "/>
    <s v="3135069525     "/>
    <n v="30"/>
  </r>
  <r>
    <s v="202601"/>
    <s v="1063361250          "/>
    <x v="304"/>
    <x v="26"/>
    <s v="FEVM44015   "/>
    <n v="2258234"/>
    <x v="3"/>
    <n v="30"/>
    <d v="2025-12-29T00:00:00"/>
    <d v="2026-01-28T00:00:00"/>
    <x v="25"/>
    <x v="12"/>
    <s v="0    "/>
    <s v="3146261490 -3106866801        "/>
    <n v="30"/>
  </r>
  <r>
    <s v="202601"/>
    <s v="78299804            "/>
    <x v="305"/>
    <x v="26"/>
    <s v="FEVM44016   "/>
    <n v="5411873"/>
    <x v="3"/>
    <n v="30"/>
    <d v="2025-12-29T00:00:00"/>
    <d v="2026-01-28T00:00:00"/>
    <x v="25"/>
    <x v="12"/>
    <s v="0    "/>
    <s v="3107473795"/>
    <n v="0"/>
  </r>
  <r>
    <s v="202601"/>
    <s v="10992195            "/>
    <x v="203"/>
    <x v="59"/>
    <s v="FEVM44017   "/>
    <n v="609400"/>
    <x v="3"/>
    <n v="30"/>
    <d v="2025-12-29T00:00:00"/>
    <d v="2026-01-28T00:00:00"/>
    <x v="25"/>
    <x v="12"/>
    <s v="0    "/>
    <s v="3117733890     "/>
    <n v="30"/>
  </r>
  <r>
    <s v="202601"/>
    <s v="78293319            "/>
    <x v="117"/>
    <x v="59"/>
    <s v="FEVM44018   "/>
    <n v="1650199"/>
    <x v="3"/>
    <n v="30"/>
    <d v="2025-12-29T00:00:00"/>
    <d v="2026-01-28T00:00:00"/>
    <x v="25"/>
    <x v="12"/>
    <s v="0    "/>
    <s v="3135677618 -3013982709        "/>
    <n v="0"/>
  </r>
  <r>
    <s v="202601"/>
    <s v="1063281231          "/>
    <x v="202"/>
    <x v="26"/>
    <s v="FEVM44019   "/>
    <n v="2668612"/>
    <x v="3"/>
    <n v="30"/>
    <d v="2025-12-29T00:00:00"/>
    <d v="2026-01-28T00:00:00"/>
    <x v="25"/>
    <x v="12"/>
    <s v="0    "/>
    <s v="3122924842                    "/>
    <n v="15"/>
  </r>
  <r>
    <s v="202601"/>
    <s v="78293319            "/>
    <x v="117"/>
    <x v="59"/>
    <s v="FEVM44022   "/>
    <n v="200001"/>
    <x v="3"/>
    <n v="30"/>
    <d v="2025-12-29T00:00:00"/>
    <d v="2026-01-28T00:00:00"/>
    <x v="25"/>
    <x v="12"/>
    <s v="0    "/>
    <s v="3135677618 -3013982709        "/>
    <n v="0"/>
  </r>
  <r>
    <s v="202601"/>
    <s v="78293319            "/>
    <x v="117"/>
    <x v="59"/>
    <s v="FEVM44032   "/>
    <n v="135786"/>
    <x v="1"/>
    <n v="30"/>
    <d v="2025-12-29T00:00:00"/>
    <d v="2026-01-13T00:00:00"/>
    <x v="25"/>
    <x v="10"/>
    <s v="0    "/>
    <s v="3135677618 -3013982709        "/>
    <n v="0"/>
  </r>
  <r>
    <s v="202601"/>
    <s v="1003289933          "/>
    <x v="201"/>
    <x v="26"/>
    <s v="FEVM44042   "/>
    <n v="13917213"/>
    <x v="3"/>
    <n v="30"/>
    <d v="2025-12-29T00:00:00"/>
    <d v="2026-01-28T00:00:00"/>
    <x v="25"/>
    <x v="12"/>
    <s v="0    "/>
    <s v="3229228485                    "/>
    <n v="30"/>
  </r>
  <r>
    <s v="202601"/>
    <s v="26000223            "/>
    <x v="306"/>
    <x v="59"/>
    <s v="FEVM44043   "/>
    <n v="140259"/>
    <x v="3"/>
    <n v="30"/>
    <d v="2025-12-29T00:00:00"/>
    <d v="2026-01-28T00:00:00"/>
    <x v="25"/>
    <x v="12"/>
    <s v="0    "/>
    <s v="3145562212"/>
    <n v="30"/>
  </r>
  <r>
    <s v="202601"/>
    <s v="1003289933          "/>
    <x v="201"/>
    <x v="26"/>
    <s v="FEVM44045   "/>
    <n v="353258"/>
    <x v="1"/>
    <n v="30"/>
    <d v="2025-12-29T00:00:00"/>
    <d v="2026-01-13T00:00:00"/>
    <x v="25"/>
    <x v="10"/>
    <s v="0    "/>
    <s v="3229228485                    "/>
    <n v="30"/>
  </r>
  <r>
    <s v="202601"/>
    <s v="8173730             "/>
    <x v="174"/>
    <x v="3"/>
    <s v="FEDC156489  "/>
    <n v="726200"/>
    <x v="3"/>
    <n v="30"/>
    <d v="2025-12-29T00:00:00"/>
    <d v="2026-01-28T00:00:00"/>
    <x v="2"/>
    <x v="9"/>
    <s v="0    "/>
    <s v="3123817408                    "/>
    <n v="1"/>
  </r>
  <r>
    <s v="202601"/>
    <s v="8173730             "/>
    <x v="174"/>
    <x v="3"/>
    <s v="FEDC156490  "/>
    <n v="483974"/>
    <x v="3"/>
    <n v="30"/>
    <d v="2025-12-29T00:00:00"/>
    <d v="2026-01-28T00:00:00"/>
    <x v="2"/>
    <x v="9"/>
    <s v="0    "/>
    <s v="3123817408                    "/>
    <n v="1"/>
  </r>
  <r>
    <s v="202601"/>
    <s v="98599409            "/>
    <x v="107"/>
    <x v="3"/>
    <s v="FEDC156491  "/>
    <n v="1496000"/>
    <x v="3"/>
    <n v="30"/>
    <d v="2025-12-29T00:00:00"/>
    <d v="2026-01-28T00:00:00"/>
    <x v="2"/>
    <x v="9"/>
    <s v="1    "/>
    <s v="3165313681                    "/>
    <n v="30"/>
  </r>
  <r>
    <s v="202601"/>
    <s v="50929248            "/>
    <x v="164"/>
    <x v="46"/>
    <s v="FEDC156492  "/>
    <n v="429200"/>
    <x v="3"/>
    <n v="30"/>
    <d v="2025-12-29T00:00:00"/>
    <d v="2026-01-28T00:00:00"/>
    <x v="2"/>
    <x v="9"/>
    <s v="0    "/>
    <s v="3122345938                    "/>
    <n v="30"/>
  </r>
  <r>
    <s v="202601"/>
    <s v="50929248            "/>
    <x v="164"/>
    <x v="46"/>
    <s v="FEDC156493  "/>
    <n v="31199"/>
    <x v="3"/>
    <n v="30"/>
    <d v="2025-12-29T00:00:00"/>
    <d v="2026-01-28T00:00:00"/>
    <x v="2"/>
    <x v="9"/>
    <s v="0    "/>
    <s v="3122345938                    "/>
    <n v="30"/>
  </r>
  <r>
    <s v="202601"/>
    <s v="98599409            "/>
    <x v="107"/>
    <x v="3"/>
    <s v="FEDC156497  "/>
    <n v="76198"/>
    <x v="3"/>
    <n v="30"/>
    <d v="2025-12-29T00:00:00"/>
    <d v="2026-01-28T00:00:00"/>
    <x v="2"/>
    <x v="9"/>
    <s v="1    "/>
    <s v="3165313681                    "/>
    <n v="30"/>
  </r>
  <r>
    <s v="202601"/>
    <s v="78240006            "/>
    <x v="176"/>
    <x v="46"/>
    <s v="FEDC156498  "/>
    <n v="281600"/>
    <x v="3"/>
    <n v="30"/>
    <d v="2025-12-29T00:00:00"/>
    <d v="2026-01-28T00:00:00"/>
    <x v="2"/>
    <x v="9"/>
    <s v="0    "/>
    <s v="3122821283     "/>
    <n v="30"/>
  </r>
  <r>
    <s v="202601"/>
    <s v="78240006            "/>
    <x v="176"/>
    <x v="46"/>
    <s v="FEDC156499  "/>
    <n v="248578"/>
    <x v="3"/>
    <n v="30"/>
    <d v="2025-12-29T00:00:00"/>
    <d v="2026-01-28T00:00:00"/>
    <x v="2"/>
    <x v="9"/>
    <s v="0    "/>
    <s v="3122821283     "/>
    <n v="30"/>
  </r>
  <r>
    <s v="202601"/>
    <s v="70163318            "/>
    <x v="121"/>
    <x v="46"/>
    <s v="FEDC156502  "/>
    <n v="2122987"/>
    <x v="3"/>
    <n v="30"/>
    <d v="2025-12-29T00:00:00"/>
    <d v="2026-01-28T00:00:00"/>
    <x v="2"/>
    <x v="9"/>
    <s v="0    "/>
    <s v="3148732837 -3146457008Cesar   "/>
    <n v="30"/>
  </r>
  <r>
    <s v="202601"/>
    <s v="39156271            "/>
    <x v="307"/>
    <x v="3"/>
    <s v="FEDC156503  "/>
    <n v="322400"/>
    <x v="3"/>
    <n v="30"/>
    <d v="2025-12-29T00:00:00"/>
    <d v="2026-01-28T00:00:00"/>
    <x v="2"/>
    <x v="9"/>
    <s v="0    "/>
    <s v="3145161317                    "/>
    <n v="30"/>
  </r>
  <r>
    <s v="202601"/>
    <s v="39156271            "/>
    <x v="307"/>
    <x v="3"/>
    <s v="FEDC156504  "/>
    <n v="323523"/>
    <x v="3"/>
    <n v="30"/>
    <d v="2025-12-29T00:00:00"/>
    <d v="2026-01-28T00:00:00"/>
    <x v="2"/>
    <x v="9"/>
    <s v="0    "/>
    <s v="3145161317                    "/>
    <n v="30"/>
  </r>
  <r>
    <s v="202601"/>
    <s v="98599409            "/>
    <x v="107"/>
    <x v="3"/>
    <s v="FEDC156505  "/>
    <n v="294424"/>
    <x v="3"/>
    <n v="30"/>
    <d v="2025-12-29T00:00:00"/>
    <d v="2026-01-28T00:00:00"/>
    <x v="2"/>
    <x v="9"/>
    <s v="1    "/>
    <s v="3165313681                    "/>
    <n v="30"/>
  </r>
  <r>
    <s v="202601"/>
    <s v="50918946            "/>
    <x v="308"/>
    <x v="3"/>
    <s v="FEDC156511  "/>
    <n v="256800"/>
    <x v="3"/>
    <n v="30"/>
    <d v="2025-12-29T00:00:00"/>
    <d v="2026-01-28T00:00:00"/>
    <x v="2"/>
    <x v="9"/>
    <s v="0    "/>
    <s v="3135963768 Cleobis -8205181   "/>
    <n v="30"/>
  </r>
  <r>
    <s v="202601"/>
    <s v="50918946            "/>
    <x v="308"/>
    <x v="3"/>
    <s v="FEDC156512  "/>
    <n v="182699"/>
    <x v="3"/>
    <n v="30"/>
    <d v="2025-12-29T00:00:00"/>
    <d v="2026-01-28T00:00:00"/>
    <x v="2"/>
    <x v="9"/>
    <s v="0    "/>
    <s v="3135963768 Cleobis -8205181   "/>
    <n v="30"/>
  </r>
  <r>
    <s v="202601"/>
    <s v="8174072             "/>
    <x v="163"/>
    <x v="3"/>
    <s v="FEDC156513  "/>
    <n v="3280375"/>
    <x v="3"/>
    <n v="30"/>
    <d v="2025-12-29T00:00:00"/>
    <d v="2026-01-28T00:00:00"/>
    <x v="2"/>
    <x v="9"/>
    <s v="0    "/>
    <s v="3223640656                    "/>
    <n v="30"/>
  </r>
  <r>
    <s v="202601"/>
    <s v="8174072             "/>
    <x v="163"/>
    <x v="3"/>
    <s v="FEDC156514  "/>
    <n v="2276259"/>
    <x v="3"/>
    <n v="30"/>
    <d v="2025-12-29T00:00:00"/>
    <d v="2026-01-28T00:00:00"/>
    <x v="2"/>
    <x v="9"/>
    <s v="0    "/>
    <s v="3223640656                    "/>
    <n v="30"/>
  </r>
  <r>
    <s v="202601"/>
    <s v="32251628            "/>
    <x v="309"/>
    <x v="46"/>
    <s v="FEDC156516  "/>
    <n v="5422"/>
    <x v="3"/>
    <n v="30"/>
    <d v="2025-12-29T00:00:00"/>
    <d v="2026-01-28T00:00:00"/>
    <x v="2"/>
    <x v="9"/>
    <s v="0    "/>
    <s v="3164025498                    "/>
    <n v="1"/>
  </r>
  <r>
    <s v="202601"/>
    <s v="901934200-3         "/>
    <x v="310"/>
    <x v="46"/>
    <s v="FEDC156517  "/>
    <n v="2921921"/>
    <x v="3"/>
    <n v="30"/>
    <d v="2025-12-29T00:00:00"/>
    <d v="2026-01-28T00:00:00"/>
    <x v="2"/>
    <x v="9"/>
    <s v="0    "/>
    <s v="3105015996                    "/>
    <n v="30"/>
  </r>
  <r>
    <s v="202601"/>
    <s v="1073996347          "/>
    <x v="122"/>
    <x v="46"/>
    <s v="FEDC156518  "/>
    <n v="9120000"/>
    <x v="3"/>
    <n v="30"/>
    <d v="2025-12-29T00:00:00"/>
    <d v="2026-01-28T00:00:00"/>
    <x v="2"/>
    <x v="9"/>
    <s v="0    "/>
    <s v="3167167184                    "/>
    <n v="30"/>
  </r>
  <r>
    <s v="202601"/>
    <s v="71256025            "/>
    <x v="116"/>
    <x v="46"/>
    <s v="FEDC156521  "/>
    <n v="398215"/>
    <x v="3"/>
    <n v="30"/>
    <d v="2025-12-29T00:00:00"/>
    <d v="2026-01-28T00:00:00"/>
    <x v="2"/>
    <x v="9"/>
    <s v="0    "/>
    <s v="3008137639                    "/>
    <n v="30"/>
  </r>
  <r>
    <s v="202601"/>
    <s v="71256025            "/>
    <x v="116"/>
    <x v="46"/>
    <s v="FEDC156522  "/>
    <n v="239803"/>
    <x v="3"/>
    <n v="30"/>
    <d v="2025-12-29T00:00:00"/>
    <d v="2026-01-28T00:00:00"/>
    <x v="2"/>
    <x v="9"/>
    <s v="0    "/>
    <s v="3008137639                    "/>
    <n v="30"/>
  </r>
  <r>
    <s v="202601"/>
    <s v="1073996347          "/>
    <x v="122"/>
    <x v="46"/>
    <s v="FEDC156526  "/>
    <n v="5205202"/>
    <x v="3"/>
    <n v="30"/>
    <d v="2025-12-29T00:00:00"/>
    <d v="2026-01-28T00:00:00"/>
    <x v="2"/>
    <x v="9"/>
    <s v="0    "/>
    <s v="3167167184                    "/>
    <n v="30"/>
  </r>
  <r>
    <s v="202601"/>
    <s v="1073996347          "/>
    <x v="122"/>
    <x v="46"/>
    <s v="FEDC156527  "/>
    <n v="3026951"/>
    <x v="3"/>
    <n v="30"/>
    <d v="2025-12-29T00:00:00"/>
    <d v="2026-01-28T00:00:00"/>
    <x v="2"/>
    <x v="9"/>
    <s v="0    "/>
    <s v="3167167184                    "/>
    <n v="30"/>
  </r>
  <r>
    <s v="202601"/>
    <s v="8328496             "/>
    <x v="115"/>
    <x v="3"/>
    <s v="FEDC156528  "/>
    <n v="103500"/>
    <x v="3"/>
    <n v="30"/>
    <d v="2025-12-29T00:00:00"/>
    <d v="2026-01-28T00:00:00"/>
    <x v="2"/>
    <x v="9"/>
    <s v="0    "/>
    <s v="3215166593"/>
    <n v="30"/>
  </r>
  <r>
    <s v="202601"/>
    <s v="8328496             "/>
    <x v="115"/>
    <x v="3"/>
    <s v="FEDC156529  "/>
    <n v="766800"/>
    <x v="3"/>
    <n v="30"/>
    <d v="2025-12-29T00:00:00"/>
    <d v="2026-01-28T00:00:00"/>
    <x v="2"/>
    <x v="9"/>
    <s v="0    "/>
    <s v="3215166593"/>
    <n v="30"/>
  </r>
  <r>
    <s v="202601"/>
    <s v="98599409            "/>
    <x v="107"/>
    <x v="3"/>
    <s v="FEDC156533  "/>
    <n v="335999"/>
    <x v="3"/>
    <n v="30"/>
    <d v="2025-12-29T00:00:00"/>
    <d v="2026-01-28T00:00:00"/>
    <x v="2"/>
    <x v="9"/>
    <s v="1    "/>
    <s v="3165313681                    "/>
    <n v="30"/>
  </r>
  <r>
    <s v="202601"/>
    <s v="98600662            "/>
    <x v="118"/>
    <x v="46"/>
    <s v="FEDC156539  "/>
    <n v="3125326"/>
    <x v="3"/>
    <n v="30"/>
    <d v="2025-12-29T00:00:00"/>
    <d v="2026-01-28T00:00:00"/>
    <x v="2"/>
    <x v="9"/>
    <s v="0    "/>
    <s v="3145313565                    "/>
    <n v="30"/>
  </r>
  <r>
    <s v="202601"/>
    <s v="98600662            "/>
    <x v="118"/>
    <x v="46"/>
    <s v="FEDC156540  "/>
    <n v="2120001"/>
    <x v="3"/>
    <n v="30"/>
    <d v="2025-12-29T00:00:00"/>
    <d v="2026-01-28T00:00:00"/>
    <x v="2"/>
    <x v="9"/>
    <s v="0    "/>
    <s v="3145313565                    "/>
    <n v="30"/>
  </r>
  <r>
    <s v="202601"/>
    <s v="22041533            "/>
    <x v="162"/>
    <x v="3"/>
    <s v="FEVM44154   "/>
    <n v="1452882"/>
    <x v="3"/>
    <n v="30"/>
    <d v="2025-12-29T00:00:00"/>
    <d v="2026-01-28T00:00:00"/>
    <x v="2"/>
    <x v="9"/>
    <s v="0    "/>
    <s v="3217615388     "/>
    <n v="30"/>
  </r>
  <r>
    <s v="202601"/>
    <s v="1041261379          "/>
    <x v="189"/>
    <x v="3"/>
    <s v="FEVM44155   "/>
    <n v="466400"/>
    <x v="3"/>
    <n v="30"/>
    <d v="2025-12-29T00:00:00"/>
    <d v="2026-01-28T00:00:00"/>
    <x v="2"/>
    <x v="9"/>
    <s v="0    "/>
    <s v="3128631222                    "/>
    <n v="30"/>
  </r>
  <r>
    <s v="202601"/>
    <s v="98611367            "/>
    <x v="123"/>
    <x v="46"/>
    <s v="FEVM44156   "/>
    <n v="567000"/>
    <x v="3"/>
    <n v="30"/>
    <d v="2025-12-29T00:00:00"/>
    <d v="2026-01-28T00:00:00"/>
    <x v="2"/>
    <x v="9"/>
    <s v="0    "/>
    <s v="3182088367-3155764811         "/>
    <n v="30"/>
  </r>
  <r>
    <s v="202601"/>
    <s v="1                   "/>
    <x v="208"/>
    <x v="13"/>
    <s v="FEDC156581  "/>
    <n v="840000"/>
    <x v="5"/>
    <n v="29"/>
    <d v="2025-12-30T00:00:00"/>
    <d v="2025-12-31T00:00:00"/>
    <x v="18"/>
    <x v="4"/>
    <s v="0    "/>
    <s v=""/>
    <n v="1"/>
  </r>
  <r>
    <s v="202601"/>
    <s v="43403646            "/>
    <x v="260"/>
    <x v="13"/>
    <s v="FEDC156594  "/>
    <n v="345005"/>
    <x v="3"/>
    <n v="29"/>
    <d v="2025-12-30T00:00:00"/>
    <d v="2026-01-29T00:00:00"/>
    <x v="18"/>
    <x v="13"/>
    <s v="0    "/>
    <s v="3016755296                    "/>
    <n v="30"/>
  </r>
  <r>
    <s v="202601"/>
    <s v="39272097            "/>
    <x v="311"/>
    <x v="37"/>
    <s v="FEDC156596  "/>
    <n v="621894"/>
    <x v="3"/>
    <n v="29"/>
    <d v="2025-12-30T00:00:00"/>
    <d v="2026-01-29T00:00:00"/>
    <x v="18"/>
    <x v="13"/>
    <s v="0    "/>
    <s v="3206719948                    "/>
    <n v="30"/>
  </r>
  <r>
    <s v="202601"/>
    <s v="1103102647          "/>
    <x v="312"/>
    <x v="13"/>
    <s v="FEDC156600  "/>
    <n v="138002"/>
    <x v="3"/>
    <n v="29"/>
    <d v="2025-12-30T00:00:00"/>
    <d v="2026-01-29T00:00:00"/>
    <x v="18"/>
    <x v="13"/>
    <s v="0    "/>
    <s v="3216981456                    "/>
    <n v="30"/>
  </r>
  <r>
    <s v="202601"/>
    <s v="3909678             "/>
    <x v="313"/>
    <x v="37"/>
    <s v="FEDC156601  "/>
    <n v="1991062"/>
    <x v="3"/>
    <n v="29"/>
    <d v="2025-12-30T00:00:00"/>
    <d v="2026-01-29T00:00:00"/>
    <x v="18"/>
    <x v="13"/>
    <s v="0    "/>
    <s v="3113205121"/>
    <n v="30"/>
  </r>
  <r>
    <s v="202601"/>
    <s v="3909678             "/>
    <x v="313"/>
    <x v="37"/>
    <s v="FEDC156602  "/>
    <n v="1063193"/>
    <x v="3"/>
    <n v="29"/>
    <d v="2025-12-30T00:00:00"/>
    <d v="2026-01-29T00:00:00"/>
    <x v="18"/>
    <x v="13"/>
    <s v="0    "/>
    <s v="3113205121"/>
    <n v="30"/>
  </r>
  <r>
    <s v="202601"/>
    <s v="15030463            "/>
    <x v="227"/>
    <x v="37"/>
    <s v="FEDC156604  "/>
    <n v="955000"/>
    <x v="3"/>
    <n v="29"/>
    <d v="2025-12-30T00:00:00"/>
    <d v="2026-01-29T00:00:00"/>
    <x v="18"/>
    <x v="13"/>
    <s v="0    "/>
    <s v="3185068224     "/>
    <n v="30"/>
  </r>
  <r>
    <s v="202601"/>
    <s v="1007652832          "/>
    <x v="206"/>
    <x v="13"/>
    <s v="FEDC156605  "/>
    <n v="1234311"/>
    <x v="3"/>
    <n v="29"/>
    <d v="2025-12-30T00:00:00"/>
    <d v="2026-01-29T00:00:00"/>
    <x v="18"/>
    <x v="13"/>
    <s v="0    "/>
    <s v="3003097106 -3013682585        "/>
    <n v="30"/>
  </r>
  <r>
    <s v="202601"/>
    <s v="1007652832          "/>
    <x v="206"/>
    <x v="13"/>
    <s v="FEDC156606  "/>
    <n v="4536473"/>
    <x v="3"/>
    <n v="29"/>
    <d v="2025-12-30T00:00:00"/>
    <d v="2026-01-29T00:00:00"/>
    <x v="18"/>
    <x v="13"/>
    <s v="0    "/>
    <s v="3003097106 -3013682585        "/>
    <n v="30"/>
  </r>
  <r>
    <s v="202601"/>
    <s v="15047058            "/>
    <x v="226"/>
    <x v="37"/>
    <s v="FEDC156607  "/>
    <n v="332110"/>
    <x v="3"/>
    <n v="29"/>
    <d v="2025-12-30T00:00:00"/>
    <d v="2026-01-29T00:00:00"/>
    <x v="18"/>
    <x v="13"/>
    <s v="0    "/>
    <s v="3226993920     "/>
    <n v="30"/>
  </r>
  <r>
    <s v="202601"/>
    <s v="1038138797          "/>
    <x v="182"/>
    <x v="13"/>
    <s v="FEDC156609  "/>
    <n v="445193"/>
    <x v="3"/>
    <n v="29"/>
    <d v="2025-12-30T00:00:00"/>
    <d v="2026-01-29T00:00:00"/>
    <x v="18"/>
    <x v="13"/>
    <s v="0    "/>
    <s v="3223117873                    "/>
    <n v="30"/>
  </r>
  <r>
    <s v="202601"/>
    <s v="1127958438          "/>
    <x v="159"/>
    <x v="13"/>
    <s v="FEDC156610  "/>
    <n v="8400000"/>
    <x v="3"/>
    <n v="29"/>
    <d v="2025-12-30T00:00:00"/>
    <d v="2026-01-29T00:00:00"/>
    <x v="18"/>
    <x v="13"/>
    <s v="0    "/>
    <s v="3204475005                    "/>
    <n v="30"/>
  </r>
  <r>
    <s v="202601"/>
    <s v="1233345840          "/>
    <x v="314"/>
    <x v="13"/>
    <s v="FEDC156611  "/>
    <n v="759160"/>
    <x v="3"/>
    <n v="29"/>
    <d v="2025-12-30T00:00:00"/>
    <d v="2026-01-29T00:00:00"/>
    <x v="18"/>
    <x v="13"/>
    <s v="0    "/>
    <s v="3172967714 -3232010208        "/>
    <n v="30"/>
  </r>
  <r>
    <s v="202601"/>
    <s v="1066509289          "/>
    <x v="315"/>
    <x v="13"/>
    <s v="FEDC156612  "/>
    <n v="1233056"/>
    <x v="3"/>
    <n v="29"/>
    <d v="2025-12-30T00:00:00"/>
    <d v="2026-01-29T00:00:00"/>
    <x v="18"/>
    <x v="13"/>
    <s v="0    "/>
    <s v="3116136936                    "/>
    <n v="30"/>
  </r>
  <r>
    <s v="202601"/>
    <s v="98654169            "/>
    <x v="218"/>
    <x v="13"/>
    <s v="FEDC156614  "/>
    <n v="1811583"/>
    <x v="3"/>
    <n v="29"/>
    <d v="2025-12-30T00:00:00"/>
    <d v="2026-01-29T00:00:00"/>
    <x v="18"/>
    <x v="13"/>
    <s v="0    "/>
    <s v="3113235407                    "/>
    <n v="30"/>
  </r>
  <r>
    <s v="202601"/>
    <s v="1036422731          "/>
    <x v="112"/>
    <x v="12"/>
    <s v="FEDC156615  "/>
    <n v="833714"/>
    <x v="3"/>
    <n v="29"/>
    <d v="2025-12-30T00:00:00"/>
    <d v="2026-01-29T00:00:00"/>
    <x v="18"/>
    <x v="1"/>
    <s v="0    "/>
    <s v="3136876168                    "/>
    <n v="1"/>
  </r>
  <r>
    <s v="202601"/>
    <s v="1036422731          "/>
    <x v="112"/>
    <x v="12"/>
    <s v="FEDC156616  "/>
    <n v="1088521"/>
    <x v="3"/>
    <n v="29"/>
    <d v="2025-12-30T00:00:00"/>
    <d v="2026-01-29T00:00:00"/>
    <x v="18"/>
    <x v="1"/>
    <s v="0    "/>
    <s v="3136876168                    "/>
    <n v="1"/>
  </r>
  <r>
    <s v="202601"/>
    <s v="901758127-9         "/>
    <x v="170"/>
    <x v="24"/>
    <s v="FEDC156619  "/>
    <n v="1312247"/>
    <x v="3"/>
    <n v="29"/>
    <d v="2025-12-30T00:00:00"/>
    <d v="2026-01-29T00:00:00"/>
    <x v="18"/>
    <x v="12"/>
    <s v="0    "/>
    <s v="3107091608                    "/>
    <n v="30"/>
  </r>
  <r>
    <s v="202601"/>
    <s v="901758127-9         "/>
    <x v="170"/>
    <x v="24"/>
    <s v="FEDC156620  "/>
    <n v="679002"/>
    <x v="3"/>
    <n v="29"/>
    <d v="2025-12-30T00:00:00"/>
    <d v="2026-01-29T00:00:00"/>
    <x v="18"/>
    <x v="12"/>
    <s v="0    "/>
    <s v="3107091608                    "/>
    <n v="30"/>
  </r>
  <r>
    <s v="202601"/>
    <s v="8373571             "/>
    <x v="316"/>
    <x v="13"/>
    <s v="FEDC156633  "/>
    <n v="1577238"/>
    <x v="3"/>
    <n v="29"/>
    <d v="2025-12-30T00:00:00"/>
    <d v="2026-01-29T00:00:00"/>
    <x v="18"/>
    <x v="13"/>
    <s v="0    "/>
    <s v="3192555227-3113812119         "/>
    <n v="30"/>
  </r>
  <r>
    <s v="202601"/>
    <s v="15030463            "/>
    <x v="227"/>
    <x v="37"/>
    <s v="FEDC156648  "/>
    <n v="336550"/>
    <x v="3"/>
    <n v="29"/>
    <d v="2025-12-30T00:00:00"/>
    <d v="2026-01-29T00:00:00"/>
    <x v="18"/>
    <x v="13"/>
    <s v="0    "/>
    <s v="3185068224     "/>
    <n v="30"/>
  </r>
  <r>
    <s v="202601"/>
    <s v="19406277            "/>
    <x v="317"/>
    <x v="13"/>
    <s v="FEVM44174   "/>
    <n v="775202"/>
    <x v="3"/>
    <n v="29"/>
    <d v="2025-12-30T00:00:00"/>
    <d v="2026-01-29T00:00:00"/>
    <x v="18"/>
    <x v="10"/>
    <s v="0    "/>
    <s v="3146161665                    "/>
    <n v="30"/>
  </r>
  <r>
    <s v="202601"/>
    <s v="15030463            "/>
    <x v="227"/>
    <x v="37"/>
    <s v="FEVM44221   "/>
    <n v="388571"/>
    <x v="3"/>
    <n v="29"/>
    <d v="2025-12-30T00:00:00"/>
    <d v="2026-01-29T00:00:00"/>
    <x v="18"/>
    <x v="13"/>
    <s v="0    "/>
    <s v="3185068224     "/>
    <n v="30"/>
  </r>
  <r>
    <s v="202601"/>
    <s v="70951988            "/>
    <x v="131"/>
    <x v="27"/>
    <s v="FEDC156585  "/>
    <n v="492896"/>
    <x v="3"/>
    <n v="29"/>
    <d v="2025-12-30T00:00:00"/>
    <d v="2026-01-29T00:00:00"/>
    <x v="14"/>
    <x v="9"/>
    <s v="0    "/>
    <s v="8372646- 3127061378 cocho     "/>
    <n v="30"/>
  </r>
  <r>
    <s v="202601"/>
    <s v="70951988            "/>
    <x v="131"/>
    <x v="27"/>
    <s v="FEDC156586  "/>
    <n v="3650315"/>
    <x v="3"/>
    <n v="29"/>
    <d v="2025-12-30T00:00:00"/>
    <d v="2026-01-29T00:00:00"/>
    <x v="14"/>
    <x v="4"/>
    <s v="0    "/>
    <s v="8372646- 3127061378 cocho     "/>
    <n v="30"/>
  </r>
  <r>
    <s v="202601"/>
    <s v="1041087282          "/>
    <x v="318"/>
    <x v="74"/>
    <s v="FEDC156636  "/>
    <n v="2676662"/>
    <x v="3"/>
    <n v="29"/>
    <d v="2025-12-30T00:00:00"/>
    <d v="2026-01-29T00:00:00"/>
    <x v="14"/>
    <x v="4"/>
    <s v="0    "/>
    <s v="3223604097                    "/>
    <n v="30"/>
  </r>
  <r>
    <s v="202601"/>
    <s v="1041087282          "/>
    <x v="318"/>
    <x v="74"/>
    <s v="FEDC156637  "/>
    <n v="594112"/>
    <x v="3"/>
    <n v="29"/>
    <d v="2025-12-30T00:00:00"/>
    <d v="2026-01-29T00:00:00"/>
    <x v="14"/>
    <x v="4"/>
    <s v="0    "/>
    <s v="3223604097                    "/>
    <n v="30"/>
  </r>
  <r>
    <s v="202601"/>
    <s v="1041087282          "/>
    <x v="318"/>
    <x v="74"/>
    <s v="FEDC156638  "/>
    <n v="1684748"/>
    <x v="3"/>
    <n v="29"/>
    <d v="2025-12-30T00:00:00"/>
    <d v="2026-01-29T00:00:00"/>
    <x v="14"/>
    <x v="4"/>
    <s v="0    "/>
    <s v="3223604097                    "/>
    <n v="30"/>
  </r>
  <r>
    <s v="202601"/>
    <s v="92519934            "/>
    <x v="82"/>
    <x v="48"/>
    <s v="FEDC156639  "/>
    <n v="4240000"/>
    <x v="3"/>
    <n v="29"/>
    <d v="2025-12-30T00:00:00"/>
    <d v="2026-01-29T00:00:00"/>
    <x v="14"/>
    <x v="4"/>
    <s v="0    "/>
    <s v="3156590971                    "/>
    <n v="30"/>
  </r>
  <r>
    <s v="202601"/>
    <s v="92519934            "/>
    <x v="82"/>
    <x v="48"/>
    <s v="FEDC156640  "/>
    <n v="1034164"/>
    <x v="3"/>
    <n v="29"/>
    <d v="2025-12-30T00:00:00"/>
    <d v="2026-01-29T00:00:00"/>
    <x v="14"/>
    <x v="4"/>
    <s v="0    "/>
    <s v="3156590971                    "/>
    <n v="30"/>
  </r>
  <r>
    <s v="202601"/>
    <s v="1026569148          "/>
    <x v="196"/>
    <x v="60"/>
    <s v="FEDC156641  "/>
    <n v="726874"/>
    <x v="3"/>
    <n v="29"/>
    <d v="2025-12-30T00:00:00"/>
    <d v="2026-01-29T00:00:00"/>
    <x v="14"/>
    <x v="4"/>
    <s v="0    "/>
    <s v="3135069525     "/>
    <n v="30"/>
  </r>
  <r>
    <s v="202601"/>
    <s v="92519934            "/>
    <x v="82"/>
    <x v="48"/>
    <s v="FEDC156643  "/>
    <n v="2616012"/>
    <x v="3"/>
    <n v="29"/>
    <d v="2025-12-30T00:00:00"/>
    <d v="2026-01-29T00:00:00"/>
    <x v="14"/>
    <x v="4"/>
    <s v="0    "/>
    <s v="3156590971                    "/>
    <n v="30"/>
  </r>
  <r>
    <s v="202601"/>
    <s v="1026569148          "/>
    <x v="196"/>
    <x v="60"/>
    <s v="FEDC156644  "/>
    <n v="357994"/>
    <x v="3"/>
    <n v="29"/>
    <d v="2025-12-30T00:00:00"/>
    <d v="2026-01-29T00:00:00"/>
    <x v="14"/>
    <x v="9"/>
    <s v="0    "/>
    <s v="3135069525     "/>
    <n v="30"/>
  </r>
  <r>
    <s v="202601"/>
    <s v="901871276-0         "/>
    <x v="223"/>
    <x v="25"/>
    <s v="FEDC156669  "/>
    <n v="561461"/>
    <x v="3"/>
    <n v="29"/>
    <d v="2025-12-30T00:00:00"/>
    <d v="2026-01-29T00:00:00"/>
    <x v="16"/>
    <x v="4"/>
    <s v="0    "/>
    <s v="3145691266                    "/>
    <n v="30"/>
  </r>
  <r>
    <s v="202601"/>
    <s v="43403431            "/>
    <x v="319"/>
    <x v="21"/>
    <s v="FEDC156670  "/>
    <n v="5666844"/>
    <x v="3"/>
    <n v="29"/>
    <d v="2025-12-30T00:00:00"/>
    <d v="2026-01-29T00:00:00"/>
    <x v="16"/>
    <x v="4"/>
    <s v="0    "/>
    <s v="3104037668                    "/>
    <n v="30"/>
  </r>
  <r>
    <s v="202601"/>
    <s v="1045140006          "/>
    <x v="320"/>
    <x v="25"/>
    <s v="FEDC156671  "/>
    <n v="1801207"/>
    <x v="3"/>
    <n v="29"/>
    <d v="2025-12-30T00:00:00"/>
    <d v="2026-01-29T00:00:00"/>
    <x v="16"/>
    <x v="4"/>
    <s v="0    "/>
    <s v="3214694109                    "/>
    <n v="30"/>
  </r>
  <r>
    <s v="202601"/>
    <s v="78297325            "/>
    <x v="256"/>
    <x v="2"/>
    <s v="FEDC156656  "/>
    <n v="640215"/>
    <x v="3"/>
    <n v="29"/>
    <d v="2025-12-30T00:00:00"/>
    <d v="2026-01-29T00:00:00"/>
    <x v="1"/>
    <x v="5"/>
    <s v="0    "/>
    <s v=""/>
    <n v="30"/>
  </r>
  <r>
    <s v="202601"/>
    <s v="78302654            "/>
    <x v="141"/>
    <x v="2"/>
    <s v="FEDC156657  "/>
    <n v="1854"/>
    <x v="1"/>
    <n v="29"/>
    <d v="2025-12-30T00:00:00"/>
    <d v="2026-01-14T00:00:00"/>
    <x v="1"/>
    <x v="12"/>
    <s v="0    "/>
    <s v="3232928340 -3116576434        "/>
    <n v="15"/>
  </r>
  <r>
    <s v="202601"/>
    <s v="8039801             "/>
    <x v="254"/>
    <x v="2"/>
    <s v="FEDC156658  "/>
    <n v="2665393"/>
    <x v="3"/>
    <n v="29"/>
    <d v="2025-12-30T00:00:00"/>
    <d v="2026-01-29T00:00:00"/>
    <x v="1"/>
    <x v="12"/>
    <s v="0    "/>
    <s v="3137338262                    "/>
    <n v="30"/>
  </r>
  <r>
    <s v="202601"/>
    <s v="901972197           "/>
    <x v="255"/>
    <x v="1"/>
    <s v="FEDC156659  "/>
    <n v="127499"/>
    <x v="3"/>
    <n v="29"/>
    <d v="2025-12-30T00:00:00"/>
    <d v="2026-01-29T00:00:00"/>
    <x v="1"/>
    <x v="12"/>
    <s v="0    "/>
    <s v="3215776957                    "/>
    <n v="30"/>
  </r>
  <r>
    <s v="202601"/>
    <s v="92230646-9          "/>
    <x v="142"/>
    <x v="1"/>
    <s v="FEDC156660  "/>
    <n v="2180741"/>
    <x v="3"/>
    <n v="29"/>
    <d v="2025-12-30T00:00:00"/>
    <d v="2026-01-29T00:00:00"/>
    <x v="1"/>
    <x v="12"/>
    <s v="0    "/>
    <s v="3137991253                    "/>
    <n v="30"/>
  </r>
  <r>
    <s v="202601"/>
    <s v="49717314            "/>
    <x v="184"/>
    <x v="1"/>
    <s v="FEDC156661  "/>
    <n v="850000"/>
    <x v="3"/>
    <n v="29"/>
    <d v="2025-12-30T00:00:00"/>
    <d v="2026-01-29T00:00:00"/>
    <x v="1"/>
    <x v="12"/>
    <s v="0    "/>
    <s v="3112216146                    "/>
    <n v="30"/>
  </r>
  <r>
    <s v="202601"/>
    <s v="78297325            "/>
    <x v="256"/>
    <x v="2"/>
    <s v="FEDC156662  "/>
    <n v="1394528"/>
    <x v="3"/>
    <n v="29"/>
    <d v="2025-12-30T00:00:00"/>
    <d v="2026-01-29T00:00:00"/>
    <x v="1"/>
    <x v="12"/>
    <s v="0    "/>
    <s v=""/>
    <n v="30"/>
  </r>
  <r>
    <s v="202601"/>
    <s v="1152210244          "/>
    <x v="62"/>
    <x v="1"/>
    <s v="FEDC156663  "/>
    <n v="2450067"/>
    <x v="3"/>
    <n v="29"/>
    <d v="2025-12-30T00:00:00"/>
    <d v="2026-01-29T00:00:00"/>
    <x v="1"/>
    <x v="12"/>
    <s v="0    "/>
    <s v="3205555535                    "/>
    <n v="30"/>
  </r>
  <r>
    <s v="202601"/>
    <s v="1063366355          "/>
    <x v="237"/>
    <x v="24"/>
    <s v="FEDC156617  "/>
    <n v="2350993"/>
    <x v="3"/>
    <n v="29"/>
    <d v="2025-12-30T00:00:00"/>
    <d v="2026-01-29T00:00:00"/>
    <x v="24"/>
    <x v="12"/>
    <s v="0    "/>
    <s v="3107516465                    "/>
    <n v="30"/>
  </r>
  <r>
    <s v="202601"/>
    <s v="901868532-0         "/>
    <x v="106"/>
    <x v="24"/>
    <s v="FEDC156618  "/>
    <n v="5905219"/>
    <x v="3"/>
    <n v="29"/>
    <d v="2025-12-30T00:00:00"/>
    <d v="2026-01-29T00:00:00"/>
    <x v="24"/>
    <x v="12"/>
    <s v="0    "/>
    <s v="3138778653                    "/>
    <n v="30"/>
  </r>
  <r>
    <s v="202601"/>
    <s v="901158992-9         "/>
    <x v="127"/>
    <x v="24"/>
    <s v="FEDC156621  "/>
    <n v="2913720"/>
    <x v="3"/>
    <n v="29"/>
    <d v="2025-12-30T00:00:00"/>
    <d v="2026-01-29T00:00:00"/>
    <x v="24"/>
    <x v="12"/>
    <s v="0    "/>
    <s v="3002863464 - 3013900884       "/>
    <n v="30"/>
  </r>
  <r>
    <s v="202601"/>
    <s v="901158992-9         "/>
    <x v="127"/>
    <x v="24"/>
    <s v="FEDC156622  "/>
    <n v="7111517"/>
    <x v="3"/>
    <n v="29"/>
    <d v="2025-12-30T00:00:00"/>
    <d v="2026-01-29T00:00:00"/>
    <x v="24"/>
    <x v="12"/>
    <s v="0    "/>
    <s v="3002863464 - 3013900884       "/>
    <n v="30"/>
  </r>
  <r>
    <s v="202601"/>
    <s v="901411098-3         "/>
    <x v="321"/>
    <x v="24"/>
    <s v="FEDC156623  "/>
    <n v="939834"/>
    <x v="3"/>
    <n v="29"/>
    <d v="2025-12-30T00:00:00"/>
    <d v="2026-01-29T00:00:00"/>
    <x v="24"/>
    <x v="12"/>
    <s v="0    "/>
    <s v="3126921623                    "/>
    <n v="30"/>
  </r>
  <r>
    <s v="202601"/>
    <s v="901469032           "/>
    <x v="322"/>
    <x v="24"/>
    <s v="FEDC156624  "/>
    <n v="2195707"/>
    <x v="3"/>
    <n v="29"/>
    <d v="2025-12-30T00:00:00"/>
    <d v="2026-01-29T00:00:00"/>
    <x v="24"/>
    <x v="12"/>
    <s v="0    "/>
    <s v="3215382384                    "/>
    <n v="30"/>
  </r>
  <r>
    <s v="202601"/>
    <s v="901469032           "/>
    <x v="322"/>
    <x v="24"/>
    <s v="FEDC156625  "/>
    <n v="4029523"/>
    <x v="3"/>
    <n v="29"/>
    <d v="2025-12-30T00:00:00"/>
    <d v="2026-01-29T00:00:00"/>
    <x v="24"/>
    <x v="12"/>
    <s v="0    "/>
    <s v="3215382384                    "/>
    <n v="30"/>
  </r>
  <r>
    <s v="202601"/>
    <s v="901469032           "/>
    <x v="322"/>
    <x v="24"/>
    <s v="FEDC156626  "/>
    <n v="340001"/>
    <x v="3"/>
    <n v="29"/>
    <d v="2025-12-30T00:00:00"/>
    <d v="2026-01-29T00:00:00"/>
    <x v="24"/>
    <x v="12"/>
    <s v="0    "/>
    <s v="3215382384                    "/>
    <n v="30"/>
  </r>
  <r>
    <s v="202601"/>
    <s v="1045026065          "/>
    <x v="238"/>
    <x v="24"/>
    <s v="FEDC156627  "/>
    <n v="379003"/>
    <x v="3"/>
    <n v="29"/>
    <d v="2025-12-30T00:00:00"/>
    <d v="2026-01-29T00:00:00"/>
    <x v="24"/>
    <x v="12"/>
    <s v="0    "/>
    <s v="3108220432                    "/>
    <n v="30"/>
  </r>
  <r>
    <s v="202601"/>
    <s v="1045026065          "/>
    <x v="238"/>
    <x v="24"/>
    <s v="FEDC156628  "/>
    <n v="5012055"/>
    <x v="3"/>
    <n v="29"/>
    <d v="2025-12-30T00:00:00"/>
    <d v="2026-01-29T00:00:00"/>
    <x v="24"/>
    <x v="12"/>
    <s v="0    "/>
    <s v="3108220432                    "/>
    <n v="30"/>
  </r>
  <r>
    <s v="202601"/>
    <s v="26040349            "/>
    <x v="143"/>
    <x v="62"/>
    <s v="FEDC156652  "/>
    <n v="683888"/>
    <x v="3"/>
    <n v="29"/>
    <d v="2025-12-30T00:00:00"/>
    <d v="2026-01-29T00:00:00"/>
    <x v="37"/>
    <x v="12"/>
    <s v="0    "/>
    <s v="3002625361                    "/>
    <n v="30"/>
  </r>
  <r>
    <s v="202601"/>
    <s v="10953882            "/>
    <x v="125"/>
    <x v="62"/>
    <s v="FEDC156653  "/>
    <n v="6436557"/>
    <x v="3"/>
    <n v="29"/>
    <d v="2025-12-30T00:00:00"/>
    <d v="2026-01-29T00:00:00"/>
    <x v="37"/>
    <x v="12"/>
    <s v="0    "/>
    <s v="3205413224                    "/>
    <n v="30"/>
  </r>
  <r>
    <s v="202601"/>
    <s v="10953882            "/>
    <x v="125"/>
    <x v="62"/>
    <s v="FEDC156654  "/>
    <n v="13989385"/>
    <x v="3"/>
    <n v="29"/>
    <d v="2025-12-30T00:00:00"/>
    <d v="2026-01-29T00:00:00"/>
    <x v="37"/>
    <x v="12"/>
    <s v="0    "/>
    <s v="3205413224                    "/>
    <n v="30"/>
  </r>
  <r>
    <s v="202601"/>
    <s v="15674956            "/>
    <x v="323"/>
    <x v="41"/>
    <s v="FEVM44209   "/>
    <n v="964819"/>
    <x v="3"/>
    <n v="29"/>
    <d v="2025-12-30T00:00:00"/>
    <d v="2026-01-29T00:00:00"/>
    <x v="37"/>
    <x v="3"/>
    <s v="0    "/>
    <s v="3005245599     "/>
    <n v="30"/>
  </r>
  <r>
    <s v="202601"/>
    <s v="70903957            "/>
    <x v="109"/>
    <x v="47"/>
    <s v="FEDC156674  "/>
    <n v="790192"/>
    <x v="3"/>
    <n v="29"/>
    <d v="2025-12-30T00:00:00"/>
    <d v="2026-01-29T00:00:00"/>
    <x v="20"/>
    <x v="8"/>
    <s v="0    "/>
    <s v="3135637569                    "/>
    <n v="30"/>
  </r>
  <r>
    <s v="202601"/>
    <s v="1049030953          "/>
    <x v="324"/>
    <x v="12"/>
    <s v="FEDC156587  "/>
    <n v="3718918"/>
    <x v="3"/>
    <n v="29"/>
    <d v="2025-12-30T00:00:00"/>
    <d v="2026-01-29T00:00:00"/>
    <x v="9"/>
    <x v="1"/>
    <s v="0    "/>
    <s v="3148877185                    "/>
    <n v="30"/>
  </r>
  <r>
    <s v="202601"/>
    <s v="1026569148          "/>
    <x v="196"/>
    <x v="60"/>
    <s v="FEDC156589  "/>
    <n v="1394528"/>
    <x v="3"/>
    <n v="29"/>
    <d v="2025-12-30T00:00:00"/>
    <d v="2026-01-29T00:00:00"/>
    <x v="9"/>
    <x v="1"/>
    <s v="0    "/>
    <s v="3135069525     "/>
    <n v="30"/>
  </r>
  <r>
    <s v="202601"/>
    <s v="17656996            "/>
    <x v="325"/>
    <x v="60"/>
    <s v="FEDC156590  "/>
    <n v="2937516"/>
    <x v="3"/>
    <n v="29"/>
    <d v="2025-12-30T00:00:00"/>
    <d v="2026-01-29T00:00:00"/>
    <x v="9"/>
    <x v="1"/>
    <s v="0    "/>
    <s v="3137635860     "/>
    <n v="30"/>
  </r>
  <r>
    <s v="202601"/>
    <s v="1101382676          "/>
    <x v="326"/>
    <x v="12"/>
    <s v="FEDC156591  "/>
    <n v="937712"/>
    <x v="3"/>
    <n v="29"/>
    <d v="2025-12-30T00:00:00"/>
    <d v="2026-01-29T00:00:00"/>
    <x v="9"/>
    <x v="1"/>
    <s v="0    "/>
    <s v="3103730128 - 3207090247       "/>
    <n v="30"/>
  </r>
  <r>
    <s v="202601"/>
    <s v="1026569148          "/>
    <x v="196"/>
    <x v="60"/>
    <s v="FEDC156592  "/>
    <n v="119995"/>
    <x v="3"/>
    <n v="29"/>
    <d v="2025-12-30T00:00:00"/>
    <d v="2026-01-29T00:00:00"/>
    <x v="9"/>
    <x v="1"/>
    <s v="0    "/>
    <s v="3135069525     "/>
    <n v="30"/>
  </r>
  <r>
    <s v="202601"/>
    <s v="70529245            "/>
    <x v="129"/>
    <x v="64"/>
    <s v="FEVM44222   "/>
    <n v="2348000"/>
    <x v="3"/>
    <n v="29"/>
    <d v="2025-12-30T00:00:00"/>
    <d v="2026-01-29T00:00:00"/>
    <x v="33"/>
    <x v="8"/>
    <s v="0    "/>
    <s v="3215222148     "/>
    <n v="30"/>
  </r>
  <r>
    <s v="202601"/>
    <s v="78746792            "/>
    <x v="179"/>
    <x v="47"/>
    <s v="FEDC156673  "/>
    <n v="555075"/>
    <x v="3"/>
    <n v="29"/>
    <d v="2025-12-30T00:00:00"/>
    <d v="2026-01-29T00:00:00"/>
    <x v="39"/>
    <x v="8"/>
    <s v="0    "/>
    <s v="3145104965                    "/>
    <n v="30"/>
  </r>
  <r>
    <s v="202601"/>
    <s v="15047058            "/>
    <x v="226"/>
    <x v="37"/>
    <s v="FEDC156683  "/>
    <n v="599136"/>
    <x v="3"/>
    <n v="28"/>
    <d v="2025-12-31T00:00:00"/>
    <d v="2026-01-30T00:00:00"/>
    <x v="18"/>
    <x v="13"/>
    <s v="0    "/>
    <s v="3226993920     "/>
    <n v="30"/>
  </r>
  <r>
    <s v="202601"/>
    <s v="700413634           "/>
    <x v="327"/>
    <x v="13"/>
    <s v="FEDC156685  "/>
    <n v="495600"/>
    <x v="9"/>
    <n v="28"/>
    <d v="2025-12-31T00:00:00"/>
    <d v="2026-01-10T00:00:00"/>
    <x v="18"/>
    <x v="13"/>
    <s v="0    "/>
    <s v="3234897680                    "/>
    <n v="30"/>
  </r>
  <r>
    <s v="202601"/>
    <s v="32561626-3          "/>
    <x v="328"/>
    <x v="13"/>
    <s v="FEDC156690  "/>
    <n v="1593600"/>
    <x v="3"/>
    <n v="28"/>
    <d v="2025-12-31T00:00:00"/>
    <d v="2026-01-30T00:00:00"/>
    <x v="18"/>
    <x v="4"/>
    <s v="0    "/>
    <s v="3104427984-3146841981         "/>
    <n v="30"/>
  </r>
  <r>
    <s v="202601"/>
    <s v="70383501            "/>
    <x v="183"/>
    <x v="13"/>
    <s v="FEDC156709  "/>
    <n v="2287377"/>
    <x v="3"/>
    <n v="28"/>
    <d v="2025-12-31T00:00:00"/>
    <d v="2026-01-30T00:00:00"/>
    <x v="18"/>
    <x v="13"/>
    <s v="0    "/>
    <s v="3145052021                    "/>
    <n v="30"/>
  </r>
  <r>
    <s v="202601"/>
    <s v="1038097681          "/>
    <x v="165"/>
    <x v="13"/>
    <s v="FEVM44226   "/>
    <n v="504000"/>
    <x v="9"/>
    <n v="28"/>
    <d v="2025-12-31T00:00:00"/>
    <d v="2026-01-10T00:00:00"/>
    <x v="18"/>
    <x v="10"/>
    <s v="0    "/>
    <s v="3186811106                    "/>
    <n v="30"/>
  </r>
  <r>
    <s v="202601"/>
    <s v="1038097681          "/>
    <x v="165"/>
    <x v="13"/>
    <s v="FEVM44227   "/>
    <n v="892993"/>
    <x v="3"/>
    <n v="28"/>
    <d v="2025-12-31T00:00:00"/>
    <d v="2026-01-30T00:00:00"/>
    <x v="18"/>
    <x v="10"/>
    <s v="0    "/>
    <s v="3186811106                    "/>
    <n v="30"/>
  </r>
  <r>
    <s v="202601"/>
    <s v="70134491            "/>
    <x v="329"/>
    <x v="31"/>
    <s v="FEDC156708  "/>
    <n v="504000"/>
    <x v="3"/>
    <n v="28"/>
    <d v="2025-12-31T00:00:00"/>
    <d v="2026-01-30T00:00:00"/>
    <x v="10"/>
    <x v="4"/>
    <s v="0    "/>
    <s v="3128936297                    "/>
    <n v="30"/>
  </r>
  <r>
    <s v="202601"/>
    <s v="22243725            "/>
    <x v="225"/>
    <x v="25"/>
    <s v="FEDC156679  "/>
    <n v="2125000"/>
    <x v="3"/>
    <n v="28"/>
    <d v="2025-12-31T00:00:00"/>
    <d v="2026-01-30T00:00:00"/>
    <x v="16"/>
    <x v="4"/>
    <s v="0    "/>
    <s v="3143929658                    "/>
    <n v="30"/>
  </r>
  <r>
    <s v="202601"/>
    <s v="22243725            "/>
    <x v="225"/>
    <x v="25"/>
    <s v="FEDC156680  "/>
    <n v="3091302"/>
    <x v="3"/>
    <n v="28"/>
    <d v="2025-12-31T00:00:00"/>
    <d v="2026-01-30T00:00:00"/>
    <x v="16"/>
    <x v="4"/>
    <s v="0    "/>
    <s v="3143929658                    "/>
    <n v="30"/>
  </r>
  <r>
    <s v="202601"/>
    <s v="22243725            "/>
    <x v="225"/>
    <x v="25"/>
    <s v="FEDC156681  "/>
    <n v="3982571"/>
    <x v="3"/>
    <n v="28"/>
    <d v="2025-12-31T00:00:00"/>
    <d v="2026-01-30T00:00:00"/>
    <x v="16"/>
    <x v="4"/>
    <s v="0    "/>
    <s v="3143929658                    "/>
    <n v="30"/>
  </r>
  <r>
    <s v="202601"/>
    <s v="22243725            "/>
    <x v="225"/>
    <x v="25"/>
    <s v="FEDC156698  "/>
    <n v="420003"/>
    <x v="3"/>
    <n v="28"/>
    <d v="2025-12-31T00:00:00"/>
    <d v="2026-01-30T00:00:00"/>
    <x v="16"/>
    <x v="4"/>
    <s v="0    "/>
    <s v="3143929658                    "/>
    <n v="30"/>
  </r>
  <r>
    <s v="202601"/>
    <s v="1066514536          "/>
    <x v="295"/>
    <x v="78"/>
    <s v="FEDC156682  "/>
    <n v="315000"/>
    <x v="3"/>
    <n v="28"/>
    <d v="2025-12-31T00:00:00"/>
    <d v="2026-01-30T00:00:00"/>
    <x v="22"/>
    <x v="10"/>
    <s v="0    "/>
    <s v="3126387574     "/>
    <n v="30"/>
  </r>
  <r>
    <s v="202601"/>
    <s v="15324575            "/>
    <x v="330"/>
    <x v="70"/>
    <s v="FEDC156706  "/>
    <n v="1235800"/>
    <x v="3"/>
    <n v="28"/>
    <d v="2025-12-31T00:00:00"/>
    <d v="2026-01-30T00:00:00"/>
    <x v="35"/>
    <x v="12"/>
    <s v="0    "/>
    <s v="3128662890     "/>
    <n v="30"/>
  </r>
  <r>
    <s v="202601"/>
    <s v="1193127295          "/>
    <x v="212"/>
    <x v="76"/>
    <s v="FEDC156712  "/>
    <n v="425000"/>
    <x v="3"/>
    <n v="28"/>
    <d v="2025-12-31T00:00:00"/>
    <d v="2026-01-30T00:00:00"/>
    <x v="35"/>
    <x v="12"/>
    <s v="0    "/>
    <s v="3212393367                    "/>
    <n v="15"/>
  </r>
  <r>
    <s v="202601"/>
    <s v="15309183            "/>
    <x v="152"/>
    <x v="70"/>
    <s v="FEVM44243   "/>
    <n v="2138287"/>
    <x v="3"/>
    <n v="28"/>
    <d v="2025-12-31T00:00:00"/>
    <d v="2026-01-30T00:00:00"/>
    <x v="35"/>
    <x v="12"/>
    <s v="0    "/>
    <s v="3217254890                    "/>
    <n v="30"/>
  </r>
  <r>
    <s v="202601"/>
    <s v="1193127295          "/>
    <x v="212"/>
    <x v="76"/>
    <s v="FEVM44244   "/>
    <n v="1255979"/>
    <x v="3"/>
    <n v="28"/>
    <d v="2025-12-31T00:00:00"/>
    <d v="2026-01-30T00:00:00"/>
    <x v="35"/>
    <x v="12"/>
    <s v="0    "/>
    <s v="3212393367                    "/>
    <n v="15"/>
  </r>
  <r>
    <s v="202601"/>
    <s v="1003810605          "/>
    <x v="192"/>
    <x v="13"/>
    <s v="FEDC156722  "/>
    <n v="4173527"/>
    <x v="3"/>
    <n v="23"/>
    <d v="2026-01-05T00:00:00"/>
    <d v="2026-02-04T00:00:00"/>
    <x v="18"/>
    <x v="13"/>
    <s v="0    "/>
    <s v="3218007944                    "/>
    <n v="30"/>
  </r>
  <r>
    <s v="202601"/>
    <s v="8055244             "/>
    <x v="331"/>
    <x v="13"/>
    <s v="FEVM44258   "/>
    <n v="324000"/>
    <x v="9"/>
    <n v="23"/>
    <d v="2026-01-05T00:00:00"/>
    <d v="2026-01-15T00:00:00"/>
    <x v="18"/>
    <x v="10"/>
    <s v="0    "/>
    <s v="3113933796                    "/>
    <n v="15"/>
  </r>
  <r>
    <s v="202601"/>
    <s v="8055244             "/>
    <x v="331"/>
    <x v="13"/>
    <s v="FEVM44259   "/>
    <n v="144882"/>
    <x v="1"/>
    <n v="23"/>
    <d v="2026-01-05T00:00:00"/>
    <d v="2026-01-20T00:00:00"/>
    <x v="18"/>
    <x v="10"/>
    <s v="0    "/>
    <s v="3113933796                    "/>
    <n v="15"/>
  </r>
  <r>
    <s v="202601"/>
    <s v="1038097681          "/>
    <x v="165"/>
    <x v="13"/>
    <s v="FEVM44260   "/>
    <n v="267667"/>
    <x v="3"/>
    <n v="23"/>
    <d v="2026-01-05T00:00:00"/>
    <d v="2026-02-04T00:00:00"/>
    <x v="18"/>
    <x v="10"/>
    <s v="0    "/>
    <s v="3186811106                    "/>
    <n v="30"/>
  </r>
  <r>
    <s v="202601"/>
    <s v="1038097681          "/>
    <x v="165"/>
    <x v="13"/>
    <s v="FEVM44261   "/>
    <n v="355415"/>
    <x v="1"/>
    <n v="23"/>
    <d v="2026-01-05T00:00:00"/>
    <d v="2026-01-20T00:00:00"/>
    <x v="18"/>
    <x v="10"/>
    <s v="0    "/>
    <s v="3186811106                    "/>
    <n v="30"/>
  </r>
  <r>
    <s v="202601"/>
    <s v="1038097681          "/>
    <x v="165"/>
    <x v="13"/>
    <s v="FEVM44262   "/>
    <n v="135605"/>
    <x v="1"/>
    <n v="23"/>
    <d v="2026-01-05T00:00:00"/>
    <d v="2026-01-20T00:00:00"/>
    <x v="18"/>
    <x v="10"/>
    <s v="0    "/>
    <s v="3186811106                    "/>
    <n v="30"/>
  </r>
  <r>
    <s v="202601"/>
    <s v="1026565690          "/>
    <x v="332"/>
    <x v="37"/>
    <s v="FEVM44273   "/>
    <n v="358038"/>
    <x v="1"/>
    <n v="23"/>
    <d v="2026-01-05T00:00:00"/>
    <d v="2026-01-20T00:00:00"/>
    <x v="18"/>
    <x v="6"/>
    <s v="0    "/>
    <s v="3216177576     "/>
    <n v="15"/>
  </r>
  <r>
    <s v="202601"/>
    <s v="1038129599          "/>
    <x v="251"/>
    <x v="13"/>
    <s v="FEVM44280   "/>
    <n v="5891856"/>
    <x v="3"/>
    <n v="23"/>
    <d v="2026-01-05T00:00:00"/>
    <d v="2026-02-04T00:00:00"/>
    <x v="18"/>
    <x v="13"/>
    <s v="0    "/>
    <s v="3208613025                    "/>
    <n v="30"/>
  </r>
  <r>
    <s v="202601"/>
    <s v="78291927            "/>
    <x v="151"/>
    <x v="37"/>
    <s v="FEVM44281   "/>
    <n v="1484000"/>
    <x v="3"/>
    <n v="23"/>
    <d v="2026-01-05T00:00:00"/>
    <d v="2026-02-04T00:00:00"/>
    <x v="18"/>
    <x v="4"/>
    <s v="0    "/>
    <s v="3137046935"/>
    <n v="30"/>
  </r>
  <r>
    <s v="202601"/>
    <s v="1007652832          "/>
    <x v="206"/>
    <x v="13"/>
    <s v="FEVM44282   "/>
    <n v="1065204"/>
    <x v="3"/>
    <n v="23"/>
    <d v="2026-01-05T00:00:00"/>
    <d v="2026-02-04T00:00:00"/>
    <x v="18"/>
    <x v="13"/>
    <s v="0    "/>
    <s v="3003097106 -3013682585        "/>
    <n v="30"/>
  </r>
  <r>
    <s v="202601"/>
    <s v="901158992-9         "/>
    <x v="127"/>
    <x v="24"/>
    <s v="FEDC156750  "/>
    <n v="5623496"/>
    <x v="3"/>
    <n v="23"/>
    <d v="2026-01-05T00:00:00"/>
    <d v="2026-02-04T00:00:00"/>
    <x v="24"/>
    <x v="12"/>
    <s v="0    "/>
    <s v="3002863464 - 3013900884       "/>
    <n v="30"/>
  </r>
  <r>
    <s v="202601"/>
    <s v="901758127-9         "/>
    <x v="170"/>
    <x v="24"/>
    <s v="FEDC156751  "/>
    <n v="672874"/>
    <x v="3"/>
    <n v="23"/>
    <d v="2026-01-05T00:00:00"/>
    <d v="2026-02-04T00:00:00"/>
    <x v="24"/>
    <x v="12"/>
    <s v="0    "/>
    <s v="3107091608                    "/>
    <n v="30"/>
  </r>
  <r>
    <s v="202601"/>
    <s v="1063366355          "/>
    <x v="237"/>
    <x v="24"/>
    <s v="FEDC156753  "/>
    <n v="1537118"/>
    <x v="3"/>
    <n v="23"/>
    <d v="2026-01-05T00:00:00"/>
    <d v="2026-02-04T00:00:00"/>
    <x v="24"/>
    <x v="12"/>
    <s v="0    "/>
    <s v="3107516465                    "/>
    <n v="30"/>
  </r>
  <r>
    <s v="202601"/>
    <s v="901158992-9         "/>
    <x v="127"/>
    <x v="24"/>
    <s v="FEDC156754  "/>
    <n v="377392"/>
    <x v="3"/>
    <n v="23"/>
    <d v="2026-01-05T00:00:00"/>
    <d v="2026-02-04T00:00:00"/>
    <x v="24"/>
    <x v="5"/>
    <s v="0    "/>
    <s v="3002863464 - 3013900884       "/>
    <n v="30"/>
  </r>
  <r>
    <s v="202601"/>
    <s v="1045026065          "/>
    <x v="238"/>
    <x v="24"/>
    <s v="FEDC156756  "/>
    <n v="1585584"/>
    <x v="3"/>
    <n v="23"/>
    <d v="2026-01-05T00:00:00"/>
    <d v="2026-02-04T00:00:00"/>
    <x v="24"/>
    <x v="12"/>
    <s v="0    "/>
    <s v="3108220432                    "/>
    <n v="30"/>
  </r>
  <r>
    <s v="202601"/>
    <s v="1045026065          "/>
    <x v="238"/>
    <x v="24"/>
    <s v="FEDC156757  "/>
    <n v="21604019"/>
    <x v="3"/>
    <n v="23"/>
    <d v="2026-01-05T00:00:00"/>
    <d v="2026-02-04T00:00:00"/>
    <x v="24"/>
    <x v="12"/>
    <s v="0    "/>
    <s v="3108220432                    "/>
    <n v="30"/>
  </r>
  <r>
    <s v="202601"/>
    <s v="1066572353          "/>
    <x v="333"/>
    <x v="24"/>
    <s v="FEDC156758  "/>
    <n v="1884272"/>
    <x v="3"/>
    <n v="23"/>
    <d v="2026-01-05T00:00:00"/>
    <d v="2026-02-04T00:00:00"/>
    <x v="24"/>
    <x v="12"/>
    <s v="0    "/>
    <s v="3105005857                    "/>
    <n v="30"/>
  </r>
  <r>
    <s v="202601"/>
    <s v="901158992-9         "/>
    <x v="127"/>
    <x v="24"/>
    <s v="FEDC156779  "/>
    <n v="1021910"/>
    <x v="3"/>
    <n v="23"/>
    <d v="2026-01-05T00:00:00"/>
    <d v="2026-02-04T00:00:00"/>
    <x v="24"/>
    <x v="15"/>
    <s v="0    "/>
    <s v="3002863464 - 3013900884       "/>
    <n v="30"/>
  </r>
  <r>
    <s v="202601"/>
    <s v="1066572353          "/>
    <x v="333"/>
    <x v="24"/>
    <s v="FEDC156781  "/>
    <n v="1675914"/>
    <x v="3"/>
    <n v="23"/>
    <d v="2026-01-05T00:00:00"/>
    <d v="2026-02-04T00:00:00"/>
    <x v="24"/>
    <x v="12"/>
    <s v="0    "/>
    <s v="3105005857                    "/>
    <n v="30"/>
  </r>
  <r>
    <s v="202601"/>
    <s v="901758127-9         "/>
    <x v="170"/>
    <x v="24"/>
    <s v="FEDC156782  "/>
    <n v="431960"/>
    <x v="3"/>
    <n v="23"/>
    <d v="2026-01-05T00:00:00"/>
    <d v="2026-02-04T00:00:00"/>
    <x v="24"/>
    <x v="5"/>
    <s v="0    "/>
    <s v="3107091608                    "/>
    <n v="30"/>
  </r>
  <r>
    <s v="202601"/>
    <s v="901758127-9         "/>
    <x v="170"/>
    <x v="24"/>
    <s v="FEDC156783  "/>
    <n v="970414"/>
    <x v="3"/>
    <n v="23"/>
    <d v="2026-01-05T00:00:00"/>
    <d v="2026-02-04T00:00:00"/>
    <x v="24"/>
    <x v="15"/>
    <s v="0    "/>
    <s v="3107091608                    "/>
    <n v="30"/>
  </r>
  <r>
    <s v="202601"/>
    <s v="901411098-3         "/>
    <x v="321"/>
    <x v="24"/>
    <s v="FEDC156788  "/>
    <n v="1424436"/>
    <x v="3"/>
    <n v="23"/>
    <d v="2026-01-05T00:00:00"/>
    <d v="2026-02-04T00:00:00"/>
    <x v="24"/>
    <x v="12"/>
    <s v="0    "/>
    <s v="3126921623                    "/>
    <n v="30"/>
  </r>
  <r>
    <s v="202601"/>
    <s v="901411098-3         "/>
    <x v="321"/>
    <x v="24"/>
    <s v="FEDC156789  "/>
    <n v="3380821"/>
    <x v="3"/>
    <n v="23"/>
    <d v="2026-01-05T00:00:00"/>
    <d v="2026-02-04T00:00:00"/>
    <x v="24"/>
    <x v="12"/>
    <s v="0    "/>
    <s v="3126921623                    "/>
    <n v="30"/>
  </r>
  <r>
    <s v="202601"/>
    <s v="901758127-9         "/>
    <x v="170"/>
    <x v="24"/>
    <s v="FEDC156790  "/>
    <n v="5112072"/>
    <x v="3"/>
    <n v="23"/>
    <d v="2026-01-05T00:00:00"/>
    <d v="2026-02-04T00:00:00"/>
    <x v="24"/>
    <x v="12"/>
    <s v="0    "/>
    <s v="3107091608                    "/>
    <n v="30"/>
  </r>
  <r>
    <s v="202601"/>
    <s v="1045026065          "/>
    <x v="238"/>
    <x v="24"/>
    <s v="FEDC156791  "/>
    <n v="606880"/>
    <x v="3"/>
    <n v="23"/>
    <d v="2026-01-05T00:00:00"/>
    <d v="2026-02-04T00:00:00"/>
    <x v="24"/>
    <x v="5"/>
    <s v="0    "/>
    <s v="3108220432                    "/>
    <n v="30"/>
  </r>
  <r>
    <s v="202601"/>
    <s v="1045026065          "/>
    <x v="238"/>
    <x v="24"/>
    <s v="FEDC156793  "/>
    <n v="1928593"/>
    <x v="3"/>
    <n v="23"/>
    <d v="2026-01-05T00:00:00"/>
    <d v="2026-02-04T00:00:00"/>
    <x v="24"/>
    <x v="15"/>
    <s v="0    "/>
    <s v="3108220432                    "/>
    <n v="30"/>
  </r>
  <r>
    <s v="202601"/>
    <s v="1063366355          "/>
    <x v="237"/>
    <x v="24"/>
    <s v="FEDC156794  "/>
    <n v="327398"/>
    <x v="3"/>
    <n v="23"/>
    <d v="2026-01-05T00:00:00"/>
    <d v="2026-02-04T00:00:00"/>
    <x v="24"/>
    <x v="15"/>
    <s v="0    "/>
    <s v="3107516465                    "/>
    <n v="30"/>
  </r>
  <r>
    <s v="202601"/>
    <s v="901411098-3         "/>
    <x v="321"/>
    <x v="24"/>
    <s v="FEDC156795  "/>
    <n v="2516573"/>
    <x v="3"/>
    <n v="23"/>
    <d v="2026-01-05T00:00:00"/>
    <d v="2026-02-04T00:00:00"/>
    <x v="24"/>
    <x v="15"/>
    <s v="0    "/>
    <s v="3126921623                    "/>
    <n v="30"/>
  </r>
  <r>
    <s v="202601"/>
    <s v="901411098-3         "/>
    <x v="321"/>
    <x v="24"/>
    <s v="FEDC156796  "/>
    <n v="891803"/>
    <x v="3"/>
    <n v="23"/>
    <d v="2026-01-05T00:00:00"/>
    <d v="2026-02-04T00:00:00"/>
    <x v="24"/>
    <x v="5"/>
    <s v="0    "/>
    <s v="3126921623                    "/>
    <n v="30"/>
  </r>
  <r>
    <s v="202601"/>
    <s v="901411098-3         "/>
    <x v="321"/>
    <x v="24"/>
    <s v="FEDC156797  "/>
    <n v="243596"/>
    <x v="3"/>
    <n v="23"/>
    <d v="2026-01-05T00:00:00"/>
    <d v="2026-02-04T00:00:00"/>
    <x v="24"/>
    <x v="5"/>
    <s v="0    "/>
    <s v="3126921623                    "/>
    <n v="30"/>
  </r>
  <r>
    <s v="202601"/>
    <s v="1233341108-6        "/>
    <x v="216"/>
    <x v="18"/>
    <s v="FEDC156743  "/>
    <n v="2099197"/>
    <x v="3"/>
    <n v="23"/>
    <d v="2026-01-05T00:00:00"/>
    <d v="2026-02-04T00:00:00"/>
    <x v="17"/>
    <x v="8"/>
    <s v="0    "/>
    <s v="3137326911                    "/>
    <n v="30"/>
  </r>
  <r>
    <s v="202601"/>
    <s v="1233341108-6        "/>
    <x v="216"/>
    <x v="18"/>
    <s v="FEDC156744  "/>
    <n v="779184"/>
    <x v="3"/>
    <n v="23"/>
    <d v="2026-01-05T00:00:00"/>
    <d v="2026-02-04T00:00:00"/>
    <x v="17"/>
    <x v="8"/>
    <s v="0    "/>
    <s v="3137326911                    "/>
    <n v="30"/>
  </r>
  <r>
    <s v="202601"/>
    <s v="1104406269          "/>
    <x v="95"/>
    <x v="18"/>
    <s v="FEDC156745  "/>
    <n v="2858401"/>
    <x v="3"/>
    <n v="23"/>
    <d v="2026-01-05T00:00:00"/>
    <d v="2026-02-04T00:00:00"/>
    <x v="17"/>
    <x v="8"/>
    <s v="0    "/>
    <s v="3217438651                    "/>
    <n v="30"/>
  </r>
  <r>
    <s v="202601"/>
    <s v="70529245            "/>
    <x v="129"/>
    <x v="64"/>
    <s v="FEDC156746  "/>
    <n v="702976"/>
    <x v="3"/>
    <n v="23"/>
    <d v="2026-01-05T00:00:00"/>
    <d v="2026-02-04T00:00:00"/>
    <x v="17"/>
    <x v="8"/>
    <s v="0    "/>
    <s v="3215222148     "/>
    <n v="30"/>
  </r>
  <r>
    <s v="202601"/>
    <s v="901868532-0         "/>
    <x v="106"/>
    <x v="24"/>
    <s v="FEDC156749  "/>
    <n v="5222566"/>
    <x v="3"/>
    <n v="23"/>
    <d v="2026-01-05T00:00:00"/>
    <d v="2026-02-04T00:00:00"/>
    <x v="25"/>
    <x v="12"/>
    <s v="0    "/>
    <s v="3138778653                    "/>
    <n v="30"/>
  </r>
  <r>
    <s v="202601"/>
    <s v="1066721431-6        "/>
    <x v="278"/>
    <x v="46"/>
    <s v="FEDC156761  "/>
    <n v="3260080"/>
    <x v="3"/>
    <n v="23"/>
    <d v="2026-01-05T00:00:00"/>
    <d v="2026-02-04T00:00:00"/>
    <x v="2"/>
    <x v="9"/>
    <s v="0    "/>
    <s v="3106828423-3125599059         "/>
    <n v="30"/>
  </r>
  <r>
    <s v="202601"/>
    <s v="98600662            "/>
    <x v="118"/>
    <x v="46"/>
    <s v="FEDC156763  "/>
    <n v="258011"/>
    <x v="3"/>
    <n v="23"/>
    <d v="2026-01-05T00:00:00"/>
    <d v="2026-02-04T00:00:00"/>
    <x v="2"/>
    <x v="9"/>
    <s v="0    "/>
    <s v="3145313565                    "/>
    <n v="30"/>
  </r>
  <r>
    <s v="202601"/>
    <s v="98611367            "/>
    <x v="123"/>
    <x v="46"/>
    <s v="FEDC156764  "/>
    <n v="2272149"/>
    <x v="3"/>
    <n v="23"/>
    <d v="2026-01-05T00:00:00"/>
    <d v="2026-02-04T00:00:00"/>
    <x v="2"/>
    <x v="9"/>
    <s v="0    "/>
    <s v="3182088367-3155764811         "/>
    <n v="30"/>
  </r>
  <r>
    <s v="202601"/>
    <s v="98611367            "/>
    <x v="123"/>
    <x v="46"/>
    <s v="FEDC156765  "/>
    <n v="567000"/>
    <x v="3"/>
    <n v="23"/>
    <d v="2026-01-05T00:00:00"/>
    <d v="2026-02-04T00:00:00"/>
    <x v="2"/>
    <x v="9"/>
    <s v="0    "/>
    <s v="3182088367-3155764811         "/>
    <n v="30"/>
  </r>
  <r>
    <s v="202601"/>
    <s v="98600662            "/>
    <x v="118"/>
    <x v="46"/>
    <s v="FEDC156770  "/>
    <n v="2120000"/>
    <x v="3"/>
    <n v="23"/>
    <d v="2026-01-05T00:00:00"/>
    <d v="2026-02-04T00:00:00"/>
    <x v="2"/>
    <x v="9"/>
    <s v="0    "/>
    <s v="3145313565                    "/>
    <n v="30"/>
  </r>
  <r>
    <s v="202601"/>
    <s v="98600662            "/>
    <x v="118"/>
    <x v="46"/>
    <s v="FEDC156771  "/>
    <n v="3518180"/>
    <x v="3"/>
    <n v="23"/>
    <d v="2026-01-05T00:00:00"/>
    <d v="2026-02-04T00:00:00"/>
    <x v="2"/>
    <x v="9"/>
    <s v="0    "/>
    <s v="3145313565                    "/>
    <n v="30"/>
  </r>
  <r>
    <s v="202601"/>
    <s v="98600662            "/>
    <x v="118"/>
    <x v="46"/>
    <s v="FEDC156785  "/>
    <n v="204001"/>
    <x v="3"/>
    <n v="23"/>
    <d v="2026-01-05T00:00:00"/>
    <d v="2026-02-04T00:00:00"/>
    <x v="2"/>
    <x v="9"/>
    <s v="0    "/>
    <s v="3145313565                    "/>
    <n v="30"/>
  </r>
  <r>
    <s v="202601"/>
    <s v="1066721431-6        "/>
    <x v="278"/>
    <x v="46"/>
    <s v="FEDC156798  "/>
    <n v="2304910"/>
    <x v="3"/>
    <n v="23"/>
    <d v="2026-01-05T00:00:00"/>
    <d v="2026-02-04T00:00:00"/>
    <x v="2"/>
    <x v="9"/>
    <s v="0    "/>
    <s v="3106828423-3125599059         "/>
    <n v="30"/>
  </r>
  <r>
    <s v="202601"/>
    <s v="43474894            "/>
    <x v="124"/>
    <x v="61"/>
    <s v="FEDC156759  "/>
    <n v="5780001"/>
    <x v="3"/>
    <n v="23"/>
    <d v="2026-01-05T00:00:00"/>
    <d v="2026-02-04T00:00:00"/>
    <x v="26"/>
    <x v="9"/>
    <s v="0    "/>
    <s v="3127806146"/>
    <n v="30"/>
  </r>
  <r>
    <s v="202601"/>
    <s v="43474894            "/>
    <x v="124"/>
    <x v="61"/>
    <s v="FEDC156760  "/>
    <n v="10102487"/>
    <x v="3"/>
    <n v="23"/>
    <d v="2026-01-05T00:00:00"/>
    <d v="2026-02-04T00:00:00"/>
    <x v="26"/>
    <x v="9"/>
    <s v="0    "/>
    <s v="3127806146"/>
    <n v="30"/>
  </r>
  <r>
    <s v="202601"/>
    <s v="1003344190          "/>
    <x v="334"/>
    <x v="28"/>
    <s v="FEDC156772  "/>
    <n v="416400"/>
    <x v="3"/>
    <n v="23"/>
    <d v="2026-01-05T00:00:00"/>
    <d v="2026-02-04T00:00:00"/>
    <x v="26"/>
    <x v="9"/>
    <s v="0    "/>
    <s v="3108442865                    "/>
    <n v="30"/>
  </r>
  <r>
    <s v="202601"/>
    <s v="1003344190          "/>
    <x v="334"/>
    <x v="28"/>
    <s v="FEDC156773  "/>
    <n v="1381140"/>
    <x v="3"/>
    <n v="23"/>
    <d v="2026-01-05T00:00:00"/>
    <d v="2026-02-04T00:00:00"/>
    <x v="26"/>
    <x v="9"/>
    <s v="0    "/>
    <s v="3108442865                    "/>
    <n v="30"/>
  </r>
  <r>
    <s v="202601"/>
    <s v="70529245            "/>
    <x v="129"/>
    <x v="64"/>
    <s v="FEDC156733  "/>
    <n v="1362308"/>
    <x v="3"/>
    <n v="23"/>
    <d v="2026-01-05T00:00:00"/>
    <d v="2026-02-04T00:00:00"/>
    <x v="33"/>
    <x v="8"/>
    <s v="0    "/>
    <s v="3215222148     "/>
    <n v="30"/>
  </r>
  <r>
    <s v="202601"/>
    <s v="45688588            "/>
    <x v="335"/>
    <x v="64"/>
    <s v="FEDC156735  "/>
    <n v="578797"/>
    <x v="3"/>
    <n v="23"/>
    <d v="2026-01-05T00:00:00"/>
    <d v="2026-02-04T00:00:00"/>
    <x v="33"/>
    <x v="8"/>
    <s v="0    "/>
    <s v="3103615332 -3145089489        "/>
    <n v="30"/>
  </r>
  <r>
    <s v="202601"/>
    <s v="45688588            "/>
    <x v="335"/>
    <x v="64"/>
    <s v="FEDC156742  "/>
    <n v="3383581"/>
    <x v="3"/>
    <n v="23"/>
    <d v="2026-01-05T00:00:00"/>
    <d v="2026-02-04T00:00:00"/>
    <x v="33"/>
    <x v="8"/>
    <s v="0    "/>
    <s v="3103615332 -3145089489        "/>
    <n v="30"/>
  </r>
  <r>
    <s v="202601"/>
    <s v="901523817-3         "/>
    <x v="97"/>
    <x v="52"/>
    <s v="FEDC156775  "/>
    <n v="3279966"/>
    <x v="3"/>
    <n v="23"/>
    <d v="2026-01-05T00:00:00"/>
    <d v="2026-02-04T00:00:00"/>
    <x v="48"/>
    <x v="8"/>
    <s v="0    "/>
    <s v="3126183068                    "/>
    <n v="30"/>
  </r>
  <r>
    <s v="202601"/>
    <s v="98458537            "/>
    <x v="81"/>
    <x v="47"/>
    <s v="FEDC156748  "/>
    <n v="2454010"/>
    <x v="3"/>
    <n v="23"/>
    <d v="2026-01-05T00:00:00"/>
    <d v="2026-02-04T00:00:00"/>
    <x v="39"/>
    <x v="8"/>
    <s v="0    "/>
    <s v="3134962572     "/>
    <n v="30"/>
  </r>
  <r>
    <s v="202601"/>
    <s v="901523817-3         "/>
    <x v="97"/>
    <x v="52"/>
    <s v="FEDC156776  "/>
    <n v="3862806"/>
    <x v="3"/>
    <n v="23"/>
    <d v="2026-01-05T00:00:00"/>
    <d v="2026-02-04T00:00:00"/>
    <x v="39"/>
    <x v="8"/>
    <s v="0    "/>
    <s v="3126183068                    "/>
    <n v="30"/>
  </r>
  <r>
    <s v="202601"/>
    <s v="32116683            "/>
    <x v="245"/>
    <x v="80"/>
    <s v="FEDC156800  "/>
    <n v="366388"/>
    <x v="3"/>
    <n v="22"/>
    <d v="2026-01-06T00:00:00"/>
    <d v="2026-02-05T00:00:00"/>
    <x v="18"/>
    <x v="1"/>
    <s v="0    "/>
    <s v="312 812 7966"/>
    <n v="0"/>
  </r>
  <r>
    <s v="202601"/>
    <s v="1007319425          "/>
    <x v="336"/>
    <x v="17"/>
    <s v="FEDC156814  "/>
    <n v="3392612"/>
    <x v="3"/>
    <n v="22"/>
    <d v="2026-01-06T00:00:00"/>
    <d v="2026-02-05T00:00:00"/>
    <x v="18"/>
    <x v="1"/>
    <s v="0    "/>
    <s v="3015232668     "/>
    <n v="30"/>
  </r>
  <r>
    <s v="202601"/>
    <s v="1038138797          "/>
    <x v="182"/>
    <x v="13"/>
    <s v="FEDC156818  "/>
    <n v="9370770"/>
    <x v="3"/>
    <n v="22"/>
    <d v="2026-01-06T00:00:00"/>
    <d v="2026-02-05T00:00:00"/>
    <x v="18"/>
    <x v="13"/>
    <s v="0    "/>
    <s v="3223117873                    "/>
    <n v="30"/>
  </r>
  <r>
    <s v="202601"/>
    <s v="1038138066          "/>
    <x v="248"/>
    <x v="13"/>
    <s v="FEDC156819  "/>
    <n v="2120000"/>
    <x v="3"/>
    <n v="22"/>
    <d v="2026-01-06T00:00:00"/>
    <d v="2026-02-05T00:00:00"/>
    <x v="18"/>
    <x v="13"/>
    <s v="0    "/>
    <s v="3114279212     "/>
    <n v="30"/>
  </r>
  <r>
    <s v="202601"/>
    <s v="1038138066          "/>
    <x v="248"/>
    <x v="13"/>
    <s v="FEDC156820  "/>
    <n v="1596600"/>
    <x v="3"/>
    <n v="22"/>
    <d v="2026-01-06T00:00:00"/>
    <d v="2026-02-05T00:00:00"/>
    <x v="18"/>
    <x v="13"/>
    <s v="0    "/>
    <s v="3114279212     "/>
    <n v="30"/>
  </r>
  <r>
    <s v="202601"/>
    <s v="15030463            "/>
    <x v="227"/>
    <x v="37"/>
    <s v="FEDC156822  "/>
    <n v="2472700"/>
    <x v="3"/>
    <n v="22"/>
    <d v="2026-01-06T00:00:00"/>
    <d v="2026-02-05T00:00:00"/>
    <x v="18"/>
    <x v="13"/>
    <s v="0    "/>
    <s v="3185068224     "/>
    <n v="30"/>
  </r>
  <r>
    <s v="202601"/>
    <s v="15030463            "/>
    <x v="227"/>
    <x v="37"/>
    <s v="FEDC156823  "/>
    <n v="1228800"/>
    <x v="3"/>
    <n v="22"/>
    <d v="2026-01-06T00:00:00"/>
    <d v="2026-02-05T00:00:00"/>
    <x v="18"/>
    <x v="13"/>
    <s v="0    "/>
    <s v="3185068224     "/>
    <n v="30"/>
  </r>
  <r>
    <s v="202601"/>
    <s v="8373571             "/>
    <x v="316"/>
    <x v="13"/>
    <s v="FEDC156824  "/>
    <n v="247251"/>
    <x v="3"/>
    <n v="22"/>
    <d v="2026-01-06T00:00:00"/>
    <d v="2026-02-05T00:00:00"/>
    <x v="18"/>
    <x v="13"/>
    <s v="0    "/>
    <s v="3192555227-3113812119         "/>
    <n v="30"/>
  </r>
  <r>
    <s v="202601"/>
    <s v="8373571             "/>
    <x v="316"/>
    <x v="13"/>
    <s v="FEDC156825  "/>
    <n v="6144000"/>
    <x v="3"/>
    <n v="22"/>
    <d v="2026-01-06T00:00:00"/>
    <d v="2026-02-05T00:00:00"/>
    <x v="18"/>
    <x v="13"/>
    <s v="0    "/>
    <s v="3192555227-3113812119         "/>
    <n v="30"/>
  </r>
  <r>
    <s v="202601"/>
    <s v="91521121            "/>
    <x v="204"/>
    <x v="13"/>
    <s v="FEDC156827  "/>
    <n v="88793"/>
    <x v="3"/>
    <n v="22"/>
    <d v="2026-01-06T00:00:00"/>
    <d v="2026-02-05T00:00:00"/>
    <x v="18"/>
    <x v="13"/>
    <s v="0    "/>
    <s v="3206429252                    "/>
    <n v="30"/>
  </r>
  <r>
    <s v="202601"/>
    <s v="39280551            "/>
    <x v="337"/>
    <x v="37"/>
    <s v="FEDC156829  "/>
    <n v="1218412"/>
    <x v="3"/>
    <n v="22"/>
    <d v="2026-01-06T00:00:00"/>
    <d v="2026-02-05T00:00:00"/>
    <x v="18"/>
    <x v="13"/>
    <s v="0    "/>
    <s v="3206794488-8390155            "/>
    <n v="30"/>
  </r>
  <r>
    <s v="202601"/>
    <s v="98654169            "/>
    <x v="218"/>
    <x v="13"/>
    <s v="FEDC156831  "/>
    <n v="2142112"/>
    <x v="3"/>
    <n v="22"/>
    <d v="2026-01-06T00:00:00"/>
    <d v="2026-02-05T00:00:00"/>
    <x v="18"/>
    <x v="13"/>
    <s v="0    "/>
    <s v="3113235407                    "/>
    <n v="30"/>
  </r>
  <r>
    <s v="202601"/>
    <s v="1103102647          "/>
    <x v="312"/>
    <x v="13"/>
    <s v="FEDC156834  "/>
    <n v="847146"/>
    <x v="3"/>
    <n v="22"/>
    <d v="2026-01-06T00:00:00"/>
    <d v="2026-02-05T00:00:00"/>
    <x v="18"/>
    <x v="13"/>
    <s v="0    "/>
    <s v="3216981456                    "/>
    <n v="30"/>
  </r>
  <r>
    <s v="202601"/>
    <s v="15047058            "/>
    <x v="226"/>
    <x v="37"/>
    <s v="FEDC156872  "/>
    <n v="96004"/>
    <x v="3"/>
    <n v="22"/>
    <d v="2026-01-06T00:00:00"/>
    <d v="2026-02-05T00:00:00"/>
    <x v="18"/>
    <x v="13"/>
    <s v="0    "/>
    <s v="3226993920     "/>
    <n v="30"/>
  </r>
  <r>
    <s v="202601"/>
    <s v="1038112946          "/>
    <x v="338"/>
    <x v="13"/>
    <s v="FEVM44335   "/>
    <n v="565624"/>
    <x v="1"/>
    <n v="22"/>
    <d v="2026-01-06T00:00:00"/>
    <d v="2026-01-21T00:00:00"/>
    <x v="18"/>
    <x v="6"/>
    <s v="0    "/>
    <s v="3215694941-3118537598         "/>
    <n v="15"/>
  </r>
  <r>
    <s v="202601"/>
    <s v="1042770324          "/>
    <x v="339"/>
    <x v="88"/>
    <s v="FEDC156867  "/>
    <n v="1795593"/>
    <x v="3"/>
    <n v="22"/>
    <d v="2026-01-06T00:00:00"/>
    <d v="2026-02-05T00:00:00"/>
    <x v="11"/>
    <x v="5"/>
    <s v="0    "/>
    <s v="3217271544-3104942622         "/>
    <n v="30"/>
  </r>
  <r>
    <s v="202601"/>
    <s v="1042770324          "/>
    <x v="339"/>
    <x v="88"/>
    <s v="FEDC156870  "/>
    <n v="4737600"/>
    <x v="3"/>
    <n v="22"/>
    <d v="2026-01-06T00:00:00"/>
    <d v="2026-02-05T00:00:00"/>
    <x v="11"/>
    <x v="4"/>
    <s v="0    "/>
    <s v="3217271544-3104942622         "/>
    <n v="30"/>
  </r>
  <r>
    <s v="202601"/>
    <s v="1042770324          "/>
    <x v="339"/>
    <x v="88"/>
    <s v="FEDC156871  "/>
    <n v="3392499"/>
    <x v="3"/>
    <n v="22"/>
    <d v="2026-01-06T00:00:00"/>
    <d v="2026-02-05T00:00:00"/>
    <x v="11"/>
    <x v="4"/>
    <s v="0    "/>
    <s v="3217271544-3104942622         "/>
    <n v="30"/>
  </r>
  <r>
    <s v="202601"/>
    <s v="1042770324          "/>
    <x v="339"/>
    <x v="88"/>
    <s v="FEDC156874  "/>
    <n v="1511731"/>
    <x v="3"/>
    <n v="22"/>
    <d v="2026-01-06T00:00:00"/>
    <d v="2026-02-05T00:00:00"/>
    <x v="11"/>
    <x v="15"/>
    <s v="0    "/>
    <s v="3217271544-3104942622         "/>
    <n v="30"/>
  </r>
  <r>
    <s v="202601"/>
    <s v="1040499122          "/>
    <x v="230"/>
    <x v="77"/>
    <s v="FEDC156846  "/>
    <n v="2651166"/>
    <x v="3"/>
    <n v="22"/>
    <d v="2026-01-06T00:00:00"/>
    <d v="2026-02-05T00:00:00"/>
    <x v="12"/>
    <x v="4"/>
    <s v="0    "/>
    <s v="3197296033 - 3023024694       "/>
    <n v="30"/>
  </r>
  <r>
    <s v="202601"/>
    <s v="1040499122          "/>
    <x v="230"/>
    <x v="77"/>
    <s v="FEDC156847  "/>
    <n v="1955245"/>
    <x v="3"/>
    <n v="22"/>
    <d v="2026-01-06T00:00:00"/>
    <d v="2026-02-05T00:00:00"/>
    <x v="12"/>
    <x v="4"/>
    <s v="0    "/>
    <s v="3197296033 - 3023024694       "/>
    <n v="30"/>
  </r>
  <r>
    <s v="202601"/>
    <s v="1040499122          "/>
    <x v="230"/>
    <x v="77"/>
    <s v="FEDC156848  "/>
    <n v="1503200"/>
    <x v="3"/>
    <n v="22"/>
    <d v="2026-01-06T00:00:00"/>
    <d v="2026-02-05T00:00:00"/>
    <x v="12"/>
    <x v="4"/>
    <s v="0    "/>
    <s v="3197296033 - 3023024694       "/>
    <n v="30"/>
  </r>
  <r>
    <s v="202601"/>
    <s v="1040499122          "/>
    <x v="230"/>
    <x v="77"/>
    <s v="FEDC156849  "/>
    <n v="3943021"/>
    <x v="3"/>
    <n v="22"/>
    <d v="2026-01-06T00:00:00"/>
    <d v="2026-02-05T00:00:00"/>
    <x v="12"/>
    <x v="4"/>
    <s v="0    "/>
    <s v="3197296033 - 3023024694       "/>
    <n v="30"/>
  </r>
  <r>
    <s v="202601"/>
    <s v="15322769            "/>
    <x v="41"/>
    <x v="29"/>
    <s v="FEDC156843  "/>
    <n v="553248"/>
    <x v="5"/>
    <n v="22"/>
    <d v="2026-01-06T00:00:00"/>
    <d v="2026-01-07T00:00:00"/>
    <x v="27"/>
    <x v="4"/>
    <s v="0    "/>
    <s v="3137321385"/>
    <n v="30"/>
  </r>
  <r>
    <s v="202601"/>
    <s v="15322769            "/>
    <x v="41"/>
    <x v="29"/>
    <s v="FEDC156844  "/>
    <n v="1066853"/>
    <x v="5"/>
    <n v="22"/>
    <d v="2026-01-06T00:00:00"/>
    <d v="2026-01-07T00:00:00"/>
    <x v="27"/>
    <x v="4"/>
    <s v="0    "/>
    <s v="3137321385"/>
    <n v="30"/>
  </r>
  <r>
    <s v="202601"/>
    <s v="78113894            "/>
    <x v="234"/>
    <x v="78"/>
    <s v="FEVM44354   "/>
    <n v="1569607"/>
    <x v="3"/>
    <n v="22"/>
    <d v="2026-01-06T00:00:00"/>
    <d v="2026-02-05T00:00:00"/>
    <x v="22"/>
    <x v="10"/>
    <s v="0    "/>
    <s v="3137710031                    "/>
    <n v="30"/>
  </r>
  <r>
    <s v="202601"/>
    <s v="1066270216          "/>
    <x v="233"/>
    <x v="19"/>
    <s v="FEVM44361   "/>
    <n v="386174"/>
    <x v="3"/>
    <n v="22"/>
    <d v="2026-01-06T00:00:00"/>
    <d v="2026-02-05T00:00:00"/>
    <x v="22"/>
    <x v="10"/>
    <s v="0    "/>
    <s v="3134923550                    "/>
    <n v="30"/>
  </r>
  <r>
    <s v="202601"/>
    <s v="78112440            "/>
    <x v="340"/>
    <x v="19"/>
    <s v="FEVM44362   "/>
    <n v="115068"/>
    <x v="1"/>
    <n v="22"/>
    <d v="2026-01-06T00:00:00"/>
    <d v="2026-01-21T00:00:00"/>
    <x v="22"/>
    <x v="10"/>
    <s v="0    "/>
    <s v="3106642740                    "/>
    <n v="30"/>
  </r>
  <r>
    <s v="202601"/>
    <s v="78112440            "/>
    <x v="340"/>
    <x v="19"/>
    <s v="FEVM44363   "/>
    <n v="120137"/>
    <x v="1"/>
    <n v="22"/>
    <d v="2026-01-06T00:00:00"/>
    <d v="2026-01-21T00:00:00"/>
    <x v="22"/>
    <x v="10"/>
    <s v="0    "/>
    <s v="3106642740                    "/>
    <n v="30"/>
  </r>
  <r>
    <s v="202601"/>
    <s v="1193562013          "/>
    <x v="294"/>
    <x v="19"/>
    <s v="FEVM44366   "/>
    <n v="120630"/>
    <x v="1"/>
    <n v="22"/>
    <d v="2026-01-06T00:00:00"/>
    <d v="2026-01-21T00:00:00"/>
    <x v="22"/>
    <x v="10"/>
    <s v="0    "/>
    <s v="3046029289 - 3136112676       "/>
    <n v="30"/>
  </r>
  <r>
    <s v="202601"/>
    <s v="50994786            "/>
    <x v="235"/>
    <x v="19"/>
    <s v="FEVM44374   "/>
    <n v="666589"/>
    <x v="3"/>
    <n v="22"/>
    <d v="2026-01-06T00:00:00"/>
    <d v="2026-02-05T00:00:00"/>
    <x v="22"/>
    <x v="10"/>
    <s v="0    "/>
    <s v="3136427693 - 3217353632       "/>
    <n v="30"/>
  </r>
  <r>
    <s v="202601"/>
    <s v="50993448            "/>
    <x v="296"/>
    <x v="78"/>
    <s v="FEVM44383   "/>
    <n v="330768"/>
    <x v="3"/>
    <n v="22"/>
    <d v="2026-01-06T00:00:00"/>
    <d v="2026-02-05T00:00:00"/>
    <x v="22"/>
    <x v="10"/>
    <s v="0    "/>
    <s v="7705266        "/>
    <n v="30"/>
  </r>
  <r>
    <s v="202601"/>
    <s v="50993448            "/>
    <x v="296"/>
    <x v="78"/>
    <s v="FEVM44384   "/>
    <n v="790600"/>
    <x v="3"/>
    <n v="22"/>
    <d v="2026-01-06T00:00:00"/>
    <d v="2026-02-05T00:00:00"/>
    <x v="22"/>
    <x v="10"/>
    <s v="0    "/>
    <s v="7705266        "/>
    <n v="30"/>
  </r>
  <r>
    <s v="202601"/>
    <s v="1193562013          "/>
    <x v="294"/>
    <x v="19"/>
    <s v="FEVM44385   "/>
    <n v="377240"/>
    <x v="3"/>
    <n v="22"/>
    <d v="2026-01-06T00:00:00"/>
    <d v="2026-02-05T00:00:00"/>
    <x v="22"/>
    <x v="10"/>
    <s v="0    "/>
    <s v="3046029289 - 3136112676       "/>
    <n v="30"/>
  </r>
  <r>
    <s v="202601"/>
    <s v="78113894            "/>
    <x v="234"/>
    <x v="78"/>
    <s v="FEVM44396   "/>
    <n v="220048"/>
    <x v="3"/>
    <n v="22"/>
    <d v="2026-01-06T00:00:00"/>
    <d v="2026-02-05T00:00:00"/>
    <x v="22"/>
    <x v="10"/>
    <s v="0    "/>
    <s v="3137710031                    "/>
    <n v="30"/>
  </r>
  <r>
    <s v="202601"/>
    <s v="1193562013          "/>
    <x v="294"/>
    <x v="19"/>
    <s v="FEVM44397   "/>
    <n v="327198"/>
    <x v="3"/>
    <n v="22"/>
    <d v="2026-01-06T00:00:00"/>
    <d v="2026-02-05T00:00:00"/>
    <x v="22"/>
    <x v="10"/>
    <s v="0    "/>
    <s v="3046029289 - 3136112676       "/>
    <n v="30"/>
  </r>
  <r>
    <s v="202601"/>
    <s v="1066524620          "/>
    <x v="341"/>
    <x v="19"/>
    <s v="FEVM44400   "/>
    <n v="137479"/>
    <x v="1"/>
    <n v="22"/>
    <d v="2026-01-06T00:00:00"/>
    <d v="2026-01-21T00:00:00"/>
    <x v="22"/>
    <x v="10"/>
    <s v="0    "/>
    <s v="3015679999                    "/>
    <n v="30"/>
  </r>
  <r>
    <s v="202601"/>
    <s v="1066524620          "/>
    <x v="341"/>
    <x v="19"/>
    <s v="FEVM44401   "/>
    <n v="125296"/>
    <x v="1"/>
    <n v="22"/>
    <d v="2026-01-06T00:00:00"/>
    <d v="2026-01-21T00:00:00"/>
    <x v="22"/>
    <x v="10"/>
    <s v="0    "/>
    <s v="3015679999                    "/>
    <n v="30"/>
  </r>
  <r>
    <s v="202601"/>
    <s v="1066516298          "/>
    <x v="342"/>
    <x v="19"/>
    <s v="FEVM44404   "/>
    <n v="309578"/>
    <x v="1"/>
    <n v="22"/>
    <d v="2026-01-06T00:00:00"/>
    <d v="2026-01-21T00:00:00"/>
    <x v="22"/>
    <x v="10"/>
    <s v="0    "/>
    <s v="3227613238                    "/>
    <n v="30"/>
  </r>
  <r>
    <s v="202601"/>
    <s v="70696568            "/>
    <x v="236"/>
    <x v="78"/>
    <s v="FEVM44411   "/>
    <n v="820058"/>
    <x v="3"/>
    <n v="22"/>
    <d v="2026-01-06T00:00:00"/>
    <d v="2026-02-05T00:00:00"/>
    <x v="22"/>
    <x v="10"/>
    <s v="0    "/>
    <s v="3114240949                    "/>
    <n v="30"/>
  </r>
  <r>
    <s v="202601"/>
    <s v="78113896            "/>
    <x v="232"/>
    <x v="19"/>
    <s v="FEVM44420   "/>
    <n v="247683"/>
    <x v="3"/>
    <n v="22"/>
    <d v="2026-01-06T00:00:00"/>
    <d v="2026-02-05T00:00:00"/>
    <x v="22"/>
    <x v="10"/>
    <s v="0    "/>
    <s v="3006233938                    "/>
    <n v="30"/>
  </r>
  <r>
    <s v="202601"/>
    <s v="43613629            "/>
    <x v="343"/>
    <x v="78"/>
    <s v="FEVM44422   "/>
    <n v="1166062"/>
    <x v="3"/>
    <n v="22"/>
    <d v="2026-01-06T00:00:00"/>
    <d v="2026-02-05T00:00:00"/>
    <x v="22"/>
    <x v="10"/>
    <s v="0    "/>
    <s v="3208859238     "/>
    <n v="30"/>
  </r>
  <r>
    <s v="202601"/>
    <s v="78113894            "/>
    <x v="234"/>
    <x v="78"/>
    <s v="FEVM44434   "/>
    <n v="810000"/>
    <x v="3"/>
    <n v="22"/>
    <d v="2026-01-06T00:00:00"/>
    <d v="2026-02-05T00:00:00"/>
    <x v="22"/>
    <x v="10"/>
    <s v="0    "/>
    <s v="3137710031                    "/>
    <n v="30"/>
  </r>
  <r>
    <s v="202601"/>
    <s v="8039801             "/>
    <x v="254"/>
    <x v="2"/>
    <s v="FEDC156893  "/>
    <n v="3148739"/>
    <x v="3"/>
    <n v="22"/>
    <d v="2026-01-06T00:00:00"/>
    <d v="2026-02-05T00:00:00"/>
    <x v="1"/>
    <x v="12"/>
    <s v="0    "/>
    <s v="3137338262                    "/>
    <n v="30"/>
  </r>
  <r>
    <s v="202601"/>
    <s v="92230646-9          "/>
    <x v="142"/>
    <x v="1"/>
    <s v="FEDC156894  "/>
    <n v="1585290"/>
    <x v="3"/>
    <n v="22"/>
    <d v="2026-01-06T00:00:00"/>
    <d v="2026-02-05T00:00:00"/>
    <x v="1"/>
    <x v="12"/>
    <s v="0    "/>
    <s v="3137991253                    "/>
    <n v="30"/>
  </r>
  <r>
    <s v="202601"/>
    <s v="78301453            "/>
    <x v="262"/>
    <x v="2"/>
    <s v="FEDC156895  "/>
    <n v="4017307"/>
    <x v="3"/>
    <n v="22"/>
    <d v="2026-01-06T00:00:00"/>
    <d v="2026-02-05T00:00:00"/>
    <x v="1"/>
    <x v="12"/>
    <s v="0    "/>
    <s v="721821                        "/>
    <n v="30"/>
  </r>
  <r>
    <s v="202601"/>
    <s v="78297325            "/>
    <x v="256"/>
    <x v="2"/>
    <s v="FEDC156896  "/>
    <n v="823046"/>
    <x v="3"/>
    <n v="22"/>
    <d v="2026-01-06T00:00:00"/>
    <d v="2026-02-05T00:00:00"/>
    <x v="1"/>
    <x v="12"/>
    <s v="0    "/>
    <s v=""/>
    <n v="30"/>
  </r>
  <r>
    <s v="202601"/>
    <s v="78297325            "/>
    <x v="256"/>
    <x v="2"/>
    <s v="FEDC156897  "/>
    <n v="1147920"/>
    <x v="3"/>
    <n v="22"/>
    <d v="2026-01-06T00:00:00"/>
    <d v="2026-02-05T00:00:00"/>
    <x v="1"/>
    <x v="12"/>
    <s v="0    "/>
    <s v=""/>
    <n v="30"/>
  </r>
  <r>
    <s v="202601"/>
    <s v="901349219-3         "/>
    <x v="133"/>
    <x v="1"/>
    <s v="FEVM44433   "/>
    <n v="1770312"/>
    <x v="1"/>
    <n v="22"/>
    <d v="2026-01-06T00:00:00"/>
    <d v="2026-01-21T00:00:00"/>
    <x v="1"/>
    <x v="3"/>
    <s v="0    "/>
    <s v="3156264634- 7721444           "/>
    <n v="30"/>
  </r>
  <r>
    <s v="202601"/>
    <s v="901795751-2         "/>
    <x v="239"/>
    <x v="15"/>
    <s v="FEDC156880  "/>
    <n v="2694000"/>
    <x v="3"/>
    <n v="22"/>
    <d v="2026-01-06T00:00:00"/>
    <d v="2026-02-05T00:00:00"/>
    <x v="19"/>
    <x v="9"/>
    <s v="0    "/>
    <s v="3006358840                    "/>
    <n v="30"/>
  </r>
  <r>
    <s v="202601"/>
    <s v="901795751-2         "/>
    <x v="239"/>
    <x v="15"/>
    <s v="FEDC156881  "/>
    <n v="3420780"/>
    <x v="3"/>
    <n v="22"/>
    <d v="2026-01-06T00:00:00"/>
    <d v="2026-02-05T00:00:00"/>
    <x v="19"/>
    <x v="9"/>
    <s v="0    "/>
    <s v="3006358840                    "/>
    <n v="30"/>
  </r>
  <r>
    <s v="202601"/>
    <s v="78382514            "/>
    <x v="132"/>
    <x v="15"/>
    <s v="FEDC156886  "/>
    <n v="757044"/>
    <x v="3"/>
    <n v="22"/>
    <d v="2026-01-06T00:00:00"/>
    <d v="2026-02-05T00:00:00"/>
    <x v="19"/>
    <x v="9"/>
    <s v="0    "/>
    <s v="3012056316                    "/>
    <n v="30"/>
  </r>
  <r>
    <s v="202601"/>
    <s v="78382514            "/>
    <x v="132"/>
    <x v="15"/>
    <s v="FEDC156887  "/>
    <n v="2531843"/>
    <x v="3"/>
    <n v="22"/>
    <d v="2026-01-06T00:00:00"/>
    <d v="2026-02-05T00:00:00"/>
    <x v="19"/>
    <x v="9"/>
    <s v="0    "/>
    <s v="3012056316                    "/>
    <n v="30"/>
  </r>
  <r>
    <s v="202601"/>
    <s v="70691309            "/>
    <x v="93"/>
    <x v="15"/>
    <s v="FEDC156889  "/>
    <n v="573449"/>
    <x v="3"/>
    <n v="22"/>
    <d v="2026-01-06T00:00:00"/>
    <d v="2026-02-05T00:00:00"/>
    <x v="19"/>
    <x v="9"/>
    <s v="0    "/>
    <s v="3205719278     "/>
    <n v="30"/>
  </r>
  <r>
    <s v="202601"/>
    <s v="10902348            "/>
    <x v="134"/>
    <x v="40"/>
    <s v="FEDC156882  "/>
    <n v="1661884"/>
    <x v="3"/>
    <n v="22"/>
    <d v="2026-01-06T00:00:00"/>
    <d v="2026-02-05T00:00:00"/>
    <x v="36"/>
    <x v="9"/>
    <s v="0    "/>
    <s v="3015516071     "/>
    <n v="30"/>
  </r>
  <r>
    <s v="202601"/>
    <s v="50859648            "/>
    <x v="71"/>
    <x v="40"/>
    <s v="FEDC156885  "/>
    <n v="380550"/>
    <x v="3"/>
    <n v="22"/>
    <d v="2026-01-06T00:00:00"/>
    <d v="2026-02-05T00:00:00"/>
    <x v="36"/>
    <x v="9"/>
    <s v="0    "/>
    <s v="3007679631     "/>
    <n v="30"/>
  </r>
  <r>
    <s v="202601"/>
    <s v="15929255            "/>
    <x v="276"/>
    <x v="40"/>
    <s v="FEVM44428   "/>
    <n v="4858195"/>
    <x v="3"/>
    <n v="22"/>
    <d v="2026-01-06T00:00:00"/>
    <d v="2026-02-05T00:00:00"/>
    <x v="36"/>
    <x v="9"/>
    <s v="0    "/>
    <s v="3103639542-3114290867         "/>
    <n v="30"/>
  </r>
  <r>
    <s v="202601"/>
    <s v="72041085            "/>
    <x v="344"/>
    <x v="40"/>
    <s v="FEVM44429   "/>
    <n v="3272609"/>
    <x v="3"/>
    <n v="22"/>
    <d v="2026-01-06T00:00:00"/>
    <d v="2026-02-05T00:00:00"/>
    <x v="36"/>
    <x v="9"/>
    <s v="0    "/>
    <s v="7773010        "/>
    <n v="30"/>
  </r>
  <r>
    <s v="202601"/>
    <s v="70694116            "/>
    <x v="244"/>
    <x v="40"/>
    <s v="FEVM44430   "/>
    <n v="3096837"/>
    <x v="3"/>
    <n v="22"/>
    <d v="2026-01-06T00:00:00"/>
    <d v="2026-02-05T00:00:00"/>
    <x v="36"/>
    <x v="9"/>
    <s v="0    "/>
    <s v="3145314051     "/>
    <n v="30"/>
  </r>
  <r>
    <s v="202601"/>
    <s v="1045422253          "/>
    <x v="345"/>
    <x v="17"/>
    <s v="FEDC156811  "/>
    <n v="1898981"/>
    <x v="3"/>
    <n v="22"/>
    <d v="2026-01-06T00:00:00"/>
    <d v="2026-02-05T00:00:00"/>
    <x v="21"/>
    <x v="1"/>
    <s v="0    "/>
    <s v="3204664144                    "/>
    <n v="30"/>
  </r>
  <r>
    <s v="202601"/>
    <s v="1045424998          "/>
    <x v="346"/>
    <x v="17"/>
    <s v="FEDC156812  "/>
    <n v="1481790"/>
    <x v="3"/>
    <n v="22"/>
    <d v="2026-01-06T00:00:00"/>
    <d v="2026-02-05T00:00:00"/>
    <x v="21"/>
    <x v="1"/>
    <s v="0    "/>
    <s v="3022792714                    "/>
    <n v="30"/>
  </r>
  <r>
    <s v="202601"/>
    <s v="1007554374          "/>
    <x v="347"/>
    <x v="17"/>
    <s v="FEDC156813  "/>
    <n v="2564722"/>
    <x v="3"/>
    <n v="22"/>
    <d v="2026-01-06T00:00:00"/>
    <d v="2026-02-05T00:00:00"/>
    <x v="21"/>
    <x v="1"/>
    <s v="0    "/>
    <s v="3117600669                    "/>
    <n v="30"/>
  </r>
  <r>
    <s v="202601"/>
    <s v="21592331            "/>
    <x v="246"/>
    <x v="17"/>
    <s v="FEDC156837  "/>
    <n v="2317270"/>
    <x v="3"/>
    <n v="22"/>
    <d v="2026-01-06T00:00:00"/>
    <d v="2026-02-05T00:00:00"/>
    <x v="21"/>
    <x v="1"/>
    <s v="0    "/>
    <s v="3206702607                    "/>
    <n v="30"/>
  </r>
  <r>
    <s v="202601"/>
    <s v="9020231             "/>
    <x v="85"/>
    <x v="45"/>
    <s v="FEDC156876  "/>
    <n v="5700000"/>
    <x v="3"/>
    <n v="22"/>
    <d v="2026-01-06T00:00:00"/>
    <d v="2026-02-05T00:00:00"/>
    <x v="30"/>
    <x v="9"/>
    <s v="0    "/>
    <s v="3118875212                    "/>
    <n v="1"/>
  </r>
  <r>
    <s v="202601"/>
    <s v="9020231             "/>
    <x v="85"/>
    <x v="45"/>
    <s v="FEDC156877  "/>
    <n v="1857542"/>
    <x v="3"/>
    <n v="22"/>
    <d v="2026-01-06T00:00:00"/>
    <d v="2026-02-05T00:00:00"/>
    <x v="30"/>
    <x v="9"/>
    <s v="0    "/>
    <s v="3118875212                    "/>
    <n v="1"/>
  </r>
  <r>
    <s v="202601"/>
    <s v="78768332            "/>
    <x v="135"/>
    <x v="51"/>
    <s v="FEDC156878  "/>
    <n v="1465015"/>
    <x v="3"/>
    <n v="22"/>
    <d v="2026-01-06T00:00:00"/>
    <d v="2026-02-05T00:00:00"/>
    <x v="30"/>
    <x v="9"/>
    <s v="0    "/>
    <s v="3123294774                    "/>
    <n v="30"/>
  </r>
  <r>
    <s v="202601"/>
    <s v="78768332            "/>
    <x v="135"/>
    <x v="51"/>
    <s v="FEDC156879  "/>
    <n v="386400"/>
    <x v="3"/>
    <n v="22"/>
    <d v="2026-01-06T00:00:00"/>
    <d v="2026-02-05T00:00:00"/>
    <x v="30"/>
    <x v="9"/>
    <s v="0    "/>
    <s v="3123294774                    "/>
    <n v="30"/>
  </r>
  <r>
    <s v="202601"/>
    <s v="15047058            "/>
    <x v="226"/>
    <x v="37"/>
    <s v="FEDC156908  "/>
    <n v="7697777"/>
    <x v="3"/>
    <n v="21"/>
    <d v="2026-01-07T00:00:00"/>
    <d v="2026-02-06T00:00:00"/>
    <x v="18"/>
    <x v="13"/>
    <s v="0    "/>
    <s v="3226993920     "/>
    <n v="30"/>
  </r>
  <r>
    <s v="202601"/>
    <s v="15047058            "/>
    <x v="226"/>
    <x v="37"/>
    <s v="FEDC156909  "/>
    <n v="10013462"/>
    <x v="3"/>
    <n v="21"/>
    <d v="2026-01-07T00:00:00"/>
    <d v="2026-02-06T00:00:00"/>
    <x v="18"/>
    <x v="13"/>
    <s v="0    "/>
    <s v="3226993920     "/>
    <n v="30"/>
  </r>
  <r>
    <s v="202601"/>
    <s v="15047058            "/>
    <x v="226"/>
    <x v="37"/>
    <s v="FEDC156910  "/>
    <n v="327600"/>
    <x v="3"/>
    <n v="21"/>
    <d v="2026-01-07T00:00:00"/>
    <d v="2026-02-06T00:00:00"/>
    <x v="18"/>
    <x v="13"/>
    <s v="0    "/>
    <s v="3226993920     "/>
    <n v="30"/>
  </r>
  <r>
    <s v="202601"/>
    <s v="1062677001          "/>
    <x v="348"/>
    <x v="13"/>
    <s v="FEDC156911  "/>
    <n v="975161"/>
    <x v="3"/>
    <n v="21"/>
    <d v="2026-01-07T00:00:00"/>
    <d v="2026-02-06T00:00:00"/>
    <x v="18"/>
    <x v="13"/>
    <s v="0    "/>
    <s v="3215061247-3116732900         "/>
    <n v="30"/>
  </r>
  <r>
    <s v="202601"/>
    <s v="39272097            "/>
    <x v="311"/>
    <x v="37"/>
    <s v="FEDC156912  "/>
    <n v="73199"/>
    <x v="3"/>
    <n v="21"/>
    <d v="2026-01-07T00:00:00"/>
    <d v="2026-02-06T00:00:00"/>
    <x v="18"/>
    <x v="13"/>
    <s v="0    "/>
    <s v="3206719948                    "/>
    <n v="30"/>
  </r>
  <r>
    <s v="202601"/>
    <s v="4524081             "/>
    <x v="349"/>
    <x v="13"/>
    <s v="FEDC156914  "/>
    <n v="129000"/>
    <x v="3"/>
    <n v="21"/>
    <d v="2026-01-07T00:00:00"/>
    <d v="2026-02-06T00:00:00"/>
    <x v="18"/>
    <x v="13"/>
    <s v="0    "/>
    <s v="3214475985                    "/>
    <n v="30"/>
  </r>
  <r>
    <s v="202601"/>
    <s v="1020426651          "/>
    <x v="350"/>
    <x v="13"/>
    <s v="FEDC156915  "/>
    <n v="868102"/>
    <x v="3"/>
    <n v="21"/>
    <d v="2026-01-07T00:00:00"/>
    <d v="2026-02-06T00:00:00"/>
    <x v="18"/>
    <x v="13"/>
    <s v="0    "/>
    <s v="3148351567                    "/>
    <n v="30"/>
  </r>
  <r>
    <s v="202601"/>
    <s v="1233345840          "/>
    <x v="314"/>
    <x v="13"/>
    <s v="FEDC156916  "/>
    <n v="240000"/>
    <x v="3"/>
    <n v="21"/>
    <d v="2026-01-07T00:00:00"/>
    <d v="2026-02-06T00:00:00"/>
    <x v="18"/>
    <x v="13"/>
    <s v="0    "/>
    <s v="3172967714 -3232010208        "/>
    <n v="30"/>
  </r>
  <r>
    <s v="202601"/>
    <s v="3443977             "/>
    <x v="351"/>
    <x v="37"/>
    <s v="FEDC156917  "/>
    <n v="420000"/>
    <x v="3"/>
    <n v="21"/>
    <d v="2026-01-07T00:00:00"/>
    <d v="2026-02-06T00:00:00"/>
    <x v="18"/>
    <x v="13"/>
    <s v="0    "/>
    <s v="8394641"/>
    <n v="30"/>
  </r>
  <r>
    <s v="202601"/>
    <s v="1152190835          "/>
    <x v="352"/>
    <x v="13"/>
    <s v="FEDC156919  "/>
    <n v="1067296"/>
    <x v="3"/>
    <n v="21"/>
    <d v="2026-01-07T00:00:00"/>
    <d v="2026-02-06T00:00:00"/>
    <x v="18"/>
    <x v="13"/>
    <s v="0    "/>
    <s v="3146318692                    "/>
    <n v="30"/>
  </r>
  <r>
    <s v="202601"/>
    <s v="3443977             "/>
    <x v="351"/>
    <x v="37"/>
    <s v="FEDC156921  "/>
    <n v="1750926"/>
    <x v="3"/>
    <n v="21"/>
    <d v="2026-01-07T00:00:00"/>
    <d v="2026-02-06T00:00:00"/>
    <x v="18"/>
    <x v="13"/>
    <s v="0    "/>
    <s v="8394641"/>
    <n v="30"/>
  </r>
  <r>
    <s v="202601"/>
    <s v="15047058            "/>
    <x v="226"/>
    <x v="37"/>
    <s v="FEDC156929  "/>
    <n v="899114"/>
    <x v="3"/>
    <n v="21"/>
    <d v="2026-01-07T00:00:00"/>
    <d v="2026-02-06T00:00:00"/>
    <x v="18"/>
    <x v="13"/>
    <s v="0    "/>
    <s v="3226993920     "/>
    <n v="30"/>
  </r>
  <r>
    <s v="202601"/>
    <s v="1038097681          "/>
    <x v="165"/>
    <x v="13"/>
    <s v="FEDC156932  "/>
    <n v="31099"/>
    <x v="3"/>
    <n v="21"/>
    <d v="2026-01-07T00:00:00"/>
    <d v="2026-02-06T00:00:00"/>
    <x v="18"/>
    <x v="10"/>
    <s v="0    "/>
    <s v="3186811106                    "/>
    <n v="30"/>
  </r>
  <r>
    <s v="202601"/>
    <s v="8374032             "/>
    <x v="219"/>
    <x v="13"/>
    <s v="FEDC156963  "/>
    <n v="475367"/>
    <x v="3"/>
    <n v="21"/>
    <d v="2026-01-07T00:00:00"/>
    <d v="2026-02-06T00:00:00"/>
    <x v="18"/>
    <x v="13"/>
    <s v="0    "/>
    <s v="3145644503-323243142          "/>
    <n v="30"/>
  </r>
  <r>
    <s v="202601"/>
    <s v="15047058            "/>
    <x v="226"/>
    <x v="37"/>
    <s v="FEDC156964  "/>
    <n v="1530000"/>
    <x v="3"/>
    <n v="21"/>
    <d v="2026-01-07T00:00:00"/>
    <d v="2026-02-06T00:00:00"/>
    <x v="18"/>
    <x v="13"/>
    <s v="0    "/>
    <s v="3226993920     "/>
    <n v="30"/>
  </r>
  <r>
    <s v="202601"/>
    <s v="1038114800          "/>
    <x v="353"/>
    <x v="13"/>
    <s v="FEVM44491   "/>
    <n v="35000"/>
    <x v="3"/>
    <n v="21"/>
    <d v="2026-01-07T00:00:00"/>
    <d v="2026-02-06T00:00:00"/>
    <x v="18"/>
    <x v="11"/>
    <s v="0    "/>
    <s v="3103708801                    "/>
    <n v="30"/>
  </r>
  <r>
    <s v="202601"/>
    <s v="1038114800          "/>
    <x v="353"/>
    <x v="13"/>
    <s v="FEVM44492   "/>
    <n v="21700"/>
    <x v="3"/>
    <n v="21"/>
    <d v="2026-01-07T00:00:00"/>
    <d v="2026-02-06T00:00:00"/>
    <x v="18"/>
    <x v="11"/>
    <s v="0    "/>
    <s v="3103708801                    "/>
    <n v="30"/>
  </r>
  <r>
    <s v="202601"/>
    <s v="1002085278          "/>
    <x v="354"/>
    <x v="88"/>
    <s v="FEDC156902  "/>
    <n v="2838600"/>
    <x v="3"/>
    <n v="21"/>
    <d v="2026-01-07T00:00:00"/>
    <d v="2026-02-06T00:00:00"/>
    <x v="11"/>
    <x v="4"/>
    <s v="0    "/>
    <s v="3044903112                    "/>
    <n v="30"/>
  </r>
  <r>
    <s v="202601"/>
    <s v="1002085278          "/>
    <x v="354"/>
    <x v="88"/>
    <s v="FEDC156903  "/>
    <n v="2434429"/>
    <x v="3"/>
    <n v="21"/>
    <d v="2026-01-07T00:00:00"/>
    <d v="2026-02-06T00:00:00"/>
    <x v="11"/>
    <x v="4"/>
    <s v="0    "/>
    <s v="3044903112                    "/>
    <n v="30"/>
  </r>
  <r>
    <s v="202601"/>
    <s v="1002085278          "/>
    <x v="354"/>
    <x v="88"/>
    <s v="FEDC156904  "/>
    <n v="449000"/>
    <x v="3"/>
    <n v="21"/>
    <d v="2026-01-07T00:00:00"/>
    <d v="2026-02-06T00:00:00"/>
    <x v="11"/>
    <x v="15"/>
    <s v="0    "/>
    <s v="3044903112                    "/>
    <n v="30"/>
  </r>
  <r>
    <s v="202601"/>
    <s v="1002085278          "/>
    <x v="354"/>
    <x v="88"/>
    <s v="FEDC156950  "/>
    <n v="386397"/>
    <x v="3"/>
    <n v="21"/>
    <d v="2026-01-07T00:00:00"/>
    <d v="2026-02-06T00:00:00"/>
    <x v="11"/>
    <x v="5"/>
    <s v="0    "/>
    <s v="3044903112                    "/>
    <n v="30"/>
  </r>
  <r>
    <s v="202601"/>
    <s v="1152210244          "/>
    <x v="62"/>
    <x v="1"/>
    <s v="FEDC156940  "/>
    <n v="1316899"/>
    <x v="3"/>
    <n v="21"/>
    <d v="2026-01-07T00:00:00"/>
    <d v="2026-02-06T00:00:00"/>
    <x v="1"/>
    <x v="12"/>
    <s v="0    "/>
    <s v="3205555535                    "/>
    <n v="30"/>
  </r>
  <r>
    <s v="202601"/>
    <s v="78297325            "/>
    <x v="256"/>
    <x v="2"/>
    <s v="FEDC156941  "/>
    <n v="1595014"/>
    <x v="3"/>
    <n v="21"/>
    <d v="2026-01-07T00:00:00"/>
    <d v="2026-02-06T00:00:00"/>
    <x v="1"/>
    <x v="12"/>
    <s v="0    "/>
    <s v=""/>
    <n v="30"/>
  </r>
  <r>
    <s v="202601"/>
    <s v="901972197           "/>
    <x v="255"/>
    <x v="1"/>
    <s v="FEDC156942  "/>
    <n v="667394"/>
    <x v="3"/>
    <n v="21"/>
    <d v="2026-01-07T00:00:00"/>
    <d v="2026-02-06T00:00:00"/>
    <x v="1"/>
    <x v="12"/>
    <s v="0    "/>
    <s v="3215776957                    "/>
    <n v="30"/>
  </r>
  <r>
    <s v="202601"/>
    <s v="901972197           "/>
    <x v="255"/>
    <x v="1"/>
    <s v="FEDC156944  "/>
    <n v="1475135"/>
    <x v="3"/>
    <n v="21"/>
    <d v="2026-01-07T00:00:00"/>
    <d v="2026-02-06T00:00:00"/>
    <x v="1"/>
    <x v="12"/>
    <s v="0    "/>
    <s v="3215776957                    "/>
    <n v="30"/>
  </r>
  <r>
    <s v="202601"/>
    <s v="49717314            "/>
    <x v="184"/>
    <x v="1"/>
    <s v="FEDC156945  "/>
    <n v="806717"/>
    <x v="3"/>
    <n v="21"/>
    <d v="2026-01-07T00:00:00"/>
    <d v="2026-02-06T00:00:00"/>
    <x v="1"/>
    <x v="12"/>
    <s v="0    "/>
    <s v="3112216146                    "/>
    <n v="30"/>
  </r>
  <r>
    <s v="202601"/>
    <s v="49717314            "/>
    <x v="184"/>
    <x v="1"/>
    <s v="FEDC156946  "/>
    <n v="3245411"/>
    <x v="3"/>
    <n v="21"/>
    <d v="2026-01-07T00:00:00"/>
    <d v="2026-02-06T00:00:00"/>
    <x v="1"/>
    <x v="12"/>
    <s v="0    "/>
    <s v="3112216146                    "/>
    <n v="30"/>
  </r>
  <r>
    <s v="202601"/>
    <s v="15324262            "/>
    <x v="355"/>
    <x v="1"/>
    <s v="FEDC156948  "/>
    <n v="3656521"/>
    <x v="1"/>
    <n v="21"/>
    <d v="2026-01-07T00:00:00"/>
    <d v="2026-01-22T00:00:00"/>
    <x v="1"/>
    <x v="12"/>
    <s v="0    "/>
    <s v="3156821158                    "/>
    <n v="8"/>
  </r>
  <r>
    <s v="202601"/>
    <s v="78302612            "/>
    <x v="110"/>
    <x v="2"/>
    <s v="FEDC156949  "/>
    <n v="3057600"/>
    <x v="3"/>
    <n v="21"/>
    <d v="2026-01-07T00:00:00"/>
    <d v="2026-02-06T00:00:00"/>
    <x v="1"/>
    <x v="12"/>
    <s v="0    "/>
    <s v="3126603940 -3041037151        "/>
    <n v="30"/>
  </r>
  <r>
    <s v="202601"/>
    <s v="78301453            "/>
    <x v="262"/>
    <x v="2"/>
    <s v="FEDC156959  "/>
    <n v="1638267"/>
    <x v="3"/>
    <n v="21"/>
    <d v="2026-01-07T00:00:00"/>
    <d v="2026-02-06T00:00:00"/>
    <x v="1"/>
    <x v="12"/>
    <s v="0    "/>
    <s v="721821                        "/>
    <n v="30"/>
  </r>
  <r>
    <s v="202601"/>
    <s v="78302612            "/>
    <x v="110"/>
    <x v="2"/>
    <s v="FEDC156960  "/>
    <n v="220000"/>
    <x v="3"/>
    <n v="21"/>
    <d v="2026-01-07T00:00:00"/>
    <d v="2026-02-06T00:00:00"/>
    <x v="1"/>
    <x v="12"/>
    <s v="0    "/>
    <s v="3126603940 -3041037151        "/>
    <n v="30"/>
  </r>
  <r>
    <s v="202601"/>
    <s v="49717314            "/>
    <x v="184"/>
    <x v="1"/>
    <s v="FEDC156961  "/>
    <n v="80000"/>
    <x v="3"/>
    <n v="21"/>
    <d v="2026-01-07T00:00:00"/>
    <d v="2026-02-06T00:00:00"/>
    <x v="1"/>
    <x v="12"/>
    <s v="0    "/>
    <s v="3112216146                    "/>
    <n v="30"/>
  </r>
  <r>
    <s v="202601"/>
    <s v="50944892            "/>
    <x v="356"/>
    <x v="41"/>
    <s v="FEVM44469   "/>
    <n v="213388"/>
    <x v="1"/>
    <n v="21"/>
    <d v="2026-01-07T00:00:00"/>
    <d v="2026-01-22T00:00:00"/>
    <x v="37"/>
    <x v="3"/>
    <s v="0    "/>
    <s v=""/>
    <n v="30"/>
  </r>
  <r>
    <s v="202601"/>
    <s v="15674956            "/>
    <x v="323"/>
    <x v="41"/>
    <s v="FEVM44486   "/>
    <n v="1492963"/>
    <x v="3"/>
    <n v="21"/>
    <d v="2026-01-07T00:00:00"/>
    <d v="2026-02-06T00:00:00"/>
    <x v="37"/>
    <x v="3"/>
    <s v="0    "/>
    <s v="3005245599     "/>
    <n v="30"/>
  </r>
  <r>
    <s v="202601"/>
    <s v="26230803-9          "/>
    <x v="198"/>
    <x v="75"/>
    <s v="FEDC156968  "/>
    <n v="7174973"/>
    <x v="3"/>
    <n v="21"/>
    <d v="2026-01-07T00:00:00"/>
    <d v="2026-02-06T00:00:00"/>
    <x v="3"/>
    <x v="1"/>
    <s v="0    "/>
    <s v="3108901980                    "/>
    <n v="30"/>
  </r>
  <r>
    <s v="202601"/>
    <s v="39288269            "/>
    <x v="357"/>
    <x v="67"/>
    <s v="FEDC156970  "/>
    <n v="4016143"/>
    <x v="3"/>
    <n v="21"/>
    <d v="2026-01-07T00:00:00"/>
    <d v="2026-02-06T00:00:00"/>
    <x v="3"/>
    <x v="1"/>
    <s v="0    "/>
    <s v="3218037194 -3218008830        "/>
    <n v="30"/>
  </r>
  <r>
    <s v="202601"/>
    <s v="1038482441          "/>
    <x v="358"/>
    <x v="67"/>
    <s v="FEDC156973  "/>
    <n v="1053189"/>
    <x v="3"/>
    <n v="21"/>
    <d v="2026-01-07T00:00:00"/>
    <d v="2026-02-06T00:00:00"/>
    <x v="3"/>
    <x v="1"/>
    <s v="0    "/>
    <s v="3504974973 -3204407007        "/>
    <n v="30"/>
  </r>
  <r>
    <s v="202601"/>
    <s v="98649898            "/>
    <x v="359"/>
    <x v="4"/>
    <s v="FEDC156974  "/>
    <n v="716577"/>
    <x v="3"/>
    <n v="21"/>
    <d v="2026-01-07T00:00:00"/>
    <d v="2026-02-06T00:00:00"/>
    <x v="3"/>
    <x v="1"/>
    <s v="0    "/>
    <s v="3103760671     "/>
    <n v="30"/>
  </r>
  <r>
    <s v="202601"/>
    <s v="8052366             "/>
    <x v="155"/>
    <x v="67"/>
    <s v="FEDC156976  "/>
    <n v="955276"/>
    <x v="3"/>
    <n v="21"/>
    <d v="2026-01-07T00:00:00"/>
    <d v="2026-02-06T00:00:00"/>
    <x v="3"/>
    <x v="1"/>
    <s v="0    "/>
    <s v="3216175857     "/>
    <n v="30"/>
  </r>
  <r>
    <s v="202601"/>
    <s v="43699606            "/>
    <x v="263"/>
    <x v="4"/>
    <s v="FEDC156977  "/>
    <n v="3619206"/>
    <x v="3"/>
    <n v="21"/>
    <d v="2026-01-07T00:00:00"/>
    <d v="2026-02-06T00:00:00"/>
    <x v="3"/>
    <x v="1"/>
    <s v="0    "/>
    <s v="3148371149 -8368328           "/>
    <n v="25"/>
  </r>
  <r>
    <s v="202601"/>
    <s v="1038434004          "/>
    <x v="360"/>
    <x v="67"/>
    <s v="FEDC156978  "/>
    <n v="1036324"/>
    <x v="3"/>
    <n v="21"/>
    <d v="2026-01-07T00:00:00"/>
    <d v="2026-02-06T00:00:00"/>
    <x v="3"/>
    <x v="1"/>
    <s v="0    "/>
    <s v="3012854587 -3213488346        "/>
    <n v="30"/>
  </r>
  <r>
    <s v="202601"/>
    <s v="43699606            "/>
    <x v="263"/>
    <x v="4"/>
    <s v="FEDC156979  "/>
    <n v="2012278"/>
    <x v="3"/>
    <n v="21"/>
    <d v="2026-01-07T00:00:00"/>
    <d v="2026-02-06T00:00:00"/>
    <x v="3"/>
    <x v="1"/>
    <s v="0    "/>
    <s v="3148371149 -8368328           "/>
    <n v="25"/>
  </r>
  <r>
    <s v="202601"/>
    <s v="43804440            "/>
    <x v="361"/>
    <x v="67"/>
    <s v="FEDC156982  "/>
    <n v="370733"/>
    <x v="3"/>
    <n v="21"/>
    <d v="2026-01-07T00:00:00"/>
    <d v="2026-02-06T00:00:00"/>
    <x v="3"/>
    <x v="1"/>
    <s v="0    "/>
    <s v="               "/>
    <n v="30"/>
  </r>
  <r>
    <s v="202601"/>
    <s v="15304619            "/>
    <x v="86"/>
    <x v="4"/>
    <s v="FEDC156983  "/>
    <n v="3417062"/>
    <x v="3"/>
    <n v="21"/>
    <d v="2026-01-07T00:00:00"/>
    <d v="2026-02-06T00:00:00"/>
    <x v="3"/>
    <x v="1"/>
    <s v="0    "/>
    <s v="3136304945 Cristian Indabur   "/>
    <n v="30"/>
  </r>
  <r>
    <s v="202601"/>
    <s v="15304619            "/>
    <x v="86"/>
    <x v="4"/>
    <s v="FEDC156984  "/>
    <n v="15332799"/>
    <x v="3"/>
    <n v="21"/>
    <d v="2026-01-07T00:00:00"/>
    <d v="2026-02-06T00:00:00"/>
    <x v="3"/>
    <x v="1"/>
    <s v="0    "/>
    <s v="3136304945 Cristian Indabur   "/>
    <n v="30"/>
  </r>
  <r>
    <s v="202601"/>
    <s v="8051409             "/>
    <x v="362"/>
    <x v="67"/>
    <s v="FEDC156986  "/>
    <n v="4006569"/>
    <x v="3"/>
    <n v="21"/>
    <d v="2026-01-07T00:00:00"/>
    <d v="2026-02-06T00:00:00"/>
    <x v="3"/>
    <x v="1"/>
    <s v="0    "/>
    <s v="3127313829-3145496692         "/>
    <n v="30"/>
  </r>
  <r>
    <s v="202601"/>
    <s v="18532717            "/>
    <x v="64"/>
    <x v="36"/>
    <s v="FEDC156951  "/>
    <n v="12077471"/>
    <x v="3"/>
    <n v="21"/>
    <d v="2026-01-07T00:00:00"/>
    <d v="2026-02-06T00:00:00"/>
    <x v="33"/>
    <x v="8"/>
    <s v="0    "/>
    <s v="3126701128                    "/>
    <n v="30"/>
  </r>
  <r>
    <s v="202601"/>
    <s v="18532717            "/>
    <x v="64"/>
    <x v="36"/>
    <s v="FEDC156952  "/>
    <n v="1725000"/>
    <x v="3"/>
    <n v="21"/>
    <d v="2026-01-07T00:00:00"/>
    <d v="2026-02-06T00:00:00"/>
    <x v="33"/>
    <x v="8"/>
    <s v="0    "/>
    <s v="3126701128                    "/>
    <n v="30"/>
  </r>
  <r>
    <s v="202601"/>
    <s v="1033368946          "/>
    <x v="363"/>
    <x v="64"/>
    <s v="FEDC156953  "/>
    <n v="15999900"/>
    <x v="3"/>
    <n v="21"/>
    <d v="2026-01-07T00:00:00"/>
    <d v="2026-02-06T00:00:00"/>
    <x v="33"/>
    <x v="8"/>
    <s v="0    "/>
    <s v="3147637134 -8200071           "/>
    <n v="30"/>
  </r>
  <r>
    <s v="202601"/>
    <s v="18532717            "/>
    <x v="64"/>
    <x v="36"/>
    <s v="FEDC156954  "/>
    <n v="9220865"/>
    <x v="3"/>
    <n v="21"/>
    <d v="2026-01-07T00:00:00"/>
    <d v="2026-02-06T00:00:00"/>
    <x v="33"/>
    <x v="8"/>
    <s v="0    "/>
    <s v="3126701128                    "/>
    <n v="30"/>
  </r>
  <r>
    <s v="202601"/>
    <s v="18532717            "/>
    <x v="64"/>
    <x v="36"/>
    <s v="FEDC156955  "/>
    <n v="2272165"/>
    <x v="3"/>
    <n v="21"/>
    <d v="2026-01-07T00:00:00"/>
    <d v="2026-02-06T00:00:00"/>
    <x v="33"/>
    <x v="8"/>
    <s v="0    "/>
    <s v="3126701128                    "/>
    <n v="30"/>
  </r>
  <r>
    <s v="202601"/>
    <s v="18532717            "/>
    <x v="64"/>
    <x v="36"/>
    <s v="FEDC156956  "/>
    <n v="690000"/>
    <x v="3"/>
    <n v="21"/>
    <d v="2026-01-07T00:00:00"/>
    <d v="2026-02-06T00:00:00"/>
    <x v="33"/>
    <x v="8"/>
    <s v="0    "/>
    <s v="3126701128                    "/>
    <n v="30"/>
  </r>
  <r>
    <s v="202601"/>
    <s v="18532717            "/>
    <x v="64"/>
    <x v="36"/>
    <s v="FEDC156957  "/>
    <n v="724495"/>
    <x v="3"/>
    <n v="21"/>
    <d v="2026-01-07T00:00:00"/>
    <d v="2026-02-06T00:00:00"/>
    <x v="33"/>
    <x v="8"/>
    <s v="0    "/>
    <s v="3126701128                    "/>
    <n v="30"/>
  </r>
  <r>
    <s v="202601"/>
    <s v="18532717            "/>
    <x v="64"/>
    <x v="36"/>
    <s v="FEDC156958  "/>
    <n v="1727505"/>
    <x v="3"/>
    <n v="21"/>
    <d v="2026-01-07T00:00:00"/>
    <d v="2026-02-06T00:00:00"/>
    <x v="33"/>
    <x v="8"/>
    <s v="0    "/>
    <s v="3126701128                    "/>
    <n v="30"/>
  </r>
  <r>
    <s v="202601"/>
    <s v="98651531            "/>
    <x v="285"/>
    <x v="37"/>
    <s v="FEDC157005  "/>
    <n v="685190"/>
    <x v="3"/>
    <n v="20"/>
    <d v="2026-01-08T00:00:00"/>
    <d v="2026-02-07T00:00:00"/>
    <x v="18"/>
    <x v="13"/>
    <s v="0    "/>
    <s v="3115674271"/>
    <n v="30"/>
  </r>
  <r>
    <s v="202601"/>
    <s v="70383501            "/>
    <x v="183"/>
    <x v="13"/>
    <s v="FEDC157006  "/>
    <n v="2109414"/>
    <x v="3"/>
    <n v="20"/>
    <d v="2026-01-08T00:00:00"/>
    <d v="2026-02-07T00:00:00"/>
    <x v="18"/>
    <x v="13"/>
    <s v="0    "/>
    <s v="3145052021                    "/>
    <n v="30"/>
  </r>
  <r>
    <s v="202601"/>
    <s v="901997622           "/>
    <x v="364"/>
    <x v="13"/>
    <s v="FEDC157007  "/>
    <n v="548855"/>
    <x v="3"/>
    <n v="20"/>
    <d v="2026-01-08T00:00:00"/>
    <d v="2026-02-07T00:00:00"/>
    <x v="18"/>
    <x v="13"/>
    <s v="0    "/>
    <s v="3206198078                    "/>
    <n v="30"/>
  </r>
  <r>
    <s v="202601"/>
    <s v="9313721             "/>
    <x v="365"/>
    <x v="37"/>
    <s v="FEDC157008  "/>
    <n v="2049696"/>
    <x v="3"/>
    <n v="20"/>
    <d v="2026-01-08T00:00:00"/>
    <d v="2026-02-07T00:00:00"/>
    <x v="18"/>
    <x v="13"/>
    <s v="0    "/>
    <s v="8380408"/>
    <n v="0"/>
  </r>
  <r>
    <s v="202601"/>
    <s v="1127958438          "/>
    <x v="159"/>
    <x v="13"/>
    <s v="FEDC157009  "/>
    <n v="4224340"/>
    <x v="3"/>
    <n v="20"/>
    <d v="2026-01-08T00:00:00"/>
    <d v="2026-02-07T00:00:00"/>
    <x v="18"/>
    <x v="13"/>
    <s v="0    "/>
    <s v="3204475005                    "/>
    <n v="30"/>
  </r>
  <r>
    <s v="202601"/>
    <s v="15047058            "/>
    <x v="226"/>
    <x v="37"/>
    <s v="FEDC157010  "/>
    <n v="2109051"/>
    <x v="3"/>
    <n v="20"/>
    <d v="2026-01-08T00:00:00"/>
    <d v="2026-02-07T00:00:00"/>
    <x v="18"/>
    <x v="13"/>
    <s v="0    "/>
    <s v="3226993920     "/>
    <n v="30"/>
  </r>
  <r>
    <s v="202601"/>
    <s v="15047058            "/>
    <x v="226"/>
    <x v="37"/>
    <s v="FEDC157011  "/>
    <n v="19205000"/>
    <x v="3"/>
    <n v="20"/>
    <d v="2026-01-08T00:00:00"/>
    <d v="2026-02-07T00:00:00"/>
    <x v="18"/>
    <x v="13"/>
    <s v="0    "/>
    <s v="3226993920     "/>
    <n v="30"/>
  </r>
  <r>
    <s v="202601"/>
    <s v="8374032             "/>
    <x v="219"/>
    <x v="13"/>
    <s v="FEDC157014  "/>
    <n v="278403"/>
    <x v="3"/>
    <n v="20"/>
    <d v="2026-01-08T00:00:00"/>
    <d v="2026-02-07T00:00:00"/>
    <x v="18"/>
    <x v="13"/>
    <s v="0    "/>
    <s v="3145644503-323243142          "/>
    <n v="30"/>
  </r>
  <r>
    <s v="202601"/>
    <s v="78703962            "/>
    <x v="284"/>
    <x v="13"/>
    <s v="FEDC157015  "/>
    <n v="1179399"/>
    <x v="3"/>
    <n v="20"/>
    <d v="2026-01-08T00:00:00"/>
    <d v="2026-02-07T00:00:00"/>
    <x v="18"/>
    <x v="13"/>
    <s v="0    "/>
    <s v="3105410896                    "/>
    <n v="30"/>
  </r>
  <r>
    <s v="202601"/>
    <s v="1007652832          "/>
    <x v="206"/>
    <x v="13"/>
    <s v="FEDC157016  "/>
    <n v="2074666"/>
    <x v="3"/>
    <n v="20"/>
    <d v="2026-01-08T00:00:00"/>
    <d v="2026-02-07T00:00:00"/>
    <x v="18"/>
    <x v="13"/>
    <s v="0    "/>
    <s v="3003097106 -3013682585        "/>
    <n v="30"/>
  </r>
  <r>
    <s v="202601"/>
    <s v="15030463            "/>
    <x v="227"/>
    <x v="37"/>
    <s v="FEDC157017  "/>
    <n v="7226078"/>
    <x v="3"/>
    <n v="20"/>
    <d v="2026-01-08T00:00:00"/>
    <d v="2026-02-07T00:00:00"/>
    <x v="18"/>
    <x v="13"/>
    <s v="0    "/>
    <s v="3185068224     "/>
    <n v="30"/>
  </r>
  <r>
    <s v="202601"/>
    <s v="15047058            "/>
    <x v="226"/>
    <x v="37"/>
    <s v="FEDC157050  "/>
    <n v="179999"/>
    <x v="3"/>
    <n v="20"/>
    <d v="2026-01-08T00:00:00"/>
    <d v="2026-02-07T00:00:00"/>
    <x v="18"/>
    <x v="13"/>
    <s v="0    "/>
    <s v="3226993920     "/>
    <n v="30"/>
  </r>
  <r>
    <s v="202601"/>
    <s v="15047058            "/>
    <x v="226"/>
    <x v="37"/>
    <s v="FEDC157051  "/>
    <n v="918061"/>
    <x v="3"/>
    <n v="20"/>
    <d v="2026-01-08T00:00:00"/>
    <d v="2026-02-07T00:00:00"/>
    <x v="18"/>
    <x v="13"/>
    <s v="0    "/>
    <s v="3226993920     "/>
    <n v="30"/>
  </r>
  <r>
    <s v="202601"/>
    <s v="1038129527          "/>
    <x v="366"/>
    <x v="37"/>
    <s v="FEVM44501   "/>
    <n v="772642"/>
    <x v="1"/>
    <n v="20"/>
    <d v="2026-01-08T00:00:00"/>
    <d v="2026-01-23T00:00:00"/>
    <x v="18"/>
    <x v="6"/>
    <s v="0    "/>
    <s v="3128879943     "/>
    <n v="15"/>
  </r>
  <r>
    <s v="202601"/>
    <s v="1001550501          "/>
    <x v="367"/>
    <x v="13"/>
    <s v="FEVM44515   "/>
    <n v="396759"/>
    <x v="3"/>
    <n v="20"/>
    <d v="2026-01-08T00:00:00"/>
    <d v="2026-02-07T00:00:00"/>
    <x v="18"/>
    <x v="10"/>
    <s v="0    "/>
    <s v="3135895215                    "/>
    <n v="30"/>
  </r>
  <r>
    <s v="202601"/>
    <s v="1214717520          "/>
    <x v="368"/>
    <x v="53"/>
    <s v="FEDC156994  "/>
    <n v="2475405"/>
    <x v="3"/>
    <n v="20"/>
    <d v="2026-01-08T00:00:00"/>
    <d v="2026-02-07T00:00:00"/>
    <x v="10"/>
    <x v="4"/>
    <s v="0    "/>
    <s v="3216260203     "/>
    <n v="30"/>
  </r>
  <r>
    <s v="202601"/>
    <s v="32119371            "/>
    <x v="369"/>
    <x v="53"/>
    <s v="FEDC156998  "/>
    <n v="1503440"/>
    <x v="3"/>
    <n v="20"/>
    <d v="2026-01-08T00:00:00"/>
    <d v="2026-02-07T00:00:00"/>
    <x v="10"/>
    <x v="4"/>
    <s v="0    "/>
    <s v="3105360198     "/>
    <n v="30"/>
  </r>
  <r>
    <s v="202601"/>
    <s v="3424271             "/>
    <x v="137"/>
    <x v="53"/>
    <s v="FEDC156999  "/>
    <n v="1389800"/>
    <x v="3"/>
    <n v="20"/>
    <d v="2026-01-08T00:00:00"/>
    <d v="2026-02-07T00:00:00"/>
    <x v="10"/>
    <x v="4"/>
    <s v="0    "/>
    <s v="3137226788                    "/>
    <n v="30"/>
  </r>
  <r>
    <s v="202601"/>
    <s v="3424271             "/>
    <x v="137"/>
    <x v="53"/>
    <s v="FEDC157000  "/>
    <n v="1025345"/>
    <x v="3"/>
    <n v="20"/>
    <d v="2026-01-08T00:00:00"/>
    <d v="2026-02-07T00:00:00"/>
    <x v="10"/>
    <x v="4"/>
    <s v="0    "/>
    <s v="3137226788                    "/>
    <n v="30"/>
  </r>
  <r>
    <s v="202601"/>
    <s v="15306102            "/>
    <x v="138"/>
    <x v="31"/>
    <s v="FEDC157001  "/>
    <n v="1446585"/>
    <x v="3"/>
    <n v="20"/>
    <d v="2026-01-08T00:00:00"/>
    <d v="2026-02-07T00:00:00"/>
    <x v="10"/>
    <x v="4"/>
    <s v="0    "/>
    <s v="3103720204                    "/>
    <n v="30"/>
  </r>
  <r>
    <s v="202601"/>
    <s v="70134491            "/>
    <x v="329"/>
    <x v="31"/>
    <s v="FEDC157002  "/>
    <n v="1578253"/>
    <x v="3"/>
    <n v="20"/>
    <d v="2026-01-08T00:00:00"/>
    <d v="2026-02-07T00:00:00"/>
    <x v="10"/>
    <x v="4"/>
    <s v="0    "/>
    <s v="3128936297                    "/>
    <n v="30"/>
  </r>
  <r>
    <s v="202601"/>
    <s v="1038114557          "/>
    <x v="370"/>
    <x v="37"/>
    <s v="FEVM44502   "/>
    <n v="275760"/>
    <x v="1"/>
    <n v="20"/>
    <d v="2026-01-08T00:00:00"/>
    <d v="2026-01-23T00:00:00"/>
    <x v="10"/>
    <x v="6"/>
    <s v="0    "/>
    <s v=""/>
    <n v="15"/>
  </r>
  <r>
    <s v="202601"/>
    <s v="15271725            "/>
    <x v="371"/>
    <x v="89"/>
    <s v="FEDC157030  "/>
    <n v="3073722"/>
    <x v="3"/>
    <n v="20"/>
    <d v="2026-01-08T00:00:00"/>
    <d v="2026-02-07T00:00:00"/>
    <x v="13"/>
    <x v="4"/>
    <s v="0    "/>
    <s v="3133096484                    "/>
    <n v="30"/>
  </r>
  <r>
    <s v="202601"/>
    <s v="1032258178          "/>
    <x v="372"/>
    <x v="66"/>
    <s v="FEDC157036  "/>
    <n v="4015800"/>
    <x v="3"/>
    <n v="20"/>
    <d v="2026-01-08T00:00:00"/>
    <d v="2026-02-07T00:00:00"/>
    <x v="13"/>
    <x v="4"/>
    <s v="0    "/>
    <s v="3022945533 -3227702288        "/>
    <n v="30"/>
  </r>
  <r>
    <s v="202601"/>
    <s v="98673917            "/>
    <x v="373"/>
    <x v="89"/>
    <s v="FEVM44556   "/>
    <n v="281201"/>
    <x v="1"/>
    <n v="20"/>
    <d v="2026-01-08T00:00:00"/>
    <d v="2026-01-23T00:00:00"/>
    <x v="13"/>
    <x v="6"/>
    <s v="0    "/>
    <s v="3117967418"/>
    <n v="15"/>
  </r>
  <r>
    <s v="202601"/>
    <s v="78301453            "/>
    <x v="262"/>
    <x v="2"/>
    <s v="FEDC156987  "/>
    <n v="750744"/>
    <x v="3"/>
    <n v="20"/>
    <d v="2026-01-08T00:00:00"/>
    <d v="2026-02-07T00:00:00"/>
    <x v="1"/>
    <x v="5"/>
    <s v="0    "/>
    <s v="721821                        "/>
    <n v="30"/>
  </r>
  <r>
    <s v="202601"/>
    <s v="78297325            "/>
    <x v="256"/>
    <x v="2"/>
    <s v="FEDC156988  "/>
    <n v="179898"/>
    <x v="3"/>
    <n v="20"/>
    <d v="2026-01-08T00:00:00"/>
    <d v="2026-02-07T00:00:00"/>
    <x v="1"/>
    <x v="5"/>
    <s v="0    "/>
    <s v=""/>
    <n v="30"/>
  </r>
  <r>
    <s v="202601"/>
    <s v="78301453            "/>
    <x v="262"/>
    <x v="2"/>
    <s v="FEDC156989  "/>
    <n v="165608"/>
    <x v="3"/>
    <n v="20"/>
    <d v="2026-01-08T00:00:00"/>
    <d v="2026-02-07T00:00:00"/>
    <x v="1"/>
    <x v="15"/>
    <s v="0    "/>
    <s v="721821                        "/>
    <n v="30"/>
  </r>
  <r>
    <s v="202601"/>
    <s v="78305175            "/>
    <x v="374"/>
    <x v="1"/>
    <s v="FEVM44522   "/>
    <n v="228871"/>
    <x v="1"/>
    <n v="20"/>
    <d v="2026-01-08T00:00:00"/>
    <d v="2026-01-23T00:00:00"/>
    <x v="1"/>
    <x v="3"/>
    <s v="0    "/>
    <s v="3226135946                    "/>
    <n v="15"/>
  </r>
  <r>
    <s v="202601"/>
    <s v="1038107562          "/>
    <x v="375"/>
    <x v="13"/>
    <s v="FEVM44571   "/>
    <n v="2120000"/>
    <x v="3"/>
    <n v="20"/>
    <d v="2026-01-08T00:00:00"/>
    <d v="2026-02-07T00:00:00"/>
    <x v="23"/>
    <x v="4"/>
    <s v="0    "/>
    <s v="3105336166 - 3104135942       "/>
    <n v="30"/>
  </r>
  <r>
    <s v="202601"/>
    <s v="1038107562          "/>
    <x v="375"/>
    <x v="13"/>
    <s v="FEVM44572   "/>
    <n v="1552309"/>
    <x v="3"/>
    <n v="20"/>
    <d v="2026-01-08T00:00:00"/>
    <d v="2026-02-07T00:00:00"/>
    <x v="23"/>
    <x v="4"/>
    <s v="0    "/>
    <s v="3105336166 - 3104135942       "/>
    <n v="30"/>
  </r>
  <r>
    <s v="202601"/>
    <s v="1038107562          "/>
    <x v="375"/>
    <x v="13"/>
    <s v="FEVM44573   "/>
    <n v="4966000"/>
    <x v="3"/>
    <n v="20"/>
    <d v="2026-01-08T00:00:00"/>
    <d v="2026-02-07T00:00:00"/>
    <x v="23"/>
    <x v="4"/>
    <s v="0    "/>
    <s v="3105336166 - 3104135942       "/>
    <n v="30"/>
  </r>
  <r>
    <s v="202601"/>
    <s v="1038107562          "/>
    <x v="375"/>
    <x v="13"/>
    <s v="FEVM44575   "/>
    <n v="1260089"/>
    <x v="3"/>
    <n v="20"/>
    <d v="2026-01-08T00:00:00"/>
    <d v="2026-02-07T00:00:00"/>
    <x v="23"/>
    <x v="4"/>
    <s v="0    "/>
    <s v="3105336166 - 3104135942       "/>
    <n v="30"/>
  </r>
  <r>
    <s v="202601"/>
    <s v="901662960-4         "/>
    <x v="376"/>
    <x v="67"/>
    <s v="FEDC157024  "/>
    <n v="3140055"/>
    <x v="3"/>
    <n v="20"/>
    <d v="2026-01-08T00:00:00"/>
    <d v="2026-02-07T00:00:00"/>
    <x v="3"/>
    <x v="1"/>
    <s v="0    "/>
    <s v="3012790447                    "/>
    <n v="30"/>
  </r>
  <r>
    <s v="202601"/>
    <s v="901662960-4         "/>
    <x v="376"/>
    <x v="67"/>
    <s v="FEDC157025  "/>
    <n v="19286219"/>
    <x v="3"/>
    <n v="20"/>
    <d v="2026-01-08T00:00:00"/>
    <d v="2026-02-07T00:00:00"/>
    <x v="3"/>
    <x v="1"/>
    <s v="0    "/>
    <s v="3012790447                    "/>
    <n v="30"/>
  </r>
  <r>
    <s v="202601"/>
    <s v="900540697           "/>
    <x v="140"/>
    <x v="67"/>
    <s v="FEDC157046  "/>
    <n v="5685601"/>
    <x v="3"/>
    <n v="20"/>
    <d v="2026-01-08T00:00:00"/>
    <d v="2026-02-07T00:00:00"/>
    <x v="3"/>
    <x v="11"/>
    <s v="0    "/>
    <s v="3218037194                    "/>
    <n v="30"/>
  </r>
  <r>
    <s v="202601"/>
    <s v="900540697           "/>
    <x v="140"/>
    <x v="67"/>
    <s v="FEDC157048  "/>
    <n v="7308000"/>
    <x v="3"/>
    <n v="20"/>
    <d v="2026-01-08T00:00:00"/>
    <d v="2026-02-07T00:00:00"/>
    <x v="3"/>
    <x v="11"/>
    <s v="0    "/>
    <s v="3218037194                    "/>
    <n v="30"/>
  </r>
  <r>
    <s v="202601"/>
    <s v="1042767045          "/>
    <x v="377"/>
    <x v="13"/>
    <s v="FEDC157060  "/>
    <n v="537207"/>
    <x v="3"/>
    <n v="19"/>
    <d v="2026-01-09T00:00:00"/>
    <d v="2026-02-08T00:00:00"/>
    <x v="18"/>
    <x v="13"/>
    <s v="0    "/>
    <s v="312769089                     "/>
    <n v="30"/>
  </r>
  <r>
    <s v="202601"/>
    <s v="15047058            "/>
    <x v="226"/>
    <x v="37"/>
    <s v="FEDC157061  "/>
    <n v="359999"/>
    <x v="3"/>
    <n v="19"/>
    <d v="2026-01-09T00:00:00"/>
    <d v="2026-02-08T00:00:00"/>
    <x v="18"/>
    <x v="13"/>
    <s v="0    "/>
    <s v="3226993920     "/>
    <n v="30"/>
  </r>
  <r>
    <s v="202601"/>
    <s v="1127958438          "/>
    <x v="159"/>
    <x v="13"/>
    <s v="FEDC157062  "/>
    <n v="8400000"/>
    <x v="3"/>
    <n v="19"/>
    <d v="2026-01-09T00:00:00"/>
    <d v="2026-02-08T00:00:00"/>
    <x v="18"/>
    <x v="13"/>
    <s v="0    "/>
    <s v="3204475005                    "/>
    <n v="30"/>
  </r>
  <r>
    <s v="202601"/>
    <s v="1007652832          "/>
    <x v="206"/>
    <x v="13"/>
    <s v="FEDC157063  "/>
    <n v="2624000"/>
    <x v="3"/>
    <n v="19"/>
    <d v="2026-01-09T00:00:00"/>
    <d v="2026-02-08T00:00:00"/>
    <x v="18"/>
    <x v="13"/>
    <s v="0    "/>
    <s v="3003097106 -3013682585        "/>
    <n v="30"/>
  </r>
  <r>
    <s v="202601"/>
    <s v="8374032             "/>
    <x v="219"/>
    <x v="13"/>
    <s v="FEDC157066  "/>
    <n v="1743332"/>
    <x v="3"/>
    <n v="19"/>
    <d v="2026-01-09T00:00:00"/>
    <d v="2026-02-08T00:00:00"/>
    <x v="18"/>
    <x v="13"/>
    <s v="0    "/>
    <s v="3145644503-323243142          "/>
    <n v="30"/>
  </r>
  <r>
    <s v="202601"/>
    <s v="8374032             "/>
    <x v="219"/>
    <x v="13"/>
    <s v="FEDC157067  "/>
    <n v="3843998"/>
    <x v="3"/>
    <n v="19"/>
    <d v="2026-01-09T00:00:00"/>
    <d v="2026-02-08T00:00:00"/>
    <x v="18"/>
    <x v="13"/>
    <s v="0    "/>
    <s v="3145644503-323243142          "/>
    <n v="30"/>
  </r>
  <r>
    <s v="202601"/>
    <s v="3443977             "/>
    <x v="351"/>
    <x v="37"/>
    <s v="FEDC157068  "/>
    <n v="154498"/>
    <x v="3"/>
    <n v="19"/>
    <d v="2026-01-09T00:00:00"/>
    <d v="2026-02-08T00:00:00"/>
    <x v="18"/>
    <x v="13"/>
    <s v="0    "/>
    <s v="8394641"/>
    <n v="30"/>
  </r>
  <r>
    <s v="202601"/>
    <s v="78703962            "/>
    <x v="284"/>
    <x v="13"/>
    <s v="FEDC157069  "/>
    <n v="808810"/>
    <x v="3"/>
    <n v="19"/>
    <d v="2026-01-09T00:00:00"/>
    <d v="2026-02-08T00:00:00"/>
    <x v="18"/>
    <x v="13"/>
    <s v="0    "/>
    <s v="3105410896                    "/>
    <n v="30"/>
  </r>
  <r>
    <s v="202601"/>
    <s v="70142980            "/>
    <x v="220"/>
    <x v="37"/>
    <s v="FEDC157086  "/>
    <n v="19131458"/>
    <x v="3"/>
    <n v="19"/>
    <d v="2026-01-09T00:00:00"/>
    <d v="2026-02-08T00:00:00"/>
    <x v="18"/>
    <x v="15"/>
    <s v="0    "/>
    <s v="8393030                       "/>
    <n v="30"/>
  </r>
  <r>
    <s v="202601"/>
    <s v="70142980            "/>
    <x v="220"/>
    <x v="37"/>
    <s v="FEDC157087  "/>
    <n v="2195000"/>
    <x v="3"/>
    <n v="19"/>
    <d v="2026-01-09T00:00:00"/>
    <d v="2026-02-08T00:00:00"/>
    <x v="18"/>
    <x v="15"/>
    <s v="0    "/>
    <s v="8393030                       "/>
    <n v="30"/>
  </r>
  <r>
    <s v="202601"/>
    <s v="3443977             "/>
    <x v="351"/>
    <x v="37"/>
    <s v="FEDC157089  "/>
    <n v="324000"/>
    <x v="3"/>
    <n v="19"/>
    <d v="2026-01-09T00:00:00"/>
    <d v="2026-02-08T00:00:00"/>
    <x v="18"/>
    <x v="13"/>
    <s v="0    "/>
    <s v="8394641"/>
    <n v="30"/>
  </r>
  <r>
    <s v="202601"/>
    <s v="15308907            "/>
    <x v="378"/>
    <x v="37"/>
    <s v="FEDC157092  "/>
    <n v="1061052"/>
    <x v="3"/>
    <n v="19"/>
    <d v="2026-01-09T00:00:00"/>
    <d v="2026-02-08T00:00:00"/>
    <x v="18"/>
    <x v="4"/>
    <s v="0    "/>
    <s v="3137334244                    "/>
    <n v="30"/>
  </r>
  <r>
    <s v="202601"/>
    <s v="15308907            "/>
    <x v="378"/>
    <x v="37"/>
    <s v="FEDC157093  "/>
    <n v="186284"/>
    <x v="3"/>
    <n v="19"/>
    <d v="2026-01-09T00:00:00"/>
    <d v="2026-02-08T00:00:00"/>
    <x v="18"/>
    <x v="4"/>
    <s v="0    "/>
    <s v="3137334244                    "/>
    <n v="30"/>
  </r>
  <r>
    <s v="202601"/>
    <s v="15047058            "/>
    <x v="226"/>
    <x v="37"/>
    <s v="FEDC157101  "/>
    <n v="465004"/>
    <x v="3"/>
    <n v="19"/>
    <d v="2026-01-09T00:00:00"/>
    <d v="2026-02-08T00:00:00"/>
    <x v="18"/>
    <x v="13"/>
    <s v="0    "/>
    <s v="3226993920     "/>
    <n v="30"/>
  </r>
  <r>
    <s v="202601"/>
    <s v="901823867-9         "/>
    <x v="379"/>
    <x v="13"/>
    <s v="FEDC157107  "/>
    <n v="20882000"/>
    <x v="3"/>
    <n v="19"/>
    <d v="2026-01-09T00:00:00"/>
    <d v="2026-02-08T00:00:00"/>
    <x v="18"/>
    <x v="11"/>
    <s v="0    "/>
    <s v="3104535562                    "/>
    <n v="30"/>
  </r>
  <r>
    <s v="202601"/>
    <s v="901823867-9         "/>
    <x v="379"/>
    <x v="13"/>
    <s v="FEDC157108  "/>
    <n v="3802100"/>
    <x v="3"/>
    <n v="19"/>
    <d v="2026-01-09T00:00:00"/>
    <d v="2026-02-08T00:00:00"/>
    <x v="18"/>
    <x v="11"/>
    <s v="0    "/>
    <s v="3104535562                    "/>
    <n v="30"/>
  </r>
  <r>
    <s v="202601"/>
    <s v="901823867-9         "/>
    <x v="379"/>
    <x v="13"/>
    <s v="FEDC157109  "/>
    <n v="6167652"/>
    <x v="3"/>
    <n v="19"/>
    <d v="2026-01-09T00:00:00"/>
    <d v="2026-02-08T00:00:00"/>
    <x v="18"/>
    <x v="11"/>
    <s v="0    "/>
    <s v="3104535562                    "/>
    <n v="30"/>
  </r>
  <r>
    <s v="202601"/>
    <s v="3443977             "/>
    <x v="351"/>
    <x v="37"/>
    <s v="FEDC157158  "/>
    <n v="1134840"/>
    <x v="3"/>
    <n v="19"/>
    <d v="2026-01-09T00:00:00"/>
    <d v="2026-02-08T00:00:00"/>
    <x v="18"/>
    <x v="13"/>
    <s v="0    "/>
    <s v="8394641"/>
    <n v="30"/>
  </r>
  <r>
    <s v="202601"/>
    <s v="1038119592          "/>
    <x v="288"/>
    <x v="13"/>
    <s v="FEVM44610   "/>
    <n v="121502"/>
    <x v="1"/>
    <n v="19"/>
    <d v="2026-01-09T00:00:00"/>
    <d v="2026-01-24T00:00:00"/>
    <x v="18"/>
    <x v="6"/>
    <s v="0    "/>
    <s v="3126862464                    "/>
    <n v="30"/>
  </r>
  <r>
    <s v="202601"/>
    <s v="1038119592          "/>
    <x v="288"/>
    <x v="13"/>
    <s v="FEVM44611   "/>
    <n v="358832"/>
    <x v="1"/>
    <n v="19"/>
    <d v="2026-01-09T00:00:00"/>
    <d v="2026-01-24T00:00:00"/>
    <x v="18"/>
    <x v="6"/>
    <s v="0    "/>
    <s v="3126862464                    "/>
    <n v="30"/>
  </r>
  <r>
    <s v="202601"/>
    <s v="70951988            "/>
    <x v="131"/>
    <x v="27"/>
    <s v="FEDC157105  "/>
    <n v="1417661"/>
    <x v="3"/>
    <n v="19"/>
    <d v="2026-01-09T00:00:00"/>
    <d v="2026-02-08T00:00:00"/>
    <x v="14"/>
    <x v="4"/>
    <s v="0    "/>
    <s v="8372646- 3127061378 cocho     "/>
    <n v="30"/>
  </r>
  <r>
    <s v="202601"/>
    <s v="70951988            "/>
    <x v="131"/>
    <x v="27"/>
    <s v="FEDC157106  "/>
    <n v="13189500"/>
    <x v="3"/>
    <n v="19"/>
    <d v="2026-01-09T00:00:00"/>
    <d v="2026-02-08T00:00:00"/>
    <x v="14"/>
    <x v="4"/>
    <s v="0    "/>
    <s v="8372646- 3127061378 cocho     "/>
    <n v="30"/>
  </r>
  <r>
    <s v="202601"/>
    <s v="901933116           "/>
    <x v="290"/>
    <x v="86"/>
    <s v="FEVM44637   "/>
    <n v="4050000"/>
    <x v="3"/>
    <n v="19"/>
    <d v="2026-01-09T00:00:00"/>
    <d v="2026-02-08T00:00:00"/>
    <x v="14"/>
    <x v="4"/>
    <s v="0    "/>
    <s v="3128202172                    "/>
    <n v="30"/>
  </r>
  <r>
    <s v="202601"/>
    <s v="1063356855          "/>
    <x v="380"/>
    <x v="24"/>
    <s v="FEVM44634   "/>
    <n v="244231"/>
    <x v="1"/>
    <n v="19"/>
    <d v="2026-01-09T00:00:00"/>
    <d v="2026-01-24T00:00:00"/>
    <x v="24"/>
    <x v="3"/>
    <s v="0    "/>
    <s v="3004133365     "/>
    <n v="30"/>
  </r>
  <r>
    <s v="202601"/>
    <s v="1121326920          "/>
    <x v="381"/>
    <x v="24"/>
    <s v="FEVM44654   "/>
    <n v="170000"/>
    <x v="1"/>
    <n v="19"/>
    <d v="2026-01-09T00:00:00"/>
    <d v="2026-01-24T00:00:00"/>
    <x v="24"/>
    <x v="3"/>
    <s v="0    "/>
    <s v="3106302098                    "/>
    <n v="30"/>
  </r>
  <r>
    <s v="202601"/>
    <s v="26040349            "/>
    <x v="143"/>
    <x v="62"/>
    <s v="FEDC157095  "/>
    <n v="5215416"/>
    <x v="3"/>
    <n v="19"/>
    <d v="2026-01-09T00:00:00"/>
    <d v="2026-02-08T00:00:00"/>
    <x v="37"/>
    <x v="12"/>
    <s v="0    "/>
    <s v="3002625361                    "/>
    <n v="30"/>
  </r>
  <r>
    <s v="202601"/>
    <s v="10953882            "/>
    <x v="125"/>
    <x v="62"/>
    <s v="FEDC157096  "/>
    <n v="3453119"/>
    <x v="3"/>
    <n v="19"/>
    <d v="2026-01-09T00:00:00"/>
    <d v="2026-02-08T00:00:00"/>
    <x v="37"/>
    <x v="12"/>
    <s v="0    "/>
    <s v="3205413224                    "/>
    <n v="30"/>
  </r>
  <r>
    <s v="202601"/>
    <s v="10953882            "/>
    <x v="125"/>
    <x v="62"/>
    <s v="FEDC157097  "/>
    <n v="770007"/>
    <x v="3"/>
    <n v="19"/>
    <d v="2026-01-09T00:00:00"/>
    <d v="2026-02-08T00:00:00"/>
    <x v="37"/>
    <x v="12"/>
    <s v="0    "/>
    <s v="3205413224                    "/>
    <n v="30"/>
  </r>
  <r>
    <s v="202601"/>
    <s v="26040349            "/>
    <x v="143"/>
    <x v="62"/>
    <s v="FEDC157099  "/>
    <n v="6310794"/>
    <x v="3"/>
    <n v="19"/>
    <d v="2026-01-09T00:00:00"/>
    <d v="2026-02-08T00:00:00"/>
    <x v="37"/>
    <x v="12"/>
    <s v="0    "/>
    <s v="3002625361                    "/>
    <n v="30"/>
  </r>
  <r>
    <s v="202601"/>
    <s v="10953882            "/>
    <x v="125"/>
    <x v="62"/>
    <s v="FEDC157149  "/>
    <n v="11"/>
    <x v="3"/>
    <n v="19"/>
    <d v="2026-01-09T00:00:00"/>
    <d v="2026-02-08T00:00:00"/>
    <x v="37"/>
    <x v="12"/>
    <s v="0    "/>
    <s v="3205413224                    "/>
    <n v="30"/>
  </r>
  <r>
    <s v="202601"/>
    <s v="10953882            "/>
    <x v="125"/>
    <x v="62"/>
    <s v="FEDC157150  "/>
    <n v="3879960"/>
    <x v="3"/>
    <n v="19"/>
    <d v="2026-01-09T00:00:00"/>
    <d v="2026-02-08T00:00:00"/>
    <x v="37"/>
    <x v="12"/>
    <s v="0    "/>
    <s v="3205413224                    "/>
    <n v="30"/>
  </r>
  <r>
    <s v="202601"/>
    <s v="78290785            "/>
    <x v="271"/>
    <x v="70"/>
    <s v="FEDC157141  "/>
    <n v="141163"/>
    <x v="3"/>
    <n v="19"/>
    <d v="2026-01-09T00:00:00"/>
    <d v="2026-02-08T00:00:00"/>
    <x v="35"/>
    <x v="12"/>
    <s v="0    "/>
    <s v="3157383902     "/>
    <n v="30"/>
  </r>
  <r>
    <s v="202601"/>
    <s v="15309183            "/>
    <x v="152"/>
    <x v="70"/>
    <s v="FEDC157142  "/>
    <n v="1807600"/>
    <x v="3"/>
    <n v="19"/>
    <d v="2026-01-09T00:00:00"/>
    <d v="2026-02-08T00:00:00"/>
    <x v="35"/>
    <x v="12"/>
    <s v="0    "/>
    <s v="3217254890                    "/>
    <n v="30"/>
  </r>
  <r>
    <s v="202601"/>
    <s v="1193127295          "/>
    <x v="212"/>
    <x v="76"/>
    <s v="FEDC157144  "/>
    <n v="1517063"/>
    <x v="3"/>
    <n v="19"/>
    <d v="2026-01-09T00:00:00"/>
    <d v="2026-02-08T00:00:00"/>
    <x v="35"/>
    <x v="12"/>
    <s v="0    "/>
    <s v="3212393367                    "/>
    <n v="15"/>
  </r>
  <r>
    <s v="202601"/>
    <s v="78105571            "/>
    <x v="382"/>
    <x v="70"/>
    <s v="FEDC157147  "/>
    <n v="200000"/>
    <x v="3"/>
    <n v="19"/>
    <d v="2026-01-09T00:00:00"/>
    <d v="2026-02-08T00:00:00"/>
    <x v="35"/>
    <x v="12"/>
    <s v="0    "/>
    <s v="3136957750     "/>
    <n v="30"/>
  </r>
  <r>
    <s v="202601"/>
    <s v="71601054            "/>
    <x v="383"/>
    <x v="4"/>
    <s v="FEDC157114  "/>
    <n v="314837"/>
    <x v="3"/>
    <n v="19"/>
    <d v="2026-01-09T00:00:00"/>
    <d v="2026-02-08T00:00:00"/>
    <x v="3"/>
    <x v="1"/>
    <s v="0    "/>
    <s v="3116275149 -8368460           "/>
    <n v="30"/>
  </r>
  <r>
    <s v="202601"/>
    <s v="10770798            "/>
    <x v="259"/>
    <x v="4"/>
    <s v="FEDC157115  "/>
    <n v="1756411"/>
    <x v="3"/>
    <n v="19"/>
    <d v="2026-01-09T00:00:00"/>
    <d v="2026-02-08T00:00:00"/>
    <x v="3"/>
    <x v="1"/>
    <s v="1    "/>
    <s v="3108204786                    "/>
    <n v="30"/>
  </r>
  <r>
    <s v="202601"/>
    <s v="8052366             "/>
    <x v="155"/>
    <x v="67"/>
    <s v="FEDC157116  "/>
    <n v="207800"/>
    <x v="3"/>
    <n v="19"/>
    <d v="2026-01-09T00:00:00"/>
    <d v="2026-02-08T00:00:00"/>
    <x v="3"/>
    <x v="1"/>
    <s v="0    "/>
    <s v="3216175857     "/>
    <n v="30"/>
  </r>
  <r>
    <s v="202601"/>
    <s v="22796502            "/>
    <x v="384"/>
    <x v="67"/>
    <s v="FEDC157117  "/>
    <n v="160793"/>
    <x v="3"/>
    <n v="19"/>
    <d v="2026-01-09T00:00:00"/>
    <d v="2026-02-08T00:00:00"/>
    <x v="3"/>
    <x v="1"/>
    <s v="0    "/>
    <s v="3147060898 Bienvenido         "/>
    <n v="30"/>
  </r>
  <r>
    <s v="202601"/>
    <s v="11050699            "/>
    <x v="385"/>
    <x v="4"/>
    <s v="FEDC157119  "/>
    <n v="1374432"/>
    <x v="3"/>
    <n v="19"/>
    <d v="2026-01-09T00:00:00"/>
    <d v="2026-02-08T00:00:00"/>
    <x v="3"/>
    <x v="1"/>
    <s v="0    "/>
    <s v="3117504153                    "/>
    <n v="30"/>
  </r>
  <r>
    <s v="202601"/>
    <s v="21646911            "/>
    <x v="386"/>
    <x v="67"/>
    <s v="FEDC157122  "/>
    <n v="764765"/>
    <x v="3"/>
    <n v="19"/>
    <d v="2026-01-09T00:00:00"/>
    <d v="2026-02-08T00:00:00"/>
    <x v="3"/>
    <x v="5"/>
    <s v="0    "/>
    <s v="3147744738                    "/>
    <n v="30"/>
  </r>
  <r>
    <s v="202601"/>
    <s v="901662960-4         "/>
    <x v="376"/>
    <x v="67"/>
    <s v="FEDC157125  "/>
    <n v="3751163"/>
    <x v="3"/>
    <n v="19"/>
    <d v="2026-01-09T00:00:00"/>
    <d v="2026-02-08T00:00:00"/>
    <x v="3"/>
    <x v="15"/>
    <s v="0    "/>
    <s v="3012790447                    "/>
    <n v="30"/>
  </r>
  <r>
    <s v="202601"/>
    <s v="901662960-4         "/>
    <x v="376"/>
    <x v="67"/>
    <s v="FEDC157126  "/>
    <n v="876000"/>
    <x v="3"/>
    <n v="19"/>
    <d v="2026-01-09T00:00:00"/>
    <d v="2026-02-08T00:00:00"/>
    <x v="3"/>
    <x v="15"/>
    <s v="0    "/>
    <s v="3012790447                    "/>
    <n v="30"/>
  </r>
  <r>
    <s v="202601"/>
    <s v="39288269            "/>
    <x v="357"/>
    <x v="67"/>
    <s v="FEDC157130  "/>
    <n v="494995"/>
    <x v="3"/>
    <n v="19"/>
    <d v="2026-01-09T00:00:00"/>
    <d v="2026-02-08T00:00:00"/>
    <x v="3"/>
    <x v="15"/>
    <s v="0    "/>
    <s v="3218037194 -3218008830        "/>
    <n v="30"/>
  </r>
  <r>
    <s v="202601"/>
    <s v="8051144             "/>
    <x v="387"/>
    <x v="4"/>
    <s v="FEDC157133  "/>
    <n v="560299"/>
    <x v="3"/>
    <n v="19"/>
    <d v="2026-01-09T00:00:00"/>
    <d v="2026-02-08T00:00:00"/>
    <x v="3"/>
    <x v="1"/>
    <s v="0    "/>
    <s v="311343580 -3137588718         "/>
    <n v="30"/>
  </r>
  <r>
    <s v="202601"/>
    <s v="901912553-3         "/>
    <x v="145"/>
    <x v="13"/>
    <s v="FEDC157134  "/>
    <n v="1711051"/>
    <x v="3"/>
    <n v="19"/>
    <d v="2026-01-09T00:00:00"/>
    <d v="2026-02-08T00:00:00"/>
    <x v="3"/>
    <x v="1"/>
    <s v="0    "/>
    <s v="3206269517                    "/>
    <n v="30"/>
  </r>
  <r>
    <s v="202601"/>
    <s v="3442140             "/>
    <x v="250"/>
    <x v="81"/>
    <s v="FEDC157135  "/>
    <n v="2648242"/>
    <x v="3"/>
    <n v="19"/>
    <d v="2026-01-09T00:00:00"/>
    <d v="2026-02-08T00:00:00"/>
    <x v="3"/>
    <x v="1"/>
    <s v="0    "/>
    <s v="3218923274     "/>
    <n v="30"/>
  </r>
  <r>
    <s v="202601"/>
    <s v="10770798            "/>
    <x v="259"/>
    <x v="4"/>
    <s v="FEDC157156  "/>
    <n v="1512404"/>
    <x v="3"/>
    <n v="19"/>
    <d v="2026-01-09T00:00:00"/>
    <d v="2026-02-08T00:00:00"/>
    <x v="3"/>
    <x v="1"/>
    <s v="1    "/>
    <s v="3108204786                    "/>
    <n v="30"/>
  </r>
  <r>
    <s v="202601"/>
    <s v="10770798            "/>
    <x v="259"/>
    <x v="4"/>
    <s v="FEDC157157  "/>
    <n v="3330000"/>
    <x v="3"/>
    <n v="19"/>
    <d v="2026-01-09T00:00:00"/>
    <d v="2026-02-08T00:00:00"/>
    <x v="3"/>
    <x v="1"/>
    <s v="1    "/>
    <s v="3108204786                    "/>
    <n v="30"/>
  </r>
  <r>
    <s v="202601"/>
    <s v="13167526            "/>
    <x v="265"/>
    <x v="55"/>
    <s v="FEDC157164  "/>
    <n v="1048189"/>
    <x v="3"/>
    <n v="19"/>
    <d v="2026-01-09T00:00:00"/>
    <d v="2026-02-08T00:00:00"/>
    <x v="42"/>
    <x v="9"/>
    <s v="0    "/>
    <s v="3114015059                    "/>
    <n v="1"/>
  </r>
  <r>
    <s v="202601"/>
    <s v="1037546996-1        "/>
    <x v="388"/>
    <x v="63"/>
    <s v="FEDC157070  "/>
    <n v="5867349"/>
    <x v="3"/>
    <n v="19"/>
    <d v="2026-01-09T00:00:00"/>
    <d v="2026-02-08T00:00:00"/>
    <x v="44"/>
    <x v="13"/>
    <s v="0    "/>
    <s v="3206411933                    "/>
    <n v="30"/>
  </r>
  <r>
    <s v="202601"/>
    <s v="1001159461          "/>
    <x v="280"/>
    <x v="63"/>
    <s v="FEDC157072  "/>
    <n v="1280666"/>
    <x v="3"/>
    <n v="19"/>
    <d v="2026-01-09T00:00:00"/>
    <d v="2026-02-08T00:00:00"/>
    <x v="44"/>
    <x v="13"/>
    <s v="0    "/>
    <s v="3147480422                    "/>
    <n v="30"/>
  </r>
  <r>
    <s v="202601"/>
    <s v="98673091            "/>
    <x v="279"/>
    <x v="84"/>
    <s v="FEDC157075  "/>
    <n v="807963"/>
    <x v="3"/>
    <n v="19"/>
    <d v="2026-01-09T00:00:00"/>
    <d v="2026-02-08T00:00:00"/>
    <x v="44"/>
    <x v="13"/>
    <s v="0    "/>
    <s v="3206802136                    "/>
    <n v="30"/>
  </r>
  <r>
    <s v="202601"/>
    <s v="1007452788          "/>
    <x v="191"/>
    <x v="63"/>
    <s v="FEDC157077  "/>
    <n v="5310991"/>
    <x v="3"/>
    <n v="19"/>
    <d v="2026-01-09T00:00:00"/>
    <d v="2026-02-08T00:00:00"/>
    <x v="44"/>
    <x v="13"/>
    <s v="0    "/>
    <s v="3137712482                    "/>
    <n v="30"/>
  </r>
  <r>
    <s v="202601"/>
    <s v="1007452788          "/>
    <x v="191"/>
    <x v="63"/>
    <s v="FEDC157078  "/>
    <n v="2100000"/>
    <x v="9"/>
    <n v="19"/>
    <d v="2026-01-09T00:00:00"/>
    <d v="2026-01-19T00:00:00"/>
    <x v="44"/>
    <x v="13"/>
    <s v="0    "/>
    <s v="3137712482                    "/>
    <n v="30"/>
  </r>
  <r>
    <s v="202601"/>
    <s v="8045405             "/>
    <x v="126"/>
    <x v="63"/>
    <s v="FEVM44676   "/>
    <n v="1577856"/>
    <x v="3"/>
    <n v="19"/>
    <d v="2026-01-09T00:00:00"/>
    <d v="2026-02-08T00:00:00"/>
    <x v="44"/>
    <x v="6"/>
    <s v="0    "/>
    <s v="3122016396                    "/>
    <n v="30"/>
  </r>
  <r>
    <s v="202601"/>
    <s v="901690775-7         "/>
    <x v="389"/>
    <x v="50"/>
    <s v="FEDC157162  "/>
    <n v="1657412"/>
    <x v="3"/>
    <n v="19"/>
    <d v="2026-01-09T00:00:00"/>
    <d v="2026-02-08T00:00:00"/>
    <x v="40"/>
    <x v="9"/>
    <s v="0    "/>
    <s v="3145693949                    "/>
    <n v="30"/>
  </r>
  <r>
    <s v="202601"/>
    <s v="39301699-1          "/>
    <x v="136"/>
    <x v="65"/>
    <s v="FEDC157161  "/>
    <n v="2091829"/>
    <x v="3"/>
    <n v="19"/>
    <d v="2026-01-09T00:00:00"/>
    <d v="2026-02-08T00:00:00"/>
    <x v="45"/>
    <x v="9"/>
    <s v="0    "/>
    <s v="3127056442                    "/>
    <n v="30"/>
  </r>
  <r>
    <s v="202601"/>
    <s v="50881295            "/>
    <x v="102"/>
    <x v="56"/>
    <s v="FEDC157165  "/>
    <n v="2750561"/>
    <x v="3"/>
    <n v="19"/>
    <d v="2026-01-09T00:00:00"/>
    <d v="2026-02-08T00:00:00"/>
    <x v="43"/>
    <x v="9"/>
    <s v="0    "/>
    <s v="3145338156     "/>
    <n v="30"/>
  </r>
  <r>
    <s v="202601"/>
    <s v="42941741            "/>
    <x v="390"/>
    <x v="37"/>
    <s v="FEDC157169  "/>
    <n v="1245000"/>
    <x v="1"/>
    <n v="18"/>
    <d v="2026-01-10T00:00:00"/>
    <d v="2026-01-25T00:00:00"/>
    <x v="18"/>
    <x v="6"/>
    <s v="0    "/>
    <s v="3206729751     "/>
    <n v="15"/>
  </r>
  <r>
    <s v="202601"/>
    <s v="98654842            "/>
    <x v="267"/>
    <x v="13"/>
    <s v="FEDC157170  "/>
    <n v="327600"/>
    <x v="3"/>
    <n v="18"/>
    <d v="2026-01-10T00:00:00"/>
    <d v="2026-02-09T00:00:00"/>
    <x v="18"/>
    <x v="13"/>
    <s v="0    "/>
    <s v="3209042070                    "/>
    <n v="30"/>
  </r>
  <r>
    <s v="202601"/>
    <s v="39283083            "/>
    <x v="391"/>
    <x v="37"/>
    <s v="FEDC157173  "/>
    <n v="1580813"/>
    <x v="3"/>
    <n v="18"/>
    <d v="2026-01-10T00:00:00"/>
    <d v="2026-02-09T00:00:00"/>
    <x v="18"/>
    <x v="13"/>
    <s v="0    "/>
    <s v="3148477868-3113235407         "/>
    <n v="30"/>
  </r>
  <r>
    <s v="202601"/>
    <s v="1038138797          "/>
    <x v="182"/>
    <x v="13"/>
    <s v="FEDC157174  "/>
    <n v="4047173"/>
    <x v="3"/>
    <n v="18"/>
    <d v="2026-01-10T00:00:00"/>
    <d v="2026-02-09T00:00:00"/>
    <x v="18"/>
    <x v="13"/>
    <s v="0    "/>
    <s v="3223117873                    "/>
    <n v="30"/>
  </r>
  <r>
    <s v="202601"/>
    <s v="39281354            "/>
    <x v="392"/>
    <x v="37"/>
    <s v="FEDC157177  "/>
    <n v="781312"/>
    <x v="3"/>
    <n v="18"/>
    <d v="2026-01-10T00:00:00"/>
    <d v="2026-02-09T00:00:00"/>
    <x v="18"/>
    <x v="13"/>
    <s v="0    "/>
    <s v="3113938272 -3105352049Mauricio"/>
    <n v="30"/>
  </r>
  <r>
    <s v="202601"/>
    <s v="1042767045          "/>
    <x v="377"/>
    <x v="13"/>
    <s v="FEDC157178  "/>
    <n v="259400"/>
    <x v="3"/>
    <n v="18"/>
    <d v="2026-01-10T00:00:00"/>
    <d v="2026-02-09T00:00:00"/>
    <x v="18"/>
    <x v="13"/>
    <s v="0    "/>
    <s v="312769089                     "/>
    <n v="30"/>
  </r>
  <r>
    <s v="202601"/>
    <s v="78115569            "/>
    <x v="393"/>
    <x v="37"/>
    <s v="FEDC157180  "/>
    <n v="241901"/>
    <x v="3"/>
    <n v="18"/>
    <d v="2026-01-10T00:00:00"/>
    <d v="2026-02-09T00:00:00"/>
    <x v="18"/>
    <x v="13"/>
    <s v="0    "/>
    <s v="3122062860"/>
    <n v="30"/>
  </r>
  <r>
    <s v="202601"/>
    <s v="78115569            "/>
    <x v="393"/>
    <x v="37"/>
    <s v="FEDC157181  "/>
    <n v="420000"/>
    <x v="9"/>
    <n v="18"/>
    <d v="2026-01-10T00:00:00"/>
    <d v="2026-01-20T00:00:00"/>
    <x v="18"/>
    <x v="13"/>
    <s v="0    "/>
    <s v="3122062860"/>
    <n v="30"/>
  </r>
  <r>
    <s v="202601"/>
    <s v="901823867-9         "/>
    <x v="379"/>
    <x v="13"/>
    <s v="FEDC157182  "/>
    <n v="10410000"/>
    <x v="3"/>
    <n v="18"/>
    <d v="2026-01-10T00:00:00"/>
    <d v="2026-02-09T00:00:00"/>
    <x v="18"/>
    <x v="11"/>
    <s v="0    "/>
    <s v="3104535562                    "/>
    <n v="30"/>
  </r>
  <r>
    <s v="202601"/>
    <s v="78291927            "/>
    <x v="151"/>
    <x v="37"/>
    <s v="FEDC157185  "/>
    <n v="2779818"/>
    <x v="3"/>
    <n v="18"/>
    <d v="2026-01-10T00:00:00"/>
    <d v="2026-02-09T00:00:00"/>
    <x v="18"/>
    <x v="4"/>
    <s v="0    "/>
    <s v="3137046935"/>
    <n v="30"/>
  </r>
  <r>
    <s v="202601"/>
    <s v="78291927            "/>
    <x v="151"/>
    <x v="37"/>
    <s v="FEDC157186  "/>
    <n v="1092555"/>
    <x v="3"/>
    <n v="18"/>
    <d v="2026-01-10T00:00:00"/>
    <d v="2026-02-09T00:00:00"/>
    <x v="18"/>
    <x v="4"/>
    <s v="0    "/>
    <s v="3137046935"/>
    <n v="30"/>
  </r>
  <r>
    <s v="202601"/>
    <s v="8201122             "/>
    <x v="394"/>
    <x v="13"/>
    <s v="FEDC157187  "/>
    <n v="565354"/>
    <x v="3"/>
    <n v="18"/>
    <d v="2026-01-10T00:00:00"/>
    <d v="2026-02-09T00:00:00"/>
    <x v="18"/>
    <x v="4"/>
    <s v="0    "/>
    <s v="3016106394 -8380269           "/>
    <n v="30"/>
  </r>
  <r>
    <s v="202601"/>
    <s v="3443977             "/>
    <x v="351"/>
    <x v="37"/>
    <s v="FEDC157189  "/>
    <n v="492000"/>
    <x v="3"/>
    <n v="18"/>
    <d v="2026-01-10T00:00:00"/>
    <d v="2026-02-09T00:00:00"/>
    <x v="18"/>
    <x v="13"/>
    <s v="0    "/>
    <s v="8394641"/>
    <n v="30"/>
  </r>
  <r>
    <s v="202601"/>
    <s v="15047058            "/>
    <x v="226"/>
    <x v="37"/>
    <s v="FEDC157216  "/>
    <n v="2556036"/>
    <x v="3"/>
    <n v="18"/>
    <d v="2026-01-10T00:00:00"/>
    <d v="2026-02-09T00:00:00"/>
    <x v="18"/>
    <x v="13"/>
    <s v="0    "/>
    <s v="3226993920     "/>
    <n v="30"/>
  </r>
  <r>
    <s v="202601"/>
    <s v="98654169            "/>
    <x v="218"/>
    <x v="13"/>
    <s v="FEDC157229  "/>
    <n v="30900"/>
    <x v="3"/>
    <n v="18"/>
    <d v="2026-01-10T00:00:00"/>
    <d v="2026-02-09T00:00:00"/>
    <x v="18"/>
    <x v="13"/>
    <s v="0    "/>
    <s v="3113235407                    "/>
    <n v="30"/>
  </r>
  <r>
    <s v="202601"/>
    <s v="98654169            "/>
    <x v="218"/>
    <x v="13"/>
    <s v="FEDC157230  "/>
    <n v="59600"/>
    <x v="3"/>
    <n v="18"/>
    <d v="2026-01-10T00:00:00"/>
    <d v="2026-02-09T00:00:00"/>
    <x v="18"/>
    <x v="13"/>
    <s v="0    "/>
    <s v="3113235407                    "/>
    <n v="30"/>
  </r>
  <r>
    <s v="202601"/>
    <s v="42941741            "/>
    <x v="390"/>
    <x v="37"/>
    <s v="FEVM44678   "/>
    <n v="1872489"/>
    <x v="1"/>
    <n v="18"/>
    <d v="2026-01-10T00:00:00"/>
    <d v="2026-01-25T00:00:00"/>
    <x v="18"/>
    <x v="6"/>
    <s v="0    "/>
    <s v="3206729751     "/>
    <n v="15"/>
  </r>
  <r>
    <s v="202601"/>
    <s v="1069479440          "/>
    <x v="395"/>
    <x v="13"/>
    <s v="FEVM44685   "/>
    <n v="94902"/>
    <x v="1"/>
    <n v="18"/>
    <d v="2026-01-10T00:00:00"/>
    <d v="2026-01-25T00:00:00"/>
    <x v="18"/>
    <x v="10"/>
    <s v="0    "/>
    <s v="3135607209                    "/>
    <n v="15"/>
  </r>
  <r>
    <s v="202601"/>
    <s v="1069479440          "/>
    <x v="395"/>
    <x v="13"/>
    <s v="FEVM44686   "/>
    <n v="171188"/>
    <x v="1"/>
    <n v="18"/>
    <d v="2026-01-10T00:00:00"/>
    <d v="2026-01-25T00:00:00"/>
    <x v="18"/>
    <x v="10"/>
    <s v="0    "/>
    <s v="3135607209                    "/>
    <n v="15"/>
  </r>
  <r>
    <s v="202601"/>
    <s v="70134491            "/>
    <x v="329"/>
    <x v="31"/>
    <s v="FEDC157191  "/>
    <n v="509250"/>
    <x v="3"/>
    <n v="18"/>
    <d v="2026-01-10T00:00:00"/>
    <d v="2026-02-09T00:00:00"/>
    <x v="10"/>
    <x v="4"/>
    <s v="0    "/>
    <s v="3128936297                    "/>
    <n v="30"/>
  </r>
  <r>
    <s v="202601"/>
    <s v="901572617           "/>
    <x v="396"/>
    <x v="1"/>
    <s v="FEVM44703   "/>
    <n v="5456110"/>
    <x v="1"/>
    <n v="18"/>
    <d v="2026-01-10T00:00:00"/>
    <d v="2026-01-25T00:00:00"/>
    <x v="1"/>
    <x v="3"/>
    <s v="0    "/>
    <s v="3103563210                    "/>
    <n v="15"/>
  </r>
  <r>
    <s v="202601"/>
    <s v="11037195            "/>
    <x v="100"/>
    <x v="34"/>
    <s v="FEDC157221  "/>
    <n v="977978"/>
    <x v="3"/>
    <n v="18"/>
    <d v="2026-01-10T00:00:00"/>
    <d v="2026-02-09T00:00:00"/>
    <x v="31"/>
    <x v="9"/>
    <s v="0    "/>
    <s v="3175457191                    "/>
    <n v="30"/>
  </r>
  <r>
    <s v="202601"/>
    <s v="11063582            "/>
    <x v="101"/>
    <x v="55"/>
    <s v="FEDC157219  "/>
    <n v="1704752"/>
    <x v="3"/>
    <n v="18"/>
    <d v="2026-01-10T00:00:00"/>
    <d v="2026-02-09T00:00:00"/>
    <x v="42"/>
    <x v="9"/>
    <s v="0    "/>
    <s v="3205026928     "/>
    <n v="30"/>
  </r>
  <r>
    <s v="202601"/>
    <s v="11063582            "/>
    <x v="101"/>
    <x v="55"/>
    <s v="FEDC157220  "/>
    <n v="874024"/>
    <x v="3"/>
    <n v="18"/>
    <d v="2026-01-10T00:00:00"/>
    <d v="2026-02-09T00:00:00"/>
    <x v="42"/>
    <x v="9"/>
    <s v="0    "/>
    <s v="3205026928     "/>
    <n v="30"/>
  </r>
  <r>
    <s v="202601"/>
    <s v="1108764025          "/>
    <x v="156"/>
    <x v="55"/>
    <s v="FEDC157223  "/>
    <n v="2357985"/>
    <x v="3"/>
    <n v="18"/>
    <d v="2026-01-10T00:00:00"/>
    <d v="2026-02-09T00:00:00"/>
    <x v="42"/>
    <x v="9"/>
    <s v="0    "/>
    <s v="3024374835                    "/>
    <n v="30"/>
  </r>
  <r>
    <s v="202601"/>
    <s v="1108764025          "/>
    <x v="156"/>
    <x v="55"/>
    <s v="FEDC157224  "/>
    <n v="772500"/>
    <x v="3"/>
    <n v="18"/>
    <d v="2026-01-10T00:00:00"/>
    <d v="2026-02-09T00:00:00"/>
    <x v="42"/>
    <x v="9"/>
    <s v="0    "/>
    <s v="3024374835                    "/>
    <n v="30"/>
  </r>
  <r>
    <s v="202601"/>
    <s v="1108764025          "/>
    <x v="156"/>
    <x v="55"/>
    <s v="FEDC157225  "/>
    <n v="12659850"/>
    <x v="3"/>
    <n v="18"/>
    <d v="2026-01-10T00:00:00"/>
    <d v="2026-02-09T00:00:00"/>
    <x v="42"/>
    <x v="9"/>
    <s v="0    "/>
    <s v="3024374835                    "/>
    <n v="30"/>
  </r>
  <r>
    <s v="202601"/>
    <s v="11062614            "/>
    <x v="264"/>
    <x v="55"/>
    <s v="FEDC157226  "/>
    <n v="1218000"/>
    <x v="5"/>
    <n v="18"/>
    <d v="2026-01-10T00:00:00"/>
    <d v="2026-01-11T00:00:00"/>
    <x v="42"/>
    <x v="9"/>
    <s v="0    "/>
    <s v="3205775787     "/>
    <n v="25"/>
  </r>
  <r>
    <s v="202601"/>
    <s v="11062614            "/>
    <x v="264"/>
    <x v="55"/>
    <s v="FEDC157227  "/>
    <n v="15336216"/>
    <x v="3"/>
    <n v="18"/>
    <d v="2026-01-10T00:00:00"/>
    <d v="2026-02-09T00:00:00"/>
    <x v="42"/>
    <x v="9"/>
    <s v="0    "/>
    <s v="3205775787     "/>
    <n v="25"/>
  </r>
  <r>
    <s v="202601"/>
    <s v="1032253939          "/>
    <x v="397"/>
    <x v="63"/>
    <s v="FEVM44708   "/>
    <n v="1929353"/>
    <x v="1"/>
    <n v="18"/>
    <d v="2026-01-10T00:00:00"/>
    <d v="2026-01-25T00:00:00"/>
    <x v="44"/>
    <x v="6"/>
    <s v="0    "/>
    <s v="3135330446                    "/>
    <n v="15"/>
  </r>
  <r>
    <s v="202601"/>
    <s v="15700424            "/>
    <x v="266"/>
    <x v="56"/>
    <s v="FEDC157222  "/>
    <n v="973811"/>
    <x v="3"/>
    <n v="18"/>
    <d v="2026-01-10T00:00:00"/>
    <d v="2026-02-09T00:00:00"/>
    <x v="43"/>
    <x v="9"/>
    <s v="0    "/>
    <s v="3022732750                    "/>
    <n v="30"/>
  </r>
  <r>
    <s v="202601"/>
    <s v="3443977             "/>
    <x v="351"/>
    <x v="37"/>
    <s v="FEDC157233  "/>
    <n v="308995"/>
    <x v="3"/>
    <n v="15"/>
    <d v="2026-01-13T00:00:00"/>
    <d v="2026-02-12T00:00:00"/>
    <x v="18"/>
    <x v="13"/>
    <s v="0    "/>
    <s v="8394641"/>
    <n v="30"/>
  </r>
  <r>
    <s v="202601"/>
    <s v="1038138797          "/>
    <x v="182"/>
    <x v="13"/>
    <s v="FEDC157234  "/>
    <n v="1633878"/>
    <x v="9"/>
    <n v="15"/>
    <d v="2026-01-13T00:00:00"/>
    <d v="2026-01-23T00:00:00"/>
    <x v="18"/>
    <x v="13"/>
    <s v="0    "/>
    <s v="3223117873                    "/>
    <n v="30"/>
  </r>
  <r>
    <s v="202601"/>
    <s v="1126123103          "/>
    <x v="398"/>
    <x v="13"/>
    <s v="FEDC157235  "/>
    <n v="420000"/>
    <x v="9"/>
    <n v="15"/>
    <d v="2026-01-13T00:00:00"/>
    <d v="2026-01-23T00:00:00"/>
    <x v="18"/>
    <x v="13"/>
    <s v="0    "/>
    <s v="3224409249     "/>
    <n v="30"/>
  </r>
  <r>
    <s v="202601"/>
    <s v="1126123103          "/>
    <x v="398"/>
    <x v="13"/>
    <s v="FEDC157237  "/>
    <n v="315981"/>
    <x v="3"/>
    <n v="15"/>
    <d v="2026-01-13T00:00:00"/>
    <d v="2026-02-12T00:00:00"/>
    <x v="18"/>
    <x v="13"/>
    <s v="0    "/>
    <s v="3224409249     "/>
    <n v="30"/>
  </r>
  <r>
    <s v="202601"/>
    <s v="901997622           "/>
    <x v="364"/>
    <x v="13"/>
    <s v="FEDC157239  "/>
    <n v="356000"/>
    <x v="3"/>
    <n v="15"/>
    <d v="2026-01-13T00:00:00"/>
    <d v="2026-02-12T00:00:00"/>
    <x v="18"/>
    <x v="13"/>
    <s v="0    "/>
    <s v="3206198078                    "/>
    <n v="30"/>
  </r>
  <r>
    <s v="202601"/>
    <s v="43404968            "/>
    <x v="399"/>
    <x v="13"/>
    <s v="FEDC157240  "/>
    <n v="2100000"/>
    <x v="9"/>
    <n v="15"/>
    <d v="2026-01-13T00:00:00"/>
    <d v="2026-01-23T00:00:00"/>
    <x v="18"/>
    <x v="13"/>
    <s v="0    "/>
    <s v="3215411779                    "/>
    <n v="30"/>
  </r>
  <r>
    <s v="202601"/>
    <s v="15047058            "/>
    <x v="226"/>
    <x v="37"/>
    <s v="FEDC157242  "/>
    <n v="1260000"/>
    <x v="9"/>
    <n v="15"/>
    <d v="2026-01-13T00:00:00"/>
    <d v="2026-01-23T00:00:00"/>
    <x v="18"/>
    <x v="13"/>
    <s v="0    "/>
    <s v="3226993920     "/>
    <n v="30"/>
  </r>
  <r>
    <s v="202601"/>
    <s v="15047058            "/>
    <x v="226"/>
    <x v="37"/>
    <s v="FEDC157243  "/>
    <n v="1199617"/>
    <x v="3"/>
    <n v="15"/>
    <d v="2026-01-13T00:00:00"/>
    <d v="2026-02-12T00:00:00"/>
    <x v="18"/>
    <x v="13"/>
    <s v="0    "/>
    <s v="3226993920     "/>
    <n v="30"/>
  </r>
  <r>
    <s v="202601"/>
    <s v="15047058            "/>
    <x v="226"/>
    <x v="37"/>
    <s v="FEDC157244  "/>
    <n v="365587"/>
    <x v="3"/>
    <n v="15"/>
    <d v="2026-01-13T00:00:00"/>
    <d v="2026-02-12T00:00:00"/>
    <x v="18"/>
    <x v="13"/>
    <s v="0    "/>
    <s v="3226993920     "/>
    <n v="30"/>
  </r>
  <r>
    <s v="202601"/>
    <s v="15047058            "/>
    <x v="226"/>
    <x v="37"/>
    <s v="FEDC157245  "/>
    <n v="4200000"/>
    <x v="9"/>
    <n v="15"/>
    <d v="2026-01-13T00:00:00"/>
    <d v="2026-01-23T00:00:00"/>
    <x v="18"/>
    <x v="13"/>
    <s v="0    "/>
    <s v="3226993920     "/>
    <n v="30"/>
  </r>
  <r>
    <s v="202601"/>
    <s v="15030463            "/>
    <x v="227"/>
    <x v="37"/>
    <s v="FEDC157247  "/>
    <n v="840000"/>
    <x v="9"/>
    <n v="15"/>
    <d v="2026-01-13T00:00:00"/>
    <d v="2026-01-23T00:00:00"/>
    <x v="18"/>
    <x v="13"/>
    <s v="0    "/>
    <s v="3185068224     "/>
    <n v="30"/>
  </r>
  <r>
    <s v="202601"/>
    <s v="15030463            "/>
    <x v="227"/>
    <x v="37"/>
    <s v="FEDC157248  "/>
    <n v="2100000"/>
    <x v="9"/>
    <n v="15"/>
    <d v="2026-01-13T00:00:00"/>
    <d v="2026-01-23T00:00:00"/>
    <x v="18"/>
    <x v="13"/>
    <s v="0    "/>
    <s v="3185068224     "/>
    <n v="30"/>
  </r>
  <r>
    <s v="202601"/>
    <s v="70693392            "/>
    <x v="283"/>
    <x v="37"/>
    <s v="FEDC157250  "/>
    <n v="1351985"/>
    <x v="3"/>
    <n v="15"/>
    <d v="2026-01-13T00:00:00"/>
    <d v="2026-02-12T00:00:00"/>
    <x v="18"/>
    <x v="13"/>
    <s v="0    "/>
    <s v="3233203149                    "/>
    <n v="30"/>
  </r>
  <r>
    <s v="202601"/>
    <s v="15030463            "/>
    <x v="227"/>
    <x v="37"/>
    <s v="FEDC157251  "/>
    <n v="776625"/>
    <x v="3"/>
    <n v="15"/>
    <d v="2026-01-13T00:00:00"/>
    <d v="2026-02-12T00:00:00"/>
    <x v="18"/>
    <x v="13"/>
    <s v="0    "/>
    <s v="3185068224     "/>
    <n v="30"/>
  </r>
  <r>
    <s v="202601"/>
    <s v="1233345840          "/>
    <x v="314"/>
    <x v="13"/>
    <s v="FEDC157252  "/>
    <n v="840000"/>
    <x v="9"/>
    <n v="15"/>
    <d v="2026-01-13T00:00:00"/>
    <d v="2026-01-23T00:00:00"/>
    <x v="18"/>
    <x v="13"/>
    <s v="0    "/>
    <s v="3172967714 -3232010208        "/>
    <n v="30"/>
  </r>
  <r>
    <s v="202601"/>
    <s v="15030463            "/>
    <x v="227"/>
    <x v="37"/>
    <s v="FEDC157277  "/>
    <n v="622799"/>
    <x v="3"/>
    <n v="15"/>
    <d v="2026-01-13T00:00:00"/>
    <d v="2026-02-12T00:00:00"/>
    <x v="18"/>
    <x v="13"/>
    <s v="0    "/>
    <s v="3185068224     "/>
    <n v="30"/>
  </r>
  <r>
    <s v="202601"/>
    <s v="15047058            "/>
    <x v="226"/>
    <x v="37"/>
    <s v="FEDC157281  "/>
    <n v="1260000"/>
    <x v="9"/>
    <n v="15"/>
    <d v="2026-01-13T00:00:00"/>
    <d v="2026-01-23T00:00:00"/>
    <x v="18"/>
    <x v="13"/>
    <s v="0    "/>
    <s v="3226993920     "/>
    <n v="30"/>
  </r>
  <r>
    <s v="202601"/>
    <s v="91521121            "/>
    <x v="204"/>
    <x v="13"/>
    <s v="FEDC157284  "/>
    <n v="6300000"/>
    <x v="3"/>
    <n v="15"/>
    <d v="2026-01-13T00:00:00"/>
    <d v="2026-02-12T00:00:00"/>
    <x v="18"/>
    <x v="13"/>
    <s v="0    "/>
    <s v="3206429252                    "/>
    <n v="30"/>
  </r>
  <r>
    <s v="202601"/>
    <s v="15030463            "/>
    <x v="227"/>
    <x v="37"/>
    <s v="FEDC157286  "/>
    <n v="1080000"/>
    <x v="3"/>
    <n v="15"/>
    <d v="2026-01-13T00:00:00"/>
    <d v="2026-02-12T00:00:00"/>
    <x v="18"/>
    <x v="13"/>
    <s v="0    "/>
    <s v="3185068224     "/>
    <n v="30"/>
  </r>
  <r>
    <s v="202601"/>
    <s v="15030463            "/>
    <x v="227"/>
    <x v="37"/>
    <s v="FEDC157287  "/>
    <n v="394057"/>
    <x v="3"/>
    <n v="15"/>
    <d v="2026-01-13T00:00:00"/>
    <d v="2026-02-12T00:00:00"/>
    <x v="18"/>
    <x v="13"/>
    <s v="0    "/>
    <s v="3185068224     "/>
    <n v="30"/>
  </r>
  <r>
    <s v="202601"/>
    <s v="1002636936          "/>
    <x v="400"/>
    <x v="13"/>
    <s v="FEDC157317  "/>
    <n v="5458440"/>
    <x v="3"/>
    <n v="15"/>
    <d v="2026-01-13T00:00:00"/>
    <d v="2026-02-12T00:00:00"/>
    <x v="18"/>
    <x v="11"/>
    <s v="0    "/>
    <s v="3136402251                    "/>
    <n v="30"/>
  </r>
  <r>
    <s v="202601"/>
    <s v="91521121            "/>
    <x v="204"/>
    <x v="13"/>
    <s v="FEDC157318  "/>
    <n v="4314221"/>
    <x v="3"/>
    <n v="15"/>
    <d v="2026-01-13T00:00:00"/>
    <d v="2026-02-12T00:00:00"/>
    <x v="18"/>
    <x v="13"/>
    <s v="0    "/>
    <s v="3206429252                    "/>
    <n v="30"/>
  </r>
  <r>
    <s v="202601"/>
    <s v="15302934            "/>
    <x v="401"/>
    <x v="37"/>
    <s v="FEVM44714   "/>
    <n v="128400"/>
    <x v="9"/>
    <n v="15"/>
    <d v="2026-01-13T00:00:00"/>
    <d v="2026-01-23T00:00:00"/>
    <x v="18"/>
    <x v="10"/>
    <s v="0    "/>
    <s v="3147802876     "/>
    <n v="0"/>
  </r>
  <r>
    <s v="202601"/>
    <s v="70694224            "/>
    <x v="402"/>
    <x v="13"/>
    <s v="FEVM44716   "/>
    <n v="764000"/>
    <x v="9"/>
    <n v="15"/>
    <d v="2026-01-13T00:00:00"/>
    <d v="2026-01-23T00:00:00"/>
    <x v="18"/>
    <x v="10"/>
    <s v="0    "/>
    <s v="3213770238                    "/>
    <n v="30"/>
  </r>
  <r>
    <s v="202601"/>
    <s v="1038097681          "/>
    <x v="165"/>
    <x v="13"/>
    <s v="FEVM44717   "/>
    <n v="155159"/>
    <x v="3"/>
    <n v="15"/>
    <d v="2026-01-13T00:00:00"/>
    <d v="2026-02-12T00:00:00"/>
    <x v="18"/>
    <x v="10"/>
    <s v="0    "/>
    <s v="3186811106                    "/>
    <n v="30"/>
  </r>
  <r>
    <s v="202601"/>
    <s v="1038114800          "/>
    <x v="353"/>
    <x v="13"/>
    <s v="FEVM44766   "/>
    <n v="12938"/>
    <x v="3"/>
    <n v="15"/>
    <d v="2026-01-13T00:00:00"/>
    <d v="2026-02-12T00:00:00"/>
    <x v="18"/>
    <x v="11"/>
    <s v="0    "/>
    <s v="3103708801                    "/>
    <n v="30"/>
  </r>
  <r>
    <s v="202601"/>
    <s v="22246411            "/>
    <x v="403"/>
    <x v="37"/>
    <s v="FEVM44767   "/>
    <n v="153766"/>
    <x v="1"/>
    <n v="15"/>
    <d v="2026-01-13T00:00:00"/>
    <d v="2026-01-28T00:00:00"/>
    <x v="18"/>
    <x v="6"/>
    <s v="0    "/>
    <s v="3104996245     "/>
    <n v="15"/>
  </r>
  <r>
    <s v="202601"/>
    <s v="22246411            "/>
    <x v="403"/>
    <x v="37"/>
    <s v="FEVM44768   "/>
    <n v="313501"/>
    <x v="1"/>
    <n v="15"/>
    <d v="2026-01-13T00:00:00"/>
    <d v="2026-01-28T00:00:00"/>
    <x v="18"/>
    <x v="6"/>
    <s v="0    "/>
    <s v="3104996245     "/>
    <n v="15"/>
  </r>
  <r>
    <s v="202601"/>
    <s v="22246411            "/>
    <x v="403"/>
    <x v="37"/>
    <s v="FEVM44769   "/>
    <n v="1532861"/>
    <x v="1"/>
    <n v="15"/>
    <d v="2026-01-13T00:00:00"/>
    <d v="2026-01-28T00:00:00"/>
    <x v="18"/>
    <x v="6"/>
    <s v="0    "/>
    <s v="3104996245     "/>
    <n v="15"/>
  </r>
  <r>
    <s v="202601"/>
    <s v="890101815-9         "/>
    <x v="105"/>
    <x v="37"/>
    <s v="FEVM44797   "/>
    <n v="3238228"/>
    <x v="5"/>
    <n v="15"/>
    <d v="2026-01-13T00:00:00"/>
    <d v="2026-01-14T00:00:00"/>
    <x v="18"/>
    <x v="16"/>
    <s v="0    "/>
    <s v="               "/>
    <n v="0"/>
  </r>
  <r>
    <s v="202601"/>
    <s v="50993448            "/>
    <x v="296"/>
    <x v="78"/>
    <s v="FEVM44722   "/>
    <n v="6"/>
    <x v="3"/>
    <n v="15"/>
    <d v="2026-01-13T00:00:00"/>
    <d v="2026-02-12T00:00:00"/>
    <x v="22"/>
    <x v="10"/>
    <s v="0    "/>
    <s v="7705266        "/>
    <n v="30"/>
  </r>
  <r>
    <s v="202601"/>
    <s v="50993448            "/>
    <x v="296"/>
    <x v="78"/>
    <s v="FEVM44723   "/>
    <n v="1437000"/>
    <x v="3"/>
    <n v="15"/>
    <d v="2026-01-13T00:00:00"/>
    <d v="2026-02-12T00:00:00"/>
    <x v="22"/>
    <x v="10"/>
    <s v="0    "/>
    <s v="7705266        "/>
    <n v="30"/>
  </r>
  <r>
    <s v="202601"/>
    <s v="78108073            "/>
    <x v="404"/>
    <x v="78"/>
    <s v="FEVM44736   "/>
    <n v="653856"/>
    <x v="3"/>
    <n v="15"/>
    <d v="2026-01-13T00:00:00"/>
    <d v="2026-02-12T00:00:00"/>
    <x v="22"/>
    <x v="10"/>
    <s v="0    "/>
    <s v="3126146979     "/>
    <n v="30"/>
  </r>
  <r>
    <s v="202601"/>
    <s v="64893154            "/>
    <x v="405"/>
    <x v="78"/>
    <s v="FEVM44739   "/>
    <n v="42800"/>
    <x v="5"/>
    <n v="15"/>
    <d v="2026-01-13T00:00:00"/>
    <d v="2026-01-14T00:00:00"/>
    <x v="22"/>
    <x v="10"/>
    <s v="0    "/>
    <s v="3208290579                    "/>
    <n v="0"/>
  </r>
  <r>
    <s v="202601"/>
    <s v="78112440            "/>
    <x v="340"/>
    <x v="19"/>
    <s v="FEVM44743   "/>
    <n v="241500"/>
    <x v="1"/>
    <n v="15"/>
    <d v="2026-01-13T00:00:00"/>
    <d v="2026-01-28T00:00:00"/>
    <x v="22"/>
    <x v="10"/>
    <s v="0    "/>
    <s v="3106642740                    "/>
    <n v="30"/>
  </r>
  <r>
    <s v="202601"/>
    <s v="78112440            "/>
    <x v="340"/>
    <x v="19"/>
    <s v="FEVM44744   "/>
    <n v="70701"/>
    <x v="1"/>
    <n v="15"/>
    <d v="2026-01-13T00:00:00"/>
    <d v="2026-01-28T00:00:00"/>
    <x v="22"/>
    <x v="10"/>
    <s v="0    "/>
    <s v="3106642740                    "/>
    <n v="30"/>
  </r>
  <r>
    <s v="202601"/>
    <s v="1066513494          "/>
    <x v="292"/>
    <x v="19"/>
    <s v="FEVM44746   "/>
    <n v="599449"/>
    <x v="1"/>
    <n v="15"/>
    <d v="2026-01-13T00:00:00"/>
    <d v="2026-01-28T00:00:00"/>
    <x v="22"/>
    <x v="10"/>
    <s v="0    "/>
    <s v="3108277335                    "/>
    <n v="30"/>
  </r>
  <r>
    <s v="202601"/>
    <s v="1066513494          "/>
    <x v="292"/>
    <x v="19"/>
    <s v="FEVM44747   "/>
    <n v="164800"/>
    <x v="3"/>
    <n v="15"/>
    <d v="2026-01-13T00:00:00"/>
    <d v="2026-02-12T00:00:00"/>
    <x v="22"/>
    <x v="10"/>
    <s v="0    "/>
    <s v="3108277335                    "/>
    <n v="30"/>
  </r>
  <r>
    <s v="202601"/>
    <s v="8372537             "/>
    <x v="406"/>
    <x v="78"/>
    <s v="FEVM44754   "/>
    <n v="835343"/>
    <x v="3"/>
    <n v="15"/>
    <d v="2026-01-13T00:00:00"/>
    <d v="2026-02-12T00:00:00"/>
    <x v="22"/>
    <x v="10"/>
    <s v="0    "/>
    <s v="3127823755     "/>
    <n v="30"/>
  </r>
  <r>
    <s v="202601"/>
    <s v="1066524935          "/>
    <x v="169"/>
    <x v="19"/>
    <s v="FEVM44758   "/>
    <n v="1348944"/>
    <x v="3"/>
    <n v="15"/>
    <d v="2026-01-13T00:00:00"/>
    <d v="2026-02-12T00:00:00"/>
    <x v="22"/>
    <x v="10"/>
    <s v="0    "/>
    <s v="3117567994                    "/>
    <n v="30"/>
  </r>
  <r>
    <s v="202601"/>
    <s v="1066524935          "/>
    <x v="169"/>
    <x v="19"/>
    <s v="FEVM44759   "/>
    <n v="259946"/>
    <x v="1"/>
    <n v="15"/>
    <d v="2026-01-13T00:00:00"/>
    <d v="2026-01-28T00:00:00"/>
    <x v="22"/>
    <x v="10"/>
    <s v="0    "/>
    <s v="3117567994                    "/>
    <n v="30"/>
  </r>
  <r>
    <s v="202601"/>
    <s v="50994786            "/>
    <x v="235"/>
    <x v="19"/>
    <s v="FEVM44773   "/>
    <n v="437817"/>
    <x v="3"/>
    <n v="15"/>
    <d v="2026-01-13T00:00:00"/>
    <d v="2026-02-12T00:00:00"/>
    <x v="22"/>
    <x v="10"/>
    <s v="0    "/>
    <s v="3136427693 - 3217353632       "/>
    <n v="30"/>
  </r>
  <r>
    <s v="202601"/>
    <s v="70696568            "/>
    <x v="236"/>
    <x v="78"/>
    <s v="FEVM44775   "/>
    <n v="2248173"/>
    <x v="3"/>
    <n v="15"/>
    <d v="2026-01-13T00:00:00"/>
    <d v="2026-02-12T00:00:00"/>
    <x v="22"/>
    <x v="10"/>
    <s v="0    "/>
    <s v="3114240949                    "/>
    <n v="30"/>
  </r>
  <r>
    <s v="202601"/>
    <s v="64588325            "/>
    <x v="407"/>
    <x v="78"/>
    <s v="FEVM44779   "/>
    <n v="775075"/>
    <x v="3"/>
    <n v="15"/>
    <d v="2026-01-13T00:00:00"/>
    <d v="2026-02-12T00:00:00"/>
    <x v="22"/>
    <x v="10"/>
    <s v="0    "/>
    <s v="3128163691     "/>
    <n v="30"/>
  </r>
  <r>
    <s v="202601"/>
    <s v="78113894            "/>
    <x v="234"/>
    <x v="78"/>
    <s v="FEVM44781   "/>
    <n v="1571864"/>
    <x v="3"/>
    <n v="15"/>
    <d v="2026-01-13T00:00:00"/>
    <d v="2026-02-12T00:00:00"/>
    <x v="22"/>
    <x v="10"/>
    <s v="0    "/>
    <s v="3137710031                    "/>
    <n v="30"/>
  </r>
  <r>
    <s v="202601"/>
    <s v="1066270216          "/>
    <x v="233"/>
    <x v="19"/>
    <s v="FEVM44782   "/>
    <n v="616659"/>
    <x v="3"/>
    <n v="15"/>
    <d v="2026-01-13T00:00:00"/>
    <d v="2026-02-12T00:00:00"/>
    <x v="22"/>
    <x v="10"/>
    <s v="0    "/>
    <s v="3134923550                    "/>
    <n v="30"/>
  </r>
  <r>
    <s v="202601"/>
    <s v="50993448            "/>
    <x v="296"/>
    <x v="78"/>
    <s v="FEVM44786   "/>
    <n v="1540649"/>
    <x v="3"/>
    <n v="15"/>
    <d v="2026-01-13T00:00:00"/>
    <d v="2026-02-12T00:00:00"/>
    <x v="22"/>
    <x v="10"/>
    <s v="0    "/>
    <s v="7705266        "/>
    <n v="30"/>
  </r>
  <r>
    <s v="202601"/>
    <s v="22082859-0          "/>
    <x v="408"/>
    <x v="78"/>
    <s v="FEVM44789   "/>
    <n v="815780"/>
    <x v="3"/>
    <n v="15"/>
    <d v="2026-01-13T00:00:00"/>
    <d v="2026-02-12T00:00:00"/>
    <x v="22"/>
    <x v="10"/>
    <s v="0    "/>
    <s v="3133914115 -3135860377        "/>
    <n v="30"/>
  </r>
  <r>
    <s v="202601"/>
    <s v="1066520232          "/>
    <x v="409"/>
    <x v="19"/>
    <s v="FEVM44790   "/>
    <n v="260840"/>
    <x v="1"/>
    <n v="15"/>
    <d v="2026-01-13T00:00:00"/>
    <d v="2026-01-28T00:00:00"/>
    <x v="22"/>
    <x v="10"/>
    <s v="0    "/>
    <s v="3107024242                    "/>
    <n v="30"/>
  </r>
  <r>
    <s v="202601"/>
    <s v="1066518174          "/>
    <x v="293"/>
    <x v="19"/>
    <s v="FEVM44794   "/>
    <n v="1033483"/>
    <x v="3"/>
    <n v="15"/>
    <d v="2026-01-13T00:00:00"/>
    <d v="2026-02-12T00:00:00"/>
    <x v="22"/>
    <x v="10"/>
    <s v="0    "/>
    <s v="3216102127-3155095670         "/>
    <n v="30"/>
  </r>
  <r>
    <s v="202601"/>
    <s v="78302654            "/>
    <x v="141"/>
    <x v="2"/>
    <s v="FEDC157262  "/>
    <n v="3994297"/>
    <x v="1"/>
    <n v="15"/>
    <d v="2026-01-13T00:00:00"/>
    <d v="2026-01-28T00:00:00"/>
    <x v="1"/>
    <x v="12"/>
    <s v="0    "/>
    <s v="3232928340 -3116576434        "/>
    <n v="15"/>
  </r>
  <r>
    <s v="202601"/>
    <s v="1063366355          "/>
    <x v="237"/>
    <x v="24"/>
    <s v="FEDC157253  "/>
    <n v="2173857"/>
    <x v="3"/>
    <n v="15"/>
    <d v="2026-01-13T00:00:00"/>
    <d v="2026-02-12T00:00:00"/>
    <x v="24"/>
    <x v="12"/>
    <s v="0    "/>
    <s v="3107516465                    "/>
    <n v="30"/>
  </r>
  <r>
    <s v="202601"/>
    <s v="901411098-3         "/>
    <x v="321"/>
    <x v="24"/>
    <s v="FEDC157254  "/>
    <n v="10224144"/>
    <x v="3"/>
    <n v="15"/>
    <d v="2026-01-13T00:00:00"/>
    <d v="2026-02-12T00:00:00"/>
    <x v="24"/>
    <x v="12"/>
    <s v="0    "/>
    <s v="3126921623                    "/>
    <n v="30"/>
  </r>
  <r>
    <s v="202601"/>
    <s v="901469032           "/>
    <x v="322"/>
    <x v="24"/>
    <s v="FEDC157255  "/>
    <n v="7041668"/>
    <x v="3"/>
    <n v="15"/>
    <d v="2026-01-13T00:00:00"/>
    <d v="2026-02-12T00:00:00"/>
    <x v="24"/>
    <x v="12"/>
    <s v="0    "/>
    <s v="3215382384                    "/>
    <n v="30"/>
  </r>
  <r>
    <s v="202601"/>
    <s v="901411098-3         "/>
    <x v="321"/>
    <x v="24"/>
    <s v="FEDC157256  "/>
    <n v="5236273"/>
    <x v="3"/>
    <n v="15"/>
    <d v="2026-01-13T00:00:00"/>
    <d v="2026-02-12T00:00:00"/>
    <x v="24"/>
    <x v="12"/>
    <s v="0    "/>
    <s v="3126921623                    "/>
    <n v="30"/>
  </r>
  <r>
    <s v="202601"/>
    <s v="901158992-9         "/>
    <x v="127"/>
    <x v="24"/>
    <s v="FEDC157257  "/>
    <n v="7001181"/>
    <x v="3"/>
    <n v="15"/>
    <d v="2026-01-13T00:00:00"/>
    <d v="2026-02-12T00:00:00"/>
    <x v="24"/>
    <x v="12"/>
    <s v="0    "/>
    <s v="3002863464 - 3013900884       "/>
    <n v="30"/>
  </r>
  <r>
    <s v="202601"/>
    <s v="1045026065          "/>
    <x v="238"/>
    <x v="24"/>
    <s v="FEDC157258  "/>
    <n v="8331844"/>
    <x v="3"/>
    <n v="15"/>
    <d v="2026-01-13T00:00:00"/>
    <d v="2026-02-12T00:00:00"/>
    <x v="24"/>
    <x v="12"/>
    <s v="0    "/>
    <s v="3108220432                    "/>
    <n v="30"/>
  </r>
  <r>
    <s v="202601"/>
    <s v="901868532-0         "/>
    <x v="106"/>
    <x v="24"/>
    <s v="FEDC157259  "/>
    <n v="2071401"/>
    <x v="3"/>
    <n v="15"/>
    <d v="2026-01-13T00:00:00"/>
    <d v="2026-02-12T00:00:00"/>
    <x v="24"/>
    <x v="12"/>
    <s v="0    "/>
    <s v="3138778653                    "/>
    <n v="30"/>
  </r>
  <r>
    <s v="202601"/>
    <s v="901758127-9         "/>
    <x v="170"/>
    <x v="24"/>
    <s v="FEDC157261  "/>
    <n v="4250020"/>
    <x v="3"/>
    <n v="15"/>
    <d v="2026-01-13T00:00:00"/>
    <d v="2026-02-12T00:00:00"/>
    <x v="24"/>
    <x v="12"/>
    <s v="0    "/>
    <s v="3107091608                    "/>
    <n v="30"/>
  </r>
  <r>
    <s v="202601"/>
    <s v="901349219-3         "/>
    <x v="133"/>
    <x v="1"/>
    <s v="FEDC157264  "/>
    <n v="1882017"/>
    <x v="3"/>
    <n v="15"/>
    <d v="2026-01-13T00:00:00"/>
    <d v="2026-02-12T00:00:00"/>
    <x v="24"/>
    <x v="15"/>
    <s v="0    "/>
    <s v="3156264634- 7721444           "/>
    <n v="30"/>
  </r>
  <r>
    <s v="202601"/>
    <s v="901349219-3         "/>
    <x v="133"/>
    <x v="1"/>
    <s v="FEDC157265  "/>
    <n v="2518580"/>
    <x v="1"/>
    <n v="15"/>
    <d v="2026-01-13T00:00:00"/>
    <d v="2026-01-28T00:00:00"/>
    <x v="24"/>
    <x v="3"/>
    <s v="0    "/>
    <s v="3156264634- 7721444           "/>
    <n v="30"/>
  </r>
  <r>
    <s v="202601"/>
    <s v="901349219-3         "/>
    <x v="133"/>
    <x v="1"/>
    <s v="FEDC157266  "/>
    <n v="1958842"/>
    <x v="1"/>
    <n v="15"/>
    <d v="2026-01-13T00:00:00"/>
    <d v="2026-01-28T00:00:00"/>
    <x v="24"/>
    <x v="3"/>
    <s v="0    "/>
    <s v="3156264634- 7721444           "/>
    <n v="30"/>
  </r>
  <r>
    <s v="202601"/>
    <s v="21640921            "/>
    <x v="410"/>
    <x v="71"/>
    <s v="FEDC157270  "/>
    <n v="1986535"/>
    <x v="3"/>
    <n v="15"/>
    <d v="2026-01-13T00:00:00"/>
    <d v="2026-02-12T00:00:00"/>
    <x v="49"/>
    <x v="1"/>
    <s v="0    "/>
    <s v="3122902214 -3113206831        "/>
    <n v="30"/>
  </r>
  <r>
    <s v="202601"/>
    <s v="3672849             "/>
    <x v="173"/>
    <x v="71"/>
    <s v="FEDC157272  "/>
    <n v="11501168"/>
    <x v="3"/>
    <n v="15"/>
    <d v="2026-01-13T00:00:00"/>
    <d v="2026-02-12T00:00:00"/>
    <x v="49"/>
    <x v="1"/>
    <s v="0    "/>
    <s v="3148749298 -8385366           "/>
    <n v="30"/>
  </r>
  <r>
    <s v="202601"/>
    <s v="3672849             "/>
    <x v="173"/>
    <x v="71"/>
    <s v="FEDC157273  "/>
    <n v="6023447"/>
    <x v="3"/>
    <n v="15"/>
    <d v="2026-01-13T00:00:00"/>
    <d v="2026-02-12T00:00:00"/>
    <x v="49"/>
    <x v="1"/>
    <s v="0    "/>
    <s v="3148749298 -8385366           "/>
    <n v="30"/>
  </r>
  <r>
    <s v="202601"/>
    <s v="43699033            "/>
    <x v="411"/>
    <x v="71"/>
    <s v="FEDC157274  "/>
    <n v="1172588"/>
    <x v="3"/>
    <n v="15"/>
    <d v="2026-01-13T00:00:00"/>
    <d v="2026-02-12T00:00:00"/>
    <x v="49"/>
    <x v="1"/>
    <s v="0    "/>
    <s v="3136672016     "/>
    <n v="30"/>
  </r>
  <r>
    <s v="202601"/>
    <s v="3671832             "/>
    <x v="275"/>
    <x v="71"/>
    <s v="FEDC157275  "/>
    <n v="932526"/>
    <x v="3"/>
    <n v="15"/>
    <d v="2026-01-13T00:00:00"/>
    <d v="2026-02-12T00:00:00"/>
    <x v="49"/>
    <x v="1"/>
    <s v="0    "/>
    <s v="034-8385101 -3128397720       "/>
    <n v="30"/>
  </r>
  <r>
    <s v="202601"/>
    <s v="43896567            "/>
    <x v="172"/>
    <x v="71"/>
    <s v="FEDC157276  "/>
    <n v="365999"/>
    <x v="3"/>
    <n v="15"/>
    <d v="2026-01-13T00:00:00"/>
    <d v="2026-02-12T00:00:00"/>
    <x v="49"/>
    <x v="1"/>
    <s v="0    "/>
    <s v="3217546640 -3234584973        "/>
    <n v="30"/>
  </r>
  <r>
    <s v="202601"/>
    <s v="29117634            "/>
    <x v="268"/>
    <x v="82"/>
    <s v="FEDC157282  "/>
    <n v="2880678"/>
    <x v="3"/>
    <n v="15"/>
    <d v="2026-01-13T00:00:00"/>
    <d v="2026-02-12T00:00:00"/>
    <x v="49"/>
    <x v="1"/>
    <s v="0    "/>
    <s v="3217378928                    "/>
    <n v="30"/>
  </r>
  <r>
    <s v="202601"/>
    <s v="43699033            "/>
    <x v="411"/>
    <x v="71"/>
    <s v="FEDC157283  "/>
    <n v="103900"/>
    <x v="3"/>
    <n v="15"/>
    <d v="2026-01-13T00:00:00"/>
    <d v="2026-02-12T00:00:00"/>
    <x v="49"/>
    <x v="1"/>
    <s v="0    "/>
    <s v="3136672016     "/>
    <n v="30"/>
  </r>
  <r>
    <s v="202601"/>
    <s v="15305256            "/>
    <x v="274"/>
    <x v="71"/>
    <s v="FEVM44770   "/>
    <n v="1028259"/>
    <x v="3"/>
    <n v="15"/>
    <d v="2026-01-13T00:00:00"/>
    <d v="2026-02-12T00:00:00"/>
    <x v="49"/>
    <x v="1"/>
    <s v="0    "/>
    <s v="3113240967 -3104719821        "/>
    <n v="30"/>
  </r>
  <r>
    <s v="202601"/>
    <s v="15305256            "/>
    <x v="274"/>
    <x v="71"/>
    <s v="FEVM44771   "/>
    <n v="560962"/>
    <x v="3"/>
    <n v="15"/>
    <d v="2026-01-13T00:00:00"/>
    <d v="2026-02-12T00:00:00"/>
    <x v="49"/>
    <x v="1"/>
    <s v="0    "/>
    <s v="3113240967 -3104719821        "/>
    <n v="30"/>
  </r>
  <r>
    <s v="202601"/>
    <s v="15305256            "/>
    <x v="274"/>
    <x v="71"/>
    <s v="FEVM44772   "/>
    <n v="424000"/>
    <x v="3"/>
    <n v="15"/>
    <d v="2026-01-13T00:00:00"/>
    <d v="2026-02-12T00:00:00"/>
    <x v="49"/>
    <x v="1"/>
    <s v="0    "/>
    <s v="3113240967 -3104719821        "/>
    <n v="30"/>
  </r>
  <r>
    <s v="202601"/>
    <s v="900540697           "/>
    <x v="140"/>
    <x v="67"/>
    <s v="FEDC157314  "/>
    <n v="4951800"/>
    <x v="3"/>
    <n v="15"/>
    <d v="2026-01-13T00:00:00"/>
    <d v="2026-02-12T00:00:00"/>
    <x v="3"/>
    <x v="11"/>
    <s v="0    "/>
    <s v="3218037194                    "/>
    <n v="30"/>
  </r>
  <r>
    <s v="202601"/>
    <s v="22041533            "/>
    <x v="162"/>
    <x v="3"/>
    <s v="FEDC157293  "/>
    <n v="1032000"/>
    <x v="3"/>
    <n v="15"/>
    <d v="2026-01-13T00:00:00"/>
    <d v="2026-02-12T00:00:00"/>
    <x v="2"/>
    <x v="9"/>
    <s v="0    "/>
    <s v="3217615388     "/>
    <n v="30"/>
  </r>
  <r>
    <s v="202601"/>
    <s v="22041533            "/>
    <x v="162"/>
    <x v="3"/>
    <s v="FEDC157294  "/>
    <n v="727191"/>
    <x v="3"/>
    <n v="15"/>
    <d v="2026-01-13T00:00:00"/>
    <d v="2026-02-12T00:00:00"/>
    <x v="2"/>
    <x v="9"/>
    <s v="0    "/>
    <s v="3217615388     "/>
    <n v="30"/>
  </r>
  <r>
    <s v="202601"/>
    <s v="70163318            "/>
    <x v="121"/>
    <x v="46"/>
    <s v="FEDC157295  "/>
    <n v="2884001"/>
    <x v="3"/>
    <n v="15"/>
    <d v="2026-01-13T00:00:00"/>
    <d v="2026-02-12T00:00:00"/>
    <x v="2"/>
    <x v="9"/>
    <s v="0    "/>
    <s v="3148732837 -3146457008Cesar   "/>
    <n v="30"/>
  </r>
  <r>
    <s v="202601"/>
    <s v="50929248            "/>
    <x v="164"/>
    <x v="46"/>
    <s v="FEDC157298  "/>
    <n v="549908"/>
    <x v="3"/>
    <n v="15"/>
    <d v="2026-01-13T00:00:00"/>
    <d v="2026-02-12T00:00:00"/>
    <x v="2"/>
    <x v="9"/>
    <s v="0    "/>
    <s v="3122345938                    "/>
    <n v="30"/>
  </r>
  <r>
    <s v="202601"/>
    <s v="22808808            "/>
    <x v="412"/>
    <x v="90"/>
    <s v="FEDC157299  "/>
    <n v="385200"/>
    <x v="3"/>
    <n v="15"/>
    <d v="2026-01-13T00:00:00"/>
    <d v="2026-02-12T00:00:00"/>
    <x v="2"/>
    <x v="9"/>
    <s v="0    "/>
    <s v="3117814637                    "/>
    <n v="30"/>
  </r>
  <r>
    <s v="202601"/>
    <s v="901556925-2         "/>
    <x v="277"/>
    <x v="46"/>
    <s v="FEDC157300  "/>
    <n v="3924697"/>
    <x v="3"/>
    <n v="15"/>
    <d v="2026-01-13T00:00:00"/>
    <d v="2026-02-12T00:00:00"/>
    <x v="2"/>
    <x v="9"/>
    <s v="0    "/>
    <s v="3104362600-3202084435         "/>
    <n v="30"/>
  </r>
  <r>
    <s v="202601"/>
    <s v="901556925-2         "/>
    <x v="277"/>
    <x v="46"/>
    <s v="FEDC157301  "/>
    <n v="1401048"/>
    <x v="3"/>
    <n v="15"/>
    <d v="2026-01-13T00:00:00"/>
    <d v="2026-02-12T00:00:00"/>
    <x v="2"/>
    <x v="9"/>
    <s v="0    "/>
    <s v="3104362600-3202084435         "/>
    <n v="30"/>
  </r>
  <r>
    <s v="202601"/>
    <s v="901589653           "/>
    <x v="413"/>
    <x v="46"/>
    <s v="FEDC157302  "/>
    <n v="329600"/>
    <x v="3"/>
    <n v="15"/>
    <d v="2026-01-13T00:00:00"/>
    <d v="2026-02-12T00:00:00"/>
    <x v="2"/>
    <x v="9"/>
    <s v="0    "/>
    <s v="3136134962                    "/>
    <n v="30"/>
  </r>
  <r>
    <s v="202601"/>
    <s v="98599409            "/>
    <x v="107"/>
    <x v="3"/>
    <s v="FEDC157303  "/>
    <n v="424000"/>
    <x v="3"/>
    <n v="15"/>
    <d v="2026-01-13T00:00:00"/>
    <d v="2026-02-12T00:00:00"/>
    <x v="2"/>
    <x v="9"/>
    <s v="1    "/>
    <s v="3165313681                    "/>
    <n v="30"/>
  </r>
  <r>
    <s v="202601"/>
    <s v="98599409            "/>
    <x v="107"/>
    <x v="3"/>
    <s v="FEDC157304  "/>
    <n v="767726"/>
    <x v="3"/>
    <n v="15"/>
    <d v="2026-01-13T00:00:00"/>
    <d v="2026-02-12T00:00:00"/>
    <x v="2"/>
    <x v="9"/>
    <s v="1    "/>
    <s v="3165313681                    "/>
    <n v="30"/>
  </r>
  <r>
    <s v="202601"/>
    <s v="1073996347          "/>
    <x v="122"/>
    <x v="46"/>
    <s v="FEDC157305  "/>
    <n v="4240002"/>
    <x v="3"/>
    <n v="15"/>
    <d v="2026-01-13T00:00:00"/>
    <d v="2026-02-12T00:00:00"/>
    <x v="2"/>
    <x v="9"/>
    <s v="0    "/>
    <s v="3167167184                    "/>
    <n v="30"/>
  </r>
  <r>
    <s v="202601"/>
    <s v="1073996347          "/>
    <x v="122"/>
    <x v="46"/>
    <s v="FEDC157306  "/>
    <n v="2384601"/>
    <x v="3"/>
    <n v="15"/>
    <d v="2026-01-13T00:00:00"/>
    <d v="2026-02-12T00:00:00"/>
    <x v="2"/>
    <x v="9"/>
    <s v="0    "/>
    <s v="3167167184                    "/>
    <n v="30"/>
  </r>
  <r>
    <s v="202601"/>
    <s v="1073996347          "/>
    <x v="122"/>
    <x v="46"/>
    <s v="FEDC157307  "/>
    <n v="4652885"/>
    <x v="3"/>
    <n v="15"/>
    <d v="2026-01-13T00:00:00"/>
    <d v="2026-02-12T00:00:00"/>
    <x v="2"/>
    <x v="9"/>
    <s v="0    "/>
    <s v="3167167184                    "/>
    <n v="30"/>
  </r>
  <r>
    <s v="202601"/>
    <s v="1073996347          "/>
    <x v="122"/>
    <x v="46"/>
    <s v="FEDC157308  "/>
    <n v="2016518"/>
    <x v="3"/>
    <n v="15"/>
    <d v="2026-01-13T00:00:00"/>
    <d v="2026-02-12T00:00:00"/>
    <x v="2"/>
    <x v="9"/>
    <s v="0    "/>
    <s v="3167167184                    "/>
    <n v="30"/>
  </r>
  <r>
    <s v="202601"/>
    <s v="901589653           "/>
    <x v="413"/>
    <x v="46"/>
    <s v="FEDC157310  "/>
    <n v="2446839"/>
    <x v="3"/>
    <n v="15"/>
    <d v="2026-01-13T00:00:00"/>
    <d v="2026-02-12T00:00:00"/>
    <x v="2"/>
    <x v="9"/>
    <s v="0    "/>
    <s v="3136134962                    "/>
    <n v="30"/>
  </r>
  <r>
    <s v="202601"/>
    <s v="39156271            "/>
    <x v="307"/>
    <x v="3"/>
    <s v="FEDC157312  "/>
    <n v="564200"/>
    <x v="3"/>
    <n v="15"/>
    <d v="2026-01-13T00:00:00"/>
    <d v="2026-02-12T00:00:00"/>
    <x v="2"/>
    <x v="9"/>
    <s v="0    "/>
    <s v="3145161317                    "/>
    <n v="30"/>
  </r>
  <r>
    <s v="202601"/>
    <s v="39156271            "/>
    <x v="307"/>
    <x v="3"/>
    <s v="FEDC157313  "/>
    <n v="442787"/>
    <x v="3"/>
    <n v="15"/>
    <d v="2026-01-13T00:00:00"/>
    <d v="2026-02-12T00:00:00"/>
    <x v="2"/>
    <x v="9"/>
    <s v="0    "/>
    <s v="3145161317                    "/>
    <n v="30"/>
  </r>
  <r>
    <s v="202601"/>
    <s v="1037582300          "/>
    <x v="79"/>
    <x v="45"/>
    <s v="FEDC157296  "/>
    <n v="10149634"/>
    <x v="3"/>
    <n v="15"/>
    <d v="2026-01-13T00:00:00"/>
    <d v="2026-02-12T00:00:00"/>
    <x v="30"/>
    <x v="9"/>
    <s v="0    "/>
    <s v="3192610072     "/>
    <n v="30"/>
  </r>
  <r>
    <s v="202601"/>
    <s v="1037582300          "/>
    <x v="79"/>
    <x v="45"/>
    <s v="FEDC157297  "/>
    <n v="3462496"/>
    <x v="3"/>
    <n v="15"/>
    <d v="2026-01-13T00:00:00"/>
    <d v="2026-02-12T00:00:00"/>
    <x v="30"/>
    <x v="9"/>
    <s v="0    "/>
    <s v="3192610072     "/>
    <n v="30"/>
  </r>
  <r>
    <s v="202601"/>
    <s v="9313721             "/>
    <x v="365"/>
    <x v="37"/>
    <s v="FEDC157323  "/>
    <n v="410004"/>
    <x v="3"/>
    <n v="14"/>
    <d v="2026-01-14T00:00:00"/>
    <d v="2026-02-13T00:00:00"/>
    <x v="18"/>
    <x v="13"/>
    <s v="0    "/>
    <s v="8380408"/>
    <n v="0"/>
  </r>
  <r>
    <s v="202601"/>
    <s v="70692127            "/>
    <x v="252"/>
    <x v="37"/>
    <s v="FEDC157324  "/>
    <n v="129605"/>
    <x v="3"/>
    <n v="14"/>
    <d v="2026-01-14T00:00:00"/>
    <d v="2026-02-13T00:00:00"/>
    <x v="18"/>
    <x v="13"/>
    <s v="0    "/>
    <s v="3007388755 Andres -3148623512 "/>
    <n v="30"/>
  </r>
  <r>
    <s v="202601"/>
    <s v="70692127            "/>
    <x v="252"/>
    <x v="37"/>
    <s v="FEDC157325  "/>
    <n v="2120000"/>
    <x v="3"/>
    <n v="14"/>
    <d v="2026-01-14T00:00:00"/>
    <d v="2026-02-13T00:00:00"/>
    <x v="18"/>
    <x v="13"/>
    <s v="0    "/>
    <s v="3007388755 Andres -3148623512 "/>
    <n v="30"/>
  </r>
  <r>
    <s v="202601"/>
    <s v="91521121            "/>
    <x v="204"/>
    <x v="13"/>
    <s v="FEDC157326  "/>
    <n v="217456"/>
    <x v="3"/>
    <n v="14"/>
    <d v="2026-01-14T00:00:00"/>
    <d v="2026-02-13T00:00:00"/>
    <x v="18"/>
    <x v="13"/>
    <s v="0    "/>
    <s v="3206429252                    "/>
    <n v="30"/>
  </r>
  <r>
    <s v="202601"/>
    <s v="1038138797          "/>
    <x v="182"/>
    <x v="13"/>
    <s v="FEDC157327  "/>
    <n v="2319129"/>
    <x v="3"/>
    <n v="14"/>
    <d v="2026-01-14T00:00:00"/>
    <d v="2026-02-13T00:00:00"/>
    <x v="18"/>
    <x v="13"/>
    <s v="0    "/>
    <s v="3223117873                    "/>
    <n v="30"/>
  </r>
  <r>
    <s v="202601"/>
    <s v="1127958438          "/>
    <x v="159"/>
    <x v="13"/>
    <s v="FEDC157328  "/>
    <n v="13539191"/>
    <x v="3"/>
    <n v="14"/>
    <d v="2026-01-14T00:00:00"/>
    <d v="2026-02-13T00:00:00"/>
    <x v="18"/>
    <x v="13"/>
    <s v="0    "/>
    <s v="3204475005                    "/>
    <n v="30"/>
  </r>
  <r>
    <s v="202601"/>
    <s v="1127958438          "/>
    <x v="159"/>
    <x v="13"/>
    <s v="FEDC157329  "/>
    <n v="3949995"/>
    <x v="3"/>
    <n v="14"/>
    <d v="2026-01-14T00:00:00"/>
    <d v="2026-02-13T00:00:00"/>
    <x v="18"/>
    <x v="13"/>
    <s v="0    "/>
    <s v="3204475005                    "/>
    <n v="30"/>
  </r>
  <r>
    <s v="202601"/>
    <s v="8372767             "/>
    <x v="414"/>
    <x v="13"/>
    <s v="FEDC157330  "/>
    <n v="1196950"/>
    <x v="3"/>
    <n v="14"/>
    <d v="2026-01-14T00:00:00"/>
    <d v="2026-02-13T00:00:00"/>
    <x v="18"/>
    <x v="11"/>
    <s v="0    "/>
    <s v="3148650886     "/>
    <n v="25"/>
  </r>
  <r>
    <s v="202601"/>
    <s v="1127958438          "/>
    <x v="159"/>
    <x v="13"/>
    <s v="FEDC157331  "/>
    <n v="316000"/>
    <x v="3"/>
    <n v="14"/>
    <d v="2026-01-14T00:00:00"/>
    <d v="2026-02-13T00:00:00"/>
    <x v="18"/>
    <x v="13"/>
    <s v="0    "/>
    <s v="3204475005                    "/>
    <n v="30"/>
  </r>
  <r>
    <s v="202601"/>
    <s v="39279638            "/>
    <x v="282"/>
    <x v="13"/>
    <s v="FEDC157332  "/>
    <n v="2657865"/>
    <x v="3"/>
    <n v="14"/>
    <d v="2026-01-14T00:00:00"/>
    <d v="2026-02-13T00:00:00"/>
    <x v="18"/>
    <x v="13"/>
    <s v="0    "/>
    <s v="3105913666                    "/>
    <n v="30"/>
  </r>
  <r>
    <s v="202601"/>
    <s v="39279638            "/>
    <x v="282"/>
    <x v="13"/>
    <s v="FEDC157333  "/>
    <n v="536311"/>
    <x v="3"/>
    <n v="14"/>
    <d v="2026-01-14T00:00:00"/>
    <d v="2026-02-13T00:00:00"/>
    <x v="18"/>
    <x v="13"/>
    <s v="0    "/>
    <s v="3105913666                    "/>
    <n v="30"/>
  </r>
  <r>
    <s v="202601"/>
    <s v="3443977             "/>
    <x v="351"/>
    <x v="37"/>
    <s v="FEDC157334  "/>
    <n v="129401"/>
    <x v="3"/>
    <n v="14"/>
    <d v="2026-01-14T00:00:00"/>
    <d v="2026-02-13T00:00:00"/>
    <x v="18"/>
    <x v="13"/>
    <s v="0    "/>
    <s v="8394641"/>
    <n v="30"/>
  </r>
  <r>
    <s v="202601"/>
    <s v="1233345840          "/>
    <x v="314"/>
    <x v="13"/>
    <s v="FEDC157336  "/>
    <n v="789291"/>
    <x v="3"/>
    <n v="14"/>
    <d v="2026-01-14T00:00:00"/>
    <d v="2026-02-13T00:00:00"/>
    <x v="18"/>
    <x v="13"/>
    <s v="0    "/>
    <s v="3172967714 -3232010208        "/>
    <n v="30"/>
  </r>
  <r>
    <s v="202601"/>
    <s v="15047058            "/>
    <x v="226"/>
    <x v="37"/>
    <s v="FEDC157337  "/>
    <n v="6345277"/>
    <x v="3"/>
    <n v="14"/>
    <d v="2026-01-14T00:00:00"/>
    <d v="2026-02-13T00:00:00"/>
    <x v="18"/>
    <x v="13"/>
    <s v="0    "/>
    <s v="3226993920     "/>
    <n v="30"/>
  </r>
  <r>
    <s v="202601"/>
    <s v="3443977             "/>
    <x v="351"/>
    <x v="37"/>
    <s v="FEDC157338  "/>
    <n v="462601"/>
    <x v="3"/>
    <n v="14"/>
    <d v="2026-01-14T00:00:00"/>
    <d v="2026-02-13T00:00:00"/>
    <x v="18"/>
    <x v="13"/>
    <s v="0    "/>
    <s v="8394641"/>
    <n v="30"/>
  </r>
  <r>
    <s v="202601"/>
    <s v="15030463            "/>
    <x v="227"/>
    <x v="37"/>
    <s v="FEDC157342  "/>
    <n v="1570001"/>
    <x v="3"/>
    <n v="14"/>
    <d v="2026-01-14T00:00:00"/>
    <d v="2026-02-13T00:00:00"/>
    <x v="18"/>
    <x v="13"/>
    <s v="0    "/>
    <s v="3185068224     "/>
    <n v="30"/>
  </r>
  <r>
    <s v="202601"/>
    <s v="15030463            "/>
    <x v="227"/>
    <x v="37"/>
    <s v="FEDC157343  "/>
    <n v="976000"/>
    <x v="3"/>
    <n v="14"/>
    <d v="2026-01-14T00:00:00"/>
    <d v="2026-02-13T00:00:00"/>
    <x v="18"/>
    <x v="13"/>
    <s v="0    "/>
    <s v="3185068224     "/>
    <n v="30"/>
  </r>
  <r>
    <s v="202601"/>
    <s v="98476266            "/>
    <x v="299"/>
    <x v="12"/>
    <s v="FEDC157352  "/>
    <n v="137987"/>
    <x v="3"/>
    <n v="14"/>
    <d v="2026-01-14T00:00:00"/>
    <d v="2026-02-13T00:00:00"/>
    <x v="18"/>
    <x v="1"/>
    <s v="0    "/>
    <s v="3125541849                    "/>
    <n v="30"/>
  </r>
  <r>
    <s v="202601"/>
    <s v="3443977             "/>
    <x v="351"/>
    <x v="37"/>
    <s v="FEDC157374  "/>
    <n v="771984"/>
    <x v="3"/>
    <n v="14"/>
    <d v="2026-01-14T00:00:00"/>
    <d v="2026-02-13T00:00:00"/>
    <x v="18"/>
    <x v="13"/>
    <s v="0    "/>
    <s v="8394641"/>
    <n v="30"/>
  </r>
  <r>
    <s v="202601"/>
    <s v="890100363-7         "/>
    <x v="104"/>
    <x v="57"/>
    <s v="FEDC157377  "/>
    <n v="309400"/>
    <x v="5"/>
    <n v="14"/>
    <d v="2026-01-14T00:00:00"/>
    <d v="2026-01-15T00:00:00"/>
    <x v="18"/>
    <x v="16"/>
    <s v="0    "/>
    <s v="3716888        "/>
    <n v="30"/>
  </r>
  <r>
    <s v="202601"/>
    <s v="15030463            "/>
    <x v="227"/>
    <x v="37"/>
    <s v="FEDC157405  "/>
    <n v="1356000"/>
    <x v="3"/>
    <n v="14"/>
    <d v="2026-01-14T00:00:00"/>
    <d v="2026-02-13T00:00:00"/>
    <x v="18"/>
    <x v="13"/>
    <s v="0    "/>
    <s v="3185068224     "/>
    <n v="30"/>
  </r>
  <r>
    <s v="202601"/>
    <s v="22246411            "/>
    <x v="403"/>
    <x v="37"/>
    <s v="FEVM44828   "/>
    <n v="42800"/>
    <x v="1"/>
    <n v="14"/>
    <d v="2026-01-14T00:00:00"/>
    <d v="2026-01-29T00:00:00"/>
    <x v="18"/>
    <x v="6"/>
    <s v="0    "/>
    <s v="3104996245     "/>
    <n v="15"/>
  </r>
  <r>
    <s v="202601"/>
    <s v="39287141            "/>
    <x v="415"/>
    <x v="13"/>
    <s v="FEVM44832   "/>
    <n v="689618"/>
    <x v="1"/>
    <n v="14"/>
    <d v="2026-01-14T00:00:00"/>
    <d v="2026-01-29T00:00:00"/>
    <x v="18"/>
    <x v="6"/>
    <s v="0    "/>
    <s v="3207253693     "/>
    <n v="30"/>
  </r>
  <r>
    <s v="202601"/>
    <s v="39276598            "/>
    <x v="416"/>
    <x v="37"/>
    <s v="FEVM44833   "/>
    <n v="420000"/>
    <x v="9"/>
    <n v="14"/>
    <d v="2026-01-14T00:00:00"/>
    <d v="2026-01-24T00:00:00"/>
    <x v="18"/>
    <x v="6"/>
    <s v="0    "/>
    <s v="3128905152     "/>
    <n v="30"/>
  </r>
  <r>
    <s v="202601"/>
    <s v="901264229-0         "/>
    <x v="215"/>
    <x v="68"/>
    <s v="FEVM44839   "/>
    <n v="8924938"/>
    <x v="3"/>
    <n v="14"/>
    <d v="2026-01-14T00:00:00"/>
    <d v="2026-02-13T00:00:00"/>
    <x v="18"/>
    <x v="5"/>
    <s v="0    "/>
    <s v="3167390770                    "/>
    <n v="30"/>
  </r>
  <r>
    <s v="202601"/>
    <s v="901264229-0         "/>
    <x v="215"/>
    <x v="68"/>
    <s v="FEVM44840   "/>
    <n v="3702401"/>
    <x v="3"/>
    <n v="14"/>
    <d v="2026-01-14T00:00:00"/>
    <d v="2026-02-13T00:00:00"/>
    <x v="18"/>
    <x v="5"/>
    <s v="0    "/>
    <s v="3167390770                    "/>
    <n v="30"/>
  </r>
  <r>
    <s v="202601"/>
    <s v="901816917-1         "/>
    <x v="221"/>
    <x v="22"/>
    <s v="FEDC157360  "/>
    <n v="524981"/>
    <x v="3"/>
    <n v="14"/>
    <d v="2026-01-14T00:00:00"/>
    <d v="2026-02-13T00:00:00"/>
    <x v="14"/>
    <x v="4"/>
    <s v="0    "/>
    <s v="3233996696                    "/>
    <n v="30"/>
  </r>
  <r>
    <s v="202601"/>
    <s v="901816917-1         "/>
    <x v="221"/>
    <x v="22"/>
    <s v="FEDC157361  "/>
    <n v="8689757"/>
    <x v="3"/>
    <n v="14"/>
    <d v="2026-01-14T00:00:00"/>
    <d v="2026-02-13T00:00:00"/>
    <x v="14"/>
    <x v="4"/>
    <s v="0    "/>
    <s v="3233996696                    "/>
    <n v="30"/>
  </r>
  <r>
    <s v="202601"/>
    <s v="21920816            "/>
    <x v="417"/>
    <x v="27"/>
    <s v="FEDC157362  "/>
    <n v="895788"/>
    <x v="3"/>
    <n v="14"/>
    <d v="2026-01-14T00:00:00"/>
    <d v="2026-02-13T00:00:00"/>
    <x v="14"/>
    <x v="4"/>
    <s v="0    "/>
    <s v="3103818090                    "/>
    <n v="30"/>
  </r>
  <r>
    <s v="202601"/>
    <s v="70001619            "/>
    <x v="418"/>
    <x v="27"/>
    <s v="FEDC157364  "/>
    <n v="6448007"/>
    <x v="3"/>
    <n v="14"/>
    <d v="2026-01-14T00:00:00"/>
    <d v="2026-02-13T00:00:00"/>
    <x v="14"/>
    <x v="4"/>
    <s v="0    "/>
    <s v="3206764517     "/>
    <n v="30"/>
  </r>
  <r>
    <s v="202601"/>
    <s v="8204172             "/>
    <x v="289"/>
    <x v="27"/>
    <s v="FEDC157365  "/>
    <n v="2144213"/>
    <x v="3"/>
    <n v="14"/>
    <d v="2026-01-14T00:00:00"/>
    <d v="2026-02-13T00:00:00"/>
    <x v="14"/>
    <x v="4"/>
    <s v="0    "/>
    <s v="3104097081 8370555            "/>
    <n v="30"/>
  </r>
  <r>
    <s v="202601"/>
    <s v="8204172             "/>
    <x v="289"/>
    <x v="27"/>
    <s v="FEDC157366  "/>
    <n v="395369"/>
    <x v="3"/>
    <n v="14"/>
    <d v="2026-01-14T00:00:00"/>
    <d v="2026-02-13T00:00:00"/>
    <x v="14"/>
    <x v="4"/>
    <s v="0    "/>
    <s v="3104097081 8370555            "/>
    <n v="30"/>
  </r>
  <r>
    <s v="202601"/>
    <s v="901816917-1         "/>
    <x v="221"/>
    <x v="22"/>
    <s v="FEDC157373  "/>
    <n v="6138387"/>
    <x v="3"/>
    <n v="14"/>
    <d v="2026-01-14T00:00:00"/>
    <d v="2026-02-13T00:00:00"/>
    <x v="14"/>
    <x v="4"/>
    <s v="0    "/>
    <s v="3233996696                    "/>
    <n v="30"/>
  </r>
  <r>
    <s v="202601"/>
    <s v="901933116           "/>
    <x v="290"/>
    <x v="86"/>
    <s v="FEDC157379  "/>
    <n v="5428799"/>
    <x v="3"/>
    <n v="14"/>
    <d v="2026-01-14T00:00:00"/>
    <d v="2026-02-13T00:00:00"/>
    <x v="14"/>
    <x v="4"/>
    <s v="0    "/>
    <s v="3128202172                    "/>
    <n v="30"/>
  </r>
  <r>
    <s v="202601"/>
    <s v="26230803-9          "/>
    <x v="198"/>
    <x v="75"/>
    <s v="FEDC157382  "/>
    <n v="1"/>
    <x v="5"/>
    <n v="14"/>
    <d v="2026-01-14T00:00:00"/>
    <d v="2026-01-15T00:00:00"/>
    <x v="14"/>
    <x v="5"/>
    <s v="0    "/>
    <s v="3108901980                    "/>
    <n v="30"/>
  </r>
  <r>
    <s v="202601"/>
    <s v="1152210244          "/>
    <x v="62"/>
    <x v="1"/>
    <s v="FEDC157443  "/>
    <n v="148800"/>
    <x v="3"/>
    <n v="14"/>
    <d v="2026-01-14T00:00:00"/>
    <d v="2026-02-13T00:00:00"/>
    <x v="1"/>
    <x v="12"/>
    <s v="0    "/>
    <s v="3205555535                    "/>
    <n v="30"/>
  </r>
  <r>
    <s v="202601"/>
    <s v="78301453            "/>
    <x v="262"/>
    <x v="2"/>
    <s v="FEDC157444  "/>
    <n v="5190579"/>
    <x v="3"/>
    <n v="14"/>
    <d v="2026-01-14T00:00:00"/>
    <d v="2026-02-13T00:00:00"/>
    <x v="1"/>
    <x v="12"/>
    <s v="0    "/>
    <s v="721821                        "/>
    <n v="30"/>
  </r>
  <r>
    <s v="202601"/>
    <s v="92230646-9          "/>
    <x v="142"/>
    <x v="1"/>
    <s v="FEDC157446  "/>
    <n v="2430815"/>
    <x v="3"/>
    <n v="14"/>
    <d v="2026-01-14T00:00:00"/>
    <d v="2026-02-13T00:00:00"/>
    <x v="1"/>
    <x v="12"/>
    <s v="0    "/>
    <s v="3137991253                    "/>
    <n v="30"/>
  </r>
  <r>
    <s v="202601"/>
    <s v="8039801             "/>
    <x v="254"/>
    <x v="2"/>
    <s v="FEDC157447  "/>
    <n v="841683"/>
    <x v="3"/>
    <n v="14"/>
    <d v="2026-01-14T00:00:00"/>
    <d v="2026-02-13T00:00:00"/>
    <x v="1"/>
    <x v="12"/>
    <s v="0    "/>
    <s v="3137338262                    "/>
    <n v="30"/>
  </r>
  <r>
    <s v="202601"/>
    <s v="901972197           "/>
    <x v="255"/>
    <x v="1"/>
    <s v="FEDC157449  "/>
    <n v="1232191"/>
    <x v="3"/>
    <n v="14"/>
    <d v="2026-01-14T00:00:00"/>
    <d v="2026-02-13T00:00:00"/>
    <x v="1"/>
    <x v="12"/>
    <s v="0    "/>
    <s v="3215776957                    "/>
    <n v="30"/>
  </r>
  <r>
    <s v="202601"/>
    <s v="1152210244          "/>
    <x v="62"/>
    <x v="1"/>
    <s v="FEDC157451  "/>
    <n v="784581"/>
    <x v="3"/>
    <n v="14"/>
    <d v="2026-01-14T00:00:00"/>
    <d v="2026-02-13T00:00:00"/>
    <x v="1"/>
    <x v="12"/>
    <s v="0    "/>
    <s v="3205555535                    "/>
    <n v="30"/>
  </r>
  <r>
    <s v="202601"/>
    <s v="1047403252          "/>
    <x v="111"/>
    <x v="2"/>
    <s v="FEDC157452  "/>
    <n v="1537017"/>
    <x v="3"/>
    <n v="14"/>
    <d v="2026-01-14T00:00:00"/>
    <d v="2026-02-13T00:00:00"/>
    <x v="1"/>
    <x v="12"/>
    <s v="0    "/>
    <s v="3117322753 -7767418           "/>
    <n v="30"/>
  </r>
  <r>
    <s v="202601"/>
    <s v="901349219-3         "/>
    <x v="133"/>
    <x v="1"/>
    <s v="FEDC157453  "/>
    <n v="2817075"/>
    <x v="3"/>
    <n v="14"/>
    <d v="2026-01-14T00:00:00"/>
    <d v="2026-02-13T00:00:00"/>
    <x v="1"/>
    <x v="15"/>
    <s v="0    "/>
    <s v="3156264634- 7721444           "/>
    <n v="30"/>
  </r>
  <r>
    <s v="202601"/>
    <s v="901349219-3         "/>
    <x v="133"/>
    <x v="1"/>
    <s v="FEDC157454  "/>
    <n v="2667645"/>
    <x v="3"/>
    <n v="14"/>
    <d v="2026-01-14T00:00:00"/>
    <d v="2026-02-13T00:00:00"/>
    <x v="1"/>
    <x v="15"/>
    <s v="0    "/>
    <s v="3156264634- 7721444           "/>
    <n v="30"/>
  </r>
  <r>
    <s v="202601"/>
    <s v="901349219-3         "/>
    <x v="133"/>
    <x v="1"/>
    <s v="FEDC157455  "/>
    <n v="7016248"/>
    <x v="3"/>
    <n v="14"/>
    <d v="2026-01-14T00:00:00"/>
    <d v="2026-02-13T00:00:00"/>
    <x v="1"/>
    <x v="5"/>
    <s v="0    "/>
    <s v="3156264634- 7721444           "/>
    <n v="30"/>
  </r>
  <r>
    <s v="202601"/>
    <s v="901349219-3         "/>
    <x v="133"/>
    <x v="1"/>
    <s v="FEDC157456  "/>
    <n v="8494249"/>
    <x v="3"/>
    <n v="14"/>
    <d v="2026-01-14T00:00:00"/>
    <d v="2026-02-13T00:00:00"/>
    <x v="1"/>
    <x v="5"/>
    <s v="0    "/>
    <s v="3156264634- 7721444           "/>
    <n v="30"/>
  </r>
  <r>
    <s v="202601"/>
    <s v="901349219-3         "/>
    <x v="133"/>
    <x v="1"/>
    <s v="FEDC157457  "/>
    <n v="9911614"/>
    <x v="3"/>
    <n v="14"/>
    <d v="2026-01-14T00:00:00"/>
    <d v="2026-02-13T00:00:00"/>
    <x v="1"/>
    <x v="5"/>
    <s v="0    "/>
    <s v="3156264634- 7721444           "/>
    <n v="30"/>
  </r>
  <r>
    <s v="202601"/>
    <s v="901349219-3         "/>
    <x v="133"/>
    <x v="1"/>
    <s v="FEDC157458  "/>
    <n v="2175876"/>
    <x v="3"/>
    <n v="14"/>
    <d v="2026-01-14T00:00:00"/>
    <d v="2026-02-13T00:00:00"/>
    <x v="1"/>
    <x v="5"/>
    <s v="0    "/>
    <s v="3156264634- 7721444           "/>
    <n v="30"/>
  </r>
  <r>
    <s v="202601"/>
    <s v="50949659            "/>
    <x v="144"/>
    <x v="16"/>
    <s v="FEDC157421  "/>
    <n v="958797"/>
    <x v="3"/>
    <n v="14"/>
    <d v="2026-01-14T00:00:00"/>
    <d v="2026-02-13T00:00:00"/>
    <x v="20"/>
    <x v="8"/>
    <s v="0    "/>
    <s v="3138351535                    "/>
    <n v="30"/>
  </r>
  <r>
    <s v="202601"/>
    <s v="1104430584          "/>
    <x v="153"/>
    <x v="16"/>
    <s v="FEDC157422  "/>
    <n v="523845"/>
    <x v="3"/>
    <n v="14"/>
    <d v="2026-01-14T00:00:00"/>
    <d v="2026-02-13T00:00:00"/>
    <x v="20"/>
    <x v="8"/>
    <s v="0    "/>
    <s v="3107047714-3015586055         "/>
    <n v="30"/>
  </r>
  <r>
    <s v="202601"/>
    <s v="10886435            "/>
    <x v="154"/>
    <x v="16"/>
    <s v="FEDC157425  "/>
    <n v="3318490"/>
    <x v="3"/>
    <n v="14"/>
    <d v="2026-01-14T00:00:00"/>
    <d v="2026-02-13T00:00:00"/>
    <x v="20"/>
    <x v="8"/>
    <s v="0    "/>
    <s v="3214898085                    "/>
    <n v="30"/>
  </r>
  <r>
    <s v="202601"/>
    <s v="34947918            "/>
    <x v="273"/>
    <x v="16"/>
    <s v="FEDC157427  "/>
    <n v="316427"/>
    <x v="3"/>
    <n v="14"/>
    <d v="2026-01-14T00:00:00"/>
    <d v="2026-02-13T00:00:00"/>
    <x v="20"/>
    <x v="8"/>
    <s v="0    "/>
    <s v="3226534046                    "/>
    <n v="30"/>
  </r>
  <r>
    <s v="202601"/>
    <s v="34947918            "/>
    <x v="273"/>
    <x v="16"/>
    <s v="FEDC157428  "/>
    <n v="738192"/>
    <x v="3"/>
    <n v="14"/>
    <d v="2026-01-14T00:00:00"/>
    <d v="2026-02-13T00:00:00"/>
    <x v="20"/>
    <x v="8"/>
    <s v="0    "/>
    <s v="3226534046                    "/>
    <n v="30"/>
  </r>
  <r>
    <s v="202601"/>
    <s v="8742205             "/>
    <x v="419"/>
    <x v="91"/>
    <s v="FEDC157430  "/>
    <n v="1786332"/>
    <x v="3"/>
    <n v="14"/>
    <d v="2026-01-14T00:00:00"/>
    <d v="2026-02-13T00:00:00"/>
    <x v="20"/>
    <x v="8"/>
    <s v="0    "/>
    <s v="3114146917 - 2954433          "/>
    <n v="30"/>
  </r>
  <r>
    <s v="202601"/>
    <s v="6700758             "/>
    <x v="185"/>
    <x v="60"/>
    <s v="FEDC157357  "/>
    <n v="1768259"/>
    <x v="3"/>
    <n v="14"/>
    <d v="2026-01-14T00:00:00"/>
    <d v="2026-02-13T00:00:00"/>
    <x v="49"/>
    <x v="1"/>
    <s v="0    "/>
    <s v="3113518364     "/>
    <n v="30"/>
  </r>
  <r>
    <s v="202601"/>
    <s v="8362928             "/>
    <x v="420"/>
    <x v="12"/>
    <s v="FEDC157344  "/>
    <n v="16720502"/>
    <x v="3"/>
    <n v="14"/>
    <d v="2026-01-14T00:00:00"/>
    <d v="2026-02-13T00:00:00"/>
    <x v="9"/>
    <x v="1"/>
    <s v="0    "/>
    <s v="3146478384 - 3106734221       "/>
    <n v="30"/>
  </r>
  <r>
    <s v="202601"/>
    <s v="98476266            "/>
    <x v="299"/>
    <x v="12"/>
    <s v="FEDC157347  "/>
    <n v="3677082"/>
    <x v="3"/>
    <n v="14"/>
    <d v="2026-01-14T00:00:00"/>
    <d v="2026-02-13T00:00:00"/>
    <x v="9"/>
    <x v="1"/>
    <s v="0    "/>
    <s v="3125541849                    "/>
    <n v="30"/>
  </r>
  <r>
    <s v="202601"/>
    <s v="78032182            "/>
    <x v="214"/>
    <x v="60"/>
    <s v="FEDC157353  "/>
    <n v="7921887"/>
    <x v="3"/>
    <n v="14"/>
    <d v="2026-01-14T00:00:00"/>
    <d v="2026-02-13T00:00:00"/>
    <x v="9"/>
    <x v="1"/>
    <s v="0    "/>
    <s v="3205713141 -3148890308        "/>
    <n v="30"/>
  </r>
  <r>
    <s v="202601"/>
    <s v="70525701            "/>
    <x v="421"/>
    <x v="60"/>
    <s v="FEDC157355  "/>
    <n v="833076"/>
    <x v="1"/>
    <n v="14"/>
    <d v="2026-01-14T00:00:00"/>
    <d v="2026-01-29T00:00:00"/>
    <x v="9"/>
    <x v="1"/>
    <s v="2    "/>
    <s v="3202100435                    "/>
    <n v="15"/>
  </r>
  <r>
    <s v="202601"/>
    <s v="8203925             "/>
    <x v="300"/>
    <x v="12"/>
    <s v="FEDC157359  "/>
    <n v="22809703"/>
    <x v="3"/>
    <n v="14"/>
    <d v="2026-01-14T00:00:00"/>
    <d v="2026-02-13T00:00:00"/>
    <x v="9"/>
    <x v="1"/>
    <s v="0    "/>
    <s v="322 5264648                   "/>
    <n v="30"/>
  </r>
  <r>
    <s v="202601"/>
    <s v="26230803-9          "/>
    <x v="198"/>
    <x v="75"/>
    <s v="FEDC157380  "/>
    <n v="3949995"/>
    <x v="3"/>
    <n v="14"/>
    <d v="2026-01-14T00:00:00"/>
    <d v="2026-02-13T00:00:00"/>
    <x v="3"/>
    <x v="1"/>
    <s v="0    "/>
    <s v="3108901980                    "/>
    <n v="30"/>
  </r>
  <r>
    <s v="202601"/>
    <s v="26230803-9          "/>
    <x v="198"/>
    <x v="75"/>
    <s v="FEDC157381  "/>
    <n v="268452"/>
    <x v="3"/>
    <n v="14"/>
    <d v="2026-01-14T00:00:00"/>
    <d v="2026-02-13T00:00:00"/>
    <x v="3"/>
    <x v="5"/>
    <s v="0    "/>
    <s v="3108901980                    "/>
    <n v="30"/>
  </r>
  <r>
    <s v="202601"/>
    <s v="26230803-9          "/>
    <x v="198"/>
    <x v="75"/>
    <s v="FEDC157383  "/>
    <n v="517401"/>
    <x v="3"/>
    <n v="14"/>
    <d v="2026-01-14T00:00:00"/>
    <d v="2026-02-13T00:00:00"/>
    <x v="3"/>
    <x v="15"/>
    <s v="0    "/>
    <s v="3108901980                    "/>
    <n v="30"/>
  </r>
  <r>
    <s v="202601"/>
    <s v="10770798            "/>
    <x v="259"/>
    <x v="4"/>
    <s v="FEDC157384  "/>
    <n v="1898064"/>
    <x v="3"/>
    <n v="14"/>
    <d v="2026-01-14T00:00:00"/>
    <d v="2026-02-13T00:00:00"/>
    <x v="3"/>
    <x v="1"/>
    <s v="1    "/>
    <s v="3108204786                    "/>
    <n v="30"/>
  </r>
  <r>
    <s v="202601"/>
    <s v="900540697           "/>
    <x v="140"/>
    <x v="67"/>
    <s v="FEVM44847   "/>
    <n v="4082400"/>
    <x v="3"/>
    <n v="14"/>
    <d v="2026-01-14T00:00:00"/>
    <d v="2026-02-13T00:00:00"/>
    <x v="3"/>
    <x v="11"/>
    <s v="0    "/>
    <s v="3218037194                    "/>
    <n v="30"/>
  </r>
  <r>
    <s v="202601"/>
    <s v="34946043            "/>
    <x v="272"/>
    <x v="83"/>
    <s v="FEDC157424  "/>
    <n v="630608"/>
    <x v="3"/>
    <n v="14"/>
    <d v="2026-01-14T00:00:00"/>
    <d v="2026-02-13T00:00:00"/>
    <x v="17"/>
    <x v="8"/>
    <s v="0    "/>
    <s v="3107216356                    "/>
    <n v="30"/>
  </r>
  <r>
    <s v="202601"/>
    <s v="32271198            "/>
    <x v="19"/>
    <x v="3"/>
    <s v="FEDC157387  "/>
    <n v="7858717"/>
    <x v="5"/>
    <n v="14"/>
    <d v="2026-01-14T00:00:00"/>
    <d v="2026-01-15T00:00:00"/>
    <x v="2"/>
    <x v="9"/>
    <s v="0    "/>
    <s v="3117190379     "/>
    <n v="1"/>
  </r>
  <r>
    <s v="202601"/>
    <s v="32271198            "/>
    <x v="19"/>
    <x v="3"/>
    <s v="FEDC157388  "/>
    <n v="5730003"/>
    <x v="5"/>
    <n v="14"/>
    <d v="2026-01-14T00:00:00"/>
    <d v="2026-01-15T00:00:00"/>
    <x v="2"/>
    <x v="9"/>
    <s v="0    "/>
    <s v="3117190379     "/>
    <n v="1"/>
  </r>
  <r>
    <s v="202601"/>
    <s v="43803759            "/>
    <x v="422"/>
    <x v="3"/>
    <s v="FEDC157389  "/>
    <n v="383400"/>
    <x v="3"/>
    <n v="14"/>
    <d v="2026-01-14T00:00:00"/>
    <d v="2026-02-13T00:00:00"/>
    <x v="2"/>
    <x v="9"/>
    <s v="0    "/>
    <s v="3117051671"/>
    <n v="30"/>
  </r>
  <r>
    <s v="202601"/>
    <s v="43803759            "/>
    <x v="422"/>
    <x v="3"/>
    <s v="FEDC157390  "/>
    <n v="923071"/>
    <x v="3"/>
    <n v="14"/>
    <d v="2026-01-14T00:00:00"/>
    <d v="2026-02-13T00:00:00"/>
    <x v="2"/>
    <x v="9"/>
    <s v="0    "/>
    <s v="3117051671"/>
    <n v="30"/>
  </r>
  <r>
    <s v="202601"/>
    <s v="71256025            "/>
    <x v="116"/>
    <x v="46"/>
    <s v="FEDC157391  "/>
    <n v="627341"/>
    <x v="3"/>
    <n v="14"/>
    <d v="2026-01-14T00:00:00"/>
    <d v="2026-02-13T00:00:00"/>
    <x v="2"/>
    <x v="9"/>
    <s v="0    "/>
    <s v="3008137639                    "/>
    <n v="30"/>
  </r>
  <r>
    <s v="202601"/>
    <s v="1041256612          "/>
    <x v="80"/>
    <x v="46"/>
    <s v="FEDC157392  "/>
    <n v="600400"/>
    <x v="3"/>
    <n v="14"/>
    <d v="2026-01-14T00:00:00"/>
    <d v="2026-02-13T00:00:00"/>
    <x v="2"/>
    <x v="9"/>
    <s v="0    "/>
    <s v="3106053105                    "/>
    <n v="30"/>
  </r>
  <r>
    <s v="202601"/>
    <s v="1041256612          "/>
    <x v="80"/>
    <x v="46"/>
    <s v="FEDC157393  "/>
    <n v="356095"/>
    <x v="3"/>
    <n v="14"/>
    <d v="2026-01-14T00:00:00"/>
    <d v="2026-02-13T00:00:00"/>
    <x v="2"/>
    <x v="9"/>
    <s v="0    "/>
    <s v="3106053105                    "/>
    <n v="30"/>
  </r>
  <r>
    <s v="202601"/>
    <s v="70163318            "/>
    <x v="121"/>
    <x v="46"/>
    <s v="FEDC157396  "/>
    <n v="2619903"/>
    <x v="3"/>
    <n v="14"/>
    <d v="2026-01-14T00:00:00"/>
    <d v="2026-02-13T00:00:00"/>
    <x v="2"/>
    <x v="9"/>
    <s v="0    "/>
    <s v="3148732837 -3146457008Cesar   "/>
    <n v="30"/>
  </r>
  <r>
    <s v="202601"/>
    <s v="8173730             "/>
    <x v="174"/>
    <x v="3"/>
    <s v="FEDC157397  "/>
    <n v="508800"/>
    <x v="3"/>
    <n v="14"/>
    <d v="2026-01-14T00:00:00"/>
    <d v="2026-02-13T00:00:00"/>
    <x v="2"/>
    <x v="9"/>
    <s v="0    "/>
    <s v="3123817408                    "/>
    <n v="1"/>
  </r>
  <r>
    <s v="202601"/>
    <s v="8173730             "/>
    <x v="174"/>
    <x v="3"/>
    <s v="FEDC157398  "/>
    <n v="491638"/>
    <x v="3"/>
    <n v="14"/>
    <d v="2026-01-14T00:00:00"/>
    <d v="2026-02-13T00:00:00"/>
    <x v="2"/>
    <x v="9"/>
    <s v="0    "/>
    <s v="3123817408                    "/>
    <n v="1"/>
  </r>
  <r>
    <s v="202601"/>
    <s v="10766878            "/>
    <x v="188"/>
    <x v="46"/>
    <s v="FEDC157399  "/>
    <n v="339264"/>
    <x v="3"/>
    <n v="14"/>
    <d v="2026-01-14T00:00:00"/>
    <d v="2026-02-13T00:00:00"/>
    <x v="2"/>
    <x v="9"/>
    <s v="0    "/>
    <s v="3135734283                    "/>
    <n v="30"/>
  </r>
  <r>
    <s v="202601"/>
    <s v="10766878            "/>
    <x v="188"/>
    <x v="46"/>
    <s v="FEDC157400  "/>
    <n v="666133"/>
    <x v="3"/>
    <n v="14"/>
    <d v="2026-01-14T00:00:00"/>
    <d v="2026-02-13T00:00:00"/>
    <x v="2"/>
    <x v="9"/>
    <s v="0    "/>
    <s v="3135734283                    "/>
    <n v="30"/>
  </r>
  <r>
    <s v="202601"/>
    <s v="71985799            "/>
    <x v="423"/>
    <x v="46"/>
    <s v="FEDC157402  "/>
    <n v="805980"/>
    <x v="3"/>
    <n v="14"/>
    <d v="2026-01-14T00:00:00"/>
    <d v="2026-02-13T00:00:00"/>
    <x v="2"/>
    <x v="9"/>
    <s v="0    "/>
    <s v="321 8028006                   "/>
    <n v="30"/>
  </r>
  <r>
    <s v="202601"/>
    <s v="32253467            "/>
    <x v="424"/>
    <x v="3"/>
    <s v="FEDC157409  "/>
    <n v="586000"/>
    <x v="3"/>
    <n v="14"/>
    <d v="2026-01-14T00:00:00"/>
    <d v="2026-02-13T00:00:00"/>
    <x v="2"/>
    <x v="9"/>
    <s v="0    "/>
    <s v="3146376456"/>
    <n v="30"/>
  </r>
  <r>
    <s v="202601"/>
    <s v="32253467            "/>
    <x v="424"/>
    <x v="3"/>
    <s v="FEDC157410  "/>
    <n v="1229628"/>
    <x v="3"/>
    <n v="14"/>
    <d v="2026-01-14T00:00:00"/>
    <d v="2026-02-13T00:00:00"/>
    <x v="2"/>
    <x v="9"/>
    <s v="0    "/>
    <s v="3146376456"/>
    <n v="30"/>
  </r>
  <r>
    <s v="202601"/>
    <s v="1001747661          "/>
    <x v="425"/>
    <x v="46"/>
    <s v="FEDC157411  "/>
    <n v="553000"/>
    <x v="3"/>
    <n v="14"/>
    <d v="2026-01-14T00:00:00"/>
    <d v="2026-02-13T00:00:00"/>
    <x v="2"/>
    <x v="9"/>
    <s v="0    "/>
    <s v="3106205421                    "/>
    <n v="30"/>
  </r>
  <r>
    <s v="202601"/>
    <s v="1001747661          "/>
    <x v="425"/>
    <x v="46"/>
    <s v="FEDC157412  "/>
    <n v="1069756"/>
    <x v="3"/>
    <n v="14"/>
    <d v="2026-01-14T00:00:00"/>
    <d v="2026-02-13T00:00:00"/>
    <x v="2"/>
    <x v="9"/>
    <s v="0    "/>
    <s v="3106205421                    "/>
    <n v="30"/>
  </r>
  <r>
    <s v="202601"/>
    <s v="78240006            "/>
    <x v="176"/>
    <x v="46"/>
    <s v="FEDC157413  "/>
    <n v="406300"/>
    <x v="3"/>
    <n v="14"/>
    <d v="2026-01-14T00:00:00"/>
    <d v="2026-02-13T00:00:00"/>
    <x v="2"/>
    <x v="9"/>
    <s v="0    "/>
    <s v="3122821283     "/>
    <n v="30"/>
  </r>
  <r>
    <s v="202601"/>
    <s v="32251628            "/>
    <x v="309"/>
    <x v="46"/>
    <s v="FEDC157414  "/>
    <n v="300200"/>
    <x v="1"/>
    <n v="14"/>
    <d v="2026-01-14T00:00:00"/>
    <d v="2026-01-29T00:00:00"/>
    <x v="2"/>
    <x v="9"/>
    <s v="0    "/>
    <s v="3164025498                    "/>
    <n v="1"/>
  </r>
  <r>
    <s v="202601"/>
    <s v="1104424316          "/>
    <x v="158"/>
    <x v="43"/>
    <s v="FEDC157420  "/>
    <n v="7709713"/>
    <x v="3"/>
    <n v="14"/>
    <d v="2026-01-14T00:00:00"/>
    <d v="2026-02-13T00:00:00"/>
    <x v="34"/>
    <x v="8"/>
    <s v="0    "/>
    <s v="3232448565                    "/>
    <n v="30"/>
  </r>
  <r>
    <s v="202601"/>
    <s v="1005682618          "/>
    <x v="76"/>
    <x v="43"/>
    <s v="FEDC157426  "/>
    <n v="2746141"/>
    <x v="3"/>
    <n v="14"/>
    <d v="2026-01-14T00:00:00"/>
    <d v="2026-02-13T00:00:00"/>
    <x v="34"/>
    <x v="8"/>
    <s v="0    "/>
    <s v="3234961674                    "/>
    <n v="30"/>
  </r>
  <r>
    <s v="202601"/>
    <s v="1104424316          "/>
    <x v="158"/>
    <x v="43"/>
    <s v="FEDC157429  "/>
    <n v="923987"/>
    <x v="3"/>
    <n v="14"/>
    <d v="2026-01-14T00:00:00"/>
    <d v="2026-02-13T00:00:00"/>
    <x v="34"/>
    <x v="8"/>
    <s v="0    "/>
    <s v="3232448565                    "/>
    <n v="30"/>
  </r>
  <r>
    <s v="202601"/>
    <s v="1193318371          "/>
    <x v="149"/>
    <x v="43"/>
    <s v="FEDC157431  "/>
    <n v="3686494"/>
    <x v="3"/>
    <n v="14"/>
    <d v="2026-01-14T00:00:00"/>
    <d v="2026-02-13T00:00:00"/>
    <x v="34"/>
    <x v="8"/>
    <s v="0    "/>
    <s v="3138319028                    "/>
    <n v="1"/>
  </r>
  <r>
    <s v="202601"/>
    <s v="72212007            "/>
    <x v="87"/>
    <x v="49"/>
    <s v="FEDC157435  "/>
    <n v="2977913"/>
    <x v="3"/>
    <n v="14"/>
    <d v="2026-01-14T00:00:00"/>
    <d v="2026-02-13T00:00:00"/>
    <x v="34"/>
    <x v="8"/>
    <s v="0    "/>
    <s v="3107074324     "/>
    <n v="30"/>
  </r>
  <r>
    <s v="202601"/>
    <s v="72212007            "/>
    <x v="87"/>
    <x v="49"/>
    <s v="FEDC157436  "/>
    <n v="373630"/>
    <x v="3"/>
    <n v="14"/>
    <d v="2026-01-14T00:00:00"/>
    <d v="2026-02-13T00:00:00"/>
    <x v="34"/>
    <x v="8"/>
    <s v="0    "/>
    <s v="3107074324     "/>
    <n v="30"/>
  </r>
  <r>
    <s v="202601"/>
    <s v="1005682618          "/>
    <x v="76"/>
    <x v="43"/>
    <s v="FEDC157437  "/>
    <n v="390380"/>
    <x v="3"/>
    <n v="14"/>
    <d v="2026-01-14T00:00:00"/>
    <d v="2026-02-13T00:00:00"/>
    <x v="34"/>
    <x v="8"/>
    <s v="0    "/>
    <s v="3234961674                    "/>
    <n v="30"/>
  </r>
  <r>
    <s v="202601"/>
    <s v="1005682618          "/>
    <x v="76"/>
    <x v="43"/>
    <s v="FEDC157438  "/>
    <n v="15336216"/>
    <x v="3"/>
    <n v="14"/>
    <d v="2026-01-14T00:00:00"/>
    <d v="2026-02-13T00:00:00"/>
    <x v="34"/>
    <x v="8"/>
    <s v="0    "/>
    <s v="3234961674                    "/>
    <n v="30"/>
  </r>
  <r>
    <s v="202601"/>
    <s v="1045019250          "/>
    <x v="157"/>
    <x v="16"/>
    <s v="FEDC157423  "/>
    <n v="4560287"/>
    <x v="3"/>
    <n v="14"/>
    <d v="2026-01-14T00:00:00"/>
    <d v="2026-02-13T00:00:00"/>
    <x v="52"/>
    <x v="8"/>
    <s v="0    "/>
    <s v="3126151011     "/>
    <n v="30"/>
  </r>
  <r>
    <s v="202601"/>
    <s v="1045019250          "/>
    <x v="157"/>
    <x v="16"/>
    <s v="FEDC157433  "/>
    <n v="5904938"/>
    <x v="3"/>
    <n v="14"/>
    <d v="2026-01-14T00:00:00"/>
    <d v="2026-02-13T00:00:00"/>
    <x v="52"/>
    <x v="8"/>
    <s v="0    "/>
    <s v="3126151011     "/>
    <n v="30"/>
  </r>
  <r>
    <s v="202601"/>
    <s v="15047058            "/>
    <x v="226"/>
    <x v="37"/>
    <s v="FEDC157463  "/>
    <n v="1237444"/>
    <x v="3"/>
    <n v="13"/>
    <d v="2026-01-15T00:00:00"/>
    <d v="2026-02-14T00:00:00"/>
    <x v="18"/>
    <x v="13"/>
    <s v="0    "/>
    <s v="3226993920     "/>
    <n v="30"/>
  </r>
  <r>
    <s v="202601"/>
    <s v="1038138797          "/>
    <x v="182"/>
    <x v="13"/>
    <s v="FEDC157464  "/>
    <n v="1209016"/>
    <x v="3"/>
    <n v="13"/>
    <d v="2026-01-15T00:00:00"/>
    <d v="2026-02-14T00:00:00"/>
    <x v="18"/>
    <x v="13"/>
    <s v="0    "/>
    <s v="3223117873                    "/>
    <n v="30"/>
  </r>
  <r>
    <s v="202601"/>
    <s v="1045019242          "/>
    <x v="426"/>
    <x v="13"/>
    <s v="FEDC157465  "/>
    <n v="504000"/>
    <x v="9"/>
    <n v="13"/>
    <d v="2026-01-15T00:00:00"/>
    <d v="2026-01-25T00:00:00"/>
    <x v="18"/>
    <x v="13"/>
    <s v="0    "/>
    <s v="3148839755     "/>
    <n v="30"/>
  </r>
  <r>
    <s v="202601"/>
    <s v="1045019242          "/>
    <x v="426"/>
    <x v="13"/>
    <s v="FEDC157466  "/>
    <n v="275621"/>
    <x v="3"/>
    <n v="13"/>
    <d v="2026-01-15T00:00:00"/>
    <d v="2026-02-14T00:00:00"/>
    <x v="18"/>
    <x v="13"/>
    <s v="0    "/>
    <s v="3148839755     "/>
    <n v="30"/>
  </r>
  <r>
    <s v="202601"/>
    <s v="98654842            "/>
    <x v="267"/>
    <x v="13"/>
    <s v="FEDC157467  "/>
    <n v="2106480"/>
    <x v="3"/>
    <n v="13"/>
    <d v="2026-01-15T00:00:00"/>
    <d v="2026-02-14T00:00:00"/>
    <x v="18"/>
    <x v="13"/>
    <s v="0    "/>
    <s v="3209042070                    "/>
    <n v="30"/>
  </r>
  <r>
    <s v="202601"/>
    <s v="3909678             "/>
    <x v="313"/>
    <x v="37"/>
    <s v="FEDC157468  "/>
    <n v="3931109"/>
    <x v="3"/>
    <n v="13"/>
    <d v="2026-01-15T00:00:00"/>
    <d v="2026-02-14T00:00:00"/>
    <x v="18"/>
    <x v="13"/>
    <s v="0    "/>
    <s v="3113205121"/>
    <n v="30"/>
  </r>
  <r>
    <s v="202601"/>
    <s v="3909678             "/>
    <x v="313"/>
    <x v="37"/>
    <s v="FEDC157470  "/>
    <n v="630000"/>
    <x v="9"/>
    <n v="13"/>
    <d v="2026-01-15T00:00:00"/>
    <d v="2026-01-25T00:00:00"/>
    <x v="18"/>
    <x v="13"/>
    <s v="0    "/>
    <s v="3113205121"/>
    <n v="30"/>
  </r>
  <r>
    <s v="202601"/>
    <s v="15305762            "/>
    <x v="427"/>
    <x v="37"/>
    <s v="FEDC157471  "/>
    <n v="4200000"/>
    <x v="9"/>
    <n v="13"/>
    <d v="2026-01-15T00:00:00"/>
    <d v="2026-01-25T00:00:00"/>
    <x v="18"/>
    <x v="13"/>
    <s v="0    "/>
    <s v="3148337839 -3147738185        "/>
    <n v="30"/>
  </r>
  <r>
    <s v="202601"/>
    <s v="15047058            "/>
    <x v="226"/>
    <x v="37"/>
    <s v="FEDC157473  "/>
    <n v="316000"/>
    <x v="3"/>
    <n v="13"/>
    <d v="2026-01-15T00:00:00"/>
    <d v="2026-02-14T00:00:00"/>
    <x v="18"/>
    <x v="13"/>
    <s v="0    "/>
    <s v="3226993920     "/>
    <n v="30"/>
  </r>
  <r>
    <s v="202601"/>
    <s v="15047058            "/>
    <x v="226"/>
    <x v="37"/>
    <s v="FEDC157474  "/>
    <n v="3949995"/>
    <x v="3"/>
    <n v="13"/>
    <d v="2026-01-15T00:00:00"/>
    <d v="2026-02-14T00:00:00"/>
    <x v="18"/>
    <x v="13"/>
    <s v="0    "/>
    <s v="3226993920     "/>
    <n v="30"/>
  </r>
  <r>
    <s v="202601"/>
    <s v="39270593            "/>
    <x v="428"/>
    <x v="37"/>
    <s v="FEDC157475  "/>
    <n v="1260000"/>
    <x v="9"/>
    <n v="13"/>
    <d v="2026-01-15T00:00:00"/>
    <d v="2026-01-25T00:00:00"/>
    <x v="18"/>
    <x v="13"/>
    <s v="0    "/>
    <s v="3137303548     "/>
    <n v="30"/>
  </r>
  <r>
    <s v="202601"/>
    <s v="39270593            "/>
    <x v="428"/>
    <x v="37"/>
    <s v="FEDC157476  "/>
    <n v="865211"/>
    <x v="3"/>
    <n v="13"/>
    <d v="2026-01-15T00:00:00"/>
    <d v="2026-02-14T00:00:00"/>
    <x v="18"/>
    <x v="13"/>
    <s v="0    "/>
    <s v="3137303548     "/>
    <n v="30"/>
  </r>
  <r>
    <s v="202601"/>
    <s v="39283083            "/>
    <x v="391"/>
    <x v="37"/>
    <s v="FEDC157477  "/>
    <n v="840000"/>
    <x v="9"/>
    <n v="13"/>
    <d v="2026-01-15T00:00:00"/>
    <d v="2026-01-25T00:00:00"/>
    <x v="18"/>
    <x v="13"/>
    <s v="0    "/>
    <s v="3148477868-3113235407         "/>
    <n v="30"/>
  </r>
  <r>
    <s v="202601"/>
    <s v="32561626-3          "/>
    <x v="328"/>
    <x v="13"/>
    <s v="FEDC157478  "/>
    <n v="136499"/>
    <x v="3"/>
    <n v="13"/>
    <d v="2026-01-15T00:00:00"/>
    <d v="2026-02-14T00:00:00"/>
    <x v="18"/>
    <x v="4"/>
    <s v="0    "/>
    <s v="3104427984-3146841981         "/>
    <n v="30"/>
  </r>
  <r>
    <s v="202601"/>
    <s v="32561626-3          "/>
    <x v="328"/>
    <x v="13"/>
    <s v="FEDC157479  "/>
    <n v="1272000"/>
    <x v="3"/>
    <n v="13"/>
    <d v="2026-01-15T00:00:00"/>
    <d v="2026-02-14T00:00:00"/>
    <x v="18"/>
    <x v="4"/>
    <s v="0    "/>
    <s v="3104427984-3146841981         "/>
    <n v="30"/>
  </r>
  <r>
    <s v="202601"/>
    <s v="4524081             "/>
    <x v="349"/>
    <x v="13"/>
    <s v="FEDC157483  "/>
    <n v="2100000"/>
    <x v="9"/>
    <n v="13"/>
    <d v="2026-01-15T00:00:00"/>
    <d v="2026-01-25T00:00:00"/>
    <x v="18"/>
    <x v="13"/>
    <s v="0    "/>
    <s v="3214475985                    "/>
    <n v="30"/>
  </r>
  <r>
    <s v="202601"/>
    <s v="70693392            "/>
    <x v="283"/>
    <x v="37"/>
    <s v="FEDC157484  "/>
    <n v="840000"/>
    <x v="9"/>
    <n v="13"/>
    <d v="2026-01-15T00:00:00"/>
    <d v="2026-01-25T00:00:00"/>
    <x v="18"/>
    <x v="13"/>
    <s v="0    "/>
    <s v="3233203149                    "/>
    <n v="30"/>
  </r>
  <r>
    <s v="202601"/>
    <s v="70693392            "/>
    <x v="283"/>
    <x v="37"/>
    <s v="FEDC157485  "/>
    <n v="251707"/>
    <x v="3"/>
    <n v="13"/>
    <d v="2026-01-15T00:00:00"/>
    <d v="2026-02-14T00:00:00"/>
    <x v="18"/>
    <x v="13"/>
    <s v="0    "/>
    <s v="3233203149                    "/>
    <n v="30"/>
  </r>
  <r>
    <s v="202601"/>
    <s v="98651531            "/>
    <x v="285"/>
    <x v="37"/>
    <s v="FEDC157487  "/>
    <n v="653303"/>
    <x v="3"/>
    <n v="13"/>
    <d v="2026-01-15T00:00:00"/>
    <d v="2026-02-14T00:00:00"/>
    <x v="18"/>
    <x v="13"/>
    <s v="0    "/>
    <s v="3115674271"/>
    <n v="30"/>
  </r>
  <r>
    <s v="202601"/>
    <s v="98651531            "/>
    <x v="285"/>
    <x v="37"/>
    <s v="FEDC157488  "/>
    <n v="76201"/>
    <x v="3"/>
    <n v="13"/>
    <d v="2026-01-15T00:00:00"/>
    <d v="2026-02-14T00:00:00"/>
    <x v="18"/>
    <x v="13"/>
    <s v="0    "/>
    <s v="3115674271"/>
    <n v="30"/>
  </r>
  <r>
    <s v="202601"/>
    <s v="1040495046          "/>
    <x v="303"/>
    <x v="12"/>
    <s v="FEDC157510  "/>
    <n v="214000"/>
    <x v="3"/>
    <n v="13"/>
    <d v="2026-01-15T00:00:00"/>
    <d v="2026-02-14T00:00:00"/>
    <x v="18"/>
    <x v="1"/>
    <s v="0    "/>
    <s v="3148350978-3113898648         "/>
    <n v="30"/>
  </r>
  <r>
    <s v="202601"/>
    <s v="39279638            "/>
    <x v="282"/>
    <x v="13"/>
    <s v="FEDC157531  "/>
    <n v="420000"/>
    <x v="9"/>
    <n v="13"/>
    <d v="2026-01-15T00:00:00"/>
    <d v="2026-01-25T00:00:00"/>
    <x v="18"/>
    <x v="13"/>
    <s v="0    "/>
    <s v="3105913666                    "/>
    <n v="30"/>
  </r>
  <r>
    <s v="202601"/>
    <s v="1127958438          "/>
    <x v="159"/>
    <x v="13"/>
    <s v="FEDC157532  "/>
    <n v="2500267"/>
    <x v="3"/>
    <n v="13"/>
    <d v="2026-01-15T00:00:00"/>
    <d v="2026-02-14T00:00:00"/>
    <x v="18"/>
    <x v="13"/>
    <s v="0    "/>
    <s v="3204475005                    "/>
    <n v="30"/>
  </r>
  <r>
    <s v="202601"/>
    <s v="39280551            "/>
    <x v="337"/>
    <x v="37"/>
    <s v="FEDC157533  "/>
    <n v="1012000"/>
    <x v="9"/>
    <n v="13"/>
    <d v="2026-01-15T00:00:00"/>
    <d v="2026-01-25T00:00:00"/>
    <x v="18"/>
    <x v="13"/>
    <s v="0    "/>
    <s v="3206794488-8390155            "/>
    <n v="30"/>
  </r>
  <r>
    <s v="202601"/>
    <s v="901725680           "/>
    <x v="193"/>
    <x v="13"/>
    <s v="FEDC157534  "/>
    <n v="1133968"/>
    <x v="3"/>
    <n v="13"/>
    <d v="2026-01-15T00:00:00"/>
    <d v="2026-02-14T00:00:00"/>
    <x v="18"/>
    <x v="13"/>
    <s v="0    "/>
    <s v="8392261                       "/>
    <n v="30"/>
  </r>
  <r>
    <s v="202601"/>
    <s v="1020426651          "/>
    <x v="350"/>
    <x v="13"/>
    <s v="FEDC157535  "/>
    <n v="2100000"/>
    <x v="9"/>
    <n v="13"/>
    <d v="2026-01-15T00:00:00"/>
    <d v="2026-01-25T00:00:00"/>
    <x v="18"/>
    <x v="13"/>
    <s v="0    "/>
    <s v="3148351567                    "/>
    <n v="30"/>
  </r>
  <r>
    <s v="202601"/>
    <s v="39280551            "/>
    <x v="337"/>
    <x v="37"/>
    <s v="FEDC157536  "/>
    <n v="1353379"/>
    <x v="3"/>
    <n v="13"/>
    <d v="2026-01-15T00:00:00"/>
    <d v="2026-02-14T00:00:00"/>
    <x v="18"/>
    <x v="13"/>
    <s v="0    "/>
    <s v="3206794488-8390155            "/>
    <n v="30"/>
  </r>
  <r>
    <s v="202601"/>
    <s v="1020426651          "/>
    <x v="350"/>
    <x v="13"/>
    <s v="FEDC157537  "/>
    <n v="1731831"/>
    <x v="3"/>
    <n v="13"/>
    <d v="2026-01-15T00:00:00"/>
    <d v="2026-02-14T00:00:00"/>
    <x v="18"/>
    <x v="13"/>
    <s v="0    "/>
    <s v="3148351567                    "/>
    <n v="30"/>
  </r>
  <r>
    <s v="202601"/>
    <s v="98654169            "/>
    <x v="218"/>
    <x v="13"/>
    <s v="FEDC157538  "/>
    <n v="2446834"/>
    <x v="3"/>
    <n v="13"/>
    <d v="2026-01-15T00:00:00"/>
    <d v="2026-02-14T00:00:00"/>
    <x v="18"/>
    <x v="13"/>
    <s v="0    "/>
    <s v="3113235407                    "/>
    <n v="30"/>
  </r>
  <r>
    <s v="202601"/>
    <s v="1038129599          "/>
    <x v="251"/>
    <x v="13"/>
    <s v="FEDC157539  "/>
    <n v="1200000"/>
    <x v="9"/>
    <n v="13"/>
    <d v="2026-01-15T00:00:00"/>
    <d v="2026-01-25T00:00:00"/>
    <x v="18"/>
    <x v="13"/>
    <s v="0    "/>
    <s v="3208613025                    "/>
    <n v="30"/>
  </r>
  <r>
    <s v="202601"/>
    <s v="15355742-5          "/>
    <x v="429"/>
    <x v="37"/>
    <s v="FEDC157541  "/>
    <n v="1066482"/>
    <x v="3"/>
    <n v="13"/>
    <d v="2026-01-15T00:00:00"/>
    <d v="2026-02-14T00:00:00"/>
    <x v="18"/>
    <x v="13"/>
    <s v="0    "/>
    <s v="3127587149     "/>
    <n v="25"/>
  </r>
  <r>
    <s v="202601"/>
    <s v="70855301            "/>
    <x v="430"/>
    <x v="13"/>
    <s v="FEDC157542  "/>
    <n v="1170225"/>
    <x v="3"/>
    <n v="13"/>
    <d v="2026-01-15T00:00:00"/>
    <d v="2026-02-14T00:00:00"/>
    <x v="18"/>
    <x v="13"/>
    <s v="0    "/>
    <s v="3113739727     "/>
    <n v="30"/>
  </r>
  <r>
    <s v="202601"/>
    <s v="3443977             "/>
    <x v="351"/>
    <x v="37"/>
    <s v="FEDC157549  "/>
    <n v="136260"/>
    <x v="3"/>
    <n v="13"/>
    <d v="2026-01-15T00:00:00"/>
    <d v="2026-02-14T00:00:00"/>
    <x v="18"/>
    <x v="13"/>
    <s v="0    "/>
    <s v="8394641"/>
    <n v="30"/>
  </r>
  <r>
    <s v="202601"/>
    <s v="32211796            "/>
    <x v="431"/>
    <x v="13"/>
    <s v="FEDC157558  "/>
    <n v="17000"/>
    <x v="3"/>
    <n v="13"/>
    <d v="2026-01-15T00:00:00"/>
    <d v="2026-02-14T00:00:00"/>
    <x v="18"/>
    <x v="11"/>
    <s v="0    "/>
    <s v="                              "/>
    <n v="30"/>
  </r>
  <r>
    <s v="202601"/>
    <s v="15047058            "/>
    <x v="226"/>
    <x v="37"/>
    <s v="FEDC157601  "/>
    <n v="393600"/>
    <x v="3"/>
    <n v="13"/>
    <d v="2026-01-15T00:00:00"/>
    <d v="2026-02-14T00:00:00"/>
    <x v="18"/>
    <x v="13"/>
    <s v="0    "/>
    <s v="3226993920     "/>
    <n v="30"/>
  </r>
  <r>
    <s v="202601"/>
    <s v="901441506-5         "/>
    <x v="432"/>
    <x v="62"/>
    <s v="FEVM44848   "/>
    <n v="2733693"/>
    <x v="3"/>
    <n v="13"/>
    <d v="2026-01-15T00:00:00"/>
    <d v="2026-02-14T00:00:00"/>
    <x v="18"/>
    <x v="12"/>
    <s v="0    "/>
    <s v="7767418- 3164111781           "/>
    <n v="30"/>
  </r>
  <r>
    <s v="202601"/>
    <s v="22246411            "/>
    <x v="403"/>
    <x v="37"/>
    <s v="FEVM44873   "/>
    <n v="958484"/>
    <x v="1"/>
    <n v="13"/>
    <d v="2026-01-15T00:00:00"/>
    <d v="2026-01-30T00:00:00"/>
    <x v="18"/>
    <x v="6"/>
    <s v="0    "/>
    <s v="3104996245     "/>
    <n v="15"/>
  </r>
  <r>
    <s v="202601"/>
    <s v="1038112946          "/>
    <x v="338"/>
    <x v="13"/>
    <s v="FEVM44875   "/>
    <n v="1241677"/>
    <x v="1"/>
    <n v="13"/>
    <d v="2026-01-15T00:00:00"/>
    <d v="2026-01-30T00:00:00"/>
    <x v="18"/>
    <x v="6"/>
    <s v="0    "/>
    <s v="3215694941-3118537598         "/>
    <n v="15"/>
  </r>
  <r>
    <s v="202601"/>
    <s v="1027885777          "/>
    <x v="433"/>
    <x v="37"/>
    <s v="FEVM44879   "/>
    <n v="155606"/>
    <x v="1"/>
    <n v="13"/>
    <d v="2026-01-15T00:00:00"/>
    <d v="2026-01-30T00:00:00"/>
    <x v="18"/>
    <x v="6"/>
    <s v="0    "/>
    <s v="3113477813     "/>
    <n v="15"/>
  </r>
  <r>
    <s v="202601"/>
    <s v="42941741            "/>
    <x v="390"/>
    <x v="37"/>
    <s v="FEVM44886   "/>
    <n v="1992000"/>
    <x v="1"/>
    <n v="13"/>
    <d v="2026-01-15T00:00:00"/>
    <d v="2026-01-30T00:00:00"/>
    <x v="18"/>
    <x v="6"/>
    <s v="0    "/>
    <s v="3206729751     "/>
    <n v="15"/>
  </r>
  <r>
    <s v="202601"/>
    <s v="39288704            "/>
    <x v="434"/>
    <x v="13"/>
    <s v="FEVM44889   "/>
    <n v="747000"/>
    <x v="9"/>
    <n v="13"/>
    <d v="2026-01-15T00:00:00"/>
    <d v="2026-01-25T00:00:00"/>
    <x v="18"/>
    <x v="6"/>
    <s v="0    "/>
    <s v="3208287570                    "/>
    <n v="15"/>
  </r>
  <r>
    <s v="202601"/>
    <s v="900710962-1         "/>
    <x v="435"/>
    <x v="37"/>
    <s v="FEVM44893   "/>
    <n v="1043656"/>
    <x v="1"/>
    <n v="13"/>
    <d v="2026-01-15T00:00:00"/>
    <d v="2026-01-30T00:00:00"/>
    <x v="18"/>
    <x v="6"/>
    <s v="0    "/>
    <s v="8391283        "/>
    <n v="15"/>
  </r>
  <r>
    <s v="202601"/>
    <s v="70540355            "/>
    <x v="436"/>
    <x v="13"/>
    <s v="FEVM44900   "/>
    <n v="329640"/>
    <x v="1"/>
    <n v="13"/>
    <d v="2026-01-15T00:00:00"/>
    <d v="2026-01-30T00:00:00"/>
    <x v="18"/>
    <x v="6"/>
    <s v="0    "/>
    <s v="3224318109 -3108229219        "/>
    <n v="30"/>
  </r>
  <r>
    <s v="202601"/>
    <s v="8765478             "/>
    <x v="437"/>
    <x v="37"/>
    <s v="FEVM44908   "/>
    <n v="575235"/>
    <x v="1"/>
    <n v="13"/>
    <d v="2026-01-15T00:00:00"/>
    <d v="2026-01-30T00:00:00"/>
    <x v="18"/>
    <x v="10"/>
    <s v="0    "/>
    <s v="3215302008"/>
    <n v="10"/>
  </r>
  <r>
    <s v="202601"/>
    <s v="78296944            "/>
    <x v="438"/>
    <x v="37"/>
    <s v="FEVM44911   "/>
    <n v="1050000"/>
    <x v="9"/>
    <n v="13"/>
    <d v="2026-01-15T00:00:00"/>
    <d v="2026-01-25T00:00:00"/>
    <x v="18"/>
    <x v="10"/>
    <s v="0    "/>
    <s v="3148816284"/>
    <n v="30"/>
  </r>
  <r>
    <s v="202601"/>
    <s v="1069479440          "/>
    <x v="395"/>
    <x v="13"/>
    <s v="FEVM44915   "/>
    <n v="630000"/>
    <x v="9"/>
    <n v="13"/>
    <d v="2026-01-15T00:00:00"/>
    <d v="2026-01-25T00:00:00"/>
    <x v="18"/>
    <x v="10"/>
    <s v="0    "/>
    <s v="3135607209                    "/>
    <n v="15"/>
  </r>
  <r>
    <s v="202601"/>
    <s v="98653342            "/>
    <x v="167"/>
    <x v="27"/>
    <s v="FEDC157490  "/>
    <n v="4240000"/>
    <x v="3"/>
    <n v="13"/>
    <d v="2026-01-15T00:00:00"/>
    <d v="2026-02-14T00:00:00"/>
    <x v="14"/>
    <x v="4"/>
    <s v="0    "/>
    <s v="3104692729 - 8372463          "/>
    <n v="30"/>
  </r>
  <r>
    <s v="202601"/>
    <s v="98653342            "/>
    <x v="167"/>
    <x v="27"/>
    <s v="FEDC157491  "/>
    <n v="1546829"/>
    <x v="3"/>
    <n v="13"/>
    <d v="2026-01-15T00:00:00"/>
    <d v="2026-02-14T00:00:00"/>
    <x v="14"/>
    <x v="4"/>
    <s v="0    "/>
    <s v="3104692729 - 8372463          "/>
    <n v="30"/>
  </r>
  <r>
    <s v="202601"/>
    <s v="901933116           "/>
    <x v="290"/>
    <x v="86"/>
    <s v="FEDC157507  "/>
    <n v="702405"/>
    <x v="3"/>
    <n v="13"/>
    <d v="2026-01-15T00:00:00"/>
    <d v="2026-02-14T00:00:00"/>
    <x v="14"/>
    <x v="4"/>
    <s v="0    "/>
    <s v="3128202172                    "/>
    <n v="30"/>
  </r>
  <r>
    <s v="202601"/>
    <s v="70951988            "/>
    <x v="131"/>
    <x v="27"/>
    <s v="FEDC157508  "/>
    <n v="2769519"/>
    <x v="3"/>
    <n v="13"/>
    <d v="2026-01-15T00:00:00"/>
    <d v="2026-02-14T00:00:00"/>
    <x v="14"/>
    <x v="4"/>
    <s v="0    "/>
    <s v="8372646- 3127061378 cocho     "/>
    <n v="30"/>
  </r>
  <r>
    <s v="202601"/>
    <s v="1040495180          "/>
    <x v="166"/>
    <x v="22"/>
    <s v="FEDC157529  "/>
    <n v="331306"/>
    <x v="3"/>
    <n v="13"/>
    <d v="2026-01-15T00:00:00"/>
    <d v="2026-02-14T00:00:00"/>
    <x v="14"/>
    <x v="4"/>
    <s v="0    "/>
    <s v="3135653489     "/>
    <n v="30"/>
  </r>
  <r>
    <s v="202601"/>
    <s v="1040495180          "/>
    <x v="166"/>
    <x v="22"/>
    <s v="FEDC157530  "/>
    <n v="2830586"/>
    <x v="3"/>
    <n v="13"/>
    <d v="2026-01-15T00:00:00"/>
    <d v="2026-02-14T00:00:00"/>
    <x v="14"/>
    <x v="4"/>
    <s v="0    "/>
    <s v="3135653489     "/>
    <n v="30"/>
  </r>
  <r>
    <s v="202601"/>
    <s v="43896040-6          "/>
    <x v="439"/>
    <x v="22"/>
    <s v="FEDC157543  "/>
    <n v="807617"/>
    <x v="3"/>
    <n v="13"/>
    <d v="2026-01-15T00:00:00"/>
    <d v="2026-02-14T00:00:00"/>
    <x v="14"/>
    <x v="5"/>
    <s v="0    "/>
    <s v="3147930645                    "/>
    <n v="30"/>
  </r>
  <r>
    <s v="202601"/>
    <s v="8200704             "/>
    <x v="291"/>
    <x v="27"/>
    <s v="FEDC157546  "/>
    <n v="695454"/>
    <x v="3"/>
    <n v="13"/>
    <d v="2026-01-15T00:00:00"/>
    <d v="2026-02-14T00:00:00"/>
    <x v="14"/>
    <x v="4"/>
    <s v="0    "/>
    <s v="3207817065"/>
    <n v="30"/>
  </r>
  <r>
    <s v="202601"/>
    <s v="8362443             "/>
    <x v="440"/>
    <x v="27"/>
    <s v="FEDC157548  "/>
    <n v="144699"/>
    <x v="3"/>
    <n v="13"/>
    <d v="2026-01-15T00:00:00"/>
    <d v="2026-02-14T00:00:00"/>
    <x v="14"/>
    <x v="4"/>
    <s v="0    "/>
    <s v="3013323540     "/>
    <n v="30"/>
  </r>
  <r>
    <s v="202601"/>
    <s v="70692685            "/>
    <x v="441"/>
    <x v="92"/>
    <s v="FEDC157550  "/>
    <n v="4171143"/>
    <x v="3"/>
    <n v="13"/>
    <d v="2026-01-15T00:00:00"/>
    <d v="2026-02-14T00:00:00"/>
    <x v="46"/>
    <x v="8"/>
    <s v="0    "/>
    <s v="3215392508 -7653643           "/>
    <n v="30"/>
  </r>
  <r>
    <s v="202601"/>
    <s v="70692685            "/>
    <x v="441"/>
    <x v="92"/>
    <s v="FEDC157551  "/>
    <n v="1041869"/>
    <x v="3"/>
    <n v="13"/>
    <d v="2026-01-15T00:00:00"/>
    <d v="2026-02-14T00:00:00"/>
    <x v="46"/>
    <x v="8"/>
    <s v="0    "/>
    <s v="3215392508 -7653643           "/>
    <n v="30"/>
  </r>
  <r>
    <s v="202601"/>
    <s v="78297325            "/>
    <x v="256"/>
    <x v="2"/>
    <s v="FEDC157459  "/>
    <n v="2862619"/>
    <x v="3"/>
    <n v="13"/>
    <d v="2026-01-15T00:00:00"/>
    <d v="2026-02-14T00:00:00"/>
    <x v="1"/>
    <x v="12"/>
    <s v="0    "/>
    <s v=""/>
    <n v="30"/>
  </r>
  <r>
    <s v="202601"/>
    <s v="78302612            "/>
    <x v="110"/>
    <x v="2"/>
    <s v="FEDC157460  "/>
    <n v="2612629"/>
    <x v="3"/>
    <n v="13"/>
    <d v="2026-01-15T00:00:00"/>
    <d v="2026-02-14T00:00:00"/>
    <x v="1"/>
    <x v="12"/>
    <s v="0    "/>
    <s v="3126603940 -3041037151        "/>
    <n v="30"/>
  </r>
  <r>
    <s v="202601"/>
    <s v="1047403252          "/>
    <x v="111"/>
    <x v="2"/>
    <s v="FEDC157461  "/>
    <n v="1149860"/>
    <x v="3"/>
    <n v="13"/>
    <d v="2026-01-15T00:00:00"/>
    <d v="2026-02-14T00:00:00"/>
    <x v="1"/>
    <x v="12"/>
    <s v="0    "/>
    <s v="3117322753 -7767418           "/>
    <n v="30"/>
  </r>
  <r>
    <s v="202601"/>
    <s v="50944892            "/>
    <x v="356"/>
    <x v="41"/>
    <s v="FEVM44852   "/>
    <n v="158263"/>
    <x v="1"/>
    <n v="13"/>
    <d v="2026-01-15T00:00:00"/>
    <d v="2026-01-30T00:00:00"/>
    <x v="37"/>
    <x v="3"/>
    <s v="0    "/>
    <s v=""/>
    <n v="30"/>
  </r>
  <r>
    <s v="202601"/>
    <s v="15674956            "/>
    <x v="323"/>
    <x v="41"/>
    <s v="FEVM44865   "/>
    <n v="314646"/>
    <x v="1"/>
    <n v="13"/>
    <d v="2026-01-15T00:00:00"/>
    <d v="2026-01-30T00:00:00"/>
    <x v="37"/>
    <x v="3"/>
    <s v="0    "/>
    <s v="3005245599     "/>
    <n v="30"/>
  </r>
  <r>
    <s v="202601"/>
    <s v="15674956            "/>
    <x v="323"/>
    <x v="41"/>
    <s v="FEVM44866   "/>
    <n v="951145"/>
    <x v="3"/>
    <n v="13"/>
    <d v="2026-01-15T00:00:00"/>
    <d v="2026-02-14T00:00:00"/>
    <x v="37"/>
    <x v="3"/>
    <s v="0    "/>
    <s v="3005245599     "/>
    <n v="30"/>
  </r>
  <r>
    <s v="202601"/>
    <s v="15679822            "/>
    <x v="442"/>
    <x v="62"/>
    <s v="FEVM44868   "/>
    <n v="314646"/>
    <x v="9"/>
    <n v="13"/>
    <d v="2026-01-15T00:00:00"/>
    <d v="2026-01-25T00:00:00"/>
    <x v="37"/>
    <x v="3"/>
    <s v="0    "/>
    <s v="3145372443     "/>
    <n v="30"/>
  </r>
  <r>
    <s v="202601"/>
    <s v="1104430584          "/>
    <x v="153"/>
    <x v="16"/>
    <s v="FEDC157610  "/>
    <n v="138016"/>
    <x v="3"/>
    <n v="13"/>
    <d v="2026-01-15T00:00:00"/>
    <d v="2026-02-14T00:00:00"/>
    <x v="20"/>
    <x v="8"/>
    <s v="0    "/>
    <s v="3107047714-3015586055         "/>
    <n v="30"/>
  </r>
  <r>
    <s v="202601"/>
    <s v="1                   "/>
    <x v="208"/>
    <x v="13"/>
    <s v="FEDC157612  "/>
    <n v="25855"/>
    <x v="5"/>
    <n v="13"/>
    <d v="2026-01-15T00:00:00"/>
    <d v="2026-01-16T00:00:00"/>
    <x v="20"/>
    <x v="8"/>
    <s v="0    "/>
    <s v=""/>
    <n v="1"/>
  </r>
  <r>
    <s v="202601"/>
    <s v="1040495046          "/>
    <x v="303"/>
    <x v="12"/>
    <s v="FEDC157511  "/>
    <n v="1938409"/>
    <x v="3"/>
    <n v="13"/>
    <d v="2026-01-15T00:00:00"/>
    <d v="2026-02-14T00:00:00"/>
    <x v="9"/>
    <x v="1"/>
    <s v="0    "/>
    <s v="3148350978-3113898648         "/>
    <n v="30"/>
  </r>
  <r>
    <s v="202601"/>
    <s v="45530013            "/>
    <x v="213"/>
    <x v="60"/>
    <s v="FEDC157512  "/>
    <n v="2729525"/>
    <x v="3"/>
    <n v="13"/>
    <d v="2026-01-15T00:00:00"/>
    <d v="2026-02-14T00:00:00"/>
    <x v="9"/>
    <x v="1"/>
    <s v="0    "/>
    <s v="3104595450 -3113771327        "/>
    <n v="30"/>
  </r>
  <r>
    <s v="202601"/>
    <s v="8362928             "/>
    <x v="420"/>
    <x v="12"/>
    <s v="FEDC157513  "/>
    <n v="8552552"/>
    <x v="3"/>
    <n v="13"/>
    <d v="2026-01-15T00:00:00"/>
    <d v="2026-02-14T00:00:00"/>
    <x v="9"/>
    <x v="1"/>
    <s v="0    "/>
    <s v="3146478384 - 3106734221       "/>
    <n v="30"/>
  </r>
  <r>
    <s v="202601"/>
    <s v="11058901            "/>
    <x v="443"/>
    <x v="60"/>
    <s v="FEDC157514  "/>
    <n v="1126852"/>
    <x v="3"/>
    <n v="13"/>
    <d v="2026-01-15T00:00:00"/>
    <d v="2026-02-14T00:00:00"/>
    <x v="9"/>
    <x v="1"/>
    <s v="0    "/>
    <s v="3137176355     "/>
    <n v="30"/>
  </r>
  <r>
    <s v="202601"/>
    <s v="78032182            "/>
    <x v="214"/>
    <x v="60"/>
    <s v="FEDC157517  "/>
    <n v="4313851"/>
    <x v="3"/>
    <n v="13"/>
    <d v="2026-01-15T00:00:00"/>
    <d v="2026-02-14T00:00:00"/>
    <x v="9"/>
    <x v="1"/>
    <s v="0    "/>
    <s v="3205713141 -3148890308        "/>
    <n v="30"/>
  </r>
  <r>
    <s v="202601"/>
    <s v="1026569148          "/>
    <x v="196"/>
    <x v="60"/>
    <s v="FEDC157518  "/>
    <n v="1825742"/>
    <x v="3"/>
    <n v="13"/>
    <d v="2026-01-15T00:00:00"/>
    <d v="2026-02-14T00:00:00"/>
    <x v="9"/>
    <x v="1"/>
    <s v="0    "/>
    <s v="3135069525     "/>
    <n v="30"/>
  </r>
  <r>
    <s v="202601"/>
    <s v="1026569148          "/>
    <x v="196"/>
    <x v="60"/>
    <s v="FEDC157519  "/>
    <n v="13022533"/>
    <x v="3"/>
    <n v="13"/>
    <d v="2026-01-15T00:00:00"/>
    <d v="2026-02-14T00:00:00"/>
    <x v="9"/>
    <x v="1"/>
    <s v="0    "/>
    <s v="3135069525     "/>
    <n v="30"/>
  </r>
  <r>
    <s v="202601"/>
    <s v="8201058             "/>
    <x v="302"/>
    <x v="87"/>
    <s v="FEDC157521  "/>
    <n v="7491813"/>
    <x v="3"/>
    <n v="13"/>
    <d v="2026-01-15T00:00:00"/>
    <d v="2026-02-14T00:00:00"/>
    <x v="9"/>
    <x v="1"/>
    <s v="0    "/>
    <s v="3207536706                    "/>
    <n v="30"/>
  </r>
  <r>
    <s v="202601"/>
    <s v="8203925             "/>
    <x v="300"/>
    <x v="12"/>
    <s v="FEDC157522  "/>
    <n v="1417918"/>
    <x v="3"/>
    <n v="13"/>
    <d v="2026-01-15T00:00:00"/>
    <d v="2026-02-14T00:00:00"/>
    <x v="9"/>
    <x v="1"/>
    <s v="0    "/>
    <s v="322 5264648                   "/>
    <n v="30"/>
  </r>
  <r>
    <s v="202601"/>
    <s v="8203925             "/>
    <x v="300"/>
    <x v="12"/>
    <s v="FEDC157523  "/>
    <n v="1898064"/>
    <x v="3"/>
    <n v="13"/>
    <d v="2026-01-15T00:00:00"/>
    <d v="2026-02-14T00:00:00"/>
    <x v="9"/>
    <x v="1"/>
    <s v="0    "/>
    <s v="322 5264648                   "/>
    <n v="30"/>
  </r>
  <r>
    <s v="202601"/>
    <s v="1193092859          "/>
    <x v="444"/>
    <x v="12"/>
    <s v="FEDC157524  "/>
    <n v="6510799"/>
    <x v="3"/>
    <n v="13"/>
    <d v="2026-01-15T00:00:00"/>
    <d v="2026-02-14T00:00:00"/>
    <x v="9"/>
    <x v="1"/>
    <s v="0    "/>
    <s v="3147958946                    "/>
    <n v="30"/>
  </r>
  <r>
    <s v="202601"/>
    <s v="98476266            "/>
    <x v="299"/>
    <x v="12"/>
    <s v="FEDC157603  "/>
    <n v="333000"/>
    <x v="3"/>
    <n v="13"/>
    <d v="2026-01-15T00:00:00"/>
    <d v="2026-02-14T00:00:00"/>
    <x v="9"/>
    <x v="1"/>
    <s v="0    "/>
    <s v="3125541849                    "/>
    <n v="30"/>
  </r>
  <r>
    <s v="202601"/>
    <s v="78032182            "/>
    <x v="214"/>
    <x v="60"/>
    <s v="FEDC157604  "/>
    <n v="24028161"/>
    <x v="3"/>
    <n v="13"/>
    <d v="2026-01-15T00:00:00"/>
    <d v="2026-02-14T00:00:00"/>
    <x v="9"/>
    <x v="1"/>
    <s v="0    "/>
    <s v="3205713141 -3148890308        "/>
    <n v="30"/>
  </r>
  <r>
    <s v="202601"/>
    <s v="25986516            "/>
    <x v="445"/>
    <x v="60"/>
    <s v="FEDC157606  "/>
    <n v="257130"/>
    <x v="3"/>
    <n v="13"/>
    <d v="2026-01-15T00:00:00"/>
    <d v="2026-02-14T00:00:00"/>
    <x v="9"/>
    <x v="1"/>
    <s v="0    "/>
    <s v="3108349515-3114206393         "/>
    <n v="30"/>
  </r>
  <r>
    <s v="202601"/>
    <s v="1101382676          "/>
    <x v="326"/>
    <x v="12"/>
    <s v="FEDC157608  "/>
    <n v="4505769"/>
    <x v="3"/>
    <n v="13"/>
    <d v="2026-01-15T00:00:00"/>
    <d v="2026-02-14T00:00:00"/>
    <x v="9"/>
    <x v="1"/>
    <s v="0    "/>
    <s v="3103730128 - 3207090247       "/>
    <n v="30"/>
  </r>
  <r>
    <s v="202601"/>
    <s v="901158992-9         "/>
    <x v="127"/>
    <x v="24"/>
    <s v="FEDC157584  "/>
    <n v="3716855"/>
    <x v="3"/>
    <n v="13"/>
    <d v="2026-01-15T00:00:00"/>
    <d v="2026-02-14T00:00:00"/>
    <x v="25"/>
    <x v="12"/>
    <s v="0    "/>
    <s v="3002863464 - 3013900884       "/>
    <n v="30"/>
  </r>
  <r>
    <s v="202601"/>
    <s v="78299804            "/>
    <x v="305"/>
    <x v="26"/>
    <s v="FEDC157585  "/>
    <n v="2429600"/>
    <x v="3"/>
    <n v="13"/>
    <d v="2026-01-15T00:00:00"/>
    <d v="2026-02-14T00:00:00"/>
    <x v="25"/>
    <x v="12"/>
    <s v="0    "/>
    <s v="3107473795"/>
    <n v="0"/>
  </r>
  <r>
    <s v="202601"/>
    <s v="1063277013          "/>
    <x v="446"/>
    <x v="26"/>
    <s v="FEDC157586  "/>
    <n v="1020986"/>
    <x v="3"/>
    <n v="13"/>
    <d v="2026-01-15T00:00:00"/>
    <d v="2026-02-14T00:00:00"/>
    <x v="25"/>
    <x v="12"/>
    <s v="0    "/>
    <s v="3218659196-3128878242         "/>
    <n v="1"/>
  </r>
  <r>
    <s v="202601"/>
    <s v="1003336739          "/>
    <x v="200"/>
    <x v="26"/>
    <s v="FEDC157587  "/>
    <n v="1908164"/>
    <x v="3"/>
    <n v="13"/>
    <d v="2026-01-15T00:00:00"/>
    <d v="2026-02-14T00:00:00"/>
    <x v="25"/>
    <x v="12"/>
    <s v="0    "/>
    <s v="3044454539                    "/>
    <n v="30"/>
  </r>
  <r>
    <s v="202601"/>
    <s v="26000223            "/>
    <x v="306"/>
    <x v="59"/>
    <s v="FEDC157588  "/>
    <n v="595591"/>
    <x v="3"/>
    <n v="13"/>
    <d v="2026-01-15T00:00:00"/>
    <d v="2026-02-14T00:00:00"/>
    <x v="25"/>
    <x v="12"/>
    <s v="0    "/>
    <s v="3145562212"/>
    <n v="30"/>
  </r>
  <r>
    <s v="202601"/>
    <s v="1003289933          "/>
    <x v="201"/>
    <x v="26"/>
    <s v="FEDC157589  "/>
    <n v="12329600"/>
    <x v="3"/>
    <n v="13"/>
    <d v="2026-01-15T00:00:00"/>
    <d v="2026-02-14T00:00:00"/>
    <x v="25"/>
    <x v="12"/>
    <s v="0    "/>
    <s v="3229228485                    "/>
    <n v="30"/>
  </r>
  <r>
    <s v="202601"/>
    <s v="1003289933          "/>
    <x v="201"/>
    <x v="26"/>
    <s v="FEDC157590  "/>
    <n v="3699979"/>
    <x v="3"/>
    <n v="13"/>
    <d v="2026-01-15T00:00:00"/>
    <d v="2026-02-14T00:00:00"/>
    <x v="25"/>
    <x v="12"/>
    <s v="0    "/>
    <s v="3229228485                    "/>
    <n v="30"/>
  </r>
  <r>
    <s v="202601"/>
    <s v="1063361250          "/>
    <x v="304"/>
    <x v="26"/>
    <s v="FEDC157591  "/>
    <n v="1251151"/>
    <x v="3"/>
    <n v="13"/>
    <d v="2026-01-15T00:00:00"/>
    <d v="2026-02-14T00:00:00"/>
    <x v="25"/>
    <x v="12"/>
    <s v="0    "/>
    <s v="3146261490 -3106866801        "/>
    <n v="30"/>
  </r>
  <r>
    <s v="202601"/>
    <s v="10992195            "/>
    <x v="203"/>
    <x v="59"/>
    <s v="FEDC157592  "/>
    <n v="545000"/>
    <x v="3"/>
    <n v="13"/>
    <d v="2026-01-15T00:00:00"/>
    <d v="2026-02-14T00:00:00"/>
    <x v="25"/>
    <x v="12"/>
    <s v="0    "/>
    <s v="3117733890     "/>
    <n v="30"/>
  </r>
  <r>
    <s v="202601"/>
    <s v="78293319            "/>
    <x v="117"/>
    <x v="59"/>
    <s v="FEDC157593  "/>
    <n v="1846898"/>
    <x v="3"/>
    <n v="13"/>
    <d v="2026-01-15T00:00:00"/>
    <d v="2026-02-14T00:00:00"/>
    <x v="25"/>
    <x v="12"/>
    <s v="0    "/>
    <s v="3135677618 -3013982709        "/>
    <n v="0"/>
  </r>
  <r>
    <s v="202601"/>
    <s v="25990866            "/>
    <x v="447"/>
    <x v="59"/>
    <s v="FEDC157594  "/>
    <n v="1404894"/>
    <x v="3"/>
    <n v="13"/>
    <d v="2026-01-15T00:00:00"/>
    <d v="2026-02-14T00:00:00"/>
    <x v="25"/>
    <x v="12"/>
    <s v="0    "/>
    <s v="7629830"/>
    <n v="30"/>
  </r>
  <r>
    <s v="202601"/>
    <s v="1063281231          "/>
    <x v="202"/>
    <x v="26"/>
    <s v="FEDC157596  "/>
    <n v="2616490"/>
    <x v="3"/>
    <n v="13"/>
    <d v="2026-01-15T00:00:00"/>
    <d v="2026-02-14T00:00:00"/>
    <x v="25"/>
    <x v="12"/>
    <s v="0    "/>
    <s v="3122924842                    "/>
    <n v="15"/>
  </r>
  <r>
    <s v="202601"/>
    <s v="78302332-0          "/>
    <x v="448"/>
    <x v="26"/>
    <s v="FEDC157597  "/>
    <n v="822238"/>
    <x v="3"/>
    <n v="13"/>
    <d v="2026-01-15T00:00:00"/>
    <d v="2026-02-14T00:00:00"/>
    <x v="25"/>
    <x v="12"/>
    <s v="0    "/>
    <s v="3146261490 -3106866801        "/>
    <n v="30"/>
  </r>
  <r>
    <s v="202601"/>
    <s v="39285634            "/>
    <x v="449"/>
    <x v="26"/>
    <s v="FEVM44929   "/>
    <n v="238513"/>
    <x v="1"/>
    <n v="13"/>
    <d v="2026-01-15T00:00:00"/>
    <d v="2026-01-30T00:00:00"/>
    <x v="25"/>
    <x v="10"/>
    <s v="0    "/>
    <s v="3107473795                    "/>
    <n v="15"/>
  </r>
  <r>
    <s v="202601"/>
    <s v="901158992-9         "/>
    <x v="127"/>
    <x v="24"/>
    <s v="FEVM44930   "/>
    <n v="378027"/>
    <x v="1"/>
    <n v="13"/>
    <d v="2026-01-15T00:00:00"/>
    <d v="2026-01-30T00:00:00"/>
    <x v="25"/>
    <x v="10"/>
    <s v="0    "/>
    <s v="3002863464 - 3013900884       "/>
    <n v="30"/>
  </r>
  <r>
    <s v="202601"/>
    <s v="1003336739          "/>
    <x v="200"/>
    <x v="26"/>
    <s v="FEVM44933   "/>
    <n v="611721"/>
    <x v="1"/>
    <n v="13"/>
    <d v="2026-01-15T00:00:00"/>
    <d v="2026-01-30T00:00:00"/>
    <x v="25"/>
    <x v="10"/>
    <s v="0    "/>
    <s v="3044454539                    "/>
    <n v="30"/>
  </r>
  <r>
    <s v="202601"/>
    <s v="1003289933          "/>
    <x v="201"/>
    <x v="26"/>
    <s v="FEVM44937   "/>
    <n v="998613"/>
    <x v="1"/>
    <n v="13"/>
    <d v="2026-01-15T00:00:00"/>
    <d v="2026-01-30T00:00:00"/>
    <x v="25"/>
    <x v="10"/>
    <s v="0    "/>
    <s v="3229228485                    "/>
    <n v="30"/>
  </r>
  <r>
    <s v="202601"/>
    <s v="78293319            "/>
    <x v="117"/>
    <x v="59"/>
    <s v="FEVM44938   "/>
    <n v="903601"/>
    <x v="1"/>
    <n v="13"/>
    <d v="2026-01-15T00:00:00"/>
    <d v="2026-01-30T00:00:00"/>
    <x v="25"/>
    <x v="10"/>
    <s v="0    "/>
    <s v="3135677618 -3013982709        "/>
    <n v="0"/>
  </r>
  <r>
    <s v="202601"/>
    <s v="1063361250          "/>
    <x v="304"/>
    <x v="26"/>
    <s v="FEVM44939   "/>
    <n v="226344"/>
    <x v="1"/>
    <n v="13"/>
    <d v="2026-01-15T00:00:00"/>
    <d v="2026-01-30T00:00:00"/>
    <x v="25"/>
    <x v="10"/>
    <s v="0    "/>
    <s v="3146261490 -3106866801        "/>
    <n v="30"/>
  </r>
  <r>
    <s v="202601"/>
    <s v="98600662            "/>
    <x v="118"/>
    <x v="46"/>
    <s v="FEDC157562  "/>
    <n v="3150091"/>
    <x v="3"/>
    <n v="13"/>
    <d v="2026-01-15T00:00:00"/>
    <d v="2026-02-14T00:00:00"/>
    <x v="2"/>
    <x v="9"/>
    <s v="0    "/>
    <s v="3145313565                    "/>
    <n v="30"/>
  </r>
  <r>
    <s v="202601"/>
    <s v="1066721431-6        "/>
    <x v="278"/>
    <x v="46"/>
    <s v="FEDC157563  "/>
    <n v="2285202"/>
    <x v="3"/>
    <n v="13"/>
    <d v="2026-01-15T00:00:00"/>
    <d v="2026-02-14T00:00:00"/>
    <x v="2"/>
    <x v="9"/>
    <s v="0    "/>
    <s v="3106828423-3125599059         "/>
    <n v="30"/>
  </r>
  <r>
    <s v="202601"/>
    <s v="1066721431-6        "/>
    <x v="278"/>
    <x v="46"/>
    <s v="FEDC157564  "/>
    <n v="3494761"/>
    <x v="3"/>
    <n v="13"/>
    <d v="2026-01-15T00:00:00"/>
    <d v="2026-02-14T00:00:00"/>
    <x v="2"/>
    <x v="9"/>
    <s v="0    "/>
    <s v="3106828423-3125599059         "/>
    <n v="30"/>
  </r>
  <r>
    <s v="202601"/>
    <s v="901934200-3         "/>
    <x v="310"/>
    <x v="46"/>
    <s v="FEDC157568  "/>
    <n v="334490"/>
    <x v="3"/>
    <n v="13"/>
    <d v="2026-01-15T00:00:00"/>
    <d v="2026-02-14T00:00:00"/>
    <x v="2"/>
    <x v="9"/>
    <s v="0    "/>
    <s v="3105015996                    "/>
    <n v="30"/>
  </r>
  <r>
    <s v="202601"/>
    <s v="8328496             "/>
    <x v="115"/>
    <x v="3"/>
    <s v="FEDC157569  "/>
    <n v="895800"/>
    <x v="3"/>
    <n v="13"/>
    <d v="2026-01-15T00:00:00"/>
    <d v="2026-02-14T00:00:00"/>
    <x v="2"/>
    <x v="9"/>
    <s v="0    "/>
    <s v="3215166593"/>
    <n v="30"/>
  </r>
  <r>
    <s v="202601"/>
    <s v="8328496             "/>
    <x v="115"/>
    <x v="3"/>
    <s v="FEDC157570  "/>
    <n v="402183"/>
    <x v="3"/>
    <n v="13"/>
    <d v="2026-01-15T00:00:00"/>
    <d v="2026-02-14T00:00:00"/>
    <x v="2"/>
    <x v="9"/>
    <s v="0    "/>
    <s v="3215166593"/>
    <n v="30"/>
  </r>
  <r>
    <s v="202601"/>
    <s v="901589653           "/>
    <x v="413"/>
    <x v="46"/>
    <s v="FEDC157574  "/>
    <n v="205083"/>
    <x v="3"/>
    <n v="13"/>
    <d v="2026-01-15T00:00:00"/>
    <d v="2026-02-14T00:00:00"/>
    <x v="2"/>
    <x v="9"/>
    <s v="0    "/>
    <s v="3136134962                    "/>
    <n v="30"/>
  </r>
  <r>
    <s v="202601"/>
    <s v="98600001            "/>
    <x v="89"/>
    <x v="46"/>
    <s v="FEDC157575  "/>
    <n v="1397428"/>
    <x v="3"/>
    <n v="13"/>
    <d v="2026-01-15T00:00:00"/>
    <d v="2026-02-14T00:00:00"/>
    <x v="2"/>
    <x v="9"/>
    <s v="0    "/>
    <s v="3216130320                    "/>
    <n v="30"/>
  </r>
  <r>
    <s v="202601"/>
    <s v="50918946            "/>
    <x v="308"/>
    <x v="3"/>
    <s v="FEDC157576  "/>
    <n v="300200"/>
    <x v="3"/>
    <n v="13"/>
    <d v="2026-01-15T00:00:00"/>
    <d v="2026-02-14T00:00:00"/>
    <x v="2"/>
    <x v="9"/>
    <s v="0    "/>
    <s v="3135963768 Cleobis -8205181   "/>
    <n v="30"/>
  </r>
  <r>
    <s v="202601"/>
    <s v="50918946            "/>
    <x v="308"/>
    <x v="3"/>
    <s v="FEDC157577  "/>
    <n v="250504"/>
    <x v="3"/>
    <n v="13"/>
    <d v="2026-01-15T00:00:00"/>
    <d v="2026-02-14T00:00:00"/>
    <x v="2"/>
    <x v="9"/>
    <s v="0    "/>
    <s v="3135963768 Cleobis -8205181   "/>
    <n v="30"/>
  </r>
  <r>
    <s v="202601"/>
    <s v="32251626            "/>
    <x v="450"/>
    <x v="3"/>
    <s v="FEDC157578  "/>
    <n v="212040"/>
    <x v="3"/>
    <n v="13"/>
    <d v="2026-01-15T00:00:00"/>
    <d v="2026-02-14T00:00:00"/>
    <x v="2"/>
    <x v="9"/>
    <s v="0    "/>
    <s v="8205149"/>
    <n v="30"/>
  </r>
  <r>
    <s v="202601"/>
    <s v="32251626            "/>
    <x v="450"/>
    <x v="3"/>
    <s v="FEDC157579  "/>
    <n v="653716"/>
    <x v="3"/>
    <n v="13"/>
    <d v="2026-01-15T00:00:00"/>
    <d v="2026-02-14T00:00:00"/>
    <x v="2"/>
    <x v="9"/>
    <s v="0    "/>
    <s v="8205149"/>
    <n v="30"/>
  </r>
  <r>
    <s v="202601"/>
    <s v="8174109             "/>
    <x v="177"/>
    <x v="46"/>
    <s v="FEDC157580  "/>
    <n v="496988"/>
    <x v="3"/>
    <n v="13"/>
    <d v="2026-01-15T00:00:00"/>
    <d v="2026-02-14T00:00:00"/>
    <x v="2"/>
    <x v="9"/>
    <s v="0    "/>
    <s v="8205243"/>
    <n v="30"/>
  </r>
  <r>
    <s v="202601"/>
    <s v="1083458699          "/>
    <x v="451"/>
    <x v="46"/>
    <s v="FEDC157581  "/>
    <n v="274800"/>
    <x v="1"/>
    <n v="13"/>
    <d v="2026-01-15T00:00:00"/>
    <d v="2026-01-30T00:00:00"/>
    <x v="2"/>
    <x v="9"/>
    <s v="0    "/>
    <s v="3122500749-3158565731         "/>
    <n v="30"/>
  </r>
  <r>
    <s v="202601"/>
    <s v="71256025            "/>
    <x v="116"/>
    <x v="46"/>
    <s v="FEDC157582  "/>
    <n v="700922"/>
    <x v="3"/>
    <n v="13"/>
    <d v="2026-01-15T00:00:00"/>
    <d v="2026-02-14T00:00:00"/>
    <x v="2"/>
    <x v="9"/>
    <s v="0    "/>
    <s v="3008137639                    "/>
    <n v="30"/>
  </r>
  <r>
    <s v="202601"/>
    <s v="98600662            "/>
    <x v="118"/>
    <x v="46"/>
    <s v="FEDC157583  "/>
    <n v="3817601"/>
    <x v="3"/>
    <n v="13"/>
    <d v="2026-01-15T00:00:00"/>
    <d v="2026-02-14T00:00:00"/>
    <x v="2"/>
    <x v="9"/>
    <s v="0    "/>
    <s v="3145313565                    "/>
    <n v="30"/>
  </r>
  <r>
    <s v="202601"/>
    <s v="8374032             "/>
    <x v="219"/>
    <x v="13"/>
    <s v="FEDC157633  "/>
    <n v="181200"/>
    <x v="3"/>
    <n v="12"/>
    <d v="2026-01-16T00:00:00"/>
    <d v="2026-02-15T00:00:00"/>
    <x v="18"/>
    <x v="13"/>
    <s v="0    "/>
    <s v="3145644503-323243142          "/>
    <n v="30"/>
  </r>
  <r>
    <s v="202601"/>
    <s v="1038112989          "/>
    <x v="150"/>
    <x v="37"/>
    <s v="FEDC157634  "/>
    <n v="2100000"/>
    <x v="9"/>
    <n v="12"/>
    <d v="2026-01-16T00:00:00"/>
    <d v="2026-01-26T00:00:00"/>
    <x v="18"/>
    <x v="13"/>
    <s v="0    "/>
    <s v="3135912628     "/>
    <n v="30"/>
  </r>
  <r>
    <s v="202601"/>
    <s v="1038112989          "/>
    <x v="150"/>
    <x v="37"/>
    <s v="FEDC157635  "/>
    <n v="5734939"/>
    <x v="3"/>
    <n v="12"/>
    <d v="2026-01-16T00:00:00"/>
    <d v="2026-02-15T00:00:00"/>
    <x v="18"/>
    <x v="13"/>
    <s v="0    "/>
    <s v="3135912628     "/>
    <n v="30"/>
  </r>
  <r>
    <s v="202601"/>
    <s v="91521121            "/>
    <x v="204"/>
    <x v="13"/>
    <s v="FEDC157636  "/>
    <n v="3949995"/>
    <x v="3"/>
    <n v="12"/>
    <d v="2026-01-16T00:00:00"/>
    <d v="2026-02-15T00:00:00"/>
    <x v="18"/>
    <x v="13"/>
    <s v="0    "/>
    <s v="3206429252                    "/>
    <n v="30"/>
  </r>
  <r>
    <s v="202601"/>
    <s v="1007652832          "/>
    <x v="206"/>
    <x v="13"/>
    <s v="FEDC157637  "/>
    <n v="1187123"/>
    <x v="3"/>
    <n v="12"/>
    <d v="2026-01-16T00:00:00"/>
    <d v="2026-02-15T00:00:00"/>
    <x v="18"/>
    <x v="13"/>
    <s v="0    "/>
    <s v="3003097106 -3013682585        "/>
    <n v="30"/>
  </r>
  <r>
    <s v="202601"/>
    <s v="1007652832          "/>
    <x v="206"/>
    <x v="13"/>
    <s v="FEDC157638  "/>
    <n v="3683742"/>
    <x v="3"/>
    <n v="12"/>
    <d v="2026-01-16T00:00:00"/>
    <d v="2026-02-15T00:00:00"/>
    <x v="18"/>
    <x v="13"/>
    <s v="0    "/>
    <s v="3003097106 -3013682585        "/>
    <n v="30"/>
  </r>
  <r>
    <s v="202601"/>
    <s v="1007652832          "/>
    <x v="206"/>
    <x v="13"/>
    <s v="FEDC157639  "/>
    <n v="163800"/>
    <x v="3"/>
    <n v="12"/>
    <d v="2026-01-16T00:00:00"/>
    <d v="2026-02-15T00:00:00"/>
    <x v="18"/>
    <x v="13"/>
    <s v="0    "/>
    <s v="3003097106 -3013682585        "/>
    <n v="30"/>
  </r>
  <r>
    <s v="202601"/>
    <s v="901264229-0         "/>
    <x v="215"/>
    <x v="68"/>
    <s v="FEDC157640  "/>
    <n v="5725588"/>
    <x v="3"/>
    <n v="12"/>
    <d v="2026-01-16T00:00:00"/>
    <d v="2026-02-15T00:00:00"/>
    <x v="18"/>
    <x v="5"/>
    <s v="0    "/>
    <s v="3167390770                    "/>
    <n v="30"/>
  </r>
  <r>
    <s v="202601"/>
    <s v="70852289            "/>
    <x v="452"/>
    <x v="37"/>
    <s v="FEDC157641  "/>
    <n v="420000"/>
    <x v="9"/>
    <n v="12"/>
    <d v="2026-01-16T00:00:00"/>
    <d v="2026-01-26T00:00:00"/>
    <x v="18"/>
    <x v="13"/>
    <s v="0    "/>
    <s v="8397282                       "/>
    <n v="30"/>
  </r>
  <r>
    <s v="202601"/>
    <s v="1042767045          "/>
    <x v="377"/>
    <x v="13"/>
    <s v="FEDC157642  "/>
    <n v="940044"/>
    <x v="3"/>
    <n v="12"/>
    <d v="2026-01-16T00:00:00"/>
    <d v="2026-02-15T00:00:00"/>
    <x v="18"/>
    <x v="13"/>
    <s v="0    "/>
    <s v="312769089                     "/>
    <n v="30"/>
  </r>
  <r>
    <s v="202601"/>
    <s v="700413634           "/>
    <x v="327"/>
    <x v="13"/>
    <s v="FEDC157644  "/>
    <n v="414009"/>
    <x v="3"/>
    <n v="12"/>
    <d v="2026-01-16T00:00:00"/>
    <d v="2026-02-15T00:00:00"/>
    <x v="18"/>
    <x v="13"/>
    <s v="0    "/>
    <s v="3234897680                    "/>
    <n v="30"/>
  </r>
  <r>
    <s v="202601"/>
    <s v="3443977             "/>
    <x v="351"/>
    <x v="37"/>
    <s v="FEDC157646  "/>
    <n v="371244"/>
    <x v="3"/>
    <n v="12"/>
    <d v="2026-01-16T00:00:00"/>
    <d v="2026-02-15T00:00:00"/>
    <x v="18"/>
    <x v="13"/>
    <s v="0    "/>
    <s v="8394641"/>
    <n v="30"/>
  </r>
  <r>
    <s v="202601"/>
    <s v="901837774           "/>
    <x v="453"/>
    <x v="13"/>
    <s v="FEDC157653  "/>
    <n v="10759313"/>
    <x v="3"/>
    <n v="12"/>
    <d v="2026-01-16T00:00:00"/>
    <d v="2026-02-15T00:00:00"/>
    <x v="18"/>
    <x v="1"/>
    <s v="0    "/>
    <s v="3122922899                    "/>
    <n v="1"/>
  </r>
  <r>
    <s v="202601"/>
    <s v="1007743120          "/>
    <x v="454"/>
    <x v="13"/>
    <s v="FEDC157656  "/>
    <n v="437400"/>
    <x v="3"/>
    <n v="12"/>
    <d v="2026-01-16T00:00:00"/>
    <d v="2026-02-15T00:00:00"/>
    <x v="18"/>
    <x v="11"/>
    <s v="0    "/>
    <s v="3124495772                    "/>
    <n v="30"/>
  </r>
  <r>
    <s v="202601"/>
    <s v="901837774           "/>
    <x v="453"/>
    <x v="13"/>
    <s v="FEDC157657  "/>
    <n v="13568803"/>
    <x v="3"/>
    <n v="12"/>
    <d v="2026-01-16T00:00:00"/>
    <d v="2026-02-15T00:00:00"/>
    <x v="18"/>
    <x v="1"/>
    <s v="0    "/>
    <s v="3122922899                    "/>
    <n v="1"/>
  </r>
  <r>
    <s v="202601"/>
    <s v="91521121            "/>
    <x v="204"/>
    <x v="13"/>
    <s v="FEDC157662  "/>
    <n v="7568155"/>
    <x v="3"/>
    <n v="12"/>
    <d v="2026-01-16T00:00:00"/>
    <d v="2026-02-15T00:00:00"/>
    <x v="18"/>
    <x v="13"/>
    <s v="0    "/>
    <s v="3206429252                    "/>
    <n v="30"/>
  </r>
  <r>
    <s v="202601"/>
    <s v="1                   "/>
    <x v="208"/>
    <x v="13"/>
    <s v="FEDC157725  "/>
    <n v="42000"/>
    <x v="5"/>
    <n v="12"/>
    <d v="2026-01-16T00:00:00"/>
    <d v="2026-01-17T00:00:00"/>
    <x v="18"/>
    <x v="11"/>
    <s v="0    "/>
    <s v=""/>
    <n v="1"/>
  </r>
  <r>
    <s v="202601"/>
    <s v="901679438-5         "/>
    <x v="207"/>
    <x v="12"/>
    <s v="FEDC157727  "/>
    <n v="5298446"/>
    <x v="3"/>
    <n v="12"/>
    <d v="2026-01-16T00:00:00"/>
    <d v="2026-02-15T00:00:00"/>
    <x v="18"/>
    <x v="1"/>
    <s v="0    "/>
    <s v="3142941956                    "/>
    <n v="30"/>
  </r>
  <r>
    <s v="202601"/>
    <s v="900433054-0         "/>
    <x v="455"/>
    <x v="27"/>
    <s v="FEDC157619  "/>
    <n v="290054"/>
    <x v="3"/>
    <n v="12"/>
    <d v="2026-01-16T00:00:00"/>
    <d v="2026-02-15T00:00:00"/>
    <x v="14"/>
    <x v="4"/>
    <s v="0    "/>
    <s v="3137094698"/>
    <n v="30"/>
  </r>
  <r>
    <s v="202601"/>
    <s v="78646687            "/>
    <x v="108"/>
    <x v="58"/>
    <s v="FEDC157621  "/>
    <n v="2281591"/>
    <x v="3"/>
    <n v="12"/>
    <d v="2026-01-16T00:00:00"/>
    <d v="2026-02-15T00:00:00"/>
    <x v="14"/>
    <x v="4"/>
    <s v="0    "/>
    <s v="3135074289                    "/>
    <n v="30"/>
  </r>
  <r>
    <s v="202601"/>
    <s v="78646687            "/>
    <x v="108"/>
    <x v="58"/>
    <s v="FEDC157622  "/>
    <n v="2579976"/>
    <x v="3"/>
    <n v="12"/>
    <d v="2026-01-16T00:00:00"/>
    <d v="2026-02-15T00:00:00"/>
    <x v="14"/>
    <x v="4"/>
    <s v="0    "/>
    <s v="3135074289                    "/>
    <n v="30"/>
  </r>
  <r>
    <s v="202601"/>
    <s v="1026569148          "/>
    <x v="196"/>
    <x v="60"/>
    <s v="FEDC157626  "/>
    <n v="475468"/>
    <x v="3"/>
    <n v="12"/>
    <d v="2026-01-16T00:00:00"/>
    <d v="2026-02-15T00:00:00"/>
    <x v="14"/>
    <x v="4"/>
    <s v="0    "/>
    <s v="3135069525     "/>
    <n v="30"/>
  </r>
  <r>
    <s v="202601"/>
    <s v="1041087282          "/>
    <x v="318"/>
    <x v="74"/>
    <s v="FEDC157627  "/>
    <n v="5152451"/>
    <x v="3"/>
    <n v="12"/>
    <d v="2026-01-16T00:00:00"/>
    <d v="2026-02-15T00:00:00"/>
    <x v="14"/>
    <x v="4"/>
    <s v="0    "/>
    <s v="3223604097                    "/>
    <n v="30"/>
  </r>
  <r>
    <s v="202601"/>
    <s v="1041087282          "/>
    <x v="318"/>
    <x v="74"/>
    <s v="FEDC157628  "/>
    <n v="2100000"/>
    <x v="3"/>
    <n v="12"/>
    <d v="2026-01-16T00:00:00"/>
    <d v="2026-02-15T00:00:00"/>
    <x v="14"/>
    <x v="4"/>
    <s v="0    "/>
    <s v="3223604097                    "/>
    <n v="30"/>
  </r>
  <r>
    <s v="202601"/>
    <s v="1041087282          "/>
    <x v="318"/>
    <x v="74"/>
    <s v="FEDC157629  "/>
    <n v="1314290"/>
    <x v="3"/>
    <n v="12"/>
    <d v="2026-01-16T00:00:00"/>
    <d v="2026-02-15T00:00:00"/>
    <x v="14"/>
    <x v="4"/>
    <s v="0    "/>
    <s v="3223604097                    "/>
    <n v="30"/>
  </r>
  <r>
    <s v="202601"/>
    <s v="26230803-9          "/>
    <x v="198"/>
    <x v="75"/>
    <s v="FEDC157630  "/>
    <n v="2539669"/>
    <x v="3"/>
    <n v="12"/>
    <d v="2026-01-16T00:00:00"/>
    <d v="2026-02-15T00:00:00"/>
    <x v="14"/>
    <x v="4"/>
    <s v="0    "/>
    <s v="3108901980                    "/>
    <n v="30"/>
  </r>
  <r>
    <s v="202601"/>
    <s v="92519934            "/>
    <x v="82"/>
    <x v="48"/>
    <s v="FEDC157631  "/>
    <n v="1210028"/>
    <x v="3"/>
    <n v="12"/>
    <d v="2026-01-16T00:00:00"/>
    <d v="2026-02-15T00:00:00"/>
    <x v="14"/>
    <x v="4"/>
    <s v="0    "/>
    <s v="3156590971                    "/>
    <n v="30"/>
  </r>
  <r>
    <s v="202601"/>
    <s v="1041087282          "/>
    <x v="318"/>
    <x v="74"/>
    <s v="FEDC157664  "/>
    <n v="183000"/>
    <x v="3"/>
    <n v="12"/>
    <d v="2026-01-16T00:00:00"/>
    <d v="2026-02-15T00:00:00"/>
    <x v="14"/>
    <x v="4"/>
    <s v="0    "/>
    <s v="3223604097                    "/>
    <n v="30"/>
  </r>
  <r>
    <s v="202601"/>
    <s v="32117624            "/>
    <x v="456"/>
    <x v="53"/>
    <s v="FEVM44986   "/>
    <n v="38100"/>
    <x v="5"/>
    <n v="12"/>
    <d v="2026-01-16T00:00:00"/>
    <d v="2026-01-17T00:00:00"/>
    <x v="10"/>
    <x v="6"/>
    <s v="0    "/>
    <s v="3117649944                    "/>
    <n v="1"/>
  </r>
  <r>
    <s v="202601"/>
    <s v="92501942            "/>
    <x v="457"/>
    <x v="42"/>
    <s v="FEDC157690  "/>
    <n v="3922755"/>
    <x v="3"/>
    <n v="12"/>
    <d v="2026-01-16T00:00:00"/>
    <d v="2026-02-15T00:00:00"/>
    <x v="38"/>
    <x v="8"/>
    <s v="0    "/>
    <s v="3205655447     "/>
    <n v="30"/>
  </r>
  <r>
    <s v="202601"/>
    <s v="1067936100          "/>
    <x v="458"/>
    <x v="18"/>
    <s v="FEDC157712  "/>
    <n v="467599"/>
    <x v="3"/>
    <n v="12"/>
    <d v="2026-01-16T00:00:00"/>
    <d v="2026-02-15T00:00:00"/>
    <x v="38"/>
    <x v="8"/>
    <s v="0    "/>
    <s v="3205310645                    "/>
    <n v="30"/>
  </r>
  <r>
    <s v="202601"/>
    <s v="1067936100          "/>
    <x v="458"/>
    <x v="18"/>
    <s v="FEDC157713  "/>
    <n v="2963506"/>
    <x v="3"/>
    <n v="12"/>
    <d v="2026-01-16T00:00:00"/>
    <d v="2026-02-15T00:00:00"/>
    <x v="38"/>
    <x v="8"/>
    <s v="0    "/>
    <s v="3205310645                    "/>
    <n v="30"/>
  </r>
  <r>
    <s v="202601"/>
    <s v="98673917            "/>
    <x v="373"/>
    <x v="89"/>
    <s v="FEVM45033   "/>
    <n v="343801"/>
    <x v="1"/>
    <n v="12"/>
    <d v="2026-01-16T00:00:00"/>
    <d v="2026-01-31T00:00:00"/>
    <x v="13"/>
    <x v="6"/>
    <s v="0    "/>
    <s v="3117967418"/>
    <n v="15"/>
  </r>
  <r>
    <s v="202601"/>
    <s v="15678336            "/>
    <x v="459"/>
    <x v="2"/>
    <s v="FEVM44959   "/>
    <n v="316787"/>
    <x v="10"/>
    <n v="12"/>
    <d v="2026-01-16T00:00:00"/>
    <d v="2026-01-24T00:00:00"/>
    <x v="1"/>
    <x v="3"/>
    <s v="0    "/>
    <s v="3145552342"/>
    <n v="8"/>
  </r>
  <r>
    <s v="202601"/>
    <s v="1042764662          "/>
    <x v="460"/>
    <x v="2"/>
    <s v="FEVM44991   "/>
    <n v="1362982"/>
    <x v="1"/>
    <n v="12"/>
    <d v="2026-01-16T00:00:00"/>
    <d v="2026-01-31T00:00:00"/>
    <x v="1"/>
    <x v="3"/>
    <s v="0    "/>
    <s v="3122277006"/>
    <n v="15"/>
  </r>
  <r>
    <s v="202601"/>
    <s v="15324262            "/>
    <x v="355"/>
    <x v="1"/>
    <s v="FEVM44994   "/>
    <n v="2533736"/>
    <x v="1"/>
    <n v="12"/>
    <d v="2026-01-16T00:00:00"/>
    <d v="2026-01-31T00:00:00"/>
    <x v="1"/>
    <x v="12"/>
    <s v="0    "/>
    <s v="3156821158                    "/>
    <n v="8"/>
  </r>
  <r>
    <s v="202601"/>
    <s v="8047390             "/>
    <x v="461"/>
    <x v="2"/>
    <s v="FEVM45006   "/>
    <n v="805115"/>
    <x v="1"/>
    <n v="12"/>
    <d v="2026-01-16T00:00:00"/>
    <d v="2026-01-31T00:00:00"/>
    <x v="1"/>
    <x v="3"/>
    <s v="0    "/>
    <s v="3126589307                    "/>
    <n v="15"/>
  </r>
  <r>
    <s v="202601"/>
    <s v="901469032           "/>
    <x v="322"/>
    <x v="24"/>
    <s v="FEDC157654  "/>
    <n v="5112072"/>
    <x v="3"/>
    <n v="12"/>
    <d v="2026-01-16T00:00:00"/>
    <d v="2026-02-15T00:00:00"/>
    <x v="24"/>
    <x v="12"/>
    <s v="0    "/>
    <s v="3215382384                    "/>
    <n v="30"/>
  </r>
  <r>
    <s v="202601"/>
    <s v="78585018            "/>
    <x v="462"/>
    <x v="44"/>
    <s v="FEVM45000   "/>
    <n v="774485"/>
    <x v="1"/>
    <n v="12"/>
    <d v="2026-01-16T00:00:00"/>
    <d v="2026-01-31T00:00:00"/>
    <x v="24"/>
    <x v="3"/>
    <s v="0    "/>
    <s v="3135243208"/>
    <n v="15"/>
  </r>
  <r>
    <s v="202601"/>
    <s v="98652204            "/>
    <x v="463"/>
    <x v="44"/>
    <s v="FEVM45008   "/>
    <n v="212232"/>
    <x v="1"/>
    <n v="12"/>
    <d v="2026-01-16T00:00:00"/>
    <d v="2026-01-31T00:00:00"/>
    <x v="24"/>
    <x v="3"/>
    <s v="0    "/>
    <s v="3126851961"/>
    <n v="15"/>
  </r>
  <r>
    <s v="202601"/>
    <s v="98652204            "/>
    <x v="463"/>
    <x v="44"/>
    <s v="FEVM45009   "/>
    <n v="42500"/>
    <x v="1"/>
    <n v="12"/>
    <d v="2026-01-16T00:00:00"/>
    <d v="2026-01-31T00:00:00"/>
    <x v="24"/>
    <x v="3"/>
    <s v="0    "/>
    <s v="3126851961"/>
    <n v="15"/>
  </r>
  <r>
    <s v="202601"/>
    <s v="1121326920          "/>
    <x v="381"/>
    <x v="24"/>
    <s v="FEVM45013   "/>
    <n v="133500"/>
    <x v="1"/>
    <n v="12"/>
    <d v="2026-01-16T00:00:00"/>
    <d v="2026-01-31T00:00:00"/>
    <x v="24"/>
    <x v="3"/>
    <s v="0    "/>
    <s v="3106302098                    "/>
    <n v="30"/>
  </r>
  <r>
    <s v="202601"/>
    <s v="901441506-5         "/>
    <x v="432"/>
    <x v="62"/>
    <s v="FEDC157632  "/>
    <n v="22800000"/>
    <x v="3"/>
    <n v="12"/>
    <d v="2026-01-16T00:00:00"/>
    <d v="2026-02-15T00:00:00"/>
    <x v="37"/>
    <x v="12"/>
    <s v="0    "/>
    <s v="7767418- 3164111781           "/>
    <n v="30"/>
  </r>
  <r>
    <s v="202601"/>
    <s v="901441506-5         "/>
    <x v="432"/>
    <x v="62"/>
    <s v="FEDC157660  "/>
    <n v="3780528"/>
    <x v="3"/>
    <n v="12"/>
    <d v="2026-01-16T00:00:00"/>
    <d v="2026-02-15T00:00:00"/>
    <x v="37"/>
    <x v="12"/>
    <s v="0    "/>
    <s v="7767418- 3164111781           "/>
    <n v="30"/>
  </r>
  <r>
    <s v="202601"/>
    <s v="10953882            "/>
    <x v="125"/>
    <x v="62"/>
    <s v="FEDC157719  "/>
    <n v="2230512"/>
    <x v="3"/>
    <n v="12"/>
    <d v="2026-01-16T00:00:00"/>
    <d v="2026-02-15T00:00:00"/>
    <x v="37"/>
    <x v="12"/>
    <s v="0    "/>
    <s v="3205413224                    "/>
    <n v="30"/>
  </r>
  <r>
    <s v="202601"/>
    <s v="10953882            "/>
    <x v="125"/>
    <x v="62"/>
    <s v="FEDC157720  "/>
    <n v="6338271"/>
    <x v="3"/>
    <n v="12"/>
    <d v="2026-01-16T00:00:00"/>
    <d v="2026-02-15T00:00:00"/>
    <x v="37"/>
    <x v="12"/>
    <s v="0    "/>
    <s v="3205413224                    "/>
    <n v="30"/>
  </r>
  <r>
    <s v="202601"/>
    <s v="15309183            "/>
    <x v="152"/>
    <x v="70"/>
    <s v="FEDC157677  "/>
    <n v="1718748"/>
    <x v="3"/>
    <n v="12"/>
    <d v="2026-01-16T00:00:00"/>
    <d v="2026-02-15T00:00:00"/>
    <x v="35"/>
    <x v="12"/>
    <s v="0    "/>
    <s v="3217254890                    "/>
    <n v="30"/>
  </r>
  <r>
    <s v="202601"/>
    <s v="11153206            "/>
    <x v="464"/>
    <x v="70"/>
    <s v="FEDC157679  "/>
    <n v="840000"/>
    <x v="10"/>
    <n v="12"/>
    <d v="2026-01-16T00:00:00"/>
    <d v="2026-01-24T00:00:00"/>
    <x v="35"/>
    <x v="12"/>
    <s v="0    "/>
    <s v="3105486719     "/>
    <n v="25"/>
  </r>
  <r>
    <s v="202601"/>
    <s v="78290785            "/>
    <x v="271"/>
    <x v="70"/>
    <s v="FEDC157680  "/>
    <n v="167000"/>
    <x v="3"/>
    <n v="12"/>
    <d v="2026-01-16T00:00:00"/>
    <d v="2026-02-15T00:00:00"/>
    <x v="35"/>
    <x v="12"/>
    <s v="0    "/>
    <s v="3157383902     "/>
    <n v="30"/>
  </r>
  <r>
    <s v="202601"/>
    <s v="78290785            "/>
    <x v="271"/>
    <x v="70"/>
    <s v="FEDC157681  "/>
    <n v="637500"/>
    <x v="3"/>
    <n v="12"/>
    <d v="2026-01-16T00:00:00"/>
    <d v="2026-02-15T00:00:00"/>
    <x v="35"/>
    <x v="12"/>
    <s v="0    "/>
    <s v="3157383902     "/>
    <n v="30"/>
  </r>
  <r>
    <s v="202601"/>
    <s v="1193127295          "/>
    <x v="212"/>
    <x v="76"/>
    <s v="FEDC157683  "/>
    <n v="1194308"/>
    <x v="3"/>
    <n v="12"/>
    <d v="2026-01-16T00:00:00"/>
    <d v="2026-02-15T00:00:00"/>
    <x v="35"/>
    <x v="12"/>
    <s v="0    "/>
    <s v="3212393367                    "/>
    <n v="15"/>
  </r>
  <r>
    <s v="202601"/>
    <s v="78105571            "/>
    <x v="382"/>
    <x v="70"/>
    <s v="FEDC157716  "/>
    <n v="638429"/>
    <x v="3"/>
    <n v="12"/>
    <d v="2026-01-16T00:00:00"/>
    <d v="2026-02-15T00:00:00"/>
    <x v="35"/>
    <x v="12"/>
    <s v="0    "/>
    <s v="3136957750     "/>
    <n v="30"/>
  </r>
  <r>
    <s v="202601"/>
    <s v="1036422731          "/>
    <x v="112"/>
    <x v="12"/>
    <s v="FEDC157620  "/>
    <n v="3844432"/>
    <x v="3"/>
    <n v="12"/>
    <d v="2026-01-16T00:00:00"/>
    <d v="2026-02-15T00:00:00"/>
    <x v="9"/>
    <x v="1"/>
    <s v="0    "/>
    <s v="3136876168                    "/>
    <n v="1"/>
  </r>
  <r>
    <s v="202601"/>
    <s v="1036422731          "/>
    <x v="112"/>
    <x v="12"/>
    <s v="FEDC157665  "/>
    <n v="521895"/>
    <x v="3"/>
    <n v="12"/>
    <d v="2026-01-16T00:00:00"/>
    <d v="2026-02-15T00:00:00"/>
    <x v="9"/>
    <x v="1"/>
    <s v="0    "/>
    <s v="3136876168                    "/>
    <n v="1"/>
  </r>
  <r>
    <s v="202601"/>
    <s v="42785040            "/>
    <x v="301"/>
    <x v="12"/>
    <s v="FEDC157667  "/>
    <n v="482119"/>
    <x v="3"/>
    <n v="12"/>
    <d v="2026-01-16T00:00:00"/>
    <d v="2026-02-15T00:00:00"/>
    <x v="9"/>
    <x v="1"/>
    <s v="0    "/>
    <s v="3147014009                    "/>
    <n v="30"/>
  </r>
  <r>
    <s v="202601"/>
    <s v="1049030953          "/>
    <x v="324"/>
    <x v="12"/>
    <s v="FEDC157726  "/>
    <n v="5960015"/>
    <x v="3"/>
    <n v="12"/>
    <d v="2026-01-16T00:00:00"/>
    <d v="2026-02-15T00:00:00"/>
    <x v="9"/>
    <x v="1"/>
    <s v="0    "/>
    <s v="3148877185                    "/>
    <n v="30"/>
  </r>
  <r>
    <s v="202601"/>
    <s v="43896297            "/>
    <x v="465"/>
    <x v="12"/>
    <s v="FEDC157728  "/>
    <n v="1842401"/>
    <x v="3"/>
    <n v="12"/>
    <d v="2026-01-16T00:00:00"/>
    <d v="2026-02-15T00:00:00"/>
    <x v="9"/>
    <x v="1"/>
    <s v="0    "/>
    <s v="8378262        "/>
    <n v="30"/>
  </r>
  <r>
    <s v="202601"/>
    <s v="1                   "/>
    <x v="208"/>
    <x v="13"/>
    <s v="FEDC157689  "/>
    <n v="-2"/>
    <x v="5"/>
    <n v="12"/>
    <d v="2026-01-16T00:00:00"/>
    <d v="2026-01-17T00:00:00"/>
    <x v="17"/>
    <x v="8"/>
    <s v="0    "/>
    <s v=""/>
    <n v="1"/>
  </r>
  <r>
    <s v="202601"/>
    <s v="1083458699          "/>
    <x v="451"/>
    <x v="46"/>
    <s v="FEDC157694  "/>
    <n v="55900"/>
    <x v="3"/>
    <n v="12"/>
    <d v="2026-01-16T00:00:00"/>
    <d v="2026-02-15T00:00:00"/>
    <x v="2"/>
    <x v="9"/>
    <s v="0    "/>
    <s v="3122500749-3158565731         "/>
    <n v="30"/>
  </r>
  <r>
    <s v="202601"/>
    <s v="1066721431-6        "/>
    <x v="278"/>
    <x v="46"/>
    <s v="FEDC157695  "/>
    <n v="1910001"/>
    <x v="3"/>
    <n v="12"/>
    <d v="2026-01-16T00:00:00"/>
    <d v="2026-02-15T00:00:00"/>
    <x v="2"/>
    <x v="9"/>
    <s v="0    "/>
    <s v="3106828423-3125599059         "/>
    <n v="30"/>
  </r>
  <r>
    <s v="202601"/>
    <s v="1041261379          "/>
    <x v="189"/>
    <x v="3"/>
    <s v="FEDC157696  "/>
    <n v="315004"/>
    <x v="3"/>
    <n v="12"/>
    <d v="2026-01-16T00:00:00"/>
    <d v="2026-02-15T00:00:00"/>
    <x v="2"/>
    <x v="9"/>
    <s v="0    "/>
    <s v="3128631222                    "/>
    <n v="30"/>
  </r>
  <r>
    <s v="202601"/>
    <s v="1041261379          "/>
    <x v="189"/>
    <x v="3"/>
    <s v="FEDC157697  "/>
    <n v="504000"/>
    <x v="3"/>
    <n v="12"/>
    <d v="2026-01-16T00:00:00"/>
    <d v="2026-02-15T00:00:00"/>
    <x v="2"/>
    <x v="9"/>
    <s v="0    "/>
    <s v="3128631222                    "/>
    <n v="30"/>
  </r>
  <r>
    <s v="202601"/>
    <s v="1073996347          "/>
    <x v="122"/>
    <x v="46"/>
    <s v="FEDC157707  "/>
    <n v="5700000"/>
    <x v="3"/>
    <n v="12"/>
    <d v="2026-01-16T00:00:00"/>
    <d v="2026-02-15T00:00:00"/>
    <x v="2"/>
    <x v="9"/>
    <s v="0    "/>
    <s v="3167167184                    "/>
    <n v="30"/>
  </r>
  <r>
    <s v="202601"/>
    <s v="1073996347          "/>
    <x v="122"/>
    <x v="46"/>
    <s v="FEDC157708  "/>
    <n v="1620980"/>
    <x v="3"/>
    <n v="12"/>
    <d v="2026-01-16T00:00:00"/>
    <d v="2026-02-15T00:00:00"/>
    <x v="2"/>
    <x v="9"/>
    <s v="0    "/>
    <s v="3167167184                    "/>
    <n v="30"/>
  </r>
  <r>
    <s v="202601"/>
    <s v="98611367            "/>
    <x v="123"/>
    <x v="46"/>
    <s v="FEDC157709  "/>
    <n v="687100"/>
    <x v="3"/>
    <n v="12"/>
    <d v="2026-01-16T00:00:00"/>
    <d v="2026-02-15T00:00:00"/>
    <x v="2"/>
    <x v="9"/>
    <s v="0    "/>
    <s v="3182088367-3155764811         "/>
    <n v="30"/>
  </r>
  <r>
    <s v="202601"/>
    <s v="98611367            "/>
    <x v="123"/>
    <x v="46"/>
    <s v="FEDC157710  "/>
    <n v="1790304"/>
    <x v="3"/>
    <n v="12"/>
    <d v="2026-01-16T00:00:00"/>
    <d v="2026-02-15T00:00:00"/>
    <x v="2"/>
    <x v="9"/>
    <s v="0    "/>
    <s v="3182088367-3155764811         "/>
    <n v="30"/>
  </r>
  <r>
    <s v="202601"/>
    <s v="1003344190          "/>
    <x v="334"/>
    <x v="28"/>
    <s v="FEDC157698  "/>
    <n v="1850501"/>
    <x v="3"/>
    <n v="12"/>
    <d v="2026-01-16T00:00:00"/>
    <d v="2026-02-15T00:00:00"/>
    <x v="26"/>
    <x v="9"/>
    <s v="0    "/>
    <s v="3108442865                    "/>
    <n v="30"/>
  </r>
  <r>
    <s v="202601"/>
    <s v="1003344190          "/>
    <x v="334"/>
    <x v="28"/>
    <s v="FEDC157699  "/>
    <n v="2535194"/>
    <x v="3"/>
    <n v="12"/>
    <d v="2026-01-16T00:00:00"/>
    <d v="2026-02-15T00:00:00"/>
    <x v="26"/>
    <x v="9"/>
    <s v="0    "/>
    <s v="3108442865                    "/>
    <n v="30"/>
  </r>
  <r>
    <s v="202601"/>
    <s v="7384555-9           "/>
    <x v="466"/>
    <x v="28"/>
    <s v="FEDC157702  "/>
    <n v="1686000"/>
    <x v="3"/>
    <n v="12"/>
    <d v="2026-01-16T00:00:00"/>
    <d v="2026-02-15T00:00:00"/>
    <x v="26"/>
    <x v="9"/>
    <s v="0    "/>
    <s v="3145420020     "/>
    <n v="30"/>
  </r>
  <r>
    <s v="202601"/>
    <s v="7384555-9           "/>
    <x v="466"/>
    <x v="28"/>
    <s v="FEDC157703  "/>
    <n v="3308052"/>
    <x v="3"/>
    <n v="12"/>
    <d v="2026-01-16T00:00:00"/>
    <d v="2026-02-15T00:00:00"/>
    <x v="26"/>
    <x v="9"/>
    <s v="0    "/>
    <s v="3145420020     "/>
    <n v="30"/>
  </r>
  <r>
    <s v="202601"/>
    <s v="43474894            "/>
    <x v="124"/>
    <x v="61"/>
    <s v="FEDC157704  "/>
    <n v="1272000"/>
    <x v="3"/>
    <n v="12"/>
    <d v="2026-01-16T00:00:00"/>
    <d v="2026-02-15T00:00:00"/>
    <x v="26"/>
    <x v="9"/>
    <s v="0    "/>
    <s v="3127806146"/>
    <n v="30"/>
  </r>
  <r>
    <s v="202601"/>
    <s v="43474894            "/>
    <x v="124"/>
    <x v="61"/>
    <s v="FEDC157705  "/>
    <n v="3781936"/>
    <x v="3"/>
    <n v="12"/>
    <d v="2026-01-16T00:00:00"/>
    <d v="2026-02-15T00:00:00"/>
    <x v="26"/>
    <x v="9"/>
    <s v="0    "/>
    <s v="3127806146"/>
    <n v="30"/>
  </r>
  <r>
    <s v="202601"/>
    <s v="98599124            "/>
    <x v="92"/>
    <x v="28"/>
    <s v="FEDC157722  "/>
    <n v="385800"/>
    <x v="3"/>
    <n v="12"/>
    <d v="2026-01-16T00:00:00"/>
    <d v="2026-02-15T00:00:00"/>
    <x v="26"/>
    <x v="9"/>
    <s v="0    "/>
    <s v="3117412176                    "/>
    <n v="1"/>
  </r>
  <r>
    <s v="202601"/>
    <s v="98599124            "/>
    <x v="92"/>
    <x v="28"/>
    <s v="FEDC157723  "/>
    <n v="1825882"/>
    <x v="3"/>
    <n v="12"/>
    <d v="2026-01-16T00:00:00"/>
    <d v="2026-02-15T00:00:00"/>
    <x v="26"/>
    <x v="9"/>
    <s v="0    "/>
    <s v="3117412176                    "/>
    <n v="1"/>
  </r>
  <r>
    <s v="202601"/>
    <s v="1001159461          "/>
    <x v="280"/>
    <x v="63"/>
    <s v="FEDC157668  "/>
    <n v="1193294"/>
    <x v="3"/>
    <n v="12"/>
    <d v="2026-01-16T00:00:00"/>
    <d v="2026-02-15T00:00:00"/>
    <x v="44"/>
    <x v="13"/>
    <s v="0    "/>
    <s v="3147480422                    "/>
    <n v="30"/>
  </r>
  <r>
    <s v="202601"/>
    <s v="98673091            "/>
    <x v="279"/>
    <x v="84"/>
    <s v="FEDC157669  "/>
    <n v="49248"/>
    <x v="9"/>
    <n v="12"/>
    <d v="2026-01-16T00:00:00"/>
    <d v="2026-01-26T00:00:00"/>
    <x v="44"/>
    <x v="13"/>
    <s v="0    "/>
    <s v="3206802136                    "/>
    <n v="30"/>
  </r>
  <r>
    <s v="202601"/>
    <s v="98673091            "/>
    <x v="279"/>
    <x v="84"/>
    <s v="FEDC157670  "/>
    <n v="630000"/>
    <x v="9"/>
    <n v="12"/>
    <d v="2026-01-16T00:00:00"/>
    <d v="2026-01-26T00:00:00"/>
    <x v="44"/>
    <x v="13"/>
    <s v="0    "/>
    <s v="3206802136                    "/>
    <n v="30"/>
  </r>
  <r>
    <s v="202601"/>
    <s v="1037546996-1        "/>
    <x v="388"/>
    <x v="63"/>
    <s v="FEDC157671  "/>
    <n v="1478377"/>
    <x v="3"/>
    <n v="12"/>
    <d v="2026-01-16T00:00:00"/>
    <d v="2026-02-15T00:00:00"/>
    <x v="44"/>
    <x v="13"/>
    <s v="0    "/>
    <s v="3206411933                    "/>
    <n v="30"/>
  </r>
  <r>
    <s v="202601"/>
    <s v="1037546996-1        "/>
    <x v="388"/>
    <x v="63"/>
    <s v="FEDC157672  "/>
    <n v="2940000"/>
    <x v="9"/>
    <n v="12"/>
    <d v="2026-01-16T00:00:00"/>
    <d v="2026-01-26T00:00:00"/>
    <x v="44"/>
    <x v="13"/>
    <s v="0    "/>
    <s v="3206411933                    "/>
    <n v="30"/>
  </r>
  <r>
    <s v="202601"/>
    <s v="1007452788          "/>
    <x v="191"/>
    <x v="63"/>
    <s v="FEDC157675  "/>
    <n v="2436000"/>
    <x v="9"/>
    <n v="12"/>
    <d v="2026-01-16T00:00:00"/>
    <d v="2026-01-26T00:00:00"/>
    <x v="44"/>
    <x v="13"/>
    <s v="0    "/>
    <s v="3137712482                    "/>
    <n v="30"/>
  </r>
  <r>
    <s v="202601"/>
    <s v="1066570267          "/>
    <x v="467"/>
    <x v="63"/>
    <s v="FEVM44980   "/>
    <n v="412400"/>
    <x v="10"/>
    <n v="12"/>
    <d v="2026-01-16T00:00:00"/>
    <d v="2026-01-24T00:00:00"/>
    <x v="44"/>
    <x v="6"/>
    <s v="0    "/>
    <s v="3116980810-3209104630         "/>
    <n v="8"/>
  </r>
  <r>
    <s v="202601"/>
    <s v="8045405             "/>
    <x v="126"/>
    <x v="63"/>
    <s v="FEVM45054   "/>
    <n v="611000"/>
    <x v="9"/>
    <n v="12"/>
    <d v="2026-01-16T00:00:00"/>
    <d v="2026-01-26T00:00:00"/>
    <x v="44"/>
    <x v="6"/>
    <s v="0    "/>
    <s v="3122016396                    "/>
    <n v="30"/>
  </r>
  <r>
    <s v="202601"/>
    <s v="1038138797          "/>
    <x v="182"/>
    <x v="13"/>
    <s v="FEDC157733  "/>
    <n v="2100000"/>
    <x v="9"/>
    <n v="11"/>
    <d v="2026-01-17T00:00:00"/>
    <d v="2026-01-27T00:00:00"/>
    <x v="18"/>
    <x v="13"/>
    <s v="0    "/>
    <s v="3223117873                    "/>
    <n v="30"/>
  </r>
  <r>
    <s v="202601"/>
    <s v="1007444837          "/>
    <x v="468"/>
    <x v="13"/>
    <s v="FEDC157734  "/>
    <n v="2428000"/>
    <x v="9"/>
    <n v="11"/>
    <d v="2026-01-17T00:00:00"/>
    <d v="2026-01-27T00:00:00"/>
    <x v="18"/>
    <x v="13"/>
    <s v="0    "/>
    <s v="3117408701     "/>
    <n v="30"/>
  </r>
  <r>
    <s v="202601"/>
    <s v="1038129599          "/>
    <x v="251"/>
    <x v="13"/>
    <s v="FEDC157735  "/>
    <n v="2750598"/>
    <x v="3"/>
    <n v="11"/>
    <d v="2026-01-17T00:00:00"/>
    <d v="2026-02-16T00:00:00"/>
    <x v="18"/>
    <x v="13"/>
    <s v="0    "/>
    <s v="3208613025                    "/>
    <n v="30"/>
  </r>
  <r>
    <s v="202601"/>
    <s v="15030463            "/>
    <x v="227"/>
    <x v="37"/>
    <s v="FEDC157736  "/>
    <n v="4054105"/>
    <x v="3"/>
    <n v="11"/>
    <d v="2026-01-17T00:00:00"/>
    <d v="2026-02-16T00:00:00"/>
    <x v="18"/>
    <x v="13"/>
    <s v="0    "/>
    <s v="3185068224     "/>
    <n v="30"/>
  </r>
  <r>
    <s v="202601"/>
    <s v="10994881            "/>
    <x v="469"/>
    <x v="13"/>
    <s v="FEDC157737  "/>
    <n v="1060000"/>
    <x v="9"/>
    <n v="11"/>
    <d v="2026-01-17T00:00:00"/>
    <d v="2026-01-27T00:00:00"/>
    <x v="18"/>
    <x v="13"/>
    <s v="0    "/>
    <s v="3107082544     "/>
    <n v="30"/>
  </r>
  <r>
    <s v="202601"/>
    <s v="70693392            "/>
    <x v="283"/>
    <x v="37"/>
    <s v="FEDC157738  "/>
    <n v="1260000"/>
    <x v="9"/>
    <n v="11"/>
    <d v="2026-01-17T00:00:00"/>
    <d v="2026-01-27T00:00:00"/>
    <x v="18"/>
    <x v="13"/>
    <s v="0    "/>
    <s v="3233203149                    "/>
    <n v="30"/>
  </r>
  <r>
    <s v="202601"/>
    <s v="78703962            "/>
    <x v="284"/>
    <x v="13"/>
    <s v="FEDC157739  "/>
    <n v="840000"/>
    <x v="9"/>
    <n v="11"/>
    <d v="2026-01-17T00:00:00"/>
    <d v="2026-01-27T00:00:00"/>
    <x v="18"/>
    <x v="13"/>
    <s v="0    "/>
    <s v="3105410896                    "/>
    <n v="30"/>
  </r>
  <r>
    <s v="202601"/>
    <s v="10994881            "/>
    <x v="469"/>
    <x v="13"/>
    <s v="FEDC157740  "/>
    <n v="663308"/>
    <x v="3"/>
    <n v="11"/>
    <d v="2026-01-17T00:00:00"/>
    <d v="2026-02-16T00:00:00"/>
    <x v="18"/>
    <x v="13"/>
    <s v="0    "/>
    <s v="3107082544     "/>
    <n v="30"/>
  </r>
  <r>
    <s v="202601"/>
    <s v="70142980            "/>
    <x v="220"/>
    <x v="37"/>
    <s v="FEDC157742  "/>
    <n v="6050078"/>
    <x v="3"/>
    <n v="11"/>
    <d v="2026-01-17T00:00:00"/>
    <d v="2026-02-16T00:00:00"/>
    <x v="18"/>
    <x v="15"/>
    <s v="0    "/>
    <s v="8393030                       "/>
    <n v="30"/>
  </r>
  <r>
    <s v="202601"/>
    <s v="1066509289          "/>
    <x v="315"/>
    <x v="13"/>
    <s v="FEDC157743  "/>
    <n v="1158091"/>
    <x v="3"/>
    <n v="11"/>
    <d v="2026-01-17T00:00:00"/>
    <d v="2026-02-16T00:00:00"/>
    <x v="18"/>
    <x v="13"/>
    <s v="0    "/>
    <s v="3116136936                    "/>
    <n v="30"/>
  </r>
  <r>
    <s v="202601"/>
    <s v="1038138797          "/>
    <x v="182"/>
    <x v="13"/>
    <s v="FEDC157745  "/>
    <n v="3583585"/>
    <x v="3"/>
    <n v="11"/>
    <d v="2026-01-17T00:00:00"/>
    <d v="2026-02-16T00:00:00"/>
    <x v="18"/>
    <x v="13"/>
    <s v="0    "/>
    <s v="3223117873                    "/>
    <n v="30"/>
  </r>
  <r>
    <s v="202601"/>
    <s v="901725680           "/>
    <x v="193"/>
    <x v="13"/>
    <s v="FEDC157751  "/>
    <n v="633253"/>
    <x v="3"/>
    <n v="11"/>
    <d v="2026-01-17T00:00:00"/>
    <d v="2026-02-16T00:00:00"/>
    <x v="18"/>
    <x v="13"/>
    <s v="0    "/>
    <s v="8392261                       "/>
    <n v="30"/>
  </r>
  <r>
    <s v="202601"/>
    <s v="1007273222          "/>
    <x v="470"/>
    <x v="13"/>
    <s v="FEVM45062   "/>
    <n v="106510"/>
    <x v="1"/>
    <n v="11"/>
    <d v="2026-01-17T00:00:00"/>
    <d v="2026-02-01T00:00:00"/>
    <x v="18"/>
    <x v="10"/>
    <s v="0    "/>
    <s v="310 3662142                   "/>
    <n v="30"/>
  </r>
  <r>
    <s v="202601"/>
    <s v="1007273222          "/>
    <x v="470"/>
    <x v="13"/>
    <s v="FEVM45063   "/>
    <n v="105118"/>
    <x v="1"/>
    <n v="11"/>
    <d v="2026-01-17T00:00:00"/>
    <d v="2026-02-01T00:00:00"/>
    <x v="18"/>
    <x v="10"/>
    <s v="0    "/>
    <s v="310 3662142                   "/>
    <n v="30"/>
  </r>
  <r>
    <s v="202601"/>
    <s v="1069479440          "/>
    <x v="395"/>
    <x v="13"/>
    <s v="FEVM45064   "/>
    <n v="345895"/>
    <x v="1"/>
    <n v="11"/>
    <d v="2026-01-17T00:00:00"/>
    <d v="2026-02-01T00:00:00"/>
    <x v="18"/>
    <x v="10"/>
    <s v="0    "/>
    <s v="3135607209                    "/>
    <n v="15"/>
  </r>
  <r>
    <s v="202601"/>
    <s v="1069479440          "/>
    <x v="395"/>
    <x v="13"/>
    <s v="FEVM45065   "/>
    <n v="117679"/>
    <x v="1"/>
    <n v="11"/>
    <d v="2026-01-17T00:00:00"/>
    <d v="2026-02-01T00:00:00"/>
    <x v="18"/>
    <x v="10"/>
    <s v="0    "/>
    <s v="3135607209                    "/>
    <n v="15"/>
  </r>
  <r>
    <s v="202601"/>
    <s v="1026565690          "/>
    <x v="332"/>
    <x v="37"/>
    <s v="FEVM45082   "/>
    <n v="256800"/>
    <x v="9"/>
    <n v="11"/>
    <d v="2026-01-17T00:00:00"/>
    <d v="2026-01-27T00:00:00"/>
    <x v="18"/>
    <x v="6"/>
    <s v="0    "/>
    <s v="3216177576     "/>
    <n v="15"/>
  </r>
  <r>
    <s v="202601"/>
    <s v="39266405            "/>
    <x v="471"/>
    <x v="37"/>
    <s v="FEVM45083   "/>
    <n v="856052"/>
    <x v="1"/>
    <n v="11"/>
    <d v="2026-01-17T00:00:00"/>
    <d v="2026-02-01T00:00:00"/>
    <x v="18"/>
    <x v="6"/>
    <s v="0    "/>
    <s v="3147999353     "/>
    <n v="15"/>
  </r>
  <r>
    <s v="202601"/>
    <s v="3672768             "/>
    <x v="472"/>
    <x v="25"/>
    <s v="FEDC157747  "/>
    <n v="1964386"/>
    <x v="3"/>
    <n v="11"/>
    <d v="2026-01-17T00:00:00"/>
    <d v="2026-02-16T00:00:00"/>
    <x v="16"/>
    <x v="4"/>
    <s v="0    "/>
    <s v="3136694093                    "/>
    <n v="30"/>
  </r>
  <r>
    <s v="202601"/>
    <s v="900691670-3         "/>
    <x v="473"/>
    <x v="21"/>
    <s v="FEDC157748  "/>
    <n v="15042773"/>
    <x v="3"/>
    <n v="11"/>
    <d v="2026-01-17T00:00:00"/>
    <d v="2026-02-16T00:00:00"/>
    <x v="16"/>
    <x v="4"/>
    <s v="0    "/>
    <s v="3137083414     "/>
    <n v="30"/>
  </r>
  <r>
    <s v="202601"/>
    <s v="98476403            "/>
    <x v="222"/>
    <x v="25"/>
    <s v="FEDC157761  "/>
    <n v="289646"/>
    <x v="3"/>
    <n v="11"/>
    <d v="2026-01-17T00:00:00"/>
    <d v="2026-02-16T00:00:00"/>
    <x v="16"/>
    <x v="4"/>
    <s v="0    "/>
    <s v="3216084912 -3207680191        "/>
    <n v="30"/>
  </r>
  <r>
    <s v="202601"/>
    <s v="3674410             "/>
    <x v="209"/>
    <x v="25"/>
    <s v="FEDC157762  "/>
    <n v="1351459"/>
    <x v="3"/>
    <n v="11"/>
    <d v="2026-01-17T00:00:00"/>
    <d v="2026-02-16T00:00:00"/>
    <x v="16"/>
    <x v="4"/>
    <s v="0    "/>
    <s v="3226683258-3117071439         "/>
    <n v="30"/>
  </r>
  <r>
    <s v="202601"/>
    <s v="43693040            "/>
    <x v="224"/>
    <x v="21"/>
    <s v="FEDC157763  "/>
    <n v="779762"/>
    <x v="3"/>
    <n v="11"/>
    <d v="2026-01-17T00:00:00"/>
    <d v="2026-02-16T00:00:00"/>
    <x v="16"/>
    <x v="4"/>
    <s v="0    "/>
    <s v="3235082460                    "/>
    <n v="30"/>
  </r>
  <r>
    <s v="202601"/>
    <s v="3674529             "/>
    <x v="73"/>
    <x v="25"/>
    <s v="FEDC157764  "/>
    <n v="909400"/>
    <x v="3"/>
    <n v="11"/>
    <d v="2026-01-17T00:00:00"/>
    <d v="2026-02-16T00:00:00"/>
    <x v="16"/>
    <x v="4"/>
    <s v="0    "/>
    <s v="3117985870"/>
    <n v="30"/>
  </r>
  <r>
    <s v="202601"/>
    <s v="3674529             "/>
    <x v="73"/>
    <x v="25"/>
    <s v="FEDC157765  "/>
    <n v="2641488"/>
    <x v="3"/>
    <n v="11"/>
    <d v="2026-01-17T00:00:00"/>
    <d v="2026-02-16T00:00:00"/>
    <x v="16"/>
    <x v="4"/>
    <s v="0    "/>
    <s v="3117985870"/>
    <n v="30"/>
  </r>
  <r>
    <s v="202601"/>
    <s v="43560596            "/>
    <x v="120"/>
    <x v="21"/>
    <s v="FEDC157767  "/>
    <n v="809280"/>
    <x v="3"/>
    <n v="11"/>
    <d v="2026-01-17T00:00:00"/>
    <d v="2026-02-16T00:00:00"/>
    <x v="16"/>
    <x v="4"/>
    <s v="0    "/>
    <s v="3104288738                    "/>
    <n v="30"/>
  </r>
  <r>
    <s v="202601"/>
    <s v="22238141            "/>
    <x v="474"/>
    <x v="21"/>
    <s v="FEDC157768  "/>
    <n v="67205"/>
    <x v="3"/>
    <n v="11"/>
    <d v="2026-01-17T00:00:00"/>
    <d v="2026-02-16T00:00:00"/>
    <x v="16"/>
    <x v="4"/>
    <s v="0    "/>
    <s v="8388276 -3104411783           "/>
    <n v="25"/>
  </r>
  <r>
    <s v="202601"/>
    <s v="43092308            "/>
    <x v="475"/>
    <x v="25"/>
    <s v="FEDC157770  "/>
    <n v="219043"/>
    <x v="3"/>
    <n v="11"/>
    <d v="2026-01-17T00:00:00"/>
    <d v="2026-02-16T00:00:00"/>
    <x v="16"/>
    <x v="4"/>
    <s v="0    "/>
    <s v="3148598403     "/>
    <n v="30"/>
  </r>
  <r>
    <s v="202601"/>
    <s v="3670256             "/>
    <x v="476"/>
    <x v="21"/>
    <s v="FEDC157771  "/>
    <n v="266080"/>
    <x v="3"/>
    <n v="11"/>
    <d v="2026-01-17T00:00:00"/>
    <d v="2026-02-16T00:00:00"/>
    <x v="16"/>
    <x v="4"/>
    <s v="0    "/>
    <s v="8389318 -3122342979           "/>
    <n v="25"/>
  </r>
  <r>
    <s v="202601"/>
    <s v="22243725            "/>
    <x v="225"/>
    <x v="25"/>
    <s v="FEDC157772  "/>
    <n v="1505000"/>
    <x v="3"/>
    <n v="11"/>
    <d v="2026-01-17T00:00:00"/>
    <d v="2026-02-16T00:00:00"/>
    <x v="16"/>
    <x v="4"/>
    <s v="0    "/>
    <s v="3143929658                    "/>
    <n v="30"/>
  </r>
  <r>
    <s v="202601"/>
    <s v="22243725            "/>
    <x v="225"/>
    <x v="25"/>
    <s v="FEDC157773  "/>
    <n v="2120000"/>
    <x v="3"/>
    <n v="11"/>
    <d v="2026-01-17T00:00:00"/>
    <d v="2026-02-16T00:00:00"/>
    <x v="16"/>
    <x v="4"/>
    <s v="0    "/>
    <s v="3143929658                    "/>
    <n v="30"/>
  </r>
  <r>
    <s v="202601"/>
    <s v="43403431            "/>
    <x v="319"/>
    <x v="21"/>
    <s v="FEDC157774  "/>
    <n v="151500"/>
    <x v="3"/>
    <n v="11"/>
    <d v="2026-01-17T00:00:00"/>
    <d v="2026-02-16T00:00:00"/>
    <x v="16"/>
    <x v="4"/>
    <s v="0    "/>
    <s v="3104037668                    "/>
    <n v="30"/>
  </r>
  <r>
    <s v="202601"/>
    <s v="43403431            "/>
    <x v="319"/>
    <x v="21"/>
    <s v="FEDC157775  "/>
    <n v="2204000"/>
    <x v="3"/>
    <n v="11"/>
    <d v="2026-01-17T00:00:00"/>
    <d v="2026-02-16T00:00:00"/>
    <x v="16"/>
    <x v="4"/>
    <s v="0    "/>
    <s v="3104037668                    "/>
    <n v="30"/>
  </r>
  <r>
    <s v="202601"/>
    <s v="901871276-0         "/>
    <x v="223"/>
    <x v="25"/>
    <s v="FEDC157776  "/>
    <n v="684599"/>
    <x v="3"/>
    <n v="11"/>
    <d v="2026-01-17T00:00:00"/>
    <d v="2026-02-16T00:00:00"/>
    <x v="16"/>
    <x v="4"/>
    <s v="0    "/>
    <s v="3145691266                    "/>
    <n v="30"/>
  </r>
  <r>
    <s v="202601"/>
    <s v="1002066668          "/>
    <x v="211"/>
    <x v="25"/>
    <s v="FEDC157777  "/>
    <n v="3531592"/>
    <x v="3"/>
    <n v="11"/>
    <d v="2026-01-17T00:00:00"/>
    <d v="2026-02-16T00:00:00"/>
    <x v="16"/>
    <x v="4"/>
    <s v="0    "/>
    <s v="3122718636-3194510198         "/>
    <n v="30"/>
  </r>
  <r>
    <s v="202601"/>
    <s v="901295332-4         "/>
    <x v="477"/>
    <x v="25"/>
    <s v="FEDC157778  "/>
    <n v="2263992"/>
    <x v="3"/>
    <n v="11"/>
    <d v="2026-01-17T00:00:00"/>
    <d v="2026-02-16T00:00:00"/>
    <x v="16"/>
    <x v="4"/>
    <s v="0    "/>
    <s v="3104229170 -8387172           "/>
    <n v="30"/>
  </r>
  <r>
    <s v="202601"/>
    <s v="8048029             "/>
    <x v="478"/>
    <x v="66"/>
    <s v="FEVM45084   "/>
    <n v="1012000"/>
    <x v="5"/>
    <n v="11"/>
    <d v="2026-01-17T00:00:00"/>
    <d v="2026-01-18T00:00:00"/>
    <x v="13"/>
    <x v="6"/>
    <s v="0    "/>
    <s v="3146026739     "/>
    <n v="30"/>
  </r>
  <r>
    <s v="202601"/>
    <s v="1101382676          "/>
    <x v="326"/>
    <x v="12"/>
    <s v="FEDC157783  "/>
    <n v="459299"/>
    <x v="3"/>
    <n v="11"/>
    <d v="2026-01-17T00:00:00"/>
    <d v="2026-02-16T00:00:00"/>
    <x v="9"/>
    <x v="1"/>
    <s v="0    "/>
    <s v="3103730128 - 3207090247       "/>
    <n v="30"/>
  </r>
  <r>
    <s v="202601"/>
    <s v="1007461336          "/>
    <x v="240"/>
    <x v="68"/>
    <s v="FEDC157779  "/>
    <n v="6122963"/>
    <x v="3"/>
    <n v="11"/>
    <d v="2026-01-17T00:00:00"/>
    <d v="2026-02-16T00:00:00"/>
    <x v="47"/>
    <x v="8"/>
    <s v="0    "/>
    <s v="3184337340                    "/>
    <n v="30"/>
  </r>
  <r>
    <s v="202601"/>
    <s v="78711251            "/>
    <x v="241"/>
    <x v="18"/>
    <s v="FEDC157753  "/>
    <n v="1878595"/>
    <x v="3"/>
    <n v="11"/>
    <d v="2026-01-17T00:00:00"/>
    <d v="2026-02-16T00:00:00"/>
    <x v="17"/>
    <x v="8"/>
    <s v="0    "/>
    <s v="3106701483                    "/>
    <n v="1"/>
  </r>
  <r>
    <s v="202601"/>
    <s v="78701684            "/>
    <x v="78"/>
    <x v="18"/>
    <s v="FEDC157754  "/>
    <n v="377120"/>
    <x v="3"/>
    <n v="11"/>
    <d v="2026-01-17T00:00:00"/>
    <d v="2026-02-16T00:00:00"/>
    <x v="17"/>
    <x v="8"/>
    <s v="0    "/>
    <s v="3114036195                    "/>
    <n v="30"/>
  </r>
  <r>
    <s v="202601"/>
    <s v="22041533            "/>
    <x v="162"/>
    <x v="3"/>
    <s v="FEDC157731  "/>
    <n v="508800"/>
    <x v="3"/>
    <n v="11"/>
    <d v="2026-01-17T00:00:00"/>
    <d v="2026-02-16T00:00:00"/>
    <x v="2"/>
    <x v="9"/>
    <s v="0    "/>
    <s v="3217615388     "/>
    <n v="30"/>
  </r>
  <r>
    <s v="202601"/>
    <s v="22041533            "/>
    <x v="162"/>
    <x v="3"/>
    <s v="FEDC157732  "/>
    <n v="1233463"/>
    <x v="3"/>
    <n v="11"/>
    <d v="2026-01-17T00:00:00"/>
    <d v="2026-02-16T00:00:00"/>
    <x v="2"/>
    <x v="9"/>
    <s v="0    "/>
    <s v="3217615388     "/>
    <n v="30"/>
  </r>
  <r>
    <s v="202601"/>
    <s v="32271198            "/>
    <x v="19"/>
    <x v="3"/>
    <s v="FEVM45098   "/>
    <n v="1548000"/>
    <x v="5"/>
    <n v="11"/>
    <d v="2026-01-17T00:00:00"/>
    <d v="2026-01-18T00:00:00"/>
    <x v="2"/>
    <x v="9"/>
    <s v="0    "/>
    <s v="3117190379     "/>
    <n v="1"/>
  </r>
  <r>
    <s v="202601"/>
    <s v="32271198            "/>
    <x v="19"/>
    <x v="3"/>
    <s v="FEVM45099   "/>
    <n v="321586"/>
    <x v="5"/>
    <n v="11"/>
    <d v="2026-01-17T00:00:00"/>
    <d v="2026-01-18T00:00:00"/>
    <x v="2"/>
    <x v="9"/>
    <s v="0    "/>
    <s v="3117190379     "/>
    <n v="1"/>
  </r>
  <r>
    <s v="202601"/>
    <s v="1032253939          "/>
    <x v="397"/>
    <x v="63"/>
    <s v="FEVM45095   "/>
    <n v="1261088"/>
    <x v="1"/>
    <n v="11"/>
    <d v="2026-01-17T00:00:00"/>
    <d v="2026-02-01T00:00:00"/>
    <x v="44"/>
    <x v="6"/>
    <s v="0    "/>
    <s v="3135330446                    "/>
    <n v="15"/>
  </r>
  <r>
    <s v="202601"/>
    <s v="91521121            "/>
    <x v="204"/>
    <x v="13"/>
    <s v="FEDC157791  "/>
    <n v="12600000"/>
    <x v="3"/>
    <n v="9"/>
    <d v="2026-01-19T00:00:00"/>
    <d v="2026-02-18T00:00:00"/>
    <x v="18"/>
    <x v="13"/>
    <s v="0    "/>
    <s v="3206429252                    "/>
    <n v="30"/>
  </r>
  <r>
    <s v="202601"/>
    <s v="91521121            "/>
    <x v="204"/>
    <x v="13"/>
    <s v="FEDC157800  "/>
    <n v="462000"/>
    <x v="3"/>
    <n v="9"/>
    <d v="2026-01-19T00:00:00"/>
    <d v="2026-02-18T00:00:00"/>
    <x v="18"/>
    <x v="13"/>
    <s v="0    "/>
    <s v="3206429252                    "/>
    <n v="30"/>
  </r>
  <r>
    <s v="202601"/>
    <s v="15030463            "/>
    <x v="227"/>
    <x v="37"/>
    <s v="FEDC157801  "/>
    <n v="5449599"/>
    <x v="3"/>
    <n v="9"/>
    <d v="2026-01-19T00:00:00"/>
    <d v="2026-02-18T00:00:00"/>
    <x v="18"/>
    <x v="13"/>
    <s v="0    "/>
    <s v="3185068224     "/>
    <n v="30"/>
  </r>
  <r>
    <s v="202601"/>
    <s v="8374032             "/>
    <x v="219"/>
    <x v="13"/>
    <s v="FEDC157804  "/>
    <n v="2100000"/>
    <x v="9"/>
    <n v="9"/>
    <d v="2026-01-19T00:00:00"/>
    <d v="2026-01-29T00:00:00"/>
    <x v="18"/>
    <x v="13"/>
    <s v="0    "/>
    <s v="3145644503-323243142          "/>
    <n v="30"/>
  </r>
  <r>
    <s v="202601"/>
    <s v="98530606            "/>
    <x v="130"/>
    <x v="37"/>
    <s v="FEDC157805  "/>
    <n v="1932000"/>
    <x v="3"/>
    <n v="9"/>
    <d v="2026-01-19T00:00:00"/>
    <d v="2026-02-18T00:00:00"/>
    <x v="18"/>
    <x v="11"/>
    <s v="0    "/>
    <s v="3123193694     "/>
    <n v="30"/>
  </r>
  <r>
    <s v="202601"/>
    <s v="15047058            "/>
    <x v="226"/>
    <x v="37"/>
    <s v="FEDC157807  "/>
    <n v="412200"/>
    <x v="3"/>
    <n v="9"/>
    <d v="2026-01-19T00:00:00"/>
    <d v="2026-02-18T00:00:00"/>
    <x v="18"/>
    <x v="13"/>
    <s v="0    "/>
    <s v="3226993920     "/>
    <n v="30"/>
  </r>
  <r>
    <s v="202601"/>
    <s v="15047058            "/>
    <x v="226"/>
    <x v="37"/>
    <s v="FEDC157815  "/>
    <n v="416976"/>
    <x v="3"/>
    <n v="9"/>
    <d v="2026-01-19T00:00:00"/>
    <d v="2026-02-18T00:00:00"/>
    <x v="18"/>
    <x v="13"/>
    <s v="0    "/>
    <s v="3226993920     "/>
    <n v="30"/>
  </r>
  <r>
    <s v="202601"/>
    <s v="91521121            "/>
    <x v="204"/>
    <x v="13"/>
    <s v="FEDC157823  "/>
    <n v="394270"/>
    <x v="3"/>
    <n v="9"/>
    <d v="2026-01-19T00:00:00"/>
    <d v="2026-02-18T00:00:00"/>
    <x v="18"/>
    <x v="15"/>
    <s v="0    "/>
    <s v="3206429252                    "/>
    <n v="30"/>
  </r>
  <r>
    <s v="202601"/>
    <s v="43403646            "/>
    <x v="260"/>
    <x v="13"/>
    <s v="FEVM45105   "/>
    <n v="2100000"/>
    <x v="9"/>
    <n v="9"/>
    <d v="2026-01-19T00:00:00"/>
    <d v="2026-01-29T00:00:00"/>
    <x v="18"/>
    <x v="13"/>
    <s v="0    "/>
    <s v="3016755296                    "/>
    <n v="30"/>
  </r>
  <r>
    <s v="202601"/>
    <s v="70692127            "/>
    <x v="252"/>
    <x v="37"/>
    <s v="FEVM45106   "/>
    <n v="284005"/>
    <x v="3"/>
    <n v="9"/>
    <d v="2026-01-19T00:00:00"/>
    <d v="2026-02-18T00:00:00"/>
    <x v="18"/>
    <x v="13"/>
    <s v="0    "/>
    <s v="3007388755 Andres -3148623512 "/>
    <n v="30"/>
  </r>
  <r>
    <s v="202601"/>
    <s v="70692127            "/>
    <x v="252"/>
    <x v="37"/>
    <s v="FEVM45107   "/>
    <n v="2283800"/>
    <x v="3"/>
    <n v="9"/>
    <d v="2026-01-19T00:00:00"/>
    <d v="2026-02-18T00:00:00"/>
    <x v="18"/>
    <x v="13"/>
    <s v="0    "/>
    <s v="3007388755 Andres -3148623512 "/>
    <n v="30"/>
  </r>
  <r>
    <s v="202601"/>
    <s v="901411098-3         "/>
    <x v="321"/>
    <x v="24"/>
    <s v="FEDC157808  "/>
    <n v="334711"/>
    <x v="3"/>
    <n v="9"/>
    <d v="2026-01-19T00:00:00"/>
    <d v="2026-02-18T00:00:00"/>
    <x v="24"/>
    <x v="5"/>
    <s v="0    "/>
    <s v="3126921623                    "/>
    <n v="30"/>
  </r>
  <r>
    <s v="202601"/>
    <s v="901411098-3         "/>
    <x v="321"/>
    <x v="24"/>
    <s v="FEDC157809  "/>
    <n v="176970"/>
    <x v="3"/>
    <n v="9"/>
    <d v="2026-01-19T00:00:00"/>
    <d v="2026-02-18T00:00:00"/>
    <x v="24"/>
    <x v="5"/>
    <s v="0    "/>
    <s v="3126921623                    "/>
    <n v="30"/>
  </r>
  <r>
    <s v="202601"/>
    <s v="1063366355          "/>
    <x v="237"/>
    <x v="24"/>
    <s v="FEDC157810  "/>
    <n v="234291"/>
    <x v="3"/>
    <n v="9"/>
    <d v="2026-01-19T00:00:00"/>
    <d v="2026-02-18T00:00:00"/>
    <x v="24"/>
    <x v="5"/>
    <s v="0    "/>
    <s v="3107516465                    "/>
    <n v="30"/>
  </r>
  <r>
    <s v="202601"/>
    <s v="1063366355          "/>
    <x v="237"/>
    <x v="24"/>
    <s v="FEDC157811  "/>
    <n v="488747"/>
    <x v="3"/>
    <n v="9"/>
    <d v="2026-01-19T00:00:00"/>
    <d v="2026-02-18T00:00:00"/>
    <x v="24"/>
    <x v="12"/>
    <s v="0    "/>
    <s v="3107516465                    "/>
    <n v="30"/>
  </r>
  <r>
    <s v="202601"/>
    <s v="901868532-0         "/>
    <x v="106"/>
    <x v="24"/>
    <s v="FEDC157812  "/>
    <n v="1155284"/>
    <x v="3"/>
    <n v="9"/>
    <d v="2026-01-19T00:00:00"/>
    <d v="2026-02-18T00:00:00"/>
    <x v="24"/>
    <x v="12"/>
    <s v="0    "/>
    <s v="3138778653                    "/>
    <n v="30"/>
  </r>
  <r>
    <s v="202601"/>
    <s v="1045026065          "/>
    <x v="238"/>
    <x v="24"/>
    <s v="FEDC157813  "/>
    <n v="13120985"/>
    <x v="3"/>
    <n v="9"/>
    <d v="2026-01-19T00:00:00"/>
    <d v="2026-02-18T00:00:00"/>
    <x v="24"/>
    <x v="12"/>
    <s v="0    "/>
    <s v="3108220432                    "/>
    <n v="30"/>
  </r>
  <r>
    <s v="202601"/>
    <s v="1045026065          "/>
    <x v="238"/>
    <x v="24"/>
    <s v="FEDC157814  "/>
    <n v="302393"/>
    <x v="3"/>
    <n v="9"/>
    <d v="2026-01-19T00:00:00"/>
    <d v="2026-02-18T00:00:00"/>
    <x v="24"/>
    <x v="12"/>
    <s v="0    "/>
    <s v="3108220432                    "/>
    <n v="30"/>
  </r>
  <r>
    <s v="202601"/>
    <s v="901411098-3         "/>
    <x v="321"/>
    <x v="24"/>
    <s v="FEDC157816  "/>
    <n v="5300424"/>
    <x v="3"/>
    <n v="9"/>
    <d v="2026-01-19T00:00:00"/>
    <d v="2026-02-18T00:00:00"/>
    <x v="24"/>
    <x v="12"/>
    <s v="0    "/>
    <s v="3126921623                    "/>
    <n v="30"/>
  </r>
  <r>
    <s v="202601"/>
    <s v="1066572353          "/>
    <x v="333"/>
    <x v="24"/>
    <s v="FEDC157818  "/>
    <n v="331248"/>
    <x v="3"/>
    <n v="9"/>
    <d v="2026-01-19T00:00:00"/>
    <d v="2026-02-18T00:00:00"/>
    <x v="24"/>
    <x v="12"/>
    <s v="0    "/>
    <s v="3105005857                    "/>
    <n v="30"/>
  </r>
  <r>
    <s v="202601"/>
    <s v="1063358756          "/>
    <x v="479"/>
    <x v="24"/>
    <s v="FEDC157820  "/>
    <n v="462994"/>
    <x v="3"/>
    <n v="9"/>
    <d v="2026-01-19T00:00:00"/>
    <d v="2026-02-18T00:00:00"/>
    <x v="24"/>
    <x v="12"/>
    <s v="0    "/>
    <s v="3127825010                    "/>
    <n v="30"/>
  </r>
  <r>
    <s v="202601"/>
    <s v="1045026065          "/>
    <x v="238"/>
    <x v="24"/>
    <s v="FEDC157828  "/>
    <n v="1518396"/>
    <x v="3"/>
    <n v="9"/>
    <d v="2026-01-19T00:00:00"/>
    <d v="2026-02-18T00:00:00"/>
    <x v="24"/>
    <x v="5"/>
    <s v="0    "/>
    <s v="3108220432                    "/>
    <n v="30"/>
  </r>
  <r>
    <s v="202601"/>
    <s v="901795751-2         "/>
    <x v="239"/>
    <x v="15"/>
    <s v="FEDC157834  "/>
    <n v="2075378"/>
    <x v="3"/>
    <n v="9"/>
    <d v="2026-01-19T00:00:00"/>
    <d v="2026-02-18T00:00:00"/>
    <x v="19"/>
    <x v="9"/>
    <s v="0    "/>
    <s v="3006358840                    "/>
    <n v="30"/>
  </r>
  <r>
    <s v="202601"/>
    <s v="901795751-2         "/>
    <x v="239"/>
    <x v="15"/>
    <s v="FEDC157835  "/>
    <n v="2312000"/>
    <x v="3"/>
    <n v="9"/>
    <d v="2026-01-19T00:00:00"/>
    <d v="2026-02-18T00:00:00"/>
    <x v="19"/>
    <x v="9"/>
    <s v="0    "/>
    <s v="3006358840                    "/>
    <n v="30"/>
  </r>
  <r>
    <s v="202601"/>
    <s v="901795751-2         "/>
    <x v="239"/>
    <x v="15"/>
    <s v="FEDC157836  "/>
    <n v="1130101"/>
    <x v="3"/>
    <n v="9"/>
    <d v="2026-01-19T00:00:00"/>
    <d v="2026-02-18T00:00:00"/>
    <x v="19"/>
    <x v="9"/>
    <s v="0    "/>
    <s v="3006358840                    "/>
    <n v="30"/>
  </r>
  <r>
    <s v="202601"/>
    <s v="78032182            "/>
    <x v="214"/>
    <x v="60"/>
    <s v="FEDC157794  "/>
    <n v="11593992"/>
    <x v="3"/>
    <n v="9"/>
    <d v="2026-01-19T00:00:00"/>
    <d v="2026-02-18T00:00:00"/>
    <x v="9"/>
    <x v="1"/>
    <s v="0    "/>
    <s v="3205713141 -3148890308        "/>
    <n v="30"/>
  </r>
  <r>
    <s v="202601"/>
    <s v="17656996            "/>
    <x v="325"/>
    <x v="60"/>
    <s v="FEDC157795  "/>
    <n v="3212915"/>
    <x v="3"/>
    <n v="9"/>
    <d v="2026-01-19T00:00:00"/>
    <d v="2026-02-18T00:00:00"/>
    <x v="9"/>
    <x v="1"/>
    <s v="0    "/>
    <s v="3137635860     "/>
    <n v="30"/>
  </r>
  <r>
    <s v="202601"/>
    <s v="44120158            "/>
    <x v="480"/>
    <x v="12"/>
    <s v="FEDC157796  "/>
    <n v="1191009"/>
    <x v="3"/>
    <n v="9"/>
    <d v="2026-01-19T00:00:00"/>
    <d v="2026-02-18T00:00:00"/>
    <x v="9"/>
    <x v="1"/>
    <s v="0    "/>
    <s v="3136399289                    "/>
    <n v="30"/>
  </r>
  <r>
    <s v="202601"/>
    <s v="1036422731          "/>
    <x v="112"/>
    <x v="12"/>
    <s v="FEDC157797  "/>
    <n v="339752"/>
    <x v="3"/>
    <n v="9"/>
    <d v="2026-01-19T00:00:00"/>
    <d v="2026-02-18T00:00:00"/>
    <x v="9"/>
    <x v="1"/>
    <s v="0    "/>
    <s v="3136876168                    "/>
    <n v="1"/>
  </r>
  <r>
    <s v="202601"/>
    <s v="8362928             "/>
    <x v="420"/>
    <x v="12"/>
    <s v="FEDC157798  "/>
    <n v="206498"/>
    <x v="3"/>
    <n v="9"/>
    <d v="2026-01-19T00:00:00"/>
    <d v="2026-02-18T00:00:00"/>
    <x v="9"/>
    <x v="1"/>
    <s v="0    "/>
    <s v="3146478384 - 3106734221       "/>
    <n v="30"/>
  </r>
  <r>
    <s v="202601"/>
    <s v="78115007            "/>
    <x v="481"/>
    <x v="93"/>
    <s v="FEDC157787  "/>
    <n v="2745000"/>
    <x v="1"/>
    <n v="9"/>
    <d v="2026-01-19T00:00:00"/>
    <d v="2026-02-03T00:00:00"/>
    <x v="3"/>
    <x v="11"/>
    <s v="0    "/>
    <s v="3117706115                    "/>
    <n v="30"/>
  </r>
  <r>
    <s v="202601"/>
    <s v="78115007            "/>
    <x v="481"/>
    <x v="93"/>
    <s v="FEDC157788  "/>
    <n v="4490503"/>
    <x v="3"/>
    <n v="9"/>
    <d v="2026-01-19T00:00:00"/>
    <d v="2026-02-18T00:00:00"/>
    <x v="3"/>
    <x v="11"/>
    <s v="0    "/>
    <s v="3117706115                    "/>
    <n v="30"/>
  </r>
  <r>
    <s v="202601"/>
    <s v="50859648            "/>
    <x v="71"/>
    <x v="40"/>
    <s v="FEDC157829  "/>
    <n v="778360"/>
    <x v="3"/>
    <n v="9"/>
    <d v="2026-01-19T00:00:00"/>
    <d v="2026-02-18T00:00:00"/>
    <x v="36"/>
    <x v="9"/>
    <s v="0    "/>
    <s v="3007679631     "/>
    <n v="30"/>
  </r>
  <r>
    <s v="202601"/>
    <s v="10902348            "/>
    <x v="134"/>
    <x v="40"/>
    <s v="FEDC157831  "/>
    <n v="1652958"/>
    <x v="3"/>
    <n v="9"/>
    <d v="2026-01-19T00:00:00"/>
    <d v="2026-02-18T00:00:00"/>
    <x v="36"/>
    <x v="9"/>
    <s v="0    "/>
    <s v="3015516071     "/>
    <n v="30"/>
  </r>
  <r>
    <s v="202601"/>
    <s v="10902348            "/>
    <x v="134"/>
    <x v="40"/>
    <s v="FEDC157832  "/>
    <n v="235793"/>
    <x v="3"/>
    <n v="9"/>
    <d v="2026-01-19T00:00:00"/>
    <d v="2026-02-18T00:00:00"/>
    <x v="36"/>
    <x v="9"/>
    <s v="0    "/>
    <s v="3015516071     "/>
    <n v="30"/>
  </r>
  <r>
    <s v="202601"/>
    <s v="15073132            "/>
    <x v="247"/>
    <x v="45"/>
    <s v="FEDC157830  "/>
    <n v="2124990"/>
    <x v="3"/>
    <n v="9"/>
    <d v="2026-01-19T00:00:00"/>
    <d v="2026-02-18T00:00:00"/>
    <x v="30"/>
    <x v="9"/>
    <s v="0    "/>
    <s v="3106468005                    "/>
    <n v="30"/>
  </r>
  <r>
    <s v="202601"/>
    <s v="3443977             "/>
    <x v="351"/>
    <x v="37"/>
    <s v="FEDC157860  "/>
    <n v="420000"/>
    <x v="3"/>
    <n v="8"/>
    <d v="2026-01-20T00:00:00"/>
    <d v="2026-02-19T00:00:00"/>
    <x v="18"/>
    <x v="13"/>
    <s v="0    "/>
    <s v="8394641"/>
    <n v="30"/>
  </r>
  <r>
    <s v="202601"/>
    <s v="15355742-5          "/>
    <x v="429"/>
    <x v="37"/>
    <s v="FEDC157863  "/>
    <n v="840000"/>
    <x v="9"/>
    <n v="8"/>
    <d v="2026-01-20T00:00:00"/>
    <d v="2026-01-30T00:00:00"/>
    <x v="18"/>
    <x v="13"/>
    <s v="0    "/>
    <s v="3127587149     "/>
    <n v="25"/>
  </r>
  <r>
    <s v="202601"/>
    <s v="98651531            "/>
    <x v="285"/>
    <x v="37"/>
    <s v="FEDC157864  "/>
    <n v="630000"/>
    <x v="9"/>
    <n v="8"/>
    <d v="2026-01-20T00:00:00"/>
    <d v="2026-01-30T00:00:00"/>
    <x v="18"/>
    <x v="13"/>
    <s v="0    "/>
    <s v="3115674271"/>
    <n v="30"/>
  </r>
  <r>
    <s v="202601"/>
    <s v="8056705             "/>
    <x v="482"/>
    <x v="37"/>
    <s v="FEDC157865  "/>
    <n v="833311"/>
    <x v="3"/>
    <n v="8"/>
    <d v="2026-01-20T00:00:00"/>
    <d v="2026-02-19T00:00:00"/>
    <x v="18"/>
    <x v="13"/>
    <s v="0    "/>
    <s v="3218012784"/>
    <n v="30"/>
  </r>
  <r>
    <s v="202601"/>
    <s v="8056705             "/>
    <x v="482"/>
    <x v="37"/>
    <s v="FEDC157866  "/>
    <n v="420000"/>
    <x v="9"/>
    <n v="8"/>
    <d v="2026-01-20T00:00:00"/>
    <d v="2026-01-30T00:00:00"/>
    <x v="18"/>
    <x v="13"/>
    <s v="0    "/>
    <s v="3218012784"/>
    <n v="30"/>
  </r>
  <r>
    <s v="202601"/>
    <s v="43786215            "/>
    <x v="228"/>
    <x v="13"/>
    <s v="FEDC157867  "/>
    <n v="1050000"/>
    <x v="9"/>
    <n v="8"/>
    <d v="2026-01-20T00:00:00"/>
    <d v="2026-01-30T00:00:00"/>
    <x v="18"/>
    <x v="13"/>
    <s v="0    "/>
    <s v="3183468239     "/>
    <n v="30"/>
  </r>
  <r>
    <s v="202601"/>
    <s v="78703962            "/>
    <x v="284"/>
    <x v="13"/>
    <s v="FEDC157868  "/>
    <n v="164000"/>
    <x v="9"/>
    <n v="8"/>
    <d v="2026-01-20T00:00:00"/>
    <d v="2026-01-30T00:00:00"/>
    <x v="18"/>
    <x v="13"/>
    <s v="0    "/>
    <s v="3105410896                    "/>
    <n v="30"/>
  </r>
  <r>
    <s v="202601"/>
    <s v="78703962            "/>
    <x v="284"/>
    <x v="13"/>
    <s v="FEDC157869  "/>
    <n v="503693"/>
    <x v="3"/>
    <n v="8"/>
    <d v="2026-01-20T00:00:00"/>
    <d v="2026-02-19T00:00:00"/>
    <x v="18"/>
    <x v="13"/>
    <s v="0    "/>
    <s v="3105410896                    "/>
    <n v="30"/>
  </r>
  <r>
    <s v="202601"/>
    <s v="1038138797          "/>
    <x v="182"/>
    <x v="13"/>
    <s v="FEDC157870  "/>
    <n v="585998"/>
    <x v="3"/>
    <n v="8"/>
    <d v="2026-01-20T00:00:00"/>
    <d v="2026-02-19T00:00:00"/>
    <x v="18"/>
    <x v="13"/>
    <s v="0    "/>
    <s v="3223117873                    "/>
    <n v="30"/>
  </r>
  <r>
    <s v="202601"/>
    <s v="1003810605          "/>
    <x v="192"/>
    <x v="13"/>
    <s v="FEDC157871  "/>
    <n v="5337293"/>
    <x v="3"/>
    <n v="8"/>
    <d v="2026-01-20T00:00:00"/>
    <d v="2026-02-19T00:00:00"/>
    <x v="18"/>
    <x v="13"/>
    <s v="0    "/>
    <s v="3218007944                    "/>
    <n v="30"/>
  </r>
  <r>
    <s v="202601"/>
    <s v="1003810605          "/>
    <x v="192"/>
    <x v="13"/>
    <s v="FEDC157872  "/>
    <n v="4240000"/>
    <x v="3"/>
    <n v="8"/>
    <d v="2026-01-20T00:00:00"/>
    <d v="2026-02-19T00:00:00"/>
    <x v="18"/>
    <x v="13"/>
    <s v="0    "/>
    <s v="3218007944                    "/>
    <n v="30"/>
  </r>
  <r>
    <s v="202601"/>
    <s v="1003810605          "/>
    <x v="192"/>
    <x v="13"/>
    <s v="FEDC157873  "/>
    <n v="1153810"/>
    <x v="3"/>
    <n v="8"/>
    <d v="2026-01-20T00:00:00"/>
    <d v="2026-02-19T00:00:00"/>
    <x v="18"/>
    <x v="13"/>
    <s v="0    "/>
    <s v="3218007944                    "/>
    <n v="30"/>
  </r>
  <r>
    <s v="202601"/>
    <s v="1003810605          "/>
    <x v="192"/>
    <x v="13"/>
    <s v="FEDC157874  "/>
    <n v="6610987"/>
    <x v="3"/>
    <n v="8"/>
    <d v="2026-01-20T00:00:00"/>
    <d v="2026-02-19T00:00:00"/>
    <x v="18"/>
    <x v="13"/>
    <s v="0    "/>
    <s v="3218007944                    "/>
    <n v="30"/>
  </r>
  <r>
    <s v="202601"/>
    <s v="1038112989          "/>
    <x v="150"/>
    <x v="37"/>
    <s v="FEDC157875  "/>
    <n v="785345"/>
    <x v="3"/>
    <n v="8"/>
    <d v="2026-01-20T00:00:00"/>
    <d v="2026-02-19T00:00:00"/>
    <x v="18"/>
    <x v="13"/>
    <s v="0    "/>
    <s v="3135912628     "/>
    <n v="30"/>
  </r>
  <r>
    <s v="202601"/>
    <s v="1038112989          "/>
    <x v="150"/>
    <x v="37"/>
    <s v="FEDC157876  "/>
    <n v="3490365"/>
    <x v="3"/>
    <n v="8"/>
    <d v="2026-01-20T00:00:00"/>
    <d v="2026-02-19T00:00:00"/>
    <x v="18"/>
    <x v="13"/>
    <s v="0    "/>
    <s v="3135912628     "/>
    <n v="30"/>
  </r>
  <r>
    <s v="202601"/>
    <s v="1038129599          "/>
    <x v="251"/>
    <x v="13"/>
    <s v="FEDC157878  "/>
    <n v="5885758"/>
    <x v="3"/>
    <n v="8"/>
    <d v="2026-01-20T00:00:00"/>
    <d v="2026-02-19T00:00:00"/>
    <x v="18"/>
    <x v="13"/>
    <s v="0    "/>
    <s v="3208613025                    "/>
    <n v="30"/>
  </r>
  <r>
    <s v="202601"/>
    <s v="1038138066          "/>
    <x v="248"/>
    <x v="13"/>
    <s v="FEDC157880  "/>
    <n v="2120000"/>
    <x v="3"/>
    <n v="8"/>
    <d v="2026-01-20T00:00:00"/>
    <d v="2026-02-19T00:00:00"/>
    <x v="18"/>
    <x v="13"/>
    <s v="0    "/>
    <s v="3114279212     "/>
    <n v="30"/>
  </r>
  <r>
    <s v="202601"/>
    <s v="70698667            "/>
    <x v="483"/>
    <x v="13"/>
    <s v="FEDC157881  "/>
    <n v="420000"/>
    <x v="9"/>
    <n v="8"/>
    <d v="2026-01-20T00:00:00"/>
    <d v="2026-01-30T00:00:00"/>
    <x v="18"/>
    <x v="13"/>
    <s v="0    "/>
    <s v="3026004083                    "/>
    <n v="30"/>
  </r>
  <r>
    <s v="202601"/>
    <s v="43403646            "/>
    <x v="260"/>
    <x v="13"/>
    <s v="FEDC157882  "/>
    <n v="331895"/>
    <x v="3"/>
    <n v="8"/>
    <d v="2026-01-20T00:00:00"/>
    <d v="2026-02-19T00:00:00"/>
    <x v="18"/>
    <x v="13"/>
    <s v="0    "/>
    <s v="3016755296                    "/>
    <n v="30"/>
  </r>
  <r>
    <s v="202601"/>
    <s v="1038138797          "/>
    <x v="182"/>
    <x v="13"/>
    <s v="FEDC157883  "/>
    <n v="464400"/>
    <x v="3"/>
    <n v="8"/>
    <d v="2026-01-20T00:00:00"/>
    <d v="2026-02-19T00:00:00"/>
    <x v="18"/>
    <x v="13"/>
    <s v="0    "/>
    <s v="3223117873                    "/>
    <n v="30"/>
  </r>
  <r>
    <s v="202601"/>
    <s v="1038138797          "/>
    <x v="182"/>
    <x v="13"/>
    <s v="FEDC157884  "/>
    <n v="8977598"/>
    <x v="3"/>
    <n v="8"/>
    <d v="2026-01-20T00:00:00"/>
    <d v="2026-02-19T00:00:00"/>
    <x v="18"/>
    <x v="13"/>
    <s v="0    "/>
    <s v="3223117873                    "/>
    <n v="30"/>
  </r>
  <r>
    <s v="202601"/>
    <s v="15030463            "/>
    <x v="227"/>
    <x v="37"/>
    <s v="FEDC157886  "/>
    <n v="630000"/>
    <x v="9"/>
    <n v="8"/>
    <d v="2026-01-20T00:00:00"/>
    <d v="2026-01-30T00:00:00"/>
    <x v="18"/>
    <x v="13"/>
    <s v="0    "/>
    <s v="3185068224     "/>
    <n v="30"/>
  </r>
  <r>
    <s v="202601"/>
    <s v="1062677001          "/>
    <x v="348"/>
    <x v="13"/>
    <s v="FEDC157892  "/>
    <n v="743035"/>
    <x v="3"/>
    <n v="8"/>
    <d v="2026-01-20T00:00:00"/>
    <d v="2026-02-19T00:00:00"/>
    <x v="18"/>
    <x v="13"/>
    <s v="0    "/>
    <s v="3215061247-3116732900         "/>
    <n v="30"/>
  </r>
  <r>
    <s v="202601"/>
    <s v="15030463            "/>
    <x v="227"/>
    <x v="37"/>
    <s v="FEDC157893  "/>
    <n v="2100000"/>
    <x v="9"/>
    <n v="8"/>
    <d v="2026-01-20T00:00:00"/>
    <d v="2026-01-30T00:00:00"/>
    <x v="18"/>
    <x v="13"/>
    <s v="0    "/>
    <s v="3185068224     "/>
    <n v="30"/>
  </r>
  <r>
    <s v="202601"/>
    <s v="1062677001          "/>
    <x v="348"/>
    <x v="13"/>
    <s v="FEDC157894  "/>
    <n v="428000"/>
    <x v="3"/>
    <n v="8"/>
    <d v="2026-01-20T00:00:00"/>
    <d v="2026-02-19T00:00:00"/>
    <x v="18"/>
    <x v="13"/>
    <s v="0    "/>
    <s v="3215061247-3116732900         "/>
    <n v="30"/>
  </r>
  <r>
    <s v="202601"/>
    <s v="32376414            "/>
    <x v="484"/>
    <x v="37"/>
    <s v="FEDC157897  "/>
    <n v="287830"/>
    <x v="3"/>
    <n v="8"/>
    <d v="2026-01-20T00:00:00"/>
    <d v="2026-02-19T00:00:00"/>
    <x v="18"/>
    <x v="11"/>
    <s v="0    "/>
    <s v="3215066605                    "/>
    <n v="30"/>
  </r>
  <r>
    <s v="202601"/>
    <s v="8374032             "/>
    <x v="219"/>
    <x v="13"/>
    <s v="FEDC157900  "/>
    <n v="5203058"/>
    <x v="3"/>
    <n v="8"/>
    <d v="2026-01-20T00:00:00"/>
    <d v="2026-02-19T00:00:00"/>
    <x v="18"/>
    <x v="13"/>
    <s v="0    "/>
    <s v="3145644503-323243142          "/>
    <n v="30"/>
  </r>
  <r>
    <s v="202601"/>
    <s v="8374032             "/>
    <x v="219"/>
    <x v="13"/>
    <s v="FEDC157901  "/>
    <n v="831750"/>
    <x v="3"/>
    <n v="8"/>
    <d v="2026-01-20T00:00:00"/>
    <d v="2026-02-19T00:00:00"/>
    <x v="18"/>
    <x v="13"/>
    <s v="0    "/>
    <s v="3145644503-323243142          "/>
    <n v="30"/>
  </r>
  <r>
    <s v="202601"/>
    <s v="15030463            "/>
    <x v="227"/>
    <x v="37"/>
    <s v="FEDC157902  "/>
    <n v="968100"/>
    <x v="3"/>
    <n v="8"/>
    <d v="2026-01-20T00:00:00"/>
    <d v="2026-02-19T00:00:00"/>
    <x v="18"/>
    <x v="13"/>
    <s v="0    "/>
    <s v="3185068224     "/>
    <n v="30"/>
  </r>
  <r>
    <s v="202601"/>
    <s v="8374032             "/>
    <x v="219"/>
    <x v="13"/>
    <s v="FEDC157903  "/>
    <n v="188000"/>
    <x v="3"/>
    <n v="8"/>
    <d v="2026-01-20T00:00:00"/>
    <d v="2026-02-19T00:00:00"/>
    <x v="18"/>
    <x v="13"/>
    <s v="0    "/>
    <s v="3145644503-323243142          "/>
    <n v="30"/>
  </r>
  <r>
    <s v="202601"/>
    <s v="8374032             "/>
    <x v="219"/>
    <x v="13"/>
    <s v="FEDC157904  "/>
    <n v="149280"/>
    <x v="3"/>
    <n v="8"/>
    <d v="2026-01-20T00:00:00"/>
    <d v="2026-02-19T00:00:00"/>
    <x v="18"/>
    <x v="13"/>
    <s v="0    "/>
    <s v="3145644503-323243142          "/>
    <n v="30"/>
  </r>
  <r>
    <s v="202601"/>
    <s v="39267556            "/>
    <x v="485"/>
    <x v="13"/>
    <s v="FEVM45123   "/>
    <n v="276102"/>
    <x v="1"/>
    <n v="8"/>
    <d v="2026-01-20T00:00:00"/>
    <d v="2026-02-04T00:00:00"/>
    <x v="18"/>
    <x v="6"/>
    <s v="0    "/>
    <s v="3136147001                    "/>
    <n v="15"/>
  </r>
  <r>
    <s v="202601"/>
    <s v="39267556            "/>
    <x v="485"/>
    <x v="13"/>
    <s v="FEVM45124   "/>
    <n v="88619"/>
    <x v="1"/>
    <n v="8"/>
    <d v="2026-01-20T00:00:00"/>
    <d v="2026-02-04T00:00:00"/>
    <x v="18"/>
    <x v="6"/>
    <s v="0    "/>
    <s v="3136147001                    "/>
    <n v="15"/>
  </r>
  <r>
    <s v="202601"/>
    <s v="39266510            "/>
    <x v="486"/>
    <x v="13"/>
    <s v="FEVM45126   "/>
    <n v="717063"/>
    <x v="1"/>
    <n v="8"/>
    <d v="2026-01-20T00:00:00"/>
    <d v="2026-02-04T00:00:00"/>
    <x v="18"/>
    <x v="6"/>
    <s v="0    "/>
    <s v="3136975358                    "/>
    <n v="15"/>
  </r>
  <r>
    <s v="202601"/>
    <s v="35117345            "/>
    <x v="487"/>
    <x v="13"/>
    <s v="FEVM45127   "/>
    <n v="323259"/>
    <x v="1"/>
    <n v="8"/>
    <d v="2026-01-20T00:00:00"/>
    <d v="2026-02-04T00:00:00"/>
    <x v="18"/>
    <x v="6"/>
    <s v="0    "/>
    <s v="3126267392                    "/>
    <n v="15"/>
  </r>
  <r>
    <s v="202601"/>
    <s v="1038112946          "/>
    <x v="338"/>
    <x v="13"/>
    <s v="FEVM45130   "/>
    <n v="420000"/>
    <x v="9"/>
    <n v="8"/>
    <d v="2026-01-20T00:00:00"/>
    <d v="2026-01-30T00:00:00"/>
    <x v="18"/>
    <x v="6"/>
    <s v="0    "/>
    <s v="3215694941-3118537598         "/>
    <n v="15"/>
  </r>
  <r>
    <s v="202601"/>
    <s v="1038112946          "/>
    <x v="338"/>
    <x v="13"/>
    <s v="FEVM45131   "/>
    <n v="722191"/>
    <x v="1"/>
    <n v="8"/>
    <d v="2026-01-20T00:00:00"/>
    <d v="2026-02-04T00:00:00"/>
    <x v="18"/>
    <x v="6"/>
    <s v="0    "/>
    <s v="3215694941-3118537598         "/>
    <n v="15"/>
  </r>
  <r>
    <s v="202601"/>
    <s v="1038097681          "/>
    <x v="165"/>
    <x v="13"/>
    <s v="FEVM45140   "/>
    <n v="583800"/>
    <x v="9"/>
    <n v="8"/>
    <d v="2026-01-20T00:00:00"/>
    <d v="2026-01-30T00:00:00"/>
    <x v="18"/>
    <x v="10"/>
    <s v="0    "/>
    <s v="3186811106                    "/>
    <n v="30"/>
  </r>
  <r>
    <s v="202601"/>
    <s v="39287141            "/>
    <x v="415"/>
    <x v="13"/>
    <s v="FEVM45141   "/>
    <n v="428000"/>
    <x v="9"/>
    <n v="8"/>
    <d v="2026-01-20T00:00:00"/>
    <d v="2026-01-30T00:00:00"/>
    <x v="18"/>
    <x v="6"/>
    <s v="0    "/>
    <s v="3207253693     "/>
    <n v="30"/>
  </r>
  <r>
    <s v="202601"/>
    <s v="70001619            "/>
    <x v="418"/>
    <x v="27"/>
    <s v="FEDC157906  "/>
    <n v="491946"/>
    <x v="3"/>
    <n v="8"/>
    <d v="2026-01-20T00:00:00"/>
    <d v="2026-02-19T00:00:00"/>
    <x v="14"/>
    <x v="4"/>
    <s v="0    "/>
    <s v="3206764517     "/>
    <n v="30"/>
  </r>
  <r>
    <s v="202601"/>
    <s v="70001619            "/>
    <x v="418"/>
    <x v="27"/>
    <s v="FEDC157907  "/>
    <n v="11220000"/>
    <x v="3"/>
    <n v="8"/>
    <d v="2026-01-20T00:00:00"/>
    <d v="2026-02-19T00:00:00"/>
    <x v="14"/>
    <x v="4"/>
    <s v="0    "/>
    <s v="3206764517     "/>
    <n v="30"/>
  </r>
  <r>
    <s v="202601"/>
    <s v="900691735-3         "/>
    <x v="488"/>
    <x v="21"/>
    <s v="FEDC157905  "/>
    <n v="9214307"/>
    <x v="3"/>
    <n v="8"/>
    <d v="2026-01-20T00:00:00"/>
    <d v="2026-02-19T00:00:00"/>
    <x v="16"/>
    <x v="4"/>
    <s v="0    "/>
    <s v="8388349 -3116453208           "/>
    <n v="30"/>
  </r>
  <r>
    <s v="202601"/>
    <s v="900691735-3         "/>
    <x v="488"/>
    <x v="21"/>
    <s v="FEDC157909  "/>
    <n v="2"/>
    <x v="3"/>
    <n v="8"/>
    <d v="2026-01-20T00:00:00"/>
    <d v="2026-02-19T00:00:00"/>
    <x v="16"/>
    <x v="4"/>
    <s v="0    "/>
    <s v="8388349 -3116453208           "/>
    <n v="30"/>
  </r>
  <r>
    <s v="202601"/>
    <s v="1066518174          "/>
    <x v="293"/>
    <x v="19"/>
    <s v="FEVM45177   "/>
    <n v="428000"/>
    <x v="3"/>
    <n v="8"/>
    <d v="2026-01-20T00:00:00"/>
    <d v="2026-02-19T00:00:00"/>
    <x v="22"/>
    <x v="10"/>
    <s v="0    "/>
    <s v="3216102127-3155095670         "/>
    <n v="30"/>
  </r>
  <r>
    <s v="202601"/>
    <s v="50994786            "/>
    <x v="235"/>
    <x v="19"/>
    <s v="FEVM45187   "/>
    <n v="412951"/>
    <x v="3"/>
    <n v="8"/>
    <d v="2026-01-20T00:00:00"/>
    <d v="2026-02-19T00:00:00"/>
    <x v="22"/>
    <x v="10"/>
    <s v="0    "/>
    <s v="3136427693 - 3217353632       "/>
    <n v="30"/>
  </r>
  <r>
    <s v="202601"/>
    <s v="1066524620          "/>
    <x v="341"/>
    <x v="19"/>
    <s v="FEVM45193   "/>
    <n v="227901"/>
    <x v="1"/>
    <n v="8"/>
    <d v="2026-01-20T00:00:00"/>
    <d v="2026-02-04T00:00:00"/>
    <x v="22"/>
    <x v="10"/>
    <s v="0    "/>
    <s v="3015679999                    "/>
    <n v="30"/>
  </r>
  <r>
    <s v="202601"/>
    <s v="1007565257          "/>
    <x v="489"/>
    <x v="19"/>
    <s v="FEVM45194   "/>
    <n v="229923"/>
    <x v="5"/>
    <n v="8"/>
    <d v="2026-01-20T00:00:00"/>
    <d v="2026-01-21T00:00:00"/>
    <x v="22"/>
    <x v="10"/>
    <s v="0    "/>
    <s v="3146692721 - 3127631162       "/>
    <n v="1"/>
  </r>
  <r>
    <s v="202601"/>
    <s v="1066524935          "/>
    <x v="169"/>
    <x v="19"/>
    <s v="FEVM45195   "/>
    <n v="574368"/>
    <x v="3"/>
    <n v="8"/>
    <d v="2026-01-20T00:00:00"/>
    <d v="2026-02-19T00:00:00"/>
    <x v="22"/>
    <x v="10"/>
    <s v="0    "/>
    <s v="3117567994                    "/>
    <n v="30"/>
  </r>
  <r>
    <s v="202601"/>
    <s v="78115036            "/>
    <x v="297"/>
    <x v="78"/>
    <s v="FEVM45201   "/>
    <n v="328197"/>
    <x v="3"/>
    <n v="8"/>
    <d v="2026-01-20T00:00:00"/>
    <d v="2026-02-19T00:00:00"/>
    <x v="22"/>
    <x v="10"/>
    <s v="0    "/>
    <s v="7724344"/>
    <n v="30"/>
  </r>
  <r>
    <s v="202601"/>
    <s v="78113896            "/>
    <x v="232"/>
    <x v="19"/>
    <s v="FEVM45207   "/>
    <n v="219399"/>
    <x v="3"/>
    <n v="8"/>
    <d v="2026-01-20T00:00:00"/>
    <d v="2026-02-19T00:00:00"/>
    <x v="22"/>
    <x v="10"/>
    <s v="0    "/>
    <s v="3006233938                    "/>
    <n v="30"/>
  </r>
  <r>
    <s v="202601"/>
    <s v="1066516298          "/>
    <x v="342"/>
    <x v="19"/>
    <s v="FEVM45213   "/>
    <n v="444392"/>
    <x v="1"/>
    <n v="8"/>
    <d v="2026-01-20T00:00:00"/>
    <d v="2026-02-04T00:00:00"/>
    <x v="22"/>
    <x v="10"/>
    <s v="0    "/>
    <s v="3227613238                    "/>
    <n v="30"/>
  </r>
  <r>
    <s v="202601"/>
    <s v="1066516298          "/>
    <x v="342"/>
    <x v="19"/>
    <s v="FEVM45214   "/>
    <n v="428178"/>
    <x v="3"/>
    <n v="8"/>
    <d v="2026-01-20T00:00:00"/>
    <d v="2026-02-19T00:00:00"/>
    <x v="22"/>
    <x v="10"/>
    <s v="0    "/>
    <s v="3227613238                    "/>
    <n v="30"/>
  </r>
  <r>
    <s v="202601"/>
    <s v="26037541            "/>
    <x v="490"/>
    <x v="19"/>
    <s v="FEVM45221   "/>
    <n v="1366302"/>
    <x v="3"/>
    <n v="8"/>
    <d v="2026-01-20T00:00:00"/>
    <d v="2026-02-19T00:00:00"/>
    <x v="22"/>
    <x v="10"/>
    <s v="0    "/>
    <s v="3128542835                    "/>
    <n v="30"/>
  </r>
  <r>
    <s v="202601"/>
    <s v="26037541            "/>
    <x v="490"/>
    <x v="19"/>
    <s v="FEVM45222   "/>
    <n v="889587"/>
    <x v="3"/>
    <n v="8"/>
    <d v="2026-01-20T00:00:00"/>
    <d v="2026-02-19T00:00:00"/>
    <x v="22"/>
    <x v="10"/>
    <s v="0    "/>
    <s v="3128542835                    "/>
    <n v="30"/>
  </r>
  <r>
    <s v="202601"/>
    <s v="43084869            "/>
    <x v="491"/>
    <x v="19"/>
    <s v="FEVM45226   "/>
    <n v="95867"/>
    <x v="1"/>
    <n v="8"/>
    <d v="2026-01-20T00:00:00"/>
    <d v="2026-02-04T00:00:00"/>
    <x v="22"/>
    <x v="10"/>
    <s v="0    "/>
    <s v="3135656035     "/>
    <n v="15"/>
  </r>
  <r>
    <s v="202601"/>
    <s v="1066513494          "/>
    <x v="292"/>
    <x v="19"/>
    <s v="FEVM45227   "/>
    <n v="428000"/>
    <x v="3"/>
    <n v="8"/>
    <d v="2026-01-20T00:00:00"/>
    <d v="2026-02-19T00:00:00"/>
    <x v="22"/>
    <x v="10"/>
    <s v="0    "/>
    <s v="3108277335                    "/>
    <n v="30"/>
  </r>
  <r>
    <s v="202601"/>
    <s v="78113894            "/>
    <x v="234"/>
    <x v="78"/>
    <s v="FEVM45230   "/>
    <n v="1046246"/>
    <x v="3"/>
    <n v="8"/>
    <d v="2026-01-20T00:00:00"/>
    <d v="2026-02-19T00:00:00"/>
    <x v="22"/>
    <x v="10"/>
    <s v="0    "/>
    <s v="3137710031                    "/>
    <n v="30"/>
  </r>
  <r>
    <s v="202601"/>
    <s v="78113894            "/>
    <x v="234"/>
    <x v="78"/>
    <s v="FEVM45231   "/>
    <n v="562166"/>
    <x v="1"/>
    <n v="8"/>
    <d v="2026-01-20T00:00:00"/>
    <d v="2026-02-04T00:00:00"/>
    <x v="22"/>
    <x v="10"/>
    <s v="0    "/>
    <s v="3137710031                    "/>
    <n v="30"/>
  </r>
  <r>
    <s v="202601"/>
    <s v="1066270216          "/>
    <x v="233"/>
    <x v="19"/>
    <s v="FEVM45232   "/>
    <n v="294677"/>
    <x v="3"/>
    <n v="8"/>
    <d v="2026-01-20T00:00:00"/>
    <d v="2026-02-19T00:00:00"/>
    <x v="22"/>
    <x v="10"/>
    <s v="0    "/>
    <s v="3134923550                    "/>
    <n v="30"/>
  </r>
  <r>
    <s v="202601"/>
    <s v="70696568            "/>
    <x v="236"/>
    <x v="78"/>
    <s v="FEVM45237   "/>
    <n v="1232461"/>
    <x v="3"/>
    <n v="8"/>
    <d v="2026-01-20T00:00:00"/>
    <d v="2026-02-19T00:00:00"/>
    <x v="22"/>
    <x v="10"/>
    <s v="0    "/>
    <s v="3114240949                    "/>
    <n v="30"/>
  </r>
  <r>
    <s v="202601"/>
    <s v="78298952            "/>
    <x v="492"/>
    <x v="1"/>
    <s v="FEDC157910  "/>
    <n v="4960426"/>
    <x v="1"/>
    <n v="8"/>
    <d v="2026-01-20T00:00:00"/>
    <d v="2026-02-04T00:00:00"/>
    <x v="1"/>
    <x v="3"/>
    <s v="0    "/>
    <s v="3226392135     "/>
    <n v="15"/>
  </r>
  <r>
    <s v="202601"/>
    <s v="78298952            "/>
    <x v="492"/>
    <x v="1"/>
    <s v="FEDC157911  "/>
    <n v="628781"/>
    <x v="1"/>
    <n v="8"/>
    <d v="2026-01-20T00:00:00"/>
    <d v="2026-02-04T00:00:00"/>
    <x v="1"/>
    <x v="3"/>
    <s v="0    "/>
    <s v="3226392135     "/>
    <n v="15"/>
  </r>
  <r>
    <s v="202601"/>
    <s v="70694020            "/>
    <x v="493"/>
    <x v="1"/>
    <s v="FEVM45171   "/>
    <n v="445720"/>
    <x v="10"/>
    <n v="8"/>
    <d v="2026-01-20T00:00:00"/>
    <d v="2026-01-28T00:00:00"/>
    <x v="1"/>
    <x v="3"/>
    <s v="0    "/>
    <s v="3114749928                    "/>
    <n v="8"/>
  </r>
  <r>
    <s v="202601"/>
    <s v="901349219-3         "/>
    <x v="133"/>
    <x v="1"/>
    <s v="FEVM45175   "/>
    <n v="1754034"/>
    <x v="1"/>
    <n v="8"/>
    <d v="2026-01-20T00:00:00"/>
    <d v="2026-02-04T00:00:00"/>
    <x v="1"/>
    <x v="3"/>
    <s v="0    "/>
    <s v="3156264634- 7721444           "/>
    <n v="30"/>
  </r>
  <r>
    <s v="202601"/>
    <s v="901349219-3         "/>
    <x v="133"/>
    <x v="1"/>
    <s v="FEVM45176   "/>
    <n v="1172663"/>
    <x v="1"/>
    <n v="8"/>
    <d v="2026-01-20T00:00:00"/>
    <d v="2026-02-04T00:00:00"/>
    <x v="1"/>
    <x v="3"/>
    <s v="0    "/>
    <s v="3156264634- 7721444           "/>
    <n v="30"/>
  </r>
  <r>
    <s v="202601"/>
    <s v="1063358756          "/>
    <x v="479"/>
    <x v="24"/>
    <s v="FEDC157849  "/>
    <n v="153596"/>
    <x v="3"/>
    <n v="8"/>
    <d v="2026-01-20T00:00:00"/>
    <d v="2026-02-19T00:00:00"/>
    <x v="24"/>
    <x v="12"/>
    <s v="0    "/>
    <s v="3127825010                    "/>
    <n v="30"/>
  </r>
  <r>
    <s v="202601"/>
    <s v="901158992-9         "/>
    <x v="127"/>
    <x v="24"/>
    <s v="FEDC157851  "/>
    <n v="3193974"/>
    <x v="3"/>
    <n v="8"/>
    <d v="2026-01-20T00:00:00"/>
    <d v="2026-02-19T00:00:00"/>
    <x v="24"/>
    <x v="12"/>
    <s v="0    "/>
    <s v="3002863464 - 3013900884       "/>
    <n v="30"/>
  </r>
  <r>
    <s v="202601"/>
    <s v="901158992-9         "/>
    <x v="127"/>
    <x v="24"/>
    <s v="FEDC157852  "/>
    <n v="1657947"/>
    <x v="3"/>
    <n v="8"/>
    <d v="2026-01-20T00:00:00"/>
    <d v="2026-02-19T00:00:00"/>
    <x v="24"/>
    <x v="12"/>
    <s v="0    "/>
    <s v="3002863464 - 3013900884       "/>
    <n v="30"/>
  </r>
  <r>
    <s v="202601"/>
    <s v="15305256            "/>
    <x v="274"/>
    <x v="71"/>
    <s v="FEDC157913  "/>
    <n v="646044"/>
    <x v="3"/>
    <n v="8"/>
    <d v="2026-01-20T00:00:00"/>
    <d v="2026-02-19T00:00:00"/>
    <x v="49"/>
    <x v="1"/>
    <s v="0    "/>
    <s v="3113240967 -3104719821        "/>
    <n v="30"/>
  </r>
  <r>
    <s v="202601"/>
    <s v="43754593            "/>
    <x v="494"/>
    <x v="17"/>
    <s v="FEDC157837  "/>
    <n v="836589"/>
    <x v="3"/>
    <n v="8"/>
    <d v="2026-01-20T00:00:00"/>
    <d v="2026-02-19T00:00:00"/>
    <x v="21"/>
    <x v="1"/>
    <s v="0    "/>
    <s v="3104751376                    "/>
    <n v="30"/>
  </r>
  <r>
    <s v="202601"/>
    <s v="1007319425          "/>
    <x v="336"/>
    <x v="17"/>
    <s v="FEDC157838  "/>
    <n v="2354642"/>
    <x v="3"/>
    <n v="8"/>
    <d v="2026-01-20T00:00:00"/>
    <d v="2026-02-19T00:00:00"/>
    <x v="21"/>
    <x v="1"/>
    <s v="0    "/>
    <s v="3015232668     "/>
    <n v="30"/>
  </r>
  <r>
    <s v="202601"/>
    <s v="1007319425          "/>
    <x v="336"/>
    <x v="17"/>
    <s v="FEDC157839  "/>
    <n v="4460016"/>
    <x v="3"/>
    <n v="8"/>
    <d v="2026-01-20T00:00:00"/>
    <d v="2026-02-19T00:00:00"/>
    <x v="21"/>
    <x v="1"/>
    <s v="0    "/>
    <s v="3015232668     "/>
    <n v="30"/>
  </r>
  <r>
    <s v="202601"/>
    <s v="71977549            "/>
    <x v="495"/>
    <x v="80"/>
    <s v="FEDC157844  "/>
    <n v="366749"/>
    <x v="3"/>
    <n v="8"/>
    <d v="2026-01-20T00:00:00"/>
    <d v="2026-02-19T00:00:00"/>
    <x v="21"/>
    <x v="1"/>
    <s v="0    "/>
    <s v="3145048699-3134858460         "/>
    <n v="30"/>
  </r>
  <r>
    <s v="202601"/>
    <s v="1007554374          "/>
    <x v="347"/>
    <x v="17"/>
    <s v="FEDC157846  "/>
    <n v="1295852"/>
    <x v="3"/>
    <n v="8"/>
    <d v="2026-01-20T00:00:00"/>
    <d v="2026-02-19T00:00:00"/>
    <x v="21"/>
    <x v="1"/>
    <s v="0    "/>
    <s v="3117600669                    "/>
    <n v="30"/>
  </r>
  <r>
    <s v="202601"/>
    <s v="3572818             "/>
    <x v="496"/>
    <x v="17"/>
    <s v="FEDC157847  "/>
    <n v="1425105"/>
    <x v="3"/>
    <n v="8"/>
    <d v="2026-01-20T00:00:00"/>
    <d v="2026-02-19T00:00:00"/>
    <x v="21"/>
    <x v="1"/>
    <s v="0    "/>
    <s v="3004500417                    "/>
    <n v="30"/>
  </r>
  <r>
    <s v="202601"/>
    <s v="32116683            "/>
    <x v="245"/>
    <x v="80"/>
    <s v="FEDC157854  "/>
    <n v="432988"/>
    <x v="3"/>
    <n v="8"/>
    <d v="2026-01-20T00:00:00"/>
    <d v="2026-02-19T00:00:00"/>
    <x v="21"/>
    <x v="1"/>
    <s v="0    "/>
    <s v="312 812 7966"/>
    <n v="0"/>
  </r>
  <r>
    <s v="202601"/>
    <s v="1045424998          "/>
    <x v="346"/>
    <x v="17"/>
    <s v="FEDC157856  "/>
    <n v="210370"/>
    <x v="3"/>
    <n v="8"/>
    <d v="2026-01-20T00:00:00"/>
    <d v="2026-02-19T00:00:00"/>
    <x v="21"/>
    <x v="1"/>
    <s v="0    "/>
    <s v="3022792714                    "/>
    <n v="30"/>
  </r>
  <r>
    <s v="202601"/>
    <s v="1045424998          "/>
    <x v="346"/>
    <x v="17"/>
    <s v="FEDC157857  "/>
    <n v="642000"/>
    <x v="3"/>
    <n v="8"/>
    <d v="2026-01-20T00:00:00"/>
    <d v="2026-02-19T00:00:00"/>
    <x v="21"/>
    <x v="1"/>
    <s v="0    "/>
    <s v="3022792714                    "/>
    <n v="30"/>
  </r>
  <r>
    <s v="202601"/>
    <s v="1045422363          "/>
    <x v="497"/>
    <x v="80"/>
    <s v="FEDC157858  "/>
    <n v="536843"/>
    <x v="11"/>
    <n v="8"/>
    <d v="2026-01-20T00:00:00"/>
    <d v="2026-02-09T00:00:00"/>
    <x v="21"/>
    <x v="1"/>
    <s v="0    "/>
    <s v="3104307431     "/>
    <n v="30"/>
  </r>
  <r>
    <s v="202601"/>
    <s v="1045422253          "/>
    <x v="345"/>
    <x v="17"/>
    <s v="FEDC157859  "/>
    <n v="6635962"/>
    <x v="3"/>
    <n v="8"/>
    <d v="2026-01-20T00:00:00"/>
    <d v="2026-02-19T00:00:00"/>
    <x v="21"/>
    <x v="1"/>
    <s v="0    "/>
    <s v="3204664144                    "/>
    <n v="30"/>
  </r>
  <r>
    <s v="202601"/>
    <s v="1007652832          "/>
    <x v="206"/>
    <x v="13"/>
    <s v="FEDC157918  "/>
    <n v="1356850"/>
    <x v="3"/>
    <n v="7"/>
    <d v="2026-01-21T00:00:00"/>
    <d v="2026-02-20T00:00:00"/>
    <x v="18"/>
    <x v="13"/>
    <s v="0    "/>
    <s v="3003097106 -3013682585        "/>
    <n v="30"/>
  </r>
  <r>
    <s v="202601"/>
    <s v="1103102647          "/>
    <x v="312"/>
    <x v="13"/>
    <s v="FEDC157919  "/>
    <n v="2140000"/>
    <x v="3"/>
    <n v="7"/>
    <d v="2026-01-21T00:00:00"/>
    <d v="2026-02-20T00:00:00"/>
    <x v="18"/>
    <x v="13"/>
    <s v="0    "/>
    <s v="3216981456                    "/>
    <n v="30"/>
  </r>
  <r>
    <s v="202601"/>
    <s v="1045019242          "/>
    <x v="426"/>
    <x v="13"/>
    <s v="FEDC157921  "/>
    <n v="254400"/>
    <x v="9"/>
    <n v="7"/>
    <d v="2026-01-21T00:00:00"/>
    <d v="2026-01-31T00:00:00"/>
    <x v="18"/>
    <x v="13"/>
    <s v="0    "/>
    <s v="3148839755     "/>
    <n v="30"/>
  </r>
  <r>
    <s v="202601"/>
    <s v="1103102647          "/>
    <x v="312"/>
    <x v="13"/>
    <s v="FEDC157923  "/>
    <n v="35300"/>
    <x v="3"/>
    <n v="7"/>
    <d v="2026-01-21T00:00:00"/>
    <d v="2026-02-20T00:00:00"/>
    <x v="18"/>
    <x v="13"/>
    <s v="0    "/>
    <s v="3216981456                    "/>
    <n v="30"/>
  </r>
  <r>
    <s v="202601"/>
    <s v="901997622           "/>
    <x v="364"/>
    <x v="13"/>
    <s v="FEDC157924  "/>
    <n v="216660"/>
    <x v="3"/>
    <n v="7"/>
    <d v="2026-01-21T00:00:00"/>
    <d v="2026-02-20T00:00:00"/>
    <x v="18"/>
    <x v="13"/>
    <s v="0    "/>
    <s v="3206198078                    "/>
    <n v="30"/>
  </r>
  <r>
    <s v="202601"/>
    <s v="1038129599          "/>
    <x v="251"/>
    <x v="13"/>
    <s v="FEDC157925  "/>
    <n v="2130607"/>
    <x v="3"/>
    <n v="7"/>
    <d v="2026-01-21T00:00:00"/>
    <d v="2026-02-20T00:00:00"/>
    <x v="18"/>
    <x v="13"/>
    <s v="0    "/>
    <s v="3208613025                    "/>
    <n v="30"/>
  </r>
  <r>
    <s v="202601"/>
    <s v="43786215            "/>
    <x v="228"/>
    <x v="13"/>
    <s v="FEDC157926  "/>
    <n v="1802754"/>
    <x v="3"/>
    <n v="7"/>
    <d v="2026-01-21T00:00:00"/>
    <d v="2026-02-20T00:00:00"/>
    <x v="18"/>
    <x v="13"/>
    <s v="0    "/>
    <s v="3183468239     "/>
    <n v="30"/>
  </r>
  <r>
    <s v="202601"/>
    <s v="15047058            "/>
    <x v="226"/>
    <x v="37"/>
    <s v="FEDC157927  "/>
    <n v="4200000"/>
    <x v="9"/>
    <n v="7"/>
    <d v="2026-01-21T00:00:00"/>
    <d v="2026-01-31T00:00:00"/>
    <x v="18"/>
    <x v="13"/>
    <s v="0    "/>
    <s v="3226993920     "/>
    <n v="30"/>
  </r>
  <r>
    <s v="202601"/>
    <s v="1007444837          "/>
    <x v="468"/>
    <x v="13"/>
    <s v="FEDC157928  "/>
    <n v="290650"/>
    <x v="3"/>
    <n v="7"/>
    <d v="2026-01-21T00:00:00"/>
    <d v="2026-02-20T00:00:00"/>
    <x v="18"/>
    <x v="13"/>
    <s v="0    "/>
    <s v="3117408701     "/>
    <n v="30"/>
  </r>
  <r>
    <s v="202601"/>
    <s v="32624344            "/>
    <x v="249"/>
    <x v="37"/>
    <s v="FEDC157929  "/>
    <n v="1059899"/>
    <x v="3"/>
    <n v="7"/>
    <d v="2026-01-21T00:00:00"/>
    <d v="2026-02-20T00:00:00"/>
    <x v="18"/>
    <x v="13"/>
    <s v="0    "/>
    <s v="33105051916                   "/>
    <n v="30"/>
  </r>
  <r>
    <s v="202601"/>
    <s v="43403646            "/>
    <x v="260"/>
    <x v="13"/>
    <s v="FEDC157930  "/>
    <n v="194407"/>
    <x v="3"/>
    <n v="7"/>
    <d v="2026-01-21T00:00:00"/>
    <d v="2026-02-20T00:00:00"/>
    <x v="18"/>
    <x v="13"/>
    <s v="0    "/>
    <s v="3016755296                    "/>
    <n v="30"/>
  </r>
  <r>
    <s v="202601"/>
    <s v="1127958438          "/>
    <x v="159"/>
    <x v="13"/>
    <s v="FEDC157931  "/>
    <n v="8400000"/>
    <x v="3"/>
    <n v="7"/>
    <d v="2026-01-21T00:00:00"/>
    <d v="2026-02-20T00:00:00"/>
    <x v="18"/>
    <x v="13"/>
    <s v="0    "/>
    <s v="3204475005                    "/>
    <n v="30"/>
  </r>
  <r>
    <s v="202601"/>
    <s v="1002636936          "/>
    <x v="400"/>
    <x v="13"/>
    <s v="FEDC157975  "/>
    <n v="886640"/>
    <x v="10"/>
    <n v="7"/>
    <d v="2026-01-21T00:00:00"/>
    <d v="2026-01-29T00:00:00"/>
    <x v="18"/>
    <x v="11"/>
    <s v="0    "/>
    <s v="3136402251                    "/>
    <n v="30"/>
  </r>
  <r>
    <s v="202601"/>
    <s v="1007332329          "/>
    <x v="498"/>
    <x v="13"/>
    <s v="FEVM45253   "/>
    <n v="172552"/>
    <x v="1"/>
    <n v="7"/>
    <d v="2026-01-21T00:00:00"/>
    <d v="2026-02-05T00:00:00"/>
    <x v="18"/>
    <x v="6"/>
    <s v="0    "/>
    <s v="3118291964                    "/>
    <n v="15"/>
  </r>
  <r>
    <s v="202601"/>
    <s v="1102871384          "/>
    <x v="499"/>
    <x v="13"/>
    <s v="FEVM45263   "/>
    <n v="214020"/>
    <x v="5"/>
    <n v="7"/>
    <d v="2026-01-21T00:00:00"/>
    <d v="2026-01-22T00:00:00"/>
    <x v="18"/>
    <x v="6"/>
    <s v="0    "/>
    <s v="3128408146     "/>
    <n v="30"/>
  </r>
  <r>
    <s v="202601"/>
    <s v="1038114557          "/>
    <x v="370"/>
    <x v="37"/>
    <s v="FEVM45264   "/>
    <n v="246745"/>
    <x v="1"/>
    <n v="7"/>
    <d v="2026-01-21T00:00:00"/>
    <d v="2026-02-05T00:00:00"/>
    <x v="18"/>
    <x v="6"/>
    <s v="0    "/>
    <s v=""/>
    <n v="15"/>
  </r>
  <r>
    <s v="202601"/>
    <s v="1038093848          "/>
    <x v="500"/>
    <x v="13"/>
    <s v="FEVM45268   "/>
    <n v="128041"/>
    <x v="5"/>
    <n v="7"/>
    <d v="2026-01-21T00:00:00"/>
    <d v="2026-01-22T00:00:00"/>
    <x v="18"/>
    <x v="6"/>
    <s v="0    "/>
    <s v="3127274334     "/>
    <n v="30"/>
  </r>
  <r>
    <s v="202601"/>
    <s v="1038093848          "/>
    <x v="500"/>
    <x v="13"/>
    <s v="FEVM45269   "/>
    <n v="128400"/>
    <x v="5"/>
    <n v="7"/>
    <d v="2026-01-21T00:00:00"/>
    <d v="2026-01-22T00:00:00"/>
    <x v="18"/>
    <x v="6"/>
    <s v="0    "/>
    <s v="3127274334     "/>
    <n v="30"/>
  </r>
  <r>
    <s v="202601"/>
    <s v="1038093848          "/>
    <x v="500"/>
    <x v="13"/>
    <s v="FEVM45270   "/>
    <n v="64011"/>
    <x v="5"/>
    <n v="7"/>
    <d v="2026-01-21T00:00:00"/>
    <d v="2026-01-22T00:00:00"/>
    <x v="18"/>
    <x v="6"/>
    <s v="0    "/>
    <s v="3127274334     "/>
    <n v="30"/>
  </r>
  <r>
    <s v="202601"/>
    <s v="1038112946          "/>
    <x v="338"/>
    <x v="13"/>
    <s v="FEVM45272   "/>
    <n v="840000"/>
    <x v="9"/>
    <n v="7"/>
    <d v="2026-01-21T00:00:00"/>
    <d v="2026-01-31T00:00:00"/>
    <x v="18"/>
    <x v="6"/>
    <s v="0    "/>
    <s v="3215694941-3118537598         "/>
    <n v="15"/>
  </r>
  <r>
    <s v="202601"/>
    <s v="98615241            "/>
    <x v="501"/>
    <x v="37"/>
    <s v="FEVM45280   "/>
    <n v="68012"/>
    <x v="5"/>
    <n v="7"/>
    <d v="2026-01-21T00:00:00"/>
    <d v="2026-01-22T00:00:00"/>
    <x v="18"/>
    <x v="6"/>
    <s v="0    "/>
    <s v="3148869535"/>
    <n v="1"/>
  </r>
  <r>
    <s v="202601"/>
    <s v="1002085278          "/>
    <x v="354"/>
    <x v="88"/>
    <s v="FEDC157972  "/>
    <n v="1272000"/>
    <x v="3"/>
    <n v="7"/>
    <d v="2026-01-21T00:00:00"/>
    <d v="2026-02-20T00:00:00"/>
    <x v="11"/>
    <x v="4"/>
    <s v="0    "/>
    <s v="3044903112                    "/>
    <n v="30"/>
  </r>
  <r>
    <s v="202601"/>
    <s v="1002085278          "/>
    <x v="354"/>
    <x v="88"/>
    <s v="FEDC157973  "/>
    <n v="1437627"/>
    <x v="3"/>
    <n v="7"/>
    <d v="2026-01-21T00:00:00"/>
    <d v="2026-02-20T00:00:00"/>
    <x v="11"/>
    <x v="4"/>
    <s v="0    "/>
    <s v="3044903112                    "/>
    <n v="30"/>
  </r>
  <r>
    <s v="202601"/>
    <s v="1040499122          "/>
    <x v="230"/>
    <x v="77"/>
    <s v="FEDC157962  "/>
    <n v="5806392"/>
    <x v="3"/>
    <n v="7"/>
    <d v="2026-01-21T00:00:00"/>
    <d v="2026-02-20T00:00:00"/>
    <x v="12"/>
    <x v="4"/>
    <s v="0    "/>
    <s v="3197296033 - 3023024694       "/>
    <n v="30"/>
  </r>
  <r>
    <s v="202601"/>
    <s v="22187275            "/>
    <x v="502"/>
    <x v="29"/>
    <s v="FEDC157960  "/>
    <n v="203999"/>
    <x v="3"/>
    <n v="7"/>
    <d v="2026-01-21T00:00:00"/>
    <d v="2026-02-20T00:00:00"/>
    <x v="27"/>
    <x v="4"/>
    <s v="0    "/>
    <s v="3134174052                    "/>
    <n v="30"/>
  </r>
  <r>
    <s v="202601"/>
    <s v="15296621            "/>
    <x v="503"/>
    <x v="94"/>
    <s v="FEDC157968  "/>
    <n v="2"/>
    <x v="5"/>
    <n v="7"/>
    <d v="2026-01-21T00:00:00"/>
    <d v="2026-01-22T00:00:00"/>
    <x v="27"/>
    <x v="4"/>
    <s v="0    "/>
    <s v="3117395202                    "/>
    <n v="30"/>
  </r>
  <r>
    <s v="202601"/>
    <s v="15271725            "/>
    <x v="371"/>
    <x v="89"/>
    <s v="FEVM45250   "/>
    <n v="2115000"/>
    <x v="3"/>
    <n v="7"/>
    <d v="2026-01-21T00:00:00"/>
    <d v="2026-02-20T00:00:00"/>
    <x v="13"/>
    <x v="4"/>
    <s v="0    "/>
    <s v="3133096484                    "/>
    <n v="30"/>
  </r>
  <r>
    <s v="202601"/>
    <s v="1032258178          "/>
    <x v="372"/>
    <x v="66"/>
    <s v="FEVM45252   "/>
    <n v="4240000"/>
    <x v="3"/>
    <n v="7"/>
    <d v="2026-01-21T00:00:00"/>
    <d v="2026-02-20T00:00:00"/>
    <x v="13"/>
    <x v="4"/>
    <s v="0    "/>
    <s v="3022945533 -3227702288        "/>
    <n v="30"/>
  </r>
  <r>
    <s v="202601"/>
    <s v="901264229-0         "/>
    <x v="215"/>
    <x v="68"/>
    <s v="FEDC157978  "/>
    <n v="7153080"/>
    <x v="3"/>
    <n v="7"/>
    <d v="2026-01-21T00:00:00"/>
    <d v="2026-02-20T00:00:00"/>
    <x v="1"/>
    <x v="5"/>
    <s v="0    "/>
    <s v="3167390770                    "/>
    <n v="30"/>
  </r>
  <r>
    <s v="202601"/>
    <s v="901264229-0         "/>
    <x v="215"/>
    <x v="68"/>
    <s v="FEDC157979  "/>
    <n v="506753"/>
    <x v="3"/>
    <n v="7"/>
    <d v="2026-01-21T00:00:00"/>
    <d v="2026-02-20T00:00:00"/>
    <x v="1"/>
    <x v="5"/>
    <s v="0    "/>
    <s v="3167390770                    "/>
    <n v="30"/>
  </r>
  <r>
    <s v="202601"/>
    <s v="901264229-0         "/>
    <x v="215"/>
    <x v="68"/>
    <s v="FEDC157980  "/>
    <n v="6517371"/>
    <x v="3"/>
    <n v="7"/>
    <d v="2026-01-21T00:00:00"/>
    <d v="2026-02-20T00:00:00"/>
    <x v="1"/>
    <x v="5"/>
    <s v="0    "/>
    <s v="3167390770                    "/>
    <n v="30"/>
  </r>
  <r>
    <s v="202601"/>
    <s v="901264229-0         "/>
    <x v="215"/>
    <x v="68"/>
    <s v="FEDC157981  "/>
    <n v="1561645"/>
    <x v="3"/>
    <n v="7"/>
    <d v="2026-01-21T00:00:00"/>
    <d v="2026-02-20T00:00:00"/>
    <x v="1"/>
    <x v="5"/>
    <s v="0    "/>
    <s v="3167390770                    "/>
    <n v="30"/>
  </r>
  <r>
    <s v="202601"/>
    <s v="49717314            "/>
    <x v="184"/>
    <x v="1"/>
    <s v="FEDC157982  "/>
    <n v="847820"/>
    <x v="3"/>
    <n v="7"/>
    <d v="2026-01-21T00:00:00"/>
    <d v="2026-02-20T00:00:00"/>
    <x v="1"/>
    <x v="12"/>
    <s v="0    "/>
    <s v="3112216146                    "/>
    <n v="30"/>
  </r>
  <r>
    <s v="202601"/>
    <s v="901972197           "/>
    <x v="255"/>
    <x v="1"/>
    <s v="FEDC157983  "/>
    <n v="937804"/>
    <x v="3"/>
    <n v="7"/>
    <d v="2026-01-21T00:00:00"/>
    <d v="2026-02-20T00:00:00"/>
    <x v="1"/>
    <x v="12"/>
    <s v="0    "/>
    <s v="3215776957                    "/>
    <n v="30"/>
  </r>
  <r>
    <s v="202601"/>
    <s v="1152210244          "/>
    <x v="62"/>
    <x v="1"/>
    <s v="FEDC157984  "/>
    <n v="1285995"/>
    <x v="3"/>
    <n v="7"/>
    <d v="2026-01-21T00:00:00"/>
    <d v="2026-02-20T00:00:00"/>
    <x v="1"/>
    <x v="12"/>
    <s v="0    "/>
    <s v="3205555535                    "/>
    <n v="30"/>
  </r>
  <r>
    <s v="202601"/>
    <s v="1152210244          "/>
    <x v="62"/>
    <x v="1"/>
    <s v="FEDC157985  "/>
    <n v="19048"/>
    <x v="3"/>
    <n v="7"/>
    <d v="2026-01-21T00:00:00"/>
    <d v="2026-02-20T00:00:00"/>
    <x v="1"/>
    <x v="12"/>
    <s v="0    "/>
    <s v="3205555535                    "/>
    <n v="30"/>
  </r>
  <r>
    <s v="202601"/>
    <s v="1047403252          "/>
    <x v="111"/>
    <x v="2"/>
    <s v="FEDC157986  "/>
    <n v="743600"/>
    <x v="3"/>
    <n v="7"/>
    <d v="2026-01-21T00:00:00"/>
    <d v="2026-02-20T00:00:00"/>
    <x v="1"/>
    <x v="12"/>
    <s v="0    "/>
    <s v="3117322753 -7767418           "/>
    <n v="30"/>
  </r>
  <r>
    <s v="202601"/>
    <s v="1047403252          "/>
    <x v="111"/>
    <x v="2"/>
    <s v="FEDC157987  "/>
    <n v="5424000"/>
    <x v="3"/>
    <n v="7"/>
    <d v="2026-01-21T00:00:00"/>
    <d v="2026-02-20T00:00:00"/>
    <x v="1"/>
    <x v="12"/>
    <s v="0    "/>
    <s v="3117322753 -7767418           "/>
    <n v="30"/>
  </r>
  <r>
    <s v="202601"/>
    <s v="78297325            "/>
    <x v="256"/>
    <x v="2"/>
    <s v="FEDC157988  "/>
    <n v="2659940"/>
    <x v="3"/>
    <n v="7"/>
    <d v="2026-01-21T00:00:00"/>
    <d v="2026-02-20T00:00:00"/>
    <x v="1"/>
    <x v="12"/>
    <s v="0    "/>
    <s v=""/>
    <n v="30"/>
  </r>
  <r>
    <s v="202601"/>
    <s v="78301453            "/>
    <x v="262"/>
    <x v="2"/>
    <s v="FEDC157990  "/>
    <n v="1924207"/>
    <x v="3"/>
    <n v="7"/>
    <d v="2026-01-21T00:00:00"/>
    <d v="2026-02-20T00:00:00"/>
    <x v="1"/>
    <x v="12"/>
    <s v="0    "/>
    <s v="721821                        "/>
    <n v="30"/>
  </r>
  <r>
    <s v="202601"/>
    <s v="8039801             "/>
    <x v="254"/>
    <x v="2"/>
    <s v="FEDC158015  "/>
    <n v="1151398"/>
    <x v="3"/>
    <n v="7"/>
    <d v="2026-01-21T00:00:00"/>
    <d v="2026-02-20T00:00:00"/>
    <x v="1"/>
    <x v="12"/>
    <s v="0    "/>
    <s v="3137338262                    "/>
    <n v="30"/>
  </r>
  <r>
    <s v="202601"/>
    <s v="92230646-9          "/>
    <x v="142"/>
    <x v="1"/>
    <s v="FEDC158016  "/>
    <n v="945921"/>
    <x v="1"/>
    <n v="7"/>
    <d v="2026-01-21T00:00:00"/>
    <d v="2026-02-05T00:00:00"/>
    <x v="1"/>
    <x v="12"/>
    <s v="0    "/>
    <s v="3137991253                    "/>
    <n v="30"/>
  </r>
  <r>
    <s v="202601"/>
    <s v="26040349            "/>
    <x v="143"/>
    <x v="62"/>
    <s v="FEVM45300   "/>
    <n v="110400"/>
    <x v="7"/>
    <n v="7"/>
    <d v="2026-01-21T00:00:00"/>
    <d v="2026-02-08T00:00:00"/>
    <x v="37"/>
    <x v="12"/>
    <s v="0    "/>
    <s v="3002625361                    "/>
    <n v="30"/>
  </r>
  <r>
    <s v="202601"/>
    <s v="901264229-0         "/>
    <x v="215"/>
    <x v="68"/>
    <s v="FEDC158009  "/>
    <n v="4633146"/>
    <x v="3"/>
    <n v="7"/>
    <d v="2026-01-21T00:00:00"/>
    <d v="2026-02-20T00:00:00"/>
    <x v="17"/>
    <x v="8"/>
    <s v="0    "/>
    <s v="3167390770                    "/>
    <n v="30"/>
  </r>
  <r>
    <s v="202601"/>
    <s v="901264229-0         "/>
    <x v="215"/>
    <x v="68"/>
    <s v="FEDC158010  "/>
    <n v="3458804"/>
    <x v="3"/>
    <n v="7"/>
    <d v="2026-01-21T00:00:00"/>
    <d v="2026-02-20T00:00:00"/>
    <x v="17"/>
    <x v="8"/>
    <s v="0    "/>
    <s v="3167390770                    "/>
    <n v="30"/>
  </r>
  <r>
    <s v="202601"/>
    <s v="15929255            "/>
    <x v="276"/>
    <x v="40"/>
    <s v="FEDC157933  "/>
    <n v="3241608"/>
    <x v="3"/>
    <n v="7"/>
    <d v="2026-01-21T00:00:00"/>
    <d v="2026-02-20T00:00:00"/>
    <x v="36"/>
    <x v="9"/>
    <s v="0    "/>
    <s v="3103639542-3114290867         "/>
    <n v="30"/>
  </r>
  <r>
    <s v="202601"/>
    <s v="43345692            "/>
    <x v="96"/>
    <x v="51"/>
    <s v="FEDC157942  "/>
    <n v="710979"/>
    <x v="3"/>
    <n v="7"/>
    <d v="2026-01-21T00:00:00"/>
    <d v="2026-02-20T00:00:00"/>
    <x v="36"/>
    <x v="9"/>
    <s v="0    "/>
    <s v="3206917062                    "/>
    <n v="1"/>
  </r>
  <r>
    <s v="202601"/>
    <s v="900670430-2         "/>
    <x v="74"/>
    <x v="40"/>
    <s v="FEDC157951  "/>
    <n v="2319600"/>
    <x v="3"/>
    <n v="7"/>
    <d v="2026-01-21T00:00:00"/>
    <d v="2026-02-20T00:00:00"/>
    <x v="36"/>
    <x v="9"/>
    <s v="0    "/>
    <s v="3114149410     "/>
    <n v="30"/>
  </r>
  <r>
    <s v="202601"/>
    <s v="900670430-2         "/>
    <x v="74"/>
    <x v="40"/>
    <s v="FEDC157952  "/>
    <n v="911117"/>
    <x v="3"/>
    <n v="7"/>
    <d v="2026-01-21T00:00:00"/>
    <d v="2026-02-20T00:00:00"/>
    <x v="36"/>
    <x v="9"/>
    <s v="0    "/>
    <s v="3114149410     "/>
    <n v="30"/>
  </r>
  <r>
    <s v="202601"/>
    <s v="45688588            "/>
    <x v="335"/>
    <x v="64"/>
    <s v="FEDC157991  "/>
    <n v="3931832"/>
    <x v="3"/>
    <n v="7"/>
    <d v="2026-01-21T00:00:00"/>
    <d v="2026-02-20T00:00:00"/>
    <x v="33"/>
    <x v="8"/>
    <s v="0    "/>
    <s v="3103615332 -3145089489        "/>
    <n v="30"/>
  </r>
  <r>
    <s v="202601"/>
    <s v="1033368946          "/>
    <x v="363"/>
    <x v="64"/>
    <s v="FEDC157992  "/>
    <n v="1077697"/>
    <x v="3"/>
    <n v="7"/>
    <d v="2026-01-21T00:00:00"/>
    <d v="2026-02-20T00:00:00"/>
    <x v="33"/>
    <x v="8"/>
    <s v="0    "/>
    <s v="3147637134 -8200071           "/>
    <n v="30"/>
  </r>
  <r>
    <s v="202601"/>
    <s v="70529245            "/>
    <x v="129"/>
    <x v="64"/>
    <s v="FEDC158000  "/>
    <n v="1905000"/>
    <x v="3"/>
    <n v="7"/>
    <d v="2026-01-21T00:00:00"/>
    <d v="2026-02-20T00:00:00"/>
    <x v="33"/>
    <x v="8"/>
    <s v="0    "/>
    <s v="3215222148     "/>
    <n v="30"/>
  </r>
  <r>
    <s v="202601"/>
    <s v="98687571            "/>
    <x v="504"/>
    <x v="73"/>
    <s v="FEDC158001  "/>
    <n v="676583"/>
    <x v="3"/>
    <n v="7"/>
    <d v="2026-01-21T00:00:00"/>
    <d v="2026-02-20T00:00:00"/>
    <x v="33"/>
    <x v="8"/>
    <s v="0    "/>
    <s v="3128879927                    "/>
    <n v="30"/>
  </r>
  <r>
    <s v="202601"/>
    <s v="70529245            "/>
    <x v="129"/>
    <x v="64"/>
    <s v="FEDC158008  "/>
    <n v="1545812"/>
    <x v="3"/>
    <n v="7"/>
    <d v="2026-01-21T00:00:00"/>
    <d v="2026-02-20T00:00:00"/>
    <x v="33"/>
    <x v="8"/>
    <s v="0    "/>
    <s v="3215222148     "/>
    <n v="30"/>
  </r>
  <r>
    <s v="202601"/>
    <s v="901530931-4         "/>
    <x v="190"/>
    <x v="73"/>
    <s v="FEDC157993  "/>
    <n v="-800"/>
    <x v="5"/>
    <n v="7"/>
    <d v="2026-01-21T00:00:00"/>
    <d v="2026-01-22T00:00:00"/>
    <x v="32"/>
    <x v="8"/>
    <s v="0    "/>
    <s v="3105977799                    "/>
    <n v="1"/>
  </r>
  <r>
    <s v="202601"/>
    <s v="98687571            "/>
    <x v="504"/>
    <x v="73"/>
    <s v="FEDC158002  "/>
    <n v="268407"/>
    <x v="3"/>
    <n v="7"/>
    <d v="2026-01-21T00:00:00"/>
    <d v="2026-02-20T00:00:00"/>
    <x v="32"/>
    <x v="8"/>
    <s v="0    "/>
    <s v="3128879927                    "/>
    <n v="30"/>
  </r>
  <r>
    <s v="202601"/>
    <s v="70529395            "/>
    <x v="505"/>
    <x v="95"/>
    <s v="FEDC158007  "/>
    <n v="1707141"/>
    <x v="3"/>
    <n v="7"/>
    <d v="2026-01-21T00:00:00"/>
    <d v="2026-02-20T00:00:00"/>
    <x v="32"/>
    <x v="8"/>
    <s v="0    "/>
    <s v="3004619725                    "/>
    <n v="30"/>
  </r>
  <r>
    <s v="202601"/>
    <s v="901756071-6         "/>
    <x v="506"/>
    <x v="72"/>
    <s v="FEDC157994  "/>
    <n v="-2"/>
    <x v="5"/>
    <n v="7"/>
    <d v="2026-01-21T00:00:00"/>
    <d v="2026-01-22T00:00:00"/>
    <x v="48"/>
    <x v="8"/>
    <s v="0    "/>
    <s v="3015647067                    "/>
    <n v="30"/>
  </r>
  <r>
    <s v="202601"/>
    <s v="9020231             "/>
    <x v="85"/>
    <x v="45"/>
    <s v="FEDC157940  "/>
    <n v="669125"/>
    <x v="3"/>
    <n v="7"/>
    <d v="2026-01-21T00:00:00"/>
    <d v="2026-02-20T00:00:00"/>
    <x v="30"/>
    <x v="9"/>
    <s v="0    "/>
    <s v="3118875212                    "/>
    <n v="1"/>
  </r>
  <r>
    <s v="202601"/>
    <s v="9020231             "/>
    <x v="85"/>
    <x v="45"/>
    <s v="FEDC157941  "/>
    <n v="3909086"/>
    <x v="3"/>
    <n v="7"/>
    <d v="2026-01-21T00:00:00"/>
    <d v="2026-02-20T00:00:00"/>
    <x v="30"/>
    <x v="9"/>
    <s v="0    "/>
    <s v="3118875212                    "/>
    <n v="1"/>
  </r>
  <r>
    <s v="202601"/>
    <s v="9020231             "/>
    <x v="85"/>
    <x v="45"/>
    <s v="FEDC157943  "/>
    <n v="3840000"/>
    <x v="3"/>
    <n v="7"/>
    <d v="2026-01-21T00:00:00"/>
    <d v="2026-02-20T00:00:00"/>
    <x v="30"/>
    <x v="9"/>
    <s v="0    "/>
    <s v="3118875212                    "/>
    <n v="1"/>
  </r>
  <r>
    <s v="202601"/>
    <s v="78768332            "/>
    <x v="135"/>
    <x v="51"/>
    <s v="FEDC157944  "/>
    <n v="1439302"/>
    <x v="3"/>
    <n v="7"/>
    <d v="2026-01-21T00:00:00"/>
    <d v="2026-02-20T00:00:00"/>
    <x v="30"/>
    <x v="9"/>
    <s v="0    "/>
    <s v="3123294774                    "/>
    <n v="30"/>
  </r>
  <r>
    <s v="202601"/>
    <s v="1037582300          "/>
    <x v="79"/>
    <x v="45"/>
    <s v="FEDC157948  "/>
    <n v="11246340"/>
    <x v="3"/>
    <n v="7"/>
    <d v="2026-01-21T00:00:00"/>
    <d v="2026-02-20T00:00:00"/>
    <x v="30"/>
    <x v="9"/>
    <s v="0    "/>
    <s v="3192610072     "/>
    <n v="30"/>
  </r>
  <r>
    <s v="202601"/>
    <s v="70903957            "/>
    <x v="109"/>
    <x v="47"/>
    <s v="FEDC157997  "/>
    <n v="339686"/>
    <x v="3"/>
    <n v="7"/>
    <d v="2026-01-21T00:00:00"/>
    <d v="2026-02-20T00:00:00"/>
    <x v="39"/>
    <x v="8"/>
    <s v="0    "/>
    <s v="3135637569                    "/>
    <n v="30"/>
  </r>
  <r>
    <s v="202601"/>
    <s v="901376835           "/>
    <x v="507"/>
    <x v="96"/>
    <s v="FEDC157998  "/>
    <n v="1827943"/>
    <x v="3"/>
    <n v="7"/>
    <d v="2026-01-21T00:00:00"/>
    <d v="2026-02-20T00:00:00"/>
    <x v="39"/>
    <x v="8"/>
    <s v="0    "/>
    <s v="3207286477-3216790553         "/>
    <n v="30"/>
  </r>
  <r>
    <s v="202601"/>
    <s v="901523817-3         "/>
    <x v="97"/>
    <x v="52"/>
    <s v="FEDC157999  "/>
    <n v="1182425"/>
    <x v="3"/>
    <n v="7"/>
    <d v="2026-01-21T00:00:00"/>
    <d v="2026-02-20T00:00:00"/>
    <x v="39"/>
    <x v="8"/>
    <s v="0    "/>
    <s v="3126183068                    "/>
    <n v="30"/>
  </r>
  <r>
    <s v="202601"/>
    <s v="78746792            "/>
    <x v="179"/>
    <x v="47"/>
    <s v="FEDC158012  "/>
    <n v="261345"/>
    <x v="3"/>
    <n v="7"/>
    <d v="2026-01-21T00:00:00"/>
    <d v="2026-02-20T00:00:00"/>
    <x v="39"/>
    <x v="8"/>
    <s v="0    "/>
    <s v="3145104965                    "/>
    <n v="30"/>
  </r>
  <r>
    <s v="202601"/>
    <s v="70855301            "/>
    <x v="430"/>
    <x v="13"/>
    <s v="FECT3226    "/>
    <n v="424000"/>
    <x v="9"/>
    <n v="6"/>
    <d v="2026-01-22T00:00:00"/>
    <d v="2026-02-01T00:00:00"/>
    <x v="18"/>
    <x v="13"/>
    <s v="0    "/>
    <s v="3113739727     "/>
    <n v="30"/>
  </r>
  <r>
    <s v="202601"/>
    <s v="15030463            "/>
    <x v="227"/>
    <x v="37"/>
    <s v="FEDC158017  "/>
    <n v="1134000"/>
    <x v="3"/>
    <n v="6"/>
    <d v="2026-01-22T00:00:00"/>
    <d v="2026-02-21T00:00:00"/>
    <x v="18"/>
    <x v="13"/>
    <s v="0    "/>
    <s v="3185068224     "/>
    <n v="30"/>
  </r>
  <r>
    <s v="202601"/>
    <s v="15030463            "/>
    <x v="227"/>
    <x v="37"/>
    <s v="FEDC158019  "/>
    <n v="268100"/>
    <x v="3"/>
    <n v="6"/>
    <d v="2026-01-22T00:00:00"/>
    <d v="2026-02-21T00:00:00"/>
    <x v="18"/>
    <x v="13"/>
    <s v="0    "/>
    <s v="3185068224     "/>
    <n v="30"/>
  </r>
  <r>
    <s v="202601"/>
    <s v="78115569            "/>
    <x v="393"/>
    <x v="37"/>
    <s v="FEDC158023  "/>
    <n v="420000"/>
    <x v="9"/>
    <n v="6"/>
    <d v="2026-01-22T00:00:00"/>
    <d v="2026-02-01T00:00:00"/>
    <x v="18"/>
    <x v="13"/>
    <s v="0    "/>
    <s v="3122062860"/>
    <n v="30"/>
  </r>
  <r>
    <s v="202601"/>
    <s v="70692127            "/>
    <x v="252"/>
    <x v="37"/>
    <s v="FEDC158025  "/>
    <n v="478819"/>
    <x v="3"/>
    <n v="6"/>
    <d v="2026-01-22T00:00:00"/>
    <d v="2026-02-21T00:00:00"/>
    <x v="18"/>
    <x v="13"/>
    <s v="0    "/>
    <s v="3007388755 Andres -3148623512 "/>
    <n v="30"/>
  </r>
  <r>
    <s v="202601"/>
    <s v="8373571             "/>
    <x v="316"/>
    <x v="13"/>
    <s v="FEDC158026  "/>
    <n v="403280"/>
    <x v="3"/>
    <n v="6"/>
    <d v="2026-01-22T00:00:00"/>
    <d v="2026-02-21T00:00:00"/>
    <x v="18"/>
    <x v="13"/>
    <s v="0    "/>
    <s v="3192555227-3113812119         "/>
    <n v="30"/>
  </r>
  <r>
    <s v="202601"/>
    <s v="8373571             "/>
    <x v="316"/>
    <x v="13"/>
    <s v="FEDC158027  "/>
    <n v="1338000"/>
    <x v="3"/>
    <n v="6"/>
    <d v="2026-01-22T00:00:00"/>
    <d v="2026-02-21T00:00:00"/>
    <x v="18"/>
    <x v="13"/>
    <s v="0    "/>
    <s v="3192555227-3113812119         "/>
    <n v="30"/>
  </r>
  <r>
    <s v="202601"/>
    <s v="70692127            "/>
    <x v="252"/>
    <x v="37"/>
    <s v="FEDC158029  "/>
    <n v="629762"/>
    <x v="3"/>
    <n v="6"/>
    <d v="2026-01-22T00:00:00"/>
    <d v="2026-02-21T00:00:00"/>
    <x v="18"/>
    <x v="13"/>
    <s v="0    "/>
    <s v="3007388755 Andres -3148623512 "/>
    <n v="30"/>
  </r>
  <r>
    <s v="202601"/>
    <s v="1038118947          "/>
    <x v="508"/>
    <x v="13"/>
    <s v="FEDC158030  "/>
    <n v="411144"/>
    <x v="3"/>
    <n v="6"/>
    <d v="2026-01-22T00:00:00"/>
    <d v="2026-02-21T00:00:00"/>
    <x v="18"/>
    <x v="13"/>
    <s v="0    "/>
    <s v="3205542146                    "/>
    <n v="30"/>
  </r>
  <r>
    <s v="202601"/>
    <s v="43404968            "/>
    <x v="399"/>
    <x v="13"/>
    <s v="FEDC158031  "/>
    <n v="2100000"/>
    <x v="9"/>
    <n v="6"/>
    <d v="2026-01-22T00:00:00"/>
    <d v="2026-02-01T00:00:00"/>
    <x v="18"/>
    <x v="13"/>
    <s v="0    "/>
    <s v="3215411779                    "/>
    <n v="30"/>
  </r>
  <r>
    <s v="202601"/>
    <s v="1102871384          "/>
    <x v="499"/>
    <x v="13"/>
    <s v="FEDC158036  "/>
    <n v="420000"/>
    <x v="9"/>
    <n v="6"/>
    <d v="2026-01-22T00:00:00"/>
    <d v="2026-02-01T00:00:00"/>
    <x v="18"/>
    <x v="6"/>
    <s v="0    "/>
    <s v="3128408146     "/>
    <n v="30"/>
  </r>
  <r>
    <s v="202601"/>
    <s v="1                   "/>
    <x v="208"/>
    <x v="13"/>
    <s v="FEDC158040  "/>
    <n v="42111"/>
    <x v="5"/>
    <n v="6"/>
    <d v="2026-01-22T00:00:00"/>
    <d v="2026-01-23T00:00:00"/>
    <x v="18"/>
    <x v="6"/>
    <s v="0    "/>
    <s v=""/>
    <n v="1"/>
  </r>
  <r>
    <s v="202601"/>
    <s v="43786215            "/>
    <x v="228"/>
    <x v="13"/>
    <s v="FEDC158059  "/>
    <n v="211841"/>
    <x v="1"/>
    <n v="6"/>
    <d v="2026-01-22T00:00:00"/>
    <d v="2026-02-06T00:00:00"/>
    <x v="18"/>
    <x v="6"/>
    <s v="0    "/>
    <s v="3183468239     "/>
    <n v="30"/>
  </r>
  <r>
    <s v="202601"/>
    <s v="3443977             "/>
    <x v="351"/>
    <x v="37"/>
    <s v="FEDC158075  "/>
    <n v="4330170"/>
    <x v="3"/>
    <n v="6"/>
    <d v="2026-01-22T00:00:00"/>
    <d v="2026-02-21T00:00:00"/>
    <x v="18"/>
    <x v="13"/>
    <s v="0    "/>
    <s v="8394641"/>
    <n v="30"/>
  </r>
  <r>
    <s v="202601"/>
    <s v="39288269            "/>
    <x v="357"/>
    <x v="67"/>
    <s v="FEDC158079  "/>
    <n v="2144047"/>
    <x v="3"/>
    <n v="6"/>
    <d v="2026-01-22T00:00:00"/>
    <d v="2026-02-21T00:00:00"/>
    <x v="18"/>
    <x v="1"/>
    <s v="0    "/>
    <s v="3218037194 -3218008830        "/>
    <n v="30"/>
  </r>
  <r>
    <s v="202601"/>
    <s v="15030463            "/>
    <x v="227"/>
    <x v="37"/>
    <s v="FEDC158090  "/>
    <n v="820000"/>
    <x v="3"/>
    <n v="6"/>
    <d v="2026-01-22T00:00:00"/>
    <d v="2026-02-21T00:00:00"/>
    <x v="18"/>
    <x v="13"/>
    <s v="0    "/>
    <s v="3185068224     "/>
    <n v="30"/>
  </r>
  <r>
    <s v="202601"/>
    <s v="91521121            "/>
    <x v="204"/>
    <x v="13"/>
    <s v="FEDC158094  "/>
    <n v="2458247"/>
    <x v="3"/>
    <n v="6"/>
    <d v="2026-01-22T00:00:00"/>
    <d v="2026-02-21T00:00:00"/>
    <x v="18"/>
    <x v="13"/>
    <s v="0    "/>
    <s v="3206429252                    "/>
    <n v="30"/>
  </r>
  <r>
    <s v="202601"/>
    <s v="1007652832          "/>
    <x v="206"/>
    <x v="13"/>
    <s v="FEDC158095  "/>
    <n v="2100000"/>
    <x v="9"/>
    <n v="6"/>
    <d v="2026-01-22T00:00:00"/>
    <d v="2026-02-01T00:00:00"/>
    <x v="18"/>
    <x v="13"/>
    <s v="0    "/>
    <s v="3003097106 -3013682585        "/>
    <n v="30"/>
  </r>
  <r>
    <s v="202601"/>
    <s v="1038129599          "/>
    <x v="251"/>
    <x v="13"/>
    <s v="FEDC158114  "/>
    <n v="2382478"/>
    <x v="3"/>
    <n v="6"/>
    <d v="2026-01-22T00:00:00"/>
    <d v="2026-02-21T00:00:00"/>
    <x v="18"/>
    <x v="13"/>
    <s v="0    "/>
    <s v="3208613025                    "/>
    <n v="30"/>
  </r>
  <r>
    <s v="202601"/>
    <s v="1038114800          "/>
    <x v="353"/>
    <x v="13"/>
    <s v="FEVM45396   "/>
    <n v="21000"/>
    <x v="3"/>
    <n v="6"/>
    <d v="2026-01-22T00:00:00"/>
    <d v="2026-02-21T00:00:00"/>
    <x v="18"/>
    <x v="11"/>
    <s v="0    "/>
    <s v="3103708801                    "/>
    <n v="30"/>
  </r>
  <r>
    <s v="202601"/>
    <s v="1001532768          "/>
    <x v="509"/>
    <x v="13"/>
    <s v="FEVM45398   "/>
    <n v="367200"/>
    <x v="3"/>
    <n v="6"/>
    <d v="2026-01-22T00:00:00"/>
    <d v="2026-02-21T00:00:00"/>
    <x v="18"/>
    <x v="11"/>
    <s v="0    "/>
    <s v="3135716477                    "/>
    <n v="30"/>
  </r>
  <r>
    <s v="202601"/>
    <s v="1045432245          "/>
    <x v="510"/>
    <x v="53"/>
    <s v="FECT3221    "/>
    <n v="932552"/>
    <x v="3"/>
    <n v="6"/>
    <d v="2026-01-22T00:00:00"/>
    <d v="2026-02-21T00:00:00"/>
    <x v="10"/>
    <x v="5"/>
    <s v="0    "/>
    <s v="3113880968                    "/>
    <n v="30"/>
  </r>
  <r>
    <s v="202601"/>
    <s v="1                   "/>
    <x v="208"/>
    <x v="13"/>
    <s v="FECT3239    "/>
    <n v="109200"/>
    <x v="5"/>
    <n v="6"/>
    <d v="2026-01-22T00:00:00"/>
    <d v="2026-01-23T00:00:00"/>
    <x v="10"/>
    <x v="15"/>
    <s v="0    "/>
    <s v=""/>
    <n v="1"/>
  </r>
  <r>
    <s v="202601"/>
    <s v="1214717520          "/>
    <x v="368"/>
    <x v="53"/>
    <s v="FEDC158064  "/>
    <n v="1061218"/>
    <x v="3"/>
    <n v="6"/>
    <d v="2026-01-22T00:00:00"/>
    <d v="2026-02-21T00:00:00"/>
    <x v="10"/>
    <x v="4"/>
    <s v="0    "/>
    <s v="3216260203     "/>
    <n v="30"/>
  </r>
  <r>
    <s v="202601"/>
    <s v="21588454-0          "/>
    <x v="511"/>
    <x v="31"/>
    <s v="FEDC158065  "/>
    <n v="750147"/>
    <x v="3"/>
    <n v="6"/>
    <d v="2026-01-22T00:00:00"/>
    <d v="2026-02-21T00:00:00"/>
    <x v="10"/>
    <x v="4"/>
    <s v="0    "/>
    <s v="3218316642     "/>
    <n v="30"/>
  </r>
  <r>
    <s v="202601"/>
    <s v="70134491            "/>
    <x v="329"/>
    <x v="31"/>
    <s v="FEDC158067  "/>
    <n v="1545215"/>
    <x v="3"/>
    <n v="6"/>
    <d v="2026-01-22T00:00:00"/>
    <d v="2026-02-21T00:00:00"/>
    <x v="10"/>
    <x v="4"/>
    <s v="0    "/>
    <s v="3128936297                    "/>
    <n v="30"/>
  </r>
  <r>
    <s v="202601"/>
    <s v="32119371            "/>
    <x v="369"/>
    <x v="53"/>
    <s v="FEDC158068  "/>
    <n v="703536"/>
    <x v="3"/>
    <n v="6"/>
    <d v="2026-01-22T00:00:00"/>
    <d v="2026-02-21T00:00:00"/>
    <x v="10"/>
    <x v="4"/>
    <s v="0    "/>
    <s v="3105360198     "/>
    <n v="30"/>
  </r>
  <r>
    <s v="202601"/>
    <s v="3424271             "/>
    <x v="137"/>
    <x v="53"/>
    <s v="FEDC158069  "/>
    <n v="436729"/>
    <x v="3"/>
    <n v="6"/>
    <d v="2026-01-22T00:00:00"/>
    <d v="2026-02-21T00:00:00"/>
    <x v="10"/>
    <x v="4"/>
    <s v="0    "/>
    <s v="3137226788                    "/>
    <n v="30"/>
  </r>
  <r>
    <s v="202601"/>
    <s v="3424271             "/>
    <x v="137"/>
    <x v="53"/>
    <s v="FEDC158070  "/>
    <n v="1230000"/>
    <x v="3"/>
    <n v="6"/>
    <d v="2026-01-22T00:00:00"/>
    <d v="2026-02-21T00:00:00"/>
    <x v="10"/>
    <x v="4"/>
    <s v="0    "/>
    <s v="3137226788                    "/>
    <n v="30"/>
  </r>
  <r>
    <s v="202601"/>
    <s v="15306102            "/>
    <x v="138"/>
    <x v="31"/>
    <s v="FEDC158073  "/>
    <n v="968306"/>
    <x v="3"/>
    <n v="6"/>
    <d v="2026-01-22T00:00:00"/>
    <d v="2026-02-21T00:00:00"/>
    <x v="10"/>
    <x v="4"/>
    <s v="0    "/>
    <s v="3103720204                    "/>
    <n v="30"/>
  </r>
  <r>
    <s v="202601"/>
    <s v="15306102            "/>
    <x v="138"/>
    <x v="31"/>
    <s v="FEDC158074  "/>
    <n v="653200"/>
    <x v="3"/>
    <n v="6"/>
    <d v="2026-01-22T00:00:00"/>
    <d v="2026-02-21T00:00:00"/>
    <x v="10"/>
    <x v="4"/>
    <s v="0    "/>
    <s v="3103720204                    "/>
    <n v="30"/>
  </r>
  <r>
    <s v="202601"/>
    <s v="21588454-0          "/>
    <x v="511"/>
    <x v="31"/>
    <s v="FEDC158096  "/>
    <n v="463253"/>
    <x v="3"/>
    <n v="6"/>
    <d v="2026-01-22T00:00:00"/>
    <d v="2026-02-21T00:00:00"/>
    <x v="10"/>
    <x v="5"/>
    <s v="0    "/>
    <s v="3218316642     "/>
    <n v="30"/>
  </r>
  <r>
    <s v="202601"/>
    <s v="21588454-0          "/>
    <x v="511"/>
    <x v="31"/>
    <s v="FEDC158097  "/>
    <n v="100188"/>
    <x v="3"/>
    <n v="6"/>
    <d v="2026-01-22T00:00:00"/>
    <d v="2026-02-21T00:00:00"/>
    <x v="10"/>
    <x v="5"/>
    <s v="0    "/>
    <s v="3218316642     "/>
    <n v="30"/>
  </r>
  <r>
    <s v="202601"/>
    <s v="70134491            "/>
    <x v="329"/>
    <x v="31"/>
    <s v="FEDC158113  "/>
    <n v="135437"/>
    <x v="3"/>
    <n v="6"/>
    <d v="2026-01-22T00:00:00"/>
    <d v="2026-02-21T00:00:00"/>
    <x v="10"/>
    <x v="4"/>
    <s v="0    "/>
    <s v="3128936297                    "/>
    <n v="30"/>
  </r>
  <r>
    <s v="202601"/>
    <s v="1073968174          "/>
    <x v="512"/>
    <x v="53"/>
    <s v="FEVM45368   "/>
    <n v="688524"/>
    <x v="1"/>
    <n v="6"/>
    <d v="2026-01-22T00:00:00"/>
    <d v="2026-02-06T00:00:00"/>
    <x v="10"/>
    <x v="6"/>
    <s v="0    "/>
    <s v="3015366550                    "/>
    <n v="30"/>
  </r>
  <r>
    <s v="202601"/>
    <s v="1073968174          "/>
    <x v="512"/>
    <x v="53"/>
    <s v="FEVM45369   "/>
    <n v="420000"/>
    <x v="9"/>
    <n v="6"/>
    <d v="2026-01-22T00:00:00"/>
    <d v="2026-02-01T00:00:00"/>
    <x v="10"/>
    <x v="6"/>
    <s v="0    "/>
    <s v="3015366550                    "/>
    <n v="30"/>
  </r>
  <r>
    <s v="202601"/>
    <s v="1                   "/>
    <x v="208"/>
    <x v="13"/>
    <s v="FEVM45370   "/>
    <n v="194100"/>
    <x v="5"/>
    <n v="6"/>
    <d v="2026-01-22T00:00:00"/>
    <d v="2026-01-23T00:00:00"/>
    <x v="10"/>
    <x v="6"/>
    <s v="0    "/>
    <s v=""/>
    <n v="1"/>
  </r>
  <r>
    <s v="202601"/>
    <s v="1                   "/>
    <x v="208"/>
    <x v="13"/>
    <s v="FEVM45371   "/>
    <n v="85600"/>
    <x v="5"/>
    <n v="6"/>
    <d v="2026-01-22T00:00:00"/>
    <d v="2026-01-23T00:00:00"/>
    <x v="10"/>
    <x v="6"/>
    <s v="0    "/>
    <s v=""/>
    <n v="1"/>
  </r>
  <r>
    <s v="202601"/>
    <s v="1                   "/>
    <x v="208"/>
    <x v="13"/>
    <s v="FEVM45372   "/>
    <n v="85951"/>
    <x v="5"/>
    <n v="6"/>
    <d v="2026-01-22T00:00:00"/>
    <d v="2026-01-23T00:00:00"/>
    <x v="10"/>
    <x v="6"/>
    <s v="0    "/>
    <s v=""/>
    <n v="1"/>
  </r>
  <r>
    <s v="202601"/>
    <s v="1                   "/>
    <x v="208"/>
    <x v="13"/>
    <s v="FEVM45373   "/>
    <n v="391786"/>
    <x v="5"/>
    <n v="6"/>
    <d v="2026-01-22T00:00:00"/>
    <d v="2026-01-23T00:00:00"/>
    <x v="10"/>
    <x v="6"/>
    <s v="0    "/>
    <s v=""/>
    <n v="1"/>
  </r>
  <r>
    <s v="202601"/>
    <s v="70540837            "/>
    <x v="513"/>
    <x v="31"/>
    <s v="FEVM45374   "/>
    <n v="420000"/>
    <x v="5"/>
    <n v="6"/>
    <d v="2026-01-22T00:00:00"/>
    <d v="2026-01-23T00:00:00"/>
    <x v="10"/>
    <x v="6"/>
    <s v="0    "/>
    <s v="3104634465                    "/>
    <n v="8"/>
  </r>
  <r>
    <s v="202601"/>
    <s v="70540837            "/>
    <x v="513"/>
    <x v="31"/>
    <s v="FEVM45375   "/>
    <n v="450596"/>
    <x v="5"/>
    <n v="6"/>
    <d v="2026-01-22T00:00:00"/>
    <d v="2026-01-23T00:00:00"/>
    <x v="10"/>
    <x v="6"/>
    <s v="0    "/>
    <s v="3104634465                    "/>
    <n v="8"/>
  </r>
  <r>
    <s v="202601"/>
    <s v="70540837            "/>
    <x v="513"/>
    <x v="31"/>
    <s v="FEVM45376   "/>
    <n v="129854"/>
    <x v="5"/>
    <n v="6"/>
    <d v="2026-01-22T00:00:00"/>
    <d v="2026-01-23T00:00:00"/>
    <x v="10"/>
    <x v="6"/>
    <s v="0    "/>
    <s v="3104634465                    "/>
    <n v="8"/>
  </r>
  <r>
    <s v="202601"/>
    <s v="1061713966          "/>
    <x v="514"/>
    <x v="53"/>
    <s v="FEVM45377   "/>
    <n v="223162"/>
    <x v="5"/>
    <n v="6"/>
    <d v="2026-01-22T00:00:00"/>
    <d v="2026-01-23T00:00:00"/>
    <x v="10"/>
    <x v="6"/>
    <s v="0    "/>
    <s v="3044365427                    "/>
    <n v="30"/>
  </r>
  <r>
    <s v="202601"/>
    <s v="32375311            "/>
    <x v="515"/>
    <x v="53"/>
    <s v="FEVM45378   "/>
    <n v="246943"/>
    <x v="5"/>
    <n v="6"/>
    <d v="2026-01-22T00:00:00"/>
    <d v="2026-01-23T00:00:00"/>
    <x v="10"/>
    <x v="6"/>
    <s v="0    "/>
    <s v="3104634465                    "/>
    <n v="30"/>
  </r>
  <r>
    <s v="202601"/>
    <s v="32375311            "/>
    <x v="515"/>
    <x v="53"/>
    <s v="FEVM45379   "/>
    <n v="29150"/>
    <x v="5"/>
    <n v="6"/>
    <d v="2026-01-22T00:00:00"/>
    <d v="2026-01-23T00:00:00"/>
    <x v="10"/>
    <x v="6"/>
    <s v="0    "/>
    <s v="3104634465                    "/>
    <n v="30"/>
  </r>
  <r>
    <s v="202601"/>
    <s v="8038115             "/>
    <x v="516"/>
    <x v="53"/>
    <s v="FEVM45380   "/>
    <n v="70267"/>
    <x v="5"/>
    <n v="6"/>
    <d v="2026-01-22T00:00:00"/>
    <d v="2026-01-23T00:00:00"/>
    <x v="10"/>
    <x v="6"/>
    <s v="0    "/>
    <s v="3188960517                    "/>
    <n v="30"/>
  </r>
  <r>
    <s v="202601"/>
    <s v="32118082            "/>
    <x v="517"/>
    <x v="53"/>
    <s v="FEVM45381   "/>
    <n v="127921"/>
    <x v="5"/>
    <n v="6"/>
    <d v="2026-01-22T00:00:00"/>
    <d v="2026-01-23T00:00:00"/>
    <x v="10"/>
    <x v="6"/>
    <s v="0    "/>
    <s v="3168873507                    "/>
    <n v="30"/>
  </r>
  <r>
    <s v="202601"/>
    <s v="32118082            "/>
    <x v="517"/>
    <x v="53"/>
    <s v="FEVM45382   "/>
    <n v="45150"/>
    <x v="5"/>
    <n v="6"/>
    <d v="2026-01-22T00:00:00"/>
    <d v="2026-01-23T00:00:00"/>
    <x v="10"/>
    <x v="6"/>
    <s v="0    "/>
    <s v="3168873507                    "/>
    <n v="30"/>
  </r>
  <r>
    <s v="202601"/>
    <s v="36693335            "/>
    <x v="518"/>
    <x v="53"/>
    <s v="FEVM45383   "/>
    <n v="280318"/>
    <x v="5"/>
    <n v="6"/>
    <d v="2026-01-22T00:00:00"/>
    <d v="2026-01-23T00:00:00"/>
    <x v="10"/>
    <x v="6"/>
    <s v="0    "/>
    <s v="3136684151                    "/>
    <n v="30"/>
  </r>
  <r>
    <s v="202601"/>
    <s v="36693335            "/>
    <x v="518"/>
    <x v="53"/>
    <s v="FEVM45384   "/>
    <n v="223697"/>
    <x v="5"/>
    <n v="6"/>
    <d v="2026-01-22T00:00:00"/>
    <d v="2026-01-23T00:00:00"/>
    <x v="10"/>
    <x v="6"/>
    <s v="0    "/>
    <s v="3136684151                    "/>
    <n v="30"/>
  </r>
  <r>
    <s v="202601"/>
    <s v="1045425674          "/>
    <x v="519"/>
    <x v="53"/>
    <s v="FEVM45385   "/>
    <n v="140559"/>
    <x v="5"/>
    <n v="6"/>
    <d v="2026-01-22T00:00:00"/>
    <d v="2026-01-23T00:00:00"/>
    <x v="10"/>
    <x v="6"/>
    <s v="0    "/>
    <s v="3146356767-3135244975         "/>
    <n v="1"/>
  </r>
  <r>
    <s v="202601"/>
    <s v="15271725            "/>
    <x v="371"/>
    <x v="89"/>
    <s v="FEDC158100  "/>
    <n v="352464"/>
    <x v="3"/>
    <n v="6"/>
    <d v="2026-01-22T00:00:00"/>
    <d v="2026-02-21T00:00:00"/>
    <x v="13"/>
    <x v="4"/>
    <s v="0    "/>
    <s v="3133096484                    "/>
    <n v="30"/>
  </r>
  <r>
    <s v="202601"/>
    <s v="15271725            "/>
    <x v="371"/>
    <x v="89"/>
    <s v="FEDC158101  "/>
    <n v="2405924"/>
    <x v="3"/>
    <n v="6"/>
    <d v="2026-01-22T00:00:00"/>
    <d v="2026-02-21T00:00:00"/>
    <x v="13"/>
    <x v="4"/>
    <s v="0    "/>
    <s v="3133096484                    "/>
    <n v="30"/>
  </r>
  <r>
    <s v="202601"/>
    <s v="15271725            "/>
    <x v="371"/>
    <x v="89"/>
    <s v="FEDC158103  "/>
    <n v="719947"/>
    <x v="3"/>
    <n v="6"/>
    <d v="2026-01-22T00:00:00"/>
    <d v="2026-02-21T00:00:00"/>
    <x v="13"/>
    <x v="4"/>
    <s v="0    "/>
    <s v="3133096484                    "/>
    <n v="30"/>
  </r>
  <r>
    <s v="202601"/>
    <s v="15305280            "/>
    <x v="139"/>
    <x v="66"/>
    <s v="FEDC158107  "/>
    <n v="555698"/>
    <x v="3"/>
    <n v="6"/>
    <d v="2026-01-22T00:00:00"/>
    <d v="2026-02-21T00:00:00"/>
    <x v="13"/>
    <x v="4"/>
    <s v="0    "/>
    <s v="3113241811                    "/>
    <n v="30"/>
  </r>
  <r>
    <s v="202601"/>
    <s v="25992552            "/>
    <x v="520"/>
    <x v="66"/>
    <s v="FEDC158108  "/>
    <n v="918799"/>
    <x v="3"/>
    <n v="6"/>
    <d v="2026-01-22T00:00:00"/>
    <d v="2026-02-21T00:00:00"/>
    <x v="13"/>
    <x v="4"/>
    <s v="0    "/>
    <s v="3113977507                    "/>
    <n v="30"/>
  </r>
  <r>
    <s v="202601"/>
    <s v="8047767             "/>
    <x v="521"/>
    <x v="89"/>
    <s v="FEVM45386   "/>
    <n v="144164"/>
    <x v="5"/>
    <n v="6"/>
    <d v="2026-01-22T00:00:00"/>
    <d v="2026-01-23T00:00:00"/>
    <x v="13"/>
    <x v="6"/>
    <s v="0    "/>
    <s v="3147932209"/>
    <n v="1"/>
  </r>
  <r>
    <s v="202601"/>
    <s v="21588976            "/>
    <x v="522"/>
    <x v="66"/>
    <s v="FEVM45387   "/>
    <n v="135472"/>
    <x v="5"/>
    <n v="6"/>
    <d v="2026-01-22T00:00:00"/>
    <d v="2026-01-23T00:00:00"/>
    <x v="13"/>
    <x v="6"/>
    <s v="0    "/>
    <s v="3126283438                    "/>
    <n v="1"/>
  </r>
  <r>
    <s v="202601"/>
    <s v="21588976            "/>
    <x v="522"/>
    <x v="66"/>
    <s v="FEVM45388   "/>
    <n v="42800"/>
    <x v="5"/>
    <n v="6"/>
    <d v="2026-01-22T00:00:00"/>
    <d v="2026-01-23T00:00:00"/>
    <x v="13"/>
    <x v="6"/>
    <s v="0    "/>
    <s v="3126283438                    "/>
    <n v="1"/>
  </r>
  <r>
    <s v="202601"/>
    <s v="98673917            "/>
    <x v="373"/>
    <x v="89"/>
    <s v="FEVM45389   "/>
    <n v="214000"/>
    <x v="9"/>
    <n v="6"/>
    <d v="2026-01-22T00:00:00"/>
    <d v="2026-02-01T00:00:00"/>
    <x v="13"/>
    <x v="6"/>
    <s v="0    "/>
    <s v="3117967418"/>
    <n v="15"/>
  </r>
  <r>
    <s v="202601"/>
    <s v="98673917            "/>
    <x v="373"/>
    <x v="89"/>
    <s v="FEVM45390   "/>
    <n v="41500"/>
    <x v="1"/>
    <n v="6"/>
    <d v="2026-01-22T00:00:00"/>
    <d v="2026-02-06T00:00:00"/>
    <x v="13"/>
    <x v="6"/>
    <s v="0    "/>
    <s v="3117967418"/>
    <n v="15"/>
  </r>
  <r>
    <s v="202601"/>
    <s v="98673917            "/>
    <x v="373"/>
    <x v="89"/>
    <s v="FEVM45391   "/>
    <n v="516635"/>
    <x v="1"/>
    <n v="6"/>
    <d v="2026-01-22T00:00:00"/>
    <d v="2026-02-06T00:00:00"/>
    <x v="13"/>
    <x v="6"/>
    <s v="0    "/>
    <s v="3117967418"/>
    <n v="15"/>
  </r>
  <r>
    <s v="202601"/>
    <s v="78726206            "/>
    <x v="523"/>
    <x v="89"/>
    <s v="FEVM45392   "/>
    <n v="63259"/>
    <x v="5"/>
    <n v="6"/>
    <d v="2026-01-22T00:00:00"/>
    <d v="2026-01-23T00:00:00"/>
    <x v="13"/>
    <x v="6"/>
    <s v="0    "/>
    <s v="3127367880                    "/>
    <n v="1"/>
  </r>
  <r>
    <s v="202601"/>
    <s v="8364639             "/>
    <x v="524"/>
    <x v="66"/>
    <s v="FEVM45393   "/>
    <n v="332978"/>
    <x v="5"/>
    <n v="6"/>
    <d v="2026-01-22T00:00:00"/>
    <d v="2026-01-23T00:00:00"/>
    <x v="13"/>
    <x v="6"/>
    <s v="0    "/>
    <s v="3156914832                    "/>
    <n v="1"/>
  </r>
  <r>
    <s v="202601"/>
    <s v="8364639             "/>
    <x v="524"/>
    <x v="66"/>
    <s v="FEVM45394   "/>
    <n v="252000"/>
    <x v="5"/>
    <n v="6"/>
    <d v="2026-01-22T00:00:00"/>
    <d v="2026-01-23T00:00:00"/>
    <x v="13"/>
    <x v="6"/>
    <s v="0    "/>
    <s v="3156914832                    "/>
    <n v="1"/>
  </r>
  <r>
    <s v="202601"/>
    <s v="1063304977          "/>
    <x v="525"/>
    <x v="1"/>
    <s v="FECT3237    "/>
    <n v="9960"/>
    <x v="5"/>
    <n v="6"/>
    <d v="2026-01-22T00:00:00"/>
    <d v="2026-01-23T00:00:00"/>
    <x v="1"/>
    <x v="3"/>
    <s v="0    "/>
    <s v="3114194092                    "/>
    <n v="30"/>
  </r>
  <r>
    <s v="202601"/>
    <s v="78305175            "/>
    <x v="374"/>
    <x v="1"/>
    <s v="FEVM45340   "/>
    <n v="293269"/>
    <x v="1"/>
    <n v="6"/>
    <d v="2026-01-22T00:00:00"/>
    <d v="2026-02-06T00:00:00"/>
    <x v="1"/>
    <x v="3"/>
    <s v="0    "/>
    <s v="3226135946                    "/>
    <n v="15"/>
  </r>
  <r>
    <s v="202601"/>
    <s v="78298952            "/>
    <x v="492"/>
    <x v="1"/>
    <s v="FEVM45361   "/>
    <n v="403210"/>
    <x v="1"/>
    <n v="6"/>
    <d v="2026-01-22T00:00:00"/>
    <d v="2026-02-06T00:00:00"/>
    <x v="1"/>
    <x v="3"/>
    <s v="0    "/>
    <s v="3226392135     "/>
    <n v="15"/>
  </r>
  <r>
    <s v="202601"/>
    <s v="901411098-3         "/>
    <x v="321"/>
    <x v="24"/>
    <s v="FEDC158099  "/>
    <n v="2120000"/>
    <x v="3"/>
    <n v="6"/>
    <d v="2026-01-22T00:00:00"/>
    <d v="2026-02-21T00:00:00"/>
    <x v="24"/>
    <x v="12"/>
    <s v="0    "/>
    <s v="3126921623                    "/>
    <n v="30"/>
  </r>
  <r>
    <s v="202601"/>
    <s v="50944892            "/>
    <x v="356"/>
    <x v="41"/>
    <s v="FEVM45303   "/>
    <n v="265795"/>
    <x v="1"/>
    <n v="6"/>
    <d v="2026-01-22T00:00:00"/>
    <d v="2026-02-06T00:00:00"/>
    <x v="37"/>
    <x v="3"/>
    <s v="0    "/>
    <s v=""/>
    <n v="30"/>
  </r>
  <r>
    <s v="202601"/>
    <s v="15674956            "/>
    <x v="323"/>
    <x v="41"/>
    <s v="FEVM45321   "/>
    <n v="502504"/>
    <x v="1"/>
    <n v="6"/>
    <d v="2026-01-22T00:00:00"/>
    <d v="2026-02-06T00:00:00"/>
    <x v="37"/>
    <x v="3"/>
    <s v="0    "/>
    <s v="3005245599     "/>
    <n v="30"/>
  </r>
  <r>
    <s v="202601"/>
    <s v="15674956            "/>
    <x v="323"/>
    <x v="41"/>
    <s v="FEVM45322   "/>
    <n v="649809"/>
    <x v="3"/>
    <n v="6"/>
    <d v="2026-01-22T00:00:00"/>
    <d v="2026-02-21T00:00:00"/>
    <x v="37"/>
    <x v="3"/>
    <s v="0    "/>
    <s v="3005245599     "/>
    <n v="30"/>
  </r>
  <r>
    <s v="202601"/>
    <s v="1036422323          "/>
    <x v="526"/>
    <x v="23"/>
    <s v="FEDC158110  "/>
    <n v="3655775"/>
    <x v="3"/>
    <n v="6"/>
    <d v="2026-01-22T00:00:00"/>
    <d v="2026-02-21T00:00:00"/>
    <x v="23"/>
    <x v="4"/>
    <s v="0    "/>
    <s v="3104135942                    "/>
    <n v="30"/>
  </r>
  <r>
    <s v="202601"/>
    <s v="1                   "/>
    <x v="208"/>
    <x v="13"/>
    <s v="FECT3241    "/>
    <n v="698864"/>
    <x v="12"/>
    <n v="6"/>
    <d v="2026-01-22T00:00:00"/>
    <d v="2026-01-22T00:00:00"/>
    <x v="3"/>
    <x v="1"/>
    <s v="0    "/>
    <s v=""/>
    <n v="1"/>
  </r>
  <r>
    <s v="202601"/>
    <s v="1                   "/>
    <x v="208"/>
    <x v="13"/>
    <s v="FEDC158076  "/>
    <n v="468325"/>
    <x v="5"/>
    <n v="6"/>
    <d v="2026-01-22T00:00:00"/>
    <d v="2026-01-23T00:00:00"/>
    <x v="3"/>
    <x v="1"/>
    <s v="0    "/>
    <s v=""/>
    <n v="1"/>
  </r>
  <r>
    <s v="202601"/>
    <s v="1                   "/>
    <x v="208"/>
    <x v="13"/>
    <s v="FEDC158077  "/>
    <n v="4200001"/>
    <x v="5"/>
    <n v="6"/>
    <d v="2026-01-22T00:00:00"/>
    <d v="2026-01-23T00:00:00"/>
    <x v="3"/>
    <x v="1"/>
    <s v="0    "/>
    <s v=""/>
    <n v="1"/>
  </r>
  <r>
    <s v="202601"/>
    <s v="1                   "/>
    <x v="208"/>
    <x v="13"/>
    <s v="FEDC158078  "/>
    <n v="1618189"/>
    <x v="5"/>
    <n v="6"/>
    <d v="2026-01-22T00:00:00"/>
    <d v="2026-01-23T00:00:00"/>
    <x v="3"/>
    <x v="1"/>
    <s v="0    "/>
    <s v=""/>
    <n v="1"/>
  </r>
  <r>
    <s v="202601"/>
    <s v="1                   "/>
    <x v="208"/>
    <x v="13"/>
    <s v="FEDC158080  "/>
    <n v="950023"/>
    <x v="5"/>
    <n v="6"/>
    <d v="2026-01-22T00:00:00"/>
    <d v="2026-01-23T00:00:00"/>
    <x v="3"/>
    <x v="1"/>
    <s v="0    "/>
    <s v=""/>
    <n v="1"/>
  </r>
  <r>
    <s v="202601"/>
    <s v="1                   "/>
    <x v="208"/>
    <x v="13"/>
    <s v="FEDC158081  "/>
    <n v="967186"/>
    <x v="5"/>
    <n v="6"/>
    <d v="2026-01-22T00:00:00"/>
    <d v="2026-01-23T00:00:00"/>
    <x v="3"/>
    <x v="1"/>
    <s v="0    "/>
    <s v=""/>
    <n v="1"/>
  </r>
  <r>
    <s v="202601"/>
    <s v="70695981            "/>
    <x v="527"/>
    <x v="4"/>
    <s v="FEDC158082  "/>
    <n v="1093199"/>
    <x v="3"/>
    <n v="6"/>
    <d v="2026-01-22T00:00:00"/>
    <d v="2026-02-21T00:00:00"/>
    <x v="3"/>
    <x v="1"/>
    <s v="0    "/>
    <s v="3217273046-3108144795         "/>
    <n v="30"/>
  </r>
  <r>
    <s v="202601"/>
    <s v="70695981            "/>
    <x v="527"/>
    <x v="4"/>
    <s v="FEDC158083  "/>
    <n v="3633622"/>
    <x v="3"/>
    <n v="6"/>
    <d v="2026-01-22T00:00:00"/>
    <d v="2026-02-21T00:00:00"/>
    <x v="3"/>
    <x v="1"/>
    <s v="0    "/>
    <s v="3217273046-3108144795         "/>
    <n v="30"/>
  </r>
  <r>
    <s v="202601"/>
    <s v="71601054            "/>
    <x v="383"/>
    <x v="4"/>
    <s v="FEDC158084  "/>
    <n v="752915"/>
    <x v="3"/>
    <n v="6"/>
    <d v="2026-01-22T00:00:00"/>
    <d v="2026-02-21T00:00:00"/>
    <x v="3"/>
    <x v="1"/>
    <s v="0    "/>
    <s v="3116275149 -8368460           "/>
    <n v="30"/>
  </r>
  <r>
    <s v="202601"/>
    <s v="1                   "/>
    <x v="208"/>
    <x v="13"/>
    <s v="FEDC158085  "/>
    <n v="661470"/>
    <x v="5"/>
    <n v="6"/>
    <d v="2026-01-22T00:00:00"/>
    <d v="2026-01-23T00:00:00"/>
    <x v="3"/>
    <x v="1"/>
    <s v="0    "/>
    <s v=""/>
    <n v="1"/>
  </r>
  <r>
    <s v="202601"/>
    <s v="8051409             "/>
    <x v="362"/>
    <x v="67"/>
    <s v="FEDC158086  "/>
    <n v="2286288"/>
    <x v="3"/>
    <n v="6"/>
    <d v="2026-01-22T00:00:00"/>
    <d v="2026-02-21T00:00:00"/>
    <x v="3"/>
    <x v="1"/>
    <s v="0    "/>
    <s v="3127313829-3145496692         "/>
    <n v="30"/>
  </r>
  <r>
    <s v="202601"/>
    <s v="1038484271          "/>
    <x v="528"/>
    <x v="67"/>
    <s v="FEDC158087  "/>
    <n v="399407"/>
    <x v="5"/>
    <n v="6"/>
    <d v="2026-01-22T00:00:00"/>
    <d v="2026-01-23T00:00:00"/>
    <x v="3"/>
    <x v="1"/>
    <s v="0    "/>
    <s v="3219777449                    "/>
    <n v="1"/>
  </r>
  <r>
    <s v="202601"/>
    <s v="14243446            "/>
    <x v="258"/>
    <x v="67"/>
    <s v="FEDC158088  "/>
    <n v="1217755"/>
    <x v="3"/>
    <n v="6"/>
    <d v="2026-01-22T00:00:00"/>
    <d v="2026-02-21T00:00:00"/>
    <x v="3"/>
    <x v="1"/>
    <s v="0    "/>
    <s v="3165078204-3117125440         "/>
    <n v="30"/>
  </r>
  <r>
    <s v="202601"/>
    <s v="14243446            "/>
    <x v="258"/>
    <x v="67"/>
    <s v="FEDC158089  "/>
    <n v="3406977"/>
    <x v="3"/>
    <n v="6"/>
    <d v="2026-01-22T00:00:00"/>
    <d v="2026-02-21T00:00:00"/>
    <x v="3"/>
    <x v="1"/>
    <s v="0    "/>
    <s v="3165078204-3117125440         "/>
    <n v="30"/>
  </r>
  <r>
    <s v="202601"/>
    <s v="50886114            "/>
    <x v="529"/>
    <x v="39"/>
    <s v="FEVM45359   "/>
    <n v="541962"/>
    <x v="1"/>
    <n v="6"/>
    <d v="2026-01-22T00:00:00"/>
    <d v="2026-02-06T00:00:00"/>
    <x v="53"/>
    <x v="10"/>
    <s v="0    "/>
    <s v="3204505463                    "/>
    <n v="15"/>
  </r>
  <r>
    <s v="202601"/>
    <s v="50886114            "/>
    <x v="529"/>
    <x v="39"/>
    <s v="FEVM45360   "/>
    <n v="116146"/>
    <x v="1"/>
    <n v="6"/>
    <d v="2026-01-22T00:00:00"/>
    <d v="2026-02-06T00:00:00"/>
    <x v="53"/>
    <x v="10"/>
    <s v="0    "/>
    <s v="3204505463                    "/>
    <n v="15"/>
  </r>
  <r>
    <s v="202601"/>
    <s v="9313721             "/>
    <x v="365"/>
    <x v="37"/>
    <s v="FEDC158121  "/>
    <n v="566260"/>
    <x v="3"/>
    <n v="5"/>
    <d v="2026-01-23T00:00:00"/>
    <d v="2026-02-22T00:00:00"/>
    <x v="18"/>
    <x v="13"/>
    <s v="0    "/>
    <s v="8380408"/>
    <n v="0"/>
  </r>
  <r>
    <s v="202601"/>
    <s v="1038138797          "/>
    <x v="182"/>
    <x v="13"/>
    <s v="FEDC158123  "/>
    <n v="2100000"/>
    <x v="9"/>
    <n v="5"/>
    <d v="2026-01-23T00:00:00"/>
    <d v="2026-02-02T00:00:00"/>
    <x v="18"/>
    <x v="13"/>
    <s v="0    "/>
    <s v="3223117873                    "/>
    <n v="30"/>
  </r>
  <r>
    <s v="202601"/>
    <s v="1038138797          "/>
    <x v="182"/>
    <x v="13"/>
    <s v="FEDC158124  "/>
    <n v="2718258"/>
    <x v="3"/>
    <n v="5"/>
    <d v="2026-01-23T00:00:00"/>
    <d v="2026-02-22T00:00:00"/>
    <x v="18"/>
    <x v="13"/>
    <s v="0    "/>
    <s v="3223117873                    "/>
    <n v="30"/>
  </r>
  <r>
    <s v="202601"/>
    <s v="1127958438          "/>
    <x v="159"/>
    <x v="13"/>
    <s v="FEDC158125  "/>
    <n v="1026355"/>
    <x v="3"/>
    <n v="5"/>
    <d v="2026-01-23T00:00:00"/>
    <d v="2026-02-22T00:00:00"/>
    <x v="18"/>
    <x v="13"/>
    <s v="0    "/>
    <s v="3204475005                    "/>
    <n v="30"/>
  </r>
  <r>
    <s v="202601"/>
    <s v="1127958438          "/>
    <x v="159"/>
    <x v="13"/>
    <s v="FEDC158126  "/>
    <n v="7007482"/>
    <x v="3"/>
    <n v="5"/>
    <d v="2026-01-23T00:00:00"/>
    <d v="2026-02-22T00:00:00"/>
    <x v="18"/>
    <x v="13"/>
    <s v="0    "/>
    <s v="3204475005                    "/>
    <n v="30"/>
  </r>
  <r>
    <s v="202601"/>
    <s v="52866315            "/>
    <x v="530"/>
    <x v="13"/>
    <s v="FEDC158127  "/>
    <n v="630000"/>
    <x v="9"/>
    <n v="5"/>
    <d v="2026-01-23T00:00:00"/>
    <d v="2026-02-02T00:00:00"/>
    <x v="18"/>
    <x v="13"/>
    <s v="0    "/>
    <s v="3116371907                    "/>
    <n v="30"/>
  </r>
  <r>
    <s v="202601"/>
    <s v="8056705             "/>
    <x v="482"/>
    <x v="37"/>
    <s v="FEDC158128  "/>
    <n v="420000"/>
    <x v="9"/>
    <n v="5"/>
    <d v="2026-01-23T00:00:00"/>
    <d v="2026-02-02T00:00:00"/>
    <x v="18"/>
    <x v="13"/>
    <s v="0    "/>
    <s v="3218012784"/>
    <n v="30"/>
  </r>
  <r>
    <s v="202601"/>
    <s v="43403646            "/>
    <x v="260"/>
    <x v="13"/>
    <s v="FEDC158131  "/>
    <n v="2100000"/>
    <x v="9"/>
    <n v="5"/>
    <d v="2026-01-23T00:00:00"/>
    <d v="2026-02-02T00:00:00"/>
    <x v="18"/>
    <x v="13"/>
    <s v="0    "/>
    <s v="3016755296                    "/>
    <n v="30"/>
  </r>
  <r>
    <s v="202601"/>
    <s v="8374032             "/>
    <x v="219"/>
    <x v="13"/>
    <s v="FEDC158132  "/>
    <n v="243198"/>
    <x v="3"/>
    <n v="5"/>
    <d v="2026-01-23T00:00:00"/>
    <d v="2026-02-22T00:00:00"/>
    <x v="18"/>
    <x v="15"/>
    <s v="0    "/>
    <s v="3145644503-323243142          "/>
    <n v="30"/>
  </r>
  <r>
    <s v="202601"/>
    <s v="1103102647          "/>
    <x v="312"/>
    <x v="13"/>
    <s v="FEDC158133  "/>
    <n v="347004"/>
    <x v="3"/>
    <n v="5"/>
    <d v="2026-01-23T00:00:00"/>
    <d v="2026-02-22T00:00:00"/>
    <x v="18"/>
    <x v="13"/>
    <s v="0    "/>
    <s v="3216981456                    "/>
    <n v="30"/>
  </r>
  <r>
    <s v="202601"/>
    <s v="43403646            "/>
    <x v="260"/>
    <x v="13"/>
    <s v="FEDC158134  "/>
    <n v="694008"/>
    <x v="3"/>
    <n v="5"/>
    <d v="2026-01-23T00:00:00"/>
    <d v="2026-02-22T00:00:00"/>
    <x v="18"/>
    <x v="13"/>
    <s v="0    "/>
    <s v="3016755296                    "/>
    <n v="30"/>
  </r>
  <r>
    <s v="202601"/>
    <s v="70692127            "/>
    <x v="252"/>
    <x v="37"/>
    <s v="FEDC158135  "/>
    <n v="278095"/>
    <x v="3"/>
    <n v="5"/>
    <d v="2026-01-23T00:00:00"/>
    <d v="2026-02-22T00:00:00"/>
    <x v="18"/>
    <x v="13"/>
    <s v="0    "/>
    <s v="3007388755 Andres -3148623512 "/>
    <n v="30"/>
  </r>
  <r>
    <s v="202601"/>
    <s v="15303584            "/>
    <x v="181"/>
    <x v="37"/>
    <s v="FEDC158137  "/>
    <n v="375470"/>
    <x v="3"/>
    <n v="5"/>
    <d v="2026-01-23T00:00:00"/>
    <d v="2026-02-22T00:00:00"/>
    <x v="18"/>
    <x v="11"/>
    <s v="0    "/>
    <s v="3215390315 - 3126155149       "/>
    <n v="30"/>
  </r>
  <r>
    <s v="202601"/>
    <s v="15303584            "/>
    <x v="181"/>
    <x v="37"/>
    <s v="FEDC158138  "/>
    <n v="597732"/>
    <x v="3"/>
    <n v="5"/>
    <d v="2026-01-23T00:00:00"/>
    <d v="2026-02-22T00:00:00"/>
    <x v="18"/>
    <x v="11"/>
    <s v="0    "/>
    <s v="3215390315 - 3126155149       "/>
    <n v="30"/>
  </r>
  <r>
    <s v="202601"/>
    <s v="43403646            "/>
    <x v="260"/>
    <x v="13"/>
    <s v="FEDC158140  "/>
    <n v="247899"/>
    <x v="3"/>
    <n v="5"/>
    <d v="2026-01-23T00:00:00"/>
    <d v="2026-02-22T00:00:00"/>
    <x v="18"/>
    <x v="13"/>
    <s v="0    "/>
    <s v="3016755296                    "/>
    <n v="30"/>
  </r>
  <r>
    <s v="202601"/>
    <s v="8374032             "/>
    <x v="219"/>
    <x v="13"/>
    <s v="FEDC158143  "/>
    <n v="2100000"/>
    <x v="9"/>
    <n v="5"/>
    <d v="2026-01-23T00:00:00"/>
    <d v="2026-02-02T00:00:00"/>
    <x v="18"/>
    <x v="13"/>
    <s v="0    "/>
    <s v="3145644503-323243142          "/>
    <n v="30"/>
  </r>
  <r>
    <s v="202601"/>
    <s v="1007743120          "/>
    <x v="454"/>
    <x v="13"/>
    <s v="FEDC158157  "/>
    <n v="114600"/>
    <x v="3"/>
    <n v="5"/>
    <d v="2026-01-23T00:00:00"/>
    <d v="2026-02-22T00:00:00"/>
    <x v="18"/>
    <x v="11"/>
    <s v="0    "/>
    <s v="3124495772                    "/>
    <n v="30"/>
  </r>
  <r>
    <s v="202601"/>
    <s v="10770798            "/>
    <x v="259"/>
    <x v="4"/>
    <s v="FEDC158158  "/>
    <n v="210005"/>
    <x v="3"/>
    <n v="5"/>
    <d v="2026-01-23T00:00:00"/>
    <d v="2026-02-22T00:00:00"/>
    <x v="18"/>
    <x v="1"/>
    <s v="1    "/>
    <s v="3108204786                    "/>
    <n v="30"/>
  </r>
  <r>
    <s v="202601"/>
    <s v="1129487474          "/>
    <x v="531"/>
    <x v="4"/>
    <s v="FEDC158159  "/>
    <n v="1123873"/>
    <x v="3"/>
    <n v="5"/>
    <d v="2026-01-23T00:00:00"/>
    <d v="2026-02-22T00:00:00"/>
    <x v="18"/>
    <x v="1"/>
    <s v="0    "/>
    <s v="3113555022 -3215737547        "/>
    <n v="30"/>
  </r>
  <r>
    <s v="202601"/>
    <s v="1152440021          "/>
    <x v="532"/>
    <x v="4"/>
    <s v="FEDC158169  "/>
    <n v="220826"/>
    <x v="3"/>
    <n v="5"/>
    <d v="2026-01-23T00:00:00"/>
    <d v="2026-02-22T00:00:00"/>
    <x v="18"/>
    <x v="1"/>
    <s v="0    "/>
    <s v="3206583259"/>
    <n v="30"/>
  </r>
  <r>
    <s v="202601"/>
    <s v="811001810-6         "/>
    <x v="533"/>
    <x v="37"/>
    <s v="FEDC158172  "/>
    <n v="101000"/>
    <x v="3"/>
    <n v="5"/>
    <d v="2026-01-23T00:00:00"/>
    <d v="2026-02-22T00:00:00"/>
    <x v="18"/>
    <x v="13"/>
    <s v="0    "/>
    <s v=""/>
    <n v="30"/>
  </r>
  <r>
    <s v="202601"/>
    <s v="39288308            "/>
    <x v="534"/>
    <x v="13"/>
    <s v="FEDC158173  "/>
    <n v="483290"/>
    <x v="3"/>
    <n v="5"/>
    <d v="2026-01-23T00:00:00"/>
    <d v="2026-02-22T00:00:00"/>
    <x v="18"/>
    <x v="11"/>
    <s v="0    "/>
    <s v="3135780204                    "/>
    <n v="30"/>
  </r>
  <r>
    <s v="202601"/>
    <s v="901837774           "/>
    <x v="453"/>
    <x v="13"/>
    <s v="FEDC158175  "/>
    <n v="7289647"/>
    <x v="3"/>
    <n v="5"/>
    <d v="2026-01-23T00:00:00"/>
    <d v="2026-02-22T00:00:00"/>
    <x v="18"/>
    <x v="1"/>
    <s v="0    "/>
    <s v="3122922899                    "/>
    <n v="1"/>
  </r>
  <r>
    <s v="202601"/>
    <s v="1152440021          "/>
    <x v="532"/>
    <x v="4"/>
    <s v="FEDC158188  "/>
    <n v="372554"/>
    <x v="3"/>
    <n v="5"/>
    <d v="2026-01-23T00:00:00"/>
    <d v="2026-02-22T00:00:00"/>
    <x v="18"/>
    <x v="1"/>
    <s v="0    "/>
    <s v="3206583259"/>
    <n v="30"/>
  </r>
  <r>
    <s v="202601"/>
    <s v="1233345840          "/>
    <x v="314"/>
    <x v="13"/>
    <s v="FEVM45417   "/>
    <n v="284357"/>
    <x v="3"/>
    <n v="5"/>
    <d v="2026-01-23T00:00:00"/>
    <d v="2026-02-22T00:00:00"/>
    <x v="18"/>
    <x v="13"/>
    <s v="0    "/>
    <s v="3172967714 -3232010208        "/>
    <n v="30"/>
  </r>
  <r>
    <s v="202601"/>
    <s v="78115569            "/>
    <x v="393"/>
    <x v="37"/>
    <s v="FEVM45418   "/>
    <n v="190699"/>
    <x v="3"/>
    <n v="5"/>
    <d v="2026-01-23T00:00:00"/>
    <d v="2026-02-22T00:00:00"/>
    <x v="18"/>
    <x v="13"/>
    <s v="0    "/>
    <s v="3122062860"/>
    <n v="30"/>
  </r>
  <r>
    <s v="202601"/>
    <s v="64586139            "/>
    <x v="535"/>
    <x v="13"/>
    <s v="FEVM45419   "/>
    <n v="371644"/>
    <x v="3"/>
    <n v="5"/>
    <d v="2026-01-23T00:00:00"/>
    <d v="2026-02-22T00:00:00"/>
    <x v="18"/>
    <x v="4"/>
    <s v="0    "/>
    <s v="3102208417                    "/>
    <n v="30"/>
  </r>
  <r>
    <s v="202601"/>
    <s v="15308907            "/>
    <x v="378"/>
    <x v="37"/>
    <s v="FEVM45420   "/>
    <n v="979870"/>
    <x v="3"/>
    <n v="5"/>
    <d v="2026-01-23T00:00:00"/>
    <d v="2026-02-22T00:00:00"/>
    <x v="18"/>
    <x v="4"/>
    <s v="0    "/>
    <s v="3137334244                    "/>
    <n v="30"/>
  </r>
  <r>
    <s v="202601"/>
    <s v="1003810605          "/>
    <x v="192"/>
    <x v="13"/>
    <s v="FEVM45422   "/>
    <n v="3305532"/>
    <x v="3"/>
    <n v="5"/>
    <d v="2026-01-23T00:00:00"/>
    <d v="2026-02-22T00:00:00"/>
    <x v="18"/>
    <x v="13"/>
    <s v="0    "/>
    <s v="3218007944                    "/>
    <n v="30"/>
  </r>
  <r>
    <s v="202601"/>
    <s v="1003810605          "/>
    <x v="192"/>
    <x v="13"/>
    <s v="FEVM45423   "/>
    <n v="12255302"/>
    <x v="3"/>
    <n v="5"/>
    <d v="2026-01-23T00:00:00"/>
    <d v="2026-02-22T00:00:00"/>
    <x v="18"/>
    <x v="13"/>
    <s v="0    "/>
    <s v="3218007944                    "/>
    <n v="30"/>
  </r>
  <r>
    <s v="202601"/>
    <s v="78739970            "/>
    <x v="536"/>
    <x v="97"/>
    <s v="FEDC158191  "/>
    <n v="1722772"/>
    <x v="3"/>
    <n v="5"/>
    <d v="2026-01-23T00:00:00"/>
    <d v="2026-02-22T00:00:00"/>
    <x v="38"/>
    <x v="9"/>
    <s v="0    "/>
    <s v="3114065455     "/>
    <n v="30"/>
  </r>
  <r>
    <s v="202601"/>
    <s v="78739970            "/>
    <x v="536"/>
    <x v="97"/>
    <s v="FEDC158192  "/>
    <n v="251589"/>
    <x v="3"/>
    <n v="5"/>
    <d v="2026-01-23T00:00:00"/>
    <d v="2026-02-22T00:00:00"/>
    <x v="38"/>
    <x v="9"/>
    <s v="0    "/>
    <s v="3114065455     "/>
    <n v="30"/>
  </r>
  <r>
    <s v="202601"/>
    <s v="1063309197          "/>
    <x v="537"/>
    <x v="1"/>
    <s v="FEVM45400   "/>
    <n v="879547"/>
    <x v="10"/>
    <n v="5"/>
    <d v="2026-01-23T00:00:00"/>
    <d v="2026-01-31T00:00:00"/>
    <x v="1"/>
    <x v="10"/>
    <s v="0    "/>
    <s v="300361499                     "/>
    <n v="8"/>
  </r>
  <r>
    <s v="202601"/>
    <s v="1019008578          "/>
    <x v="538"/>
    <x v="24"/>
    <s v="FEVM45436   "/>
    <n v="25200"/>
    <x v="5"/>
    <n v="5"/>
    <d v="2026-01-23T00:00:00"/>
    <d v="2026-01-24T00:00:00"/>
    <x v="1"/>
    <x v="3"/>
    <s v="0    "/>
    <s v="3209327829                    "/>
    <n v="1"/>
  </r>
  <r>
    <s v="202601"/>
    <s v="1063359578          "/>
    <x v="539"/>
    <x v="44"/>
    <s v="FEVM45438   "/>
    <n v="87118"/>
    <x v="5"/>
    <n v="5"/>
    <d v="2026-01-23T00:00:00"/>
    <d v="2026-01-24T00:00:00"/>
    <x v="1"/>
    <x v="3"/>
    <s v="0    "/>
    <s v="3205871519     "/>
    <n v="30"/>
  </r>
  <r>
    <s v="202601"/>
    <s v="1019008578          "/>
    <x v="538"/>
    <x v="24"/>
    <s v="FEVM45437   "/>
    <n v="95202"/>
    <x v="5"/>
    <n v="5"/>
    <d v="2026-01-23T00:00:00"/>
    <d v="2026-01-24T00:00:00"/>
    <x v="24"/>
    <x v="3"/>
    <s v="0    "/>
    <s v="3209327829                    "/>
    <n v="1"/>
  </r>
  <r>
    <s v="202601"/>
    <s v="1063359578          "/>
    <x v="539"/>
    <x v="44"/>
    <s v="FEVM45439   "/>
    <n v="42500"/>
    <x v="5"/>
    <n v="5"/>
    <d v="2026-01-23T00:00:00"/>
    <d v="2026-01-24T00:00:00"/>
    <x v="24"/>
    <x v="3"/>
    <s v="0    "/>
    <s v="3205871519     "/>
    <n v="30"/>
  </r>
  <r>
    <s v="202601"/>
    <s v="1063360735          "/>
    <x v="540"/>
    <x v="24"/>
    <s v="FEVM45440   "/>
    <n v="94623"/>
    <x v="5"/>
    <n v="5"/>
    <d v="2026-01-23T00:00:00"/>
    <d v="2026-01-24T00:00:00"/>
    <x v="24"/>
    <x v="3"/>
    <s v="0    "/>
    <s v="3135314024                    "/>
    <n v="1"/>
  </r>
  <r>
    <s v="202601"/>
    <s v="1063354535          "/>
    <x v="541"/>
    <x v="24"/>
    <s v="FEVM45441   "/>
    <n v="49610"/>
    <x v="5"/>
    <n v="5"/>
    <d v="2026-01-23T00:00:00"/>
    <d v="2026-01-24T00:00:00"/>
    <x v="24"/>
    <x v="3"/>
    <s v="0    "/>
    <s v="3177480346     "/>
    <n v="30"/>
  </r>
  <r>
    <s v="202601"/>
    <s v="1063354535          "/>
    <x v="541"/>
    <x v="24"/>
    <s v="FEVM45442   "/>
    <n v="40504"/>
    <x v="5"/>
    <n v="5"/>
    <d v="2026-01-23T00:00:00"/>
    <d v="2026-01-24T00:00:00"/>
    <x v="24"/>
    <x v="3"/>
    <s v="0    "/>
    <s v="3177480346     "/>
    <n v="30"/>
  </r>
  <r>
    <s v="202601"/>
    <s v="25995862            "/>
    <x v="542"/>
    <x v="24"/>
    <s v="FEVM45443   "/>
    <n v="89019"/>
    <x v="5"/>
    <n v="5"/>
    <d v="2026-01-23T00:00:00"/>
    <d v="2026-01-24T00:00:00"/>
    <x v="24"/>
    <x v="3"/>
    <s v="0    "/>
    <s v="3105926479     "/>
    <n v="30"/>
  </r>
  <r>
    <s v="202601"/>
    <s v="1063356423          "/>
    <x v="543"/>
    <x v="24"/>
    <s v="FEVM45444   "/>
    <n v="54591"/>
    <x v="5"/>
    <n v="5"/>
    <d v="2026-01-23T00:00:00"/>
    <d v="2026-01-24T00:00:00"/>
    <x v="24"/>
    <x v="3"/>
    <s v="0    "/>
    <s v="3104719100                    "/>
    <n v="1"/>
  </r>
  <r>
    <s v="202601"/>
    <s v="78586262            "/>
    <x v="544"/>
    <x v="44"/>
    <s v="FEVM45445   "/>
    <n v="180643"/>
    <x v="5"/>
    <n v="5"/>
    <d v="2026-01-23T00:00:00"/>
    <d v="2026-01-24T00:00:00"/>
    <x v="24"/>
    <x v="3"/>
    <s v="0    "/>
    <s v="3135196012"/>
    <n v="1"/>
  </r>
  <r>
    <s v="202601"/>
    <s v="8759067             "/>
    <x v="545"/>
    <x v="44"/>
    <s v="FEVM45446   "/>
    <n v="100072"/>
    <x v="5"/>
    <n v="5"/>
    <d v="2026-01-23T00:00:00"/>
    <d v="2026-01-24T00:00:00"/>
    <x v="24"/>
    <x v="3"/>
    <s v="0    "/>
    <s v="3205711664     "/>
    <n v="0"/>
  </r>
  <r>
    <s v="202601"/>
    <s v="78586930            "/>
    <x v="546"/>
    <x v="24"/>
    <s v="FEVM45447   "/>
    <n v="351671"/>
    <x v="5"/>
    <n v="5"/>
    <d v="2026-01-23T00:00:00"/>
    <d v="2026-01-24T00:00:00"/>
    <x v="24"/>
    <x v="3"/>
    <s v="0    "/>
    <s v="3215999244     "/>
    <n v="30"/>
  </r>
  <r>
    <s v="202601"/>
    <s v="78586930            "/>
    <x v="546"/>
    <x v="24"/>
    <s v="FEVM45448   "/>
    <n v="68701"/>
    <x v="5"/>
    <n v="5"/>
    <d v="2026-01-23T00:00:00"/>
    <d v="2026-01-24T00:00:00"/>
    <x v="24"/>
    <x v="3"/>
    <s v="0    "/>
    <s v="3215999244     "/>
    <n v="30"/>
  </r>
  <r>
    <s v="202601"/>
    <s v="78585018            "/>
    <x v="462"/>
    <x v="44"/>
    <s v="FEVM45449   "/>
    <n v="243616"/>
    <x v="5"/>
    <n v="5"/>
    <d v="2026-01-23T00:00:00"/>
    <d v="2026-01-24T00:00:00"/>
    <x v="24"/>
    <x v="3"/>
    <s v="0    "/>
    <s v="3135243208"/>
    <n v="15"/>
  </r>
  <r>
    <s v="202601"/>
    <s v="78586930            "/>
    <x v="546"/>
    <x v="24"/>
    <s v="FEVM45450   "/>
    <n v="23700"/>
    <x v="5"/>
    <n v="5"/>
    <d v="2026-01-23T00:00:00"/>
    <d v="2026-01-24T00:00:00"/>
    <x v="24"/>
    <x v="3"/>
    <s v="0    "/>
    <s v="3215999244     "/>
    <n v="30"/>
  </r>
  <r>
    <s v="202601"/>
    <s v="30060441            "/>
    <x v="547"/>
    <x v="24"/>
    <s v="FEVM45451   "/>
    <n v="76601"/>
    <x v="5"/>
    <n v="5"/>
    <d v="2026-01-23T00:00:00"/>
    <d v="2026-01-24T00:00:00"/>
    <x v="24"/>
    <x v="3"/>
    <s v="0    "/>
    <s v="3206695268                    "/>
    <n v="30"/>
  </r>
  <r>
    <s v="202601"/>
    <s v="1063361030          "/>
    <x v="548"/>
    <x v="24"/>
    <s v="FEVM45452   "/>
    <n v="123197"/>
    <x v="5"/>
    <n v="5"/>
    <d v="2026-01-23T00:00:00"/>
    <d v="2026-01-24T00:00:00"/>
    <x v="24"/>
    <x v="3"/>
    <s v="0    "/>
    <s v="3113112714                    "/>
    <n v="30"/>
  </r>
  <r>
    <s v="202601"/>
    <s v="50999365            "/>
    <x v="549"/>
    <x v="44"/>
    <s v="FEVM45453   "/>
    <n v="144279"/>
    <x v="5"/>
    <n v="5"/>
    <d v="2026-01-23T00:00:00"/>
    <d v="2026-01-24T00:00:00"/>
    <x v="24"/>
    <x v="3"/>
    <s v="0    "/>
    <s v="3145326852     "/>
    <n v="30"/>
  </r>
  <r>
    <s v="202601"/>
    <s v="50999162            "/>
    <x v="550"/>
    <x v="44"/>
    <s v="FEVM45455   "/>
    <n v="667588"/>
    <x v="10"/>
    <n v="5"/>
    <d v="2026-01-23T00:00:00"/>
    <d v="2026-01-31T00:00:00"/>
    <x v="24"/>
    <x v="3"/>
    <s v="0    "/>
    <s v="3126324760"/>
    <n v="8"/>
  </r>
  <r>
    <s v="202601"/>
    <s v="78588722            "/>
    <x v="551"/>
    <x v="24"/>
    <s v="FEVM45456   "/>
    <n v="642012"/>
    <x v="5"/>
    <n v="5"/>
    <d v="2026-01-23T00:00:00"/>
    <d v="2026-01-24T00:00:00"/>
    <x v="24"/>
    <x v="3"/>
    <s v="0    "/>
    <s v="3233722910                    "/>
    <n v="1"/>
  </r>
  <r>
    <s v="202601"/>
    <s v="25878642            "/>
    <x v="552"/>
    <x v="24"/>
    <s v="FEVM45457   "/>
    <n v="63947"/>
    <x v="5"/>
    <n v="5"/>
    <d v="2026-01-23T00:00:00"/>
    <d v="2026-01-24T00:00:00"/>
    <x v="24"/>
    <x v="3"/>
    <s v="0    "/>
    <s v="3106523235     "/>
    <n v="1"/>
  </r>
  <r>
    <s v="202601"/>
    <s v="1121326920          "/>
    <x v="381"/>
    <x v="24"/>
    <s v="FEVM45458   "/>
    <n v="231838"/>
    <x v="1"/>
    <n v="5"/>
    <d v="2026-01-23T00:00:00"/>
    <d v="2026-02-07T00:00:00"/>
    <x v="24"/>
    <x v="3"/>
    <s v="0    "/>
    <s v="3106302098                    "/>
    <n v="30"/>
  </r>
  <r>
    <s v="202601"/>
    <s v="1121326920          "/>
    <x v="381"/>
    <x v="24"/>
    <s v="FEVM45459   "/>
    <n v="85000"/>
    <x v="5"/>
    <n v="5"/>
    <d v="2026-01-23T00:00:00"/>
    <d v="2026-01-24T00:00:00"/>
    <x v="24"/>
    <x v="3"/>
    <s v="0    "/>
    <s v="3106302098                    "/>
    <n v="30"/>
  </r>
  <r>
    <s v="202601"/>
    <s v="1063359140          "/>
    <x v="553"/>
    <x v="24"/>
    <s v="FEVM45460   "/>
    <n v="152000"/>
    <x v="5"/>
    <n v="5"/>
    <d v="2026-01-23T00:00:00"/>
    <d v="2026-01-24T00:00:00"/>
    <x v="24"/>
    <x v="3"/>
    <s v="0    "/>
    <s v="3011699600                    "/>
    <n v="1"/>
  </r>
  <r>
    <s v="202601"/>
    <s v="1063359140          "/>
    <x v="553"/>
    <x v="24"/>
    <s v="FEVM45461   "/>
    <n v="121654"/>
    <x v="5"/>
    <n v="5"/>
    <d v="2026-01-23T00:00:00"/>
    <d v="2026-01-24T00:00:00"/>
    <x v="24"/>
    <x v="3"/>
    <s v="0    "/>
    <s v="3011699600                    "/>
    <n v="1"/>
  </r>
  <r>
    <s v="202601"/>
    <s v="1063276677          "/>
    <x v="554"/>
    <x v="24"/>
    <s v="FEVM45454   "/>
    <n v="266078"/>
    <x v="10"/>
    <n v="5"/>
    <d v="2026-01-23T00:00:00"/>
    <d v="2026-01-31T00:00:00"/>
    <x v="37"/>
    <x v="3"/>
    <s v="0    "/>
    <s v="3016446747                    "/>
    <n v="8"/>
  </r>
  <r>
    <s v="202601"/>
    <s v="18775887            "/>
    <x v="555"/>
    <x v="98"/>
    <s v="FEDC158145  "/>
    <n v="2649200"/>
    <x v="13"/>
    <n v="5"/>
    <d v="2026-01-23T00:00:00"/>
    <d v="2026-01-25T00:00:00"/>
    <x v="23"/>
    <x v="11"/>
    <s v="0    "/>
    <s v="3125486768                    "/>
    <n v="1"/>
  </r>
  <r>
    <s v="202601"/>
    <s v="1036422323          "/>
    <x v="526"/>
    <x v="23"/>
    <s v="FEVM45432   "/>
    <n v="210749"/>
    <x v="3"/>
    <n v="5"/>
    <d v="2026-01-23T00:00:00"/>
    <d v="2026-02-22T00:00:00"/>
    <x v="23"/>
    <x v="4"/>
    <s v="0    "/>
    <s v="3104135942                    "/>
    <n v="30"/>
  </r>
  <r>
    <s v="202601"/>
    <s v="1036422323          "/>
    <x v="526"/>
    <x v="23"/>
    <s v="FEVM45433   "/>
    <n v="2100000"/>
    <x v="3"/>
    <n v="5"/>
    <d v="2026-01-23T00:00:00"/>
    <d v="2026-02-22T00:00:00"/>
    <x v="23"/>
    <x v="4"/>
    <s v="0    "/>
    <s v="3104135942                    "/>
    <n v="30"/>
  </r>
  <r>
    <s v="202601"/>
    <s v="8372538             "/>
    <x v="556"/>
    <x v="4"/>
    <s v="FEDC158160  "/>
    <n v="348146"/>
    <x v="5"/>
    <n v="5"/>
    <d v="2026-01-23T00:00:00"/>
    <d v="2026-01-24T00:00:00"/>
    <x v="3"/>
    <x v="1"/>
    <s v="0    "/>
    <s v="3137923107     "/>
    <n v="1"/>
  </r>
  <r>
    <s v="202601"/>
    <s v="1038434004          "/>
    <x v="360"/>
    <x v="67"/>
    <s v="FEDC158161  "/>
    <n v="2948776"/>
    <x v="3"/>
    <n v="5"/>
    <d v="2026-01-23T00:00:00"/>
    <d v="2026-02-22T00:00:00"/>
    <x v="3"/>
    <x v="1"/>
    <s v="0    "/>
    <s v="3012854587 -3213488346        "/>
    <n v="30"/>
  </r>
  <r>
    <s v="202601"/>
    <s v="22796502            "/>
    <x v="384"/>
    <x v="67"/>
    <s v="FEDC158162  "/>
    <n v="2234507"/>
    <x v="3"/>
    <n v="5"/>
    <d v="2026-01-23T00:00:00"/>
    <d v="2026-02-22T00:00:00"/>
    <x v="3"/>
    <x v="1"/>
    <s v="0    "/>
    <s v="3147060898 Bienvenido         "/>
    <n v="30"/>
  </r>
  <r>
    <s v="202601"/>
    <s v="10790563            "/>
    <x v="557"/>
    <x v="4"/>
    <s v="FEDC158163  "/>
    <n v="1082389"/>
    <x v="5"/>
    <n v="5"/>
    <d v="2026-01-23T00:00:00"/>
    <d v="2026-01-24T00:00:00"/>
    <x v="3"/>
    <x v="1"/>
    <s v="0    "/>
    <s v="3506153262                    "/>
    <n v="1"/>
  </r>
  <r>
    <s v="202601"/>
    <s v="43889426            "/>
    <x v="558"/>
    <x v="4"/>
    <s v="FEDC158164  "/>
    <n v="389790"/>
    <x v="5"/>
    <n v="5"/>
    <d v="2026-01-23T00:00:00"/>
    <d v="2026-01-24T00:00:00"/>
    <x v="3"/>
    <x v="1"/>
    <s v="0    "/>
    <s v="3219421354 -3104490771        "/>
    <n v="30"/>
  </r>
  <r>
    <s v="202601"/>
    <s v="11050699            "/>
    <x v="385"/>
    <x v="4"/>
    <s v="FEDC158165  "/>
    <n v="1186460"/>
    <x v="3"/>
    <n v="5"/>
    <d v="2026-01-23T00:00:00"/>
    <d v="2026-02-22T00:00:00"/>
    <x v="3"/>
    <x v="1"/>
    <s v="0    "/>
    <s v="3117504153                    "/>
    <n v="30"/>
  </r>
  <r>
    <s v="202601"/>
    <s v="1129487474          "/>
    <x v="531"/>
    <x v="4"/>
    <s v="FEDC158166  "/>
    <n v="140000"/>
    <x v="5"/>
    <n v="5"/>
    <d v="2026-01-23T00:00:00"/>
    <d v="2026-01-24T00:00:00"/>
    <x v="3"/>
    <x v="1"/>
    <s v="0    "/>
    <s v="3113555022 -3215737547        "/>
    <n v="30"/>
  </r>
  <r>
    <s v="202601"/>
    <s v="43889240            "/>
    <x v="559"/>
    <x v="4"/>
    <s v="FEDC158167  "/>
    <n v="128400"/>
    <x v="3"/>
    <n v="5"/>
    <d v="2026-01-23T00:00:00"/>
    <d v="2026-02-22T00:00:00"/>
    <x v="3"/>
    <x v="1"/>
    <s v="0    "/>
    <s v="3113543320     "/>
    <n v="30"/>
  </r>
  <r>
    <s v="202601"/>
    <s v="10770798            "/>
    <x v="259"/>
    <x v="4"/>
    <s v="FEDC158168  "/>
    <n v="5081387"/>
    <x v="3"/>
    <n v="5"/>
    <d v="2026-01-23T00:00:00"/>
    <d v="2026-02-22T00:00:00"/>
    <x v="3"/>
    <x v="1"/>
    <s v="1    "/>
    <s v="3108204786                    "/>
    <n v="30"/>
  </r>
  <r>
    <s v="202601"/>
    <s v="55226728            "/>
    <x v="560"/>
    <x v="67"/>
    <s v="FEDC158170  "/>
    <n v="793582"/>
    <x v="3"/>
    <n v="5"/>
    <d v="2026-01-23T00:00:00"/>
    <d v="2026-02-22T00:00:00"/>
    <x v="3"/>
    <x v="1"/>
    <s v="0    "/>
    <s v="3128316891 -3126516317        "/>
    <n v="30"/>
  </r>
  <r>
    <s v="202601"/>
    <s v="3442140             "/>
    <x v="250"/>
    <x v="81"/>
    <s v="FEDC158176  "/>
    <n v="2573397"/>
    <x v="3"/>
    <n v="5"/>
    <d v="2026-01-23T00:00:00"/>
    <d v="2026-02-22T00:00:00"/>
    <x v="3"/>
    <x v="1"/>
    <s v="0    "/>
    <s v="3218923274     "/>
    <n v="30"/>
  </r>
  <r>
    <s v="202601"/>
    <s v="70693535            "/>
    <x v="148"/>
    <x v="69"/>
    <s v="FEDC158183  "/>
    <n v="405561"/>
    <x v="3"/>
    <n v="5"/>
    <d v="2026-01-23T00:00:00"/>
    <d v="2026-02-22T00:00:00"/>
    <x v="47"/>
    <x v="8"/>
    <s v="0    "/>
    <s v="305 3229048                   "/>
    <n v="30"/>
  </r>
  <r>
    <s v="202601"/>
    <s v="901264229-0         "/>
    <x v="215"/>
    <x v="68"/>
    <s v="FEDC158184  "/>
    <n v="2814898"/>
    <x v="3"/>
    <n v="5"/>
    <d v="2026-01-23T00:00:00"/>
    <d v="2026-02-22T00:00:00"/>
    <x v="47"/>
    <x v="8"/>
    <s v="0    "/>
    <s v="3167390770                    "/>
    <n v="30"/>
  </r>
  <r>
    <s v="202601"/>
    <s v="70905906            "/>
    <x v="561"/>
    <x v="69"/>
    <s v="FEDC158185  "/>
    <n v="319991"/>
    <x v="3"/>
    <n v="5"/>
    <d v="2026-01-23T00:00:00"/>
    <d v="2026-02-22T00:00:00"/>
    <x v="47"/>
    <x v="8"/>
    <s v="0    "/>
    <s v="313 5691937 Roberto           "/>
    <n v="30"/>
  </r>
  <r>
    <s v="202601"/>
    <s v="70905906            "/>
    <x v="561"/>
    <x v="69"/>
    <s v="FEDC158186  "/>
    <n v="633575"/>
    <x v="3"/>
    <n v="5"/>
    <d v="2026-01-23T00:00:00"/>
    <d v="2026-02-22T00:00:00"/>
    <x v="47"/>
    <x v="8"/>
    <s v="0    "/>
    <s v="313 5691937 Roberto           "/>
    <n v="30"/>
  </r>
  <r>
    <s v="202601"/>
    <s v="3497025             "/>
    <x v="243"/>
    <x v="79"/>
    <s v="FEDC158178  "/>
    <n v="4404263"/>
    <x v="3"/>
    <n v="5"/>
    <d v="2026-01-23T00:00:00"/>
    <d v="2026-02-22T00:00:00"/>
    <x v="50"/>
    <x v="8"/>
    <s v="0    "/>
    <s v="7642813 -3216807619           "/>
    <n v="30"/>
  </r>
  <r>
    <s v="202601"/>
    <s v="21482306-2          "/>
    <x v="147"/>
    <x v="69"/>
    <s v="FEDC158182  "/>
    <n v="1098119"/>
    <x v="3"/>
    <n v="5"/>
    <d v="2026-01-23T00:00:00"/>
    <d v="2026-02-22T00:00:00"/>
    <x v="29"/>
    <x v="8"/>
    <s v="0    "/>
    <s v="3218118823                    "/>
    <n v="30"/>
  </r>
  <r>
    <s v="202601"/>
    <s v="8635776             "/>
    <x v="562"/>
    <x v="55"/>
    <s v="FEDC158193  "/>
    <n v="2001621"/>
    <x v="3"/>
    <n v="5"/>
    <d v="2026-01-23T00:00:00"/>
    <d v="2026-02-22T00:00:00"/>
    <x v="42"/>
    <x v="9"/>
    <s v="0    "/>
    <s v="3002534529     "/>
    <n v="30"/>
  </r>
  <r>
    <s v="202601"/>
    <s v="13167526            "/>
    <x v="265"/>
    <x v="55"/>
    <s v="FEDC158194  "/>
    <n v="591503"/>
    <x v="3"/>
    <n v="5"/>
    <d v="2026-01-23T00:00:00"/>
    <d v="2026-02-22T00:00:00"/>
    <x v="42"/>
    <x v="9"/>
    <s v="0    "/>
    <s v="3114015059                    "/>
    <n v="1"/>
  </r>
  <r>
    <s v="202601"/>
    <s v="13167526            "/>
    <x v="265"/>
    <x v="55"/>
    <s v="FEDC158195  "/>
    <n v="2178465"/>
    <x v="3"/>
    <n v="5"/>
    <d v="2026-01-23T00:00:00"/>
    <d v="2026-02-22T00:00:00"/>
    <x v="42"/>
    <x v="9"/>
    <s v="0    "/>
    <s v="3114015059                    "/>
    <n v="1"/>
  </r>
  <r>
    <s v="202601"/>
    <s v="13167526            "/>
    <x v="265"/>
    <x v="55"/>
    <s v="FEDC158196  "/>
    <n v="3439259"/>
    <x v="3"/>
    <n v="5"/>
    <d v="2026-01-23T00:00:00"/>
    <d v="2026-02-22T00:00:00"/>
    <x v="42"/>
    <x v="9"/>
    <s v="0    "/>
    <s v="3114015059                    "/>
    <n v="1"/>
  </r>
  <r>
    <s v="202601"/>
    <s v="78734530            "/>
    <x v="563"/>
    <x v="55"/>
    <s v="FEDC158197  "/>
    <n v="1408291"/>
    <x v="3"/>
    <n v="5"/>
    <d v="2026-01-23T00:00:00"/>
    <d v="2026-02-22T00:00:00"/>
    <x v="42"/>
    <x v="9"/>
    <s v="0    "/>
    <s v="3145551053                    "/>
    <n v="30"/>
  </r>
  <r>
    <s v="202601"/>
    <s v="1108764025          "/>
    <x v="156"/>
    <x v="55"/>
    <s v="FEDC158198  "/>
    <n v="132004"/>
    <x v="3"/>
    <n v="5"/>
    <d v="2026-01-23T00:00:00"/>
    <d v="2026-02-22T00:00:00"/>
    <x v="42"/>
    <x v="9"/>
    <s v="0    "/>
    <s v="3024374835                    "/>
    <n v="30"/>
  </r>
  <r>
    <s v="202601"/>
    <s v="1108764025          "/>
    <x v="156"/>
    <x v="55"/>
    <s v="FEDC158199  "/>
    <n v="778155"/>
    <x v="3"/>
    <n v="5"/>
    <d v="2026-01-23T00:00:00"/>
    <d v="2026-02-22T00:00:00"/>
    <x v="42"/>
    <x v="9"/>
    <s v="0    "/>
    <s v="3024374835                    "/>
    <n v="30"/>
  </r>
  <r>
    <s v="202601"/>
    <s v="901589653           "/>
    <x v="413"/>
    <x v="46"/>
    <s v="FEVM45425   "/>
    <n v="6310162"/>
    <x v="3"/>
    <n v="5"/>
    <d v="2026-01-23T00:00:00"/>
    <d v="2026-02-22T00:00:00"/>
    <x v="2"/>
    <x v="9"/>
    <s v="0    "/>
    <s v="3136134962                    "/>
    <n v="30"/>
  </r>
  <r>
    <s v="202601"/>
    <s v="901589653           "/>
    <x v="413"/>
    <x v="46"/>
    <s v="FEVM45426   "/>
    <n v="1183384"/>
    <x v="3"/>
    <n v="5"/>
    <d v="2026-01-23T00:00:00"/>
    <d v="2026-02-22T00:00:00"/>
    <x v="2"/>
    <x v="9"/>
    <s v="0    "/>
    <s v="3136134962                    "/>
    <n v="30"/>
  </r>
  <r>
    <s v="202601"/>
    <s v="32271198            "/>
    <x v="19"/>
    <x v="3"/>
    <s v="FEVM45427   "/>
    <n v="9844403"/>
    <x v="5"/>
    <n v="5"/>
    <d v="2026-01-23T00:00:00"/>
    <d v="2026-01-24T00:00:00"/>
    <x v="2"/>
    <x v="9"/>
    <s v="0    "/>
    <s v="3117190379     "/>
    <n v="1"/>
  </r>
  <r>
    <s v="202601"/>
    <s v="32271198            "/>
    <x v="19"/>
    <x v="3"/>
    <s v="FEVM45428   "/>
    <n v="396109"/>
    <x v="5"/>
    <n v="5"/>
    <d v="2026-01-23T00:00:00"/>
    <d v="2026-01-24T00:00:00"/>
    <x v="2"/>
    <x v="9"/>
    <s v="0    "/>
    <s v="3117190379     "/>
    <n v="1"/>
  </r>
  <r>
    <s v="202601"/>
    <s v="43803759            "/>
    <x v="422"/>
    <x v="3"/>
    <s v="FEVM45429   "/>
    <n v="258000"/>
    <x v="3"/>
    <n v="5"/>
    <d v="2026-01-23T00:00:00"/>
    <d v="2026-02-22T00:00:00"/>
    <x v="2"/>
    <x v="9"/>
    <s v="0    "/>
    <s v="3117051671"/>
    <n v="30"/>
  </r>
  <r>
    <s v="202601"/>
    <s v="1                   "/>
    <x v="208"/>
    <x v="13"/>
    <s v="FEVM45431   "/>
    <n v="336200"/>
    <x v="5"/>
    <n v="5"/>
    <d v="2026-01-23T00:00:00"/>
    <d v="2026-01-24T00:00:00"/>
    <x v="2"/>
    <x v="9"/>
    <s v="0    "/>
    <s v=""/>
    <n v="1"/>
  </r>
  <r>
    <s v="202601"/>
    <s v="98673091            "/>
    <x v="279"/>
    <x v="84"/>
    <s v="FEDC158147  "/>
    <n v="314426"/>
    <x v="3"/>
    <n v="5"/>
    <d v="2026-01-23T00:00:00"/>
    <d v="2026-02-22T00:00:00"/>
    <x v="44"/>
    <x v="13"/>
    <s v="0    "/>
    <s v="3206802136                    "/>
    <n v="30"/>
  </r>
  <r>
    <s v="202601"/>
    <s v="98673091            "/>
    <x v="279"/>
    <x v="84"/>
    <s v="FEDC158148  "/>
    <n v="630000"/>
    <x v="9"/>
    <n v="5"/>
    <d v="2026-01-23T00:00:00"/>
    <d v="2026-02-02T00:00:00"/>
    <x v="44"/>
    <x v="13"/>
    <s v="0    "/>
    <s v="3206802136                    "/>
    <n v="30"/>
  </r>
  <r>
    <s v="202601"/>
    <s v="1001159461          "/>
    <x v="280"/>
    <x v="63"/>
    <s v="FEDC158149  "/>
    <n v="840000"/>
    <x v="9"/>
    <n v="5"/>
    <d v="2026-01-23T00:00:00"/>
    <d v="2026-02-02T00:00:00"/>
    <x v="44"/>
    <x v="13"/>
    <s v="0    "/>
    <s v="3147480422                    "/>
    <n v="30"/>
  </r>
  <r>
    <s v="202601"/>
    <s v="1001159461          "/>
    <x v="280"/>
    <x v="63"/>
    <s v="FEDC158150  "/>
    <n v="165598"/>
    <x v="3"/>
    <n v="5"/>
    <d v="2026-01-23T00:00:00"/>
    <d v="2026-02-22T00:00:00"/>
    <x v="44"/>
    <x v="13"/>
    <s v="0    "/>
    <s v="3147480422                    "/>
    <n v="30"/>
  </r>
  <r>
    <s v="202601"/>
    <s v="1007452788          "/>
    <x v="191"/>
    <x v="63"/>
    <s v="FEDC158153  "/>
    <n v="2100000"/>
    <x v="9"/>
    <n v="5"/>
    <d v="2026-01-23T00:00:00"/>
    <d v="2026-02-02T00:00:00"/>
    <x v="44"/>
    <x v="13"/>
    <s v="0    "/>
    <s v="3137712482                    "/>
    <n v="30"/>
  </r>
  <r>
    <s v="202601"/>
    <s v="1037546996-1        "/>
    <x v="388"/>
    <x v="63"/>
    <s v="FEDC158154  "/>
    <n v="3548049"/>
    <x v="3"/>
    <n v="5"/>
    <d v="2026-01-23T00:00:00"/>
    <d v="2026-02-22T00:00:00"/>
    <x v="44"/>
    <x v="13"/>
    <s v="0    "/>
    <s v="3206411933                    "/>
    <n v="30"/>
  </r>
  <r>
    <s v="202601"/>
    <s v="78756186            "/>
    <x v="564"/>
    <x v="68"/>
    <s v="FEDC158179  "/>
    <n v="633575"/>
    <x v="5"/>
    <n v="5"/>
    <d v="2026-01-23T00:00:00"/>
    <d v="2026-01-24T00:00:00"/>
    <x v="48"/>
    <x v="8"/>
    <s v="0    "/>
    <s v="3135612550                    "/>
    <n v="30"/>
  </r>
  <r>
    <s v="202601"/>
    <s v="1037582300          "/>
    <x v="79"/>
    <x v="45"/>
    <s v="FEVM45424   "/>
    <n v="7800030"/>
    <x v="3"/>
    <n v="5"/>
    <d v="2026-01-23T00:00:00"/>
    <d v="2026-02-22T00:00:00"/>
    <x v="30"/>
    <x v="9"/>
    <s v="0    "/>
    <s v="3192610072     "/>
    <n v="30"/>
  </r>
  <r>
    <s v="202601"/>
    <s v="901523817-3         "/>
    <x v="97"/>
    <x v="52"/>
    <s v="FEDC158180  "/>
    <n v="7589050"/>
    <x v="3"/>
    <n v="5"/>
    <d v="2026-01-23T00:00:00"/>
    <d v="2026-02-22T00:00:00"/>
    <x v="41"/>
    <x v="8"/>
    <s v="0    "/>
    <s v="3126183068                    "/>
    <n v="30"/>
  </r>
  <r>
    <s v="202601"/>
    <s v="901523817-3         "/>
    <x v="97"/>
    <x v="52"/>
    <s v="FEDC158181  "/>
    <n v="2059042"/>
    <x v="3"/>
    <n v="5"/>
    <d v="2026-01-23T00:00:00"/>
    <d v="2026-02-22T00:00:00"/>
    <x v="41"/>
    <x v="8"/>
    <s v="0    "/>
    <s v="3126183068                    "/>
    <n v="30"/>
  </r>
  <r>
    <s v="202601"/>
    <s v="39301699-1          "/>
    <x v="136"/>
    <x v="65"/>
    <s v="FEDC158190  "/>
    <n v="2850000"/>
    <x v="3"/>
    <n v="5"/>
    <d v="2026-01-23T00:00:00"/>
    <d v="2026-02-22T00:00:00"/>
    <x v="45"/>
    <x v="9"/>
    <s v="0    "/>
    <s v="3127056442                    "/>
    <n v="30"/>
  </r>
  <r>
    <s v="202601"/>
    <s v="50881295            "/>
    <x v="102"/>
    <x v="56"/>
    <s v="FEDC158200  "/>
    <n v="816001"/>
    <x v="3"/>
    <n v="5"/>
    <d v="2026-01-23T00:00:00"/>
    <d v="2026-02-22T00:00:00"/>
    <x v="43"/>
    <x v="9"/>
    <s v="0    "/>
    <s v="3145338156     "/>
    <n v="30"/>
  </r>
  <r>
    <s v="202601"/>
    <s v="1007123293          "/>
    <x v="565"/>
    <x v="13"/>
    <s v="FEDC158216  "/>
    <n v="1050000"/>
    <x v="9"/>
    <n v="4"/>
    <d v="2026-01-24T00:00:00"/>
    <d v="2026-02-03T00:00:00"/>
    <x v="18"/>
    <x v="13"/>
    <s v="0    "/>
    <s v="3215615966 - 3116312773       "/>
    <n v="30"/>
  </r>
  <r>
    <s v="202601"/>
    <s v="1038129599          "/>
    <x v="251"/>
    <x v="13"/>
    <s v="FEDC158217  "/>
    <n v="1147198"/>
    <x v="3"/>
    <n v="4"/>
    <d v="2026-01-24T00:00:00"/>
    <d v="2026-02-23T00:00:00"/>
    <x v="18"/>
    <x v="13"/>
    <s v="0    "/>
    <s v="3208613025                    "/>
    <n v="30"/>
  </r>
  <r>
    <s v="202601"/>
    <s v="1038129599          "/>
    <x v="251"/>
    <x v="13"/>
    <s v="FEDC158218  "/>
    <n v="1643914"/>
    <x v="3"/>
    <n v="4"/>
    <d v="2026-01-24T00:00:00"/>
    <d v="2026-02-23T00:00:00"/>
    <x v="18"/>
    <x v="13"/>
    <s v="0    "/>
    <s v="3208613025                    "/>
    <n v="30"/>
  </r>
  <r>
    <s v="202601"/>
    <s v="1038129599          "/>
    <x v="251"/>
    <x v="13"/>
    <s v="FEDC158219  "/>
    <n v="4200000"/>
    <x v="9"/>
    <n v="4"/>
    <d v="2026-01-24T00:00:00"/>
    <d v="2026-02-03T00:00:00"/>
    <x v="18"/>
    <x v="13"/>
    <s v="0    "/>
    <s v="3208613025                    "/>
    <n v="30"/>
  </r>
  <r>
    <s v="202601"/>
    <s v="1038129599          "/>
    <x v="251"/>
    <x v="13"/>
    <s v="FEDC158220  "/>
    <n v="655200"/>
    <x v="9"/>
    <n v="4"/>
    <d v="2026-01-24T00:00:00"/>
    <d v="2026-02-03T00:00:00"/>
    <x v="18"/>
    <x v="13"/>
    <s v="0    "/>
    <s v="3208613025                    "/>
    <n v="30"/>
  </r>
  <r>
    <s v="202601"/>
    <s v="8201122             "/>
    <x v="394"/>
    <x v="13"/>
    <s v="FEDC158221  "/>
    <n v="903001"/>
    <x v="3"/>
    <n v="4"/>
    <d v="2026-01-24T00:00:00"/>
    <d v="2026-02-23T00:00:00"/>
    <x v="18"/>
    <x v="4"/>
    <s v="0    "/>
    <s v="3016106394 -8380269           "/>
    <n v="30"/>
  </r>
  <r>
    <s v="202601"/>
    <s v="15047058            "/>
    <x v="226"/>
    <x v="37"/>
    <s v="FEDC158222  "/>
    <n v="1632948"/>
    <x v="3"/>
    <n v="4"/>
    <d v="2026-01-24T00:00:00"/>
    <d v="2026-02-23T00:00:00"/>
    <x v="18"/>
    <x v="13"/>
    <s v="0    "/>
    <s v="3226993920     "/>
    <n v="30"/>
  </r>
  <r>
    <s v="202601"/>
    <s v="1038132717-8        "/>
    <x v="566"/>
    <x v="13"/>
    <s v="FEDC158223  "/>
    <n v="357034"/>
    <x v="5"/>
    <n v="4"/>
    <d v="2026-01-24T00:00:00"/>
    <d v="2026-01-25T00:00:00"/>
    <x v="18"/>
    <x v="13"/>
    <s v="0    "/>
    <s v="3104258530                    "/>
    <n v="30"/>
  </r>
  <r>
    <s v="202601"/>
    <s v="15047058            "/>
    <x v="226"/>
    <x v="37"/>
    <s v="FEDC158224  "/>
    <n v="184812"/>
    <x v="3"/>
    <n v="4"/>
    <d v="2026-01-24T00:00:00"/>
    <d v="2026-02-23T00:00:00"/>
    <x v="18"/>
    <x v="13"/>
    <s v="0    "/>
    <s v="3226993920     "/>
    <n v="30"/>
  </r>
  <r>
    <s v="202601"/>
    <s v="98654596            "/>
    <x v="567"/>
    <x v="13"/>
    <s v="FEDC158226  "/>
    <n v="186942"/>
    <x v="5"/>
    <n v="4"/>
    <d v="2026-01-24T00:00:00"/>
    <d v="2026-01-25T00:00:00"/>
    <x v="18"/>
    <x v="10"/>
    <s v="0    "/>
    <s v="3206682979                    "/>
    <n v="1"/>
  </r>
  <r>
    <s v="202601"/>
    <s v="98654596            "/>
    <x v="567"/>
    <x v="13"/>
    <s v="FEDC158227  "/>
    <n v="137878"/>
    <x v="5"/>
    <n v="4"/>
    <d v="2026-01-24T00:00:00"/>
    <d v="2026-01-25T00:00:00"/>
    <x v="18"/>
    <x v="10"/>
    <s v="0    "/>
    <s v="3206682979                    "/>
    <n v="1"/>
  </r>
  <r>
    <s v="202601"/>
    <s v="50884589            "/>
    <x v="568"/>
    <x v="37"/>
    <s v="FEDC158228  "/>
    <n v="124507"/>
    <x v="5"/>
    <n v="4"/>
    <d v="2026-01-24T00:00:00"/>
    <d v="2026-01-25T00:00:00"/>
    <x v="18"/>
    <x v="10"/>
    <s v="0    "/>
    <s v="3148814640                    "/>
    <n v="25"/>
  </r>
  <r>
    <s v="202601"/>
    <s v="98529927            "/>
    <x v="569"/>
    <x v="37"/>
    <s v="FEDC158229  "/>
    <n v="240899"/>
    <x v="1"/>
    <n v="4"/>
    <d v="2026-01-24T00:00:00"/>
    <d v="2026-02-08T00:00:00"/>
    <x v="18"/>
    <x v="10"/>
    <s v="0    "/>
    <s v="3136503420"/>
    <n v="30"/>
  </r>
  <r>
    <s v="202601"/>
    <s v="98457431            "/>
    <x v="570"/>
    <x v="37"/>
    <s v="FEDC158230  "/>
    <n v="180790"/>
    <x v="5"/>
    <n v="4"/>
    <d v="2026-01-24T00:00:00"/>
    <d v="2026-01-25T00:00:00"/>
    <x v="18"/>
    <x v="10"/>
    <s v="0    "/>
    <s v="8398039"/>
    <n v="8"/>
  </r>
  <r>
    <s v="202601"/>
    <s v="1069479440          "/>
    <x v="395"/>
    <x v="13"/>
    <s v="FEDC158231  "/>
    <n v="48419"/>
    <x v="5"/>
    <n v="4"/>
    <d v="2026-01-24T00:00:00"/>
    <d v="2026-01-25T00:00:00"/>
    <x v="18"/>
    <x v="10"/>
    <s v="0    "/>
    <s v="3135607209                    "/>
    <n v="15"/>
  </r>
  <r>
    <s v="202601"/>
    <s v="15309128            "/>
    <x v="571"/>
    <x v="13"/>
    <s v="FEDC158232  "/>
    <n v="382020"/>
    <x v="10"/>
    <n v="4"/>
    <d v="2026-01-24T00:00:00"/>
    <d v="2026-02-01T00:00:00"/>
    <x v="18"/>
    <x v="10"/>
    <s v="0    "/>
    <s v="3103557354                    "/>
    <n v="1"/>
  </r>
  <r>
    <s v="202601"/>
    <s v="15309128            "/>
    <x v="571"/>
    <x v="13"/>
    <s v="FEDC158233  "/>
    <n v="42969"/>
    <x v="10"/>
    <n v="4"/>
    <d v="2026-01-24T00:00:00"/>
    <d v="2026-02-01T00:00:00"/>
    <x v="18"/>
    <x v="10"/>
    <s v="0    "/>
    <s v="3103557354                    "/>
    <n v="1"/>
  </r>
  <r>
    <s v="202601"/>
    <s v="1001550501          "/>
    <x v="367"/>
    <x v="13"/>
    <s v="FEDC158234  "/>
    <n v="256000"/>
    <x v="3"/>
    <n v="4"/>
    <d v="2026-01-24T00:00:00"/>
    <d v="2026-02-23T00:00:00"/>
    <x v="18"/>
    <x v="10"/>
    <s v="0    "/>
    <s v="3135895215                    "/>
    <n v="30"/>
  </r>
  <r>
    <s v="202601"/>
    <s v="78320540            "/>
    <x v="572"/>
    <x v="13"/>
    <s v="FEDC158235  "/>
    <n v="210000"/>
    <x v="5"/>
    <n v="4"/>
    <d v="2026-01-24T00:00:00"/>
    <d v="2026-01-25T00:00:00"/>
    <x v="18"/>
    <x v="10"/>
    <s v="0    "/>
    <s v="3218049955                    "/>
    <n v="30"/>
  </r>
  <r>
    <s v="202601"/>
    <s v="1                   "/>
    <x v="208"/>
    <x v="13"/>
    <s v="FEDC158236  "/>
    <n v="436500"/>
    <x v="5"/>
    <n v="4"/>
    <d v="2026-01-24T00:00:00"/>
    <d v="2026-01-25T00:00:00"/>
    <x v="18"/>
    <x v="10"/>
    <s v="0    "/>
    <s v=""/>
    <n v="1"/>
  </r>
  <r>
    <s v="202601"/>
    <s v="1103673905          "/>
    <x v="573"/>
    <x v="13"/>
    <s v="FEDC158237  "/>
    <n v="420000"/>
    <x v="10"/>
    <n v="4"/>
    <d v="2026-01-24T00:00:00"/>
    <d v="2026-02-01T00:00:00"/>
    <x v="18"/>
    <x v="6"/>
    <s v="0    "/>
    <s v="3234882550                    "/>
    <n v="8"/>
  </r>
  <r>
    <s v="202601"/>
    <s v="1                   "/>
    <x v="208"/>
    <x v="13"/>
    <s v="FEDC158238  "/>
    <n v="1524350"/>
    <x v="5"/>
    <n v="4"/>
    <d v="2026-01-24T00:00:00"/>
    <d v="2026-01-25T00:00:00"/>
    <x v="18"/>
    <x v="6"/>
    <s v="0    "/>
    <s v=""/>
    <n v="1"/>
  </r>
  <r>
    <s v="202601"/>
    <s v="3443977             "/>
    <x v="351"/>
    <x v="37"/>
    <s v="FEDC158239  "/>
    <n v="1123100"/>
    <x v="3"/>
    <n v="4"/>
    <d v="2026-01-24T00:00:00"/>
    <d v="2026-02-23T00:00:00"/>
    <x v="18"/>
    <x v="13"/>
    <s v="0    "/>
    <s v="8394641"/>
    <n v="30"/>
  </r>
  <r>
    <s v="202601"/>
    <s v="15047058            "/>
    <x v="226"/>
    <x v="37"/>
    <s v="FEDC158257  "/>
    <n v="57576"/>
    <x v="3"/>
    <n v="4"/>
    <d v="2026-01-24T00:00:00"/>
    <d v="2026-02-23T00:00:00"/>
    <x v="18"/>
    <x v="13"/>
    <s v="0    "/>
    <s v="3226993920     "/>
    <n v="30"/>
  </r>
  <r>
    <s v="202601"/>
    <s v="1001158630          "/>
    <x v="574"/>
    <x v="63"/>
    <s v="FEVM45504   "/>
    <n v="85849"/>
    <x v="5"/>
    <n v="4"/>
    <d v="2026-01-24T00:00:00"/>
    <d v="2026-01-25T00:00:00"/>
    <x v="18"/>
    <x v="6"/>
    <s v="0    "/>
    <s v="3105835363-3135439826         "/>
    <n v="1"/>
  </r>
  <r>
    <s v="202601"/>
    <s v="1001158630          "/>
    <x v="574"/>
    <x v="63"/>
    <s v="FEVM45505   "/>
    <n v="630000"/>
    <x v="5"/>
    <n v="4"/>
    <d v="2026-01-24T00:00:00"/>
    <d v="2026-01-25T00:00:00"/>
    <x v="18"/>
    <x v="6"/>
    <s v="0    "/>
    <s v="3105835363-3135439826         "/>
    <n v="1"/>
  </r>
  <r>
    <s v="202601"/>
    <s v="1193553330          "/>
    <x v="575"/>
    <x v="23"/>
    <s v="FEVM45512   "/>
    <n v="54296"/>
    <x v="5"/>
    <n v="4"/>
    <d v="2026-01-24T00:00:00"/>
    <d v="2026-01-25T00:00:00"/>
    <x v="18"/>
    <x v="6"/>
    <s v="0    "/>
    <s v="3108903375                    "/>
    <n v="1"/>
  </r>
  <r>
    <s v="202601"/>
    <s v="1045436169          "/>
    <x v="576"/>
    <x v="53"/>
    <s v="FEVM45462   "/>
    <n v="155123"/>
    <x v="5"/>
    <n v="4"/>
    <d v="2026-01-24T00:00:00"/>
    <d v="2026-01-25T00:00:00"/>
    <x v="10"/>
    <x v="6"/>
    <s v="0    "/>
    <s v="3104311381                    "/>
    <n v="1"/>
  </r>
  <r>
    <s v="202601"/>
    <s v="1045425560          "/>
    <x v="577"/>
    <x v="53"/>
    <s v="FEVM45470   "/>
    <n v="65430"/>
    <x v="5"/>
    <n v="4"/>
    <d v="2026-01-24T00:00:00"/>
    <d v="2026-01-25T00:00:00"/>
    <x v="10"/>
    <x v="6"/>
    <s v="0    "/>
    <s v="3207448218                    "/>
    <n v="1"/>
  </r>
  <r>
    <s v="202601"/>
    <s v="32116048            "/>
    <x v="578"/>
    <x v="53"/>
    <s v="FEVM45471   "/>
    <n v="80099"/>
    <x v="5"/>
    <n v="4"/>
    <d v="2026-01-24T00:00:00"/>
    <d v="2026-01-25T00:00:00"/>
    <x v="10"/>
    <x v="6"/>
    <s v="0    "/>
    <s v="3117164941                    "/>
    <n v="1"/>
  </r>
  <r>
    <s v="202601"/>
    <s v="1                   "/>
    <x v="208"/>
    <x v="13"/>
    <s v="FEVM45472   "/>
    <n v="42800"/>
    <x v="5"/>
    <n v="4"/>
    <d v="2026-01-24T00:00:00"/>
    <d v="2026-01-25T00:00:00"/>
    <x v="10"/>
    <x v="6"/>
    <s v="0    "/>
    <s v=""/>
    <n v="1"/>
  </r>
  <r>
    <s v="202601"/>
    <s v="1                   "/>
    <x v="208"/>
    <x v="13"/>
    <s v="FEVM45473   "/>
    <n v="67481"/>
    <x v="5"/>
    <n v="4"/>
    <d v="2026-01-24T00:00:00"/>
    <d v="2026-01-25T00:00:00"/>
    <x v="10"/>
    <x v="6"/>
    <s v="0    "/>
    <s v=""/>
    <n v="1"/>
  </r>
  <r>
    <s v="202601"/>
    <s v="1010142418          "/>
    <x v="579"/>
    <x v="19"/>
    <s v="FEDC158225  "/>
    <n v="1249928"/>
    <x v="3"/>
    <n v="4"/>
    <d v="2026-01-24T00:00:00"/>
    <d v="2026-02-23T00:00:00"/>
    <x v="22"/>
    <x v="10"/>
    <s v="0    "/>
    <s v="3135743644                    "/>
    <n v="30"/>
  </r>
  <r>
    <s v="202601"/>
    <s v="21588590            "/>
    <x v="580"/>
    <x v="66"/>
    <s v="FEVM45463   "/>
    <n v="38901"/>
    <x v="5"/>
    <n v="4"/>
    <d v="2026-01-24T00:00:00"/>
    <d v="2026-01-25T00:00:00"/>
    <x v="13"/>
    <x v="6"/>
    <s v="0    "/>
    <s v="3104747044                    "/>
    <n v="1"/>
  </r>
  <r>
    <s v="202601"/>
    <s v="21588453            "/>
    <x v="581"/>
    <x v="66"/>
    <s v="FEVM45464   "/>
    <n v="42800"/>
    <x v="5"/>
    <n v="4"/>
    <d v="2026-01-24T00:00:00"/>
    <d v="2026-01-25T00:00:00"/>
    <x v="13"/>
    <x v="6"/>
    <s v="0    "/>
    <s v="3004094829     "/>
    <n v="30"/>
  </r>
  <r>
    <s v="202601"/>
    <s v="21588590            "/>
    <x v="580"/>
    <x v="66"/>
    <s v="FEVM45465   "/>
    <n v="85600"/>
    <x v="5"/>
    <n v="4"/>
    <d v="2026-01-24T00:00:00"/>
    <d v="2026-01-25T00:00:00"/>
    <x v="13"/>
    <x v="6"/>
    <s v="0    "/>
    <s v="3104747044                    "/>
    <n v="1"/>
  </r>
  <r>
    <s v="202601"/>
    <s v="21588590            "/>
    <x v="580"/>
    <x v="66"/>
    <s v="FEVM45466   "/>
    <n v="53721"/>
    <x v="5"/>
    <n v="4"/>
    <d v="2026-01-24T00:00:00"/>
    <d v="2026-01-25T00:00:00"/>
    <x v="13"/>
    <x v="6"/>
    <s v="0    "/>
    <s v="3104747044                    "/>
    <n v="1"/>
  </r>
  <r>
    <s v="202601"/>
    <s v="1032250305          "/>
    <x v="582"/>
    <x v="66"/>
    <s v="FEVM45467   "/>
    <n v="440389"/>
    <x v="1"/>
    <n v="4"/>
    <d v="2026-01-24T00:00:00"/>
    <d v="2026-02-08T00:00:00"/>
    <x v="13"/>
    <x v="6"/>
    <s v="0    "/>
    <s v="3105397163                    "/>
    <n v="30"/>
  </r>
  <r>
    <s v="202601"/>
    <s v="1                   "/>
    <x v="208"/>
    <x v="13"/>
    <s v="FEVM45513   "/>
    <n v="88049"/>
    <x v="5"/>
    <n v="4"/>
    <d v="2026-01-24T00:00:00"/>
    <d v="2026-01-25T00:00:00"/>
    <x v="13"/>
    <x v="6"/>
    <s v="0    "/>
    <s v=""/>
    <n v="1"/>
  </r>
  <r>
    <s v="202601"/>
    <s v="78302612            "/>
    <x v="110"/>
    <x v="2"/>
    <s v="FEDC158247  "/>
    <n v="16141541"/>
    <x v="3"/>
    <n v="4"/>
    <d v="2026-01-24T00:00:00"/>
    <d v="2026-02-23T00:00:00"/>
    <x v="1"/>
    <x v="12"/>
    <s v="0    "/>
    <s v="3126603940 -3041037151        "/>
    <n v="30"/>
  </r>
  <r>
    <s v="202601"/>
    <s v="15678336            "/>
    <x v="459"/>
    <x v="2"/>
    <s v="FEVM45488   "/>
    <n v="128769"/>
    <x v="10"/>
    <n v="4"/>
    <d v="2026-01-24T00:00:00"/>
    <d v="2026-02-01T00:00:00"/>
    <x v="1"/>
    <x v="3"/>
    <s v="0    "/>
    <s v="3145552342"/>
    <n v="8"/>
  </r>
  <r>
    <s v="202601"/>
    <s v="8047390             "/>
    <x v="461"/>
    <x v="2"/>
    <s v="FEVM45489   "/>
    <n v="442927"/>
    <x v="1"/>
    <n v="4"/>
    <d v="2026-01-24T00:00:00"/>
    <d v="2026-02-08T00:00:00"/>
    <x v="1"/>
    <x v="3"/>
    <s v="0    "/>
    <s v="3126589307                    "/>
    <n v="15"/>
  </r>
  <r>
    <s v="202601"/>
    <s v="1063356855          "/>
    <x v="380"/>
    <x v="24"/>
    <s v="FEVM45485   "/>
    <n v="135948"/>
    <x v="1"/>
    <n v="4"/>
    <d v="2026-01-24T00:00:00"/>
    <d v="2026-02-08T00:00:00"/>
    <x v="24"/>
    <x v="3"/>
    <s v="0    "/>
    <s v="3004133365     "/>
    <n v="30"/>
  </r>
  <r>
    <s v="202601"/>
    <s v="64558845            "/>
    <x v="583"/>
    <x v="44"/>
    <s v="FEVM45486   "/>
    <n v="41278"/>
    <x v="5"/>
    <n v="4"/>
    <d v="2026-01-24T00:00:00"/>
    <d v="2026-01-25T00:00:00"/>
    <x v="24"/>
    <x v="3"/>
    <s v="0    "/>
    <s v="3137162920"/>
    <n v="0"/>
  </r>
  <r>
    <s v="202601"/>
    <s v="64558845            "/>
    <x v="583"/>
    <x v="44"/>
    <s v="FEVM45487   "/>
    <n v="45500"/>
    <x v="5"/>
    <n v="4"/>
    <d v="2026-01-24T00:00:00"/>
    <d v="2026-01-25T00:00:00"/>
    <x v="24"/>
    <x v="3"/>
    <s v="0    "/>
    <s v="3137162920"/>
    <n v="0"/>
  </r>
  <r>
    <s v="202601"/>
    <s v="1040738467          "/>
    <x v="584"/>
    <x v="24"/>
    <s v="FEVM45490   "/>
    <n v="53329"/>
    <x v="5"/>
    <n v="4"/>
    <d v="2026-01-24T00:00:00"/>
    <d v="2026-01-25T00:00:00"/>
    <x v="24"/>
    <x v="3"/>
    <s v="0    "/>
    <s v="3023227525     "/>
    <n v="30"/>
  </r>
  <r>
    <s v="202601"/>
    <s v="98652204            "/>
    <x v="463"/>
    <x v="44"/>
    <s v="FEVM45491   "/>
    <n v="139436"/>
    <x v="1"/>
    <n v="4"/>
    <d v="2026-01-24T00:00:00"/>
    <d v="2026-02-08T00:00:00"/>
    <x v="24"/>
    <x v="3"/>
    <s v="0    "/>
    <s v="3126851961"/>
    <n v="15"/>
  </r>
  <r>
    <s v="202601"/>
    <s v="1063355493          "/>
    <x v="585"/>
    <x v="44"/>
    <s v="FEVM45492   "/>
    <n v="45581"/>
    <x v="5"/>
    <n v="4"/>
    <d v="2026-01-24T00:00:00"/>
    <d v="2026-01-25T00:00:00"/>
    <x v="24"/>
    <x v="3"/>
    <s v="0    "/>
    <s v="3145354963     "/>
    <n v="30"/>
  </r>
  <r>
    <s v="202601"/>
    <s v="50997550            "/>
    <x v="586"/>
    <x v="24"/>
    <s v="FEVM45493   "/>
    <n v="56270"/>
    <x v="5"/>
    <n v="4"/>
    <d v="2026-01-24T00:00:00"/>
    <d v="2026-01-25T00:00:00"/>
    <x v="24"/>
    <x v="3"/>
    <s v="0    "/>
    <s v="3105416513     "/>
    <n v="30"/>
  </r>
  <r>
    <s v="202601"/>
    <s v="10875659            "/>
    <x v="587"/>
    <x v="23"/>
    <s v="FEVM45474   "/>
    <n v="225510"/>
    <x v="5"/>
    <n v="4"/>
    <d v="2026-01-24T00:00:00"/>
    <d v="2026-01-25T00:00:00"/>
    <x v="23"/>
    <x v="6"/>
    <s v="0    "/>
    <s v="3145360102                    "/>
    <n v="0"/>
  </r>
  <r>
    <s v="202601"/>
    <s v="1032253305          "/>
    <x v="588"/>
    <x v="23"/>
    <s v="FEVM45475   "/>
    <n v="120366"/>
    <x v="5"/>
    <n v="4"/>
    <d v="2026-01-24T00:00:00"/>
    <d v="2026-01-25T00:00:00"/>
    <x v="23"/>
    <x v="6"/>
    <s v="0    "/>
    <s v="3146384406                    "/>
    <n v="30"/>
  </r>
  <r>
    <s v="202601"/>
    <s v="1032253305          "/>
    <x v="588"/>
    <x v="23"/>
    <s v="FEVM45476   "/>
    <n v="41500"/>
    <x v="5"/>
    <n v="4"/>
    <d v="2026-01-24T00:00:00"/>
    <d v="2026-01-25T00:00:00"/>
    <x v="23"/>
    <x v="6"/>
    <s v="0    "/>
    <s v="3146384406                    "/>
    <n v="30"/>
  </r>
  <r>
    <s v="202601"/>
    <s v="1032253305          "/>
    <x v="588"/>
    <x v="23"/>
    <s v="FEVM45477   "/>
    <n v="85600"/>
    <x v="5"/>
    <n v="4"/>
    <d v="2026-01-24T00:00:00"/>
    <d v="2026-01-25T00:00:00"/>
    <x v="23"/>
    <x v="6"/>
    <s v="0    "/>
    <s v="3146384406                    "/>
    <n v="30"/>
  </r>
  <r>
    <s v="202601"/>
    <s v="98673189            "/>
    <x v="589"/>
    <x v="23"/>
    <s v="FEVM45478   "/>
    <n v="114600"/>
    <x v="5"/>
    <n v="4"/>
    <d v="2026-01-24T00:00:00"/>
    <d v="2026-01-25T00:00:00"/>
    <x v="23"/>
    <x v="6"/>
    <s v="0    "/>
    <s v="3148850882                    "/>
    <n v="30"/>
  </r>
  <r>
    <s v="202601"/>
    <s v="98673189            "/>
    <x v="589"/>
    <x v="23"/>
    <s v="FEVM45479   "/>
    <n v="74322"/>
    <x v="5"/>
    <n v="4"/>
    <d v="2026-01-24T00:00:00"/>
    <d v="2026-01-25T00:00:00"/>
    <x v="23"/>
    <x v="6"/>
    <s v="0    "/>
    <s v="3148850882                    "/>
    <n v="30"/>
  </r>
  <r>
    <s v="202601"/>
    <s v="70350393            "/>
    <x v="590"/>
    <x v="23"/>
    <s v="FEVM45480   "/>
    <n v="316197"/>
    <x v="5"/>
    <n v="4"/>
    <d v="2026-01-24T00:00:00"/>
    <d v="2026-01-25T00:00:00"/>
    <x v="23"/>
    <x v="6"/>
    <s v="0    "/>
    <s v="3226460238                    "/>
    <n v="1"/>
  </r>
  <r>
    <s v="202601"/>
    <s v="1193553330          "/>
    <x v="575"/>
    <x v="23"/>
    <s v="FEVM45481   "/>
    <n v="472796"/>
    <x v="5"/>
    <n v="4"/>
    <d v="2026-01-24T00:00:00"/>
    <d v="2026-01-25T00:00:00"/>
    <x v="23"/>
    <x v="6"/>
    <s v="0    "/>
    <s v="3108903375                    "/>
    <n v="1"/>
  </r>
  <r>
    <s v="202601"/>
    <s v="98674020            "/>
    <x v="591"/>
    <x v="99"/>
    <s v="FEVM45482   "/>
    <n v="175843"/>
    <x v="5"/>
    <n v="4"/>
    <d v="2026-01-24T00:00:00"/>
    <d v="2026-01-25T00:00:00"/>
    <x v="23"/>
    <x v="6"/>
    <s v="0    "/>
    <s v="3203328746     "/>
    <n v="30"/>
  </r>
  <r>
    <s v="202601"/>
    <s v="39285901            "/>
    <x v="592"/>
    <x v="99"/>
    <s v="FEVM45483   "/>
    <n v="100951"/>
    <x v="5"/>
    <n v="4"/>
    <d v="2026-01-24T00:00:00"/>
    <d v="2026-01-25T00:00:00"/>
    <x v="23"/>
    <x v="6"/>
    <s v="0    "/>
    <s v="3147912577"/>
    <n v="1"/>
  </r>
  <r>
    <s v="202601"/>
    <s v="1045016161          "/>
    <x v="593"/>
    <x v="23"/>
    <s v="FEVM45484   "/>
    <n v="63432"/>
    <x v="5"/>
    <n v="4"/>
    <d v="2026-01-24T00:00:00"/>
    <d v="2026-01-25T00:00:00"/>
    <x v="23"/>
    <x v="6"/>
    <s v="0    "/>
    <s v="3164517667                    "/>
    <n v="0"/>
  </r>
  <r>
    <s v="202601"/>
    <s v="1017250028          "/>
    <x v="594"/>
    <x v="23"/>
    <s v="FEVM45497   "/>
    <n v="148450"/>
    <x v="5"/>
    <n v="4"/>
    <d v="2026-01-24T00:00:00"/>
    <d v="2026-01-25T00:00:00"/>
    <x v="23"/>
    <x v="6"/>
    <s v="0    "/>
    <s v="3137504629                    "/>
    <n v="1"/>
  </r>
  <r>
    <s v="202601"/>
    <s v="1192913908          "/>
    <x v="595"/>
    <x v="23"/>
    <s v="FEVM45498   "/>
    <n v="438621"/>
    <x v="3"/>
    <n v="4"/>
    <d v="2026-01-24T00:00:00"/>
    <d v="2026-02-23T00:00:00"/>
    <x v="23"/>
    <x v="6"/>
    <s v="0    "/>
    <s v="3127099580                    "/>
    <n v="30"/>
  </r>
  <r>
    <s v="202601"/>
    <s v="1192913908          "/>
    <x v="595"/>
    <x v="23"/>
    <s v="FEVM45499   "/>
    <n v="191220"/>
    <x v="5"/>
    <n v="4"/>
    <d v="2026-01-24T00:00:00"/>
    <d v="2026-01-25T00:00:00"/>
    <x v="23"/>
    <x v="6"/>
    <s v="0    "/>
    <s v="3127099580                    "/>
    <n v="30"/>
  </r>
  <r>
    <s v="202601"/>
    <s v="1                   "/>
    <x v="208"/>
    <x v="13"/>
    <s v="FEVM45500   "/>
    <n v="230053"/>
    <x v="5"/>
    <n v="4"/>
    <d v="2026-01-24T00:00:00"/>
    <d v="2026-01-25T00:00:00"/>
    <x v="23"/>
    <x v="6"/>
    <s v="0    "/>
    <s v=""/>
    <n v="1"/>
  </r>
  <r>
    <s v="202601"/>
    <s v="1                   "/>
    <x v="208"/>
    <x v="13"/>
    <s v="FEVM45501   "/>
    <n v="79723"/>
    <x v="5"/>
    <n v="4"/>
    <d v="2026-01-24T00:00:00"/>
    <d v="2026-01-25T00:00:00"/>
    <x v="23"/>
    <x v="6"/>
    <s v="0    "/>
    <s v=""/>
    <n v="1"/>
  </r>
  <r>
    <s v="202601"/>
    <s v="43893522            "/>
    <x v="596"/>
    <x v="23"/>
    <s v="FEVM45515   "/>
    <n v="155654"/>
    <x v="5"/>
    <n v="4"/>
    <d v="2026-01-24T00:00:00"/>
    <d v="2026-01-25T00:00:00"/>
    <x v="23"/>
    <x v="6"/>
    <s v="0    "/>
    <s v="3128192314                    "/>
    <n v="1"/>
  </r>
  <r>
    <s v="202601"/>
    <s v="39460950            "/>
    <x v="597"/>
    <x v="23"/>
    <s v="FEVM45518   "/>
    <n v="344404"/>
    <x v="5"/>
    <n v="4"/>
    <d v="2026-01-24T00:00:00"/>
    <d v="2026-01-25T00:00:00"/>
    <x v="23"/>
    <x v="6"/>
    <s v="0    "/>
    <s v="3235877490                    "/>
    <n v="1"/>
  </r>
  <r>
    <s v="202601"/>
    <s v="15309183            "/>
    <x v="152"/>
    <x v="70"/>
    <s v="FEDC158208  "/>
    <n v="916699"/>
    <x v="3"/>
    <n v="4"/>
    <d v="2026-01-24T00:00:00"/>
    <d v="2026-02-23T00:00:00"/>
    <x v="35"/>
    <x v="12"/>
    <s v="0    "/>
    <s v="3217254890                    "/>
    <n v="30"/>
  </r>
  <r>
    <s v="202601"/>
    <s v="15324575            "/>
    <x v="330"/>
    <x v="70"/>
    <s v="FEDC158210  "/>
    <n v="850000"/>
    <x v="3"/>
    <n v="4"/>
    <d v="2026-01-24T00:00:00"/>
    <d v="2026-02-23T00:00:00"/>
    <x v="35"/>
    <x v="12"/>
    <s v="0    "/>
    <s v="3128662890     "/>
    <n v="30"/>
  </r>
  <r>
    <s v="202601"/>
    <s v="1193127295          "/>
    <x v="212"/>
    <x v="76"/>
    <s v="FEDC158211  "/>
    <n v="302451"/>
    <x v="1"/>
    <n v="4"/>
    <d v="2026-01-24T00:00:00"/>
    <d v="2026-02-08T00:00:00"/>
    <x v="35"/>
    <x v="12"/>
    <s v="0    "/>
    <s v="3212393367                    "/>
    <n v="15"/>
  </r>
  <r>
    <s v="202601"/>
    <s v="1063305805          "/>
    <x v="598"/>
    <x v="76"/>
    <s v="FEDC158212  "/>
    <n v="840000"/>
    <x v="10"/>
    <n v="4"/>
    <d v="2026-01-24T00:00:00"/>
    <d v="2026-02-01T00:00:00"/>
    <x v="35"/>
    <x v="12"/>
    <s v="0    "/>
    <s v="3232908189                    "/>
    <n v="15"/>
  </r>
  <r>
    <s v="202601"/>
    <s v="1066571375          "/>
    <x v="599"/>
    <x v="76"/>
    <s v="FEDC158213  "/>
    <n v="495587"/>
    <x v="5"/>
    <n v="4"/>
    <d v="2026-01-24T00:00:00"/>
    <d v="2026-01-25T00:00:00"/>
    <x v="35"/>
    <x v="12"/>
    <s v="0    "/>
    <s v="3147592845                    "/>
    <n v="1"/>
  </r>
  <r>
    <s v="202601"/>
    <s v="78105571            "/>
    <x v="382"/>
    <x v="70"/>
    <s v="FEDC158214  "/>
    <n v="140750"/>
    <x v="3"/>
    <n v="4"/>
    <d v="2026-01-24T00:00:00"/>
    <d v="2026-02-23T00:00:00"/>
    <x v="35"/>
    <x v="12"/>
    <s v="0    "/>
    <s v="3136957750     "/>
    <n v="30"/>
  </r>
  <r>
    <s v="202601"/>
    <s v="1032252245          "/>
    <x v="600"/>
    <x v="100"/>
    <s v="FEVM45468   "/>
    <n v="420000"/>
    <x v="5"/>
    <n v="4"/>
    <d v="2026-01-24T00:00:00"/>
    <d v="2026-01-25T00:00:00"/>
    <x v="54"/>
    <x v="6"/>
    <s v="0    "/>
    <s v="3136896307                    "/>
    <n v="30"/>
  </r>
  <r>
    <s v="202601"/>
    <s v="1032252245          "/>
    <x v="600"/>
    <x v="100"/>
    <s v="FEVM45469   "/>
    <n v="83000"/>
    <x v="5"/>
    <n v="4"/>
    <d v="2026-01-24T00:00:00"/>
    <d v="2026-01-25T00:00:00"/>
    <x v="54"/>
    <x v="6"/>
    <s v="0    "/>
    <s v="3136896307                    "/>
    <n v="30"/>
  </r>
  <r>
    <s v="202601"/>
    <s v="1                   "/>
    <x v="208"/>
    <x v="13"/>
    <s v="FEVM45514   "/>
    <n v="127361"/>
    <x v="5"/>
    <n v="4"/>
    <d v="2026-01-24T00:00:00"/>
    <d v="2026-01-25T00:00:00"/>
    <x v="54"/>
    <x v="6"/>
    <s v="0    "/>
    <s v=""/>
    <n v="1"/>
  </r>
  <r>
    <s v="202601"/>
    <s v="3672849             "/>
    <x v="173"/>
    <x v="71"/>
    <s v="FEDC158261  "/>
    <n v="26840"/>
    <x v="14"/>
    <n v="4"/>
    <d v="2026-01-24T00:00:00"/>
    <d v="2026-02-12T00:00:00"/>
    <x v="49"/>
    <x v="1"/>
    <s v="0    "/>
    <s v="3148749298 -8385366           "/>
    <n v="30"/>
  </r>
  <r>
    <s v="202601"/>
    <s v="1026569148          "/>
    <x v="196"/>
    <x v="60"/>
    <s v="FEDC158251  "/>
    <n v="5055000"/>
    <x v="3"/>
    <n v="4"/>
    <d v="2026-01-24T00:00:00"/>
    <d v="2026-02-23T00:00:00"/>
    <x v="9"/>
    <x v="1"/>
    <s v="0    "/>
    <s v="3135069525     "/>
    <n v="30"/>
  </r>
  <r>
    <s v="202601"/>
    <s v="8203925             "/>
    <x v="300"/>
    <x v="12"/>
    <s v="FEDC158252  "/>
    <n v="9348000"/>
    <x v="3"/>
    <n v="4"/>
    <d v="2026-01-24T00:00:00"/>
    <d v="2026-02-23T00:00:00"/>
    <x v="9"/>
    <x v="1"/>
    <s v="0    "/>
    <s v="322 5264648                   "/>
    <n v="30"/>
  </r>
  <r>
    <s v="202601"/>
    <s v="8201058             "/>
    <x v="302"/>
    <x v="87"/>
    <s v="FEDC158253  "/>
    <n v="4928400"/>
    <x v="3"/>
    <n v="4"/>
    <d v="2026-01-24T00:00:00"/>
    <d v="2026-02-23T00:00:00"/>
    <x v="9"/>
    <x v="1"/>
    <s v="0    "/>
    <s v="3207536706                    "/>
    <n v="30"/>
  </r>
  <r>
    <s v="202601"/>
    <s v="8045405             "/>
    <x v="126"/>
    <x v="63"/>
    <s v="FEVM45502   "/>
    <n v="231874"/>
    <x v="1"/>
    <n v="4"/>
    <d v="2026-01-24T00:00:00"/>
    <d v="2026-02-08T00:00:00"/>
    <x v="44"/>
    <x v="6"/>
    <s v="0    "/>
    <s v="3122016396                    "/>
    <n v="30"/>
  </r>
  <r>
    <s v="202601"/>
    <s v="1032249105          "/>
    <x v="601"/>
    <x v="63"/>
    <s v="FEVM45503   "/>
    <n v="213999"/>
    <x v="5"/>
    <n v="4"/>
    <d v="2026-01-24T00:00:00"/>
    <d v="2026-01-25T00:00:00"/>
    <x v="44"/>
    <x v="6"/>
    <s v="0    "/>
    <s v="3122778191                    "/>
    <n v="30"/>
  </r>
  <r>
    <s v="202601"/>
    <s v="39282740            "/>
    <x v="602"/>
    <x v="63"/>
    <s v="FEVM45506   "/>
    <n v="32249"/>
    <x v="5"/>
    <n v="4"/>
    <d v="2026-01-24T00:00:00"/>
    <d v="2026-01-25T00:00:00"/>
    <x v="44"/>
    <x v="6"/>
    <s v="0    "/>
    <s v="3137433494                    "/>
    <n v="1"/>
  </r>
  <r>
    <s v="202601"/>
    <s v="39282740            "/>
    <x v="602"/>
    <x v="63"/>
    <s v="FEVM45507   "/>
    <n v="42800"/>
    <x v="5"/>
    <n v="4"/>
    <d v="2026-01-24T00:00:00"/>
    <d v="2026-01-25T00:00:00"/>
    <x v="44"/>
    <x v="6"/>
    <s v="0    "/>
    <s v="3137433494                    "/>
    <n v="1"/>
  </r>
  <r>
    <s v="202601"/>
    <s v="1032258221          "/>
    <x v="603"/>
    <x v="63"/>
    <s v="FEVM45508   "/>
    <n v="128400"/>
    <x v="5"/>
    <n v="4"/>
    <d v="2026-01-24T00:00:00"/>
    <d v="2026-01-25T00:00:00"/>
    <x v="44"/>
    <x v="6"/>
    <s v="0    "/>
    <s v="3233004181                    "/>
    <n v="1"/>
  </r>
  <r>
    <s v="202601"/>
    <s v="1001160307          "/>
    <x v="604"/>
    <x v="63"/>
    <s v="FEVM45509   "/>
    <n v="420000"/>
    <x v="5"/>
    <n v="4"/>
    <d v="2026-01-24T00:00:00"/>
    <d v="2026-01-25T00:00:00"/>
    <x v="44"/>
    <x v="6"/>
    <s v="0    "/>
    <s v="3113212733                    "/>
    <n v="1"/>
  </r>
  <r>
    <s v="202601"/>
    <s v="1001160307          "/>
    <x v="604"/>
    <x v="63"/>
    <s v="FEVM45510   "/>
    <n v="187003"/>
    <x v="5"/>
    <n v="4"/>
    <d v="2026-01-24T00:00:00"/>
    <d v="2026-01-25T00:00:00"/>
    <x v="44"/>
    <x v="6"/>
    <s v="0    "/>
    <s v="3113212733                    "/>
    <n v="1"/>
  </r>
  <r>
    <s v="202601"/>
    <s v="39277449            "/>
    <x v="605"/>
    <x v="84"/>
    <s v="FEVM45511   "/>
    <n v="123001"/>
    <x v="5"/>
    <n v="4"/>
    <d v="2026-01-24T00:00:00"/>
    <d v="2026-01-25T00:00:00"/>
    <x v="44"/>
    <x v="6"/>
    <s v="0    "/>
    <s v="3233106032                    "/>
    <n v="1"/>
  </r>
  <r>
    <s v="202601"/>
    <s v="1032253939          "/>
    <x v="397"/>
    <x v="63"/>
    <s v="FEVM45516   "/>
    <n v="616087"/>
    <x v="1"/>
    <n v="4"/>
    <d v="2026-01-24T00:00:00"/>
    <d v="2026-02-08T00:00:00"/>
    <x v="44"/>
    <x v="6"/>
    <s v="0    "/>
    <s v="3135330446                    "/>
    <n v="15"/>
  </r>
  <r>
    <s v="202601"/>
    <s v="901523817-3         "/>
    <x v="97"/>
    <x v="52"/>
    <s v="FEDC158240  "/>
    <n v="4077334"/>
    <x v="3"/>
    <n v="4"/>
    <d v="2026-01-24T00:00:00"/>
    <d v="2026-02-23T00:00:00"/>
    <x v="40"/>
    <x v="8"/>
    <s v="0    "/>
    <s v="3126183068                    "/>
    <n v="30"/>
  </r>
  <r>
    <s v="202601"/>
    <s v="901523817-3         "/>
    <x v="97"/>
    <x v="52"/>
    <s v="FEDC158241  "/>
    <n v="3345381"/>
    <x v="3"/>
    <n v="4"/>
    <d v="2026-01-24T00:00:00"/>
    <d v="2026-02-23T00:00:00"/>
    <x v="41"/>
    <x v="8"/>
    <s v="0    "/>
    <s v="3126183068                    "/>
    <n v="30"/>
  </r>
  <r>
    <s v="202601"/>
    <s v="901523817-3         "/>
    <x v="97"/>
    <x v="52"/>
    <s v="FEDC158242  "/>
    <n v="6533118"/>
    <x v="3"/>
    <n v="4"/>
    <d v="2026-01-24T00:00:00"/>
    <d v="2026-02-23T00:00:00"/>
    <x v="41"/>
    <x v="8"/>
    <s v="0    "/>
    <s v="3126183068                    "/>
    <n v="30"/>
  </r>
  <r>
    <s v="202601"/>
    <s v="901523817-3         "/>
    <x v="97"/>
    <x v="52"/>
    <s v="FEDC158243  "/>
    <n v="2587381"/>
    <x v="3"/>
    <n v="4"/>
    <d v="2026-01-24T00:00:00"/>
    <d v="2026-02-23T00:00:00"/>
    <x v="41"/>
    <x v="8"/>
    <s v="0    "/>
    <s v="3126183068                    "/>
    <n v="30"/>
  </r>
  <r>
    <s v="202601"/>
    <s v="901523817-3         "/>
    <x v="97"/>
    <x v="52"/>
    <s v="FEDC158244  "/>
    <n v="345774"/>
    <x v="3"/>
    <n v="4"/>
    <d v="2026-01-24T00:00:00"/>
    <d v="2026-02-23T00:00:00"/>
    <x v="41"/>
    <x v="8"/>
    <s v="0    "/>
    <s v="3126183068                    "/>
    <n v="30"/>
  </r>
  <r>
    <s v="202601"/>
    <s v="91521121            "/>
    <x v="204"/>
    <x v="13"/>
    <s v="FEDC158263  "/>
    <n v="1249193"/>
    <x v="3"/>
    <n v="2"/>
    <d v="2026-01-26T00:00:00"/>
    <d v="2026-02-25T00:00:00"/>
    <x v="18"/>
    <x v="13"/>
    <s v="0    "/>
    <s v="3206429252                    "/>
    <n v="30"/>
  </r>
  <r>
    <s v="202601"/>
    <s v="91521121            "/>
    <x v="204"/>
    <x v="13"/>
    <s v="FEDC158264  "/>
    <n v="1873790"/>
    <x v="3"/>
    <n v="2"/>
    <d v="2026-01-26T00:00:00"/>
    <d v="2026-02-25T00:00:00"/>
    <x v="18"/>
    <x v="13"/>
    <s v="0    "/>
    <s v="3206429252                    "/>
    <n v="30"/>
  </r>
  <r>
    <s v="202601"/>
    <s v="15047058            "/>
    <x v="226"/>
    <x v="37"/>
    <s v="FEDC158265  "/>
    <n v="15840000"/>
    <x v="3"/>
    <n v="2"/>
    <d v="2026-01-26T00:00:00"/>
    <d v="2026-02-25T00:00:00"/>
    <x v="18"/>
    <x v="13"/>
    <s v="0    "/>
    <s v="3226993920     "/>
    <n v="30"/>
  </r>
  <r>
    <s v="202601"/>
    <s v="901658812-7         "/>
    <x v="606"/>
    <x v="13"/>
    <s v="FEDC158266  "/>
    <n v="355173"/>
    <x v="5"/>
    <n v="2"/>
    <d v="2026-01-26T00:00:00"/>
    <d v="2026-01-27T00:00:00"/>
    <x v="18"/>
    <x v="4"/>
    <s v="0    "/>
    <s v="3108532093                    "/>
    <n v="30"/>
  </r>
  <r>
    <s v="202601"/>
    <s v="901658812-7         "/>
    <x v="606"/>
    <x v="13"/>
    <s v="FEDC158267  "/>
    <n v="3910004"/>
    <x v="5"/>
    <n v="2"/>
    <d v="2026-01-26T00:00:00"/>
    <d v="2026-01-27T00:00:00"/>
    <x v="18"/>
    <x v="4"/>
    <s v="0    "/>
    <s v="3108532093                    "/>
    <n v="30"/>
  </r>
  <r>
    <s v="202601"/>
    <s v="21945805            "/>
    <x v="607"/>
    <x v="37"/>
    <s v="FEDC158268  "/>
    <n v="434380"/>
    <x v="3"/>
    <n v="2"/>
    <d v="2026-01-26T00:00:00"/>
    <d v="2026-02-25T00:00:00"/>
    <x v="18"/>
    <x v="11"/>
    <s v="0    "/>
    <s v="3206435536                    "/>
    <n v="30"/>
  </r>
  <r>
    <s v="202601"/>
    <s v="77070027            "/>
    <x v="608"/>
    <x v="37"/>
    <s v="FEDC158269  "/>
    <n v="4137000"/>
    <x v="9"/>
    <n v="2"/>
    <d v="2026-01-26T00:00:00"/>
    <d v="2026-02-05T00:00:00"/>
    <x v="18"/>
    <x v="13"/>
    <s v="0    "/>
    <s v="8380120        "/>
    <n v="30"/>
  </r>
  <r>
    <s v="202601"/>
    <s v="21945805            "/>
    <x v="607"/>
    <x v="37"/>
    <s v="FEDC158270  "/>
    <n v="35500"/>
    <x v="3"/>
    <n v="2"/>
    <d v="2026-01-26T00:00:00"/>
    <d v="2026-02-25T00:00:00"/>
    <x v="18"/>
    <x v="11"/>
    <s v="0    "/>
    <s v="3206435536                    "/>
    <n v="30"/>
  </r>
  <r>
    <s v="202601"/>
    <s v="77070027            "/>
    <x v="608"/>
    <x v="37"/>
    <s v="FEDC158271  "/>
    <n v="723267"/>
    <x v="9"/>
    <n v="2"/>
    <d v="2026-01-26T00:00:00"/>
    <d v="2026-02-05T00:00:00"/>
    <x v="18"/>
    <x v="13"/>
    <s v="0    "/>
    <s v="8380120        "/>
    <n v="30"/>
  </r>
  <r>
    <s v="202601"/>
    <s v="1                   "/>
    <x v="208"/>
    <x v="13"/>
    <s v="FEDC158272  "/>
    <n v="70000"/>
    <x v="5"/>
    <n v="2"/>
    <d v="2026-01-26T00:00:00"/>
    <d v="2026-01-27T00:00:00"/>
    <x v="18"/>
    <x v="11"/>
    <s v="0    "/>
    <s v=""/>
    <n v="1"/>
  </r>
  <r>
    <s v="202601"/>
    <s v="1                   "/>
    <x v="208"/>
    <x v="13"/>
    <s v="FEDC158273  "/>
    <n v="42500"/>
    <x v="5"/>
    <n v="2"/>
    <d v="2026-01-26T00:00:00"/>
    <d v="2026-01-27T00:00:00"/>
    <x v="18"/>
    <x v="11"/>
    <s v="0    "/>
    <s v=""/>
    <n v="1"/>
  </r>
  <r>
    <s v="202601"/>
    <s v="10994881            "/>
    <x v="469"/>
    <x v="13"/>
    <s v="FEDC158274  "/>
    <n v="233884"/>
    <x v="5"/>
    <n v="2"/>
    <d v="2026-01-26T00:00:00"/>
    <d v="2026-01-27T00:00:00"/>
    <x v="18"/>
    <x v="13"/>
    <s v="0    "/>
    <s v="3107082544     "/>
    <n v="30"/>
  </r>
  <r>
    <s v="202601"/>
    <s v="70693392            "/>
    <x v="283"/>
    <x v="37"/>
    <s v="FEDC158275  "/>
    <n v="671197"/>
    <x v="3"/>
    <n v="2"/>
    <d v="2026-01-26T00:00:00"/>
    <d v="2026-02-25T00:00:00"/>
    <x v="18"/>
    <x v="13"/>
    <s v="0    "/>
    <s v="3233203149                    "/>
    <n v="30"/>
  </r>
  <r>
    <s v="202601"/>
    <s v="70693392            "/>
    <x v="283"/>
    <x v="37"/>
    <s v="FEDC158276  "/>
    <n v="1004000"/>
    <x v="9"/>
    <n v="2"/>
    <d v="2026-01-26T00:00:00"/>
    <d v="2026-02-05T00:00:00"/>
    <x v="18"/>
    <x v="13"/>
    <s v="0    "/>
    <s v="3233203149                    "/>
    <n v="30"/>
  </r>
  <r>
    <s v="202601"/>
    <s v="1                   "/>
    <x v="208"/>
    <x v="13"/>
    <s v="FEDC158277  "/>
    <n v="288000"/>
    <x v="5"/>
    <n v="2"/>
    <d v="2026-01-26T00:00:00"/>
    <d v="2026-01-27T00:00:00"/>
    <x v="18"/>
    <x v="11"/>
    <s v="0    "/>
    <s v=""/>
    <n v="1"/>
  </r>
  <r>
    <s v="202601"/>
    <s v="1127958438          "/>
    <x v="159"/>
    <x v="13"/>
    <s v="FEDC158278  "/>
    <n v="140000"/>
    <x v="5"/>
    <n v="2"/>
    <d v="2026-01-26T00:00:00"/>
    <d v="2026-01-27T00:00:00"/>
    <x v="18"/>
    <x v="13"/>
    <s v="0    "/>
    <s v="3204475005                    "/>
    <n v="30"/>
  </r>
  <r>
    <s v="202601"/>
    <s v="39279638            "/>
    <x v="282"/>
    <x v="13"/>
    <s v="FEDC158279  "/>
    <n v="420000"/>
    <x v="9"/>
    <n v="2"/>
    <d v="2026-01-26T00:00:00"/>
    <d v="2026-02-05T00:00:00"/>
    <x v="18"/>
    <x v="13"/>
    <s v="0    "/>
    <s v="3105913666                    "/>
    <n v="30"/>
  </r>
  <r>
    <s v="202601"/>
    <s v="70383501            "/>
    <x v="183"/>
    <x v="13"/>
    <s v="FEDC158280  "/>
    <n v="1805000"/>
    <x v="9"/>
    <n v="2"/>
    <d v="2026-01-26T00:00:00"/>
    <d v="2026-02-05T00:00:00"/>
    <x v="18"/>
    <x v="13"/>
    <s v="0    "/>
    <s v="3145052021                    "/>
    <n v="30"/>
  </r>
  <r>
    <s v="202601"/>
    <s v="70383501            "/>
    <x v="183"/>
    <x v="13"/>
    <s v="FEDC158281  "/>
    <n v="441093"/>
    <x v="3"/>
    <n v="2"/>
    <d v="2026-01-26T00:00:00"/>
    <d v="2026-02-25T00:00:00"/>
    <x v="18"/>
    <x v="13"/>
    <s v="0    "/>
    <s v="3145052021                    "/>
    <n v="30"/>
  </r>
  <r>
    <s v="202601"/>
    <s v="1                   "/>
    <x v="208"/>
    <x v="13"/>
    <s v="FEDC158282  "/>
    <n v="7000"/>
    <x v="5"/>
    <n v="2"/>
    <d v="2026-01-26T00:00:00"/>
    <d v="2026-01-27T00:00:00"/>
    <x v="18"/>
    <x v="16"/>
    <s v="0    "/>
    <s v=""/>
    <n v="1"/>
  </r>
  <r>
    <s v="202601"/>
    <s v="1                   "/>
    <x v="208"/>
    <x v="13"/>
    <s v="FEDC158283  "/>
    <n v="23200"/>
    <x v="5"/>
    <n v="2"/>
    <d v="2026-01-26T00:00:00"/>
    <d v="2026-01-27T00:00:00"/>
    <x v="18"/>
    <x v="11"/>
    <s v="0    "/>
    <s v=""/>
    <n v="1"/>
  </r>
  <r>
    <s v="202601"/>
    <s v="1                   "/>
    <x v="208"/>
    <x v="13"/>
    <s v="FEDC158284  "/>
    <n v="4200"/>
    <x v="5"/>
    <n v="2"/>
    <d v="2026-01-26T00:00:00"/>
    <d v="2026-01-27T00:00:00"/>
    <x v="18"/>
    <x v="11"/>
    <s v="0    "/>
    <s v=""/>
    <n v="1"/>
  </r>
  <r>
    <s v="202601"/>
    <s v="1                   "/>
    <x v="208"/>
    <x v="13"/>
    <s v="FEDC158301  "/>
    <n v="112000"/>
    <x v="5"/>
    <n v="2"/>
    <d v="2026-01-26T00:00:00"/>
    <d v="2026-01-27T00:00:00"/>
    <x v="18"/>
    <x v="11"/>
    <s v="0    "/>
    <s v=""/>
    <n v="1"/>
  </r>
  <r>
    <s v="202601"/>
    <s v="800183056-9         "/>
    <x v="609"/>
    <x v="37"/>
    <s v="FEDC158320  "/>
    <n v="35400"/>
    <x v="5"/>
    <n v="2"/>
    <d v="2026-01-26T00:00:00"/>
    <d v="2026-01-27T00:00:00"/>
    <x v="18"/>
    <x v="16"/>
    <s v="0    "/>
    <s v="8393001        "/>
    <n v="30"/>
  </r>
  <r>
    <s v="202601"/>
    <s v="800183056-9         "/>
    <x v="609"/>
    <x v="37"/>
    <s v="FEDC158321  "/>
    <n v="35400"/>
    <x v="5"/>
    <n v="2"/>
    <d v="2026-01-26T00:00:00"/>
    <d v="2026-01-27T00:00:00"/>
    <x v="18"/>
    <x v="16"/>
    <s v="0    "/>
    <s v="8393001        "/>
    <n v="30"/>
  </r>
  <r>
    <s v="202601"/>
    <s v="800183056-9         "/>
    <x v="609"/>
    <x v="37"/>
    <s v="FEDC158322  "/>
    <n v="2430"/>
    <x v="5"/>
    <n v="2"/>
    <d v="2026-01-26T00:00:00"/>
    <d v="2026-01-27T00:00:00"/>
    <x v="18"/>
    <x v="16"/>
    <s v="0    "/>
    <s v="8393001        "/>
    <n v="30"/>
  </r>
  <r>
    <s v="202601"/>
    <s v="98656367            "/>
    <x v="610"/>
    <x v="37"/>
    <s v="FEVM45519   "/>
    <n v="60218"/>
    <x v="5"/>
    <n v="2"/>
    <d v="2026-01-26T00:00:00"/>
    <d v="2026-01-27T00:00:00"/>
    <x v="18"/>
    <x v="10"/>
    <s v="0    "/>
    <s v="3103780577     "/>
    <n v="30"/>
  </r>
  <r>
    <s v="202601"/>
    <s v="1                   "/>
    <x v="208"/>
    <x v="13"/>
    <s v="FEVM45520   "/>
    <n v="80200"/>
    <x v="5"/>
    <n v="2"/>
    <d v="2026-01-26T00:00:00"/>
    <d v="2026-01-27T00:00:00"/>
    <x v="18"/>
    <x v="10"/>
    <s v="0    "/>
    <s v=""/>
    <n v="1"/>
  </r>
  <r>
    <s v="202601"/>
    <s v="70950972            "/>
    <x v="611"/>
    <x v="37"/>
    <s v="FEVM45521   "/>
    <n v="101731"/>
    <x v="5"/>
    <n v="2"/>
    <d v="2026-01-26T00:00:00"/>
    <d v="2026-01-27T00:00:00"/>
    <x v="18"/>
    <x v="10"/>
    <s v="0    "/>
    <s v="3015569726                    "/>
    <n v="1"/>
  </r>
  <r>
    <s v="202601"/>
    <s v="1                   "/>
    <x v="208"/>
    <x v="13"/>
    <s v="FEVM45522   "/>
    <n v="101300"/>
    <x v="5"/>
    <n v="2"/>
    <d v="2026-01-26T00:00:00"/>
    <d v="2026-01-27T00:00:00"/>
    <x v="18"/>
    <x v="10"/>
    <s v="0    "/>
    <s v=""/>
    <n v="1"/>
  </r>
  <r>
    <s v="202601"/>
    <s v="1                   "/>
    <x v="208"/>
    <x v="13"/>
    <s v="FEVM45523   "/>
    <n v="93769"/>
    <x v="5"/>
    <n v="2"/>
    <d v="2026-01-26T00:00:00"/>
    <d v="2026-01-27T00:00:00"/>
    <x v="18"/>
    <x v="10"/>
    <s v="0    "/>
    <s v=""/>
    <n v="1"/>
  </r>
  <r>
    <s v="202601"/>
    <s v="39273230            "/>
    <x v="612"/>
    <x v="13"/>
    <s v="FEVM45524   "/>
    <n v="29400"/>
    <x v="5"/>
    <n v="2"/>
    <d v="2026-01-26T00:00:00"/>
    <d v="2026-01-27T00:00:00"/>
    <x v="18"/>
    <x v="10"/>
    <s v="0    "/>
    <s v="3103517560                    "/>
    <n v="1"/>
  </r>
  <r>
    <s v="202601"/>
    <s v="39273230            "/>
    <x v="612"/>
    <x v="13"/>
    <s v="FEVM45525   "/>
    <n v="42800"/>
    <x v="5"/>
    <n v="2"/>
    <d v="2026-01-26T00:00:00"/>
    <d v="2026-01-27T00:00:00"/>
    <x v="18"/>
    <x v="10"/>
    <s v="0    "/>
    <s v="3103517560                    "/>
    <n v="1"/>
  </r>
  <r>
    <s v="202601"/>
    <s v="1                   "/>
    <x v="208"/>
    <x v="13"/>
    <s v="FEVM45526   "/>
    <n v="123097"/>
    <x v="5"/>
    <n v="2"/>
    <d v="2026-01-26T00:00:00"/>
    <d v="2026-01-27T00:00:00"/>
    <x v="18"/>
    <x v="10"/>
    <s v="0    "/>
    <s v=""/>
    <n v="1"/>
  </r>
  <r>
    <s v="202601"/>
    <s v="1                   "/>
    <x v="208"/>
    <x v="13"/>
    <s v="FEVM45527   "/>
    <n v="29399"/>
    <x v="5"/>
    <n v="2"/>
    <d v="2026-01-26T00:00:00"/>
    <d v="2026-01-27T00:00:00"/>
    <x v="18"/>
    <x v="10"/>
    <s v="0    "/>
    <s v=""/>
    <n v="1"/>
  </r>
  <r>
    <s v="202601"/>
    <s v="1038109593          "/>
    <x v="613"/>
    <x v="13"/>
    <s v="FEVM45528   "/>
    <n v="420000"/>
    <x v="5"/>
    <n v="2"/>
    <d v="2026-01-26T00:00:00"/>
    <d v="2026-01-27T00:00:00"/>
    <x v="18"/>
    <x v="10"/>
    <s v="0    "/>
    <s v="3234394238                    "/>
    <n v="1"/>
  </r>
  <r>
    <s v="202601"/>
    <s v="94414770            "/>
    <x v="287"/>
    <x v="13"/>
    <s v="FEVM45529   "/>
    <n v="420000"/>
    <x v="9"/>
    <n v="2"/>
    <d v="2026-01-26T00:00:00"/>
    <d v="2026-02-05T00:00:00"/>
    <x v="18"/>
    <x v="10"/>
    <s v="0    "/>
    <s v="3143860305     "/>
    <n v="30"/>
  </r>
  <r>
    <s v="202601"/>
    <s v="70252390            "/>
    <x v="614"/>
    <x v="13"/>
    <s v="FEVM45530   "/>
    <n v="680400"/>
    <x v="15"/>
    <n v="2"/>
    <d v="2026-01-26T00:00:00"/>
    <d v="2026-02-08T00:00:00"/>
    <x v="18"/>
    <x v="6"/>
    <s v="0    "/>
    <s v="3134036586                    "/>
    <n v="30"/>
  </r>
  <r>
    <s v="202601"/>
    <s v="1038138797          "/>
    <x v="182"/>
    <x v="13"/>
    <s v="FEVM45532   "/>
    <n v="840000"/>
    <x v="9"/>
    <n v="2"/>
    <d v="2026-01-26T00:00:00"/>
    <d v="2026-02-05T00:00:00"/>
    <x v="18"/>
    <x v="13"/>
    <s v="0    "/>
    <s v="3223117873                    "/>
    <n v="30"/>
  </r>
  <r>
    <s v="202601"/>
    <s v="1                   "/>
    <x v="208"/>
    <x v="13"/>
    <s v="FEVM45533   "/>
    <n v="483000"/>
    <x v="5"/>
    <n v="2"/>
    <d v="2026-01-26T00:00:00"/>
    <d v="2026-01-27T00:00:00"/>
    <x v="18"/>
    <x v="16"/>
    <s v="0    "/>
    <s v=""/>
    <n v="1"/>
  </r>
  <r>
    <s v="202601"/>
    <s v="91521121            "/>
    <x v="204"/>
    <x v="13"/>
    <s v="FEVM45534   "/>
    <n v="4137000"/>
    <x v="3"/>
    <n v="2"/>
    <d v="2026-01-26T00:00:00"/>
    <d v="2026-02-25T00:00:00"/>
    <x v="18"/>
    <x v="13"/>
    <s v="0    "/>
    <s v="3206429252                    "/>
    <n v="30"/>
  </r>
  <r>
    <s v="202601"/>
    <s v="1                   "/>
    <x v="208"/>
    <x v="13"/>
    <s v="FEVM45535   "/>
    <n v="123000"/>
    <x v="12"/>
    <n v="2"/>
    <d v="2026-01-26T00:00:00"/>
    <d v="2026-01-26T00:00:00"/>
    <x v="18"/>
    <x v="11"/>
    <s v="0    "/>
    <s v=""/>
    <n v="1"/>
  </r>
  <r>
    <s v="202601"/>
    <s v="1063366355          "/>
    <x v="237"/>
    <x v="24"/>
    <s v="FEDC158302  "/>
    <n v="1012156"/>
    <x v="3"/>
    <n v="2"/>
    <d v="2026-01-26T00:00:00"/>
    <d v="2026-02-25T00:00:00"/>
    <x v="24"/>
    <x v="12"/>
    <s v="0    "/>
    <s v="3107516465                    "/>
    <n v="30"/>
  </r>
  <r>
    <s v="202601"/>
    <s v="1045026065          "/>
    <x v="238"/>
    <x v="24"/>
    <s v="FEDC158303  "/>
    <n v="817830"/>
    <x v="3"/>
    <n v="2"/>
    <d v="2026-01-26T00:00:00"/>
    <d v="2026-02-25T00:00:00"/>
    <x v="24"/>
    <x v="12"/>
    <s v="0    "/>
    <s v="3108220432                    "/>
    <n v="30"/>
  </r>
  <r>
    <s v="202601"/>
    <s v="1045026065          "/>
    <x v="238"/>
    <x v="24"/>
    <s v="FEDC158304  "/>
    <n v="5452811"/>
    <x v="3"/>
    <n v="2"/>
    <d v="2026-01-26T00:00:00"/>
    <d v="2026-02-25T00:00:00"/>
    <x v="24"/>
    <x v="12"/>
    <s v="0    "/>
    <s v="3108220432                    "/>
    <n v="30"/>
  </r>
  <r>
    <s v="202601"/>
    <s v="1                   "/>
    <x v="208"/>
    <x v="13"/>
    <s v="FEDC158306  "/>
    <n v="3883153"/>
    <x v="5"/>
    <n v="2"/>
    <d v="2026-01-26T00:00:00"/>
    <d v="2026-01-27T00:00:00"/>
    <x v="24"/>
    <x v="12"/>
    <s v="0    "/>
    <s v=""/>
    <n v="1"/>
  </r>
  <r>
    <s v="202601"/>
    <s v="1                   "/>
    <x v="208"/>
    <x v="13"/>
    <s v="FEDC158307  "/>
    <n v="4835562"/>
    <x v="5"/>
    <n v="2"/>
    <d v="2026-01-26T00:00:00"/>
    <d v="2026-01-27T00:00:00"/>
    <x v="24"/>
    <x v="12"/>
    <s v="0    "/>
    <s v=""/>
    <n v="1"/>
  </r>
  <r>
    <s v="202601"/>
    <s v="1                   "/>
    <x v="208"/>
    <x v="13"/>
    <s v="FEDC158308  "/>
    <n v="3038822"/>
    <x v="5"/>
    <n v="2"/>
    <d v="2026-01-26T00:00:00"/>
    <d v="2026-01-27T00:00:00"/>
    <x v="24"/>
    <x v="12"/>
    <s v="0    "/>
    <s v=""/>
    <n v="1"/>
  </r>
  <r>
    <s v="202601"/>
    <s v="901758127-9         "/>
    <x v="170"/>
    <x v="24"/>
    <s v="FEDC158309  "/>
    <n v="4934040"/>
    <x v="3"/>
    <n v="2"/>
    <d v="2026-01-26T00:00:00"/>
    <d v="2026-02-25T00:00:00"/>
    <x v="24"/>
    <x v="12"/>
    <s v="0    "/>
    <s v="3107091608                    "/>
    <n v="30"/>
  </r>
  <r>
    <s v="202601"/>
    <s v="901411098-3         "/>
    <x v="321"/>
    <x v="24"/>
    <s v="FEDC158310  "/>
    <n v="2820046"/>
    <x v="3"/>
    <n v="2"/>
    <d v="2026-01-26T00:00:00"/>
    <d v="2026-02-25T00:00:00"/>
    <x v="24"/>
    <x v="12"/>
    <s v="0    "/>
    <s v="3126921623                    "/>
    <n v="30"/>
  </r>
  <r>
    <s v="202601"/>
    <s v="901158992-9         "/>
    <x v="127"/>
    <x v="24"/>
    <s v="FEDC158311  "/>
    <n v="1555962"/>
    <x v="3"/>
    <n v="2"/>
    <d v="2026-01-26T00:00:00"/>
    <d v="2026-02-25T00:00:00"/>
    <x v="24"/>
    <x v="12"/>
    <s v="0    "/>
    <s v="3002863464 - 3013900884       "/>
    <n v="30"/>
  </r>
  <r>
    <s v="202601"/>
    <s v="901158992-9         "/>
    <x v="127"/>
    <x v="24"/>
    <s v="FEDC158312  "/>
    <n v="1785199"/>
    <x v="3"/>
    <n v="2"/>
    <d v="2026-01-26T00:00:00"/>
    <d v="2026-02-25T00:00:00"/>
    <x v="24"/>
    <x v="12"/>
    <s v="0    "/>
    <s v="3002863464 - 3013900884       "/>
    <n v="30"/>
  </r>
  <r>
    <s v="202601"/>
    <s v="901868532-0         "/>
    <x v="106"/>
    <x v="24"/>
    <s v="FEDC158313  "/>
    <n v="1312017"/>
    <x v="3"/>
    <n v="2"/>
    <d v="2026-01-26T00:00:00"/>
    <d v="2026-02-25T00:00:00"/>
    <x v="24"/>
    <x v="12"/>
    <s v="0    "/>
    <s v="3138778653                    "/>
    <n v="30"/>
  </r>
  <r>
    <s v="202601"/>
    <s v="901469032           "/>
    <x v="322"/>
    <x v="24"/>
    <s v="FEDC158314  "/>
    <n v="1242178"/>
    <x v="3"/>
    <n v="2"/>
    <d v="2026-01-26T00:00:00"/>
    <d v="2026-02-25T00:00:00"/>
    <x v="24"/>
    <x v="12"/>
    <s v="0    "/>
    <s v="3215382384                    "/>
    <n v="30"/>
  </r>
  <r>
    <s v="202601"/>
    <s v="1                   "/>
    <x v="208"/>
    <x v="13"/>
    <s v="FEDC158323  "/>
    <n v="3213996"/>
    <x v="5"/>
    <n v="2"/>
    <d v="2026-01-26T00:00:00"/>
    <d v="2026-01-27T00:00:00"/>
    <x v="24"/>
    <x v="12"/>
    <s v="0    "/>
    <s v=""/>
    <n v="1"/>
  </r>
  <r>
    <s v="202601"/>
    <s v="11153206            "/>
    <x v="464"/>
    <x v="70"/>
    <s v="FEDC158305  "/>
    <n v="1850000"/>
    <x v="10"/>
    <n v="2"/>
    <d v="2026-01-26T00:00:00"/>
    <d v="2026-02-03T00:00:00"/>
    <x v="35"/>
    <x v="12"/>
    <s v="0    "/>
    <s v="3105486719     "/>
    <n v="25"/>
  </r>
  <r>
    <s v="202601"/>
    <s v="1066721431-6        "/>
    <x v="278"/>
    <x v="46"/>
    <s v="FEDC158285  "/>
    <n v="4970401"/>
    <x v="3"/>
    <n v="2"/>
    <d v="2026-01-26T00:00:00"/>
    <d v="2026-02-25T00:00:00"/>
    <x v="2"/>
    <x v="9"/>
    <s v="0    "/>
    <s v="3106828423-3125599059         "/>
    <n v="30"/>
  </r>
  <r>
    <s v="202601"/>
    <s v="1066721431-6        "/>
    <x v="278"/>
    <x v="46"/>
    <s v="FEDC158286  "/>
    <n v="1329485"/>
    <x v="3"/>
    <n v="2"/>
    <d v="2026-01-26T00:00:00"/>
    <d v="2026-02-25T00:00:00"/>
    <x v="2"/>
    <x v="9"/>
    <s v="0    "/>
    <s v="3106828423-3125599059         "/>
    <n v="30"/>
  </r>
  <r>
    <s v="202601"/>
    <s v="901556925-2         "/>
    <x v="277"/>
    <x v="46"/>
    <s v="FEDC158287  "/>
    <n v="2850000"/>
    <x v="3"/>
    <n v="2"/>
    <d v="2026-01-26T00:00:00"/>
    <d v="2026-02-25T00:00:00"/>
    <x v="2"/>
    <x v="9"/>
    <s v="0    "/>
    <s v="3104362600-3202084435         "/>
    <n v="30"/>
  </r>
  <r>
    <s v="202601"/>
    <s v="22808808            "/>
    <x v="412"/>
    <x v="90"/>
    <s v="FEDC158288  "/>
    <n v="481301"/>
    <x v="3"/>
    <n v="2"/>
    <d v="2026-01-26T00:00:00"/>
    <d v="2026-02-25T00:00:00"/>
    <x v="2"/>
    <x v="9"/>
    <s v="0    "/>
    <s v="3117814637                    "/>
    <n v="30"/>
  </r>
  <r>
    <s v="202601"/>
    <s v="50918946            "/>
    <x v="308"/>
    <x v="3"/>
    <s v="FEDC158289  "/>
    <n v="342598"/>
    <x v="3"/>
    <n v="2"/>
    <d v="2026-01-26T00:00:00"/>
    <d v="2026-02-25T00:00:00"/>
    <x v="2"/>
    <x v="9"/>
    <s v="0    "/>
    <s v="3135963768 Cleobis -8205181   "/>
    <n v="30"/>
  </r>
  <r>
    <s v="202601"/>
    <s v="8174072             "/>
    <x v="163"/>
    <x v="3"/>
    <s v="FEDC158290  "/>
    <n v="3266001"/>
    <x v="3"/>
    <n v="2"/>
    <d v="2026-01-26T00:00:00"/>
    <d v="2026-02-25T00:00:00"/>
    <x v="2"/>
    <x v="9"/>
    <s v="0    "/>
    <s v="3223640656                    "/>
    <n v="30"/>
  </r>
  <r>
    <s v="202601"/>
    <s v="8174072             "/>
    <x v="163"/>
    <x v="3"/>
    <s v="FEDC158291  "/>
    <n v="978936"/>
    <x v="3"/>
    <n v="2"/>
    <d v="2026-01-26T00:00:00"/>
    <d v="2026-02-25T00:00:00"/>
    <x v="2"/>
    <x v="9"/>
    <s v="0    "/>
    <s v="3223640656                    "/>
    <n v="30"/>
  </r>
  <r>
    <s v="202601"/>
    <s v="10897747            "/>
    <x v="175"/>
    <x v="3"/>
    <s v="FEDC158292  "/>
    <n v="536012"/>
    <x v="3"/>
    <n v="2"/>
    <d v="2026-01-26T00:00:00"/>
    <d v="2026-02-25T00:00:00"/>
    <x v="2"/>
    <x v="9"/>
    <s v="0    "/>
    <s v="3136406489     "/>
    <n v="30"/>
  </r>
  <r>
    <s v="202601"/>
    <s v="70163318            "/>
    <x v="121"/>
    <x v="46"/>
    <s v="FEDC158293  "/>
    <n v="2024084"/>
    <x v="3"/>
    <n v="2"/>
    <d v="2026-01-26T00:00:00"/>
    <d v="2026-02-25T00:00:00"/>
    <x v="2"/>
    <x v="9"/>
    <s v="0    "/>
    <s v="3148732837 -3146457008Cesar   "/>
    <n v="30"/>
  </r>
  <r>
    <s v="202601"/>
    <s v="1073996347          "/>
    <x v="122"/>
    <x v="46"/>
    <s v="FEDC158294  "/>
    <n v="4240002"/>
    <x v="3"/>
    <n v="2"/>
    <d v="2026-01-26T00:00:00"/>
    <d v="2026-02-25T00:00:00"/>
    <x v="2"/>
    <x v="9"/>
    <s v="0    "/>
    <s v="3167167184                    "/>
    <n v="30"/>
  </r>
  <r>
    <s v="202601"/>
    <s v="1073996347          "/>
    <x v="122"/>
    <x v="46"/>
    <s v="FEDC158295  "/>
    <n v="4810602"/>
    <x v="3"/>
    <n v="2"/>
    <d v="2026-01-26T00:00:00"/>
    <d v="2026-02-25T00:00:00"/>
    <x v="2"/>
    <x v="9"/>
    <s v="0    "/>
    <s v="3167167184                    "/>
    <n v="30"/>
  </r>
  <r>
    <s v="202601"/>
    <s v="1073996347          "/>
    <x v="122"/>
    <x v="46"/>
    <s v="FEDC158296  "/>
    <n v="3066238"/>
    <x v="3"/>
    <n v="2"/>
    <d v="2026-01-26T00:00:00"/>
    <d v="2026-02-25T00:00:00"/>
    <x v="2"/>
    <x v="9"/>
    <s v="0    "/>
    <s v="3167167184                    "/>
    <n v="30"/>
  </r>
  <r>
    <s v="202601"/>
    <s v="1073996347          "/>
    <x v="122"/>
    <x v="46"/>
    <s v="FEDC158297  "/>
    <n v="2271675"/>
    <x v="3"/>
    <n v="2"/>
    <d v="2026-01-26T00:00:00"/>
    <d v="2026-02-25T00:00:00"/>
    <x v="2"/>
    <x v="9"/>
    <s v="0    "/>
    <s v="3167167184                    "/>
    <n v="30"/>
  </r>
  <r>
    <s v="202601"/>
    <s v="50929248            "/>
    <x v="164"/>
    <x v="46"/>
    <s v="FEDC158298  "/>
    <n v="505633"/>
    <x v="3"/>
    <n v="2"/>
    <d v="2026-01-26T00:00:00"/>
    <d v="2026-02-25T00:00:00"/>
    <x v="2"/>
    <x v="9"/>
    <s v="0    "/>
    <s v="3122345938                    "/>
    <n v="30"/>
  </r>
  <r>
    <s v="202601"/>
    <s v="32253467            "/>
    <x v="424"/>
    <x v="3"/>
    <s v="FEDC158299  "/>
    <n v="864600"/>
    <x v="3"/>
    <n v="2"/>
    <d v="2026-01-26T00:00:00"/>
    <d v="2026-02-25T00:00:00"/>
    <x v="2"/>
    <x v="9"/>
    <s v="0    "/>
    <s v="3146376456"/>
    <n v="30"/>
  </r>
  <r>
    <s v="202601"/>
    <s v="32253467            "/>
    <x v="424"/>
    <x v="3"/>
    <s v="FEDC158300  "/>
    <n v="378801"/>
    <x v="3"/>
    <n v="2"/>
    <d v="2026-01-26T00:00:00"/>
    <d v="2026-02-25T00:00:00"/>
    <x v="2"/>
    <x v="9"/>
    <s v="0    "/>
    <s v="3146376456"/>
    <n v="30"/>
  </r>
  <r>
    <s v="202601"/>
    <s v="71256025            "/>
    <x v="116"/>
    <x v="46"/>
    <s v="FEDC158315  "/>
    <n v="972000"/>
    <x v="3"/>
    <n v="2"/>
    <d v="2026-01-26T00:00:00"/>
    <d v="2026-02-25T00:00:00"/>
    <x v="2"/>
    <x v="9"/>
    <s v="0    "/>
    <s v="3008137639                    "/>
    <n v="30"/>
  </r>
  <r>
    <s v="202601"/>
    <s v="8173730             "/>
    <x v="174"/>
    <x v="3"/>
    <s v="FEDC158316  "/>
    <n v="1024896"/>
    <x v="3"/>
    <n v="2"/>
    <d v="2026-01-26T00:00:00"/>
    <d v="2026-02-25T00:00:00"/>
    <x v="2"/>
    <x v="9"/>
    <s v="0    "/>
    <s v="3123817408                    "/>
    <n v="1"/>
  </r>
  <r>
    <s v="202601"/>
    <s v="8173730             "/>
    <x v="174"/>
    <x v="3"/>
    <s v="FEDC158317  "/>
    <n v="405010"/>
    <x v="3"/>
    <n v="2"/>
    <d v="2026-01-26T00:00:00"/>
    <d v="2026-02-25T00:00:00"/>
    <x v="2"/>
    <x v="9"/>
    <s v="0    "/>
    <s v="3123817408                    "/>
    <n v="1"/>
  </r>
  <r>
    <s v="202601"/>
    <s v="98599409            "/>
    <x v="107"/>
    <x v="3"/>
    <s v="FEDC158318  "/>
    <n v="1074400"/>
    <x v="3"/>
    <n v="2"/>
    <d v="2026-01-26T00:00:00"/>
    <d v="2026-02-25T00:00:00"/>
    <x v="2"/>
    <x v="9"/>
    <s v="1    "/>
    <s v="3165313681                    "/>
    <n v="30"/>
  </r>
  <r>
    <s v="202601"/>
    <s v="98599409            "/>
    <x v="107"/>
    <x v="3"/>
    <s v="FEDC158319  "/>
    <n v="263399"/>
    <x v="3"/>
    <n v="2"/>
    <d v="2026-01-26T00:00:00"/>
    <d v="2026-02-25T00:00:00"/>
    <x v="2"/>
    <x v="9"/>
    <s v="1    "/>
    <s v="3165313681                    "/>
    <n v="30"/>
  </r>
  <r>
    <s v="202601"/>
    <s v="3443977             "/>
    <x v="351"/>
    <x v="37"/>
    <s v="FEDC158326  "/>
    <n v="2035837"/>
    <x v="3"/>
    <n v="1"/>
    <d v="2026-01-27T00:00:00"/>
    <d v="2026-02-26T00:00:00"/>
    <x v="18"/>
    <x v="13"/>
    <s v="0    "/>
    <s v="8394641"/>
    <n v="30"/>
  </r>
  <r>
    <s v="202601"/>
    <s v="39280551            "/>
    <x v="337"/>
    <x v="37"/>
    <s v="FEDC158327  "/>
    <n v="1251357"/>
    <x v="3"/>
    <n v="1"/>
    <d v="2026-01-27T00:00:00"/>
    <d v="2026-02-26T00:00:00"/>
    <x v="18"/>
    <x v="13"/>
    <s v="0    "/>
    <s v="3206794488-8390155            "/>
    <n v="30"/>
  </r>
  <r>
    <s v="202601"/>
    <s v="39280551            "/>
    <x v="337"/>
    <x v="37"/>
    <s v="FEDC158329  "/>
    <n v="1373522"/>
    <x v="3"/>
    <n v="1"/>
    <d v="2026-01-27T00:00:00"/>
    <d v="2026-02-26T00:00:00"/>
    <x v="18"/>
    <x v="13"/>
    <s v="0    "/>
    <s v="3206794488-8390155            "/>
    <n v="30"/>
  </r>
  <r>
    <s v="202601"/>
    <s v="39280551            "/>
    <x v="337"/>
    <x v="37"/>
    <s v="FEDC158331  "/>
    <n v="840000"/>
    <x v="9"/>
    <n v="1"/>
    <d v="2026-01-27T00:00:00"/>
    <d v="2026-02-06T00:00:00"/>
    <x v="18"/>
    <x v="13"/>
    <s v="0    "/>
    <s v="3206794488-8390155            "/>
    <n v="30"/>
  </r>
  <r>
    <s v="202601"/>
    <s v="1126123103          "/>
    <x v="398"/>
    <x v="13"/>
    <s v="FEDC158332  "/>
    <n v="322000"/>
    <x v="3"/>
    <n v="1"/>
    <d v="2026-01-27T00:00:00"/>
    <d v="2026-02-26T00:00:00"/>
    <x v="18"/>
    <x v="13"/>
    <s v="0    "/>
    <s v="3224409249     "/>
    <n v="30"/>
  </r>
  <r>
    <s v="202601"/>
    <s v="1007652832          "/>
    <x v="206"/>
    <x v="13"/>
    <s v="FEDC158333  "/>
    <n v="845560"/>
    <x v="3"/>
    <n v="1"/>
    <d v="2026-01-27T00:00:00"/>
    <d v="2026-02-26T00:00:00"/>
    <x v="18"/>
    <x v="13"/>
    <s v="0    "/>
    <s v="3003097106 -3013682585        "/>
    <n v="30"/>
  </r>
  <r>
    <s v="202601"/>
    <s v="1233345840          "/>
    <x v="314"/>
    <x v="13"/>
    <s v="FEDC158334  "/>
    <n v="1002800"/>
    <x v="9"/>
    <n v="1"/>
    <d v="2026-01-27T00:00:00"/>
    <d v="2026-02-06T00:00:00"/>
    <x v="18"/>
    <x v="13"/>
    <s v="0    "/>
    <s v="3172967714 -3232010208        "/>
    <n v="30"/>
  </r>
  <r>
    <s v="202601"/>
    <s v="1038132717-8        "/>
    <x v="566"/>
    <x v="13"/>
    <s v="FEDC158335  "/>
    <n v="138902"/>
    <x v="5"/>
    <n v="1"/>
    <d v="2026-01-27T00:00:00"/>
    <d v="2026-01-28T00:00:00"/>
    <x v="18"/>
    <x v="13"/>
    <s v="0    "/>
    <s v="3104258530                    "/>
    <n v="30"/>
  </r>
  <r>
    <s v="202601"/>
    <s v="1233345840          "/>
    <x v="314"/>
    <x v="13"/>
    <s v="FEDC158336  "/>
    <n v="96000"/>
    <x v="3"/>
    <n v="1"/>
    <d v="2026-01-27T00:00:00"/>
    <d v="2026-02-26T00:00:00"/>
    <x v="18"/>
    <x v="13"/>
    <s v="0    "/>
    <s v="3172967714 -3232010208        "/>
    <n v="30"/>
  </r>
  <r>
    <s v="202601"/>
    <s v="98527445            "/>
    <x v="615"/>
    <x v="101"/>
    <s v="FEDC158341  "/>
    <n v="162750"/>
    <x v="5"/>
    <n v="1"/>
    <d v="2026-01-27T00:00:00"/>
    <d v="2026-01-28T00:00:00"/>
    <x v="18"/>
    <x v="16"/>
    <s v="0    "/>
    <s v="3113154923                    "/>
    <n v="30"/>
  </r>
  <r>
    <s v="202601"/>
    <s v="811001810-6         "/>
    <x v="533"/>
    <x v="37"/>
    <s v="FEDC158351  "/>
    <n v="1257025"/>
    <x v="3"/>
    <n v="1"/>
    <d v="2026-01-27T00:00:00"/>
    <d v="2026-02-26T00:00:00"/>
    <x v="18"/>
    <x v="13"/>
    <s v="0    "/>
    <s v=""/>
    <n v="30"/>
  </r>
  <r>
    <s v="202601"/>
    <s v="1                   "/>
    <x v="208"/>
    <x v="13"/>
    <s v="FEDC158352  "/>
    <n v="1500"/>
    <x v="5"/>
    <n v="1"/>
    <d v="2026-01-27T00:00:00"/>
    <d v="2026-01-28T00:00:00"/>
    <x v="18"/>
    <x v="11"/>
    <s v="0    "/>
    <s v=""/>
    <n v="1"/>
  </r>
  <r>
    <s v="202601"/>
    <s v="1                   "/>
    <x v="208"/>
    <x v="13"/>
    <s v="FEDC158353  "/>
    <n v="14000"/>
    <x v="5"/>
    <n v="1"/>
    <d v="2026-01-27T00:00:00"/>
    <d v="2026-01-28T00:00:00"/>
    <x v="18"/>
    <x v="11"/>
    <s v="0    "/>
    <s v=""/>
    <n v="1"/>
  </r>
  <r>
    <s v="202601"/>
    <s v="1                   "/>
    <x v="208"/>
    <x v="13"/>
    <s v="FEDC158354  "/>
    <n v="298320"/>
    <x v="5"/>
    <n v="1"/>
    <d v="2026-01-27T00:00:00"/>
    <d v="2026-01-28T00:00:00"/>
    <x v="18"/>
    <x v="11"/>
    <s v="0    "/>
    <s v=""/>
    <n v="1"/>
  </r>
  <r>
    <s v="202601"/>
    <s v="1                   "/>
    <x v="208"/>
    <x v="13"/>
    <s v="FEDC158355  "/>
    <n v="7500"/>
    <x v="5"/>
    <n v="1"/>
    <d v="2026-01-27T00:00:00"/>
    <d v="2026-01-28T00:00:00"/>
    <x v="18"/>
    <x v="11"/>
    <s v="0    "/>
    <s v=""/>
    <n v="1"/>
  </r>
  <r>
    <s v="202601"/>
    <s v="98654842            "/>
    <x v="267"/>
    <x v="13"/>
    <s v="FEDC158356  "/>
    <n v="4200000"/>
    <x v="9"/>
    <n v="1"/>
    <d v="2026-01-27T00:00:00"/>
    <d v="2026-02-06T00:00:00"/>
    <x v="18"/>
    <x v="13"/>
    <s v="0    "/>
    <s v="3209042070                    "/>
    <n v="30"/>
  </r>
  <r>
    <s v="202601"/>
    <s v="42941741            "/>
    <x v="390"/>
    <x v="37"/>
    <s v="FEVM45536   "/>
    <n v="982160"/>
    <x v="1"/>
    <n v="1"/>
    <d v="2026-01-27T00:00:00"/>
    <d v="2026-02-11T00:00:00"/>
    <x v="18"/>
    <x v="6"/>
    <s v="0    "/>
    <s v="3206729751     "/>
    <n v="15"/>
  </r>
  <r>
    <s v="202601"/>
    <s v="42941741            "/>
    <x v="390"/>
    <x v="37"/>
    <s v="FEVM45537   "/>
    <n v="1583553"/>
    <x v="1"/>
    <n v="1"/>
    <d v="2026-01-27T00:00:00"/>
    <d v="2026-02-11T00:00:00"/>
    <x v="18"/>
    <x v="6"/>
    <s v="0    "/>
    <s v="3206729751     "/>
    <n v="15"/>
  </r>
  <r>
    <s v="202601"/>
    <s v="43289114            "/>
    <x v="616"/>
    <x v="37"/>
    <s v="FEVM45538   "/>
    <n v="128400"/>
    <x v="5"/>
    <n v="1"/>
    <d v="2026-01-27T00:00:00"/>
    <d v="2026-01-28T00:00:00"/>
    <x v="18"/>
    <x v="6"/>
    <s v="0    "/>
    <s v="3136518590"/>
    <n v="1"/>
  </r>
  <r>
    <s v="202601"/>
    <s v="43289114            "/>
    <x v="616"/>
    <x v="37"/>
    <s v="FEVM45539   "/>
    <n v="88430"/>
    <x v="5"/>
    <n v="1"/>
    <d v="2026-01-27T00:00:00"/>
    <d v="2026-01-28T00:00:00"/>
    <x v="18"/>
    <x v="6"/>
    <s v="0    "/>
    <s v="3136518590"/>
    <n v="1"/>
  </r>
  <r>
    <s v="202601"/>
    <s v="43289114            "/>
    <x v="616"/>
    <x v="37"/>
    <s v="FEVM45540   "/>
    <n v="12124"/>
    <x v="5"/>
    <n v="1"/>
    <d v="2026-01-27T00:00:00"/>
    <d v="2026-01-28T00:00:00"/>
    <x v="18"/>
    <x v="6"/>
    <s v="0    "/>
    <s v="3136518590"/>
    <n v="1"/>
  </r>
  <r>
    <s v="202601"/>
    <s v="1                   "/>
    <x v="208"/>
    <x v="13"/>
    <s v="FEVM45541   "/>
    <n v="391399"/>
    <x v="5"/>
    <n v="1"/>
    <d v="2026-01-27T00:00:00"/>
    <d v="2026-01-28T00:00:00"/>
    <x v="18"/>
    <x v="6"/>
    <s v="0    "/>
    <s v=""/>
    <n v="1"/>
  </r>
  <r>
    <s v="202601"/>
    <s v="39266405            "/>
    <x v="471"/>
    <x v="37"/>
    <s v="FEVM45542   "/>
    <n v="375399"/>
    <x v="1"/>
    <n v="1"/>
    <d v="2026-01-27T00:00:00"/>
    <d v="2026-02-11T00:00:00"/>
    <x v="18"/>
    <x v="6"/>
    <s v="0    "/>
    <s v="3147999353     "/>
    <n v="15"/>
  </r>
  <r>
    <s v="202601"/>
    <s v="39266510            "/>
    <x v="486"/>
    <x v="13"/>
    <s v="FEVM45543   "/>
    <n v="44401"/>
    <x v="5"/>
    <n v="1"/>
    <d v="2026-01-27T00:00:00"/>
    <d v="2026-01-28T00:00:00"/>
    <x v="18"/>
    <x v="6"/>
    <s v="0    "/>
    <s v="3136975358                    "/>
    <n v="15"/>
  </r>
  <r>
    <s v="202601"/>
    <s v="1038129527          "/>
    <x v="366"/>
    <x v="37"/>
    <s v="FEVM45544   "/>
    <n v="361290"/>
    <x v="1"/>
    <n v="1"/>
    <d v="2026-01-27T00:00:00"/>
    <d v="2026-02-11T00:00:00"/>
    <x v="18"/>
    <x v="6"/>
    <s v="0    "/>
    <s v="3128879943     "/>
    <n v="15"/>
  </r>
  <r>
    <s v="202601"/>
    <s v="1                   "/>
    <x v="208"/>
    <x v="13"/>
    <s v="FEVM45545   "/>
    <n v="59301"/>
    <x v="5"/>
    <n v="1"/>
    <d v="2026-01-27T00:00:00"/>
    <d v="2026-01-28T00:00:00"/>
    <x v="18"/>
    <x v="10"/>
    <s v="0    "/>
    <s v=""/>
    <n v="1"/>
  </r>
  <r>
    <s v="202601"/>
    <s v="15309382            "/>
    <x v="617"/>
    <x v="13"/>
    <s v="FEVM45546   "/>
    <n v="420000"/>
    <x v="5"/>
    <n v="1"/>
    <d v="2026-01-27T00:00:00"/>
    <d v="2026-01-28T00:00:00"/>
    <x v="18"/>
    <x v="10"/>
    <s v="0    "/>
    <s v="3218589067                    "/>
    <n v="1"/>
  </r>
  <r>
    <s v="202601"/>
    <s v="8660272             "/>
    <x v="618"/>
    <x v="37"/>
    <s v="FEVM45547   "/>
    <n v="89699"/>
    <x v="5"/>
    <n v="1"/>
    <d v="2026-01-27T00:00:00"/>
    <d v="2026-01-28T00:00:00"/>
    <x v="18"/>
    <x v="6"/>
    <s v="0    "/>
    <s v="3122919889                    "/>
    <n v="30"/>
  </r>
  <r>
    <s v="202601"/>
    <s v="1042763602          "/>
    <x v="619"/>
    <x v="13"/>
    <s v="FEVM45548   "/>
    <n v="329616"/>
    <x v="5"/>
    <n v="1"/>
    <d v="2026-01-27T00:00:00"/>
    <d v="2026-01-28T00:00:00"/>
    <x v="18"/>
    <x v="6"/>
    <s v="0    "/>
    <s v="3135381948                    "/>
    <n v="1"/>
  </r>
  <r>
    <s v="202601"/>
    <s v="1045419300          "/>
    <x v="620"/>
    <x v="37"/>
    <s v="FEVM45549   "/>
    <n v="95579"/>
    <x v="5"/>
    <n v="1"/>
    <d v="2026-01-27T00:00:00"/>
    <d v="2026-01-28T00:00:00"/>
    <x v="18"/>
    <x v="6"/>
    <s v="0    "/>
    <s v="3006106183                    "/>
    <n v="1"/>
  </r>
  <r>
    <s v="202601"/>
    <s v="811001810-6         "/>
    <x v="533"/>
    <x v="37"/>
    <s v="FEVM45570   "/>
    <n v="2690386"/>
    <x v="3"/>
    <n v="1"/>
    <d v="2026-01-27T00:00:00"/>
    <d v="2026-02-26T00:00:00"/>
    <x v="18"/>
    <x v="13"/>
    <s v="0    "/>
    <s v=""/>
    <n v="30"/>
  </r>
  <r>
    <s v="202601"/>
    <s v="50941718            "/>
    <x v="621"/>
    <x v="2"/>
    <s v="FEVM45598   "/>
    <n v="77589"/>
    <x v="5"/>
    <n v="1"/>
    <d v="2026-01-27T00:00:00"/>
    <d v="2026-01-28T00:00:00"/>
    <x v="18"/>
    <x v="3"/>
    <s v="0    "/>
    <s v="3205935671     "/>
    <n v="30"/>
  </r>
  <r>
    <s v="202601"/>
    <s v="32211796            "/>
    <x v="431"/>
    <x v="13"/>
    <s v="FEVM45600   "/>
    <n v="254872"/>
    <x v="3"/>
    <n v="1"/>
    <d v="2026-01-27T00:00:00"/>
    <d v="2026-02-26T00:00:00"/>
    <x v="18"/>
    <x v="11"/>
    <s v="0    "/>
    <s v="                              "/>
    <n v="30"/>
  </r>
  <r>
    <s v="202601"/>
    <s v="70951907            "/>
    <x v="168"/>
    <x v="27"/>
    <s v="FEDC158342  "/>
    <n v="2406000"/>
    <x v="3"/>
    <n v="1"/>
    <d v="2026-01-27T00:00:00"/>
    <d v="2026-02-26T00:00:00"/>
    <x v="14"/>
    <x v="4"/>
    <s v="1    "/>
    <s v="3183563837 - 3126163099       "/>
    <n v="30"/>
  </r>
  <r>
    <s v="202601"/>
    <s v="70951907            "/>
    <x v="168"/>
    <x v="27"/>
    <s v="FEDC158343  "/>
    <n v="1395390"/>
    <x v="3"/>
    <n v="1"/>
    <d v="2026-01-27T00:00:00"/>
    <d v="2026-02-26T00:00:00"/>
    <x v="14"/>
    <x v="4"/>
    <s v="1    "/>
    <s v="3183563837 - 3126163099       "/>
    <n v="30"/>
  </r>
  <r>
    <s v="202601"/>
    <s v="43693531            "/>
    <x v="622"/>
    <x v="27"/>
    <s v="FEDC158344  "/>
    <n v="185182"/>
    <x v="5"/>
    <n v="1"/>
    <d v="2026-01-27T00:00:00"/>
    <d v="2026-01-28T00:00:00"/>
    <x v="14"/>
    <x v="4"/>
    <s v="0    "/>
    <s v="3136603887     "/>
    <n v="1"/>
  </r>
  <r>
    <s v="202601"/>
    <s v="1040495180          "/>
    <x v="166"/>
    <x v="22"/>
    <s v="FEDC158345  "/>
    <n v="558713"/>
    <x v="3"/>
    <n v="1"/>
    <d v="2026-01-27T00:00:00"/>
    <d v="2026-02-26T00:00:00"/>
    <x v="14"/>
    <x v="4"/>
    <s v="0    "/>
    <s v="3135653489     "/>
    <n v="30"/>
  </r>
  <r>
    <s v="202601"/>
    <s v="1117495321          "/>
    <x v="623"/>
    <x v="27"/>
    <s v="FEDC158346  "/>
    <n v="811147"/>
    <x v="5"/>
    <n v="1"/>
    <d v="2026-01-27T00:00:00"/>
    <d v="2026-01-28T00:00:00"/>
    <x v="14"/>
    <x v="4"/>
    <s v="0    "/>
    <s v="3217627705                    "/>
    <n v="1"/>
  </r>
  <r>
    <s v="202601"/>
    <s v="901933116           "/>
    <x v="290"/>
    <x v="86"/>
    <s v="FEDC158347  "/>
    <n v="523629"/>
    <x v="3"/>
    <n v="1"/>
    <d v="2026-01-27T00:00:00"/>
    <d v="2026-02-26T00:00:00"/>
    <x v="14"/>
    <x v="4"/>
    <s v="0    "/>
    <s v="3128202172                    "/>
    <n v="30"/>
  </r>
  <r>
    <s v="202601"/>
    <s v="98475458            "/>
    <x v="624"/>
    <x v="86"/>
    <s v="FEDC158348  "/>
    <n v="904610"/>
    <x v="3"/>
    <n v="1"/>
    <d v="2026-01-27T00:00:00"/>
    <d v="2026-02-26T00:00:00"/>
    <x v="14"/>
    <x v="4"/>
    <s v="0    "/>
    <s v="3146095467                    "/>
    <n v="30"/>
  </r>
  <r>
    <s v="202601"/>
    <s v="8204172             "/>
    <x v="289"/>
    <x v="27"/>
    <s v="FEDC158349  "/>
    <n v="1098513"/>
    <x v="3"/>
    <n v="1"/>
    <d v="2026-01-27T00:00:00"/>
    <d v="2026-02-26T00:00:00"/>
    <x v="14"/>
    <x v="4"/>
    <s v="0    "/>
    <s v="3104097081 8370555            "/>
    <n v="30"/>
  </r>
  <r>
    <s v="202601"/>
    <s v="8363994             "/>
    <x v="625"/>
    <x v="27"/>
    <s v="FEDC158350  "/>
    <n v="138459"/>
    <x v="5"/>
    <n v="1"/>
    <d v="2026-01-27T00:00:00"/>
    <d v="2026-01-28T00:00:00"/>
    <x v="14"/>
    <x v="4"/>
    <s v="0    "/>
    <s v=""/>
    <n v="1"/>
  </r>
  <r>
    <s v="202601"/>
    <s v="900540697           "/>
    <x v="140"/>
    <x v="67"/>
    <s v="FEDC158324  "/>
    <n v="5934600"/>
    <x v="3"/>
    <n v="1"/>
    <d v="2026-01-27T00:00:00"/>
    <d v="2026-02-26T00:00:00"/>
    <x v="16"/>
    <x v="11"/>
    <s v="0    "/>
    <s v="3218037194                    "/>
    <n v="30"/>
  </r>
  <r>
    <s v="202601"/>
    <s v="900540697           "/>
    <x v="140"/>
    <x v="67"/>
    <s v="FEDC158325  "/>
    <n v="4078190"/>
    <x v="3"/>
    <n v="1"/>
    <d v="2026-01-27T00:00:00"/>
    <d v="2026-02-26T00:00:00"/>
    <x v="16"/>
    <x v="11"/>
    <s v="0    "/>
    <s v="3218037194                    "/>
    <n v="30"/>
  </r>
  <r>
    <s v="202601"/>
    <s v="50992911            "/>
    <x v="626"/>
    <x v="19"/>
    <s v="FEVM45550   "/>
    <n v="126130"/>
    <x v="5"/>
    <n v="1"/>
    <d v="2026-01-27T00:00:00"/>
    <d v="2026-01-28T00:00:00"/>
    <x v="22"/>
    <x v="10"/>
    <s v="0    "/>
    <s v="3116925315     "/>
    <n v="30"/>
  </r>
  <r>
    <s v="202601"/>
    <s v="1                   "/>
    <x v="208"/>
    <x v="13"/>
    <s v="FEVM45551   "/>
    <n v="72921"/>
    <x v="5"/>
    <n v="1"/>
    <d v="2026-01-27T00:00:00"/>
    <d v="2026-01-28T00:00:00"/>
    <x v="22"/>
    <x v="10"/>
    <s v="0    "/>
    <s v=""/>
    <n v="1"/>
  </r>
  <r>
    <s v="202601"/>
    <s v="78113896            "/>
    <x v="232"/>
    <x v="19"/>
    <s v="FEVM45552   "/>
    <n v="428000"/>
    <x v="3"/>
    <n v="1"/>
    <d v="2026-01-27T00:00:00"/>
    <d v="2026-02-26T00:00:00"/>
    <x v="22"/>
    <x v="10"/>
    <s v="0    "/>
    <s v="3006233938                    "/>
    <n v="30"/>
  </r>
  <r>
    <s v="202601"/>
    <s v="1066511673          "/>
    <x v="627"/>
    <x v="19"/>
    <s v="FEVM45553   "/>
    <n v="101996"/>
    <x v="5"/>
    <n v="1"/>
    <d v="2026-01-27T00:00:00"/>
    <d v="2026-01-28T00:00:00"/>
    <x v="22"/>
    <x v="10"/>
    <s v="0    "/>
    <s v="3224410652                    "/>
    <n v="30"/>
  </r>
  <r>
    <s v="202601"/>
    <s v="1193562013          "/>
    <x v="294"/>
    <x v="19"/>
    <s v="FEVM45554   "/>
    <n v="876954"/>
    <x v="3"/>
    <n v="1"/>
    <d v="2026-01-27T00:00:00"/>
    <d v="2026-02-26T00:00:00"/>
    <x v="22"/>
    <x v="10"/>
    <s v="0    "/>
    <s v="3046029289 - 3136112676       "/>
    <n v="30"/>
  </r>
  <r>
    <s v="202601"/>
    <s v="1193562013          "/>
    <x v="294"/>
    <x v="19"/>
    <s v="FEVM45555   "/>
    <n v="288050"/>
    <x v="1"/>
    <n v="1"/>
    <d v="2026-01-27T00:00:00"/>
    <d v="2026-02-11T00:00:00"/>
    <x v="22"/>
    <x v="10"/>
    <s v="0    "/>
    <s v="3046029289 - 3136112676       "/>
    <n v="30"/>
  </r>
  <r>
    <s v="202601"/>
    <s v="78108073            "/>
    <x v="404"/>
    <x v="78"/>
    <s v="FEVM45556   "/>
    <n v="421587"/>
    <x v="3"/>
    <n v="1"/>
    <d v="2026-01-27T00:00:00"/>
    <d v="2026-02-26T00:00:00"/>
    <x v="22"/>
    <x v="10"/>
    <s v="0    "/>
    <s v="3126146979     "/>
    <n v="30"/>
  </r>
  <r>
    <s v="202601"/>
    <s v="50868096            "/>
    <x v="628"/>
    <x v="19"/>
    <s v="FEVM45557   "/>
    <n v="264347"/>
    <x v="5"/>
    <n v="1"/>
    <d v="2026-01-27T00:00:00"/>
    <d v="2026-01-28T00:00:00"/>
    <x v="22"/>
    <x v="10"/>
    <s v="0    "/>
    <s v="3207064043                    "/>
    <n v="1"/>
  </r>
  <r>
    <s v="202601"/>
    <s v="1                   "/>
    <x v="208"/>
    <x v="13"/>
    <s v="FEVM45558   "/>
    <n v="1018503"/>
    <x v="5"/>
    <n v="1"/>
    <d v="2026-01-27T00:00:00"/>
    <d v="2026-01-28T00:00:00"/>
    <x v="22"/>
    <x v="10"/>
    <s v="0    "/>
    <s v=""/>
    <n v="1"/>
  </r>
  <r>
    <s v="202601"/>
    <s v="1                   "/>
    <x v="208"/>
    <x v="13"/>
    <s v="FEVM45559   "/>
    <n v="154594"/>
    <x v="5"/>
    <n v="1"/>
    <d v="2026-01-27T00:00:00"/>
    <d v="2026-01-28T00:00:00"/>
    <x v="22"/>
    <x v="10"/>
    <s v="0    "/>
    <s v=""/>
    <n v="1"/>
  </r>
  <r>
    <s v="202601"/>
    <s v="70543321            "/>
    <x v="629"/>
    <x v="19"/>
    <s v="FEVM45560   "/>
    <n v="135852"/>
    <x v="5"/>
    <n v="1"/>
    <d v="2026-01-27T00:00:00"/>
    <d v="2026-01-28T00:00:00"/>
    <x v="22"/>
    <x v="10"/>
    <s v="0    "/>
    <s v="3226231953                    "/>
    <n v="1"/>
  </r>
  <r>
    <s v="202601"/>
    <s v="78112440            "/>
    <x v="340"/>
    <x v="19"/>
    <s v="FEVM45561   "/>
    <n v="199731"/>
    <x v="1"/>
    <n v="1"/>
    <d v="2026-01-27T00:00:00"/>
    <d v="2026-02-11T00:00:00"/>
    <x v="22"/>
    <x v="10"/>
    <s v="0    "/>
    <s v="3106642740                    "/>
    <n v="30"/>
  </r>
  <r>
    <s v="202601"/>
    <s v="78112440            "/>
    <x v="340"/>
    <x v="19"/>
    <s v="FEVM45562   "/>
    <n v="123923"/>
    <x v="1"/>
    <n v="1"/>
    <d v="2026-01-27T00:00:00"/>
    <d v="2026-02-11T00:00:00"/>
    <x v="22"/>
    <x v="10"/>
    <s v="0    "/>
    <s v="3106642740                    "/>
    <n v="30"/>
  </r>
  <r>
    <s v="202601"/>
    <s v="1                   "/>
    <x v="208"/>
    <x v="13"/>
    <s v="FEVM45563   "/>
    <n v="62140"/>
    <x v="5"/>
    <n v="1"/>
    <d v="2026-01-27T00:00:00"/>
    <d v="2026-01-28T00:00:00"/>
    <x v="22"/>
    <x v="10"/>
    <s v="0    "/>
    <s v=""/>
    <n v="1"/>
  </r>
  <r>
    <s v="202601"/>
    <s v="1                   "/>
    <x v="208"/>
    <x v="13"/>
    <s v="FEVM45564   "/>
    <n v="103600"/>
    <x v="5"/>
    <n v="1"/>
    <d v="2026-01-27T00:00:00"/>
    <d v="2026-01-28T00:00:00"/>
    <x v="22"/>
    <x v="10"/>
    <s v="0    "/>
    <s v=""/>
    <n v="1"/>
  </r>
  <r>
    <s v="202601"/>
    <s v="1                   "/>
    <x v="208"/>
    <x v="13"/>
    <s v="FEVM45565   "/>
    <n v="106200"/>
    <x v="5"/>
    <n v="1"/>
    <d v="2026-01-27T00:00:00"/>
    <d v="2026-01-28T00:00:00"/>
    <x v="22"/>
    <x v="10"/>
    <s v="0    "/>
    <s v=""/>
    <n v="1"/>
  </r>
  <r>
    <s v="202601"/>
    <s v="1                   "/>
    <x v="208"/>
    <x v="13"/>
    <s v="FEVM45566   "/>
    <n v="37411"/>
    <x v="5"/>
    <n v="1"/>
    <d v="2026-01-27T00:00:00"/>
    <d v="2026-01-28T00:00:00"/>
    <x v="22"/>
    <x v="10"/>
    <s v="0    "/>
    <s v=""/>
    <n v="1"/>
  </r>
  <r>
    <s v="202601"/>
    <s v="50994786            "/>
    <x v="235"/>
    <x v="19"/>
    <s v="FEVM45567   "/>
    <n v="447072"/>
    <x v="3"/>
    <n v="1"/>
    <d v="2026-01-27T00:00:00"/>
    <d v="2026-02-26T00:00:00"/>
    <x v="22"/>
    <x v="10"/>
    <s v="0    "/>
    <s v="3136427693 - 3217353632       "/>
    <n v="30"/>
  </r>
  <r>
    <s v="202601"/>
    <s v="1066518174          "/>
    <x v="293"/>
    <x v="19"/>
    <s v="FEVM45568   "/>
    <n v="596898"/>
    <x v="3"/>
    <n v="1"/>
    <d v="2026-01-27T00:00:00"/>
    <d v="2026-02-26T00:00:00"/>
    <x v="22"/>
    <x v="10"/>
    <s v="0    "/>
    <s v="3216102127-3155095670         "/>
    <n v="30"/>
  </r>
  <r>
    <s v="202601"/>
    <s v="1066518174          "/>
    <x v="293"/>
    <x v="19"/>
    <s v="FEVM45569   "/>
    <n v="345695"/>
    <x v="1"/>
    <n v="1"/>
    <d v="2026-01-27T00:00:00"/>
    <d v="2026-02-11T00:00:00"/>
    <x v="22"/>
    <x v="10"/>
    <s v="0    "/>
    <s v="3216102127-3155095670         "/>
    <n v="30"/>
  </r>
  <r>
    <s v="202601"/>
    <s v="93399927            "/>
    <x v="630"/>
    <x v="19"/>
    <s v="FEVM45571   "/>
    <n v="144221"/>
    <x v="5"/>
    <n v="1"/>
    <d v="2026-01-27T00:00:00"/>
    <d v="2026-01-28T00:00:00"/>
    <x v="22"/>
    <x v="10"/>
    <s v="0    "/>
    <s v="3025460083                    "/>
    <n v="1"/>
  </r>
  <r>
    <s v="202601"/>
    <s v="93399927            "/>
    <x v="630"/>
    <x v="19"/>
    <s v="FEVM45572   "/>
    <n v="85600"/>
    <x v="5"/>
    <n v="1"/>
    <d v="2026-01-27T00:00:00"/>
    <d v="2026-01-28T00:00:00"/>
    <x v="22"/>
    <x v="10"/>
    <s v="0    "/>
    <s v="3025460083                    "/>
    <n v="1"/>
  </r>
  <r>
    <s v="202601"/>
    <s v="1193228543          "/>
    <x v="631"/>
    <x v="19"/>
    <s v="FEVM45573   "/>
    <n v="115150"/>
    <x v="5"/>
    <n v="1"/>
    <d v="2026-01-27T00:00:00"/>
    <d v="2026-01-28T00:00:00"/>
    <x v="22"/>
    <x v="10"/>
    <s v="0    "/>
    <s v="3225013580                    "/>
    <n v="30"/>
  </r>
  <r>
    <s v="202601"/>
    <s v="1                   "/>
    <x v="208"/>
    <x v="13"/>
    <s v="FEVM45574   "/>
    <n v="129000"/>
    <x v="5"/>
    <n v="1"/>
    <d v="2026-01-27T00:00:00"/>
    <d v="2026-01-28T00:00:00"/>
    <x v="22"/>
    <x v="10"/>
    <s v="0    "/>
    <s v=""/>
    <n v="1"/>
  </r>
  <r>
    <s v="202601"/>
    <s v="1066524620          "/>
    <x v="341"/>
    <x v="19"/>
    <s v="FEVM45575   "/>
    <n v="124796"/>
    <x v="1"/>
    <n v="1"/>
    <d v="2026-01-27T00:00:00"/>
    <d v="2026-02-11T00:00:00"/>
    <x v="22"/>
    <x v="10"/>
    <s v="0    "/>
    <s v="3015679999                    "/>
    <n v="30"/>
  </r>
  <r>
    <s v="202601"/>
    <s v="1066524620          "/>
    <x v="341"/>
    <x v="19"/>
    <s v="FEVM45576   "/>
    <n v="58187"/>
    <x v="1"/>
    <n v="1"/>
    <d v="2026-01-27T00:00:00"/>
    <d v="2026-02-11T00:00:00"/>
    <x v="22"/>
    <x v="10"/>
    <s v="0    "/>
    <s v="3015679999                    "/>
    <n v="30"/>
  </r>
  <r>
    <s v="202601"/>
    <s v="1007565257          "/>
    <x v="489"/>
    <x v="19"/>
    <s v="FEVM45577   "/>
    <n v="194002"/>
    <x v="5"/>
    <n v="1"/>
    <d v="2026-01-27T00:00:00"/>
    <d v="2026-01-28T00:00:00"/>
    <x v="22"/>
    <x v="10"/>
    <s v="0    "/>
    <s v="3146692721 - 3127631162       "/>
    <n v="1"/>
  </r>
  <r>
    <s v="202601"/>
    <s v="1007565257          "/>
    <x v="489"/>
    <x v="19"/>
    <s v="FEVM45578   "/>
    <n v="42811"/>
    <x v="5"/>
    <n v="1"/>
    <d v="2026-01-27T00:00:00"/>
    <d v="2026-01-28T00:00:00"/>
    <x v="22"/>
    <x v="10"/>
    <s v="0    "/>
    <s v="3146692721 - 3127631162       "/>
    <n v="1"/>
  </r>
  <r>
    <s v="202601"/>
    <s v="1                   "/>
    <x v="208"/>
    <x v="13"/>
    <s v="FEVM45579   "/>
    <n v="163251"/>
    <x v="5"/>
    <n v="1"/>
    <d v="2026-01-27T00:00:00"/>
    <d v="2026-01-28T00:00:00"/>
    <x v="22"/>
    <x v="10"/>
    <s v="0    "/>
    <s v=""/>
    <n v="1"/>
  </r>
  <r>
    <s v="202601"/>
    <s v="1066524935          "/>
    <x v="169"/>
    <x v="19"/>
    <s v="FEVM45580   "/>
    <n v="590239"/>
    <x v="3"/>
    <n v="1"/>
    <d v="2026-01-27T00:00:00"/>
    <d v="2026-02-26T00:00:00"/>
    <x v="22"/>
    <x v="10"/>
    <s v="0    "/>
    <s v="3117567994                    "/>
    <n v="30"/>
  </r>
  <r>
    <s v="202601"/>
    <s v="1066092308          "/>
    <x v="632"/>
    <x v="19"/>
    <s v="FEVM45581   "/>
    <n v="98111"/>
    <x v="5"/>
    <n v="1"/>
    <d v="2026-01-27T00:00:00"/>
    <d v="2026-01-28T00:00:00"/>
    <x v="22"/>
    <x v="10"/>
    <s v="0    "/>
    <s v="3124625844                    "/>
    <n v="30"/>
  </r>
  <r>
    <s v="202601"/>
    <s v="1066520232          "/>
    <x v="409"/>
    <x v="19"/>
    <s v="FEVM45582   "/>
    <n v="229896"/>
    <x v="1"/>
    <n v="1"/>
    <d v="2026-01-27T00:00:00"/>
    <d v="2026-02-11T00:00:00"/>
    <x v="22"/>
    <x v="10"/>
    <s v="0    "/>
    <s v="3107024242                    "/>
    <n v="30"/>
  </r>
  <r>
    <s v="202601"/>
    <s v="1                   "/>
    <x v="208"/>
    <x v="13"/>
    <s v="FEVM45583   "/>
    <n v="85000"/>
    <x v="5"/>
    <n v="1"/>
    <d v="2026-01-27T00:00:00"/>
    <d v="2026-01-28T00:00:00"/>
    <x v="1"/>
    <x v="3"/>
    <s v="0    "/>
    <s v=""/>
    <n v="1"/>
  </r>
  <r>
    <s v="202601"/>
    <s v="1                   "/>
    <x v="208"/>
    <x v="13"/>
    <s v="FEVM45584   "/>
    <n v="20850"/>
    <x v="5"/>
    <n v="1"/>
    <d v="2026-01-27T00:00:00"/>
    <d v="2026-01-28T00:00:00"/>
    <x v="1"/>
    <x v="3"/>
    <s v="0    "/>
    <s v=""/>
    <n v="1"/>
  </r>
  <r>
    <s v="202601"/>
    <s v="1063361361          "/>
    <x v="633"/>
    <x v="1"/>
    <s v="FEVM45585   "/>
    <n v="48999"/>
    <x v="5"/>
    <n v="1"/>
    <d v="2026-01-27T00:00:00"/>
    <d v="2026-01-28T00:00:00"/>
    <x v="1"/>
    <x v="3"/>
    <s v="0    "/>
    <s v="3105525560                    "/>
    <n v="1"/>
  </r>
  <r>
    <s v="202601"/>
    <s v="1152434087          "/>
    <x v="634"/>
    <x v="1"/>
    <s v="FEVM45586   "/>
    <n v="126695"/>
    <x v="5"/>
    <n v="1"/>
    <d v="2026-01-27T00:00:00"/>
    <d v="2026-01-28T00:00:00"/>
    <x v="1"/>
    <x v="3"/>
    <s v="0    "/>
    <s v="3234973319                    "/>
    <n v="1"/>
  </r>
  <r>
    <s v="202601"/>
    <s v="1038103585          "/>
    <x v="635"/>
    <x v="2"/>
    <s v="FEVM45587   "/>
    <n v="130241"/>
    <x v="5"/>
    <n v="1"/>
    <d v="2026-01-27T00:00:00"/>
    <d v="2026-01-28T00:00:00"/>
    <x v="1"/>
    <x v="3"/>
    <s v="0    "/>
    <s v="3145262474     "/>
    <n v="30"/>
  </r>
  <r>
    <s v="202601"/>
    <s v="1                   "/>
    <x v="208"/>
    <x v="13"/>
    <s v="FEVM45588   "/>
    <n v="587091"/>
    <x v="5"/>
    <n v="1"/>
    <d v="2026-01-27T00:00:00"/>
    <d v="2026-01-28T00:00:00"/>
    <x v="1"/>
    <x v="3"/>
    <s v="0    "/>
    <s v=""/>
    <n v="1"/>
  </r>
  <r>
    <s v="202601"/>
    <s v="22492813            "/>
    <x v="636"/>
    <x v="1"/>
    <s v="FEVM45589   "/>
    <n v="55800"/>
    <x v="5"/>
    <n v="1"/>
    <d v="2026-01-27T00:00:00"/>
    <d v="2026-01-28T00:00:00"/>
    <x v="1"/>
    <x v="3"/>
    <s v="0    "/>
    <s v="3508373849                    "/>
    <n v="30"/>
  </r>
  <r>
    <s v="202601"/>
    <s v="70698041            "/>
    <x v="637"/>
    <x v="2"/>
    <s v="FEVM45590   "/>
    <n v="68780"/>
    <x v="5"/>
    <n v="1"/>
    <d v="2026-01-27T00:00:00"/>
    <d v="2026-01-28T00:00:00"/>
    <x v="1"/>
    <x v="3"/>
    <s v="0    "/>
    <s v="3226539141 -3116716690        "/>
    <n v="1"/>
  </r>
  <r>
    <s v="202601"/>
    <s v="1063275684          "/>
    <x v="638"/>
    <x v="1"/>
    <s v="FEVM45591   "/>
    <n v="63251"/>
    <x v="5"/>
    <n v="1"/>
    <d v="2026-01-27T00:00:00"/>
    <d v="2026-01-28T00:00:00"/>
    <x v="1"/>
    <x v="3"/>
    <s v="0    "/>
    <s v="3205688477     "/>
    <n v="30"/>
  </r>
  <r>
    <s v="202601"/>
    <s v="1007501747          "/>
    <x v="639"/>
    <x v="1"/>
    <s v="FEVM45592   "/>
    <n v="139578"/>
    <x v="5"/>
    <n v="1"/>
    <d v="2026-01-27T00:00:00"/>
    <d v="2026-01-28T00:00:00"/>
    <x v="1"/>
    <x v="3"/>
    <s v="0    "/>
    <s v="3234560952                    "/>
    <n v="1"/>
  </r>
  <r>
    <s v="202601"/>
    <s v="45768421            "/>
    <x v="640"/>
    <x v="2"/>
    <s v="FEVM45593   "/>
    <n v="52218"/>
    <x v="5"/>
    <n v="1"/>
    <d v="2026-01-27T00:00:00"/>
    <d v="2026-01-28T00:00:00"/>
    <x v="1"/>
    <x v="3"/>
    <s v="0    "/>
    <s v="3137122190     "/>
    <n v="1"/>
  </r>
  <r>
    <s v="202601"/>
    <s v="70694424            "/>
    <x v="641"/>
    <x v="2"/>
    <s v="FEVM45594   "/>
    <n v="42961"/>
    <x v="5"/>
    <n v="1"/>
    <d v="2026-01-27T00:00:00"/>
    <d v="2026-01-28T00:00:00"/>
    <x v="1"/>
    <x v="3"/>
    <s v="0    "/>
    <s v=""/>
    <n v="1"/>
  </r>
  <r>
    <s v="202601"/>
    <s v="1                   "/>
    <x v="208"/>
    <x v="13"/>
    <s v="FEVM45595   "/>
    <n v="51908"/>
    <x v="5"/>
    <n v="1"/>
    <d v="2026-01-27T00:00:00"/>
    <d v="2026-01-28T00:00:00"/>
    <x v="1"/>
    <x v="3"/>
    <s v="0    "/>
    <s v=""/>
    <n v="1"/>
  </r>
  <r>
    <s v="202601"/>
    <s v="1                   "/>
    <x v="208"/>
    <x v="13"/>
    <s v="FEVM45596   "/>
    <n v="54958"/>
    <x v="5"/>
    <n v="1"/>
    <d v="2026-01-27T00:00:00"/>
    <d v="2026-01-28T00:00:00"/>
    <x v="1"/>
    <x v="3"/>
    <s v="0    "/>
    <s v=""/>
    <n v="1"/>
  </r>
  <r>
    <s v="202601"/>
    <s v="1                   "/>
    <x v="208"/>
    <x v="13"/>
    <s v="FEVM45597   "/>
    <n v="132728"/>
    <x v="5"/>
    <n v="1"/>
    <d v="2026-01-27T00:00:00"/>
    <d v="2026-01-28T00:00:00"/>
    <x v="1"/>
    <x v="3"/>
    <s v="0    "/>
    <s v=""/>
    <n v="1"/>
  </r>
  <r>
    <s v="202601"/>
    <s v="1063295286          "/>
    <x v="642"/>
    <x v="1"/>
    <s v="FEVM45599   "/>
    <n v="182704"/>
    <x v="5"/>
    <n v="1"/>
    <d v="2026-01-27T00:00:00"/>
    <d v="2026-01-28T00:00:00"/>
    <x v="1"/>
    <x v="3"/>
    <s v="0    "/>
    <s v="3148956667                    "/>
    <n v="1"/>
  </r>
  <r>
    <s v="202601"/>
    <s v="1026569148          "/>
    <x v="196"/>
    <x v="60"/>
    <s v="FEDC158337  "/>
    <n v="4670386"/>
    <x v="3"/>
    <n v="1"/>
    <d v="2026-01-27T00:00:00"/>
    <d v="2026-02-26T00:00:00"/>
    <x v="9"/>
    <x v="1"/>
    <s v="0    "/>
    <s v="3135069525     "/>
    <n v="30"/>
  </r>
  <r>
    <s v="202601"/>
    <s v="8203925             "/>
    <x v="300"/>
    <x v="12"/>
    <s v="FEDC158338  "/>
    <n v="14860854"/>
    <x v="3"/>
    <n v="1"/>
    <d v="2026-01-27T00:00:00"/>
    <d v="2026-02-26T00:00:00"/>
    <x v="9"/>
    <x v="1"/>
    <s v="0    "/>
    <s v="322 5264648                   "/>
    <n v="30"/>
  </r>
  <r>
    <s v="202601"/>
    <s v="1                   "/>
    <x v="208"/>
    <x v="13"/>
    <s v="FEDC158339  "/>
    <n v="2389464"/>
    <x v="5"/>
    <n v="1"/>
    <d v="2026-01-27T00:00:00"/>
    <d v="2026-01-28T00:00:00"/>
    <x v="9"/>
    <x v="1"/>
    <s v="0    "/>
    <s v=""/>
    <n v="1"/>
  </r>
  <r>
    <s v="202601"/>
    <s v="8201058             "/>
    <x v="302"/>
    <x v="87"/>
    <s v="FEDC158340  "/>
    <n v="871197"/>
    <x v="3"/>
    <n v="1"/>
    <d v="2026-01-27T00:00:00"/>
    <d v="2026-02-26T00:00:00"/>
    <x v="9"/>
    <x v="1"/>
    <s v="0    "/>
    <s v="3207536706                    "/>
    <n v="30"/>
  </r>
  <r>
    <s v="202601"/>
    <s v="900540697           "/>
    <x v="140"/>
    <x v="67"/>
    <s v="FEDC158328  "/>
    <n v="5065200"/>
    <x v="3"/>
    <n v="1"/>
    <d v="2026-01-27T00:00:00"/>
    <d v="2026-02-26T00:00:00"/>
    <x v="3"/>
    <x v="11"/>
    <s v="0    "/>
    <s v="3218037194                    "/>
    <n v="30"/>
  </r>
  <r>
    <s v="202601"/>
    <s v="900540697           "/>
    <x v="140"/>
    <x v="67"/>
    <s v="FEDC158330  "/>
    <n v="3387793"/>
    <x v="3"/>
    <n v="1"/>
    <d v="2026-01-27T00:00:00"/>
    <d v="2026-02-26T00:00:00"/>
    <x v="3"/>
    <x v="11"/>
    <s v="0    "/>
    <s v="3218037194                    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66" dataOnRows="1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compact="0" compactData="0" gridDropZones="1">
  <location ref="A7:B25" firstHeaderRow="2" firstDataRow="2" firstDataCol="1" rowPageCount="4" colPageCount="1"/>
  <pivotFields count="15">
    <pivotField compact="0" outline="0" showAll="0" includeNewItemsInFilter="1"/>
    <pivotField compact="0" outline="0" showAll="0" includeNewItemsInFilter="1"/>
    <pivotField axis="axisPage" compact="0" outline="0" showAll="0" includeNewItemsInFilter="1" sortType="descending">
      <items count="1028">
        <item x="489"/>
        <item m="1" x="997"/>
        <item x="98"/>
        <item x="145"/>
        <item x="290"/>
        <item m="1" x="674"/>
        <item x="237"/>
        <item m="1" x="727"/>
        <item x="342"/>
        <item m="1" x="681"/>
        <item x="211"/>
        <item m="1" x="684"/>
        <item x="156"/>
        <item m="1" x="1007"/>
        <item x="628"/>
        <item x="64"/>
        <item x="371"/>
        <item x="470"/>
        <item x="132"/>
        <item m="1" x="938"/>
        <item m="1" x="698"/>
        <item x="600"/>
        <item x="469"/>
        <item m="1" x="951"/>
        <item x="492"/>
        <item x="141"/>
        <item x="162"/>
        <item m="1" x="954"/>
        <item x="110"/>
        <item m="1" x="956"/>
        <item x="402"/>
        <item x="271"/>
        <item x="474"/>
        <item x="83"/>
        <item x="81"/>
        <item m="1" x="898"/>
        <item x="151"/>
        <item x="304"/>
        <item x="179"/>
        <item x="578"/>
        <item x="484"/>
        <item x="41"/>
        <item x="588"/>
        <item m="1" x="877"/>
        <item x="198"/>
        <item x="51"/>
        <item x="270"/>
        <item x="54"/>
        <item x="317"/>
        <item x="370"/>
        <item x="532"/>
        <item m="1" x="651"/>
        <item m="1" x="807"/>
        <item m="1" x="808"/>
        <item x="362"/>
        <item m="1" x="810"/>
        <item x="250"/>
        <item x="47"/>
        <item x="385"/>
        <item x="529"/>
        <item x="338"/>
        <item m="1" x="814"/>
        <item m="1" x="906"/>
        <item x="395"/>
        <item x="640"/>
        <item x="366"/>
        <item m="1" x="1020"/>
        <item x="257"/>
        <item m="1" x="693"/>
        <item m="1" x="864"/>
        <item x="268"/>
        <item x="629"/>
        <item x="175"/>
        <item x="115"/>
        <item x="31"/>
        <item x="387"/>
        <item x="84"/>
        <item x="49"/>
        <item x="273"/>
        <item x="154"/>
        <item x="69"/>
        <item x="439"/>
        <item x="305"/>
        <item m="1" x="675"/>
        <item x="194"/>
        <item m="1" x="987"/>
        <item x="119"/>
        <item x="427"/>
        <item x="398"/>
        <item x="281"/>
        <item x="367"/>
        <item x="171"/>
        <item m="1" x="666"/>
        <item x="46"/>
        <item m="1" x="704"/>
        <item x="249"/>
        <item x="351"/>
        <item x="209"/>
        <item m="1" x="829"/>
        <item m="1" x="976"/>
        <item m="1" x="702"/>
        <item m="1" x="707"/>
        <item x="11"/>
        <item m="1" x="708"/>
        <item x="594"/>
        <item x="28"/>
        <item x="62"/>
        <item x="265"/>
        <item x="19"/>
        <item m="1" x="709"/>
        <item x="587"/>
        <item x="4"/>
        <item x="602"/>
        <item x="100"/>
        <item m="1" x="714"/>
        <item x="39"/>
        <item x="307"/>
        <item x="325"/>
        <item m="1" x="803"/>
        <item m="1" x="863"/>
        <item x="77"/>
        <item x="566"/>
        <item x="71"/>
        <item m="1" x="904"/>
        <item x="301"/>
        <item x="63"/>
        <item m="1" x="905"/>
        <item x="437"/>
        <item m="1" x="882"/>
        <item m="1" x="883"/>
        <item m="1" x="884"/>
        <item x="266"/>
        <item m="1" x="887"/>
        <item x="443"/>
        <item x="573"/>
        <item x="340"/>
        <item x="465"/>
        <item x="183"/>
        <item x="206"/>
        <item x="450"/>
        <item x="463"/>
        <item x="253"/>
        <item x="345"/>
        <item x="133"/>
        <item x="190"/>
        <item x="507"/>
        <item x="67"/>
        <item x="153"/>
        <item x="626"/>
        <item x="60"/>
        <item x="533"/>
        <item m="1" x="861"/>
        <item x="440"/>
        <item x="38"/>
        <item m="1" x="657"/>
        <item x="448"/>
        <item x="254"/>
        <item x="247"/>
        <item x="44"/>
        <item x="374"/>
        <item x="425"/>
        <item m="1" x="985"/>
        <item x="632"/>
        <item x="438"/>
        <item x="558"/>
        <item m="1" x="846"/>
        <item x="5"/>
        <item x="178"/>
        <item m="1" x="930"/>
        <item x="191"/>
        <item m="1" x="998"/>
        <item m="1" x="999"/>
        <item m="1" x="645"/>
        <item m="1" x="646"/>
        <item m="1" x="758"/>
        <item x="241"/>
        <item x="269"/>
        <item m="1" x="761"/>
        <item x="634"/>
        <item x="472"/>
        <item x="26"/>
        <item m="1" x="762"/>
        <item x="625"/>
        <item x="453"/>
        <item x="128"/>
        <item x="606"/>
        <item x="413"/>
        <item x="277"/>
        <item x="106"/>
        <item x="376"/>
        <item x="396"/>
        <item x="364"/>
        <item x="609"/>
        <item m="1" x="652"/>
        <item x="187"/>
        <item x="223"/>
        <item m="1" x="1022"/>
        <item x="447"/>
        <item x="12"/>
        <item x="479"/>
        <item x="163"/>
        <item x="2"/>
        <item x="174"/>
        <item x="608"/>
        <item x="6"/>
        <item x="170"/>
        <item m="1" x="655"/>
        <item m="1" x="886"/>
        <item m="1" x="988"/>
        <item x="33"/>
        <item x="8"/>
        <item x="52"/>
        <item m="1" x="958"/>
        <item x="557"/>
        <item x="355"/>
        <item x="164"/>
        <item x="87"/>
        <item x="373"/>
        <item x="272"/>
        <item x="55"/>
        <item m="1" x="715"/>
        <item x="337"/>
        <item x="361"/>
        <item x="140"/>
        <item m="1" x="860"/>
        <item m="1" x="735"/>
        <item m="1" x="794"/>
        <item x="527"/>
        <item x="417"/>
        <item x="180"/>
        <item x="16"/>
        <item x="86"/>
        <item x="315"/>
        <item x="231"/>
        <item x="131"/>
        <item x="357"/>
        <item x="515"/>
        <item x="73"/>
        <item x="358"/>
        <item x="386"/>
        <item m="1" x="712"/>
        <item x="94"/>
        <item x="1"/>
        <item m="1" x="773"/>
        <item x="72"/>
        <item x="449"/>
        <item x="524"/>
        <item x="75"/>
        <item x="243"/>
        <item x="99"/>
        <item x="168"/>
        <item x="464"/>
        <item x="195"/>
        <item x="61"/>
        <item m="1" x="662"/>
        <item x="222"/>
        <item x="244"/>
        <item m="1" x="900"/>
        <item x="146"/>
        <item x="159"/>
        <item x="458"/>
        <item x="306"/>
        <item x="85"/>
        <item x="393"/>
        <item x="238"/>
        <item x="147"/>
        <item x="196"/>
        <item m="1" x="902"/>
        <item x="82"/>
        <item x="214"/>
        <item x="607"/>
        <item m="1" x="768"/>
        <item x="446"/>
        <item x="229"/>
        <item m="1" x="769"/>
        <item x="203"/>
        <item x="331"/>
        <item x="189"/>
        <item m="1" x="770"/>
        <item x="143"/>
        <item x="494"/>
        <item x="10"/>
        <item x="442"/>
        <item x="303"/>
        <item x="107"/>
        <item x="394"/>
        <item x="333"/>
        <item x="23"/>
        <item x="452"/>
        <item x="430"/>
        <item x="138"/>
        <item x="339"/>
        <item m="1" x="830"/>
        <item x="201"/>
        <item x="210"/>
        <item x="382"/>
        <item x="407"/>
        <item m="1" x="747"/>
        <item m="1" x="786"/>
        <item x="429"/>
        <item x="134"/>
        <item x="481"/>
        <item x="280"/>
        <item x="418"/>
        <item x="34"/>
        <item m="1" x="848"/>
        <item x="593"/>
        <item x="380"/>
        <item x="308"/>
        <item x="173"/>
        <item m="1" x="852"/>
        <item x="388"/>
        <item x="397"/>
        <item x="90"/>
        <item x="335"/>
        <item m="1" x="649"/>
        <item m="1" x="699"/>
        <item m="1" x="700"/>
        <item x="520"/>
        <item m="1" x="821"/>
        <item x="155"/>
        <item m="1" x="822"/>
        <item x="353"/>
        <item x="111"/>
        <item m="1" x="697"/>
        <item x="348"/>
        <item x="341"/>
        <item m="1" x="1002"/>
        <item m="1" x="815"/>
        <item x="127"/>
        <item x="432"/>
        <item x="321"/>
        <item x="322"/>
        <item m="1" x="797"/>
        <item x="221"/>
        <item m="1" x="798"/>
        <item x="454"/>
        <item m="1" x="869"/>
        <item m="1" x="870"/>
        <item m="1" x="920"/>
        <item x="572"/>
        <item x="88"/>
        <item x="45"/>
        <item x="258"/>
        <item x="461"/>
        <item x="420"/>
        <item x="636"/>
        <item x="105"/>
        <item x="104"/>
        <item m="1" x="741"/>
        <item x="299"/>
        <item x="347"/>
        <item x="630"/>
        <item m="1" x="825"/>
        <item x="320"/>
        <item x="65"/>
        <item x="279"/>
        <item x="48"/>
        <item x="95"/>
        <item m="1" x="731"/>
        <item m="1" x="732"/>
        <item m="1" x="836"/>
        <item x="409"/>
        <item m="1" x="837"/>
        <item m="1" x="907"/>
        <item x="563"/>
        <item x="359"/>
        <item x="139"/>
        <item x="40"/>
        <item x="261"/>
        <item x="117"/>
        <item x="113"/>
        <item m="1" x="784"/>
        <item x="130"/>
        <item m="1" x="785"/>
        <item x="595"/>
        <item x="108"/>
        <item x="217"/>
        <item x="482"/>
        <item x="511"/>
        <item x="176"/>
        <item x="416"/>
        <item x="126"/>
        <item x="3"/>
        <item m="1" x="944"/>
        <item x="242"/>
        <item m="1" x="945"/>
        <item m="1" x="946"/>
        <item m="1" x="947"/>
        <item x="275"/>
        <item x="224"/>
        <item x="288"/>
        <item x="422"/>
        <item x="623"/>
        <item x="323"/>
        <item x="436"/>
        <item x="278"/>
        <item x="330"/>
        <item x="415"/>
        <item m="1" x="774"/>
        <item x="639"/>
        <item x="293"/>
        <item x="21"/>
        <item x="569"/>
        <item x="50"/>
        <item m="1" x="776"/>
        <item x="400"/>
        <item x="120"/>
        <item x="445"/>
        <item m="1" x="736"/>
        <item x="172"/>
        <item x="434"/>
        <item x="352"/>
        <item x="467"/>
        <item x="329"/>
        <item x="316"/>
        <item x="213"/>
        <item x="149"/>
        <item x="177"/>
        <item x="621"/>
        <item x="97"/>
        <item x="215"/>
        <item x="346"/>
        <item m="1" x="931"/>
        <item x="444"/>
        <item x="530"/>
        <item x="80"/>
        <item x="589"/>
        <item m="1" x="995"/>
        <item x="476"/>
        <item x="59"/>
        <item x="225"/>
        <item m="1" x="719"/>
        <item x="200"/>
        <item x="123"/>
        <item m="1" x="720"/>
        <item x="135"/>
        <item x="354"/>
        <item x="102"/>
        <item m="1" x="849"/>
        <item x="580"/>
        <item x="372"/>
        <item m="1" x="671"/>
        <item x="137"/>
        <item m="1" x="756"/>
        <item x="641"/>
        <item x="283"/>
        <item x="228"/>
        <item x="426"/>
        <item x="89"/>
        <item x="286"/>
        <item x="531"/>
        <item x="251"/>
        <item m="1" x="918"/>
        <item x="287"/>
        <item x="401"/>
        <item m="1" x="990"/>
        <item x="298"/>
        <item m="1" x="668"/>
        <item x="441"/>
        <item x="122"/>
        <item x="29"/>
        <item x="497"/>
        <item x="166"/>
        <item m="1" x="855"/>
        <item x="161"/>
        <item x="212"/>
        <item x="564"/>
        <item x="101"/>
        <item m="1" x="692"/>
        <item x="68"/>
        <item x="350"/>
        <item m="1" x="799"/>
        <item m="1" x="800"/>
        <item m="1" x="801"/>
        <item x="383"/>
        <item x="302"/>
        <item m="1" x="1001"/>
        <item x="289"/>
        <item x="274"/>
        <item x="509"/>
        <item m="1" x="802"/>
        <item x="218"/>
        <item m="1" x="899"/>
        <item x="392"/>
        <item x="181"/>
        <item x="505"/>
        <item x="410"/>
        <item x="230"/>
        <item x="92"/>
        <item m="1" x="678"/>
        <item m="1" x="679"/>
        <item m="1" x="1014"/>
        <item x="9"/>
        <item x="121"/>
        <item m="1" x="733"/>
        <item m="1" x="1015"/>
        <item x="276"/>
        <item x="603"/>
        <item x="638"/>
        <item x="313"/>
        <item x="291"/>
        <item m="1" x="890"/>
        <item x="324"/>
        <item x="300"/>
        <item x="118"/>
        <item m="1" x="963"/>
        <item x="267"/>
        <item x="219"/>
        <item x="309"/>
        <item x="451"/>
        <item m="1" x="965"/>
        <item x="0"/>
        <item x="282"/>
        <item x="414"/>
        <item m="1" x="968"/>
        <item x="17"/>
        <item x="318"/>
        <item m="1" x="969"/>
        <item x="622"/>
        <item x="327"/>
        <item x="262"/>
        <item m="1" x="1005"/>
        <item x="459"/>
        <item x="193"/>
        <item x="129"/>
        <item m="1" x="835"/>
        <item x="310"/>
        <item x="328"/>
        <item x="7"/>
        <item x="15"/>
        <item x="285"/>
        <item x="25"/>
        <item x="255"/>
        <item x="30"/>
        <item x="332"/>
        <item x="296"/>
        <item x="294"/>
        <item m="1" x="817"/>
        <item x="58"/>
        <item x="377"/>
        <item m="1" x="819"/>
        <item x="56"/>
        <item x="565"/>
        <item x="314"/>
        <item x="256"/>
        <item x="157"/>
        <item x="240"/>
        <item m="1" x="1018"/>
        <item x="13"/>
        <item m="1" x="1019"/>
        <item x="22"/>
        <item x="220"/>
        <item x="124"/>
        <item m="1" x="690"/>
        <item x="233"/>
        <item x="412"/>
        <item x="506"/>
        <item x="513"/>
        <item x="553"/>
        <item x="202"/>
        <item x="76"/>
        <item m="1" x="984"/>
        <item x="144"/>
        <item x="284"/>
        <item x="197"/>
        <item m="1" x="734"/>
        <item x="478"/>
        <item m="1" x="972"/>
        <item x="152"/>
        <item x="411"/>
        <item m="1" x="973"/>
        <item x="70"/>
        <item x="32"/>
        <item x="125"/>
        <item x="42"/>
        <item m="1" x="893"/>
        <item m="1" x="894"/>
        <item m="1" x="895"/>
        <item x="57"/>
        <item m="1" x="685"/>
        <item m="1" x="686"/>
        <item x="537"/>
        <item x="369"/>
        <item m="1" x="742"/>
        <item x="424"/>
        <item x="599"/>
        <item m="1" x="781"/>
        <item x="468"/>
        <item x="186"/>
        <item m="1" x="783"/>
        <item x="292"/>
        <item x="27"/>
        <item x="148"/>
        <item m="1" x="717"/>
        <item x="79"/>
        <item x="512"/>
        <item x="142"/>
        <item x="637"/>
        <item x="502"/>
        <item m="1" x="777"/>
        <item x="232"/>
        <item x="239"/>
        <item x="343"/>
        <item x="404"/>
        <item x="391"/>
        <item x="518"/>
        <item m="1" x="743"/>
        <item m="1" x="745"/>
        <item x="188"/>
        <item x="43"/>
        <item x="37"/>
        <item m="1" x="844"/>
        <item x="504"/>
        <item m="1" x="923"/>
        <item m="1" x="912"/>
        <item x="235"/>
        <item x="384"/>
        <item x="536"/>
        <item x="234"/>
        <item x="368"/>
        <item x="74"/>
        <item x="360"/>
        <item x="516"/>
        <item x="109"/>
        <item x="24"/>
        <item x="36"/>
        <item x="259"/>
        <item m="1" x="874"/>
        <item x="116"/>
        <item x="93"/>
        <item x="53"/>
        <item x="295"/>
        <item x="103"/>
        <item x="35"/>
        <item x="488"/>
        <item m="1" x="1024"/>
        <item m="1" x="1025"/>
        <item x="336"/>
        <item m="1" x="910"/>
        <item m="1" x="791"/>
        <item m="1" x="845"/>
        <item x="510"/>
        <item x="184"/>
        <item m="1" x="927"/>
        <item x="14"/>
        <item m="1" x="974"/>
        <item x="165"/>
        <item x="169"/>
        <item m="1" x="775"/>
        <item x="390"/>
        <item x="160"/>
        <item x="378"/>
        <item x="517"/>
        <item x="419"/>
        <item x="521"/>
        <item x="496"/>
        <item x="491"/>
        <item m="1" x="994"/>
        <item x="406"/>
        <item x="490"/>
        <item x="158"/>
        <item x="582"/>
        <item x="246"/>
        <item x="614"/>
        <item x="297"/>
        <item x="493"/>
        <item x="96"/>
        <item x="112"/>
        <item x="208"/>
        <item x="466"/>
        <item x="334"/>
        <item x="20"/>
        <item m="1" x="1006"/>
        <item x="216"/>
        <item x="311"/>
        <item x="365"/>
        <item m="1" x="653"/>
        <item m="1" x="654"/>
        <item x="136"/>
        <item h="1" x="18"/>
        <item m="1" x="772"/>
        <item m="1" x="928"/>
        <item x="581"/>
        <item x="326"/>
        <item x="560"/>
        <item x="192"/>
        <item m="1" x="933"/>
        <item x="66"/>
        <item m="1" x="934"/>
        <item x="199"/>
        <item x="408"/>
        <item m="1" x="751"/>
        <item x="150"/>
        <item x="399"/>
        <item x="260"/>
        <item m="1" x="753"/>
        <item x="91"/>
        <item x="114"/>
        <item x="627"/>
        <item x="226"/>
        <item x="252"/>
        <item x="227"/>
        <item x="344"/>
        <item m="1" x="754"/>
        <item x="78"/>
        <item x="236"/>
        <item x="499"/>
        <item x="312"/>
        <item x="248"/>
        <item x="182"/>
        <item x="204"/>
        <item x="167"/>
        <item x="185"/>
        <item m="1" x="901"/>
        <item m="1" x="964"/>
        <item m="1" x="892"/>
        <item m="1" x="841"/>
        <item m="1" x="919"/>
        <item m="1" x="672"/>
        <item m="1" x="936"/>
        <item m="1" x="695"/>
        <item m="1" x="710"/>
        <item m="1" x="857"/>
        <item x="620"/>
        <item m="1" x="839"/>
        <item m="1" x="993"/>
        <item m="1" x="991"/>
        <item x="428"/>
        <item x="433"/>
        <item m="1" x="1016"/>
        <item x="610"/>
        <item x="568"/>
        <item m="1" x="896"/>
        <item m="1" x="1017"/>
        <item m="1" x="959"/>
        <item m="1" x="737"/>
        <item x="570"/>
        <item m="1" x="656"/>
        <item m="1" x="948"/>
        <item x="612"/>
        <item m="1" x="986"/>
        <item m="1" x="816"/>
        <item m="1" x="917"/>
        <item x="483"/>
        <item x="431"/>
        <item m="1" x="832"/>
        <item m="1" x="701"/>
        <item m="1" x="881"/>
        <item x="205"/>
        <item x="617"/>
        <item x="567"/>
        <item x="571"/>
        <item m="1" x="1012"/>
        <item m="1" x="885"/>
        <item x="349"/>
        <item m="1" x="670"/>
        <item m="1" x="687"/>
        <item x="508"/>
        <item m="1" x="871"/>
        <item x="455"/>
        <item x="605"/>
        <item m="1" x="724"/>
        <item x="604"/>
        <item x="574"/>
        <item m="1" x="1004"/>
        <item x="592"/>
        <item x="590"/>
        <item m="1" x="865"/>
        <item m="1" x="856"/>
        <item x="596"/>
        <item m="1" x="834"/>
        <item m="1" x="813"/>
        <item m="1" x="1003"/>
        <item m="1" x="921"/>
        <item x="598"/>
        <item x="245"/>
        <item m="1" x="691"/>
        <item m="1" x="1026"/>
        <item m="1" x="721"/>
        <item m="1" x="879"/>
        <item m="1" x="909"/>
        <item m="1" x="878"/>
        <item m="1" x="795"/>
        <item m="1" x="949"/>
        <item m="1" x="792"/>
        <item m="1" x="823"/>
        <item x="642"/>
        <item m="1" x="729"/>
        <item m="1" x="858"/>
        <item m="1" x="779"/>
        <item m="1" x="682"/>
        <item x="207"/>
        <item m="1" x="914"/>
        <item m="1" x="924"/>
        <item m="1" x="740"/>
        <item m="1" x="787"/>
        <item m="1" x="752"/>
        <item m="1" x="767"/>
        <item x="576"/>
        <item x="514"/>
        <item x="456"/>
        <item m="1" x="805"/>
        <item x="503"/>
        <item m="1" x="922"/>
        <item x="473"/>
        <item x="319"/>
        <item m="1" x="818"/>
        <item x="475"/>
        <item x="501"/>
        <item m="1" x="765"/>
        <item m="1" x="673"/>
        <item x="616"/>
        <item m="1" x="952"/>
        <item m="1" x="661"/>
        <item x="500"/>
        <item m="1" x="1000"/>
        <item x="528"/>
        <item m="1" x="850"/>
        <item m="1" x="782"/>
        <item x="263"/>
        <item x="559"/>
        <item x="264"/>
        <item m="1" x="718"/>
        <item m="1" x="660"/>
        <item m="1" x="1009"/>
        <item m="1" x="932"/>
        <item m="1" x="694"/>
        <item m="1" x="713"/>
        <item m="1" x="867"/>
        <item m="1" x="730"/>
        <item m="1" x="889"/>
        <item m="1" x="913"/>
        <item m="1" x="738"/>
        <item m="1" x="644"/>
        <item m="1" x="978"/>
        <item m="1" x="847"/>
        <item m="1" x="966"/>
        <item m="1" x="677"/>
        <item m="1" x="804"/>
        <item m="1" x="760"/>
        <item m="1" x="868"/>
        <item m="1" x="961"/>
        <item m="1" x="911"/>
        <item x="525"/>
        <item m="1" x="935"/>
        <item x="544"/>
        <item x="583"/>
        <item x="545"/>
        <item m="1" x="778"/>
        <item m="1" x="827"/>
        <item m="1" x="953"/>
        <item x="552"/>
        <item x="551"/>
        <item x="547"/>
        <item x="540"/>
        <item x="381"/>
        <item m="1" x="716"/>
        <item x="586"/>
        <item x="541"/>
        <item x="457"/>
        <item m="1" x="744"/>
        <item m="1" x="665"/>
        <item x="591"/>
        <item x="423"/>
        <item x="421"/>
        <item m="1" x="866"/>
        <item m="1" x="658"/>
        <item x="498"/>
        <item m="1" x="941"/>
        <item m="1" x="828"/>
        <item x="534"/>
        <item m="1" x="676"/>
        <item x="633"/>
        <item x="635"/>
        <item m="1" x="943"/>
        <item m="1" x="975"/>
        <item m="1" x="979"/>
        <item m="1" x="996"/>
        <item m="1" x="840"/>
        <item m="1" x="915"/>
        <item m="1" x="955"/>
        <item m="1" x="876"/>
        <item m="1" x="872"/>
        <item m="1" x="939"/>
        <item x="579"/>
        <item m="1" x="903"/>
        <item m="1" x="711"/>
        <item m="1" x="723"/>
        <item m="1" x="812"/>
        <item m="1" x="809"/>
        <item m="1" x="755"/>
        <item m="1" x="1021"/>
        <item m="1" x="806"/>
        <item x="613"/>
        <item m="1" x="725"/>
        <item x="356"/>
        <item m="1" x="763"/>
        <item m="1" x="750"/>
        <item x="556"/>
        <item m="1" x="789"/>
        <item m="1" x="696"/>
        <item m="1" x="771"/>
        <item m="1" x="888"/>
        <item m="1" x="833"/>
        <item m="1" x="748"/>
        <item m="1" x="788"/>
        <item x="363"/>
        <item m="1" x="843"/>
        <item m="1" x="897"/>
        <item m="1" x="689"/>
        <item m="1" x="1010"/>
        <item m="1" x="669"/>
        <item m="1" x="1008"/>
        <item m="1" x="875"/>
        <item m="1" x="942"/>
        <item m="1" x="820"/>
        <item x="375"/>
        <item x="379"/>
        <item x="575"/>
        <item x="389"/>
        <item m="1" x="926"/>
        <item x="403"/>
        <item x="405"/>
        <item m="1" x="688"/>
        <item m="1" x="989"/>
        <item m="1" x="643"/>
        <item m="1" x="838"/>
        <item x="435"/>
        <item m="1" x="780"/>
        <item m="1" x="739"/>
        <item m="1" x="971"/>
        <item m="1" x="831"/>
        <item m="1" x="811"/>
        <item m="1" x="940"/>
        <item m="1" x="916"/>
        <item m="1" x="937"/>
        <item m="1" x="683"/>
        <item m="1" x="650"/>
        <item m="1" x="1023"/>
        <item m="1" x="970"/>
        <item x="523"/>
        <item m="1" x="703"/>
        <item x="460"/>
        <item x="538"/>
        <item m="1" x="667"/>
        <item x="585"/>
        <item x="462"/>
        <item x="548"/>
        <item m="1" x="759"/>
        <item x="546"/>
        <item x="584"/>
        <item m="1" x="647"/>
        <item m="1" x="957"/>
        <item m="1" x="962"/>
        <item m="1" x="824"/>
        <item m="1" x="891"/>
        <item m="1" x="873"/>
        <item m="1" x="659"/>
        <item m="1" x="980"/>
        <item x="471"/>
        <item x="477"/>
        <item m="1" x="983"/>
        <item x="480"/>
        <item m="1" x="960"/>
        <item x="485"/>
        <item x="486"/>
        <item x="487"/>
        <item m="1" x="664"/>
        <item m="1" x="859"/>
        <item x="631"/>
        <item m="1" x="796"/>
        <item m="1" x="977"/>
        <item x="495"/>
        <item m="1" x="982"/>
        <item m="1" x="749"/>
        <item m="1" x="925"/>
        <item m="1" x="706"/>
        <item m="1" x="1011"/>
        <item m="1" x="764"/>
        <item m="1" x="908"/>
        <item m="1" x="722"/>
        <item m="1" x="766"/>
        <item m="1" x="853"/>
        <item m="1" x="746"/>
        <item m="1" x="950"/>
        <item m="1" x="793"/>
        <item m="1" x="992"/>
        <item m="1" x="851"/>
        <item m="1" x="854"/>
        <item m="1" x="757"/>
        <item m="1" x="929"/>
        <item x="526"/>
        <item x="519"/>
        <item x="522"/>
        <item m="1" x="705"/>
        <item m="1" x="880"/>
        <item m="1" x="680"/>
        <item m="1" x="790"/>
        <item m="1" x="967"/>
        <item m="1" x="726"/>
        <item m="1" x="648"/>
        <item m="1" x="862"/>
        <item m="1" x="826"/>
        <item m="1" x="728"/>
        <item m="1" x="842"/>
        <item m="1" x="663"/>
        <item m="1" x="1013"/>
        <item m="1" x="981"/>
        <item x="535"/>
        <item x="539"/>
        <item x="542"/>
        <item x="543"/>
        <item x="549"/>
        <item x="550"/>
        <item x="554"/>
        <item x="555"/>
        <item x="561"/>
        <item x="562"/>
        <item x="577"/>
        <item x="597"/>
        <item x="601"/>
        <item x="611"/>
        <item x="615"/>
        <item x="618"/>
        <item x="619"/>
        <item x="6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includeNewItemsInFilter="1" sortType="descending">
      <items count="117">
        <item x="36"/>
        <item x="64"/>
        <item x="78"/>
        <item x="19"/>
        <item x="86"/>
        <item x="57"/>
        <item x="35"/>
        <item x="30"/>
        <item m="1" x="104"/>
        <item x="89"/>
        <item x="66"/>
        <item x="51"/>
        <item x="96"/>
        <item x="37"/>
        <item x="13"/>
        <item x="79"/>
        <item x="50"/>
        <item x="65"/>
        <item x="81"/>
        <item x="71"/>
        <item x="82"/>
        <item x="27"/>
        <item x="22"/>
        <item x="54"/>
        <item x="84"/>
        <item x="63"/>
        <item x="7"/>
        <item x="99"/>
        <item x="23"/>
        <item x="88"/>
        <item x="70"/>
        <item x="76"/>
        <item x="80"/>
        <item x="17"/>
        <item x="43"/>
        <item x="97"/>
        <item x="58"/>
        <item x="69"/>
        <item x="68"/>
        <item x="72"/>
        <item x="49"/>
        <item x="101"/>
        <item m="1" x="107"/>
        <item x="56"/>
        <item x="2"/>
        <item x="1"/>
        <item x="14"/>
        <item x="18"/>
        <item x="52"/>
        <item x="4"/>
        <item x="67"/>
        <item m="1" x="108"/>
        <item x="20"/>
        <item x="41"/>
        <item x="62"/>
        <item x="93"/>
        <item x="92"/>
        <item m="1" x="109"/>
        <item m="1" x="110"/>
        <item x="100"/>
        <item x="60"/>
        <item x="12"/>
        <item x="87"/>
        <item x="47"/>
        <item x="45"/>
        <item x="44"/>
        <item x="24"/>
        <item x="48"/>
        <item x="74"/>
        <item x="77"/>
        <item x="0"/>
        <item x="42"/>
        <item x="85"/>
        <item x="5"/>
        <item x="11"/>
        <item x="55"/>
        <item x="32"/>
        <item x="95"/>
        <item x="73"/>
        <item x="91"/>
        <item x="16"/>
        <item x="3"/>
        <item x="46"/>
        <item x="61"/>
        <item x="28"/>
        <item x="10"/>
        <item x="8"/>
        <item x="31"/>
        <item x="53"/>
        <item x="15"/>
        <item x="9"/>
        <item x="34"/>
        <item x="59"/>
        <item x="26"/>
        <item x="29"/>
        <item x="94"/>
        <item x="40"/>
        <item x="6"/>
        <item x="83"/>
        <item x="33"/>
        <item x="90"/>
        <item x="75"/>
        <item x="39"/>
        <item x="38"/>
        <item x="21"/>
        <item x="25"/>
        <item m="1" x="111"/>
        <item m="1" x="114"/>
        <item m="1" x="105"/>
        <item m="1" x="106"/>
        <item m="1" x="112"/>
        <item m="1" x="115"/>
        <item m="1" x="102"/>
        <item m="1" x="103"/>
        <item m="1" x="113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dataField="1" compact="0" numFmtId="164" outline="0" showAll="0" includeNewItemsInFilter="1"/>
    <pivotField axis="axisPage" compact="0" numFmtId="1" outline="0" showAll="0" includeNewItemsInFilter="1" sortType="descending">
      <items count="19">
        <item x="5"/>
        <item x="13"/>
        <item x="6"/>
        <item x="10"/>
        <item x="9"/>
        <item m="1" x="17"/>
        <item x="1"/>
        <item x="7"/>
        <item x="11"/>
        <item x="0"/>
        <item x="2"/>
        <item x="3"/>
        <item x="4"/>
        <item m="1" x="16"/>
        <item x="8"/>
        <item x="12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 includeNewItemsInFilter="1"/>
    <pivotField compact="0" numFmtId="14" outline="0" showAll="0" includeNewItemsInFilter="1"/>
    <pivotField compact="0" numFmtId="14" outline="0" showAll="0" includeNewItemsInFilter="1"/>
    <pivotField axis="axisPage" compact="0" outline="0" showAll="0" includeNewItemsInFilter="1" sortType="descending">
      <items count="58">
        <item x="18"/>
        <item x="14"/>
        <item x="10"/>
        <item x="11"/>
        <item x="12"/>
        <item x="27"/>
        <item x="16"/>
        <item x="22"/>
        <item x="38"/>
        <item x="13"/>
        <item x="46"/>
        <item x="1"/>
        <item x="24"/>
        <item x="19"/>
        <item x="37"/>
        <item x="15"/>
        <item x="23"/>
        <item x="35"/>
        <item x="54"/>
        <item x="20"/>
        <item x="49"/>
        <item x="9"/>
        <item x="3"/>
        <item x="47"/>
        <item x="17"/>
        <item x="50"/>
        <item x="29"/>
        <item x="31"/>
        <item x="42"/>
        <item x="25"/>
        <item x="36"/>
        <item x="2"/>
        <item x="26"/>
        <item x="21"/>
        <item x="53"/>
        <item x="33"/>
        <item x="32"/>
        <item x="44"/>
        <item x="6"/>
        <item x="8"/>
        <item x="4"/>
        <item x="7"/>
        <item x="0"/>
        <item x="5"/>
        <item x="28"/>
        <item x="51"/>
        <item x="48"/>
        <item x="34"/>
        <item x="40"/>
        <item x="30"/>
        <item x="41"/>
        <item x="45"/>
        <item x="43"/>
        <item x="39"/>
        <item m="1" x="55"/>
        <item x="52"/>
        <item m="1"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sortType="descending">
      <items count="18">
        <item x="11"/>
        <item x="13"/>
        <item x="4"/>
        <item x="1"/>
        <item x="7"/>
        <item x="12"/>
        <item x="8"/>
        <item x="5"/>
        <item x="16"/>
        <item x="3"/>
        <item x="6"/>
        <item x="2"/>
        <item x="0"/>
        <item x="9"/>
        <item x="10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1"/>
  </rowFields>
  <rowItems count="17">
    <i>
      <x v="13"/>
    </i>
    <i>
      <x v="3"/>
    </i>
    <i>
      <x v="1"/>
    </i>
    <i>
      <x v="5"/>
    </i>
    <i>
      <x v="2"/>
    </i>
    <i>
      <x v="6"/>
    </i>
    <i>
      <x/>
    </i>
    <i>
      <x v="15"/>
    </i>
    <i>
      <x v="7"/>
    </i>
    <i>
      <x v="14"/>
    </i>
    <i>
      <x v="10"/>
    </i>
    <i>
      <x v="9"/>
    </i>
    <i>
      <x v="12"/>
    </i>
    <i>
      <x v="8"/>
    </i>
    <i>
      <x v="11"/>
    </i>
    <i>
      <x v="16"/>
    </i>
    <i t="grand">
      <x/>
    </i>
  </rowItems>
  <colItems count="1">
    <i/>
  </colItems>
  <pageFields count="4">
    <pageField fld="10" hier="0"/>
    <pageField fld="6" hier="0"/>
    <pageField fld="3" hier="0"/>
    <pageField fld="2" hier="0"/>
  </pageFields>
  <dataFields count="1">
    <dataField name="Suma de ttotal" fld="5" baseField="0" baseItem="0" numFmtId="165"/>
  </dataFields>
  <formats count="1">
    <format dxfId="19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000000-0016-0000-01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mes" tableColumnId="1"/>
      <queryTableField id="2" name="nit_a" tableColumnId="2"/>
      <queryTableField id="3" name="razon_social" tableColumnId="3"/>
      <queryTableField id="4" name="ciudad" tableColumnId="4"/>
      <queryTableField id="5" name="numero" tableColumnId="5"/>
      <queryTableField id="15" dataBound="0" tableColumnId="15"/>
      <queryTableField id="14" dataBound="0" tableColumnId="14"/>
      <queryTableField id="6" name="ttotal" tableColumnId="6"/>
      <queryTableField id="7" name="fecha" tableColumnId="7"/>
      <queryTableField id="8" name="vencimiento" tableColumnId="8"/>
      <queryTableField id="9" name="zona" tableColumnId="9"/>
      <queryTableField id="10" name="vendedor" tableColumnId="10"/>
      <queryTableField id="11" name="CATEGORIA" tableColumnId="11"/>
      <queryTableField id="12" name="telefonos" tableColumnId="12"/>
      <queryTableField id="13" name="plazo_credito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300-000001000000}" autoFormatId="16" applyNumberFormats="0" applyBorderFormats="0" applyFontFormats="0" applyPatternFormats="0" applyAlignmentFormats="0" applyWidthHeightFormats="0">
  <queryTableRefresh nextId="16">
    <queryTableFields count="15">
      <queryTableField id="1" name="mes"/>
      <queryTableField id="2" name="nit_a"/>
      <queryTableField id="3" name="razon_social"/>
      <queryTableField id="4" name="ciudad"/>
      <queryTableField id="5" name="numero"/>
      <queryTableField id="6" name="ttotal"/>
      <queryTableField id="15" dataBound="0" fillFormulas="1"/>
      <queryTableField id="14" dataBound="0" fillFormulas="1"/>
      <queryTableField id="7" name="fecha"/>
      <queryTableField id="8" name="vencimiento"/>
      <queryTableField id="9" name="zona"/>
      <queryTableField id="10" name="vendedor"/>
      <queryTableField id="11" name="CATEGORIA"/>
      <queryTableField id="12" name="telefonos"/>
      <queryTableField id="13" name="plazo_credito"/>
    </queryTableFields>
    <sortState xmlns:xlrd2="http://schemas.microsoft.com/office/spreadsheetml/2017/richdata2" ref="A3:O2822">
      <sortCondition descending="1" ref="H2"/>
    </sortState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teraharold201701__2" displayName="carteraharold201701__2" ref="A1:O3130" tableType="queryTable" totalsRowCount="1">
  <sortState xmlns:xlrd2="http://schemas.microsoft.com/office/spreadsheetml/2017/richdata2" ref="A2:O3129">
    <sortCondition ref="C2"/>
  </sortState>
  <tableColumns count="15">
    <tableColumn id="1" xr3:uid="{00000000-0010-0000-0000-000001000000}" uniqueName="1" name="mes" queryTableFieldId="1" dataDxfId="13"/>
    <tableColumn id="2" xr3:uid="{00000000-0010-0000-0000-000002000000}" uniqueName="2" name="nit_a" queryTableFieldId="2" dataDxfId="12"/>
    <tableColumn id="3" xr3:uid="{00000000-0010-0000-0000-000003000000}" uniqueName="3" name="razon_social" queryTableFieldId="3" dataDxfId="11"/>
    <tableColumn id="4" xr3:uid="{00000000-0010-0000-0000-000004000000}" uniqueName="4" name="ciudad" queryTableFieldId="4" dataDxfId="10"/>
    <tableColumn id="5" xr3:uid="{00000000-0010-0000-0000-000005000000}" uniqueName="5" name="numero" queryTableFieldId="5" dataDxfId="9"/>
    <tableColumn id="15" xr3:uid="{00000000-0010-0000-0000-00000F000000}" uniqueName="15" name="diasnegocio" queryTableFieldId="15" dataDxfId="8" totalsRowDxfId="14">
      <calculatedColumnFormula>+J2-I2</calculatedColumnFormula>
    </tableColumn>
    <tableColumn id="14" xr3:uid="{00000000-0010-0000-0000-00000E000000}" uniqueName="14" name="mora" queryTableFieldId="14" dataDxfId="7" totalsRowDxfId="15">
      <calculatedColumnFormula>+TODAY()-I2</calculatedColumnFormula>
    </tableColumn>
    <tableColumn id="6" xr3:uid="{00000000-0010-0000-0000-000006000000}" uniqueName="6" name="ttotal" totalsRowFunction="sum" queryTableFieldId="6" dataDxfId="6" totalsRowDxfId="16"/>
    <tableColumn id="7" xr3:uid="{00000000-0010-0000-0000-000007000000}" uniqueName="7" name="fecha" queryTableFieldId="7" dataDxfId="5" totalsRowDxfId="17"/>
    <tableColumn id="8" xr3:uid="{00000000-0010-0000-0000-000008000000}" uniqueName="8" name="vencimiento" queryTableFieldId="8" dataDxfId="4" totalsRowDxfId="18"/>
    <tableColumn id="9" xr3:uid="{00000000-0010-0000-0000-000009000000}" uniqueName="9" name="zona" queryTableFieldId="9" dataDxfId="3"/>
    <tableColumn id="10" xr3:uid="{00000000-0010-0000-0000-00000A000000}" uniqueName="10" name="vendedor" queryTableFieldId="10" dataDxfId="2"/>
    <tableColumn id="11" xr3:uid="{00000000-0010-0000-0000-00000B000000}" uniqueName="11" name="CATEGORIA" queryTableFieldId="11" dataDxfId="1"/>
    <tableColumn id="12" xr3:uid="{00000000-0010-0000-0000-00000C000000}" uniqueName="12" name="telefonos" queryTableFieldId="12" dataDxfId="0"/>
    <tableColumn id="13" xr3:uid="{00000000-0010-0000-0000-00000D000000}" uniqueName="13" name="plazo_credito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"/>
  <sheetViews>
    <sheetView workbookViewId="0">
      <selection activeCell="A7" sqref="A7"/>
    </sheetView>
  </sheetViews>
  <sheetFormatPr baseColWidth="10" defaultRowHeight="15" x14ac:dyDescent="0.25"/>
  <cols>
    <col min="1" max="1" width="13.85546875" bestFit="1" customWidth="1"/>
    <col min="2" max="2" width="20.42578125" bestFit="1" customWidth="1"/>
    <col min="3" max="3" width="11.5703125" bestFit="1" customWidth="1"/>
    <col min="4" max="14" width="20.42578125" bestFit="1" customWidth="1"/>
    <col min="15" max="15" width="15.140625" bestFit="1" customWidth="1"/>
  </cols>
  <sheetData>
    <row r="2" spans="1:2" x14ac:dyDescent="0.25">
      <c r="A2" s="9" t="s">
        <v>8</v>
      </c>
      <c r="B2" s="10" t="s">
        <v>2542</v>
      </c>
    </row>
    <row r="3" spans="1:2" x14ac:dyDescent="0.25">
      <c r="A3" s="9" t="s">
        <v>1903</v>
      </c>
      <c r="B3" s="10" t="s">
        <v>2542</v>
      </c>
    </row>
    <row r="4" spans="1:2" x14ac:dyDescent="0.25">
      <c r="A4" s="9" t="s">
        <v>3</v>
      </c>
      <c r="B4" s="10" t="s">
        <v>2542</v>
      </c>
    </row>
    <row r="5" spans="1:2" x14ac:dyDescent="0.25">
      <c r="A5" s="9" t="s">
        <v>2</v>
      </c>
      <c r="B5" s="10" t="s">
        <v>2543</v>
      </c>
    </row>
    <row r="7" spans="1:2" x14ac:dyDescent="0.25">
      <c r="A7" s="6" t="s">
        <v>2544</v>
      </c>
      <c r="B7" s="11"/>
    </row>
    <row r="8" spans="1:2" x14ac:dyDescent="0.25">
      <c r="A8" s="6" t="s">
        <v>9</v>
      </c>
      <c r="B8" s="11" t="s">
        <v>2545</v>
      </c>
    </row>
    <row r="9" spans="1:2" x14ac:dyDescent="0.25">
      <c r="A9" s="5" t="s">
        <v>984</v>
      </c>
      <c r="B9" s="12">
        <v>725636286</v>
      </c>
    </row>
    <row r="10" spans="1:2" x14ac:dyDescent="0.25">
      <c r="A10" s="7" t="s">
        <v>90</v>
      </c>
      <c r="B10" s="13">
        <v>721563553</v>
      </c>
    </row>
    <row r="11" spans="1:2" x14ac:dyDescent="0.25">
      <c r="A11" s="7" t="s">
        <v>32</v>
      </c>
      <c r="B11" s="13">
        <v>686414376</v>
      </c>
    </row>
    <row r="12" spans="1:2" x14ac:dyDescent="0.25">
      <c r="A12" s="7" t="s">
        <v>207</v>
      </c>
      <c r="B12" s="13">
        <v>665194789</v>
      </c>
    </row>
    <row r="13" spans="1:2" x14ac:dyDescent="0.25">
      <c r="A13" s="7" t="s">
        <v>18</v>
      </c>
      <c r="B13" s="13">
        <v>521256375</v>
      </c>
    </row>
    <row r="14" spans="1:2" x14ac:dyDescent="0.25">
      <c r="A14" s="7" t="s">
        <v>981</v>
      </c>
      <c r="B14" s="13">
        <v>352582237</v>
      </c>
    </row>
    <row r="15" spans="1:2" x14ac:dyDescent="0.25">
      <c r="A15" s="7" t="s">
        <v>109</v>
      </c>
      <c r="B15" s="13">
        <v>252676636</v>
      </c>
    </row>
    <row r="16" spans="1:2" x14ac:dyDescent="0.25">
      <c r="A16" s="7" t="s">
        <v>117</v>
      </c>
      <c r="B16" s="13">
        <v>104550690</v>
      </c>
    </row>
    <row r="17" spans="1:2" x14ac:dyDescent="0.25">
      <c r="A17" s="7" t="s">
        <v>47</v>
      </c>
      <c r="B17" s="13">
        <v>89486661</v>
      </c>
    </row>
    <row r="18" spans="1:2" x14ac:dyDescent="0.25">
      <c r="A18" s="7" t="s">
        <v>312</v>
      </c>
      <c r="B18" s="13">
        <v>87121292</v>
      </c>
    </row>
    <row r="19" spans="1:2" x14ac:dyDescent="0.25">
      <c r="A19" s="7" t="s">
        <v>317</v>
      </c>
      <c r="B19" s="13">
        <v>51113078</v>
      </c>
    </row>
    <row r="20" spans="1:2" x14ac:dyDescent="0.25">
      <c r="A20" s="7" t="s">
        <v>321</v>
      </c>
      <c r="B20" s="13">
        <v>43900867</v>
      </c>
    </row>
    <row r="21" spans="1:2" x14ac:dyDescent="0.25">
      <c r="A21" s="7" t="s">
        <v>1069</v>
      </c>
      <c r="B21" s="13">
        <v>19462373</v>
      </c>
    </row>
    <row r="22" spans="1:2" x14ac:dyDescent="0.25">
      <c r="A22" s="7" t="s">
        <v>28</v>
      </c>
      <c r="B22" s="13">
        <v>12530305</v>
      </c>
    </row>
    <row r="23" spans="1:2" x14ac:dyDescent="0.25">
      <c r="A23" s="7" t="s">
        <v>1778</v>
      </c>
      <c r="B23" s="13">
        <v>8203559</v>
      </c>
    </row>
    <row r="24" spans="1:2" x14ac:dyDescent="0.25">
      <c r="A24" s="7" t="s">
        <v>212</v>
      </c>
      <c r="B24" s="13">
        <v>95070</v>
      </c>
    </row>
    <row r="25" spans="1:2" x14ac:dyDescent="0.25">
      <c r="A25" s="8" t="s">
        <v>2541</v>
      </c>
      <c r="B25" s="14">
        <v>4341788147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47"/>
  <sheetViews>
    <sheetView tabSelected="1" workbookViewId="0">
      <selection activeCell="C1" sqref="C1"/>
    </sheetView>
  </sheetViews>
  <sheetFormatPr baseColWidth="10" defaultRowHeight="15" x14ac:dyDescent="0.25"/>
  <cols>
    <col min="1" max="1" width="7" bestFit="1" customWidth="1"/>
    <col min="2" max="2" width="16.28515625" bestFit="1" customWidth="1"/>
    <col min="3" max="3" width="63.140625" bestFit="1" customWidth="1"/>
    <col min="4" max="4" width="29.7109375" bestFit="1" customWidth="1"/>
    <col min="5" max="5" width="12.28515625" bestFit="1" customWidth="1"/>
    <col min="6" max="6" width="13.85546875" bestFit="1" customWidth="1"/>
    <col min="7" max="7" width="7.85546875" bestFit="1" customWidth="1"/>
    <col min="8" max="8" width="15.140625" bestFit="1" customWidth="1"/>
    <col min="9" max="10" width="15.7109375" bestFit="1" customWidth="1"/>
    <col min="11" max="11" width="7.42578125" bestFit="1" customWidth="1"/>
    <col min="12" max="12" width="11.85546875" bestFit="1" customWidth="1"/>
    <col min="13" max="13" width="13.5703125" bestFit="1" customWidth="1"/>
    <col min="14" max="14" width="30.28515625" bestFit="1" customWidth="1"/>
    <col min="15" max="15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4990</v>
      </c>
      <c r="G1" t="s">
        <v>1904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8" t="s">
        <v>7276</v>
      </c>
      <c r="B2" s="18" t="s">
        <v>7322</v>
      </c>
      <c r="C2" s="18" t="s">
        <v>7323</v>
      </c>
      <c r="D2" s="18" t="s">
        <v>15</v>
      </c>
      <c r="E2" s="18" t="s">
        <v>7324</v>
      </c>
      <c r="F2" s="2">
        <f>+J2-I2</f>
        <v>30</v>
      </c>
      <c r="G2" s="2">
        <f ca="1">+TODAY()-I2</f>
        <v>2</v>
      </c>
      <c r="H2" s="15">
        <v>10900</v>
      </c>
      <c r="I2" s="1">
        <v>46118</v>
      </c>
      <c r="J2" s="1">
        <v>46148</v>
      </c>
      <c r="K2" s="18" t="s">
        <v>17</v>
      </c>
      <c r="L2" s="18" t="s">
        <v>109</v>
      </c>
      <c r="M2" s="18" t="s">
        <v>19</v>
      </c>
      <c r="N2" s="18" t="s">
        <v>7325</v>
      </c>
      <c r="O2">
        <v>30</v>
      </c>
    </row>
    <row r="3" spans="1:15" x14ac:dyDescent="0.25">
      <c r="A3" s="18" t="s">
        <v>7276</v>
      </c>
      <c r="B3" s="18" t="s">
        <v>7322</v>
      </c>
      <c r="C3" s="18" t="s">
        <v>7323</v>
      </c>
      <c r="D3" s="18" t="s">
        <v>15</v>
      </c>
      <c r="E3" s="18" t="s">
        <v>7645</v>
      </c>
      <c r="F3" s="2">
        <f>+J3-I3</f>
        <v>30</v>
      </c>
      <c r="G3" s="2">
        <f ca="1">+TODAY()-I3</f>
        <v>1</v>
      </c>
      <c r="H3" s="15">
        <v>42000</v>
      </c>
      <c r="I3" s="1">
        <v>46119</v>
      </c>
      <c r="J3" s="1">
        <v>46149</v>
      </c>
      <c r="K3" s="18" t="s">
        <v>17</v>
      </c>
      <c r="L3" s="18" t="s">
        <v>109</v>
      </c>
      <c r="M3" s="18" t="s">
        <v>19</v>
      </c>
      <c r="N3" s="18" t="s">
        <v>7325</v>
      </c>
      <c r="O3">
        <v>30</v>
      </c>
    </row>
    <row r="4" spans="1:15" x14ac:dyDescent="0.25">
      <c r="A4" s="18" t="s">
        <v>7276</v>
      </c>
      <c r="B4" s="18" t="s">
        <v>7389</v>
      </c>
      <c r="C4" s="18" t="s">
        <v>7390</v>
      </c>
      <c r="D4" s="18" t="s">
        <v>15</v>
      </c>
      <c r="E4" s="18" t="s">
        <v>7391</v>
      </c>
      <c r="F4" s="2">
        <f>+J4-I4</f>
        <v>1</v>
      </c>
      <c r="G4" s="2">
        <f ca="1">+TODAY()-I4</f>
        <v>2</v>
      </c>
      <c r="H4" s="15">
        <v>42800</v>
      </c>
      <c r="I4" s="1">
        <v>46118</v>
      </c>
      <c r="J4" s="1">
        <v>46119</v>
      </c>
      <c r="K4" s="18" t="s">
        <v>17</v>
      </c>
      <c r="L4" s="18" t="s">
        <v>312</v>
      </c>
      <c r="M4" s="18" t="s">
        <v>19</v>
      </c>
      <c r="N4" s="18" t="s">
        <v>7392</v>
      </c>
      <c r="O4">
        <v>1</v>
      </c>
    </row>
    <row r="5" spans="1:15" x14ac:dyDescent="0.25">
      <c r="A5" s="18" t="s">
        <v>7276</v>
      </c>
      <c r="B5" s="18" t="s">
        <v>7389</v>
      </c>
      <c r="C5" s="18" t="s">
        <v>7390</v>
      </c>
      <c r="D5" s="18" t="s">
        <v>15</v>
      </c>
      <c r="E5" s="18" t="s">
        <v>7393</v>
      </c>
      <c r="F5" s="2">
        <f>+J5-I5</f>
        <v>1</v>
      </c>
      <c r="G5" s="2">
        <f ca="1">+TODAY()-I5</f>
        <v>2</v>
      </c>
      <c r="H5" s="15">
        <v>166776</v>
      </c>
      <c r="I5" s="1">
        <v>46118</v>
      </c>
      <c r="J5" s="1">
        <v>46119</v>
      </c>
      <c r="K5" s="18" t="s">
        <v>17</v>
      </c>
      <c r="L5" s="18" t="s">
        <v>312</v>
      </c>
      <c r="M5" s="18" t="s">
        <v>19</v>
      </c>
      <c r="N5" s="18" t="s">
        <v>7392</v>
      </c>
      <c r="O5">
        <v>1</v>
      </c>
    </row>
    <row r="6" spans="1:15" x14ac:dyDescent="0.25">
      <c r="A6" s="18" t="s">
        <v>7276</v>
      </c>
      <c r="B6" s="18" t="s">
        <v>3998</v>
      </c>
      <c r="C6" s="18" t="s">
        <v>3999</v>
      </c>
      <c r="D6" s="18" t="s">
        <v>916</v>
      </c>
      <c r="E6" s="18" t="s">
        <v>6999</v>
      </c>
      <c r="F6" s="2">
        <f>+J6-I6</f>
        <v>1</v>
      </c>
      <c r="G6" s="2">
        <f ca="1">+TODAY()-I6</f>
        <v>9</v>
      </c>
      <c r="H6" s="15">
        <v>142147</v>
      </c>
      <c r="I6" s="1">
        <v>46111</v>
      </c>
      <c r="J6" s="1">
        <v>46112</v>
      </c>
      <c r="K6" s="18" t="s">
        <v>918</v>
      </c>
      <c r="L6" s="18" t="s">
        <v>312</v>
      </c>
      <c r="M6" s="18" t="s">
        <v>19</v>
      </c>
      <c r="N6" s="18" t="s">
        <v>4001</v>
      </c>
      <c r="O6">
        <v>1</v>
      </c>
    </row>
    <row r="7" spans="1:15" x14ac:dyDescent="0.25">
      <c r="A7" s="18" t="s">
        <v>7276</v>
      </c>
      <c r="B7" s="18" t="s">
        <v>3998</v>
      </c>
      <c r="C7" s="18" t="s">
        <v>3999</v>
      </c>
      <c r="D7" s="18" t="s">
        <v>916</v>
      </c>
      <c r="E7" s="18" t="s">
        <v>7744</v>
      </c>
      <c r="F7" s="2">
        <f>+J7-I7</f>
        <v>1</v>
      </c>
      <c r="G7" s="2">
        <f ca="1">+TODAY()-I7</f>
        <v>1</v>
      </c>
      <c r="H7" s="15">
        <v>70751</v>
      </c>
      <c r="I7" s="1">
        <v>46119</v>
      </c>
      <c r="J7" s="1">
        <v>46120</v>
      </c>
      <c r="K7" s="18" t="s">
        <v>918</v>
      </c>
      <c r="L7" s="18" t="s">
        <v>312</v>
      </c>
      <c r="M7" s="18" t="s">
        <v>19</v>
      </c>
      <c r="N7" s="18" t="s">
        <v>4001</v>
      </c>
      <c r="O7">
        <v>1</v>
      </c>
    </row>
    <row r="8" spans="1:15" x14ac:dyDescent="0.25">
      <c r="A8" s="18" t="s">
        <v>7276</v>
      </c>
      <c r="B8" s="18" t="s">
        <v>3998</v>
      </c>
      <c r="C8" s="18" t="s">
        <v>3999</v>
      </c>
      <c r="D8" s="18" t="s">
        <v>916</v>
      </c>
      <c r="E8" s="18" t="s">
        <v>7745</v>
      </c>
      <c r="F8" s="2">
        <f>+J8-I8</f>
        <v>1</v>
      </c>
      <c r="G8" s="2">
        <f ca="1">+TODAY()-I8</f>
        <v>1</v>
      </c>
      <c r="H8" s="15">
        <v>38200</v>
      </c>
      <c r="I8" s="1">
        <v>46119</v>
      </c>
      <c r="J8" s="1">
        <v>46120</v>
      </c>
      <c r="K8" s="18" t="s">
        <v>918</v>
      </c>
      <c r="L8" s="18" t="s">
        <v>312</v>
      </c>
      <c r="M8" s="18" t="s">
        <v>19</v>
      </c>
      <c r="N8" s="18" t="s">
        <v>4001</v>
      </c>
      <c r="O8">
        <v>1</v>
      </c>
    </row>
    <row r="9" spans="1:15" x14ac:dyDescent="0.25">
      <c r="A9" s="18" t="s">
        <v>7276</v>
      </c>
      <c r="B9" s="18" t="s">
        <v>6342</v>
      </c>
      <c r="C9" s="18" t="s">
        <v>6343</v>
      </c>
      <c r="D9" s="18" t="s">
        <v>1498</v>
      </c>
      <c r="E9" s="18" t="s">
        <v>6344</v>
      </c>
      <c r="F9" s="2">
        <f>+J9-I9</f>
        <v>30</v>
      </c>
      <c r="G9" s="2">
        <f ca="1">+TODAY()-I9</f>
        <v>19</v>
      </c>
      <c r="H9" s="15">
        <v>8</v>
      </c>
      <c r="I9" s="1">
        <v>46101</v>
      </c>
      <c r="J9" s="1">
        <v>46131</v>
      </c>
      <c r="K9" s="18" t="s">
        <v>1500</v>
      </c>
      <c r="L9" s="18" t="s">
        <v>984</v>
      </c>
      <c r="M9" s="18" t="s">
        <v>19</v>
      </c>
      <c r="N9" s="18" t="s">
        <v>6345</v>
      </c>
      <c r="O9">
        <v>1</v>
      </c>
    </row>
    <row r="10" spans="1:15" x14ac:dyDescent="0.25">
      <c r="A10" s="18" t="s">
        <v>7276</v>
      </c>
      <c r="B10" s="18" t="s">
        <v>6342</v>
      </c>
      <c r="C10" s="18" t="s">
        <v>6343</v>
      </c>
      <c r="D10" s="18" t="s">
        <v>1498</v>
      </c>
      <c r="E10" s="18" t="s">
        <v>6346</v>
      </c>
      <c r="F10" s="2">
        <f>+J10-I10</f>
        <v>30</v>
      </c>
      <c r="G10" s="2">
        <f ca="1">+TODAY()-I10</f>
        <v>19</v>
      </c>
      <c r="H10" s="15">
        <v>3122400</v>
      </c>
      <c r="I10" s="1">
        <v>46101</v>
      </c>
      <c r="J10" s="1">
        <v>46131</v>
      </c>
      <c r="K10" s="18" t="s">
        <v>1500</v>
      </c>
      <c r="L10" s="18" t="s">
        <v>984</v>
      </c>
      <c r="M10" s="18" t="s">
        <v>19</v>
      </c>
      <c r="N10" s="18" t="s">
        <v>6345</v>
      </c>
      <c r="O10">
        <v>1</v>
      </c>
    </row>
    <row r="11" spans="1:15" x14ac:dyDescent="0.25">
      <c r="A11" s="18" t="s">
        <v>7276</v>
      </c>
      <c r="B11" s="18" t="s">
        <v>6342</v>
      </c>
      <c r="C11" s="18" t="s">
        <v>6343</v>
      </c>
      <c r="D11" s="18" t="s">
        <v>1498</v>
      </c>
      <c r="E11" s="18" t="s">
        <v>7588</v>
      </c>
      <c r="F11" s="2">
        <f>+J11-I11</f>
        <v>30</v>
      </c>
      <c r="G11" s="2">
        <f ca="1">+TODAY()-I11</f>
        <v>7</v>
      </c>
      <c r="H11" s="15">
        <v>602112</v>
      </c>
      <c r="I11" s="1">
        <v>46113</v>
      </c>
      <c r="J11" s="1">
        <v>46143</v>
      </c>
      <c r="K11" s="18" t="s">
        <v>1500</v>
      </c>
      <c r="L11" s="18" t="s">
        <v>984</v>
      </c>
      <c r="M11" s="18" t="s">
        <v>19</v>
      </c>
      <c r="N11" s="18" t="s">
        <v>6345</v>
      </c>
      <c r="O11">
        <v>1</v>
      </c>
    </row>
    <row r="12" spans="1:15" x14ac:dyDescent="0.25">
      <c r="A12" s="18" t="s">
        <v>7276</v>
      </c>
      <c r="B12" s="18" t="s">
        <v>6342</v>
      </c>
      <c r="C12" s="18" t="s">
        <v>6343</v>
      </c>
      <c r="D12" s="18" t="s">
        <v>1498</v>
      </c>
      <c r="E12" s="18" t="s">
        <v>7589</v>
      </c>
      <c r="F12" s="2">
        <f>+J12-I12</f>
        <v>30</v>
      </c>
      <c r="G12" s="2">
        <f ca="1">+TODAY()-I12</f>
        <v>7</v>
      </c>
      <c r="H12" s="15">
        <v>2959600</v>
      </c>
      <c r="I12" s="1">
        <v>46113</v>
      </c>
      <c r="J12" s="1">
        <v>46143</v>
      </c>
      <c r="K12" s="18" t="s">
        <v>1500</v>
      </c>
      <c r="L12" s="18" t="s">
        <v>984</v>
      </c>
      <c r="M12" s="18" t="s">
        <v>19</v>
      </c>
      <c r="N12" s="18" t="s">
        <v>6345</v>
      </c>
      <c r="O12">
        <v>1</v>
      </c>
    </row>
    <row r="13" spans="1:15" x14ac:dyDescent="0.25">
      <c r="A13" s="18" t="s">
        <v>7276</v>
      </c>
      <c r="B13" s="18" t="s">
        <v>1449</v>
      </c>
      <c r="C13" s="18" t="s">
        <v>1450</v>
      </c>
      <c r="D13" s="18" t="s">
        <v>15</v>
      </c>
      <c r="E13" s="18" t="s">
        <v>6861</v>
      </c>
      <c r="F13" s="2">
        <f>+J13-I13</f>
        <v>30</v>
      </c>
      <c r="G13" s="2">
        <f ca="1">+TODAY()-I13</f>
        <v>8</v>
      </c>
      <c r="H13" s="15">
        <v>506998</v>
      </c>
      <c r="I13" s="1">
        <v>46112</v>
      </c>
      <c r="J13" s="1">
        <v>46142</v>
      </c>
      <c r="K13" s="18" t="s">
        <v>17</v>
      </c>
      <c r="L13" s="18" t="s">
        <v>90</v>
      </c>
      <c r="M13" s="18" t="s">
        <v>19</v>
      </c>
      <c r="N13" s="18" t="s">
        <v>1451</v>
      </c>
      <c r="O13">
        <v>30</v>
      </c>
    </row>
    <row r="14" spans="1:15" x14ac:dyDescent="0.25">
      <c r="A14" s="18" t="s">
        <v>7276</v>
      </c>
      <c r="B14" s="18" t="s">
        <v>1449</v>
      </c>
      <c r="C14" s="18" t="s">
        <v>1450</v>
      </c>
      <c r="D14" s="18" t="s">
        <v>15</v>
      </c>
      <c r="E14" s="18" t="s">
        <v>6862</v>
      </c>
      <c r="F14" s="2">
        <f>+J14-I14</f>
        <v>30</v>
      </c>
      <c r="G14" s="2">
        <f ca="1">+TODAY()-I14</f>
        <v>8</v>
      </c>
      <c r="H14" s="15">
        <v>2251734</v>
      </c>
      <c r="I14" s="1">
        <v>46112</v>
      </c>
      <c r="J14" s="1">
        <v>46142</v>
      </c>
      <c r="K14" s="18" t="s">
        <v>17</v>
      </c>
      <c r="L14" s="18" t="s">
        <v>90</v>
      </c>
      <c r="M14" s="18" t="s">
        <v>19</v>
      </c>
      <c r="N14" s="18" t="s">
        <v>1451</v>
      </c>
      <c r="O14">
        <v>30</v>
      </c>
    </row>
    <row r="15" spans="1:15" x14ac:dyDescent="0.25">
      <c r="A15" s="18" t="s">
        <v>7276</v>
      </c>
      <c r="B15" s="18" t="s">
        <v>1449</v>
      </c>
      <c r="C15" s="18" t="s">
        <v>1450</v>
      </c>
      <c r="D15" s="18" t="s">
        <v>15</v>
      </c>
      <c r="E15" s="18" t="s">
        <v>6885</v>
      </c>
      <c r="F15" s="2">
        <f>+J15-I15</f>
        <v>1</v>
      </c>
      <c r="G15" s="2">
        <f ca="1">+TODAY()-I15</f>
        <v>8</v>
      </c>
      <c r="H15" s="15">
        <v>1260000</v>
      </c>
      <c r="I15" s="1">
        <v>46112</v>
      </c>
      <c r="J15" s="1">
        <v>46113</v>
      </c>
      <c r="K15" s="18" t="s">
        <v>17</v>
      </c>
      <c r="L15" s="18" t="s">
        <v>317</v>
      </c>
      <c r="M15" s="18" t="s">
        <v>19</v>
      </c>
      <c r="N15" s="18" t="s">
        <v>1451</v>
      </c>
      <c r="O15">
        <v>30</v>
      </c>
    </row>
    <row r="16" spans="1:15" x14ac:dyDescent="0.25">
      <c r="A16" s="18" t="s">
        <v>7276</v>
      </c>
      <c r="B16" s="18" t="s">
        <v>1449</v>
      </c>
      <c r="C16" s="18" t="s">
        <v>1450</v>
      </c>
      <c r="D16" s="18" t="s">
        <v>15</v>
      </c>
      <c r="E16" s="18" t="s">
        <v>5302</v>
      </c>
      <c r="F16" s="2">
        <f>+J16-I16</f>
        <v>30</v>
      </c>
      <c r="G16" s="2">
        <f ca="1">+TODAY()-I16</f>
        <v>47</v>
      </c>
      <c r="H16" s="15">
        <v>83921</v>
      </c>
      <c r="I16" s="1">
        <v>46073</v>
      </c>
      <c r="J16" s="1">
        <v>46103</v>
      </c>
      <c r="K16" s="18" t="s">
        <v>1403</v>
      </c>
      <c r="L16" s="18" t="s">
        <v>90</v>
      </c>
      <c r="M16" s="18" t="s">
        <v>19</v>
      </c>
      <c r="N16" s="18" t="s">
        <v>1451</v>
      </c>
      <c r="O16">
        <v>30</v>
      </c>
    </row>
    <row r="17" spans="1:15" x14ac:dyDescent="0.25">
      <c r="A17" s="18" t="s">
        <v>7276</v>
      </c>
      <c r="B17" s="18" t="s">
        <v>1449</v>
      </c>
      <c r="C17" s="18" t="s">
        <v>1450</v>
      </c>
      <c r="D17" s="18" t="s">
        <v>15</v>
      </c>
      <c r="E17" s="18" t="s">
        <v>5303</v>
      </c>
      <c r="F17" s="2">
        <f>+J17-I17</f>
        <v>30</v>
      </c>
      <c r="G17" s="2">
        <f ca="1">+TODAY()-I17</f>
        <v>47</v>
      </c>
      <c r="H17" s="15">
        <v>993875</v>
      </c>
      <c r="I17" s="1">
        <v>46073</v>
      </c>
      <c r="J17" s="1">
        <v>46103</v>
      </c>
      <c r="K17" s="18" t="s">
        <v>1403</v>
      </c>
      <c r="L17" s="18" t="s">
        <v>90</v>
      </c>
      <c r="M17" s="18" t="s">
        <v>19</v>
      </c>
      <c r="N17" s="18" t="s">
        <v>1451</v>
      </c>
      <c r="O17">
        <v>30</v>
      </c>
    </row>
    <row r="18" spans="1:15" x14ac:dyDescent="0.25">
      <c r="A18" s="18" t="s">
        <v>7276</v>
      </c>
      <c r="B18" s="18" t="s">
        <v>1449</v>
      </c>
      <c r="C18" s="18" t="s">
        <v>1450</v>
      </c>
      <c r="D18" s="18" t="s">
        <v>15</v>
      </c>
      <c r="E18" s="18" t="s">
        <v>7198</v>
      </c>
      <c r="F18" s="2">
        <f>+J18-I18</f>
        <v>30</v>
      </c>
      <c r="G18" s="2">
        <f ca="1">+TODAY()-I18</f>
        <v>8</v>
      </c>
      <c r="H18" s="15">
        <v>1255594</v>
      </c>
      <c r="I18" s="1">
        <v>46112</v>
      </c>
      <c r="J18" s="1">
        <v>46142</v>
      </c>
      <c r="K18" s="18" t="s">
        <v>1403</v>
      </c>
      <c r="L18" s="18" t="s">
        <v>90</v>
      </c>
      <c r="M18" s="18" t="s">
        <v>19</v>
      </c>
      <c r="N18" s="18" t="s">
        <v>1451</v>
      </c>
      <c r="O18">
        <v>30</v>
      </c>
    </row>
    <row r="19" spans="1:15" x14ac:dyDescent="0.25">
      <c r="A19" s="18" t="s">
        <v>7276</v>
      </c>
      <c r="B19" s="18" t="s">
        <v>1960</v>
      </c>
      <c r="C19" s="18" t="s">
        <v>1961</v>
      </c>
      <c r="D19" s="18" t="s">
        <v>1962</v>
      </c>
      <c r="E19" s="18" t="s">
        <v>5693</v>
      </c>
      <c r="F19" s="2">
        <f>+J19-I19</f>
        <v>30</v>
      </c>
      <c r="G19" s="2">
        <f ca="1">+TODAY()-I19</f>
        <v>28</v>
      </c>
      <c r="H19" s="15">
        <v>1038517</v>
      </c>
      <c r="I19" s="1">
        <v>46092</v>
      </c>
      <c r="J19" s="1">
        <v>46122</v>
      </c>
      <c r="K19" s="18" t="s">
        <v>343</v>
      </c>
      <c r="L19" s="18" t="s">
        <v>18</v>
      </c>
      <c r="M19" s="18" t="s">
        <v>19</v>
      </c>
      <c r="N19" s="18" t="s">
        <v>1963</v>
      </c>
      <c r="O19">
        <v>30</v>
      </c>
    </row>
    <row r="20" spans="1:15" x14ac:dyDescent="0.25">
      <c r="A20" s="18" t="s">
        <v>7276</v>
      </c>
      <c r="B20" s="18" t="s">
        <v>1960</v>
      </c>
      <c r="C20" s="18" t="s">
        <v>1961</v>
      </c>
      <c r="D20" s="18" t="s">
        <v>1962</v>
      </c>
      <c r="E20" s="18" t="s">
        <v>6460</v>
      </c>
      <c r="F20" s="2">
        <f>+J20-I20</f>
        <v>30</v>
      </c>
      <c r="G20" s="2">
        <f ca="1">+TODAY()-I20</f>
        <v>14</v>
      </c>
      <c r="H20" s="15">
        <v>1201182</v>
      </c>
      <c r="I20" s="1">
        <v>46106</v>
      </c>
      <c r="J20" s="1">
        <v>46136</v>
      </c>
      <c r="K20" s="18" t="s">
        <v>343</v>
      </c>
      <c r="L20" s="18" t="s">
        <v>18</v>
      </c>
      <c r="M20" s="18" t="s">
        <v>19</v>
      </c>
      <c r="N20" s="18" t="s">
        <v>1963</v>
      </c>
      <c r="O20">
        <v>30</v>
      </c>
    </row>
    <row r="21" spans="1:15" x14ac:dyDescent="0.25">
      <c r="A21" s="18" t="s">
        <v>7276</v>
      </c>
      <c r="B21" s="18" t="s">
        <v>1960</v>
      </c>
      <c r="C21" s="18" t="s">
        <v>1961</v>
      </c>
      <c r="D21" s="18" t="s">
        <v>1962</v>
      </c>
      <c r="E21" s="18" t="s">
        <v>7703</v>
      </c>
      <c r="F21" s="2">
        <f>+J21-I21</f>
        <v>30</v>
      </c>
      <c r="G21" s="2">
        <f ca="1">+TODAY()-I21</f>
        <v>1</v>
      </c>
      <c r="H21" s="15">
        <v>2443343</v>
      </c>
      <c r="I21" s="1">
        <v>46119</v>
      </c>
      <c r="J21" s="1">
        <v>46149</v>
      </c>
      <c r="K21" s="18" t="s">
        <v>343</v>
      </c>
      <c r="L21" s="18" t="s">
        <v>18</v>
      </c>
      <c r="M21" s="18" t="s">
        <v>19</v>
      </c>
      <c r="N21" s="18" t="s">
        <v>1963</v>
      </c>
      <c r="O21">
        <v>30</v>
      </c>
    </row>
    <row r="22" spans="1:15" x14ac:dyDescent="0.25">
      <c r="A22" s="18" t="s">
        <v>7276</v>
      </c>
      <c r="B22" s="18" t="s">
        <v>6290</v>
      </c>
      <c r="C22" s="18" t="s">
        <v>6291</v>
      </c>
      <c r="D22" s="18" t="s">
        <v>1209</v>
      </c>
      <c r="E22" s="18" t="s">
        <v>7117</v>
      </c>
      <c r="F22" s="2">
        <f>+J22-I22</f>
        <v>1</v>
      </c>
      <c r="G22" s="2">
        <f ca="1">+TODAY()-I22</f>
        <v>8</v>
      </c>
      <c r="H22" s="15">
        <v>119525</v>
      </c>
      <c r="I22" s="1">
        <v>46112</v>
      </c>
      <c r="J22" s="1">
        <v>46113</v>
      </c>
      <c r="K22" s="18" t="s">
        <v>1202</v>
      </c>
      <c r="L22" s="18" t="s">
        <v>321</v>
      </c>
      <c r="M22" s="18" t="s">
        <v>19</v>
      </c>
      <c r="N22" s="18" t="s">
        <v>149</v>
      </c>
      <c r="O22">
        <v>1</v>
      </c>
    </row>
    <row r="23" spans="1:15" x14ac:dyDescent="0.25">
      <c r="A23" s="18" t="s">
        <v>7276</v>
      </c>
      <c r="B23" s="18" t="s">
        <v>1149</v>
      </c>
      <c r="C23" s="18" t="s">
        <v>1150</v>
      </c>
      <c r="D23" s="18" t="s">
        <v>1118</v>
      </c>
      <c r="E23" s="18" t="s">
        <v>5738</v>
      </c>
      <c r="F23" s="2">
        <f>+J23-I23</f>
        <v>30</v>
      </c>
      <c r="G23" s="2">
        <f ca="1">+TODAY()-I23</f>
        <v>30</v>
      </c>
      <c r="H23" s="15">
        <v>599598</v>
      </c>
      <c r="I23" s="1">
        <v>46090</v>
      </c>
      <c r="J23" s="1">
        <v>46120</v>
      </c>
      <c r="K23" s="18" t="s">
        <v>1144</v>
      </c>
      <c r="L23" s="18" t="s">
        <v>207</v>
      </c>
      <c r="M23" s="18" t="s">
        <v>19</v>
      </c>
      <c r="N23" s="18" t="s">
        <v>1151</v>
      </c>
      <c r="O23">
        <v>30</v>
      </c>
    </row>
    <row r="24" spans="1:15" x14ac:dyDescent="0.25">
      <c r="A24" s="18" t="s">
        <v>7276</v>
      </c>
      <c r="B24" s="18" t="s">
        <v>1149</v>
      </c>
      <c r="C24" s="18" t="s">
        <v>1150</v>
      </c>
      <c r="D24" s="18" t="s">
        <v>1118</v>
      </c>
      <c r="E24" s="18" t="s">
        <v>5739</v>
      </c>
      <c r="F24" s="2">
        <f>+J24-I24</f>
        <v>30</v>
      </c>
      <c r="G24" s="2">
        <f ca="1">+TODAY()-I24</f>
        <v>30</v>
      </c>
      <c r="H24" s="15">
        <v>245755</v>
      </c>
      <c r="I24" s="1">
        <v>46090</v>
      </c>
      <c r="J24" s="1">
        <v>46120</v>
      </c>
      <c r="K24" s="18" t="s">
        <v>1144</v>
      </c>
      <c r="L24" s="18" t="s">
        <v>207</v>
      </c>
      <c r="M24" s="18" t="s">
        <v>19</v>
      </c>
      <c r="N24" s="18" t="s">
        <v>1151</v>
      </c>
      <c r="O24">
        <v>30</v>
      </c>
    </row>
    <row r="25" spans="1:15" x14ac:dyDescent="0.25">
      <c r="A25" s="18" t="s">
        <v>7276</v>
      </c>
      <c r="B25" s="18" t="s">
        <v>1149</v>
      </c>
      <c r="C25" s="18" t="s">
        <v>1150</v>
      </c>
      <c r="D25" s="18" t="s">
        <v>1118</v>
      </c>
      <c r="E25" s="18" t="s">
        <v>5991</v>
      </c>
      <c r="F25" s="2">
        <f>+J25-I25</f>
        <v>30</v>
      </c>
      <c r="G25" s="2">
        <f ca="1">+TODAY()-I25</f>
        <v>25</v>
      </c>
      <c r="H25" s="15">
        <v>2401614</v>
      </c>
      <c r="I25" s="1">
        <v>46095</v>
      </c>
      <c r="J25" s="1">
        <v>46125</v>
      </c>
      <c r="K25" s="18" t="s">
        <v>1144</v>
      </c>
      <c r="L25" s="18" t="s">
        <v>207</v>
      </c>
      <c r="M25" s="18" t="s">
        <v>19</v>
      </c>
      <c r="N25" s="18" t="s">
        <v>1151</v>
      </c>
      <c r="O25">
        <v>30</v>
      </c>
    </row>
    <row r="26" spans="1:15" x14ac:dyDescent="0.25">
      <c r="A26" s="18" t="s">
        <v>7276</v>
      </c>
      <c r="B26" s="18" t="s">
        <v>1149</v>
      </c>
      <c r="C26" s="18" t="s">
        <v>1150</v>
      </c>
      <c r="D26" s="18" t="s">
        <v>1118</v>
      </c>
      <c r="E26" s="18" t="s">
        <v>6521</v>
      </c>
      <c r="F26" s="2">
        <f>+J26-I26</f>
        <v>30</v>
      </c>
      <c r="G26" s="2">
        <f ca="1">+TODAY()-I26</f>
        <v>15</v>
      </c>
      <c r="H26" s="15">
        <v>524197</v>
      </c>
      <c r="I26" s="1">
        <v>46105</v>
      </c>
      <c r="J26" s="1">
        <v>46135</v>
      </c>
      <c r="K26" s="18" t="s">
        <v>1144</v>
      </c>
      <c r="L26" s="18" t="s">
        <v>207</v>
      </c>
      <c r="M26" s="18" t="s">
        <v>19</v>
      </c>
      <c r="N26" s="18" t="s">
        <v>1151</v>
      </c>
      <c r="O26">
        <v>30</v>
      </c>
    </row>
    <row r="27" spans="1:15" x14ac:dyDescent="0.25">
      <c r="A27" s="18" t="s">
        <v>7276</v>
      </c>
      <c r="B27" s="18" t="s">
        <v>1149</v>
      </c>
      <c r="C27" s="18" t="s">
        <v>1150</v>
      </c>
      <c r="D27" s="18" t="s">
        <v>1118</v>
      </c>
      <c r="E27" s="18" t="s">
        <v>7087</v>
      </c>
      <c r="F27" s="2">
        <f>+J27-I27</f>
        <v>30</v>
      </c>
      <c r="G27" s="2">
        <f ca="1">+TODAY()-I27</f>
        <v>9</v>
      </c>
      <c r="H27" s="15">
        <v>894824</v>
      </c>
      <c r="I27" s="1">
        <v>46111</v>
      </c>
      <c r="J27" s="1">
        <v>46141</v>
      </c>
      <c r="K27" s="18" t="s">
        <v>1144</v>
      </c>
      <c r="L27" s="18" t="s">
        <v>207</v>
      </c>
      <c r="M27" s="18" t="s">
        <v>19</v>
      </c>
      <c r="N27" s="18" t="s">
        <v>1151</v>
      </c>
      <c r="O27">
        <v>30</v>
      </c>
    </row>
    <row r="28" spans="1:15" x14ac:dyDescent="0.25">
      <c r="A28" s="18" t="s">
        <v>7276</v>
      </c>
      <c r="B28" s="18" t="s">
        <v>1149</v>
      </c>
      <c r="C28" s="18" t="s">
        <v>1150</v>
      </c>
      <c r="D28" s="18" t="s">
        <v>1118</v>
      </c>
      <c r="E28" s="18" t="s">
        <v>7088</v>
      </c>
      <c r="F28" s="2">
        <f>+J28-I28</f>
        <v>30</v>
      </c>
      <c r="G28" s="2">
        <f ca="1">+TODAY()-I28</f>
        <v>9</v>
      </c>
      <c r="H28" s="15">
        <v>1672168</v>
      </c>
      <c r="I28" s="1">
        <v>46111</v>
      </c>
      <c r="J28" s="1">
        <v>46141</v>
      </c>
      <c r="K28" s="18" t="s">
        <v>1144</v>
      </c>
      <c r="L28" s="18" t="s">
        <v>207</v>
      </c>
      <c r="M28" s="18" t="s">
        <v>19</v>
      </c>
      <c r="N28" s="18" t="s">
        <v>1151</v>
      </c>
      <c r="O28">
        <v>30</v>
      </c>
    </row>
    <row r="29" spans="1:15" x14ac:dyDescent="0.25">
      <c r="A29" s="18" t="s">
        <v>7276</v>
      </c>
      <c r="B29" s="18" t="s">
        <v>1149</v>
      </c>
      <c r="C29" s="18" t="s">
        <v>1150</v>
      </c>
      <c r="D29" s="18" t="s">
        <v>1118</v>
      </c>
      <c r="E29" s="18" t="s">
        <v>7540</v>
      </c>
      <c r="F29" s="2">
        <f>+J29-I29</f>
        <v>30</v>
      </c>
      <c r="G29" s="2">
        <f ca="1">+TODAY()-I29</f>
        <v>2</v>
      </c>
      <c r="H29" s="15">
        <v>1115400</v>
      </c>
      <c r="I29" s="1">
        <v>46118</v>
      </c>
      <c r="J29" s="1">
        <v>46148</v>
      </c>
      <c r="K29" s="18" t="s">
        <v>1144</v>
      </c>
      <c r="L29" s="18" t="s">
        <v>207</v>
      </c>
      <c r="M29" s="18" t="s">
        <v>19</v>
      </c>
      <c r="N29" s="18" t="s">
        <v>1151</v>
      </c>
      <c r="O29">
        <v>30</v>
      </c>
    </row>
    <row r="30" spans="1:15" x14ac:dyDescent="0.25">
      <c r="A30" s="18" t="s">
        <v>7276</v>
      </c>
      <c r="B30" s="18" t="s">
        <v>1149</v>
      </c>
      <c r="C30" s="18" t="s">
        <v>1150</v>
      </c>
      <c r="D30" s="18" t="s">
        <v>1118</v>
      </c>
      <c r="E30" s="18" t="s">
        <v>7541</v>
      </c>
      <c r="F30" s="2">
        <f>+J30-I30</f>
        <v>30</v>
      </c>
      <c r="G30" s="2">
        <f ca="1">+TODAY()-I30</f>
        <v>2</v>
      </c>
      <c r="H30" s="15">
        <v>1658599</v>
      </c>
      <c r="I30" s="1">
        <v>46118</v>
      </c>
      <c r="J30" s="1">
        <v>46148</v>
      </c>
      <c r="K30" s="18" t="s">
        <v>1144</v>
      </c>
      <c r="L30" s="18" t="s">
        <v>207</v>
      </c>
      <c r="M30" s="18" t="s">
        <v>19</v>
      </c>
      <c r="N30" s="18" t="s">
        <v>1151</v>
      </c>
      <c r="O30">
        <v>30</v>
      </c>
    </row>
    <row r="31" spans="1:15" x14ac:dyDescent="0.25">
      <c r="A31" s="18" t="s">
        <v>7276</v>
      </c>
      <c r="B31" s="18" t="s">
        <v>1149</v>
      </c>
      <c r="C31" s="18" t="s">
        <v>1150</v>
      </c>
      <c r="D31" s="18" t="s">
        <v>1118</v>
      </c>
      <c r="E31" s="18" t="s">
        <v>6021</v>
      </c>
      <c r="F31" s="2">
        <f>+J31-I31</f>
        <v>30</v>
      </c>
      <c r="G31" s="2">
        <f ca="1">+TODAY()-I31</f>
        <v>23</v>
      </c>
      <c r="H31" s="15">
        <v>300719</v>
      </c>
      <c r="I31" s="1">
        <v>46097</v>
      </c>
      <c r="J31" s="1">
        <v>46127</v>
      </c>
      <c r="K31" s="18" t="s">
        <v>1144</v>
      </c>
      <c r="L31" s="18" t="s">
        <v>47</v>
      </c>
      <c r="M31" s="18" t="s">
        <v>19</v>
      </c>
      <c r="N31" s="18" t="s">
        <v>1151</v>
      </c>
      <c r="O31">
        <v>30</v>
      </c>
    </row>
    <row r="32" spans="1:15" x14ac:dyDescent="0.25">
      <c r="A32" s="18" t="s">
        <v>7276</v>
      </c>
      <c r="B32" s="18" t="s">
        <v>1149</v>
      </c>
      <c r="C32" s="18" t="s">
        <v>1150</v>
      </c>
      <c r="D32" s="18" t="s">
        <v>1118</v>
      </c>
      <c r="E32" s="18" t="s">
        <v>6024</v>
      </c>
      <c r="F32" s="2">
        <f>+J32-I32</f>
        <v>30</v>
      </c>
      <c r="G32" s="2">
        <f ca="1">+TODAY()-I32</f>
        <v>23</v>
      </c>
      <c r="H32" s="15">
        <v>259201</v>
      </c>
      <c r="I32" s="1">
        <v>46097</v>
      </c>
      <c r="J32" s="1">
        <v>46127</v>
      </c>
      <c r="K32" s="18" t="s">
        <v>1144</v>
      </c>
      <c r="L32" s="18" t="s">
        <v>117</v>
      </c>
      <c r="M32" s="18" t="s">
        <v>19</v>
      </c>
      <c r="N32" s="18" t="s">
        <v>1151</v>
      </c>
      <c r="O32">
        <v>30</v>
      </c>
    </row>
    <row r="33" spans="1:15" x14ac:dyDescent="0.25">
      <c r="A33" s="18" t="s">
        <v>7276</v>
      </c>
      <c r="B33" s="18" t="s">
        <v>2069</v>
      </c>
      <c r="C33" s="18" t="s">
        <v>2070</v>
      </c>
      <c r="D33" s="18" t="s">
        <v>916</v>
      </c>
      <c r="E33" s="18" t="s">
        <v>7491</v>
      </c>
      <c r="F33" s="2">
        <f>+J33-I33</f>
        <v>15</v>
      </c>
      <c r="G33" s="2">
        <f ca="1">+TODAY()-I33</f>
        <v>2</v>
      </c>
      <c r="H33" s="15">
        <v>363109</v>
      </c>
      <c r="I33" s="1">
        <v>46118</v>
      </c>
      <c r="J33" s="1">
        <v>46133</v>
      </c>
      <c r="K33" s="18" t="s">
        <v>918</v>
      </c>
      <c r="L33" s="18" t="s">
        <v>312</v>
      </c>
      <c r="M33" s="18" t="s">
        <v>19</v>
      </c>
      <c r="N33" s="18" t="s">
        <v>2071</v>
      </c>
      <c r="O33">
        <v>30</v>
      </c>
    </row>
    <row r="34" spans="1:15" x14ac:dyDescent="0.25">
      <c r="A34" s="18" t="s">
        <v>7276</v>
      </c>
      <c r="B34" s="18" t="s">
        <v>2069</v>
      </c>
      <c r="C34" s="18" t="s">
        <v>2070</v>
      </c>
      <c r="D34" s="18" t="s">
        <v>916</v>
      </c>
      <c r="E34" s="18" t="s">
        <v>7492</v>
      </c>
      <c r="F34" s="2">
        <f>+J34-I34</f>
        <v>15</v>
      </c>
      <c r="G34" s="2">
        <f ca="1">+TODAY()-I34</f>
        <v>2</v>
      </c>
      <c r="H34" s="15">
        <v>83728</v>
      </c>
      <c r="I34" s="1">
        <v>46118</v>
      </c>
      <c r="J34" s="1">
        <v>46133</v>
      </c>
      <c r="K34" s="18" t="s">
        <v>918</v>
      </c>
      <c r="L34" s="18" t="s">
        <v>312</v>
      </c>
      <c r="M34" s="18" t="s">
        <v>19</v>
      </c>
      <c r="N34" s="18" t="s">
        <v>2071</v>
      </c>
      <c r="O34">
        <v>30</v>
      </c>
    </row>
    <row r="35" spans="1:15" x14ac:dyDescent="0.25">
      <c r="A35" s="18" t="s">
        <v>7276</v>
      </c>
      <c r="B35" s="18" t="s">
        <v>7256</v>
      </c>
      <c r="C35" s="18" t="s">
        <v>7257</v>
      </c>
      <c r="D35" s="18" t="s">
        <v>6359</v>
      </c>
      <c r="E35" s="18" t="s">
        <v>7258</v>
      </c>
      <c r="F35" s="2">
        <f>+J35-I35</f>
        <v>1</v>
      </c>
      <c r="G35" s="2">
        <f ca="1">+TODAY()-I35</f>
        <v>8</v>
      </c>
      <c r="H35" s="15">
        <v>52380</v>
      </c>
      <c r="I35" s="1">
        <v>46112</v>
      </c>
      <c r="J35" s="1">
        <v>46113</v>
      </c>
      <c r="K35" s="18" t="s">
        <v>1734</v>
      </c>
      <c r="L35" s="18" t="s">
        <v>321</v>
      </c>
      <c r="M35" s="18" t="s">
        <v>19</v>
      </c>
      <c r="N35" s="18" t="s">
        <v>7259</v>
      </c>
      <c r="O35">
        <v>30</v>
      </c>
    </row>
    <row r="36" spans="1:15" x14ac:dyDescent="0.25">
      <c r="A36" s="18" t="s">
        <v>7276</v>
      </c>
      <c r="B36" s="18" t="s">
        <v>1990</v>
      </c>
      <c r="C36" s="18" t="s">
        <v>1991</v>
      </c>
      <c r="D36" s="18" t="s">
        <v>854</v>
      </c>
      <c r="E36" s="18" t="s">
        <v>5874</v>
      </c>
      <c r="F36" s="2">
        <f>+J36-I36</f>
        <v>30</v>
      </c>
      <c r="G36" s="2">
        <f ca="1">+TODAY()-I36</f>
        <v>26</v>
      </c>
      <c r="H36" s="15">
        <v>176349</v>
      </c>
      <c r="I36" s="1">
        <v>46094</v>
      </c>
      <c r="J36" s="1">
        <v>46124</v>
      </c>
      <c r="K36" s="18" t="s">
        <v>17</v>
      </c>
      <c r="L36" s="18" t="s">
        <v>47</v>
      </c>
      <c r="M36" s="18" t="s">
        <v>19</v>
      </c>
      <c r="N36" s="18" t="s">
        <v>6149</v>
      </c>
      <c r="O36">
        <v>30</v>
      </c>
    </row>
    <row r="37" spans="1:15" x14ac:dyDescent="0.25">
      <c r="A37" s="18" t="s">
        <v>7276</v>
      </c>
      <c r="B37" s="18" t="s">
        <v>1990</v>
      </c>
      <c r="C37" s="18" t="s">
        <v>1991</v>
      </c>
      <c r="D37" s="18" t="s">
        <v>854</v>
      </c>
      <c r="E37" s="18" t="s">
        <v>5236</v>
      </c>
      <c r="F37" s="2">
        <f>+J37-I37</f>
        <v>30</v>
      </c>
      <c r="G37" s="2">
        <f ca="1">+TODAY()-I37</f>
        <v>39</v>
      </c>
      <c r="H37" s="15">
        <v>2711067</v>
      </c>
      <c r="I37" s="1">
        <v>46081</v>
      </c>
      <c r="J37" s="1">
        <v>46111</v>
      </c>
      <c r="K37" s="18" t="s">
        <v>845</v>
      </c>
      <c r="L37" s="18" t="s">
        <v>18</v>
      </c>
      <c r="M37" s="18" t="s">
        <v>19</v>
      </c>
      <c r="N37" s="18" t="s">
        <v>6149</v>
      </c>
      <c r="O37">
        <v>30</v>
      </c>
    </row>
    <row r="38" spans="1:15" x14ac:dyDescent="0.25">
      <c r="A38" s="18" t="s">
        <v>7276</v>
      </c>
      <c r="B38" s="18" t="s">
        <v>1990</v>
      </c>
      <c r="C38" s="18" t="s">
        <v>1991</v>
      </c>
      <c r="D38" s="18" t="s">
        <v>854</v>
      </c>
      <c r="E38" s="18" t="s">
        <v>5957</v>
      </c>
      <c r="F38" s="2">
        <f>+J38-I38</f>
        <v>30</v>
      </c>
      <c r="G38" s="2">
        <f ca="1">+TODAY()-I38</f>
        <v>26</v>
      </c>
      <c r="H38" s="15">
        <v>2250205</v>
      </c>
      <c r="I38" s="1">
        <v>46094</v>
      </c>
      <c r="J38" s="1">
        <v>46124</v>
      </c>
      <c r="K38" s="18" t="s">
        <v>845</v>
      </c>
      <c r="L38" s="18" t="s">
        <v>18</v>
      </c>
      <c r="M38" s="18" t="s">
        <v>19</v>
      </c>
      <c r="N38" s="18" t="s">
        <v>6149</v>
      </c>
      <c r="O38">
        <v>30</v>
      </c>
    </row>
    <row r="39" spans="1:15" x14ac:dyDescent="0.25">
      <c r="A39" s="18" t="s">
        <v>7276</v>
      </c>
      <c r="B39" s="18" t="s">
        <v>1990</v>
      </c>
      <c r="C39" s="18" t="s">
        <v>1991</v>
      </c>
      <c r="D39" s="18" t="s">
        <v>854</v>
      </c>
      <c r="E39" s="18" t="s">
        <v>5958</v>
      </c>
      <c r="F39" s="2">
        <f>+J39-I39</f>
        <v>30</v>
      </c>
      <c r="G39" s="2">
        <f ca="1">+TODAY()-I39</f>
        <v>26</v>
      </c>
      <c r="H39" s="15">
        <v>1864321</v>
      </c>
      <c r="I39" s="1">
        <v>46094</v>
      </c>
      <c r="J39" s="1">
        <v>46124</v>
      </c>
      <c r="K39" s="18" t="s">
        <v>845</v>
      </c>
      <c r="L39" s="18" t="s">
        <v>18</v>
      </c>
      <c r="M39" s="18" t="s">
        <v>19</v>
      </c>
      <c r="N39" s="18" t="s">
        <v>6149</v>
      </c>
      <c r="O39">
        <v>30</v>
      </c>
    </row>
    <row r="40" spans="1:15" x14ac:dyDescent="0.25">
      <c r="A40" s="18" t="s">
        <v>7276</v>
      </c>
      <c r="B40" s="18" t="s">
        <v>1990</v>
      </c>
      <c r="C40" s="18" t="s">
        <v>1991</v>
      </c>
      <c r="D40" s="18" t="s">
        <v>854</v>
      </c>
      <c r="E40" s="18" t="s">
        <v>5959</v>
      </c>
      <c r="F40" s="2">
        <f>+J40-I40</f>
        <v>30</v>
      </c>
      <c r="G40" s="2">
        <f ca="1">+TODAY()-I40</f>
        <v>26</v>
      </c>
      <c r="H40" s="15">
        <v>765904</v>
      </c>
      <c r="I40" s="1">
        <v>46094</v>
      </c>
      <c r="J40" s="1">
        <v>46124</v>
      </c>
      <c r="K40" s="18" t="s">
        <v>845</v>
      </c>
      <c r="L40" s="18" t="s">
        <v>18</v>
      </c>
      <c r="M40" s="18" t="s">
        <v>19</v>
      </c>
      <c r="N40" s="18" t="s">
        <v>6149</v>
      </c>
      <c r="O40">
        <v>30</v>
      </c>
    </row>
    <row r="41" spans="1:15" x14ac:dyDescent="0.25">
      <c r="A41" s="18" t="s">
        <v>7276</v>
      </c>
      <c r="B41" s="18" t="s">
        <v>1990</v>
      </c>
      <c r="C41" s="18" t="s">
        <v>1991</v>
      </c>
      <c r="D41" s="18" t="s">
        <v>854</v>
      </c>
      <c r="E41" s="18" t="s">
        <v>5962</v>
      </c>
      <c r="F41" s="2">
        <f>+J41-I41</f>
        <v>30</v>
      </c>
      <c r="G41" s="2">
        <f ca="1">+TODAY()-I41</f>
        <v>26</v>
      </c>
      <c r="H41" s="15">
        <v>629844</v>
      </c>
      <c r="I41" s="1">
        <v>46094</v>
      </c>
      <c r="J41" s="1">
        <v>46124</v>
      </c>
      <c r="K41" s="18" t="s">
        <v>845</v>
      </c>
      <c r="L41" s="18" t="s">
        <v>117</v>
      </c>
      <c r="M41" s="18" t="s">
        <v>19</v>
      </c>
      <c r="N41" s="18" t="s">
        <v>6149</v>
      </c>
      <c r="O41">
        <v>30</v>
      </c>
    </row>
    <row r="42" spans="1:15" x14ac:dyDescent="0.25">
      <c r="A42" s="18" t="s">
        <v>7276</v>
      </c>
      <c r="B42" s="18" t="s">
        <v>1990</v>
      </c>
      <c r="C42" s="18" t="s">
        <v>1991</v>
      </c>
      <c r="D42" s="18" t="s">
        <v>854</v>
      </c>
      <c r="E42" s="18" t="s">
        <v>6988</v>
      </c>
      <c r="F42" s="2">
        <f>+J42-I42</f>
        <v>30</v>
      </c>
      <c r="G42" s="2">
        <f ca="1">+TODAY()-I42</f>
        <v>8</v>
      </c>
      <c r="H42" s="15">
        <v>1475000</v>
      </c>
      <c r="I42" s="1">
        <v>46112</v>
      </c>
      <c r="J42" s="1">
        <v>46142</v>
      </c>
      <c r="K42" s="18" t="s">
        <v>845</v>
      </c>
      <c r="L42" s="18" t="s">
        <v>117</v>
      </c>
      <c r="M42" s="18" t="s">
        <v>19</v>
      </c>
      <c r="N42" s="18" t="s">
        <v>6149</v>
      </c>
      <c r="O42">
        <v>30</v>
      </c>
    </row>
    <row r="43" spans="1:15" x14ac:dyDescent="0.25">
      <c r="A43" s="18" t="s">
        <v>7276</v>
      </c>
      <c r="B43" s="18" t="s">
        <v>1519</v>
      </c>
      <c r="C43" s="18" t="s">
        <v>1520</v>
      </c>
      <c r="D43" s="18" t="s">
        <v>1514</v>
      </c>
      <c r="E43" s="18" t="s">
        <v>3730</v>
      </c>
      <c r="F43" s="2">
        <f>+J43-I43</f>
        <v>30</v>
      </c>
      <c r="G43" s="2">
        <f ca="1">+TODAY()-I43</f>
        <v>88</v>
      </c>
      <c r="H43" s="15">
        <v>2258715</v>
      </c>
      <c r="I43" s="1">
        <v>46032</v>
      </c>
      <c r="J43" s="1">
        <v>46062</v>
      </c>
      <c r="K43" s="18" t="s">
        <v>1515</v>
      </c>
      <c r="L43" s="18" t="s">
        <v>984</v>
      </c>
      <c r="M43" s="18" t="s">
        <v>19</v>
      </c>
      <c r="N43" s="18" t="s">
        <v>1521</v>
      </c>
      <c r="O43">
        <v>30</v>
      </c>
    </row>
    <row r="44" spans="1:15" x14ac:dyDescent="0.25">
      <c r="A44" s="18" t="s">
        <v>7276</v>
      </c>
      <c r="B44" s="18" t="s">
        <v>1519</v>
      </c>
      <c r="C44" s="18" t="s">
        <v>1520</v>
      </c>
      <c r="D44" s="18" t="s">
        <v>1514</v>
      </c>
      <c r="E44" s="18" t="s">
        <v>3731</v>
      </c>
      <c r="F44" s="2">
        <f>+J44-I44</f>
        <v>30</v>
      </c>
      <c r="G44" s="2">
        <f ca="1">+TODAY()-I44</f>
        <v>88</v>
      </c>
      <c r="H44" s="15">
        <v>772500</v>
      </c>
      <c r="I44" s="1">
        <v>46032</v>
      </c>
      <c r="J44" s="1">
        <v>46062</v>
      </c>
      <c r="K44" s="18" t="s">
        <v>1515</v>
      </c>
      <c r="L44" s="18" t="s">
        <v>984</v>
      </c>
      <c r="M44" s="18" t="s">
        <v>19</v>
      </c>
      <c r="N44" s="18" t="s">
        <v>1521</v>
      </c>
      <c r="O44">
        <v>30</v>
      </c>
    </row>
    <row r="45" spans="1:15" x14ac:dyDescent="0.25">
      <c r="A45" s="18" t="s">
        <v>7276</v>
      </c>
      <c r="B45" s="18" t="s">
        <v>1519</v>
      </c>
      <c r="C45" s="18" t="s">
        <v>1520</v>
      </c>
      <c r="D45" s="18" t="s">
        <v>1514</v>
      </c>
      <c r="E45" s="18" t="s">
        <v>3732</v>
      </c>
      <c r="F45" s="2">
        <f>+J45-I45</f>
        <v>30</v>
      </c>
      <c r="G45" s="2">
        <f ca="1">+TODAY()-I45</f>
        <v>88</v>
      </c>
      <c r="H45" s="15">
        <v>12659850</v>
      </c>
      <c r="I45" s="1">
        <v>46032</v>
      </c>
      <c r="J45" s="1">
        <v>46062</v>
      </c>
      <c r="K45" s="18" t="s">
        <v>1515</v>
      </c>
      <c r="L45" s="18" t="s">
        <v>984</v>
      </c>
      <c r="M45" s="18" t="s">
        <v>19</v>
      </c>
      <c r="N45" s="18" t="s">
        <v>1521</v>
      </c>
      <c r="O45">
        <v>30</v>
      </c>
    </row>
    <row r="46" spans="1:15" x14ac:dyDescent="0.25">
      <c r="A46" s="18" t="s">
        <v>7276</v>
      </c>
      <c r="B46" s="18" t="s">
        <v>1519</v>
      </c>
      <c r="C46" s="18" t="s">
        <v>1520</v>
      </c>
      <c r="D46" s="18" t="s">
        <v>1514</v>
      </c>
      <c r="E46" s="18" t="s">
        <v>4652</v>
      </c>
      <c r="F46" s="2">
        <f>+J46-I46</f>
        <v>30</v>
      </c>
      <c r="G46" s="2">
        <f ca="1">+TODAY()-I46</f>
        <v>75</v>
      </c>
      <c r="H46" s="15">
        <v>132004</v>
      </c>
      <c r="I46" s="1">
        <v>46045</v>
      </c>
      <c r="J46" s="1">
        <v>46075</v>
      </c>
      <c r="K46" s="18" t="s">
        <v>1515</v>
      </c>
      <c r="L46" s="18" t="s">
        <v>984</v>
      </c>
      <c r="M46" s="18" t="s">
        <v>19</v>
      </c>
      <c r="N46" s="18" t="s">
        <v>1521</v>
      </c>
      <c r="O46">
        <v>30</v>
      </c>
    </row>
    <row r="47" spans="1:15" x14ac:dyDescent="0.25">
      <c r="A47" s="18" t="s">
        <v>7276</v>
      </c>
      <c r="B47" s="18" t="s">
        <v>1519</v>
      </c>
      <c r="C47" s="18" t="s">
        <v>1520</v>
      </c>
      <c r="D47" s="18" t="s">
        <v>1514</v>
      </c>
      <c r="E47" s="18" t="s">
        <v>4653</v>
      </c>
      <c r="F47" s="2">
        <f>+J47-I47</f>
        <v>30</v>
      </c>
      <c r="G47" s="2">
        <f ca="1">+TODAY()-I47</f>
        <v>75</v>
      </c>
      <c r="H47" s="15">
        <v>778155</v>
      </c>
      <c r="I47" s="1">
        <v>46045</v>
      </c>
      <c r="J47" s="1">
        <v>46075</v>
      </c>
      <c r="K47" s="18" t="s">
        <v>1515</v>
      </c>
      <c r="L47" s="18" t="s">
        <v>984</v>
      </c>
      <c r="M47" s="18" t="s">
        <v>19</v>
      </c>
      <c r="N47" s="18" t="s">
        <v>1521</v>
      </c>
      <c r="O47">
        <v>30</v>
      </c>
    </row>
    <row r="48" spans="1:15" x14ac:dyDescent="0.25">
      <c r="A48" s="18" t="s">
        <v>7276</v>
      </c>
      <c r="B48" s="18" t="s">
        <v>4009</v>
      </c>
      <c r="C48" s="18" t="s">
        <v>4010</v>
      </c>
      <c r="D48" s="18" t="s">
        <v>916</v>
      </c>
      <c r="E48" s="18" t="s">
        <v>7740</v>
      </c>
      <c r="F48" s="2">
        <f>+J48-I48</f>
        <v>1</v>
      </c>
      <c r="G48" s="2">
        <f ca="1">+TODAY()-I48</f>
        <v>1</v>
      </c>
      <c r="H48" s="15">
        <v>470999</v>
      </c>
      <c r="I48" s="1">
        <v>46119</v>
      </c>
      <c r="J48" s="1">
        <v>46120</v>
      </c>
      <c r="K48" s="18" t="s">
        <v>918</v>
      </c>
      <c r="L48" s="18" t="s">
        <v>312</v>
      </c>
      <c r="M48" s="18" t="s">
        <v>19</v>
      </c>
      <c r="N48" s="18" t="s">
        <v>4007</v>
      </c>
      <c r="O48">
        <v>1</v>
      </c>
    </row>
    <row r="49" spans="1:15" x14ac:dyDescent="0.25">
      <c r="A49" s="18" t="s">
        <v>7276</v>
      </c>
      <c r="B49" s="18" t="s">
        <v>1735</v>
      </c>
      <c r="C49" s="18" t="s">
        <v>1736</v>
      </c>
      <c r="D49" s="18" t="s">
        <v>1737</v>
      </c>
      <c r="E49" s="18" t="s">
        <v>3207</v>
      </c>
      <c r="F49" s="2">
        <f>+J49-I49</f>
        <v>30</v>
      </c>
      <c r="G49" s="2">
        <f ca="1">+TODAY()-I49</f>
        <v>91</v>
      </c>
      <c r="H49" s="15">
        <v>12077471</v>
      </c>
      <c r="I49" s="1">
        <v>46029</v>
      </c>
      <c r="J49" s="1">
        <v>46059</v>
      </c>
      <c r="K49" s="18" t="s">
        <v>1738</v>
      </c>
      <c r="L49" s="18" t="s">
        <v>981</v>
      </c>
      <c r="M49" s="18" t="s">
        <v>19</v>
      </c>
      <c r="N49" s="18" t="s">
        <v>1739</v>
      </c>
      <c r="O49">
        <v>30</v>
      </c>
    </row>
    <row r="50" spans="1:15" x14ac:dyDescent="0.25">
      <c r="A50" s="18" t="s">
        <v>7276</v>
      </c>
      <c r="B50" s="18" t="s">
        <v>1735</v>
      </c>
      <c r="C50" s="18" t="s">
        <v>1736</v>
      </c>
      <c r="D50" s="18" t="s">
        <v>1737</v>
      </c>
      <c r="E50" s="18" t="s">
        <v>3208</v>
      </c>
      <c r="F50" s="2">
        <f>+J50-I50</f>
        <v>30</v>
      </c>
      <c r="G50" s="2">
        <f ca="1">+TODAY()-I50</f>
        <v>91</v>
      </c>
      <c r="H50" s="15">
        <v>1725000</v>
      </c>
      <c r="I50" s="1">
        <v>46029</v>
      </c>
      <c r="J50" s="1">
        <v>46059</v>
      </c>
      <c r="K50" s="18" t="s">
        <v>1738</v>
      </c>
      <c r="L50" s="18" t="s">
        <v>981</v>
      </c>
      <c r="M50" s="18" t="s">
        <v>19</v>
      </c>
      <c r="N50" s="18" t="s">
        <v>1739</v>
      </c>
      <c r="O50">
        <v>30</v>
      </c>
    </row>
    <row r="51" spans="1:15" x14ac:dyDescent="0.25">
      <c r="A51" s="18" t="s">
        <v>7276</v>
      </c>
      <c r="B51" s="18" t="s">
        <v>1735</v>
      </c>
      <c r="C51" s="18" t="s">
        <v>1736</v>
      </c>
      <c r="D51" s="18" t="s">
        <v>1737</v>
      </c>
      <c r="E51" s="18" t="s">
        <v>3213</v>
      </c>
      <c r="F51" s="2">
        <f>+J51-I51</f>
        <v>30</v>
      </c>
      <c r="G51" s="2">
        <f ca="1">+TODAY()-I51</f>
        <v>91</v>
      </c>
      <c r="H51" s="15">
        <v>9220865</v>
      </c>
      <c r="I51" s="1">
        <v>46029</v>
      </c>
      <c r="J51" s="1">
        <v>46059</v>
      </c>
      <c r="K51" s="18" t="s">
        <v>1738</v>
      </c>
      <c r="L51" s="18" t="s">
        <v>981</v>
      </c>
      <c r="M51" s="18" t="s">
        <v>19</v>
      </c>
      <c r="N51" s="18" t="s">
        <v>1739</v>
      </c>
      <c r="O51">
        <v>30</v>
      </c>
    </row>
    <row r="52" spans="1:15" x14ac:dyDescent="0.25">
      <c r="A52" s="18" t="s">
        <v>7276</v>
      </c>
      <c r="B52" s="18" t="s">
        <v>1735</v>
      </c>
      <c r="C52" s="18" t="s">
        <v>1736</v>
      </c>
      <c r="D52" s="18" t="s">
        <v>1737</v>
      </c>
      <c r="E52" s="18" t="s">
        <v>3214</v>
      </c>
      <c r="F52" s="2">
        <f>+J52-I52</f>
        <v>30</v>
      </c>
      <c r="G52" s="2">
        <f ca="1">+TODAY()-I52</f>
        <v>91</v>
      </c>
      <c r="H52" s="15">
        <v>2272165</v>
      </c>
      <c r="I52" s="1">
        <v>46029</v>
      </c>
      <c r="J52" s="1">
        <v>46059</v>
      </c>
      <c r="K52" s="18" t="s">
        <v>1738</v>
      </c>
      <c r="L52" s="18" t="s">
        <v>981</v>
      </c>
      <c r="M52" s="18" t="s">
        <v>19</v>
      </c>
      <c r="N52" s="18" t="s">
        <v>1739</v>
      </c>
      <c r="O52">
        <v>30</v>
      </c>
    </row>
    <row r="53" spans="1:15" x14ac:dyDescent="0.25">
      <c r="A53" s="18" t="s">
        <v>7276</v>
      </c>
      <c r="B53" s="18" t="s">
        <v>1735</v>
      </c>
      <c r="C53" s="18" t="s">
        <v>1736</v>
      </c>
      <c r="D53" s="18" t="s">
        <v>1737</v>
      </c>
      <c r="E53" s="18" t="s">
        <v>3215</v>
      </c>
      <c r="F53" s="2">
        <f>+J53-I53</f>
        <v>30</v>
      </c>
      <c r="G53" s="2">
        <f ca="1">+TODAY()-I53</f>
        <v>91</v>
      </c>
      <c r="H53" s="15">
        <v>690000</v>
      </c>
      <c r="I53" s="1">
        <v>46029</v>
      </c>
      <c r="J53" s="1">
        <v>46059</v>
      </c>
      <c r="K53" s="18" t="s">
        <v>1738</v>
      </c>
      <c r="L53" s="18" t="s">
        <v>981</v>
      </c>
      <c r="M53" s="18" t="s">
        <v>19</v>
      </c>
      <c r="N53" s="18" t="s">
        <v>1739</v>
      </c>
      <c r="O53">
        <v>30</v>
      </c>
    </row>
    <row r="54" spans="1:15" x14ac:dyDescent="0.25">
      <c r="A54" s="18" t="s">
        <v>7276</v>
      </c>
      <c r="B54" s="18" t="s">
        <v>1735</v>
      </c>
      <c r="C54" s="18" t="s">
        <v>1736</v>
      </c>
      <c r="D54" s="18" t="s">
        <v>1737</v>
      </c>
      <c r="E54" s="18" t="s">
        <v>3216</v>
      </c>
      <c r="F54" s="2">
        <f>+J54-I54</f>
        <v>30</v>
      </c>
      <c r="G54" s="2">
        <f ca="1">+TODAY()-I54</f>
        <v>91</v>
      </c>
      <c r="H54" s="15">
        <v>724495</v>
      </c>
      <c r="I54" s="1">
        <v>46029</v>
      </c>
      <c r="J54" s="1">
        <v>46059</v>
      </c>
      <c r="K54" s="18" t="s">
        <v>1738</v>
      </c>
      <c r="L54" s="18" t="s">
        <v>981</v>
      </c>
      <c r="M54" s="18" t="s">
        <v>19</v>
      </c>
      <c r="N54" s="18" t="s">
        <v>1739</v>
      </c>
      <c r="O54">
        <v>30</v>
      </c>
    </row>
    <row r="55" spans="1:15" x14ac:dyDescent="0.25">
      <c r="A55" s="18" t="s">
        <v>7276</v>
      </c>
      <c r="B55" s="18" t="s">
        <v>1735</v>
      </c>
      <c r="C55" s="18" t="s">
        <v>1736</v>
      </c>
      <c r="D55" s="18" t="s">
        <v>1737</v>
      </c>
      <c r="E55" s="18" t="s">
        <v>3217</v>
      </c>
      <c r="F55" s="2">
        <f>+J55-I55</f>
        <v>30</v>
      </c>
      <c r="G55" s="2">
        <f ca="1">+TODAY()-I55</f>
        <v>91</v>
      </c>
      <c r="H55" s="15">
        <v>1727505</v>
      </c>
      <c r="I55" s="1">
        <v>46029</v>
      </c>
      <c r="J55" s="1">
        <v>46059</v>
      </c>
      <c r="K55" s="18" t="s">
        <v>1738</v>
      </c>
      <c r="L55" s="18" t="s">
        <v>981</v>
      </c>
      <c r="M55" s="18" t="s">
        <v>19</v>
      </c>
      <c r="N55" s="18" t="s">
        <v>1739</v>
      </c>
      <c r="O55">
        <v>30</v>
      </c>
    </row>
    <row r="56" spans="1:15" x14ac:dyDescent="0.25">
      <c r="A56" s="18" t="s">
        <v>7276</v>
      </c>
      <c r="B56" s="18" t="s">
        <v>996</v>
      </c>
      <c r="C56" s="18" t="s">
        <v>997</v>
      </c>
      <c r="D56" s="18" t="s">
        <v>998</v>
      </c>
      <c r="E56" s="18" t="s">
        <v>6242</v>
      </c>
      <c r="F56" s="2">
        <f>+J56-I56</f>
        <v>30</v>
      </c>
      <c r="G56" s="2">
        <f ca="1">+TODAY()-I56</f>
        <v>20</v>
      </c>
      <c r="H56" s="15">
        <v>2687000</v>
      </c>
      <c r="I56" s="1">
        <v>46100</v>
      </c>
      <c r="J56" s="1">
        <v>46130</v>
      </c>
      <c r="K56" s="18" t="s">
        <v>989</v>
      </c>
      <c r="L56" s="18" t="s">
        <v>18</v>
      </c>
      <c r="M56" s="18" t="s">
        <v>19</v>
      </c>
      <c r="N56" s="18" t="s">
        <v>999</v>
      </c>
      <c r="O56">
        <v>30</v>
      </c>
    </row>
    <row r="57" spans="1:15" x14ac:dyDescent="0.25">
      <c r="A57" s="18" t="s">
        <v>7276</v>
      </c>
      <c r="B57" s="18" t="s">
        <v>996</v>
      </c>
      <c r="C57" s="18" t="s">
        <v>997</v>
      </c>
      <c r="D57" s="18" t="s">
        <v>998</v>
      </c>
      <c r="E57" s="18" t="s">
        <v>7023</v>
      </c>
      <c r="F57" s="2">
        <f>+J57-I57</f>
        <v>30</v>
      </c>
      <c r="G57" s="2">
        <f ca="1">+TODAY()-I57</f>
        <v>8</v>
      </c>
      <c r="H57" s="15">
        <v>823209</v>
      </c>
      <c r="I57" s="1">
        <v>46112</v>
      </c>
      <c r="J57" s="1">
        <v>46142</v>
      </c>
      <c r="K57" s="18" t="s">
        <v>989</v>
      </c>
      <c r="L57" s="18" t="s">
        <v>18</v>
      </c>
      <c r="M57" s="18" t="s">
        <v>19</v>
      </c>
      <c r="N57" s="18" t="s">
        <v>999</v>
      </c>
      <c r="O57">
        <v>30</v>
      </c>
    </row>
    <row r="58" spans="1:15" x14ac:dyDescent="0.25">
      <c r="A58" s="18" t="s">
        <v>7276</v>
      </c>
      <c r="B58" s="18" t="s">
        <v>996</v>
      </c>
      <c r="C58" s="18" t="s">
        <v>997</v>
      </c>
      <c r="D58" s="18" t="s">
        <v>998</v>
      </c>
      <c r="E58" s="18" t="s">
        <v>7024</v>
      </c>
      <c r="F58" s="2">
        <f>+J58-I58</f>
        <v>30</v>
      </c>
      <c r="G58" s="2">
        <f ca="1">+TODAY()-I58</f>
        <v>8</v>
      </c>
      <c r="H58" s="15">
        <v>2632000</v>
      </c>
      <c r="I58" s="1">
        <v>46112</v>
      </c>
      <c r="J58" s="1">
        <v>46142</v>
      </c>
      <c r="K58" s="18" t="s">
        <v>989</v>
      </c>
      <c r="L58" s="18" t="s">
        <v>18</v>
      </c>
      <c r="M58" s="18" t="s">
        <v>19</v>
      </c>
      <c r="N58" s="18" t="s">
        <v>999</v>
      </c>
      <c r="O58">
        <v>30</v>
      </c>
    </row>
    <row r="59" spans="1:15" x14ac:dyDescent="0.25">
      <c r="A59" s="18" t="s">
        <v>7276</v>
      </c>
      <c r="B59" s="18" t="s">
        <v>996</v>
      </c>
      <c r="C59" s="18" t="s">
        <v>997</v>
      </c>
      <c r="D59" s="18" t="s">
        <v>998</v>
      </c>
      <c r="E59" s="18" t="s">
        <v>7028</v>
      </c>
      <c r="F59" s="2">
        <f>+J59-I59</f>
        <v>30</v>
      </c>
      <c r="G59" s="2">
        <f ca="1">+TODAY()-I59</f>
        <v>8</v>
      </c>
      <c r="H59" s="15">
        <v>2924000</v>
      </c>
      <c r="I59" s="1">
        <v>46112</v>
      </c>
      <c r="J59" s="1">
        <v>46142</v>
      </c>
      <c r="K59" s="18" t="s">
        <v>989</v>
      </c>
      <c r="L59" s="18" t="s">
        <v>18</v>
      </c>
      <c r="M59" s="18" t="s">
        <v>19</v>
      </c>
      <c r="N59" s="18" t="s">
        <v>999</v>
      </c>
      <c r="O59">
        <v>30</v>
      </c>
    </row>
    <row r="60" spans="1:15" x14ac:dyDescent="0.25">
      <c r="A60" s="18" t="s">
        <v>7276</v>
      </c>
      <c r="B60" s="18" t="s">
        <v>996</v>
      </c>
      <c r="C60" s="18" t="s">
        <v>997</v>
      </c>
      <c r="D60" s="18" t="s">
        <v>998</v>
      </c>
      <c r="E60" s="18" t="s">
        <v>7029</v>
      </c>
      <c r="F60" s="2">
        <f>+J60-I60</f>
        <v>30</v>
      </c>
      <c r="G60" s="2">
        <f ca="1">+TODAY()-I60</f>
        <v>8</v>
      </c>
      <c r="H60" s="15">
        <v>1793560</v>
      </c>
      <c r="I60" s="1">
        <v>46112</v>
      </c>
      <c r="J60" s="1">
        <v>46142</v>
      </c>
      <c r="K60" s="18" t="s">
        <v>989</v>
      </c>
      <c r="L60" s="18" t="s">
        <v>18</v>
      </c>
      <c r="M60" s="18" t="s">
        <v>19</v>
      </c>
      <c r="N60" s="18" t="s">
        <v>999</v>
      </c>
      <c r="O60">
        <v>30</v>
      </c>
    </row>
    <row r="61" spans="1:15" x14ac:dyDescent="0.25">
      <c r="A61" s="18" t="s">
        <v>7276</v>
      </c>
      <c r="B61" s="18" t="s">
        <v>4755</v>
      </c>
      <c r="C61" s="18" t="s">
        <v>4756</v>
      </c>
      <c r="D61" s="18" t="s">
        <v>46</v>
      </c>
      <c r="E61" s="18" t="s">
        <v>6902</v>
      </c>
      <c r="F61" s="2">
        <f>+J61-I61</f>
        <v>1</v>
      </c>
      <c r="G61" s="2">
        <f ca="1">+TODAY()-I61</f>
        <v>8</v>
      </c>
      <c r="H61" s="15">
        <v>79170</v>
      </c>
      <c r="I61" s="1">
        <v>46112</v>
      </c>
      <c r="J61" s="1">
        <v>46113</v>
      </c>
      <c r="K61" s="18" t="s">
        <v>17</v>
      </c>
      <c r="L61" s="18" t="s">
        <v>317</v>
      </c>
      <c r="M61" s="18" t="s">
        <v>19</v>
      </c>
      <c r="N61" s="18" t="s">
        <v>4758</v>
      </c>
      <c r="O61">
        <v>1</v>
      </c>
    </row>
    <row r="62" spans="1:15" x14ac:dyDescent="0.25">
      <c r="A62" s="18" t="s">
        <v>7276</v>
      </c>
      <c r="B62" s="18" t="s">
        <v>337</v>
      </c>
      <c r="C62" s="18" t="s">
        <v>338</v>
      </c>
      <c r="D62" s="18" t="s">
        <v>15</v>
      </c>
      <c r="E62" s="18" t="s">
        <v>7668</v>
      </c>
      <c r="F62" s="2">
        <f>+J62-I62</f>
        <v>1</v>
      </c>
      <c r="G62" s="2">
        <f ca="1">+TODAY()-I62</f>
        <v>1</v>
      </c>
      <c r="H62" s="15">
        <v>434099</v>
      </c>
      <c r="I62" s="1">
        <v>46119</v>
      </c>
      <c r="J62" s="1">
        <v>46120</v>
      </c>
      <c r="K62" s="18" t="s">
        <v>17</v>
      </c>
      <c r="L62" s="18" t="s">
        <v>312</v>
      </c>
      <c r="M62" s="18" t="s">
        <v>19</v>
      </c>
      <c r="N62" s="18" t="s">
        <v>339</v>
      </c>
      <c r="O62">
        <v>30</v>
      </c>
    </row>
    <row r="63" spans="1:15" x14ac:dyDescent="0.25">
      <c r="A63" s="18" t="s">
        <v>7276</v>
      </c>
      <c r="B63" s="18" t="s">
        <v>337</v>
      </c>
      <c r="C63" s="18" t="s">
        <v>338</v>
      </c>
      <c r="D63" s="18" t="s">
        <v>15</v>
      </c>
      <c r="E63" s="18" t="s">
        <v>7670</v>
      </c>
      <c r="F63" s="2">
        <f>+J63-I63</f>
        <v>1</v>
      </c>
      <c r="G63" s="2">
        <f ca="1">+TODAY()-I63</f>
        <v>1</v>
      </c>
      <c r="H63" s="15">
        <v>64667</v>
      </c>
      <c r="I63" s="1">
        <v>46119</v>
      </c>
      <c r="J63" s="1">
        <v>46120</v>
      </c>
      <c r="K63" s="18" t="s">
        <v>17</v>
      </c>
      <c r="L63" s="18" t="s">
        <v>312</v>
      </c>
      <c r="M63" s="18" t="s">
        <v>19</v>
      </c>
      <c r="N63" s="18" t="s">
        <v>339</v>
      </c>
      <c r="O63">
        <v>30</v>
      </c>
    </row>
    <row r="64" spans="1:15" x14ac:dyDescent="0.25">
      <c r="A64" s="18" t="s">
        <v>7276</v>
      </c>
      <c r="B64" s="18" t="s">
        <v>2322</v>
      </c>
      <c r="C64" s="18" t="s">
        <v>2323</v>
      </c>
      <c r="D64" s="18" t="s">
        <v>1181</v>
      </c>
      <c r="E64" s="18" t="s">
        <v>2327</v>
      </c>
      <c r="F64" s="2">
        <f>+J64-I64</f>
        <v>30</v>
      </c>
      <c r="G64" s="2">
        <f ca="1">+TODAY()-I64</f>
        <v>119</v>
      </c>
      <c r="H64" s="15">
        <v>3260562</v>
      </c>
      <c r="I64" s="1">
        <v>46001</v>
      </c>
      <c r="J64" s="1">
        <v>46031</v>
      </c>
      <c r="K64" s="18" t="s">
        <v>1183</v>
      </c>
      <c r="L64" s="18" t="s">
        <v>984</v>
      </c>
      <c r="M64" s="18" t="s">
        <v>19</v>
      </c>
      <c r="N64" s="18" t="s">
        <v>2325</v>
      </c>
      <c r="O64">
        <v>30</v>
      </c>
    </row>
    <row r="65" spans="1:15" x14ac:dyDescent="0.25">
      <c r="A65" s="18" t="s">
        <v>7276</v>
      </c>
      <c r="B65" s="18" t="s">
        <v>2322</v>
      </c>
      <c r="C65" s="18" t="s">
        <v>2323</v>
      </c>
      <c r="D65" s="18" t="s">
        <v>1181</v>
      </c>
      <c r="E65" s="18" t="s">
        <v>2655</v>
      </c>
      <c r="F65" s="2">
        <f>+J65-I65</f>
        <v>30</v>
      </c>
      <c r="G65" s="2">
        <f ca="1">+TODAY()-I65</f>
        <v>107</v>
      </c>
      <c r="H65" s="15">
        <v>2481962</v>
      </c>
      <c r="I65" s="1">
        <v>46013</v>
      </c>
      <c r="J65" s="1">
        <v>46043</v>
      </c>
      <c r="K65" s="18" t="s">
        <v>1183</v>
      </c>
      <c r="L65" s="18" t="s">
        <v>984</v>
      </c>
      <c r="M65" s="18" t="s">
        <v>19</v>
      </c>
      <c r="N65" s="18" t="s">
        <v>2325</v>
      </c>
      <c r="O65">
        <v>30</v>
      </c>
    </row>
    <row r="66" spans="1:15" x14ac:dyDescent="0.25">
      <c r="A66" s="18" t="s">
        <v>7276</v>
      </c>
      <c r="B66" s="18" t="s">
        <v>2322</v>
      </c>
      <c r="C66" s="18" t="s">
        <v>2323</v>
      </c>
      <c r="D66" s="18" t="s">
        <v>1181</v>
      </c>
      <c r="E66" s="18" t="s">
        <v>3074</v>
      </c>
      <c r="F66" s="2">
        <f>+J66-I66</f>
        <v>30</v>
      </c>
      <c r="G66" s="2">
        <f ca="1">+TODAY()-I66</f>
        <v>92</v>
      </c>
      <c r="H66" s="15">
        <v>757044</v>
      </c>
      <c r="I66" s="1">
        <v>46028</v>
      </c>
      <c r="J66" s="1">
        <v>46058</v>
      </c>
      <c r="K66" s="18" t="s">
        <v>1183</v>
      </c>
      <c r="L66" s="18" t="s">
        <v>984</v>
      </c>
      <c r="M66" s="18" t="s">
        <v>19</v>
      </c>
      <c r="N66" s="18" t="s">
        <v>2325</v>
      </c>
      <c r="O66">
        <v>30</v>
      </c>
    </row>
    <row r="67" spans="1:15" x14ac:dyDescent="0.25">
      <c r="A67" s="18" t="s">
        <v>7276</v>
      </c>
      <c r="B67" s="18" t="s">
        <v>2322</v>
      </c>
      <c r="C67" s="18" t="s">
        <v>2323</v>
      </c>
      <c r="D67" s="18" t="s">
        <v>1181</v>
      </c>
      <c r="E67" s="18" t="s">
        <v>3075</v>
      </c>
      <c r="F67" s="2">
        <f>+J67-I67</f>
        <v>30</v>
      </c>
      <c r="G67" s="2">
        <f ca="1">+TODAY()-I67</f>
        <v>92</v>
      </c>
      <c r="H67" s="15">
        <v>2531843</v>
      </c>
      <c r="I67" s="1">
        <v>46028</v>
      </c>
      <c r="J67" s="1">
        <v>46058</v>
      </c>
      <c r="K67" s="18" t="s">
        <v>1183</v>
      </c>
      <c r="L67" s="18" t="s">
        <v>984</v>
      </c>
      <c r="M67" s="18" t="s">
        <v>19</v>
      </c>
      <c r="N67" s="18" t="s">
        <v>2325</v>
      </c>
      <c r="O67">
        <v>30</v>
      </c>
    </row>
    <row r="68" spans="1:15" x14ac:dyDescent="0.25">
      <c r="A68" s="18" t="s">
        <v>7276</v>
      </c>
      <c r="B68" s="18" t="s">
        <v>6423</v>
      </c>
      <c r="C68" s="18" t="s">
        <v>6424</v>
      </c>
      <c r="D68" s="18" t="s">
        <v>46</v>
      </c>
      <c r="E68" s="18" t="s">
        <v>6845</v>
      </c>
      <c r="F68" s="2">
        <f>+J68-I68</f>
        <v>2</v>
      </c>
      <c r="G68" s="2">
        <f ca="1">+TODAY()-I68</f>
        <v>8</v>
      </c>
      <c r="H68" s="15">
        <v>438000</v>
      </c>
      <c r="I68" s="1">
        <v>46112</v>
      </c>
      <c r="J68" s="1">
        <v>46114</v>
      </c>
      <c r="K68" s="18" t="s">
        <v>17</v>
      </c>
      <c r="L68" s="18" t="s">
        <v>117</v>
      </c>
      <c r="M68" s="18" t="s">
        <v>19</v>
      </c>
      <c r="N68" s="18" t="s">
        <v>6425</v>
      </c>
      <c r="O68">
        <v>2</v>
      </c>
    </row>
    <row r="69" spans="1:15" x14ac:dyDescent="0.25">
      <c r="A69" s="18" t="s">
        <v>7276</v>
      </c>
      <c r="B69" s="18" t="s">
        <v>6913</v>
      </c>
      <c r="C69" s="18" t="s">
        <v>6914</v>
      </c>
      <c r="D69" s="18" t="s">
        <v>15</v>
      </c>
      <c r="E69" s="18" t="s">
        <v>6915</v>
      </c>
      <c r="F69" s="2">
        <f>+J69-I69</f>
        <v>1</v>
      </c>
      <c r="G69" s="2">
        <f ca="1">+TODAY()-I69</f>
        <v>8</v>
      </c>
      <c r="H69" s="15">
        <v>128400</v>
      </c>
      <c r="I69" s="1">
        <v>46112</v>
      </c>
      <c r="J69" s="1">
        <v>46113</v>
      </c>
      <c r="K69" s="18" t="s">
        <v>17</v>
      </c>
      <c r="L69" s="18" t="s">
        <v>317</v>
      </c>
      <c r="M69" s="18" t="s">
        <v>19</v>
      </c>
      <c r="N69" s="18" t="s">
        <v>6916</v>
      </c>
      <c r="O69">
        <v>30</v>
      </c>
    </row>
    <row r="70" spans="1:15" x14ac:dyDescent="0.25">
      <c r="A70" s="18" t="s">
        <v>7276</v>
      </c>
      <c r="B70" s="18" t="s">
        <v>6913</v>
      </c>
      <c r="C70" s="18" t="s">
        <v>6914</v>
      </c>
      <c r="D70" s="18" t="s">
        <v>15</v>
      </c>
      <c r="E70" s="18" t="s">
        <v>6917</v>
      </c>
      <c r="F70" s="2">
        <f>+J70-I70</f>
        <v>1</v>
      </c>
      <c r="G70" s="2">
        <f ca="1">+TODAY()-I70</f>
        <v>8</v>
      </c>
      <c r="H70" s="15">
        <v>40800</v>
      </c>
      <c r="I70" s="1">
        <v>46112</v>
      </c>
      <c r="J70" s="1">
        <v>46113</v>
      </c>
      <c r="K70" s="18" t="s">
        <v>17</v>
      </c>
      <c r="L70" s="18" t="s">
        <v>317</v>
      </c>
      <c r="M70" s="18" t="s">
        <v>19</v>
      </c>
      <c r="N70" s="18" t="s">
        <v>6916</v>
      </c>
      <c r="O70">
        <v>30</v>
      </c>
    </row>
    <row r="71" spans="1:15" x14ac:dyDescent="0.25">
      <c r="A71" s="18" t="s">
        <v>7276</v>
      </c>
      <c r="B71" s="18" t="s">
        <v>195</v>
      </c>
      <c r="C71" s="18" t="s">
        <v>196</v>
      </c>
      <c r="D71" s="18" t="s">
        <v>15</v>
      </c>
      <c r="E71" s="18" t="s">
        <v>5648</v>
      </c>
      <c r="F71" s="2">
        <f>+J71-I71</f>
        <v>30</v>
      </c>
      <c r="G71" s="2">
        <f ca="1">+TODAY()-I71</f>
        <v>28</v>
      </c>
      <c r="H71" s="15">
        <v>381001</v>
      </c>
      <c r="I71" s="1">
        <v>46092</v>
      </c>
      <c r="J71" s="1">
        <v>46122</v>
      </c>
      <c r="K71" s="18" t="s">
        <v>17</v>
      </c>
      <c r="L71" s="18" t="s">
        <v>32</v>
      </c>
      <c r="M71" s="18" t="s">
        <v>19</v>
      </c>
      <c r="N71" s="18" t="s">
        <v>197</v>
      </c>
      <c r="O71">
        <v>30</v>
      </c>
    </row>
    <row r="72" spans="1:15" x14ac:dyDescent="0.25">
      <c r="A72" s="18" t="s">
        <v>7276</v>
      </c>
      <c r="B72" s="18" t="s">
        <v>7414</v>
      </c>
      <c r="C72" s="18" t="s">
        <v>7415</v>
      </c>
      <c r="D72" s="18" t="s">
        <v>4215</v>
      </c>
      <c r="E72" s="18" t="s">
        <v>7416</v>
      </c>
      <c r="F72" s="2">
        <f>+J72-I72</f>
        <v>1</v>
      </c>
      <c r="G72" s="2">
        <f ca="1">+TODAY()-I72</f>
        <v>2</v>
      </c>
      <c r="H72" s="15">
        <v>476000</v>
      </c>
      <c r="I72" s="1">
        <v>46118</v>
      </c>
      <c r="J72" s="1">
        <v>46119</v>
      </c>
      <c r="K72" s="18" t="s">
        <v>17</v>
      </c>
      <c r="L72" s="18" t="s">
        <v>28</v>
      </c>
      <c r="M72" s="18" t="s">
        <v>19</v>
      </c>
      <c r="N72" s="18" t="s">
        <v>7417</v>
      </c>
      <c r="O72">
        <v>30</v>
      </c>
    </row>
    <row r="73" spans="1:15" x14ac:dyDescent="0.25">
      <c r="A73" s="18" t="s">
        <v>7276</v>
      </c>
      <c r="B73" s="18" t="s">
        <v>4915</v>
      </c>
      <c r="C73" s="18" t="s">
        <v>4916</v>
      </c>
      <c r="D73" s="18" t="s">
        <v>320</v>
      </c>
      <c r="E73" s="18" t="s">
        <v>7508</v>
      </c>
      <c r="F73" s="2">
        <f>+J73-I73</f>
        <v>1</v>
      </c>
      <c r="G73" s="2">
        <f ca="1">+TODAY()-I73</f>
        <v>2</v>
      </c>
      <c r="H73" s="15">
        <v>69499</v>
      </c>
      <c r="I73" s="1">
        <v>46118</v>
      </c>
      <c r="J73" s="1">
        <v>46119</v>
      </c>
      <c r="K73" s="18" t="s">
        <v>1068</v>
      </c>
      <c r="L73" s="18" t="s">
        <v>321</v>
      </c>
      <c r="M73" s="18" t="s">
        <v>19</v>
      </c>
      <c r="N73" s="18" t="s">
        <v>4918</v>
      </c>
      <c r="O73">
        <v>1</v>
      </c>
    </row>
    <row r="74" spans="1:15" x14ac:dyDescent="0.25">
      <c r="A74" s="18" t="s">
        <v>7276</v>
      </c>
      <c r="B74" s="18" t="s">
        <v>4915</v>
      </c>
      <c r="C74" s="18" t="s">
        <v>4916</v>
      </c>
      <c r="D74" s="18" t="s">
        <v>320</v>
      </c>
      <c r="E74" s="18" t="s">
        <v>7509</v>
      </c>
      <c r="F74" s="2">
        <f>+J74-I74</f>
        <v>1</v>
      </c>
      <c r="G74" s="2">
        <f ca="1">+TODAY()-I74</f>
        <v>2</v>
      </c>
      <c r="H74" s="15">
        <v>50399</v>
      </c>
      <c r="I74" s="1">
        <v>46118</v>
      </c>
      <c r="J74" s="1">
        <v>46119</v>
      </c>
      <c r="K74" s="18" t="s">
        <v>1068</v>
      </c>
      <c r="L74" s="18" t="s">
        <v>321</v>
      </c>
      <c r="M74" s="18" t="s">
        <v>19</v>
      </c>
      <c r="N74" s="18" t="s">
        <v>4918</v>
      </c>
      <c r="O74">
        <v>1</v>
      </c>
    </row>
    <row r="75" spans="1:15" x14ac:dyDescent="0.25">
      <c r="A75" s="18" t="s">
        <v>7276</v>
      </c>
      <c r="B75" s="18" t="s">
        <v>1129</v>
      </c>
      <c r="C75" s="18" t="s">
        <v>1130</v>
      </c>
      <c r="D75" s="18" t="s">
        <v>1066</v>
      </c>
      <c r="E75" s="18" t="s">
        <v>5988</v>
      </c>
      <c r="F75" s="2">
        <f>+J75-I75</f>
        <v>15</v>
      </c>
      <c r="G75" s="2">
        <f ca="1">+TODAY()-I75</f>
        <v>25</v>
      </c>
      <c r="H75" s="15">
        <v>4135347</v>
      </c>
      <c r="I75" s="1">
        <v>46095</v>
      </c>
      <c r="J75" s="1">
        <v>46110</v>
      </c>
      <c r="K75" s="18" t="s">
        <v>1068</v>
      </c>
      <c r="L75" s="18" t="s">
        <v>321</v>
      </c>
      <c r="M75" s="18" t="s">
        <v>19</v>
      </c>
      <c r="N75" s="18" t="s">
        <v>1131</v>
      </c>
      <c r="O75">
        <v>15</v>
      </c>
    </row>
    <row r="76" spans="1:15" x14ac:dyDescent="0.25">
      <c r="A76" s="18" t="s">
        <v>7276</v>
      </c>
      <c r="B76" s="18" t="s">
        <v>2317</v>
      </c>
      <c r="C76" s="18" t="s">
        <v>2318</v>
      </c>
      <c r="D76" s="18" t="s">
        <v>320</v>
      </c>
      <c r="E76" s="18" t="s">
        <v>7049</v>
      </c>
      <c r="F76" s="2">
        <f>+J76-I76</f>
        <v>15</v>
      </c>
      <c r="G76" s="2">
        <f ca="1">+TODAY()-I76</f>
        <v>8</v>
      </c>
      <c r="H76" s="15">
        <v>907223</v>
      </c>
      <c r="I76" s="1">
        <v>46112</v>
      </c>
      <c r="J76" s="1">
        <v>46127</v>
      </c>
      <c r="K76" s="18" t="s">
        <v>1068</v>
      </c>
      <c r="L76" s="18" t="s">
        <v>207</v>
      </c>
      <c r="M76" s="18" t="s">
        <v>19</v>
      </c>
      <c r="N76" s="18" t="s">
        <v>2320</v>
      </c>
      <c r="O76">
        <v>15</v>
      </c>
    </row>
    <row r="77" spans="1:15" x14ac:dyDescent="0.25">
      <c r="A77" s="18" t="s">
        <v>7276</v>
      </c>
      <c r="B77" s="18" t="s">
        <v>6918</v>
      </c>
      <c r="C77" s="18" t="s">
        <v>6919</v>
      </c>
      <c r="D77" s="18" t="s">
        <v>15</v>
      </c>
      <c r="E77" s="18" t="s">
        <v>6920</v>
      </c>
      <c r="F77" s="2">
        <f>+J77-I77</f>
        <v>1</v>
      </c>
      <c r="G77" s="2">
        <f ca="1">+TODAY()-I77</f>
        <v>8</v>
      </c>
      <c r="H77" s="15">
        <v>45747</v>
      </c>
      <c r="I77" s="1">
        <v>46112</v>
      </c>
      <c r="J77" s="1">
        <v>46113</v>
      </c>
      <c r="K77" s="18" t="s">
        <v>17</v>
      </c>
      <c r="L77" s="18" t="s">
        <v>317</v>
      </c>
      <c r="M77" s="18" t="s">
        <v>19</v>
      </c>
      <c r="N77" s="18" t="s">
        <v>6921</v>
      </c>
      <c r="O77">
        <v>30</v>
      </c>
    </row>
    <row r="78" spans="1:15" x14ac:dyDescent="0.25">
      <c r="A78" s="18" t="s">
        <v>7276</v>
      </c>
      <c r="B78" s="18" t="s">
        <v>1634</v>
      </c>
      <c r="C78" s="18" t="s">
        <v>1635</v>
      </c>
      <c r="D78" s="18" t="s">
        <v>1587</v>
      </c>
      <c r="E78" s="18" t="s">
        <v>5826</v>
      </c>
      <c r="F78" s="2">
        <f>+J78-I78</f>
        <v>30</v>
      </c>
      <c r="G78" s="2">
        <f ca="1">+TODAY()-I78</f>
        <v>30</v>
      </c>
      <c r="H78" s="15">
        <v>1926000</v>
      </c>
      <c r="I78" s="1">
        <v>46090</v>
      </c>
      <c r="J78" s="1">
        <v>46120</v>
      </c>
      <c r="K78" s="18" t="s">
        <v>1589</v>
      </c>
      <c r="L78" s="18" t="s">
        <v>984</v>
      </c>
      <c r="M78" s="18" t="s">
        <v>19</v>
      </c>
      <c r="N78" s="18" t="s">
        <v>1636</v>
      </c>
      <c r="O78">
        <v>30</v>
      </c>
    </row>
    <row r="79" spans="1:15" x14ac:dyDescent="0.25">
      <c r="A79" s="18" t="s">
        <v>7276</v>
      </c>
      <c r="B79" s="18" t="s">
        <v>1634</v>
      </c>
      <c r="C79" s="18" t="s">
        <v>1635</v>
      </c>
      <c r="D79" s="18" t="s">
        <v>1587</v>
      </c>
      <c r="E79" s="18" t="s">
        <v>5827</v>
      </c>
      <c r="F79" s="2">
        <f>+J79-I79</f>
        <v>30</v>
      </c>
      <c r="G79" s="2">
        <f ca="1">+TODAY()-I79</f>
        <v>30</v>
      </c>
      <c r="H79" s="15">
        <v>265328</v>
      </c>
      <c r="I79" s="1">
        <v>46090</v>
      </c>
      <c r="J79" s="1">
        <v>46120</v>
      </c>
      <c r="K79" s="18" t="s">
        <v>1589</v>
      </c>
      <c r="L79" s="18" t="s">
        <v>984</v>
      </c>
      <c r="M79" s="18" t="s">
        <v>19</v>
      </c>
      <c r="N79" s="18" t="s">
        <v>1636</v>
      </c>
      <c r="O79">
        <v>30</v>
      </c>
    </row>
    <row r="80" spans="1:15" x14ac:dyDescent="0.25">
      <c r="A80" s="18" t="s">
        <v>7276</v>
      </c>
      <c r="B80" s="18" t="s">
        <v>1634</v>
      </c>
      <c r="C80" s="18" t="s">
        <v>1635</v>
      </c>
      <c r="D80" s="18" t="s">
        <v>1587</v>
      </c>
      <c r="E80" s="18" t="s">
        <v>6353</v>
      </c>
      <c r="F80" s="2">
        <f>+J80-I80</f>
        <v>30</v>
      </c>
      <c r="G80" s="2">
        <f ca="1">+TODAY()-I80</f>
        <v>22</v>
      </c>
      <c r="H80" s="15">
        <v>870997</v>
      </c>
      <c r="I80" s="1">
        <v>46098</v>
      </c>
      <c r="J80" s="1">
        <v>46128</v>
      </c>
      <c r="K80" s="18" t="s">
        <v>1589</v>
      </c>
      <c r="L80" s="18" t="s">
        <v>984</v>
      </c>
      <c r="M80" s="18" t="s">
        <v>19</v>
      </c>
      <c r="N80" s="18" t="s">
        <v>1636</v>
      </c>
      <c r="O80">
        <v>30</v>
      </c>
    </row>
    <row r="81" spans="1:15" x14ac:dyDescent="0.25">
      <c r="A81" s="18" t="s">
        <v>7276</v>
      </c>
      <c r="B81" s="18" t="s">
        <v>1634</v>
      </c>
      <c r="C81" s="18" t="s">
        <v>1635</v>
      </c>
      <c r="D81" s="18" t="s">
        <v>1587</v>
      </c>
      <c r="E81" s="18" t="s">
        <v>6354</v>
      </c>
      <c r="F81" s="2">
        <f>+J81-I81</f>
        <v>30</v>
      </c>
      <c r="G81" s="2">
        <f ca="1">+TODAY()-I81</f>
        <v>22</v>
      </c>
      <c r="H81" s="15">
        <v>1249236</v>
      </c>
      <c r="I81" s="1">
        <v>46098</v>
      </c>
      <c r="J81" s="1">
        <v>46128</v>
      </c>
      <c r="K81" s="18" t="s">
        <v>1589</v>
      </c>
      <c r="L81" s="18" t="s">
        <v>984</v>
      </c>
      <c r="M81" s="18" t="s">
        <v>19</v>
      </c>
      <c r="N81" s="18" t="s">
        <v>1636</v>
      </c>
      <c r="O81">
        <v>30</v>
      </c>
    </row>
    <row r="82" spans="1:15" x14ac:dyDescent="0.25">
      <c r="A82" s="18" t="s">
        <v>7276</v>
      </c>
      <c r="B82" s="18" t="s">
        <v>1634</v>
      </c>
      <c r="C82" s="18" t="s">
        <v>1635</v>
      </c>
      <c r="D82" s="18" t="s">
        <v>1587</v>
      </c>
      <c r="E82" s="18" t="s">
        <v>6355</v>
      </c>
      <c r="F82" s="2">
        <f>+J82-I82</f>
        <v>30</v>
      </c>
      <c r="G82" s="2">
        <f ca="1">+TODAY()-I82</f>
        <v>22</v>
      </c>
      <c r="H82" s="15">
        <v>2138000</v>
      </c>
      <c r="I82" s="1">
        <v>46098</v>
      </c>
      <c r="J82" s="1">
        <v>46128</v>
      </c>
      <c r="K82" s="18" t="s">
        <v>1589</v>
      </c>
      <c r="L82" s="18" t="s">
        <v>984</v>
      </c>
      <c r="M82" s="18" t="s">
        <v>19</v>
      </c>
      <c r="N82" s="18" t="s">
        <v>1636</v>
      </c>
      <c r="O82">
        <v>30</v>
      </c>
    </row>
    <row r="83" spans="1:15" x14ac:dyDescent="0.25">
      <c r="A83" s="18" t="s">
        <v>7276</v>
      </c>
      <c r="B83" s="18" t="s">
        <v>1634</v>
      </c>
      <c r="C83" s="18" t="s">
        <v>1635</v>
      </c>
      <c r="D83" s="18" t="s">
        <v>1587</v>
      </c>
      <c r="E83" s="18" t="s">
        <v>6649</v>
      </c>
      <c r="F83" s="2">
        <f>+J83-I83</f>
        <v>30</v>
      </c>
      <c r="G83" s="2">
        <f ca="1">+TODAY()-I83</f>
        <v>15</v>
      </c>
      <c r="H83" s="15">
        <v>2138000</v>
      </c>
      <c r="I83" s="1">
        <v>46105</v>
      </c>
      <c r="J83" s="1">
        <v>46135</v>
      </c>
      <c r="K83" s="18" t="s">
        <v>1589</v>
      </c>
      <c r="L83" s="18" t="s">
        <v>984</v>
      </c>
      <c r="M83" s="18" t="s">
        <v>19</v>
      </c>
      <c r="N83" s="18" t="s">
        <v>1636</v>
      </c>
      <c r="O83">
        <v>30</v>
      </c>
    </row>
    <row r="84" spans="1:15" x14ac:dyDescent="0.25">
      <c r="A84" s="18" t="s">
        <v>7276</v>
      </c>
      <c r="B84" s="18" t="s">
        <v>1634</v>
      </c>
      <c r="C84" s="18" t="s">
        <v>1635</v>
      </c>
      <c r="D84" s="18" t="s">
        <v>1587</v>
      </c>
      <c r="E84" s="18" t="s">
        <v>6650</v>
      </c>
      <c r="F84" s="2">
        <f>+J84-I84</f>
        <v>30</v>
      </c>
      <c r="G84" s="2">
        <f ca="1">+TODAY()-I84</f>
        <v>15</v>
      </c>
      <c r="H84" s="15">
        <v>2470395</v>
      </c>
      <c r="I84" s="1">
        <v>46105</v>
      </c>
      <c r="J84" s="1">
        <v>46135</v>
      </c>
      <c r="K84" s="18" t="s">
        <v>1589</v>
      </c>
      <c r="L84" s="18" t="s">
        <v>984</v>
      </c>
      <c r="M84" s="18" t="s">
        <v>19</v>
      </c>
      <c r="N84" s="18" t="s">
        <v>1636</v>
      </c>
      <c r="O84">
        <v>30</v>
      </c>
    </row>
    <row r="85" spans="1:15" x14ac:dyDescent="0.25">
      <c r="A85" s="18" t="s">
        <v>7276</v>
      </c>
      <c r="B85" s="18" t="s">
        <v>1634</v>
      </c>
      <c r="C85" s="18" t="s">
        <v>1635</v>
      </c>
      <c r="D85" s="18" t="s">
        <v>1587</v>
      </c>
      <c r="E85" s="18" t="s">
        <v>6688</v>
      </c>
      <c r="F85" s="2">
        <f>+J85-I85</f>
        <v>30</v>
      </c>
      <c r="G85" s="2">
        <f ca="1">+TODAY()-I85</f>
        <v>13</v>
      </c>
      <c r="H85" s="15">
        <v>138040</v>
      </c>
      <c r="I85" s="1">
        <v>46107</v>
      </c>
      <c r="J85" s="1">
        <v>46137</v>
      </c>
      <c r="K85" s="18" t="s">
        <v>1589</v>
      </c>
      <c r="L85" s="18" t="s">
        <v>984</v>
      </c>
      <c r="M85" s="18" t="s">
        <v>19</v>
      </c>
      <c r="N85" s="18" t="s">
        <v>1636</v>
      </c>
      <c r="O85">
        <v>30</v>
      </c>
    </row>
    <row r="86" spans="1:15" x14ac:dyDescent="0.25">
      <c r="A86" s="18" t="s">
        <v>7276</v>
      </c>
      <c r="B86" s="18" t="s">
        <v>6852</v>
      </c>
      <c r="C86" s="18" t="s">
        <v>6853</v>
      </c>
      <c r="D86" s="18" t="s">
        <v>15</v>
      </c>
      <c r="E86" s="18" t="s">
        <v>6854</v>
      </c>
      <c r="F86" s="2">
        <f>+J86-I86</f>
        <v>1</v>
      </c>
      <c r="G86" s="2">
        <f ca="1">+TODAY()-I86</f>
        <v>9</v>
      </c>
      <c r="H86" s="15">
        <v>8359</v>
      </c>
      <c r="I86" s="1">
        <v>46111</v>
      </c>
      <c r="J86" s="1">
        <v>46112</v>
      </c>
      <c r="K86" s="18" t="s">
        <v>17</v>
      </c>
      <c r="L86" s="18" t="s">
        <v>312</v>
      </c>
      <c r="M86" s="18" t="s">
        <v>19</v>
      </c>
      <c r="N86" s="18" t="s">
        <v>6855</v>
      </c>
      <c r="O86">
        <v>1</v>
      </c>
    </row>
    <row r="87" spans="1:15" x14ac:dyDescent="0.25">
      <c r="A87" s="18" t="s">
        <v>7276</v>
      </c>
      <c r="B87" s="18" t="s">
        <v>3942</v>
      </c>
      <c r="C87" s="18" t="s">
        <v>3943</v>
      </c>
      <c r="D87" s="18" t="s">
        <v>15</v>
      </c>
      <c r="E87" s="18" t="s">
        <v>5410</v>
      </c>
      <c r="F87" s="2">
        <f>+J87-I87</f>
        <v>15</v>
      </c>
      <c r="G87" s="2">
        <f ca="1">+TODAY()-I87</f>
        <v>36</v>
      </c>
      <c r="H87" s="15">
        <v>209200</v>
      </c>
      <c r="I87" s="1">
        <v>46084</v>
      </c>
      <c r="J87" s="1">
        <v>46099</v>
      </c>
      <c r="K87" s="18" t="s">
        <v>17</v>
      </c>
      <c r="L87" s="18" t="s">
        <v>317</v>
      </c>
      <c r="M87" s="18" t="s">
        <v>19</v>
      </c>
      <c r="N87" s="18" t="s">
        <v>3945</v>
      </c>
      <c r="O87">
        <v>15</v>
      </c>
    </row>
    <row r="88" spans="1:15" x14ac:dyDescent="0.25">
      <c r="A88" s="18" t="s">
        <v>7276</v>
      </c>
      <c r="B88" s="18" t="s">
        <v>3942</v>
      </c>
      <c r="C88" s="18" t="s">
        <v>3943</v>
      </c>
      <c r="D88" s="18" t="s">
        <v>15</v>
      </c>
      <c r="E88" s="18" t="s">
        <v>5411</v>
      </c>
      <c r="F88" s="2">
        <f>+J88-I88</f>
        <v>15</v>
      </c>
      <c r="G88" s="2">
        <f ca="1">+TODAY()-I88</f>
        <v>36</v>
      </c>
      <c r="H88" s="15">
        <v>133734</v>
      </c>
      <c r="I88" s="1">
        <v>46084</v>
      </c>
      <c r="J88" s="1">
        <v>46099</v>
      </c>
      <c r="K88" s="18" t="s">
        <v>17</v>
      </c>
      <c r="L88" s="18" t="s">
        <v>317</v>
      </c>
      <c r="M88" s="18" t="s">
        <v>19</v>
      </c>
      <c r="N88" s="18" t="s">
        <v>3945</v>
      </c>
      <c r="O88">
        <v>15</v>
      </c>
    </row>
    <row r="89" spans="1:15" x14ac:dyDescent="0.25">
      <c r="A89" s="18" t="s">
        <v>7276</v>
      </c>
      <c r="B89" s="18" t="s">
        <v>7193</v>
      </c>
      <c r="C89" s="18" t="s">
        <v>7194</v>
      </c>
      <c r="D89" s="18" t="s">
        <v>1401</v>
      </c>
      <c r="E89" s="18" t="s">
        <v>7195</v>
      </c>
      <c r="F89" s="2">
        <f>+J89-I89</f>
        <v>1</v>
      </c>
      <c r="G89" s="2">
        <f ca="1">+TODAY()-I89</f>
        <v>8</v>
      </c>
      <c r="H89" s="15">
        <v>631069</v>
      </c>
      <c r="I89" s="1">
        <v>46112</v>
      </c>
      <c r="J89" s="1">
        <v>46113</v>
      </c>
      <c r="K89" s="18" t="s">
        <v>1403</v>
      </c>
      <c r="L89" s="18" t="s">
        <v>90</v>
      </c>
      <c r="M89" s="18" t="s">
        <v>19</v>
      </c>
      <c r="N89" s="18" t="s">
        <v>7196</v>
      </c>
      <c r="O89">
        <v>1</v>
      </c>
    </row>
    <row r="90" spans="1:15" x14ac:dyDescent="0.25">
      <c r="A90" s="18" t="s">
        <v>7276</v>
      </c>
      <c r="B90" s="18" t="s">
        <v>1107</v>
      </c>
      <c r="C90" s="18" t="s">
        <v>1108</v>
      </c>
      <c r="D90" s="18" t="s">
        <v>320</v>
      </c>
      <c r="E90" s="18" t="s">
        <v>4436</v>
      </c>
      <c r="F90" s="2">
        <f>+J90-I90</f>
        <v>30</v>
      </c>
      <c r="G90" s="2">
        <f ca="1">+TODAY()-I90</f>
        <v>74</v>
      </c>
      <c r="H90" s="15">
        <v>44034</v>
      </c>
      <c r="I90" s="1">
        <v>46046</v>
      </c>
      <c r="J90" s="1">
        <v>46076</v>
      </c>
      <c r="K90" s="18" t="s">
        <v>1068</v>
      </c>
      <c r="L90" s="18" t="s">
        <v>207</v>
      </c>
      <c r="M90" s="18" t="s">
        <v>19</v>
      </c>
      <c r="N90" s="18" t="s">
        <v>1109</v>
      </c>
      <c r="O90">
        <v>30</v>
      </c>
    </row>
    <row r="91" spans="1:15" x14ac:dyDescent="0.25">
      <c r="A91" s="18" t="s">
        <v>7276</v>
      </c>
      <c r="B91" s="18" t="s">
        <v>1107</v>
      </c>
      <c r="C91" s="18" t="s">
        <v>1108</v>
      </c>
      <c r="D91" s="18" t="s">
        <v>320</v>
      </c>
      <c r="E91" s="18" t="s">
        <v>5016</v>
      </c>
      <c r="F91" s="2">
        <f>+J91-I91</f>
        <v>30</v>
      </c>
      <c r="G91" s="2">
        <f ca="1">+TODAY()-I91</f>
        <v>56</v>
      </c>
      <c r="H91" s="15">
        <v>1785036</v>
      </c>
      <c r="I91" s="1">
        <v>46064</v>
      </c>
      <c r="J91" s="1">
        <v>46094</v>
      </c>
      <c r="K91" s="18" t="s">
        <v>1068</v>
      </c>
      <c r="L91" s="18" t="s">
        <v>207</v>
      </c>
      <c r="M91" s="18" t="s">
        <v>19</v>
      </c>
      <c r="N91" s="18" t="s">
        <v>1109</v>
      </c>
      <c r="O91">
        <v>30</v>
      </c>
    </row>
    <row r="92" spans="1:15" x14ac:dyDescent="0.25">
      <c r="A92" s="18" t="s">
        <v>7276</v>
      </c>
      <c r="B92" s="18" t="s">
        <v>1107</v>
      </c>
      <c r="C92" s="18" t="s">
        <v>1108</v>
      </c>
      <c r="D92" s="18" t="s">
        <v>320</v>
      </c>
      <c r="E92" s="18" t="s">
        <v>5017</v>
      </c>
      <c r="F92" s="2">
        <f>+J92-I92</f>
        <v>30</v>
      </c>
      <c r="G92" s="2">
        <f ca="1">+TODAY()-I92</f>
        <v>56</v>
      </c>
      <c r="H92" s="15">
        <v>1740000</v>
      </c>
      <c r="I92" s="1">
        <v>46064</v>
      </c>
      <c r="J92" s="1">
        <v>46094</v>
      </c>
      <c r="K92" s="18" t="s">
        <v>1068</v>
      </c>
      <c r="L92" s="18" t="s">
        <v>207</v>
      </c>
      <c r="M92" s="18" t="s">
        <v>19</v>
      </c>
      <c r="N92" s="18" t="s">
        <v>1109</v>
      </c>
      <c r="O92">
        <v>30</v>
      </c>
    </row>
    <row r="93" spans="1:15" x14ac:dyDescent="0.25">
      <c r="A93" s="18" t="s">
        <v>7276</v>
      </c>
      <c r="B93" s="18" t="s">
        <v>1107</v>
      </c>
      <c r="C93" s="18" t="s">
        <v>1108</v>
      </c>
      <c r="D93" s="18" t="s">
        <v>320</v>
      </c>
      <c r="E93" s="18" t="s">
        <v>5018</v>
      </c>
      <c r="F93" s="2">
        <f>+J93-I93</f>
        <v>30</v>
      </c>
      <c r="G93" s="2">
        <f ca="1">+TODAY()-I93</f>
        <v>56</v>
      </c>
      <c r="H93" s="15">
        <v>2100000</v>
      </c>
      <c r="I93" s="1">
        <v>46064</v>
      </c>
      <c r="J93" s="1">
        <v>46094</v>
      </c>
      <c r="K93" s="18" t="s">
        <v>1068</v>
      </c>
      <c r="L93" s="18" t="s">
        <v>207</v>
      </c>
      <c r="M93" s="18" t="s">
        <v>19</v>
      </c>
      <c r="N93" s="18" t="s">
        <v>1109</v>
      </c>
      <c r="O93">
        <v>30</v>
      </c>
    </row>
    <row r="94" spans="1:15" x14ac:dyDescent="0.25">
      <c r="A94" s="18" t="s">
        <v>7276</v>
      </c>
      <c r="B94" s="18" t="s">
        <v>1107</v>
      </c>
      <c r="C94" s="18" t="s">
        <v>1108</v>
      </c>
      <c r="D94" s="18" t="s">
        <v>320</v>
      </c>
      <c r="E94" s="18" t="s">
        <v>5019</v>
      </c>
      <c r="F94" s="2">
        <f>+J94-I94</f>
        <v>30</v>
      </c>
      <c r="G94" s="2">
        <f ca="1">+TODAY()-I94</f>
        <v>56</v>
      </c>
      <c r="H94" s="15">
        <v>1529711</v>
      </c>
      <c r="I94" s="1">
        <v>46064</v>
      </c>
      <c r="J94" s="1">
        <v>46094</v>
      </c>
      <c r="K94" s="18" t="s">
        <v>1068</v>
      </c>
      <c r="L94" s="18" t="s">
        <v>117</v>
      </c>
      <c r="M94" s="18" t="s">
        <v>19</v>
      </c>
      <c r="N94" s="18" t="s">
        <v>1109</v>
      </c>
      <c r="O94">
        <v>30</v>
      </c>
    </row>
    <row r="95" spans="1:15" x14ac:dyDescent="0.25">
      <c r="A95" s="18" t="s">
        <v>7276</v>
      </c>
      <c r="B95" s="18" t="s">
        <v>1107</v>
      </c>
      <c r="C95" s="18" t="s">
        <v>1108</v>
      </c>
      <c r="D95" s="18" t="s">
        <v>320</v>
      </c>
      <c r="E95" s="18" t="s">
        <v>5256</v>
      </c>
      <c r="F95" s="2">
        <f>+J95-I95</f>
        <v>30</v>
      </c>
      <c r="G95" s="2">
        <f ca="1">+TODAY()-I95</f>
        <v>42</v>
      </c>
      <c r="H95" s="15">
        <v>978973</v>
      </c>
      <c r="I95" s="1">
        <v>46078</v>
      </c>
      <c r="J95" s="1">
        <v>46108</v>
      </c>
      <c r="K95" s="18" t="s">
        <v>1068</v>
      </c>
      <c r="L95" s="18" t="s">
        <v>207</v>
      </c>
      <c r="M95" s="18" t="s">
        <v>19</v>
      </c>
      <c r="N95" s="18" t="s">
        <v>1109</v>
      </c>
      <c r="O95">
        <v>30</v>
      </c>
    </row>
    <row r="96" spans="1:15" x14ac:dyDescent="0.25">
      <c r="A96" s="18" t="s">
        <v>7276</v>
      </c>
      <c r="B96" s="18" t="s">
        <v>1107</v>
      </c>
      <c r="C96" s="18" t="s">
        <v>1108</v>
      </c>
      <c r="D96" s="18" t="s">
        <v>320</v>
      </c>
      <c r="E96" s="18" t="s">
        <v>5257</v>
      </c>
      <c r="F96" s="2">
        <f>+J96-I96</f>
        <v>30</v>
      </c>
      <c r="G96" s="2">
        <f ca="1">+TODAY()-I96</f>
        <v>42</v>
      </c>
      <c r="H96" s="15">
        <v>2375999</v>
      </c>
      <c r="I96" s="1">
        <v>46078</v>
      </c>
      <c r="J96" s="1">
        <v>46108</v>
      </c>
      <c r="K96" s="18" t="s">
        <v>1068</v>
      </c>
      <c r="L96" s="18" t="s">
        <v>207</v>
      </c>
      <c r="M96" s="18" t="s">
        <v>19</v>
      </c>
      <c r="N96" s="18" t="s">
        <v>1109</v>
      </c>
      <c r="O96">
        <v>30</v>
      </c>
    </row>
    <row r="97" spans="1:15" x14ac:dyDescent="0.25">
      <c r="A97" s="18" t="s">
        <v>7276</v>
      </c>
      <c r="B97" s="18" t="s">
        <v>1107</v>
      </c>
      <c r="C97" s="18" t="s">
        <v>1108</v>
      </c>
      <c r="D97" s="18" t="s">
        <v>320</v>
      </c>
      <c r="E97" s="18" t="s">
        <v>5448</v>
      </c>
      <c r="F97" s="2">
        <f>+J97-I97</f>
        <v>30</v>
      </c>
      <c r="G97" s="2">
        <f ca="1">+TODAY()-I97</f>
        <v>35</v>
      </c>
      <c r="H97" s="15">
        <v>1792435</v>
      </c>
      <c r="I97" s="1">
        <v>46085</v>
      </c>
      <c r="J97" s="1">
        <v>46115</v>
      </c>
      <c r="K97" s="18" t="s">
        <v>1068</v>
      </c>
      <c r="L97" s="18" t="s">
        <v>207</v>
      </c>
      <c r="M97" s="18" t="s">
        <v>19</v>
      </c>
      <c r="N97" s="18" t="s">
        <v>1109</v>
      </c>
      <c r="O97">
        <v>30</v>
      </c>
    </row>
    <row r="98" spans="1:15" x14ac:dyDescent="0.25">
      <c r="A98" s="18" t="s">
        <v>7276</v>
      </c>
      <c r="B98" s="18" t="s">
        <v>1107</v>
      </c>
      <c r="C98" s="18" t="s">
        <v>1108</v>
      </c>
      <c r="D98" s="18" t="s">
        <v>320</v>
      </c>
      <c r="E98" s="18" t="s">
        <v>5449</v>
      </c>
      <c r="F98" s="2">
        <f>+J98-I98</f>
        <v>30</v>
      </c>
      <c r="G98" s="2">
        <f ca="1">+TODAY()-I98</f>
        <v>35</v>
      </c>
      <c r="H98" s="15">
        <v>1240008</v>
      </c>
      <c r="I98" s="1">
        <v>46085</v>
      </c>
      <c r="J98" s="1">
        <v>46115</v>
      </c>
      <c r="K98" s="18" t="s">
        <v>1068</v>
      </c>
      <c r="L98" s="18" t="s">
        <v>207</v>
      </c>
      <c r="M98" s="18" t="s">
        <v>19</v>
      </c>
      <c r="N98" s="18" t="s">
        <v>1109</v>
      </c>
      <c r="O98">
        <v>30</v>
      </c>
    </row>
    <row r="99" spans="1:15" x14ac:dyDescent="0.25">
      <c r="A99" s="18" t="s">
        <v>7276</v>
      </c>
      <c r="B99" s="18" t="s">
        <v>1107</v>
      </c>
      <c r="C99" s="18" t="s">
        <v>1108</v>
      </c>
      <c r="D99" s="18" t="s">
        <v>320</v>
      </c>
      <c r="E99" s="18" t="s">
        <v>5724</v>
      </c>
      <c r="F99" s="2">
        <f>+J99-I99</f>
        <v>30</v>
      </c>
      <c r="G99" s="2">
        <f ca="1">+TODAY()-I99</f>
        <v>28</v>
      </c>
      <c r="H99" s="15">
        <v>689998</v>
      </c>
      <c r="I99" s="1">
        <v>46092</v>
      </c>
      <c r="J99" s="1">
        <v>46122</v>
      </c>
      <c r="K99" s="18" t="s">
        <v>1068</v>
      </c>
      <c r="L99" s="18" t="s">
        <v>207</v>
      </c>
      <c r="M99" s="18" t="s">
        <v>19</v>
      </c>
      <c r="N99" s="18" t="s">
        <v>1109</v>
      </c>
      <c r="O99">
        <v>30</v>
      </c>
    </row>
    <row r="100" spans="1:15" x14ac:dyDescent="0.25">
      <c r="A100" s="18" t="s">
        <v>7276</v>
      </c>
      <c r="B100" s="18" t="s">
        <v>1107</v>
      </c>
      <c r="C100" s="18" t="s">
        <v>1108</v>
      </c>
      <c r="D100" s="18" t="s">
        <v>320</v>
      </c>
      <c r="E100" s="18" t="s">
        <v>5727</v>
      </c>
      <c r="F100" s="2">
        <f>+J100-I100</f>
        <v>30</v>
      </c>
      <c r="G100" s="2">
        <f ca="1">+TODAY()-I100</f>
        <v>28</v>
      </c>
      <c r="H100" s="15">
        <v>660000</v>
      </c>
      <c r="I100" s="1">
        <v>46092</v>
      </c>
      <c r="J100" s="1">
        <v>46122</v>
      </c>
      <c r="K100" s="18" t="s">
        <v>1068</v>
      </c>
      <c r="L100" s="18" t="s">
        <v>207</v>
      </c>
      <c r="M100" s="18" t="s">
        <v>19</v>
      </c>
      <c r="N100" s="18" t="s">
        <v>1109</v>
      </c>
      <c r="O100">
        <v>30</v>
      </c>
    </row>
    <row r="101" spans="1:15" x14ac:dyDescent="0.25">
      <c r="A101" s="18" t="s">
        <v>7276</v>
      </c>
      <c r="B101" s="18" t="s">
        <v>1107</v>
      </c>
      <c r="C101" s="18" t="s">
        <v>1108</v>
      </c>
      <c r="D101" s="18" t="s">
        <v>320</v>
      </c>
      <c r="E101" s="18" t="s">
        <v>6260</v>
      </c>
      <c r="F101" s="2">
        <f>+J101-I101</f>
        <v>30</v>
      </c>
      <c r="G101" s="2">
        <f ca="1">+TODAY()-I101</f>
        <v>21</v>
      </c>
      <c r="H101" s="15">
        <v>3658897</v>
      </c>
      <c r="I101" s="1">
        <v>46099</v>
      </c>
      <c r="J101" s="1">
        <v>46129</v>
      </c>
      <c r="K101" s="18" t="s">
        <v>1068</v>
      </c>
      <c r="L101" s="18" t="s">
        <v>117</v>
      </c>
      <c r="M101" s="18" t="s">
        <v>19</v>
      </c>
      <c r="N101" s="18" t="s">
        <v>1109</v>
      </c>
      <c r="O101">
        <v>30</v>
      </c>
    </row>
    <row r="102" spans="1:15" x14ac:dyDescent="0.25">
      <c r="A102" s="18" t="s">
        <v>7276</v>
      </c>
      <c r="B102" s="18" t="s">
        <v>1107</v>
      </c>
      <c r="C102" s="18" t="s">
        <v>1108</v>
      </c>
      <c r="D102" s="18" t="s">
        <v>320</v>
      </c>
      <c r="E102" s="18" t="s">
        <v>7053</v>
      </c>
      <c r="F102" s="2">
        <f>+J102-I102</f>
        <v>30</v>
      </c>
      <c r="G102" s="2">
        <f ca="1">+TODAY()-I102</f>
        <v>8</v>
      </c>
      <c r="H102" s="15">
        <v>4425000</v>
      </c>
      <c r="I102" s="1">
        <v>46112</v>
      </c>
      <c r="J102" s="1">
        <v>46142</v>
      </c>
      <c r="K102" s="18" t="s">
        <v>1068</v>
      </c>
      <c r="L102" s="18" t="s">
        <v>207</v>
      </c>
      <c r="M102" s="18" t="s">
        <v>19</v>
      </c>
      <c r="N102" s="18" t="s">
        <v>1109</v>
      </c>
      <c r="O102">
        <v>30</v>
      </c>
    </row>
    <row r="103" spans="1:15" x14ac:dyDescent="0.25">
      <c r="A103" s="18" t="s">
        <v>7276</v>
      </c>
      <c r="B103" s="18" t="s">
        <v>1107</v>
      </c>
      <c r="C103" s="18" t="s">
        <v>1108</v>
      </c>
      <c r="D103" s="18" t="s">
        <v>320</v>
      </c>
      <c r="E103" s="18" t="s">
        <v>7054</v>
      </c>
      <c r="F103" s="2">
        <f>+J103-I103</f>
        <v>30</v>
      </c>
      <c r="G103" s="2">
        <f ca="1">+TODAY()-I103</f>
        <v>8</v>
      </c>
      <c r="H103" s="15">
        <v>2950000</v>
      </c>
      <c r="I103" s="1">
        <v>46112</v>
      </c>
      <c r="J103" s="1">
        <v>46142</v>
      </c>
      <c r="K103" s="18" t="s">
        <v>1068</v>
      </c>
      <c r="L103" s="18" t="s">
        <v>984</v>
      </c>
      <c r="M103" s="18" t="s">
        <v>19</v>
      </c>
      <c r="N103" s="18" t="s">
        <v>1109</v>
      </c>
      <c r="O103">
        <v>30</v>
      </c>
    </row>
    <row r="104" spans="1:15" x14ac:dyDescent="0.25">
      <c r="A104" s="18" t="s">
        <v>7276</v>
      </c>
      <c r="B104" s="18" t="s">
        <v>1107</v>
      </c>
      <c r="C104" s="18" t="s">
        <v>1108</v>
      </c>
      <c r="D104" s="18" t="s">
        <v>320</v>
      </c>
      <c r="E104" s="18" t="s">
        <v>2453</v>
      </c>
      <c r="F104" s="2">
        <f>+J104-I104</f>
        <v>30</v>
      </c>
      <c r="G104" s="2">
        <f ca="1">+TODAY()-I104</f>
        <v>112</v>
      </c>
      <c r="H104" s="15">
        <v>14989</v>
      </c>
      <c r="I104" s="1">
        <v>46008</v>
      </c>
      <c r="J104" s="1">
        <v>46038</v>
      </c>
      <c r="K104" s="18" t="s">
        <v>1068</v>
      </c>
      <c r="L104" s="18" t="s">
        <v>117</v>
      </c>
      <c r="M104" s="18" t="s">
        <v>19</v>
      </c>
      <c r="N104" s="18" t="s">
        <v>1109</v>
      </c>
      <c r="O104">
        <v>30</v>
      </c>
    </row>
    <row r="105" spans="1:15" x14ac:dyDescent="0.25">
      <c r="A105" s="18" t="s">
        <v>7276</v>
      </c>
      <c r="B105" s="18" t="s">
        <v>7609</v>
      </c>
      <c r="C105" s="18" t="s">
        <v>7610</v>
      </c>
      <c r="D105" s="18" t="s">
        <v>1762</v>
      </c>
      <c r="E105" s="18" t="s">
        <v>7611</v>
      </c>
      <c r="F105" s="2">
        <f>+J105-I105</f>
        <v>8</v>
      </c>
      <c r="G105" s="2">
        <f ca="1">+TODAY()-I105</f>
        <v>7</v>
      </c>
      <c r="H105" s="15">
        <v>1710000</v>
      </c>
      <c r="I105" s="1">
        <v>46113</v>
      </c>
      <c r="J105" s="1">
        <v>46121</v>
      </c>
      <c r="K105" s="18" t="s">
        <v>1758</v>
      </c>
      <c r="L105" s="18" t="s">
        <v>207</v>
      </c>
      <c r="M105" s="18" t="s">
        <v>19</v>
      </c>
      <c r="N105" s="18" t="s">
        <v>7612</v>
      </c>
      <c r="O105">
        <v>30</v>
      </c>
    </row>
    <row r="106" spans="1:15" x14ac:dyDescent="0.25">
      <c r="A106" s="18" t="s">
        <v>7276</v>
      </c>
      <c r="B106" s="18" t="s">
        <v>2428</v>
      </c>
      <c r="C106" s="18" t="s">
        <v>2429</v>
      </c>
      <c r="D106" s="18" t="s">
        <v>15</v>
      </c>
      <c r="E106" s="18" t="s">
        <v>6442</v>
      </c>
      <c r="F106" s="2">
        <f>+J106-I106</f>
        <v>15</v>
      </c>
      <c r="G106" s="2">
        <f ca="1">+TODAY()-I106</f>
        <v>14</v>
      </c>
      <c r="H106" s="15">
        <v>849595</v>
      </c>
      <c r="I106" s="1">
        <v>46106</v>
      </c>
      <c r="J106" s="1">
        <v>46121</v>
      </c>
      <c r="K106" s="18" t="s">
        <v>17</v>
      </c>
      <c r="L106" s="18" t="s">
        <v>312</v>
      </c>
      <c r="M106" s="18" t="s">
        <v>19</v>
      </c>
      <c r="N106" s="18" t="s">
        <v>2430</v>
      </c>
      <c r="O106">
        <v>30</v>
      </c>
    </row>
    <row r="107" spans="1:15" x14ac:dyDescent="0.25">
      <c r="A107" s="18" t="s">
        <v>7276</v>
      </c>
      <c r="B107" s="18" t="s">
        <v>2428</v>
      </c>
      <c r="C107" s="18" t="s">
        <v>2429</v>
      </c>
      <c r="D107" s="18" t="s">
        <v>15</v>
      </c>
      <c r="E107" s="18" t="s">
        <v>7673</v>
      </c>
      <c r="F107" s="2">
        <f>+J107-I107</f>
        <v>10</v>
      </c>
      <c r="G107" s="2">
        <f ca="1">+TODAY()-I107</f>
        <v>1</v>
      </c>
      <c r="H107" s="15">
        <v>764000</v>
      </c>
      <c r="I107" s="1">
        <v>46119</v>
      </c>
      <c r="J107" s="1">
        <v>46129</v>
      </c>
      <c r="K107" s="18" t="s">
        <v>17</v>
      </c>
      <c r="L107" s="18" t="s">
        <v>312</v>
      </c>
      <c r="M107" s="18" t="s">
        <v>19</v>
      </c>
      <c r="N107" s="18" t="s">
        <v>2430</v>
      </c>
      <c r="O107">
        <v>30</v>
      </c>
    </row>
    <row r="108" spans="1:15" x14ac:dyDescent="0.25">
      <c r="A108" s="18" t="s">
        <v>7276</v>
      </c>
      <c r="B108" s="18" t="s">
        <v>2428</v>
      </c>
      <c r="C108" s="18" t="s">
        <v>2429</v>
      </c>
      <c r="D108" s="18" t="s">
        <v>15</v>
      </c>
      <c r="E108" s="18" t="s">
        <v>7674</v>
      </c>
      <c r="F108" s="2">
        <f>+J108-I108</f>
        <v>15</v>
      </c>
      <c r="G108" s="2">
        <f ca="1">+TODAY()-I108</f>
        <v>1</v>
      </c>
      <c r="H108" s="15">
        <v>792896</v>
      </c>
      <c r="I108" s="1">
        <v>46119</v>
      </c>
      <c r="J108" s="1">
        <v>46134</v>
      </c>
      <c r="K108" s="18" t="s">
        <v>17</v>
      </c>
      <c r="L108" s="18" t="s">
        <v>312</v>
      </c>
      <c r="M108" s="18" t="s">
        <v>19</v>
      </c>
      <c r="N108" s="18" t="s">
        <v>2430</v>
      </c>
      <c r="O108">
        <v>30</v>
      </c>
    </row>
    <row r="109" spans="1:15" x14ac:dyDescent="0.25">
      <c r="A109" s="18" t="s">
        <v>7276</v>
      </c>
      <c r="B109" s="18" t="s">
        <v>4291</v>
      </c>
      <c r="C109" s="18" t="s">
        <v>4292</v>
      </c>
      <c r="D109" s="18" t="s">
        <v>15</v>
      </c>
      <c r="E109" s="18" t="s">
        <v>6187</v>
      </c>
      <c r="F109" s="2">
        <f>+J109-I109</f>
        <v>30</v>
      </c>
      <c r="G109" s="2">
        <f ca="1">+TODAY()-I109</f>
        <v>19</v>
      </c>
      <c r="H109" s="15">
        <v>352124</v>
      </c>
      <c r="I109" s="1">
        <v>46101</v>
      </c>
      <c r="J109" s="1">
        <v>46131</v>
      </c>
      <c r="K109" s="18" t="s">
        <v>17</v>
      </c>
      <c r="L109" s="18" t="s">
        <v>18</v>
      </c>
      <c r="M109" s="18" t="s">
        <v>19</v>
      </c>
      <c r="N109" s="18" t="s">
        <v>4294</v>
      </c>
      <c r="O109">
        <v>30</v>
      </c>
    </row>
    <row r="110" spans="1:15" x14ac:dyDescent="0.25">
      <c r="A110" s="18" t="s">
        <v>7276</v>
      </c>
      <c r="B110" s="18" t="s">
        <v>1251</v>
      </c>
      <c r="C110" s="18" t="s">
        <v>1252</v>
      </c>
      <c r="D110" s="18" t="s">
        <v>1242</v>
      </c>
      <c r="E110" s="18" t="s">
        <v>5278</v>
      </c>
      <c r="F110" s="2">
        <f>+J110-I110</f>
        <v>30</v>
      </c>
      <c r="G110" s="2">
        <f ca="1">+TODAY()-I110</f>
        <v>40</v>
      </c>
      <c r="H110" s="15">
        <v>572500</v>
      </c>
      <c r="I110" s="1">
        <v>46080</v>
      </c>
      <c r="J110" s="1">
        <v>46110</v>
      </c>
      <c r="K110" s="18" t="s">
        <v>1243</v>
      </c>
      <c r="L110" s="18" t="s">
        <v>207</v>
      </c>
      <c r="M110" s="18" t="s">
        <v>19</v>
      </c>
      <c r="N110" s="18" t="s">
        <v>1253</v>
      </c>
      <c r="O110">
        <v>30</v>
      </c>
    </row>
    <row r="111" spans="1:15" x14ac:dyDescent="0.25">
      <c r="A111" s="18" t="s">
        <v>7276</v>
      </c>
      <c r="B111" s="18" t="s">
        <v>1251</v>
      </c>
      <c r="C111" s="18" t="s">
        <v>1252</v>
      </c>
      <c r="D111" s="18" t="s">
        <v>1242</v>
      </c>
      <c r="E111" s="18" t="s">
        <v>5770</v>
      </c>
      <c r="F111" s="2">
        <f>+J111-I111</f>
        <v>30</v>
      </c>
      <c r="G111" s="2">
        <f ca="1">+TODAY()-I111</f>
        <v>33</v>
      </c>
      <c r="H111" s="15">
        <v>174374</v>
      </c>
      <c r="I111" s="1">
        <v>46087</v>
      </c>
      <c r="J111" s="1">
        <v>46117</v>
      </c>
      <c r="K111" s="18" t="s">
        <v>1243</v>
      </c>
      <c r="L111" s="18" t="s">
        <v>207</v>
      </c>
      <c r="M111" s="18" t="s">
        <v>19</v>
      </c>
      <c r="N111" s="18" t="s">
        <v>1253</v>
      </c>
      <c r="O111">
        <v>30</v>
      </c>
    </row>
    <row r="112" spans="1:15" x14ac:dyDescent="0.25">
      <c r="A112" s="18" t="s">
        <v>7276</v>
      </c>
      <c r="B112" s="18" t="s">
        <v>883</v>
      </c>
      <c r="C112" s="18" t="s">
        <v>884</v>
      </c>
      <c r="D112" s="18" t="s">
        <v>844</v>
      </c>
      <c r="E112" s="18" t="s">
        <v>5235</v>
      </c>
      <c r="F112" s="2">
        <f>+J112-I112</f>
        <v>30</v>
      </c>
      <c r="G112" s="2">
        <f ca="1">+TODAY()-I112</f>
        <v>39</v>
      </c>
      <c r="H112" s="15">
        <v>70003</v>
      </c>
      <c r="I112" s="1">
        <v>46081</v>
      </c>
      <c r="J112" s="1">
        <v>46111</v>
      </c>
      <c r="K112" s="18" t="s">
        <v>845</v>
      </c>
      <c r="L112" s="18" t="s">
        <v>18</v>
      </c>
      <c r="M112" s="18" t="s">
        <v>19</v>
      </c>
      <c r="N112" s="18" t="s">
        <v>885</v>
      </c>
      <c r="O112">
        <v>25</v>
      </c>
    </row>
    <row r="113" spans="1:15" x14ac:dyDescent="0.25">
      <c r="A113" s="18" t="s">
        <v>7276</v>
      </c>
      <c r="B113" s="18" t="s">
        <v>857</v>
      </c>
      <c r="C113" s="18" t="s">
        <v>858</v>
      </c>
      <c r="D113" s="18" t="s">
        <v>854</v>
      </c>
      <c r="E113" s="18" t="s">
        <v>5955</v>
      </c>
      <c r="F113" s="2">
        <f>+J113-I113</f>
        <v>30</v>
      </c>
      <c r="G113" s="2">
        <f ca="1">+TODAY()-I113</f>
        <v>26</v>
      </c>
      <c r="H113" s="15">
        <v>830981</v>
      </c>
      <c r="I113" s="1">
        <v>46094</v>
      </c>
      <c r="J113" s="1">
        <v>46124</v>
      </c>
      <c r="K113" s="18" t="s">
        <v>845</v>
      </c>
      <c r="L113" s="18" t="s">
        <v>18</v>
      </c>
      <c r="M113" s="18" t="s">
        <v>19</v>
      </c>
      <c r="N113" s="18" t="s">
        <v>859</v>
      </c>
      <c r="O113">
        <v>30</v>
      </c>
    </row>
    <row r="114" spans="1:15" x14ac:dyDescent="0.25">
      <c r="A114" s="18" t="s">
        <v>7276</v>
      </c>
      <c r="B114" s="18" t="s">
        <v>857</v>
      </c>
      <c r="C114" s="18" t="s">
        <v>858</v>
      </c>
      <c r="D114" s="18" t="s">
        <v>854</v>
      </c>
      <c r="E114" s="18" t="s">
        <v>5956</v>
      </c>
      <c r="F114" s="2">
        <f>+J114-I114</f>
        <v>30</v>
      </c>
      <c r="G114" s="2">
        <f ca="1">+TODAY()-I114</f>
        <v>26</v>
      </c>
      <c r="H114" s="15">
        <v>2330625</v>
      </c>
      <c r="I114" s="1">
        <v>46094</v>
      </c>
      <c r="J114" s="1">
        <v>46124</v>
      </c>
      <c r="K114" s="18" t="s">
        <v>845</v>
      </c>
      <c r="L114" s="18" t="s">
        <v>18</v>
      </c>
      <c r="M114" s="18" t="s">
        <v>19</v>
      </c>
      <c r="N114" s="18" t="s">
        <v>859</v>
      </c>
      <c r="O114">
        <v>30</v>
      </c>
    </row>
    <row r="115" spans="1:15" x14ac:dyDescent="0.25">
      <c r="A115" s="18" t="s">
        <v>7276</v>
      </c>
      <c r="B115" s="18" t="s">
        <v>857</v>
      </c>
      <c r="C115" s="18" t="s">
        <v>858</v>
      </c>
      <c r="D115" s="18" t="s">
        <v>854</v>
      </c>
      <c r="E115" s="18" t="s">
        <v>6471</v>
      </c>
      <c r="F115" s="2">
        <f>+J115-I115</f>
        <v>30</v>
      </c>
      <c r="G115" s="2">
        <f ca="1">+TODAY()-I115</f>
        <v>12</v>
      </c>
      <c r="H115" s="15">
        <v>788120</v>
      </c>
      <c r="I115" s="1">
        <v>46108</v>
      </c>
      <c r="J115" s="1">
        <v>46138</v>
      </c>
      <c r="K115" s="18" t="s">
        <v>845</v>
      </c>
      <c r="L115" s="18" t="s">
        <v>18</v>
      </c>
      <c r="M115" s="18" t="s">
        <v>19</v>
      </c>
      <c r="N115" s="18" t="s">
        <v>859</v>
      </c>
      <c r="O115">
        <v>30</v>
      </c>
    </row>
    <row r="116" spans="1:15" x14ac:dyDescent="0.25">
      <c r="A116" s="18" t="s">
        <v>7276</v>
      </c>
      <c r="B116" s="18" t="s">
        <v>857</v>
      </c>
      <c r="C116" s="18" t="s">
        <v>858</v>
      </c>
      <c r="D116" s="18" t="s">
        <v>854</v>
      </c>
      <c r="E116" s="18" t="s">
        <v>6472</v>
      </c>
      <c r="F116" s="2">
        <f>+J116-I116</f>
        <v>30</v>
      </c>
      <c r="G116" s="2">
        <f ca="1">+TODAY()-I116</f>
        <v>12</v>
      </c>
      <c r="H116" s="15">
        <v>1655294</v>
      </c>
      <c r="I116" s="1">
        <v>46108</v>
      </c>
      <c r="J116" s="1">
        <v>46138</v>
      </c>
      <c r="K116" s="18" t="s">
        <v>845</v>
      </c>
      <c r="L116" s="18" t="s">
        <v>18</v>
      </c>
      <c r="M116" s="18" t="s">
        <v>19</v>
      </c>
      <c r="N116" s="18" t="s">
        <v>859</v>
      </c>
      <c r="O116">
        <v>30</v>
      </c>
    </row>
    <row r="117" spans="1:15" x14ac:dyDescent="0.25">
      <c r="A117" s="18" t="s">
        <v>7276</v>
      </c>
      <c r="B117" s="18" t="s">
        <v>1889</v>
      </c>
      <c r="C117" s="18" t="s">
        <v>1890</v>
      </c>
      <c r="D117" s="18" t="s">
        <v>1891</v>
      </c>
      <c r="E117" s="18" t="s">
        <v>5061</v>
      </c>
      <c r="F117" s="2">
        <f>+J117-I117</f>
        <v>30</v>
      </c>
      <c r="G117" s="2">
        <f ca="1">+TODAY()-I117</f>
        <v>61</v>
      </c>
      <c r="H117" s="15">
        <v>954018</v>
      </c>
      <c r="I117" s="1">
        <v>46059</v>
      </c>
      <c r="J117" s="1">
        <v>46089</v>
      </c>
      <c r="K117" s="18" t="s">
        <v>1854</v>
      </c>
      <c r="L117" s="18" t="s">
        <v>981</v>
      </c>
      <c r="M117" s="18" t="s">
        <v>19</v>
      </c>
      <c r="N117" s="18" t="s">
        <v>1893</v>
      </c>
      <c r="O117">
        <v>30</v>
      </c>
    </row>
    <row r="118" spans="1:15" x14ac:dyDescent="0.25">
      <c r="A118" s="18" t="s">
        <v>7276</v>
      </c>
      <c r="B118" s="18" t="s">
        <v>1889</v>
      </c>
      <c r="C118" s="18" t="s">
        <v>1890</v>
      </c>
      <c r="D118" s="18" t="s">
        <v>1891</v>
      </c>
      <c r="E118" s="18" t="s">
        <v>5062</v>
      </c>
      <c r="F118" s="2">
        <f>+J118-I118</f>
        <v>30</v>
      </c>
      <c r="G118" s="2">
        <f ca="1">+TODAY()-I118</f>
        <v>61</v>
      </c>
      <c r="H118" s="15">
        <v>2134003</v>
      </c>
      <c r="I118" s="1">
        <v>46059</v>
      </c>
      <c r="J118" s="1">
        <v>46089</v>
      </c>
      <c r="K118" s="18" t="s">
        <v>1854</v>
      </c>
      <c r="L118" s="18" t="s">
        <v>981</v>
      </c>
      <c r="M118" s="18" t="s">
        <v>19</v>
      </c>
      <c r="N118" s="18" t="s">
        <v>1893</v>
      </c>
      <c r="O118">
        <v>30</v>
      </c>
    </row>
    <row r="119" spans="1:15" x14ac:dyDescent="0.25">
      <c r="A119" s="18" t="s">
        <v>7276</v>
      </c>
      <c r="B119" s="18" t="s">
        <v>4977</v>
      </c>
      <c r="C119" s="18" t="s">
        <v>4978</v>
      </c>
      <c r="D119" s="18" t="s">
        <v>341</v>
      </c>
      <c r="E119" s="18" t="s">
        <v>4981</v>
      </c>
      <c r="F119" s="2">
        <f>+J119-I119</f>
        <v>30</v>
      </c>
      <c r="G119" s="2">
        <f ca="1">+TODAY()-I119</f>
        <v>69</v>
      </c>
      <c r="H119" s="15">
        <v>173683</v>
      </c>
      <c r="I119" s="1">
        <v>46051</v>
      </c>
      <c r="J119" s="1">
        <v>46081</v>
      </c>
      <c r="K119" s="18" t="s">
        <v>1470</v>
      </c>
      <c r="L119" s="18" t="s">
        <v>981</v>
      </c>
      <c r="M119" s="18" t="s">
        <v>19</v>
      </c>
      <c r="N119" s="18" t="s">
        <v>4979</v>
      </c>
      <c r="O119">
        <v>30</v>
      </c>
    </row>
    <row r="120" spans="1:15" x14ac:dyDescent="0.25">
      <c r="A120" s="18" t="s">
        <v>7276</v>
      </c>
      <c r="B120" s="18" t="s">
        <v>73</v>
      </c>
      <c r="C120" s="18" t="s">
        <v>74</v>
      </c>
      <c r="D120" s="18" t="s">
        <v>46</v>
      </c>
      <c r="E120" s="18" t="s">
        <v>5894</v>
      </c>
      <c r="F120" s="2">
        <f>+J120-I120</f>
        <v>30</v>
      </c>
      <c r="G120" s="2">
        <f ca="1">+TODAY()-I120</f>
        <v>26</v>
      </c>
      <c r="H120" s="15">
        <v>204199</v>
      </c>
      <c r="I120" s="1">
        <v>46094</v>
      </c>
      <c r="J120" s="1">
        <v>46124</v>
      </c>
      <c r="K120" s="18" t="s">
        <v>17</v>
      </c>
      <c r="L120" s="18" t="s">
        <v>18</v>
      </c>
      <c r="M120" s="18" t="s">
        <v>19</v>
      </c>
      <c r="N120" s="18" t="s">
        <v>75</v>
      </c>
      <c r="O120">
        <v>30</v>
      </c>
    </row>
    <row r="121" spans="1:15" x14ac:dyDescent="0.25">
      <c r="A121" s="18" t="s">
        <v>7276</v>
      </c>
      <c r="B121" s="18" t="s">
        <v>73</v>
      </c>
      <c r="C121" s="18" t="s">
        <v>74</v>
      </c>
      <c r="D121" s="18" t="s">
        <v>46</v>
      </c>
      <c r="E121" s="18" t="s">
        <v>5895</v>
      </c>
      <c r="F121" s="2">
        <f>+J121-I121</f>
        <v>30</v>
      </c>
      <c r="G121" s="2">
        <f ca="1">+TODAY()-I121</f>
        <v>26</v>
      </c>
      <c r="H121" s="15">
        <v>1528355</v>
      </c>
      <c r="I121" s="1">
        <v>46094</v>
      </c>
      <c r="J121" s="1">
        <v>46124</v>
      </c>
      <c r="K121" s="18" t="s">
        <v>17</v>
      </c>
      <c r="L121" s="18" t="s">
        <v>18</v>
      </c>
      <c r="M121" s="18" t="s">
        <v>19</v>
      </c>
      <c r="N121" s="18" t="s">
        <v>75</v>
      </c>
      <c r="O121">
        <v>30</v>
      </c>
    </row>
    <row r="122" spans="1:15" x14ac:dyDescent="0.25">
      <c r="A122" s="18" t="s">
        <v>7276</v>
      </c>
      <c r="B122" s="18" t="s">
        <v>73</v>
      </c>
      <c r="C122" s="18" t="s">
        <v>74</v>
      </c>
      <c r="D122" s="18" t="s">
        <v>46</v>
      </c>
      <c r="E122" s="18" t="s">
        <v>6189</v>
      </c>
      <c r="F122" s="2">
        <f>+J122-I122</f>
        <v>30</v>
      </c>
      <c r="G122" s="2">
        <f ca="1">+TODAY()-I122</f>
        <v>19</v>
      </c>
      <c r="H122" s="15">
        <v>1457822</v>
      </c>
      <c r="I122" s="1">
        <v>46101</v>
      </c>
      <c r="J122" s="1">
        <v>46131</v>
      </c>
      <c r="K122" s="18" t="s">
        <v>17</v>
      </c>
      <c r="L122" s="18" t="s">
        <v>18</v>
      </c>
      <c r="M122" s="18" t="s">
        <v>19</v>
      </c>
      <c r="N122" s="18" t="s">
        <v>75</v>
      </c>
      <c r="O122">
        <v>30</v>
      </c>
    </row>
    <row r="123" spans="1:15" x14ac:dyDescent="0.25">
      <c r="A123" s="18" t="s">
        <v>7276</v>
      </c>
      <c r="B123" s="18" t="s">
        <v>73</v>
      </c>
      <c r="C123" s="18" t="s">
        <v>74</v>
      </c>
      <c r="D123" s="18" t="s">
        <v>46</v>
      </c>
      <c r="E123" s="18" t="s">
        <v>6870</v>
      </c>
      <c r="F123" s="2">
        <f>+J123-I123</f>
        <v>30</v>
      </c>
      <c r="G123" s="2">
        <f ca="1">+TODAY()-I123</f>
        <v>8</v>
      </c>
      <c r="H123" s="15">
        <v>124400</v>
      </c>
      <c r="I123" s="1">
        <v>46112</v>
      </c>
      <c r="J123" s="1">
        <v>46142</v>
      </c>
      <c r="K123" s="18" t="s">
        <v>17</v>
      </c>
      <c r="L123" s="18" t="s">
        <v>18</v>
      </c>
      <c r="M123" s="18" t="s">
        <v>19</v>
      </c>
      <c r="N123" s="18" t="s">
        <v>75</v>
      </c>
      <c r="O123">
        <v>30</v>
      </c>
    </row>
    <row r="124" spans="1:15" x14ac:dyDescent="0.25">
      <c r="A124" s="18" t="s">
        <v>7276</v>
      </c>
      <c r="B124" s="18" t="s">
        <v>1537</v>
      </c>
      <c r="C124" s="18" t="s">
        <v>1538</v>
      </c>
      <c r="D124" s="18" t="s">
        <v>1527</v>
      </c>
      <c r="E124" s="18" t="s">
        <v>5143</v>
      </c>
      <c r="F124" s="2">
        <f>+J124-I124</f>
        <v>30</v>
      </c>
      <c r="G124" s="2">
        <f ca="1">+TODAY()-I124</f>
        <v>55</v>
      </c>
      <c r="H124" s="15">
        <v>366797</v>
      </c>
      <c r="I124" s="1">
        <v>46065</v>
      </c>
      <c r="J124" s="1">
        <v>46095</v>
      </c>
      <c r="K124" s="18" t="s">
        <v>1528</v>
      </c>
      <c r="L124" s="18" t="s">
        <v>207</v>
      </c>
      <c r="M124" s="18" t="s">
        <v>19</v>
      </c>
      <c r="N124" s="18" t="s">
        <v>6350</v>
      </c>
      <c r="O124">
        <v>30</v>
      </c>
    </row>
    <row r="125" spans="1:15" x14ac:dyDescent="0.25">
      <c r="A125" s="18" t="s">
        <v>7276</v>
      </c>
      <c r="B125" s="18" t="s">
        <v>1537</v>
      </c>
      <c r="C125" s="18" t="s">
        <v>1538</v>
      </c>
      <c r="D125" s="18" t="s">
        <v>1527</v>
      </c>
      <c r="E125" s="18" t="s">
        <v>5144</v>
      </c>
      <c r="F125" s="2">
        <f>+J125-I125</f>
        <v>30</v>
      </c>
      <c r="G125" s="2">
        <f ca="1">+TODAY()-I125</f>
        <v>55</v>
      </c>
      <c r="H125" s="15">
        <v>1079011</v>
      </c>
      <c r="I125" s="1">
        <v>46065</v>
      </c>
      <c r="J125" s="1">
        <v>46095</v>
      </c>
      <c r="K125" s="18" t="s">
        <v>1528</v>
      </c>
      <c r="L125" s="18" t="s">
        <v>207</v>
      </c>
      <c r="M125" s="18" t="s">
        <v>19</v>
      </c>
      <c r="N125" s="18" t="s">
        <v>6350</v>
      </c>
      <c r="O125">
        <v>30</v>
      </c>
    </row>
    <row r="126" spans="1:15" x14ac:dyDescent="0.25">
      <c r="A126" s="18" t="s">
        <v>7276</v>
      </c>
      <c r="B126" s="18" t="s">
        <v>1537</v>
      </c>
      <c r="C126" s="18" t="s">
        <v>1538</v>
      </c>
      <c r="D126" s="18" t="s">
        <v>1527</v>
      </c>
      <c r="E126" s="18" t="s">
        <v>6063</v>
      </c>
      <c r="F126" s="2">
        <f>+J126-I126</f>
        <v>30</v>
      </c>
      <c r="G126" s="2">
        <f ca="1">+TODAY()-I126</f>
        <v>27</v>
      </c>
      <c r="H126" s="15">
        <v>1203667</v>
      </c>
      <c r="I126" s="1">
        <v>46093</v>
      </c>
      <c r="J126" s="1">
        <v>46123</v>
      </c>
      <c r="K126" s="18" t="s">
        <v>1528</v>
      </c>
      <c r="L126" s="18" t="s">
        <v>207</v>
      </c>
      <c r="M126" s="18" t="s">
        <v>19</v>
      </c>
      <c r="N126" s="18" t="s">
        <v>6350</v>
      </c>
      <c r="O126">
        <v>30</v>
      </c>
    </row>
    <row r="127" spans="1:15" x14ac:dyDescent="0.25">
      <c r="A127" s="18" t="s">
        <v>7276</v>
      </c>
      <c r="B127" s="18" t="s">
        <v>7758</v>
      </c>
      <c r="C127" s="18" t="s">
        <v>7759</v>
      </c>
      <c r="D127" s="18" t="s">
        <v>930</v>
      </c>
      <c r="E127" s="18" t="s">
        <v>7760</v>
      </c>
      <c r="F127" s="2">
        <f>+J127-I127</f>
        <v>1</v>
      </c>
      <c r="G127" s="2">
        <f ca="1">+TODAY()-I127</f>
        <v>1</v>
      </c>
      <c r="H127" s="15">
        <v>187600</v>
      </c>
      <c r="I127" s="1">
        <v>46119</v>
      </c>
      <c r="J127" s="1">
        <v>46120</v>
      </c>
      <c r="K127" s="18" t="s">
        <v>918</v>
      </c>
      <c r="L127" s="18" t="s">
        <v>312</v>
      </c>
      <c r="M127" s="18" t="s">
        <v>19</v>
      </c>
      <c r="N127" s="18" t="s">
        <v>7761</v>
      </c>
      <c r="O127">
        <v>1</v>
      </c>
    </row>
    <row r="128" spans="1:15" x14ac:dyDescent="0.25">
      <c r="A128" s="18" t="s">
        <v>7276</v>
      </c>
      <c r="B128" s="18" t="s">
        <v>7758</v>
      </c>
      <c r="C128" s="18" t="s">
        <v>7759</v>
      </c>
      <c r="D128" s="18" t="s">
        <v>930</v>
      </c>
      <c r="E128" s="18" t="s">
        <v>7762</v>
      </c>
      <c r="F128" s="2">
        <f>+J128-I128</f>
        <v>1</v>
      </c>
      <c r="G128" s="2">
        <f ca="1">+TODAY()-I128</f>
        <v>1</v>
      </c>
      <c r="H128" s="15">
        <v>85256</v>
      </c>
      <c r="I128" s="1">
        <v>46119</v>
      </c>
      <c r="J128" s="1">
        <v>46120</v>
      </c>
      <c r="K128" s="18" t="s">
        <v>918</v>
      </c>
      <c r="L128" s="18" t="s">
        <v>312</v>
      </c>
      <c r="M128" s="18" t="s">
        <v>19</v>
      </c>
      <c r="N128" s="18" t="s">
        <v>7761</v>
      </c>
      <c r="O128">
        <v>1</v>
      </c>
    </row>
    <row r="129" spans="1:15" x14ac:dyDescent="0.25">
      <c r="A129" s="18" t="s">
        <v>7276</v>
      </c>
      <c r="B129" s="18" t="s">
        <v>5423</v>
      </c>
      <c r="C129" s="18" t="s">
        <v>5424</v>
      </c>
      <c r="D129" s="18" t="s">
        <v>2310</v>
      </c>
      <c r="E129" s="18" t="s">
        <v>5425</v>
      </c>
      <c r="F129" s="2">
        <f>+J129-I129</f>
        <v>1</v>
      </c>
      <c r="G129" s="2">
        <f ca="1">+TODAY()-I129</f>
        <v>35</v>
      </c>
      <c r="H129" s="15">
        <v>1098652</v>
      </c>
      <c r="I129" s="1">
        <v>46085</v>
      </c>
      <c r="J129" s="1">
        <v>46086</v>
      </c>
      <c r="K129" s="18" t="s">
        <v>839</v>
      </c>
      <c r="L129" s="18" t="s">
        <v>18</v>
      </c>
      <c r="M129" s="18" t="s">
        <v>19</v>
      </c>
      <c r="N129" s="18" t="s">
        <v>6233</v>
      </c>
      <c r="O129">
        <v>1</v>
      </c>
    </row>
    <row r="130" spans="1:15" x14ac:dyDescent="0.25">
      <c r="A130" s="18" t="s">
        <v>7276</v>
      </c>
      <c r="B130" s="18" t="s">
        <v>5423</v>
      </c>
      <c r="C130" s="18" t="s">
        <v>5424</v>
      </c>
      <c r="D130" s="18" t="s">
        <v>2310</v>
      </c>
      <c r="E130" s="18" t="s">
        <v>5940</v>
      </c>
      <c r="F130" s="2">
        <f>+J130-I130</f>
        <v>1</v>
      </c>
      <c r="G130" s="2">
        <f ca="1">+TODAY()-I130</f>
        <v>22</v>
      </c>
      <c r="H130" s="15">
        <v>500000</v>
      </c>
      <c r="I130" s="1">
        <v>46098</v>
      </c>
      <c r="J130" s="1">
        <v>46099</v>
      </c>
      <c r="K130" s="18" t="s">
        <v>839</v>
      </c>
      <c r="L130" s="18" t="s">
        <v>18</v>
      </c>
      <c r="M130" s="18" t="s">
        <v>19</v>
      </c>
      <c r="N130" s="18" t="s">
        <v>6233</v>
      </c>
      <c r="O130">
        <v>1</v>
      </c>
    </row>
    <row r="131" spans="1:15" x14ac:dyDescent="0.25">
      <c r="A131" s="18" t="s">
        <v>7276</v>
      </c>
      <c r="B131" s="18" t="s">
        <v>5423</v>
      </c>
      <c r="C131" s="18" t="s">
        <v>5424</v>
      </c>
      <c r="D131" s="18" t="s">
        <v>2310</v>
      </c>
      <c r="E131" s="18" t="s">
        <v>6980</v>
      </c>
      <c r="F131" s="2">
        <f>+J131-I131</f>
        <v>1</v>
      </c>
      <c r="G131" s="2">
        <f ca="1">+TODAY()-I131</f>
        <v>9</v>
      </c>
      <c r="H131" s="15">
        <v>66604</v>
      </c>
      <c r="I131" s="1">
        <v>46111</v>
      </c>
      <c r="J131" s="1">
        <v>46112</v>
      </c>
      <c r="K131" s="18" t="s">
        <v>839</v>
      </c>
      <c r="L131" s="18" t="s">
        <v>18</v>
      </c>
      <c r="M131" s="18" t="s">
        <v>19</v>
      </c>
      <c r="N131" s="18" t="s">
        <v>6233</v>
      </c>
      <c r="O131">
        <v>1</v>
      </c>
    </row>
    <row r="132" spans="1:15" x14ac:dyDescent="0.25">
      <c r="A132" s="18" t="s">
        <v>7276</v>
      </c>
      <c r="B132" s="18" t="s">
        <v>3901</v>
      </c>
      <c r="C132" s="18" t="s">
        <v>3902</v>
      </c>
      <c r="D132" s="18" t="s">
        <v>46</v>
      </c>
      <c r="E132" s="18" t="s">
        <v>6396</v>
      </c>
      <c r="F132" s="2">
        <f>+J132-I132</f>
        <v>30</v>
      </c>
      <c r="G132" s="2">
        <f ca="1">+TODAY()-I132</f>
        <v>15</v>
      </c>
      <c r="H132" s="15">
        <v>115630</v>
      </c>
      <c r="I132" s="1">
        <v>46105</v>
      </c>
      <c r="J132" s="1">
        <v>46135</v>
      </c>
      <c r="K132" s="18" t="s">
        <v>17</v>
      </c>
      <c r="L132" s="18" t="s">
        <v>109</v>
      </c>
      <c r="M132" s="18" t="s">
        <v>19</v>
      </c>
      <c r="N132" s="18" t="s">
        <v>3904</v>
      </c>
      <c r="O132">
        <v>30</v>
      </c>
    </row>
    <row r="133" spans="1:15" x14ac:dyDescent="0.25">
      <c r="A133" s="18" t="s">
        <v>7276</v>
      </c>
      <c r="B133" s="18" t="s">
        <v>3901</v>
      </c>
      <c r="C133" s="18" t="s">
        <v>3902</v>
      </c>
      <c r="D133" s="18" t="s">
        <v>46</v>
      </c>
      <c r="E133" s="18" t="s">
        <v>6409</v>
      </c>
      <c r="F133" s="2">
        <f>+J133-I133</f>
        <v>30</v>
      </c>
      <c r="G133" s="2">
        <f ca="1">+TODAY()-I133</f>
        <v>14</v>
      </c>
      <c r="H133" s="15">
        <v>33650</v>
      </c>
      <c r="I133" s="1">
        <v>46106</v>
      </c>
      <c r="J133" s="1">
        <v>46136</v>
      </c>
      <c r="K133" s="18" t="s">
        <v>17</v>
      </c>
      <c r="L133" s="18" t="s">
        <v>109</v>
      </c>
      <c r="M133" s="18" t="s">
        <v>19</v>
      </c>
      <c r="N133" s="18" t="s">
        <v>3904</v>
      </c>
      <c r="O133">
        <v>30</v>
      </c>
    </row>
    <row r="134" spans="1:15" x14ac:dyDescent="0.25">
      <c r="A134" s="18" t="s">
        <v>7276</v>
      </c>
      <c r="B134" s="18" t="s">
        <v>3901</v>
      </c>
      <c r="C134" s="18" t="s">
        <v>3902</v>
      </c>
      <c r="D134" s="18" t="s">
        <v>46</v>
      </c>
      <c r="E134" s="18" t="s">
        <v>6807</v>
      </c>
      <c r="F134" s="2">
        <f>+J134-I134</f>
        <v>30</v>
      </c>
      <c r="G134" s="2">
        <f ca="1">+TODAY()-I134</f>
        <v>8</v>
      </c>
      <c r="H134" s="15">
        <v>255920</v>
      </c>
      <c r="I134" s="1">
        <v>46112</v>
      </c>
      <c r="J134" s="1">
        <v>46142</v>
      </c>
      <c r="K134" s="18" t="s">
        <v>17</v>
      </c>
      <c r="L134" s="18" t="s">
        <v>109</v>
      </c>
      <c r="M134" s="18" t="s">
        <v>19</v>
      </c>
      <c r="N134" s="18" t="s">
        <v>3904</v>
      </c>
      <c r="O134">
        <v>30</v>
      </c>
    </row>
    <row r="135" spans="1:15" x14ac:dyDescent="0.25">
      <c r="A135" s="18" t="s">
        <v>7276</v>
      </c>
      <c r="B135" s="18" t="s">
        <v>835</v>
      </c>
      <c r="C135" s="18" t="s">
        <v>836</v>
      </c>
      <c r="D135" s="18" t="s">
        <v>837</v>
      </c>
      <c r="E135" s="18" t="s">
        <v>838</v>
      </c>
      <c r="F135" s="2">
        <f>+J135-I135</f>
        <v>30</v>
      </c>
      <c r="G135" s="2">
        <f ca="1">+TODAY()-I135</f>
        <v>778</v>
      </c>
      <c r="H135" s="15">
        <v>2409501</v>
      </c>
      <c r="I135" s="1">
        <v>45342</v>
      </c>
      <c r="J135" s="1">
        <v>45372</v>
      </c>
      <c r="K135" s="18" t="s">
        <v>839</v>
      </c>
      <c r="L135" s="18" t="s">
        <v>18</v>
      </c>
      <c r="M135" s="18" t="s">
        <v>19</v>
      </c>
      <c r="N135" s="18" t="s">
        <v>840</v>
      </c>
      <c r="O135">
        <v>30</v>
      </c>
    </row>
    <row r="136" spans="1:15" x14ac:dyDescent="0.25">
      <c r="A136" s="18" t="s">
        <v>7276</v>
      </c>
      <c r="B136" s="18" t="s">
        <v>835</v>
      </c>
      <c r="C136" s="18" t="s">
        <v>836</v>
      </c>
      <c r="D136" s="18" t="s">
        <v>837</v>
      </c>
      <c r="E136" s="18" t="s">
        <v>841</v>
      </c>
      <c r="F136" s="2">
        <f>+J136-I136</f>
        <v>30</v>
      </c>
      <c r="G136" s="2">
        <f ca="1">+TODAY()-I136</f>
        <v>765</v>
      </c>
      <c r="H136" s="15">
        <v>3090499</v>
      </c>
      <c r="I136" s="1">
        <v>45355</v>
      </c>
      <c r="J136" s="1">
        <v>45385</v>
      </c>
      <c r="K136" s="18" t="s">
        <v>839</v>
      </c>
      <c r="L136" s="18" t="s">
        <v>18</v>
      </c>
      <c r="M136" s="18" t="s">
        <v>19</v>
      </c>
      <c r="N136" s="18" t="s">
        <v>840</v>
      </c>
      <c r="O136">
        <v>30</v>
      </c>
    </row>
    <row r="137" spans="1:15" x14ac:dyDescent="0.25">
      <c r="A137" s="18" t="s">
        <v>7276</v>
      </c>
      <c r="B137" s="18" t="s">
        <v>835</v>
      </c>
      <c r="C137" s="18" t="s">
        <v>836</v>
      </c>
      <c r="D137" s="18" t="s">
        <v>837</v>
      </c>
      <c r="E137" s="18" t="s">
        <v>5941</v>
      </c>
      <c r="F137" s="2">
        <f>+J137-I137</f>
        <v>1</v>
      </c>
      <c r="G137" s="2">
        <f ca="1">+TODAY()-I137</f>
        <v>22</v>
      </c>
      <c r="H137" s="15">
        <v>70890</v>
      </c>
      <c r="I137" s="1">
        <v>46098</v>
      </c>
      <c r="J137" s="1">
        <v>46099</v>
      </c>
      <c r="K137" s="18" t="s">
        <v>839</v>
      </c>
      <c r="L137" s="18" t="s">
        <v>18</v>
      </c>
      <c r="M137" s="18" t="s">
        <v>19</v>
      </c>
      <c r="N137" s="18" t="s">
        <v>840</v>
      </c>
      <c r="O137">
        <v>30</v>
      </c>
    </row>
    <row r="138" spans="1:15" x14ac:dyDescent="0.25">
      <c r="A138" s="18" t="s">
        <v>7276</v>
      </c>
      <c r="B138" s="18" t="s">
        <v>835</v>
      </c>
      <c r="C138" s="18" t="s">
        <v>836</v>
      </c>
      <c r="D138" s="18" t="s">
        <v>837</v>
      </c>
      <c r="E138" s="18" t="s">
        <v>6983</v>
      </c>
      <c r="F138" s="2">
        <f>+J138-I138</f>
        <v>1</v>
      </c>
      <c r="G138" s="2">
        <f ca="1">+TODAY()-I138</f>
        <v>9</v>
      </c>
      <c r="H138" s="15">
        <v>150500</v>
      </c>
      <c r="I138" s="1">
        <v>46111</v>
      </c>
      <c r="J138" s="1">
        <v>46112</v>
      </c>
      <c r="K138" s="18" t="s">
        <v>839</v>
      </c>
      <c r="L138" s="18" t="s">
        <v>18</v>
      </c>
      <c r="M138" s="18" t="s">
        <v>19</v>
      </c>
      <c r="N138" s="18" t="s">
        <v>840</v>
      </c>
      <c r="O138">
        <v>30</v>
      </c>
    </row>
    <row r="139" spans="1:15" x14ac:dyDescent="0.25">
      <c r="A139" s="18" t="s">
        <v>7276</v>
      </c>
      <c r="B139" s="18" t="s">
        <v>5932</v>
      </c>
      <c r="C139" s="18" t="s">
        <v>5933</v>
      </c>
      <c r="D139" s="18" t="s">
        <v>2016</v>
      </c>
      <c r="E139" s="18" t="s">
        <v>5934</v>
      </c>
      <c r="F139" s="2">
        <f>+J139-I139</f>
        <v>30</v>
      </c>
      <c r="G139" s="2">
        <f ca="1">+TODAY()-I139</f>
        <v>22</v>
      </c>
      <c r="H139" s="15">
        <v>811800</v>
      </c>
      <c r="I139" s="1">
        <v>46098</v>
      </c>
      <c r="J139" s="1">
        <v>46128</v>
      </c>
      <c r="K139" s="18" t="s">
        <v>766</v>
      </c>
      <c r="L139" s="18" t="s">
        <v>18</v>
      </c>
      <c r="M139" s="18" t="s">
        <v>19</v>
      </c>
      <c r="N139" s="18" t="s">
        <v>5935</v>
      </c>
      <c r="O139">
        <v>30</v>
      </c>
    </row>
    <row r="140" spans="1:15" x14ac:dyDescent="0.25">
      <c r="A140" s="18" t="s">
        <v>7276</v>
      </c>
      <c r="B140" s="18" t="s">
        <v>376</v>
      </c>
      <c r="C140" s="18" t="s">
        <v>377</v>
      </c>
      <c r="D140" s="18" t="s">
        <v>378</v>
      </c>
      <c r="E140" s="18" t="s">
        <v>5008</v>
      </c>
      <c r="F140" s="2">
        <f>+J140-I140</f>
        <v>30</v>
      </c>
      <c r="G140" s="2">
        <f ca="1">+TODAY()-I140</f>
        <v>60</v>
      </c>
      <c r="H140" s="15">
        <v>321029</v>
      </c>
      <c r="I140" s="1">
        <v>46060</v>
      </c>
      <c r="J140" s="1">
        <v>46090</v>
      </c>
      <c r="K140" s="18" t="s">
        <v>343</v>
      </c>
      <c r="L140" s="18" t="s">
        <v>47</v>
      </c>
      <c r="M140" s="18" t="s">
        <v>19</v>
      </c>
      <c r="N140" s="18" t="s">
        <v>379</v>
      </c>
      <c r="O140">
        <v>30</v>
      </c>
    </row>
    <row r="141" spans="1:15" x14ac:dyDescent="0.25">
      <c r="A141" s="18" t="s">
        <v>7276</v>
      </c>
      <c r="B141" s="18" t="s">
        <v>376</v>
      </c>
      <c r="C141" s="18" t="s">
        <v>377</v>
      </c>
      <c r="D141" s="18" t="s">
        <v>378</v>
      </c>
      <c r="E141" s="18" t="s">
        <v>5220</v>
      </c>
      <c r="F141" s="2">
        <f>+J141-I141</f>
        <v>30</v>
      </c>
      <c r="G141" s="2">
        <f ca="1">+TODAY()-I141</f>
        <v>43</v>
      </c>
      <c r="H141" s="15">
        <v>297344</v>
      </c>
      <c r="I141" s="1">
        <v>46077</v>
      </c>
      <c r="J141" s="1">
        <v>46107</v>
      </c>
      <c r="K141" s="18" t="s">
        <v>343</v>
      </c>
      <c r="L141" s="18" t="s">
        <v>47</v>
      </c>
      <c r="M141" s="18" t="s">
        <v>19</v>
      </c>
      <c r="N141" s="18" t="s">
        <v>379</v>
      </c>
      <c r="O141">
        <v>30</v>
      </c>
    </row>
    <row r="142" spans="1:15" x14ac:dyDescent="0.25">
      <c r="A142" s="18" t="s">
        <v>7276</v>
      </c>
      <c r="B142" s="18" t="s">
        <v>376</v>
      </c>
      <c r="C142" s="18" t="s">
        <v>377</v>
      </c>
      <c r="D142" s="18" t="s">
        <v>378</v>
      </c>
      <c r="E142" s="18" t="s">
        <v>6204</v>
      </c>
      <c r="F142" s="2">
        <f>+J142-I142</f>
        <v>30</v>
      </c>
      <c r="G142" s="2">
        <f ca="1">+TODAY()-I142</f>
        <v>19</v>
      </c>
      <c r="H142" s="15">
        <v>382868</v>
      </c>
      <c r="I142" s="1">
        <v>46101</v>
      </c>
      <c r="J142" s="1">
        <v>46131</v>
      </c>
      <c r="K142" s="18" t="s">
        <v>343</v>
      </c>
      <c r="L142" s="18" t="s">
        <v>90</v>
      </c>
      <c r="M142" s="18" t="s">
        <v>19</v>
      </c>
      <c r="N142" s="18" t="s">
        <v>379</v>
      </c>
      <c r="O142">
        <v>30</v>
      </c>
    </row>
    <row r="143" spans="1:15" x14ac:dyDescent="0.25">
      <c r="A143" s="18" t="s">
        <v>7276</v>
      </c>
      <c r="B143" s="18" t="s">
        <v>376</v>
      </c>
      <c r="C143" s="18" t="s">
        <v>377</v>
      </c>
      <c r="D143" s="18" t="s">
        <v>378</v>
      </c>
      <c r="E143" s="18" t="s">
        <v>6205</v>
      </c>
      <c r="F143" s="2">
        <f>+J143-I143</f>
        <v>30</v>
      </c>
      <c r="G143" s="2">
        <f ca="1">+TODAY()-I143</f>
        <v>19</v>
      </c>
      <c r="H143" s="15">
        <v>5490000</v>
      </c>
      <c r="I143" s="1">
        <v>46101</v>
      </c>
      <c r="J143" s="1">
        <v>46131</v>
      </c>
      <c r="K143" s="18" t="s">
        <v>343</v>
      </c>
      <c r="L143" s="18" t="s">
        <v>90</v>
      </c>
      <c r="M143" s="18" t="s">
        <v>19</v>
      </c>
      <c r="N143" s="18" t="s">
        <v>379</v>
      </c>
      <c r="O143">
        <v>30</v>
      </c>
    </row>
    <row r="144" spans="1:15" x14ac:dyDescent="0.25">
      <c r="A144" s="18" t="s">
        <v>7276</v>
      </c>
      <c r="B144" s="18" t="s">
        <v>376</v>
      </c>
      <c r="C144" s="18" t="s">
        <v>377</v>
      </c>
      <c r="D144" s="18" t="s">
        <v>378</v>
      </c>
      <c r="E144" s="18" t="s">
        <v>6941</v>
      </c>
      <c r="F144" s="2">
        <f>+J144-I144</f>
        <v>30</v>
      </c>
      <c r="G144" s="2">
        <f ca="1">+TODAY()-I144</f>
        <v>9</v>
      </c>
      <c r="H144" s="15">
        <v>2120000</v>
      </c>
      <c r="I144" s="1">
        <v>46111</v>
      </c>
      <c r="J144" s="1">
        <v>46141</v>
      </c>
      <c r="K144" s="18" t="s">
        <v>343</v>
      </c>
      <c r="L144" s="18" t="s">
        <v>18</v>
      </c>
      <c r="M144" s="18" t="s">
        <v>19</v>
      </c>
      <c r="N144" s="18" t="s">
        <v>379</v>
      </c>
      <c r="O144">
        <v>30</v>
      </c>
    </row>
    <row r="145" spans="1:15" x14ac:dyDescent="0.25">
      <c r="A145" s="18" t="s">
        <v>7276</v>
      </c>
      <c r="B145" s="18" t="s">
        <v>376</v>
      </c>
      <c r="C145" s="18" t="s">
        <v>377</v>
      </c>
      <c r="D145" s="18" t="s">
        <v>378</v>
      </c>
      <c r="E145" s="18" t="s">
        <v>7457</v>
      </c>
      <c r="F145" s="2">
        <f>+J145-I145</f>
        <v>30</v>
      </c>
      <c r="G145" s="2">
        <f ca="1">+TODAY()-I145</f>
        <v>7</v>
      </c>
      <c r="H145" s="15">
        <v>386736</v>
      </c>
      <c r="I145" s="1">
        <v>46113</v>
      </c>
      <c r="J145" s="1">
        <v>46143</v>
      </c>
      <c r="K145" s="18" t="s">
        <v>343</v>
      </c>
      <c r="L145" s="18" t="s">
        <v>90</v>
      </c>
      <c r="M145" s="18" t="s">
        <v>19</v>
      </c>
      <c r="N145" s="18" t="s">
        <v>379</v>
      </c>
      <c r="O145">
        <v>30</v>
      </c>
    </row>
    <row r="146" spans="1:15" x14ac:dyDescent="0.25">
      <c r="A146" s="18" t="s">
        <v>7276</v>
      </c>
      <c r="B146" s="18" t="s">
        <v>1321</v>
      </c>
      <c r="C146" s="18" t="s">
        <v>1322</v>
      </c>
      <c r="D146" s="18" t="s">
        <v>1323</v>
      </c>
      <c r="E146" s="18" t="s">
        <v>1324</v>
      </c>
      <c r="F146" s="2">
        <f>+J146-I146</f>
        <v>15</v>
      </c>
      <c r="G146" s="2">
        <f ca="1">+TODAY()-I146</f>
        <v>589</v>
      </c>
      <c r="H146" s="15">
        <v>3367878</v>
      </c>
      <c r="I146" s="1">
        <v>45531</v>
      </c>
      <c r="J146" s="1">
        <v>45546</v>
      </c>
      <c r="K146" s="18" t="s">
        <v>1325</v>
      </c>
      <c r="L146" s="18" t="s">
        <v>90</v>
      </c>
      <c r="M146" s="18" t="s">
        <v>19</v>
      </c>
      <c r="N146" s="18" t="s">
        <v>6305</v>
      </c>
      <c r="O146">
        <v>1</v>
      </c>
    </row>
    <row r="147" spans="1:15" x14ac:dyDescent="0.25">
      <c r="A147" s="18" t="s">
        <v>7276</v>
      </c>
      <c r="B147" s="18" t="s">
        <v>1321</v>
      </c>
      <c r="C147" s="18" t="s">
        <v>1322</v>
      </c>
      <c r="D147" s="18" t="s">
        <v>1323</v>
      </c>
      <c r="E147" s="18" t="s">
        <v>1327</v>
      </c>
      <c r="F147" s="2">
        <f>+J147-I147</f>
        <v>15</v>
      </c>
      <c r="G147" s="2">
        <f ca="1">+TODAY()-I147</f>
        <v>589</v>
      </c>
      <c r="H147" s="15">
        <v>1845000</v>
      </c>
      <c r="I147" s="1">
        <v>45531</v>
      </c>
      <c r="J147" s="1">
        <v>45546</v>
      </c>
      <c r="K147" s="18" t="s">
        <v>1325</v>
      </c>
      <c r="L147" s="18" t="s">
        <v>90</v>
      </c>
      <c r="M147" s="18" t="s">
        <v>19</v>
      </c>
      <c r="N147" s="18" t="s">
        <v>6305</v>
      </c>
      <c r="O147">
        <v>1</v>
      </c>
    </row>
    <row r="148" spans="1:15" x14ac:dyDescent="0.25">
      <c r="A148" s="18" t="s">
        <v>7276</v>
      </c>
      <c r="B148" s="18" t="s">
        <v>1321</v>
      </c>
      <c r="C148" s="18" t="s">
        <v>1322</v>
      </c>
      <c r="D148" s="18" t="s">
        <v>1323</v>
      </c>
      <c r="E148" s="18" t="s">
        <v>1332</v>
      </c>
      <c r="F148" s="2">
        <f>+J148-I148</f>
        <v>15</v>
      </c>
      <c r="G148" s="2">
        <f ca="1">+TODAY()-I148</f>
        <v>600</v>
      </c>
      <c r="H148" s="15">
        <v>749805</v>
      </c>
      <c r="I148" s="1">
        <v>45520</v>
      </c>
      <c r="J148" s="1">
        <v>45535</v>
      </c>
      <c r="K148" s="18" t="s">
        <v>1325</v>
      </c>
      <c r="L148" s="18" t="s">
        <v>90</v>
      </c>
      <c r="M148" s="18" t="s">
        <v>19</v>
      </c>
      <c r="N148" s="18" t="s">
        <v>6305</v>
      </c>
      <c r="O148">
        <v>1</v>
      </c>
    </row>
    <row r="149" spans="1:15" x14ac:dyDescent="0.25">
      <c r="A149" s="18" t="s">
        <v>7276</v>
      </c>
      <c r="B149" s="18" t="s">
        <v>1982</v>
      </c>
      <c r="C149" s="18" t="s">
        <v>1983</v>
      </c>
      <c r="D149" s="18" t="s">
        <v>979</v>
      </c>
      <c r="E149" s="18" t="s">
        <v>5096</v>
      </c>
      <c r="F149" s="2">
        <f>+J149-I149</f>
        <v>30</v>
      </c>
      <c r="G149" s="2">
        <f ca="1">+TODAY()-I149</f>
        <v>54</v>
      </c>
      <c r="H149" s="15">
        <v>560819</v>
      </c>
      <c r="I149" s="1">
        <v>46066</v>
      </c>
      <c r="J149" s="1">
        <v>46096</v>
      </c>
      <c r="K149" s="18" t="s">
        <v>980</v>
      </c>
      <c r="L149" s="18" t="s">
        <v>981</v>
      </c>
      <c r="M149" s="18" t="s">
        <v>19</v>
      </c>
      <c r="N149" s="18" t="s">
        <v>1984</v>
      </c>
      <c r="O149">
        <v>30</v>
      </c>
    </row>
    <row r="150" spans="1:15" x14ac:dyDescent="0.25">
      <c r="A150" s="18" t="s">
        <v>7276</v>
      </c>
      <c r="B150" s="18" t="s">
        <v>1982</v>
      </c>
      <c r="C150" s="18" t="s">
        <v>1983</v>
      </c>
      <c r="D150" s="18" t="s">
        <v>979</v>
      </c>
      <c r="E150" s="18" t="s">
        <v>5979</v>
      </c>
      <c r="F150" s="2">
        <f>+J150-I150</f>
        <v>30</v>
      </c>
      <c r="G150" s="2">
        <f ca="1">+TODAY()-I150</f>
        <v>27</v>
      </c>
      <c r="H150" s="15">
        <v>576171</v>
      </c>
      <c r="I150" s="1">
        <v>46093</v>
      </c>
      <c r="J150" s="1">
        <v>46123</v>
      </c>
      <c r="K150" s="18" t="s">
        <v>980</v>
      </c>
      <c r="L150" s="18" t="s">
        <v>981</v>
      </c>
      <c r="M150" s="18" t="s">
        <v>19</v>
      </c>
      <c r="N150" s="18" t="s">
        <v>1984</v>
      </c>
      <c r="O150">
        <v>30</v>
      </c>
    </row>
    <row r="151" spans="1:15" x14ac:dyDescent="0.25">
      <c r="A151" s="18" t="s">
        <v>7276</v>
      </c>
      <c r="B151" s="18" t="s">
        <v>1982</v>
      </c>
      <c r="C151" s="18" t="s">
        <v>1983</v>
      </c>
      <c r="D151" s="18" t="s">
        <v>979</v>
      </c>
      <c r="E151" s="18" t="s">
        <v>7021</v>
      </c>
      <c r="F151" s="2">
        <f>+J151-I151</f>
        <v>30</v>
      </c>
      <c r="G151" s="2">
        <f ca="1">+TODAY()-I151</f>
        <v>8</v>
      </c>
      <c r="H151" s="15">
        <v>1633213</v>
      </c>
      <c r="I151" s="1">
        <v>46112</v>
      </c>
      <c r="J151" s="1">
        <v>46142</v>
      </c>
      <c r="K151" s="18" t="s">
        <v>980</v>
      </c>
      <c r="L151" s="18" t="s">
        <v>981</v>
      </c>
      <c r="M151" s="18" t="s">
        <v>19</v>
      </c>
      <c r="N151" s="18" t="s">
        <v>1984</v>
      </c>
      <c r="O151">
        <v>30</v>
      </c>
    </row>
    <row r="152" spans="1:15" x14ac:dyDescent="0.25">
      <c r="A152" s="18" t="s">
        <v>7276</v>
      </c>
      <c r="B152" s="18" t="s">
        <v>2125</v>
      </c>
      <c r="C152" s="18" t="s">
        <v>2126</v>
      </c>
      <c r="D152" s="18" t="s">
        <v>15</v>
      </c>
      <c r="E152" s="18" t="s">
        <v>5215</v>
      </c>
      <c r="F152" s="2">
        <f>+J152-I152</f>
        <v>30</v>
      </c>
      <c r="G152" s="2">
        <f ca="1">+TODAY()-I152</f>
        <v>40</v>
      </c>
      <c r="H152" s="15">
        <v>723285</v>
      </c>
      <c r="I152" s="1">
        <v>46080</v>
      </c>
      <c r="J152" s="1">
        <v>46110</v>
      </c>
      <c r="K152" s="18" t="s">
        <v>17</v>
      </c>
      <c r="L152" s="18" t="s">
        <v>312</v>
      </c>
      <c r="M152" s="18" t="s">
        <v>19</v>
      </c>
      <c r="N152" s="18" t="s">
        <v>2127</v>
      </c>
      <c r="O152">
        <v>30</v>
      </c>
    </row>
    <row r="153" spans="1:15" x14ac:dyDescent="0.25">
      <c r="A153" s="18" t="s">
        <v>7276</v>
      </c>
      <c r="B153" s="18" t="s">
        <v>2125</v>
      </c>
      <c r="C153" s="18" t="s">
        <v>2126</v>
      </c>
      <c r="D153" s="18" t="s">
        <v>15</v>
      </c>
      <c r="E153" s="18" t="s">
        <v>6846</v>
      </c>
      <c r="F153" s="2">
        <f>+J153-I153</f>
        <v>10</v>
      </c>
      <c r="G153" s="2">
        <f ca="1">+TODAY()-I153</f>
        <v>11</v>
      </c>
      <c r="H153" s="15">
        <v>573000</v>
      </c>
      <c r="I153" s="1">
        <v>46109</v>
      </c>
      <c r="J153" s="1">
        <v>46119</v>
      </c>
      <c r="K153" s="18" t="s">
        <v>17</v>
      </c>
      <c r="L153" s="18" t="s">
        <v>312</v>
      </c>
      <c r="M153" s="18" t="s">
        <v>19</v>
      </c>
      <c r="N153" s="18" t="s">
        <v>2127</v>
      </c>
      <c r="O153">
        <v>30</v>
      </c>
    </row>
    <row r="154" spans="1:15" x14ac:dyDescent="0.25">
      <c r="A154" s="18" t="s">
        <v>7276</v>
      </c>
      <c r="B154" s="18" t="s">
        <v>1920</v>
      </c>
      <c r="C154" s="18" t="s">
        <v>1921</v>
      </c>
      <c r="D154" s="18" t="s">
        <v>46</v>
      </c>
      <c r="E154" s="18" t="s">
        <v>5661</v>
      </c>
      <c r="F154" s="2">
        <f>+J154-I154</f>
        <v>15</v>
      </c>
      <c r="G154" s="2">
        <f ca="1">+TODAY()-I154</f>
        <v>27</v>
      </c>
      <c r="H154" s="15">
        <v>191090</v>
      </c>
      <c r="I154" s="1">
        <v>46093</v>
      </c>
      <c r="J154" s="1">
        <v>46108</v>
      </c>
      <c r="K154" s="18" t="s">
        <v>17</v>
      </c>
      <c r="L154" s="18" t="s">
        <v>317</v>
      </c>
      <c r="M154" s="18" t="s">
        <v>19</v>
      </c>
      <c r="N154" s="18" t="s">
        <v>149</v>
      </c>
      <c r="O154">
        <v>15</v>
      </c>
    </row>
    <row r="155" spans="1:15" x14ac:dyDescent="0.25">
      <c r="A155" s="18" t="s">
        <v>7276</v>
      </c>
      <c r="B155" s="18" t="s">
        <v>1920</v>
      </c>
      <c r="C155" s="18" t="s">
        <v>1921</v>
      </c>
      <c r="D155" s="18" t="s">
        <v>46</v>
      </c>
      <c r="E155" s="18" t="s">
        <v>6433</v>
      </c>
      <c r="F155" s="2">
        <f>+J155-I155</f>
        <v>15</v>
      </c>
      <c r="G155" s="2">
        <f ca="1">+TODAY()-I155</f>
        <v>15</v>
      </c>
      <c r="H155" s="15">
        <v>396052</v>
      </c>
      <c r="I155" s="1">
        <v>46105</v>
      </c>
      <c r="J155" s="1">
        <v>46120</v>
      </c>
      <c r="K155" s="18" t="s">
        <v>17</v>
      </c>
      <c r="L155" s="18" t="s">
        <v>317</v>
      </c>
      <c r="M155" s="18" t="s">
        <v>19</v>
      </c>
      <c r="N155" s="18" t="s">
        <v>149</v>
      </c>
      <c r="O155">
        <v>15</v>
      </c>
    </row>
    <row r="156" spans="1:15" x14ac:dyDescent="0.25">
      <c r="A156" s="18" t="s">
        <v>7276</v>
      </c>
      <c r="B156" s="18" t="s">
        <v>1920</v>
      </c>
      <c r="C156" s="18" t="s">
        <v>1921</v>
      </c>
      <c r="D156" s="18" t="s">
        <v>46</v>
      </c>
      <c r="E156" s="18" t="s">
        <v>6886</v>
      </c>
      <c r="F156" s="2">
        <f>+J156-I156</f>
        <v>15</v>
      </c>
      <c r="G156" s="2">
        <f ca="1">+TODAY()-I156</f>
        <v>8</v>
      </c>
      <c r="H156" s="15">
        <v>169242</v>
      </c>
      <c r="I156" s="1">
        <v>46112</v>
      </c>
      <c r="J156" s="1">
        <v>46127</v>
      </c>
      <c r="K156" s="18" t="s">
        <v>17</v>
      </c>
      <c r="L156" s="18" t="s">
        <v>317</v>
      </c>
      <c r="M156" s="18" t="s">
        <v>19</v>
      </c>
      <c r="N156" s="18" t="s">
        <v>149</v>
      </c>
      <c r="O156">
        <v>15</v>
      </c>
    </row>
    <row r="157" spans="1:15" x14ac:dyDescent="0.25">
      <c r="A157" s="18" t="s">
        <v>7276</v>
      </c>
      <c r="B157" s="18" t="s">
        <v>1412</v>
      </c>
      <c r="C157" s="18" t="s">
        <v>1413</v>
      </c>
      <c r="D157" s="18" t="s">
        <v>1401</v>
      </c>
      <c r="E157" s="18" t="s">
        <v>7190</v>
      </c>
      <c r="F157" s="2">
        <f>+J157-I157</f>
        <v>30</v>
      </c>
      <c r="G157" s="2">
        <f ca="1">+TODAY()-I157</f>
        <v>8</v>
      </c>
      <c r="H157" s="15">
        <v>876082</v>
      </c>
      <c r="I157" s="1">
        <v>46112</v>
      </c>
      <c r="J157" s="1">
        <v>46142</v>
      </c>
      <c r="K157" s="18" t="s">
        <v>1403</v>
      </c>
      <c r="L157" s="18" t="s">
        <v>90</v>
      </c>
      <c r="M157" s="18" t="s">
        <v>19</v>
      </c>
      <c r="N157" s="18" t="s">
        <v>1414</v>
      </c>
      <c r="O157">
        <v>30</v>
      </c>
    </row>
    <row r="158" spans="1:15" x14ac:dyDescent="0.25">
      <c r="A158" s="18" t="s">
        <v>7276</v>
      </c>
      <c r="B158" s="18" t="s">
        <v>1412</v>
      </c>
      <c r="C158" s="18" t="s">
        <v>1413</v>
      </c>
      <c r="D158" s="18" t="s">
        <v>1401</v>
      </c>
      <c r="E158" s="18" t="s">
        <v>7205</v>
      </c>
      <c r="F158" s="2">
        <f>+J158-I158</f>
        <v>15</v>
      </c>
      <c r="G158" s="2">
        <f ca="1">+TODAY()-I158</f>
        <v>8</v>
      </c>
      <c r="H158" s="15">
        <v>306909</v>
      </c>
      <c r="I158" s="1">
        <v>46112</v>
      </c>
      <c r="J158" s="1">
        <v>46127</v>
      </c>
      <c r="K158" s="18" t="s">
        <v>1403</v>
      </c>
      <c r="L158" s="18" t="s">
        <v>90</v>
      </c>
      <c r="M158" s="18" t="s">
        <v>19</v>
      </c>
      <c r="N158" s="18" t="s">
        <v>1414</v>
      </c>
      <c r="O158">
        <v>30</v>
      </c>
    </row>
    <row r="159" spans="1:15" x14ac:dyDescent="0.25">
      <c r="A159" s="18" t="s">
        <v>7276</v>
      </c>
      <c r="B159" s="18" t="s">
        <v>1412</v>
      </c>
      <c r="C159" s="18" t="s">
        <v>1413</v>
      </c>
      <c r="D159" s="18" t="s">
        <v>1401</v>
      </c>
      <c r="E159" s="18" t="s">
        <v>7574</v>
      </c>
      <c r="F159" s="2">
        <f>+J159-I159</f>
        <v>30</v>
      </c>
      <c r="G159" s="2">
        <f ca="1">+TODAY()-I159</f>
        <v>7</v>
      </c>
      <c r="H159" s="15">
        <v>539402</v>
      </c>
      <c r="I159" s="1">
        <v>46113</v>
      </c>
      <c r="J159" s="1">
        <v>46143</v>
      </c>
      <c r="K159" s="18" t="s">
        <v>1403</v>
      </c>
      <c r="L159" s="18" t="s">
        <v>90</v>
      </c>
      <c r="M159" s="18" t="s">
        <v>19</v>
      </c>
      <c r="N159" s="18" t="s">
        <v>1414</v>
      </c>
      <c r="O159">
        <v>30</v>
      </c>
    </row>
    <row r="160" spans="1:15" x14ac:dyDescent="0.25">
      <c r="A160" s="18" t="s">
        <v>7276</v>
      </c>
      <c r="B160" s="18" t="s">
        <v>6286</v>
      </c>
      <c r="C160" s="18" t="s">
        <v>6287</v>
      </c>
      <c r="D160" s="18" t="s">
        <v>1209</v>
      </c>
      <c r="E160" s="18" t="s">
        <v>7126</v>
      </c>
      <c r="F160" s="2">
        <f>+J160-I160</f>
        <v>1</v>
      </c>
      <c r="G160" s="2">
        <f ca="1">+TODAY()-I160</f>
        <v>8</v>
      </c>
      <c r="H160" s="15">
        <v>34800</v>
      </c>
      <c r="I160" s="1">
        <v>46112</v>
      </c>
      <c r="J160" s="1">
        <v>46113</v>
      </c>
      <c r="K160" s="18" t="s">
        <v>1202</v>
      </c>
      <c r="L160" s="18" t="s">
        <v>321</v>
      </c>
      <c r="M160" s="18" t="s">
        <v>19</v>
      </c>
      <c r="N160" s="18" t="s">
        <v>6288</v>
      </c>
      <c r="O160">
        <v>1</v>
      </c>
    </row>
    <row r="161" spans="1:15" x14ac:dyDescent="0.25">
      <c r="A161" s="18" t="s">
        <v>7276</v>
      </c>
      <c r="B161" s="18" t="s">
        <v>6778</v>
      </c>
      <c r="C161" s="18" t="s">
        <v>6779</v>
      </c>
      <c r="D161" s="18" t="s">
        <v>15</v>
      </c>
      <c r="E161" s="18" t="s">
        <v>6780</v>
      </c>
      <c r="F161" s="2">
        <f>+J161-I161</f>
        <v>1</v>
      </c>
      <c r="G161" s="2">
        <f ca="1">+TODAY()-I161</f>
        <v>9</v>
      </c>
      <c r="H161" s="15">
        <v>84800</v>
      </c>
      <c r="I161" s="1">
        <v>46111</v>
      </c>
      <c r="J161" s="1">
        <v>46112</v>
      </c>
      <c r="K161" s="18" t="s">
        <v>17</v>
      </c>
      <c r="L161" s="18" t="s">
        <v>18</v>
      </c>
      <c r="M161" s="18" t="s">
        <v>19</v>
      </c>
      <c r="N161" s="18" t="s">
        <v>6781</v>
      </c>
      <c r="O161">
        <v>15</v>
      </c>
    </row>
    <row r="162" spans="1:15" x14ac:dyDescent="0.25">
      <c r="A162" s="18" t="s">
        <v>7276</v>
      </c>
      <c r="B162" s="18" t="s">
        <v>1424</v>
      </c>
      <c r="C162" s="18" t="s">
        <v>1425</v>
      </c>
      <c r="D162" s="18" t="s">
        <v>875</v>
      </c>
      <c r="E162" s="18" t="s">
        <v>5801</v>
      </c>
      <c r="F162" s="2">
        <f>+J162-I162</f>
        <v>30</v>
      </c>
      <c r="G162" s="2">
        <f ca="1">+TODAY()-I162</f>
        <v>33</v>
      </c>
      <c r="H162" s="15">
        <v>963300</v>
      </c>
      <c r="I162" s="1">
        <v>46087</v>
      </c>
      <c r="J162" s="1">
        <v>46117</v>
      </c>
      <c r="K162" s="18" t="s">
        <v>1403</v>
      </c>
      <c r="L162" s="18" t="s">
        <v>90</v>
      </c>
      <c r="M162" s="18" t="s">
        <v>19</v>
      </c>
      <c r="N162" s="18" t="s">
        <v>1426</v>
      </c>
      <c r="O162">
        <v>30</v>
      </c>
    </row>
    <row r="163" spans="1:15" x14ac:dyDescent="0.25">
      <c r="A163" s="18" t="s">
        <v>7276</v>
      </c>
      <c r="B163" s="18" t="s">
        <v>1424</v>
      </c>
      <c r="C163" s="18" t="s">
        <v>1425</v>
      </c>
      <c r="D163" s="18" t="s">
        <v>875</v>
      </c>
      <c r="E163" s="18" t="s">
        <v>6308</v>
      </c>
      <c r="F163" s="2">
        <f>+J163-I163</f>
        <v>30</v>
      </c>
      <c r="G163" s="2">
        <f ca="1">+TODAY()-I163</f>
        <v>21</v>
      </c>
      <c r="H163" s="15">
        <v>404988</v>
      </c>
      <c r="I163" s="1">
        <v>46099</v>
      </c>
      <c r="J163" s="1">
        <v>46129</v>
      </c>
      <c r="K163" s="18" t="s">
        <v>1403</v>
      </c>
      <c r="L163" s="18" t="s">
        <v>90</v>
      </c>
      <c r="M163" s="18" t="s">
        <v>19</v>
      </c>
      <c r="N163" s="18" t="s">
        <v>1426</v>
      </c>
      <c r="O163">
        <v>30</v>
      </c>
    </row>
    <row r="164" spans="1:15" x14ac:dyDescent="0.25">
      <c r="A164" s="18" t="s">
        <v>7276</v>
      </c>
      <c r="B164" s="18" t="s">
        <v>1424</v>
      </c>
      <c r="C164" s="18" t="s">
        <v>1425</v>
      </c>
      <c r="D164" s="18" t="s">
        <v>875</v>
      </c>
      <c r="E164" s="18" t="s">
        <v>6309</v>
      </c>
      <c r="F164" s="2">
        <f>+J164-I164</f>
        <v>30</v>
      </c>
      <c r="G164" s="2">
        <f ca="1">+TODAY()-I164</f>
        <v>21</v>
      </c>
      <c r="H164" s="15">
        <v>1811125</v>
      </c>
      <c r="I164" s="1">
        <v>46099</v>
      </c>
      <c r="J164" s="1">
        <v>46129</v>
      </c>
      <c r="K164" s="18" t="s">
        <v>1403</v>
      </c>
      <c r="L164" s="18" t="s">
        <v>90</v>
      </c>
      <c r="M164" s="18" t="s">
        <v>19</v>
      </c>
      <c r="N164" s="18" t="s">
        <v>1426</v>
      </c>
      <c r="O164">
        <v>30</v>
      </c>
    </row>
    <row r="165" spans="1:15" x14ac:dyDescent="0.25">
      <c r="A165" s="18" t="s">
        <v>7276</v>
      </c>
      <c r="B165" s="18" t="s">
        <v>7728</v>
      </c>
      <c r="C165" s="18" t="s">
        <v>7729</v>
      </c>
      <c r="D165" s="18" t="s">
        <v>916</v>
      </c>
      <c r="E165" s="18" t="s">
        <v>7730</v>
      </c>
      <c r="F165" s="2">
        <f>+J165-I165</f>
        <v>1</v>
      </c>
      <c r="G165" s="2">
        <f ca="1">+TODAY()-I165</f>
        <v>1</v>
      </c>
      <c r="H165" s="15">
        <v>62420</v>
      </c>
      <c r="I165" s="1">
        <v>46119</v>
      </c>
      <c r="J165" s="1">
        <v>46120</v>
      </c>
      <c r="K165" s="18" t="s">
        <v>918</v>
      </c>
      <c r="L165" s="18" t="s">
        <v>312</v>
      </c>
      <c r="M165" s="18" t="s">
        <v>19</v>
      </c>
      <c r="N165" s="18" t="s">
        <v>7731</v>
      </c>
      <c r="O165">
        <v>1</v>
      </c>
    </row>
    <row r="166" spans="1:15" x14ac:dyDescent="0.25">
      <c r="A166" s="18" t="s">
        <v>7276</v>
      </c>
      <c r="B166" s="18" t="s">
        <v>7728</v>
      </c>
      <c r="C166" s="18" t="s">
        <v>7729</v>
      </c>
      <c r="D166" s="18" t="s">
        <v>916</v>
      </c>
      <c r="E166" s="18" t="s">
        <v>7732</v>
      </c>
      <c r="F166" s="2">
        <f>+J166-I166</f>
        <v>1</v>
      </c>
      <c r="G166" s="2">
        <f ca="1">+TODAY()-I166</f>
        <v>1</v>
      </c>
      <c r="H166" s="15">
        <v>61388</v>
      </c>
      <c r="I166" s="1">
        <v>46119</v>
      </c>
      <c r="J166" s="1">
        <v>46120</v>
      </c>
      <c r="K166" s="18" t="s">
        <v>918</v>
      </c>
      <c r="L166" s="18" t="s">
        <v>312</v>
      </c>
      <c r="M166" s="18" t="s">
        <v>19</v>
      </c>
      <c r="N166" s="18" t="s">
        <v>7731</v>
      </c>
      <c r="O166">
        <v>1</v>
      </c>
    </row>
    <row r="167" spans="1:15" x14ac:dyDescent="0.25">
      <c r="A167" s="18" t="s">
        <v>7276</v>
      </c>
      <c r="B167" s="18" t="s">
        <v>1436</v>
      </c>
      <c r="C167" s="18" t="s">
        <v>1437</v>
      </c>
      <c r="D167" s="18" t="s">
        <v>1438</v>
      </c>
      <c r="E167" s="18" t="s">
        <v>5304</v>
      </c>
      <c r="F167" s="2">
        <f>+J167-I167</f>
        <v>30</v>
      </c>
      <c r="G167" s="2">
        <f ca="1">+TODAY()-I167</f>
        <v>47</v>
      </c>
      <c r="H167" s="15">
        <v>618219</v>
      </c>
      <c r="I167" s="1">
        <v>46073</v>
      </c>
      <c r="J167" s="1">
        <v>46103</v>
      </c>
      <c r="K167" s="18" t="s">
        <v>1403</v>
      </c>
      <c r="L167" s="18" t="s">
        <v>90</v>
      </c>
      <c r="M167" s="18" t="s">
        <v>19</v>
      </c>
      <c r="N167" s="18" t="s">
        <v>1439</v>
      </c>
      <c r="O167">
        <v>30</v>
      </c>
    </row>
    <row r="168" spans="1:15" x14ac:dyDescent="0.25">
      <c r="A168" s="18" t="s">
        <v>7276</v>
      </c>
      <c r="B168" s="18" t="s">
        <v>1436</v>
      </c>
      <c r="C168" s="18" t="s">
        <v>1437</v>
      </c>
      <c r="D168" s="18" t="s">
        <v>1438</v>
      </c>
      <c r="E168" s="18" t="s">
        <v>5305</v>
      </c>
      <c r="F168" s="2">
        <f>+J168-I168</f>
        <v>30</v>
      </c>
      <c r="G168" s="2">
        <f ca="1">+TODAY()-I168</f>
        <v>47</v>
      </c>
      <c r="H168" s="15">
        <v>498791</v>
      </c>
      <c r="I168" s="1">
        <v>46073</v>
      </c>
      <c r="J168" s="1">
        <v>46103</v>
      </c>
      <c r="K168" s="18" t="s">
        <v>1403</v>
      </c>
      <c r="L168" s="18" t="s">
        <v>90</v>
      </c>
      <c r="M168" s="18" t="s">
        <v>19</v>
      </c>
      <c r="N168" s="18" t="s">
        <v>1439</v>
      </c>
      <c r="O168">
        <v>30</v>
      </c>
    </row>
    <row r="169" spans="1:15" x14ac:dyDescent="0.25">
      <c r="A169" s="18" t="s">
        <v>7276</v>
      </c>
      <c r="B169" s="18" t="s">
        <v>1436</v>
      </c>
      <c r="C169" s="18" t="s">
        <v>1437</v>
      </c>
      <c r="D169" s="18" t="s">
        <v>1438</v>
      </c>
      <c r="E169" s="18" t="s">
        <v>5561</v>
      </c>
      <c r="F169" s="2">
        <f>+J169-I169</f>
        <v>30</v>
      </c>
      <c r="G169" s="2">
        <f ca="1">+TODAY()-I169</f>
        <v>34</v>
      </c>
      <c r="H169" s="15">
        <v>537601</v>
      </c>
      <c r="I169" s="1">
        <v>46086</v>
      </c>
      <c r="J169" s="1">
        <v>46116</v>
      </c>
      <c r="K169" s="18" t="s">
        <v>1403</v>
      </c>
      <c r="L169" s="18" t="s">
        <v>90</v>
      </c>
      <c r="M169" s="18" t="s">
        <v>19</v>
      </c>
      <c r="N169" s="18" t="s">
        <v>1439</v>
      </c>
      <c r="O169">
        <v>30</v>
      </c>
    </row>
    <row r="170" spans="1:15" x14ac:dyDescent="0.25">
      <c r="A170" s="18" t="s">
        <v>7276</v>
      </c>
      <c r="B170" s="18" t="s">
        <v>1436</v>
      </c>
      <c r="C170" s="18" t="s">
        <v>1437</v>
      </c>
      <c r="D170" s="18" t="s">
        <v>1438</v>
      </c>
      <c r="E170" s="18" t="s">
        <v>5803</v>
      </c>
      <c r="F170" s="2">
        <f>+J170-I170</f>
        <v>30</v>
      </c>
      <c r="G170" s="2">
        <f ca="1">+TODAY()-I170</f>
        <v>33</v>
      </c>
      <c r="H170" s="15">
        <v>168428</v>
      </c>
      <c r="I170" s="1">
        <v>46087</v>
      </c>
      <c r="J170" s="1">
        <v>46117</v>
      </c>
      <c r="K170" s="18" t="s">
        <v>1403</v>
      </c>
      <c r="L170" s="18" t="s">
        <v>90</v>
      </c>
      <c r="M170" s="18" t="s">
        <v>19</v>
      </c>
      <c r="N170" s="18" t="s">
        <v>1439</v>
      </c>
      <c r="O170">
        <v>30</v>
      </c>
    </row>
    <row r="171" spans="1:15" x14ac:dyDescent="0.25">
      <c r="A171" s="18" t="s">
        <v>7276</v>
      </c>
      <c r="B171" s="18" t="s">
        <v>1436</v>
      </c>
      <c r="C171" s="18" t="s">
        <v>1437</v>
      </c>
      <c r="D171" s="18" t="s">
        <v>1438</v>
      </c>
      <c r="E171" s="18" t="s">
        <v>5804</v>
      </c>
      <c r="F171" s="2">
        <f>+J171-I171</f>
        <v>30</v>
      </c>
      <c r="G171" s="2">
        <f ca="1">+TODAY()-I171</f>
        <v>33</v>
      </c>
      <c r="H171" s="15">
        <v>1120993</v>
      </c>
      <c r="I171" s="1">
        <v>46087</v>
      </c>
      <c r="J171" s="1">
        <v>46117</v>
      </c>
      <c r="K171" s="18" t="s">
        <v>1403</v>
      </c>
      <c r="L171" s="18" t="s">
        <v>90</v>
      </c>
      <c r="M171" s="18" t="s">
        <v>19</v>
      </c>
      <c r="N171" s="18" t="s">
        <v>1439</v>
      </c>
      <c r="O171">
        <v>30</v>
      </c>
    </row>
    <row r="172" spans="1:15" x14ac:dyDescent="0.25">
      <c r="A172" s="18" t="s">
        <v>7276</v>
      </c>
      <c r="B172" s="18" t="s">
        <v>1436</v>
      </c>
      <c r="C172" s="18" t="s">
        <v>1437</v>
      </c>
      <c r="D172" s="18" t="s">
        <v>1438</v>
      </c>
      <c r="E172" s="18" t="s">
        <v>5805</v>
      </c>
      <c r="F172" s="2">
        <f>+J172-I172</f>
        <v>30</v>
      </c>
      <c r="G172" s="2">
        <f ca="1">+TODAY()-I172</f>
        <v>33</v>
      </c>
      <c r="H172" s="15">
        <v>428000</v>
      </c>
      <c r="I172" s="1">
        <v>46087</v>
      </c>
      <c r="J172" s="1">
        <v>46117</v>
      </c>
      <c r="K172" s="18" t="s">
        <v>1403</v>
      </c>
      <c r="L172" s="18" t="s">
        <v>90</v>
      </c>
      <c r="M172" s="18" t="s">
        <v>19</v>
      </c>
      <c r="N172" s="18" t="s">
        <v>1439</v>
      </c>
      <c r="O172">
        <v>30</v>
      </c>
    </row>
    <row r="173" spans="1:15" x14ac:dyDescent="0.25">
      <c r="A173" s="18" t="s">
        <v>7276</v>
      </c>
      <c r="B173" s="18" t="s">
        <v>1436</v>
      </c>
      <c r="C173" s="18" t="s">
        <v>1437</v>
      </c>
      <c r="D173" s="18" t="s">
        <v>1438</v>
      </c>
      <c r="E173" s="18" t="s">
        <v>6310</v>
      </c>
      <c r="F173" s="2">
        <f>+J173-I173</f>
        <v>30</v>
      </c>
      <c r="G173" s="2">
        <f ca="1">+TODAY()-I173</f>
        <v>21</v>
      </c>
      <c r="H173" s="15">
        <v>43190</v>
      </c>
      <c r="I173" s="1">
        <v>46099</v>
      </c>
      <c r="J173" s="1">
        <v>46129</v>
      </c>
      <c r="K173" s="18" t="s">
        <v>1403</v>
      </c>
      <c r="L173" s="18" t="s">
        <v>90</v>
      </c>
      <c r="M173" s="18" t="s">
        <v>19</v>
      </c>
      <c r="N173" s="18" t="s">
        <v>1439</v>
      </c>
      <c r="O173">
        <v>30</v>
      </c>
    </row>
    <row r="174" spans="1:15" x14ac:dyDescent="0.25">
      <c r="A174" s="18" t="s">
        <v>7276</v>
      </c>
      <c r="B174" s="18" t="s">
        <v>1436</v>
      </c>
      <c r="C174" s="18" t="s">
        <v>1437</v>
      </c>
      <c r="D174" s="18" t="s">
        <v>1438</v>
      </c>
      <c r="E174" s="18" t="s">
        <v>6311</v>
      </c>
      <c r="F174" s="2">
        <f>+J174-I174</f>
        <v>30</v>
      </c>
      <c r="G174" s="2">
        <f ca="1">+TODAY()-I174</f>
        <v>21</v>
      </c>
      <c r="H174" s="15">
        <v>1885181</v>
      </c>
      <c r="I174" s="1">
        <v>46099</v>
      </c>
      <c r="J174" s="1">
        <v>46129</v>
      </c>
      <c r="K174" s="18" t="s">
        <v>1403</v>
      </c>
      <c r="L174" s="18" t="s">
        <v>90</v>
      </c>
      <c r="M174" s="18" t="s">
        <v>19</v>
      </c>
      <c r="N174" s="18" t="s">
        <v>1439</v>
      </c>
      <c r="O174">
        <v>30</v>
      </c>
    </row>
    <row r="175" spans="1:15" x14ac:dyDescent="0.25">
      <c r="A175" s="18" t="s">
        <v>7276</v>
      </c>
      <c r="B175" s="18" t="s">
        <v>1436</v>
      </c>
      <c r="C175" s="18" t="s">
        <v>1437</v>
      </c>
      <c r="D175" s="18" t="s">
        <v>1438</v>
      </c>
      <c r="E175" s="18" t="s">
        <v>7581</v>
      </c>
      <c r="F175" s="2">
        <f>+J175-I175</f>
        <v>30</v>
      </c>
      <c r="G175" s="2">
        <f ca="1">+TODAY()-I175</f>
        <v>7</v>
      </c>
      <c r="H175" s="15">
        <v>705232</v>
      </c>
      <c r="I175" s="1">
        <v>46113</v>
      </c>
      <c r="J175" s="1">
        <v>46143</v>
      </c>
      <c r="K175" s="18" t="s">
        <v>1403</v>
      </c>
      <c r="L175" s="18" t="s">
        <v>90</v>
      </c>
      <c r="M175" s="18" t="s">
        <v>19</v>
      </c>
      <c r="N175" s="18" t="s">
        <v>1439</v>
      </c>
      <c r="O175">
        <v>30</v>
      </c>
    </row>
    <row r="176" spans="1:15" x14ac:dyDescent="0.25">
      <c r="A176" s="18" t="s">
        <v>7276</v>
      </c>
      <c r="B176" s="18" t="s">
        <v>4925</v>
      </c>
      <c r="C176" s="18" t="s">
        <v>4926</v>
      </c>
      <c r="D176" s="18" t="s">
        <v>1066</v>
      </c>
      <c r="E176" s="18" t="s">
        <v>7055</v>
      </c>
      <c r="F176" s="2">
        <f>+J176-I176</f>
        <v>1</v>
      </c>
      <c r="G176" s="2">
        <f ca="1">+TODAY()-I176</f>
        <v>9</v>
      </c>
      <c r="H176" s="15">
        <v>49359</v>
      </c>
      <c r="I176" s="1">
        <v>46111</v>
      </c>
      <c r="J176" s="1">
        <v>46112</v>
      </c>
      <c r="K176" s="18" t="s">
        <v>1068</v>
      </c>
      <c r="L176" s="18" t="s">
        <v>321</v>
      </c>
      <c r="M176" s="18" t="s">
        <v>19</v>
      </c>
      <c r="N176" s="18" t="s">
        <v>4928</v>
      </c>
      <c r="O176">
        <v>30</v>
      </c>
    </row>
    <row r="177" spans="1:15" x14ac:dyDescent="0.25">
      <c r="A177" s="18" t="s">
        <v>7276</v>
      </c>
      <c r="B177" s="18" t="s">
        <v>1262</v>
      </c>
      <c r="C177" s="18" t="s">
        <v>1263</v>
      </c>
      <c r="D177" s="18" t="s">
        <v>1259</v>
      </c>
      <c r="E177" s="18" t="s">
        <v>1264</v>
      </c>
      <c r="F177" s="2">
        <f>+J177-I177</f>
        <v>30</v>
      </c>
      <c r="G177" s="2">
        <f ca="1">+TODAY()-I177</f>
        <v>637</v>
      </c>
      <c r="H177" s="15">
        <v>1068986</v>
      </c>
      <c r="I177" s="1">
        <v>45483</v>
      </c>
      <c r="J177" s="1">
        <v>45513</v>
      </c>
      <c r="K177" s="18" t="s">
        <v>1260</v>
      </c>
      <c r="L177" s="18" t="s">
        <v>981</v>
      </c>
      <c r="M177" s="18" t="s">
        <v>19</v>
      </c>
      <c r="N177" s="18" t="s">
        <v>1265</v>
      </c>
      <c r="O177">
        <v>30</v>
      </c>
    </row>
    <row r="178" spans="1:15" x14ac:dyDescent="0.25">
      <c r="A178" s="18" t="s">
        <v>7276</v>
      </c>
      <c r="B178" s="18" t="s">
        <v>1418</v>
      </c>
      <c r="C178" s="18" t="s">
        <v>1419</v>
      </c>
      <c r="D178" s="18" t="s">
        <v>1401</v>
      </c>
      <c r="E178" s="18" t="s">
        <v>6317</v>
      </c>
      <c r="F178" s="2">
        <f>+J178-I178</f>
        <v>30</v>
      </c>
      <c r="G178" s="2">
        <f ca="1">+TODAY()-I178</f>
        <v>20</v>
      </c>
      <c r="H178" s="15">
        <v>189578</v>
      </c>
      <c r="I178" s="1">
        <v>46100</v>
      </c>
      <c r="J178" s="1">
        <v>46130</v>
      </c>
      <c r="K178" s="18" t="s">
        <v>1403</v>
      </c>
      <c r="L178" s="18" t="s">
        <v>90</v>
      </c>
      <c r="M178" s="18" t="s">
        <v>19</v>
      </c>
      <c r="N178" s="18" t="s">
        <v>1420</v>
      </c>
      <c r="O178">
        <v>30</v>
      </c>
    </row>
    <row r="179" spans="1:15" x14ac:dyDescent="0.25">
      <c r="A179" s="18" t="s">
        <v>7276</v>
      </c>
      <c r="B179" s="18" t="s">
        <v>1418</v>
      </c>
      <c r="C179" s="18" t="s">
        <v>1419</v>
      </c>
      <c r="D179" s="18" t="s">
        <v>1401</v>
      </c>
      <c r="E179" s="18" t="s">
        <v>6318</v>
      </c>
      <c r="F179" s="2">
        <f>+J179-I179</f>
        <v>30</v>
      </c>
      <c r="G179" s="2">
        <f ca="1">+TODAY()-I179</f>
        <v>20</v>
      </c>
      <c r="H179" s="15">
        <v>1212131</v>
      </c>
      <c r="I179" s="1">
        <v>46100</v>
      </c>
      <c r="J179" s="1">
        <v>46130</v>
      </c>
      <c r="K179" s="18" t="s">
        <v>1403</v>
      </c>
      <c r="L179" s="18" t="s">
        <v>90</v>
      </c>
      <c r="M179" s="18" t="s">
        <v>19</v>
      </c>
      <c r="N179" s="18" t="s">
        <v>1420</v>
      </c>
      <c r="O179">
        <v>30</v>
      </c>
    </row>
    <row r="180" spans="1:15" x14ac:dyDescent="0.25">
      <c r="A180" s="18" t="s">
        <v>7276</v>
      </c>
      <c r="B180" s="18" t="s">
        <v>2782</v>
      </c>
      <c r="C180" s="18" t="s">
        <v>2783</v>
      </c>
      <c r="D180" s="18" t="s">
        <v>1401</v>
      </c>
      <c r="E180" s="18" t="s">
        <v>6331</v>
      </c>
      <c r="F180" s="2">
        <f>+J180-I180</f>
        <v>30</v>
      </c>
      <c r="G180" s="2">
        <f ca="1">+TODAY()-I180</f>
        <v>19</v>
      </c>
      <c r="H180" s="15">
        <v>1362752</v>
      </c>
      <c r="I180" s="1">
        <v>46101</v>
      </c>
      <c r="J180" s="1">
        <v>46131</v>
      </c>
      <c r="K180" s="18" t="s">
        <v>1403</v>
      </c>
      <c r="L180" s="18" t="s">
        <v>90</v>
      </c>
      <c r="M180" s="18" t="s">
        <v>19</v>
      </c>
      <c r="N180" s="18" t="s">
        <v>2785</v>
      </c>
      <c r="O180">
        <v>25</v>
      </c>
    </row>
    <row r="181" spans="1:15" x14ac:dyDescent="0.25">
      <c r="A181" s="18" t="s">
        <v>7276</v>
      </c>
      <c r="B181" s="18" t="s">
        <v>2782</v>
      </c>
      <c r="C181" s="18" t="s">
        <v>2783</v>
      </c>
      <c r="D181" s="18" t="s">
        <v>1401</v>
      </c>
      <c r="E181" s="18" t="s">
        <v>6332</v>
      </c>
      <c r="F181" s="2">
        <f>+J181-I181</f>
        <v>30</v>
      </c>
      <c r="G181" s="2">
        <f ca="1">+TODAY()-I181</f>
        <v>19</v>
      </c>
      <c r="H181" s="15">
        <v>1759443</v>
      </c>
      <c r="I181" s="1">
        <v>46101</v>
      </c>
      <c r="J181" s="1">
        <v>46131</v>
      </c>
      <c r="K181" s="18" t="s">
        <v>1403</v>
      </c>
      <c r="L181" s="18" t="s">
        <v>90</v>
      </c>
      <c r="M181" s="18" t="s">
        <v>19</v>
      </c>
      <c r="N181" s="18" t="s">
        <v>2785</v>
      </c>
      <c r="O181">
        <v>25</v>
      </c>
    </row>
    <row r="182" spans="1:15" x14ac:dyDescent="0.25">
      <c r="A182" s="18" t="s">
        <v>7276</v>
      </c>
      <c r="B182" s="18" t="s">
        <v>1951</v>
      </c>
      <c r="C182" s="18" t="s">
        <v>1952</v>
      </c>
      <c r="D182" s="18" t="s">
        <v>1947</v>
      </c>
      <c r="E182" s="18" t="s">
        <v>6364</v>
      </c>
      <c r="F182" s="2">
        <f>+J182-I182</f>
        <v>15</v>
      </c>
      <c r="G182" s="2">
        <f ca="1">+TODAY()-I182</f>
        <v>19</v>
      </c>
      <c r="H182" s="15">
        <v>198848</v>
      </c>
      <c r="I182" s="1">
        <v>46101</v>
      </c>
      <c r="J182" s="1">
        <v>46116</v>
      </c>
      <c r="K182" s="18" t="s">
        <v>1734</v>
      </c>
      <c r="L182" s="18" t="s">
        <v>312</v>
      </c>
      <c r="M182" s="18" t="s">
        <v>19</v>
      </c>
      <c r="N182" s="18" t="s">
        <v>1953</v>
      </c>
      <c r="O182">
        <v>15</v>
      </c>
    </row>
    <row r="183" spans="1:15" x14ac:dyDescent="0.25">
      <c r="A183" s="18" t="s">
        <v>7276</v>
      </c>
      <c r="B183" s="18" t="s">
        <v>333</v>
      </c>
      <c r="C183" s="18" t="s">
        <v>334</v>
      </c>
      <c r="D183" s="18" t="s">
        <v>15</v>
      </c>
      <c r="E183" s="18" t="s">
        <v>5085</v>
      </c>
      <c r="F183" s="2">
        <f>+J183-I183</f>
        <v>1</v>
      </c>
      <c r="G183" s="2">
        <f ca="1">+TODAY()-I183</f>
        <v>49</v>
      </c>
      <c r="H183" s="15">
        <v>131333</v>
      </c>
      <c r="I183" s="1">
        <v>46071</v>
      </c>
      <c r="J183" s="1">
        <v>46072</v>
      </c>
      <c r="K183" s="18" t="s">
        <v>17</v>
      </c>
      <c r="L183" s="18" t="s">
        <v>317</v>
      </c>
      <c r="M183" s="18" t="s">
        <v>19</v>
      </c>
      <c r="N183" s="18" t="s">
        <v>6192</v>
      </c>
      <c r="O183">
        <v>15</v>
      </c>
    </row>
    <row r="184" spans="1:15" x14ac:dyDescent="0.25">
      <c r="A184" s="18" t="s">
        <v>7276</v>
      </c>
      <c r="B184" s="18" t="s">
        <v>333</v>
      </c>
      <c r="C184" s="18" t="s">
        <v>334</v>
      </c>
      <c r="D184" s="18" t="s">
        <v>15</v>
      </c>
      <c r="E184" s="18" t="s">
        <v>6863</v>
      </c>
      <c r="F184" s="2">
        <f>+J184-I184</f>
        <v>15</v>
      </c>
      <c r="G184" s="2">
        <f ca="1">+TODAY()-I184</f>
        <v>8</v>
      </c>
      <c r="H184" s="15">
        <v>394588</v>
      </c>
      <c r="I184" s="1">
        <v>46112</v>
      </c>
      <c r="J184" s="1">
        <v>46127</v>
      </c>
      <c r="K184" s="18" t="s">
        <v>17</v>
      </c>
      <c r="L184" s="18" t="s">
        <v>317</v>
      </c>
      <c r="M184" s="18" t="s">
        <v>19</v>
      </c>
      <c r="N184" s="18" t="s">
        <v>6192</v>
      </c>
      <c r="O184">
        <v>15</v>
      </c>
    </row>
    <row r="185" spans="1:15" x14ac:dyDescent="0.25">
      <c r="A185" s="18" t="s">
        <v>7276</v>
      </c>
      <c r="B185" s="18" t="s">
        <v>333</v>
      </c>
      <c r="C185" s="18" t="s">
        <v>334</v>
      </c>
      <c r="D185" s="18" t="s">
        <v>15</v>
      </c>
      <c r="E185" s="18" t="s">
        <v>6864</v>
      </c>
      <c r="F185" s="2">
        <f>+J185-I185</f>
        <v>15</v>
      </c>
      <c r="G185" s="2">
        <f ca="1">+TODAY()-I185</f>
        <v>8</v>
      </c>
      <c r="H185" s="15">
        <v>451500</v>
      </c>
      <c r="I185" s="1">
        <v>46112</v>
      </c>
      <c r="J185" s="1">
        <v>46127</v>
      </c>
      <c r="K185" s="18" t="s">
        <v>17</v>
      </c>
      <c r="L185" s="18" t="s">
        <v>317</v>
      </c>
      <c r="M185" s="18" t="s">
        <v>19</v>
      </c>
      <c r="N185" s="18" t="s">
        <v>6192</v>
      </c>
      <c r="O185">
        <v>15</v>
      </c>
    </row>
    <row r="186" spans="1:15" x14ac:dyDescent="0.25">
      <c r="A186" s="18" t="s">
        <v>7276</v>
      </c>
      <c r="B186" s="18" t="s">
        <v>7460</v>
      </c>
      <c r="C186" s="18" t="s">
        <v>7461</v>
      </c>
      <c r="D186" s="18" t="s">
        <v>916</v>
      </c>
      <c r="E186" s="18" t="s">
        <v>7462</v>
      </c>
      <c r="F186" s="2">
        <f>+J186-I186</f>
        <v>1</v>
      </c>
      <c r="G186" s="2">
        <f ca="1">+TODAY()-I186</f>
        <v>2</v>
      </c>
      <c r="H186" s="15">
        <v>145346</v>
      </c>
      <c r="I186" s="1">
        <v>46118</v>
      </c>
      <c r="J186" s="1">
        <v>46119</v>
      </c>
      <c r="K186" s="18" t="s">
        <v>918</v>
      </c>
      <c r="L186" s="18" t="s">
        <v>312</v>
      </c>
      <c r="M186" s="18" t="s">
        <v>19</v>
      </c>
      <c r="N186" s="18" t="s">
        <v>4007</v>
      </c>
      <c r="O186">
        <v>1</v>
      </c>
    </row>
    <row r="187" spans="1:15" x14ac:dyDescent="0.25">
      <c r="A187" s="18" t="s">
        <v>7276</v>
      </c>
      <c r="B187" s="18" t="s">
        <v>323</v>
      </c>
      <c r="C187" s="18" t="s">
        <v>324</v>
      </c>
      <c r="D187" s="18" t="s">
        <v>15</v>
      </c>
      <c r="E187" s="18" t="s">
        <v>5924</v>
      </c>
      <c r="F187" s="2">
        <f>+J187-I187</f>
        <v>15</v>
      </c>
      <c r="G187" s="2">
        <f ca="1">+TODAY()-I187</f>
        <v>25</v>
      </c>
      <c r="H187" s="15">
        <v>233724</v>
      </c>
      <c r="I187" s="1">
        <v>46095</v>
      </c>
      <c r="J187" s="1">
        <v>46110</v>
      </c>
      <c r="K187" s="18" t="s">
        <v>17</v>
      </c>
      <c r="L187" s="18" t="s">
        <v>312</v>
      </c>
      <c r="M187" s="18" t="s">
        <v>19</v>
      </c>
      <c r="N187" s="18" t="s">
        <v>325</v>
      </c>
      <c r="O187">
        <v>15</v>
      </c>
    </row>
    <row r="188" spans="1:15" x14ac:dyDescent="0.25">
      <c r="A188" s="18" t="s">
        <v>7276</v>
      </c>
      <c r="B188" s="18" t="s">
        <v>4059</v>
      </c>
      <c r="C188" s="18" t="s">
        <v>4060</v>
      </c>
      <c r="D188" s="18" t="s">
        <v>320</v>
      </c>
      <c r="E188" s="18" t="s">
        <v>7060</v>
      </c>
      <c r="F188" s="2">
        <f>+J188-I188</f>
        <v>1</v>
      </c>
      <c r="G188" s="2">
        <f ca="1">+TODAY()-I188</f>
        <v>9</v>
      </c>
      <c r="H188" s="15">
        <v>39659</v>
      </c>
      <c r="I188" s="1">
        <v>46111</v>
      </c>
      <c r="J188" s="1">
        <v>46112</v>
      </c>
      <c r="K188" s="18" t="s">
        <v>1068</v>
      </c>
      <c r="L188" s="18" t="s">
        <v>321</v>
      </c>
      <c r="M188" s="18" t="s">
        <v>19</v>
      </c>
      <c r="N188" s="18" t="s">
        <v>4061</v>
      </c>
      <c r="O188">
        <v>1</v>
      </c>
    </row>
    <row r="189" spans="1:15" x14ac:dyDescent="0.25">
      <c r="A189" s="18" t="s">
        <v>7276</v>
      </c>
      <c r="B189" s="18" t="s">
        <v>2105</v>
      </c>
      <c r="C189" s="18" t="s">
        <v>2106</v>
      </c>
      <c r="D189" s="18" t="s">
        <v>46</v>
      </c>
      <c r="E189" s="18" t="s">
        <v>6438</v>
      </c>
      <c r="F189" s="2">
        <f>+J189-I189</f>
        <v>15</v>
      </c>
      <c r="G189" s="2">
        <f ca="1">+TODAY()-I189</f>
        <v>14</v>
      </c>
      <c r="H189" s="15">
        <v>526986</v>
      </c>
      <c r="I189" s="1">
        <v>46106</v>
      </c>
      <c r="J189" s="1">
        <v>46121</v>
      </c>
      <c r="K189" s="18" t="s">
        <v>17</v>
      </c>
      <c r="L189" s="18" t="s">
        <v>317</v>
      </c>
      <c r="M189" s="18" t="s">
        <v>19</v>
      </c>
      <c r="N189" s="18" t="s">
        <v>2107</v>
      </c>
      <c r="O189">
        <v>15</v>
      </c>
    </row>
    <row r="190" spans="1:15" x14ac:dyDescent="0.25">
      <c r="A190" s="18" t="s">
        <v>7276</v>
      </c>
      <c r="B190" s="18" t="s">
        <v>4969</v>
      </c>
      <c r="C190" s="18" t="s">
        <v>4970</v>
      </c>
      <c r="D190" s="18" t="s">
        <v>15</v>
      </c>
      <c r="E190" s="18" t="s">
        <v>5656</v>
      </c>
      <c r="F190" s="2">
        <f>+J190-I190</f>
        <v>30</v>
      </c>
      <c r="G190" s="2">
        <f ca="1">+TODAY()-I190</f>
        <v>27</v>
      </c>
      <c r="H190" s="15">
        <v>3862409</v>
      </c>
      <c r="I190" s="1">
        <v>46093</v>
      </c>
      <c r="J190" s="1">
        <v>46123</v>
      </c>
      <c r="K190" s="18" t="s">
        <v>17</v>
      </c>
      <c r="L190" s="18" t="s">
        <v>32</v>
      </c>
      <c r="M190" s="18" t="s">
        <v>19</v>
      </c>
      <c r="N190" s="18" t="s">
        <v>4971</v>
      </c>
      <c r="O190">
        <v>30</v>
      </c>
    </row>
    <row r="191" spans="1:15" x14ac:dyDescent="0.25">
      <c r="A191" s="18" t="s">
        <v>7276</v>
      </c>
      <c r="B191" s="18" t="s">
        <v>4969</v>
      </c>
      <c r="C191" s="18" t="s">
        <v>4970</v>
      </c>
      <c r="D191" s="18" t="s">
        <v>15</v>
      </c>
      <c r="E191" s="18" t="s">
        <v>6386</v>
      </c>
      <c r="F191" s="2">
        <f>+J191-I191</f>
        <v>30</v>
      </c>
      <c r="G191" s="2">
        <f ca="1">+TODAY()-I191</f>
        <v>15</v>
      </c>
      <c r="H191" s="15">
        <v>580000</v>
      </c>
      <c r="I191" s="1">
        <v>46105</v>
      </c>
      <c r="J191" s="1">
        <v>46135</v>
      </c>
      <c r="K191" s="18" t="s">
        <v>17</v>
      </c>
      <c r="L191" s="18" t="s">
        <v>32</v>
      </c>
      <c r="M191" s="18" t="s">
        <v>19</v>
      </c>
      <c r="N191" s="18" t="s">
        <v>4971</v>
      </c>
      <c r="O191">
        <v>30</v>
      </c>
    </row>
    <row r="192" spans="1:15" x14ac:dyDescent="0.25">
      <c r="A192" s="18" t="s">
        <v>7276</v>
      </c>
      <c r="B192" s="18" t="s">
        <v>4969</v>
      </c>
      <c r="C192" s="18" t="s">
        <v>4970</v>
      </c>
      <c r="D192" s="18" t="s">
        <v>15</v>
      </c>
      <c r="E192" s="18" t="s">
        <v>7315</v>
      </c>
      <c r="F192" s="2">
        <f>+J192-I192</f>
        <v>10</v>
      </c>
      <c r="G192" s="2">
        <f ca="1">+TODAY()-I192</f>
        <v>7</v>
      </c>
      <c r="H192" s="15">
        <v>4200000</v>
      </c>
      <c r="I192" s="1">
        <v>46113</v>
      </c>
      <c r="J192" s="1">
        <v>46123</v>
      </c>
      <c r="K192" s="18" t="s">
        <v>17</v>
      </c>
      <c r="L192" s="18" t="s">
        <v>32</v>
      </c>
      <c r="M192" s="18" t="s">
        <v>19</v>
      </c>
      <c r="N192" s="18" t="s">
        <v>4971</v>
      </c>
      <c r="O192">
        <v>30</v>
      </c>
    </row>
    <row r="193" spans="1:15" x14ac:dyDescent="0.25">
      <c r="A193" s="18" t="s">
        <v>7276</v>
      </c>
      <c r="B193" s="18" t="s">
        <v>4969</v>
      </c>
      <c r="C193" s="18" t="s">
        <v>4970</v>
      </c>
      <c r="D193" s="18" t="s">
        <v>15</v>
      </c>
      <c r="E193" s="18" t="s">
        <v>7639</v>
      </c>
      <c r="F193" s="2">
        <f>+J193-I193</f>
        <v>30</v>
      </c>
      <c r="G193" s="2">
        <f ca="1">+TODAY()-I193</f>
        <v>1</v>
      </c>
      <c r="H193" s="15">
        <v>1177714</v>
      </c>
      <c r="I193" s="1">
        <v>46119</v>
      </c>
      <c r="J193" s="1">
        <v>46149</v>
      </c>
      <c r="K193" s="18" t="s">
        <v>17</v>
      </c>
      <c r="L193" s="18" t="s">
        <v>32</v>
      </c>
      <c r="M193" s="18" t="s">
        <v>19</v>
      </c>
      <c r="N193" s="18" t="s">
        <v>4971</v>
      </c>
      <c r="O193">
        <v>30</v>
      </c>
    </row>
    <row r="194" spans="1:15" x14ac:dyDescent="0.25">
      <c r="A194" s="18" t="s">
        <v>7276</v>
      </c>
      <c r="B194" s="18" t="s">
        <v>4969</v>
      </c>
      <c r="C194" s="18" t="s">
        <v>4970</v>
      </c>
      <c r="D194" s="18" t="s">
        <v>15</v>
      </c>
      <c r="E194" s="18" t="s">
        <v>7640</v>
      </c>
      <c r="F194" s="2">
        <f>+J194-I194</f>
        <v>30</v>
      </c>
      <c r="G194" s="2">
        <f ca="1">+TODAY()-I194</f>
        <v>1</v>
      </c>
      <c r="H194" s="15">
        <v>2195786</v>
      </c>
      <c r="I194" s="1">
        <v>46119</v>
      </c>
      <c r="J194" s="1">
        <v>46149</v>
      </c>
      <c r="K194" s="18" t="s">
        <v>17</v>
      </c>
      <c r="L194" s="18" t="s">
        <v>32</v>
      </c>
      <c r="M194" s="18" t="s">
        <v>19</v>
      </c>
      <c r="N194" s="18" t="s">
        <v>4971</v>
      </c>
      <c r="O194">
        <v>30</v>
      </c>
    </row>
    <row r="195" spans="1:15" x14ac:dyDescent="0.25">
      <c r="A195" s="18" t="s">
        <v>7276</v>
      </c>
      <c r="B195" s="18" t="s">
        <v>1234</v>
      </c>
      <c r="C195" s="18" t="s">
        <v>1235</v>
      </c>
      <c r="D195" s="18" t="s">
        <v>340</v>
      </c>
      <c r="E195" s="18" t="s">
        <v>6292</v>
      </c>
      <c r="F195" s="2">
        <f>+J195-I195</f>
        <v>30</v>
      </c>
      <c r="G195" s="2">
        <f ca="1">+TODAY()-I195</f>
        <v>20</v>
      </c>
      <c r="H195" s="15">
        <v>317268</v>
      </c>
      <c r="I195" s="1">
        <v>46100</v>
      </c>
      <c r="J195" s="1">
        <v>46130</v>
      </c>
      <c r="K195" s="18" t="s">
        <v>1233</v>
      </c>
      <c r="L195" s="18" t="s">
        <v>18</v>
      </c>
      <c r="M195" s="18" t="s">
        <v>19</v>
      </c>
      <c r="N195" s="18" t="s">
        <v>1236</v>
      </c>
      <c r="O195">
        <v>30</v>
      </c>
    </row>
    <row r="196" spans="1:15" x14ac:dyDescent="0.25">
      <c r="A196" s="18" t="s">
        <v>7276</v>
      </c>
      <c r="B196" s="18" t="s">
        <v>1234</v>
      </c>
      <c r="C196" s="18" t="s">
        <v>1235</v>
      </c>
      <c r="D196" s="18" t="s">
        <v>340</v>
      </c>
      <c r="E196" s="18" t="s">
        <v>6293</v>
      </c>
      <c r="F196" s="2">
        <f>+J196-I196</f>
        <v>30</v>
      </c>
      <c r="G196" s="2">
        <f ca="1">+TODAY()-I196</f>
        <v>20</v>
      </c>
      <c r="H196" s="15">
        <v>2115000</v>
      </c>
      <c r="I196" s="1">
        <v>46100</v>
      </c>
      <c r="J196" s="1">
        <v>46130</v>
      </c>
      <c r="K196" s="18" t="s">
        <v>1233</v>
      </c>
      <c r="L196" s="18" t="s">
        <v>18</v>
      </c>
      <c r="M196" s="18" t="s">
        <v>19</v>
      </c>
      <c r="N196" s="18" t="s">
        <v>1236</v>
      </c>
      <c r="O196">
        <v>30</v>
      </c>
    </row>
    <row r="197" spans="1:15" x14ac:dyDescent="0.25">
      <c r="A197" s="18" t="s">
        <v>7276</v>
      </c>
      <c r="B197" s="18" t="s">
        <v>1234</v>
      </c>
      <c r="C197" s="18" t="s">
        <v>1235</v>
      </c>
      <c r="D197" s="18" t="s">
        <v>340</v>
      </c>
      <c r="E197" s="18" t="s">
        <v>7131</v>
      </c>
      <c r="F197" s="2">
        <f>+J197-I197</f>
        <v>30</v>
      </c>
      <c r="G197" s="2">
        <f ca="1">+TODAY()-I197</f>
        <v>8</v>
      </c>
      <c r="H197" s="15">
        <v>3328495</v>
      </c>
      <c r="I197" s="1">
        <v>46112</v>
      </c>
      <c r="J197" s="1">
        <v>46142</v>
      </c>
      <c r="K197" s="18" t="s">
        <v>1233</v>
      </c>
      <c r="L197" s="18" t="s">
        <v>18</v>
      </c>
      <c r="M197" s="18" t="s">
        <v>19</v>
      </c>
      <c r="N197" s="18" t="s">
        <v>1236</v>
      </c>
      <c r="O197">
        <v>30</v>
      </c>
    </row>
    <row r="198" spans="1:15" x14ac:dyDescent="0.25">
      <c r="A198" s="18" t="s">
        <v>7276</v>
      </c>
      <c r="B198" s="18" t="s">
        <v>1234</v>
      </c>
      <c r="C198" s="18" t="s">
        <v>1235</v>
      </c>
      <c r="D198" s="18" t="s">
        <v>340</v>
      </c>
      <c r="E198" s="18" t="s">
        <v>7132</v>
      </c>
      <c r="F198" s="2">
        <f>+J198-I198</f>
        <v>30</v>
      </c>
      <c r="G198" s="2">
        <f ca="1">+TODAY()-I198</f>
        <v>8</v>
      </c>
      <c r="H198" s="15">
        <v>1475000</v>
      </c>
      <c r="I198" s="1">
        <v>46112</v>
      </c>
      <c r="J198" s="1">
        <v>46142</v>
      </c>
      <c r="K198" s="18" t="s">
        <v>1233</v>
      </c>
      <c r="L198" s="18" t="s">
        <v>18</v>
      </c>
      <c r="M198" s="18" t="s">
        <v>19</v>
      </c>
      <c r="N198" s="18" t="s">
        <v>1236</v>
      </c>
      <c r="O198">
        <v>30</v>
      </c>
    </row>
    <row r="199" spans="1:15" x14ac:dyDescent="0.25">
      <c r="A199" s="18" t="s">
        <v>7276</v>
      </c>
      <c r="B199" s="18" t="s">
        <v>1234</v>
      </c>
      <c r="C199" s="18" t="s">
        <v>1235</v>
      </c>
      <c r="D199" s="18" t="s">
        <v>340</v>
      </c>
      <c r="E199" s="18" t="s">
        <v>7142</v>
      </c>
      <c r="F199" s="2">
        <f>+J199-I199</f>
        <v>30</v>
      </c>
      <c r="G199" s="2">
        <f ca="1">+TODAY()-I199</f>
        <v>8</v>
      </c>
      <c r="H199" s="15">
        <v>692152</v>
      </c>
      <c r="I199" s="1">
        <v>46112</v>
      </c>
      <c r="J199" s="1">
        <v>46142</v>
      </c>
      <c r="K199" s="18" t="s">
        <v>1233</v>
      </c>
      <c r="L199" s="18" t="s">
        <v>18</v>
      </c>
      <c r="M199" s="18" t="s">
        <v>19</v>
      </c>
      <c r="N199" s="18" t="s">
        <v>1236</v>
      </c>
      <c r="O199">
        <v>30</v>
      </c>
    </row>
    <row r="200" spans="1:15" x14ac:dyDescent="0.25">
      <c r="A200" s="18" t="s">
        <v>7276</v>
      </c>
      <c r="B200" s="18" t="s">
        <v>1234</v>
      </c>
      <c r="C200" s="18" t="s">
        <v>1235</v>
      </c>
      <c r="D200" s="18" t="s">
        <v>340</v>
      </c>
      <c r="E200" s="18" t="s">
        <v>5766</v>
      </c>
      <c r="F200" s="2">
        <f>+J200-I200</f>
        <v>30</v>
      </c>
      <c r="G200" s="2">
        <f ca="1">+TODAY()-I200</f>
        <v>32</v>
      </c>
      <c r="H200" s="15">
        <v>1427092</v>
      </c>
      <c r="I200" s="1">
        <v>46088</v>
      </c>
      <c r="J200" s="1">
        <v>46118</v>
      </c>
      <c r="K200" s="18" t="s">
        <v>1233</v>
      </c>
      <c r="L200" s="18" t="s">
        <v>18</v>
      </c>
      <c r="M200" s="18" t="s">
        <v>19</v>
      </c>
      <c r="N200" s="18" t="s">
        <v>1236</v>
      </c>
      <c r="O200">
        <v>30</v>
      </c>
    </row>
    <row r="201" spans="1:15" x14ac:dyDescent="0.25">
      <c r="A201" s="18" t="s">
        <v>7276</v>
      </c>
      <c r="B201" s="18" t="s">
        <v>6360</v>
      </c>
      <c r="C201" s="18" t="s">
        <v>6361</v>
      </c>
      <c r="D201" s="18" t="s">
        <v>6359</v>
      </c>
      <c r="E201" s="18" t="s">
        <v>6362</v>
      </c>
      <c r="F201" s="2">
        <f>+J201-I201</f>
        <v>15</v>
      </c>
      <c r="G201" s="2">
        <f ca="1">+TODAY()-I201</f>
        <v>21</v>
      </c>
      <c r="H201" s="15">
        <v>96808</v>
      </c>
      <c r="I201" s="1">
        <v>46099</v>
      </c>
      <c r="J201" s="1">
        <v>46114</v>
      </c>
      <c r="K201" s="18" t="s">
        <v>1734</v>
      </c>
      <c r="L201" s="18" t="s">
        <v>321</v>
      </c>
      <c r="M201" s="18" t="s">
        <v>19</v>
      </c>
      <c r="N201" s="18" t="s">
        <v>6363</v>
      </c>
      <c r="O201">
        <v>30</v>
      </c>
    </row>
    <row r="202" spans="1:15" x14ac:dyDescent="0.25">
      <c r="A202" s="18" t="s">
        <v>7276</v>
      </c>
      <c r="B202" s="18" t="s">
        <v>6360</v>
      </c>
      <c r="C202" s="18" t="s">
        <v>6361</v>
      </c>
      <c r="D202" s="18" t="s">
        <v>6359</v>
      </c>
      <c r="E202" s="18" t="s">
        <v>7265</v>
      </c>
      <c r="F202" s="2">
        <f>+J202-I202</f>
        <v>1</v>
      </c>
      <c r="G202" s="2">
        <f ca="1">+TODAY()-I202</f>
        <v>8</v>
      </c>
      <c r="H202" s="15">
        <v>55200</v>
      </c>
      <c r="I202" s="1">
        <v>46112</v>
      </c>
      <c r="J202" s="1">
        <v>46113</v>
      </c>
      <c r="K202" s="18" t="s">
        <v>1734</v>
      </c>
      <c r="L202" s="18" t="s">
        <v>321</v>
      </c>
      <c r="M202" s="18" t="s">
        <v>19</v>
      </c>
      <c r="N202" s="18" t="s">
        <v>6363</v>
      </c>
      <c r="O202">
        <v>30</v>
      </c>
    </row>
    <row r="203" spans="1:15" x14ac:dyDescent="0.25">
      <c r="A203" s="18" t="s">
        <v>7276</v>
      </c>
      <c r="B203" s="18" t="s">
        <v>7000</v>
      </c>
      <c r="C203" s="18" t="s">
        <v>7001</v>
      </c>
      <c r="D203" s="18" t="s">
        <v>46</v>
      </c>
      <c r="E203" s="18" t="s">
        <v>7002</v>
      </c>
      <c r="F203" s="2">
        <f>+J203-I203</f>
        <v>30</v>
      </c>
      <c r="G203" s="2">
        <f ca="1">+TODAY()-I203</f>
        <v>9</v>
      </c>
      <c r="H203" s="15">
        <v>42249</v>
      </c>
      <c r="I203" s="1">
        <v>46111</v>
      </c>
      <c r="J203" s="1">
        <v>46141</v>
      </c>
      <c r="K203" s="18" t="s">
        <v>918</v>
      </c>
      <c r="L203" s="18" t="s">
        <v>312</v>
      </c>
      <c r="M203" s="18" t="s">
        <v>19</v>
      </c>
      <c r="N203" s="18" t="s">
        <v>7003</v>
      </c>
      <c r="O203">
        <v>30</v>
      </c>
    </row>
    <row r="204" spans="1:15" x14ac:dyDescent="0.25">
      <c r="A204" s="18" t="s">
        <v>7276</v>
      </c>
      <c r="B204" s="18" t="s">
        <v>1317</v>
      </c>
      <c r="C204" s="18" t="s">
        <v>1318</v>
      </c>
      <c r="D204" s="18" t="s">
        <v>1319</v>
      </c>
      <c r="E204" s="18" t="s">
        <v>6540</v>
      </c>
      <c r="F204" s="2">
        <f>+J204-I204</f>
        <v>30</v>
      </c>
      <c r="G204" s="2">
        <f ca="1">+TODAY()-I204</f>
        <v>15</v>
      </c>
      <c r="H204" s="15">
        <v>2590425</v>
      </c>
      <c r="I204" s="1">
        <v>46105</v>
      </c>
      <c r="J204" s="1">
        <v>46135</v>
      </c>
      <c r="K204" s="18" t="s">
        <v>1300</v>
      </c>
      <c r="L204" s="18" t="s">
        <v>90</v>
      </c>
      <c r="M204" s="18" t="s">
        <v>19</v>
      </c>
      <c r="N204" s="18" t="s">
        <v>1320</v>
      </c>
      <c r="O204">
        <v>30</v>
      </c>
    </row>
    <row r="205" spans="1:15" x14ac:dyDescent="0.25">
      <c r="A205" s="18" t="s">
        <v>7276</v>
      </c>
      <c r="B205" s="18" t="s">
        <v>1317</v>
      </c>
      <c r="C205" s="18" t="s">
        <v>1318</v>
      </c>
      <c r="D205" s="18" t="s">
        <v>1319</v>
      </c>
      <c r="E205" s="18" t="s">
        <v>6541</v>
      </c>
      <c r="F205" s="2">
        <f>+J205-I205</f>
        <v>30</v>
      </c>
      <c r="G205" s="2">
        <f ca="1">+TODAY()-I205</f>
        <v>15</v>
      </c>
      <c r="H205" s="15">
        <v>1309274</v>
      </c>
      <c r="I205" s="1">
        <v>46105</v>
      </c>
      <c r="J205" s="1">
        <v>46135</v>
      </c>
      <c r="K205" s="18" t="s">
        <v>1300</v>
      </c>
      <c r="L205" s="18" t="s">
        <v>90</v>
      </c>
      <c r="M205" s="18" t="s">
        <v>19</v>
      </c>
      <c r="N205" s="18" t="s">
        <v>1320</v>
      </c>
      <c r="O205">
        <v>30</v>
      </c>
    </row>
    <row r="206" spans="1:15" x14ac:dyDescent="0.25">
      <c r="A206" s="18" t="s">
        <v>7276</v>
      </c>
      <c r="B206" s="18" t="s">
        <v>1317</v>
      </c>
      <c r="C206" s="18" t="s">
        <v>1318</v>
      </c>
      <c r="D206" s="18" t="s">
        <v>1319</v>
      </c>
      <c r="E206" s="18" t="s">
        <v>7799</v>
      </c>
      <c r="F206" s="2">
        <f>+J206-I206</f>
        <v>30</v>
      </c>
      <c r="G206" s="2">
        <f ca="1">+TODAY()-I206</f>
        <v>1</v>
      </c>
      <c r="H206" s="15">
        <v>1720276</v>
      </c>
      <c r="I206" s="1">
        <v>46119</v>
      </c>
      <c r="J206" s="1">
        <v>46149</v>
      </c>
      <c r="K206" s="18" t="s">
        <v>1300</v>
      </c>
      <c r="L206" s="18" t="s">
        <v>90</v>
      </c>
      <c r="M206" s="18" t="s">
        <v>19</v>
      </c>
      <c r="N206" s="18" t="s">
        <v>1320</v>
      </c>
      <c r="O206">
        <v>30</v>
      </c>
    </row>
    <row r="207" spans="1:15" x14ac:dyDescent="0.25">
      <c r="A207" s="18" t="s">
        <v>7276</v>
      </c>
      <c r="B207" s="18" t="s">
        <v>1317</v>
      </c>
      <c r="C207" s="18" t="s">
        <v>1318</v>
      </c>
      <c r="D207" s="18" t="s">
        <v>1319</v>
      </c>
      <c r="E207" s="18" t="s">
        <v>7800</v>
      </c>
      <c r="F207" s="2">
        <f>+J207-I207</f>
        <v>30</v>
      </c>
      <c r="G207" s="2">
        <f ca="1">+TODAY()-I207</f>
        <v>1</v>
      </c>
      <c r="H207" s="15">
        <v>1355328</v>
      </c>
      <c r="I207" s="1">
        <v>46119</v>
      </c>
      <c r="J207" s="1">
        <v>46149</v>
      </c>
      <c r="K207" s="18" t="s">
        <v>1300</v>
      </c>
      <c r="L207" s="18" t="s">
        <v>90</v>
      </c>
      <c r="M207" s="18" t="s">
        <v>19</v>
      </c>
      <c r="N207" s="18" t="s">
        <v>1320</v>
      </c>
      <c r="O207">
        <v>30</v>
      </c>
    </row>
    <row r="208" spans="1:15" x14ac:dyDescent="0.25">
      <c r="A208" s="18" t="s">
        <v>7276</v>
      </c>
      <c r="B208" s="18" t="s">
        <v>1317</v>
      </c>
      <c r="C208" s="18" t="s">
        <v>1318</v>
      </c>
      <c r="D208" s="18" t="s">
        <v>1319</v>
      </c>
      <c r="E208" s="18" t="s">
        <v>7801</v>
      </c>
      <c r="F208" s="2">
        <f>+J208-I208</f>
        <v>30</v>
      </c>
      <c r="G208" s="2">
        <f ca="1">+TODAY()-I208</f>
        <v>1</v>
      </c>
      <c r="H208" s="15">
        <v>497262</v>
      </c>
      <c r="I208" s="1">
        <v>46119</v>
      </c>
      <c r="J208" s="1">
        <v>46149</v>
      </c>
      <c r="K208" s="18" t="s">
        <v>1300</v>
      </c>
      <c r="L208" s="18" t="s">
        <v>90</v>
      </c>
      <c r="M208" s="18" t="s">
        <v>19</v>
      </c>
      <c r="N208" s="18" t="s">
        <v>1320</v>
      </c>
      <c r="O208">
        <v>30</v>
      </c>
    </row>
    <row r="209" spans="1:15" x14ac:dyDescent="0.25">
      <c r="A209" s="18" t="s">
        <v>7276</v>
      </c>
      <c r="B209" s="18" t="s">
        <v>3994</v>
      </c>
      <c r="C209" s="18" t="s">
        <v>3995</v>
      </c>
      <c r="D209" s="18" t="s">
        <v>916</v>
      </c>
      <c r="E209" s="18" t="s">
        <v>7742</v>
      </c>
      <c r="F209" s="2">
        <f>+J209-I209</f>
        <v>1</v>
      </c>
      <c r="G209" s="2">
        <f ca="1">+TODAY()-I209</f>
        <v>1</v>
      </c>
      <c r="H209" s="15">
        <v>167999</v>
      </c>
      <c r="I209" s="1">
        <v>46119</v>
      </c>
      <c r="J209" s="1">
        <v>46120</v>
      </c>
      <c r="K209" s="18" t="s">
        <v>918</v>
      </c>
      <c r="L209" s="18" t="s">
        <v>312</v>
      </c>
      <c r="M209" s="18" t="s">
        <v>19</v>
      </c>
      <c r="N209" s="18" t="s">
        <v>3996</v>
      </c>
      <c r="O209">
        <v>1</v>
      </c>
    </row>
    <row r="210" spans="1:15" x14ac:dyDescent="0.25">
      <c r="A210" s="18" t="s">
        <v>7276</v>
      </c>
      <c r="B210" s="18" t="s">
        <v>5005</v>
      </c>
      <c r="C210" s="18" t="s">
        <v>5006</v>
      </c>
      <c r="D210" s="18" t="s">
        <v>46</v>
      </c>
      <c r="E210" s="18" t="s">
        <v>7400</v>
      </c>
      <c r="F210" s="2">
        <f>+J210-I210</f>
        <v>1</v>
      </c>
      <c r="G210" s="2">
        <f ca="1">+TODAY()-I210</f>
        <v>2</v>
      </c>
      <c r="H210" s="15">
        <v>76290</v>
      </c>
      <c r="I210" s="1">
        <v>46118</v>
      </c>
      <c r="J210" s="1">
        <v>46119</v>
      </c>
      <c r="K210" s="18" t="s">
        <v>17</v>
      </c>
      <c r="L210" s="18" t="s">
        <v>317</v>
      </c>
      <c r="M210" s="18" t="s">
        <v>19</v>
      </c>
      <c r="N210" s="18" t="s">
        <v>5007</v>
      </c>
      <c r="O210">
        <v>1</v>
      </c>
    </row>
    <row r="211" spans="1:15" x14ac:dyDescent="0.25">
      <c r="A211" s="18" t="s">
        <v>7276</v>
      </c>
      <c r="B211" s="18" t="s">
        <v>1670</v>
      </c>
      <c r="C211" s="18" t="s">
        <v>1671</v>
      </c>
      <c r="D211" s="18" t="s">
        <v>1587</v>
      </c>
      <c r="E211" s="18" t="s">
        <v>5835</v>
      </c>
      <c r="F211" s="2">
        <f>+J211-I211</f>
        <v>30</v>
      </c>
      <c r="G211" s="2">
        <f ca="1">+TODAY()-I211</f>
        <v>29</v>
      </c>
      <c r="H211" s="15">
        <v>423839</v>
      </c>
      <c r="I211" s="1">
        <v>46091</v>
      </c>
      <c r="J211" s="1">
        <v>46121</v>
      </c>
      <c r="K211" s="18" t="s">
        <v>1589</v>
      </c>
      <c r="L211" s="18" t="s">
        <v>984</v>
      </c>
      <c r="M211" s="18" t="s">
        <v>19</v>
      </c>
      <c r="N211" s="18" t="s">
        <v>1672</v>
      </c>
      <c r="O211">
        <v>30</v>
      </c>
    </row>
    <row r="212" spans="1:15" x14ac:dyDescent="0.25">
      <c r="A212" s="18" t="s">
        <v>7276</v>
      </c>
      <c r="B212" s="18" t="s">
        <v>1625</v>
      </c>
      <c r="C212" s="18" t="s">
        <v>1626</v>
      </c>
      <c r="D212" s="18" t="s">
        <v>1587</v>
      </c>
      <c r="E212" s="18" t="s">
        <v>5320</v>
      </c>
      <c r="F212" s="2">
        <f>+J212-I212</f>
        <v>30</v>
      </c>
      <c r="G212" s="2">
        <f ca="1">+TODAY()-I212</f>
        <v>43</v>
      </c>
      <c r="H212" s="15">
        <v>661600</v>
      </c>
      <c r="I212" s="1">
        <v>46077</v>
      </c>
      <c r="J212" s="1">
        <v>46107</v>
      </c>
      <c r="K212" s="18" t="s">
        <v>1589</v>
      </c>
      <c r="L212" s="18" t="s">
        <v>984</v>
      </c>
      <c r="M212" s="18" t="s">
        <v>19</v>
      </c>
      <c r="N212" s="18" t="s">
        <v>1627</v>
      </c>
      <c r="O212">
        <v>30</v>
      </c>
    </row>
    <row r="213" spans="1:15" x14ac:dyDescent="0.25">
      <c r="A213" s="18" t="s">
        <v>7276</v>
      </c>
      <c r="B213" s="18" t="s">
        <v>1625</v>
      </c>
      <c r="C213" s="18" t="s">
        <v>1626</v>
      </c>
      <c r="D213" s="18" t="s">
        <v>1587</v>
      </c>
      <c r="E213" s="18" t="s">
        <v>5321</v>
      </c>
      <c r="F213" s="2">
        <f>+J213-I213</f>
        <v>30</v>
      </c>
      <c r="G213" s="2">
        <f ca="1">+TODAY()-I213</f>
        <v>43</v>
      </c>
      <c r="H213" s="15">
        <v>831955</v>
      </c>
      <c r="I213" s="1">
        <v>46077</v>
      </c>
      <c r="J213" s="1">
        <v>46107</v>
      </c>
      <c r="K213" s="18" t="s">
        <v>1589</v>
      </c>
      <c r="L213" s="18" t="s">
        <v>984</v>
      </c>
      <c r="M213" s="18" t="s">
        <v>19</v>
      </c>
      <c r="N213" s="18" t="s">
        <v>1627</v>
      </c>
      <c r="O213">
        <v>30</v>
      </c>
    </row>
    <row r="214" spans="1:15" x14ac:dyDescent="0.25">
      <c r="A214" s="18" t="s">
        <v>7276</v>
      </c>
      <c r="B214" s="18" t="s">
        <v>1625</v>
      </c>
      <c r="C214" s="18" t="s">
        <v>1626</v>
      </c>
      <c r="D214" s="18" t="s">
        <v>1587</v>
      </c>
      <c r="E214" s="18" t="s">
        <v>5840</v>
      </c>
      <c r="F214" s="2">
        <f>+J214-I214</f>
        <v>30</v>
      </c>
      <c r="G214" s="2">
        <f ca="1">+TODAY()-I214</f>
        <v>29</v>
      </c>
      <c r="H214" s="15">
        <v>480483</v>
      </c>
      <c r="I214" s="1">
        <v>46091</v>
      </c>
      <c r="J214" s="1">
        <v>46121</v>
      </c>
      <c r="K214" s="18" t="s">
        <v>1589</v>
      </c>
      <c r="L214" s="18" t="s">
        <v>984</v>
      </c>
      <c r="M214" s="18" t="s">
        <v>19</v>
      </c>
      <c r="N214" s="18" t="s">
        <v>1627</v>
      </c>
      <c r="O214">
        <v>30</v>
      </c>
    </row>
    <row r="215" spans="1:15" x14ac:dyDescent="0.25">
      <c r="A215" s="18" t="s">
        <v>7276</v>
      </c>
      <c r="B215" s="18" t="s">
        <v>1625</v>
      </c>
      <c r="C215" s="18" t="s">
        <v>1626</v>
      </c>
      <c r="D215" s="18" t="s">
        <v>1587</v>
      </c>
      <c r="E215" s="18" t="s">
        <v>6682</v>
      </c>
      <c r="F215" s="2">
        <f>+J215-I215</f>
        <v>30</v>
      </c>
      <c r="G215" s="2">
        <f ca="1">+TODAY()-I215</f>
        <v>14</v>
      </c>
      <c r="H215" s="15">
        <v>410610</v>
      </c>
      <c r="I215" s="1">
        <v>46106</v>
      </c>
      <c r="J215" s="1">
        <v>46136</v>
      </c>
      <c r="K215" s="18" t="s">
        <v>1589</v>
      </c>
      <c r="L215" s="18" t="s">
        <v>984</v>
      </c>
      <c r="M215" s="18" t="s">
        <v>19</v>
      </c>
      <c r="N215" s="18" t="s">
        <v>1627</v>
      </c>
      <c r="O215">
        <v>30</v>
      </c>
    </row>
    <row r="216" spans="1:15" x14ac:dyDescent="0.25">
      <c r="A216" s="18" t="s">
        <v>7276</v>
      </c>
      <c r="B216" s="18" t="s">
        <v>1625</v>
      </c>
      <c r="C216" s="18" t="s">
        <v>1626</v>
      </c>
      <c r="D216" s="18" t="s">
        <v>1587</v>
      </c>
      <c r="E216" s="18" t="s">
        <v>6683</v>
      </c>
      <c r="F216" s="2">
        <f>+J216-I216</f>
        <v>30</v>
      </c>
      <c r="G216" s="2">
        <f ca="1">+TODAY()-I216</f>
        <v>14</v>
      </c>
      <c r="H216" s="15">
        <v>1158040</v>
      </c>
      <c r="I216" s="1">
        <v>46106</v>
      </c>
      <c r="J216" s="1">
        <v>46136</v>
      </c>
      <c r="K216" s="18" t="s">
        <v>1589</v>
      </c>
      <c r="L216" s="18" t="s">
        <v>984</v>
      </c>
      <c r="M216" s="18" t="s">
        <v>19</v>
      </c>
      <c r="N216" s="18" t="s">
        <v>1627</v>
      </c>
      <c r="O216">
        <v>30</v>
      </c>
    </row>
    <row r="217" spans="1:15" x14ac:dyDescent="0.25">
      <c r="A217" s="18" t="s">
        <v>7276</v>
      </c>
      <c r="B217" s="18" t="s">
        <v>1625</v>
      </c>
      <c r="C217" s="18" t="s">
        <v>1626</v>
      </c>
      <c r="D217" s="18" t="s">
        <v>1587</v>
      </c>
      <c r="E217" s="18" t="s">
        <v>6684</v>
      </c>
      <c r="F217" s="2">
        <f>+J217-I217</f>
        <v>30</v>
      </c>
      <c r="G217" s="2">
        <f ca="1">+TODAY()-I217</f>
        <v>14</v>
      </c>
      <c r="H217" s="15">
        <v>752400</v>
      </c>
      <c r="I217" s="1">
        <v>46106</v>
      </c>
      <c r="J217" s="1">
        <v>46136</v>
      </c>
      <c r="K217" s="18" t="s">
        <v>1589</v>
      </c>
      <c r="L217" s="18" t="s">
        <v>984</v>
      </c>
      <c r="M217" s="18" t="s">
        <v>19</v>
      </c>
      <c r="N217" s="18" t="s">
        <v>1627</v>
      </c>
      <c r="O217">
        <v>30</v>
      </c>
    </row>
    <row r="218" spans="1:15" x14ac:dyDescent="0.25">
      <c r="A218" s="18" t="s">
        <v>7276</v>
      </c>
      <c r="B218" s="18" t="s">
        <v>1625</v>
      </c>
      <c r="C218" s="18" t="s">
        <v>1626</v>
      </c>
      <c r="D218" s="18" t="s">
        <v>1587</v>
      </c>
      <c r="E218" s="18" t="s">
        <v>6685</v>
      </c>
      <c r="F218" s="2">
        <f>+J218-I218</f>
        <v>30</v>
      </c>
      <c r="G218" s="2">
        <f ca="1">+TODAY()-I218</f>
        <v>14</v>
      </c>
      <c r="H218" s="15">
        <v>2398435</v>
      </c>
      <c r="I218" s="1">
        <v>46106</v>
      </c>
      <c r="J218" s="1">
        <v>46136</v>
      </c>
      <c r="K218" s="18" t="s">
        <v>1589</v>
      </c>
      <c r="L218" s="18" t="s">
        <v>984</v>
      </c>
      <c r="M218" s="18" t="s">
        <v>19</v>
      </c>
      <c r="N218" s="18" t="s">
        <v>1627</v>
      </c>
      <c r="O218">
        <v>30</v>
      </c>
    </row>
    <row r="219" spans="1:15" x14ac:dyDescent="0.25">
      <c r="A219" s="18" t="s">
        <v>7276</v>
      </c>
      <c r="B219" s="18" t="s">
        <v>1625</v>
      </c>
      <c r="C219" s="18" t="s">
        <v>1626</v>
      </c>
      <c r="D219" s="18" t="s">
        <v>1587</v>
      </c>
      <c r="E219" s="18" t="s">
        <v>6686</v>
      </c>
      <c r="F219" s="2">
        <f>+J219-I219</f>
        <v>30</v>
      </c>
      <c r="G219" s="2">
        <f ca="1">+TODAY()-I219</f>
        <v>14</v>
      </c>
      <c r="H219" s="15">
        <v>1267006</v>
      </c>
      <c r="I219" s="1">
        <v>46106</v>
      </c>
      <c r="J219" s="1">
        <v>46136</v>
      </c>
      <c r="K219" s="18" t="s">
        <v>1589</v>
      </c>
      <c r="L219" s="18" t="s">
        <v>984</v>
      </c>
      <c r="M219" s="18" t="s">
        <v>19</v>
      </c>
      <c r="N219" s="18" t="s">
        <v>1627</v>
      </c>
      <c r="O219">
        <v>30</v>
      </c>
    </row>
    <row r="220" spans="1:15" x14ac:dyDescent="0.25">
      <c r="A220" s="18" t="s">
        <v>7276</v>
      </c>
      <c r="B220" s="18" t="s">
        <v>1625</v>
      </c>
      <c r="C220" s="18" t="s">
        <v>1626</v>
      </c>
      <c r="D220" s="18" t="s">
        <v>1587</v>
      </c>
      <c r="E220" s="18" t="s">
        <v>7817</v>
      </c>
      <c r="F220" s="2">
        <f>+J220-I220</f>
        <v>30</v>
      </c>
      <c r="G220" s="2">
        <f ca="1">+TODAY()-I220</f>
        <v>1</v>
      </c>
      <c r="H220" s="15">
        <v>1692358</v>
      </c>
      <c r="I220" s="1">
        <v>46119</v>
      </c>
      <c r="J220" s="1">
        <v>46149</v>
      </c>
      <c r="K220" s="18" t="s">
        <v>1589</v>
      </c>
      <c r="L220" s="18" t="s">
        <v>984</v>
      </c>
      <c r="M220" s="18" t="s">
        <v>19</v>
      </c>
      <c r="N220" s="18" t="s">
        <v>1627</v>
      </c>
      <c r="O220">
        <v>30</v>
      </c>
    </row>
    <row r="221" spans="1:15" x14ac:dyDescent="0.25">
      <c r="A221" s="18" t="s">
        <v>7276</v>
      </c>
      <c r="B221" s="18" t="s">
        <v>1625</v>
      </c>
      <c r="C221" s="18" t="s">
        <v>1626</v>
      </c>
      <c r="D221" s="18" t="s">
        <v>1587</v>
      </c>
      <c r="E221" s="18" t="s">
        <v>7818</v>
      </c>
      <c r="F221" s="2">
        <f>+J221-I221</f>
        <v>30</v>
      </c>
      <c r="G221" s="2">
        <f ca="1">+TODAY()-I221</f>
        <v>1</v>
      </c>
      <c r="H221" s="15">
        <v>512400</v>
      </c>
      <c r="I221" s="1">
        <v>46119</v>
      </c>
      <c r="J221" s="1">
        <v>46149</v>
      </c>
      <c r="K221" s="18" t="s">
        <v>1589</v>
      </c>
      <c r="L221" s="18" t="s">
        <v>984</v>
      </c>
      <c r="M221" s="18" t="s">
        <v>19</v>
      </c>
      <c r="N221" s="18" t="s">
        <v>1627</v>
      </c>
      <c r="O221">
        <v>30</v>
      </c>
    </row>
    <row r="222" spans="1:15" x14ac:dyDescent="0.25">
      <c r="A222" s="18" t="s">
        <v>7276</v>
      </c>
      <c r="B222" s="18" t="s">
        <v>1237</v>
      </c>
      <c r="C222" s="18" t="s">
        <v>1238</v>
      </c>
      <c r="D222" s="18" t="s">
        <v>340</v>
      </c>
      <c r="E222" s="18" t="s">
        <v>1239</v>
      </c>
      <c r="F222" s="2">
        <f>+J222-I222</f>
        <v>30</v>
      </c>
      <c r="G222" s="2">
        <f ca="1">+TODAY()-I222</f>
        <v>1091</v>
      </c>
      <c r="H222" s="15">
        <v>3086230</v>
      </c>
      <c r="I222" s="1">
        <v>45029</v>
      </c>
      <c r="J222" s="1">
        <v>45059</v>
      </c>
      <c r="K222" s="18" t="s">
        <v>1233</v>
      </c>
      <c r="L222" s="18" t="s">
        <v>18</v>
      </c>
      <c r="M222" s="18" t="s">
        <v>19</v>
      </c>
      <c r="N222" s="18" t="s">
        <v>1240</v>
      </c>
      <c r="O222">
        <v>30</v>
      </c>
    </row>
    <row r="223" spans="1:15" x14ac:dyDescent="0.25">
      <c r="A223" s="18" t="s">
        <v>7276</v>
      </c>
      <c r="B223" s="18" t="s">
        <v>1237</v>
      </c>
      <c r="C223" s="18" t="s">
        <v>1238</v>
      </c>
      <c r="D223" s="18" t="s">
        <v>340</v>
      </c>
      <c r="E223" s="18" t="s">
        <v>1241</v>
      </c>
      <c r="F223" s="2">
        <f>+J223-I223</f>
        <v>30</v>
      </c>
      <c r="G223" s="2">
        <f ca="1">+TODAY()-I223</f>
        <v>1091</v>
      </c>
      <c r="H223" s="15">
        <v>1355995</v>
      </c>
      <c r="I223" s="1">
        <v>45029</v>
      </c>
      <c r="J223" s="1">
        <v>45059</v>
      </c>
      <c r="K223" s="18" t="s">
        <v>1233</v>
      </c>
      <c r="L223" s="18" t="s">
        <v>18</v>
      </c>
      <c r="M223" s="18" t="s">
        <v>19</v>
      </c>
      <c r="N223" s="18" t="s">
        <v>1240</v>
      </c>
      <c r="O223">
        <v>30</v>
      </c>
    </row>
    <row r="224" spans="1:15" x14ac:dyDescent="0.25">
      <c r="A224" s="18" t="s">
        <v>7276</v>
      </c>
      <c r="B224" s="18" t="s">
        <v>1440</v>
      </c>
      <c r="C224" s="18" t="s">
        <v>1441</v>
      </c>
      <c r="D224" s="18" t="s">
        <v>1401</v>
      </c>
      <c r="E224" s="18" t="s">
        <v>5553</v>
      </c>
      <c r="F224" s="2">
        <f>+J224-I224</f>
        <v>30</v>
      </c>
      <c r="G224" s="2">
        <f ca="1">+TODAY()-I224</f>
        <v>34</v>
      </c>
      <c r="H224" s="15">
        <v>349032</v>
      </c>
      <c r="I224" s="1">
        <v>46086</v>
      </c>
      <c r="J224" s="1">
        <v>46116</v>
      </c>
      <c r="K224" s="18" t="s">
        <v>1403</v>
      </c>
      <c r="L224" s="18" t="s">
        <v>90</v>
      </c>
      <c r="M224" s="18" t="s">
        <v>19</v>
      </c>
      <c r="N224" s="18" t="s">
        <v>1442</v>
      </c>
      <c r="O224">
        <v>30</v>
      </c>
    </row>
    <row r="225" spans="1:15" x14ac:dyDescent="0.25">
      <c r="A225" s="18" t="s">
        <v>7276</v>
      </c>
      <c r="B225" s="18" t="s">
        <v>3947</v>
      </c>
      <c r="C225" s="18" t="s">
        <v>3948</v>
      </c>
      <c r="D225" s="18" t="s">
        <v>15</v>
      </c>
      <c r="E225" s="18" t="s">
        <v>7438</v>
      </c>
      <c r="F225" s="2">
        <f>+J225-I225</f>
        <v>15</v>
      </c>
      <c r="G225" s="2">
        <f ca="1">+TODAY()-I225</f>
        <v>1</v>
      </c>
      <c r="H225" s="15">
        <v>680506</v>
      </c>
      <c r="I225" s="1">
        <v>46119</v>
      </c>
      <c r="J225" s="1">
        <v>46134</v>
      </c>
      <c r="K225" s="18" t="s">
        <v>17</v>
      </c>
      <c r="L225" s="18" t="s">
        <v>317</v>
      </c>
      <c r="M225" s="18" t="s">
        <v>19</v>
      </c>
      <c r="N225" s="18" t="s">
        <v>3950</v>
      </c>
      <c r="O225">
        <v>15</v>
      </c>
    </row>
    <row r="226" spans="1:15" x14ac:dyDescent="0.25">
      <c r="A226" s="18" t="s">
        <v>7276</v>
      </c>
      <c r="B226" s="18" t="s">
        <v>1132</v>
      </c>
      <c r="C226" s="18" t="s">
        <v>1133</v>
      </c>
      <c r="D226" s="18" t="s">
        <v>1066</v>
      </c>
      <c r="E226" s="18" t="s">
        <v>6268</v>
      </c>
      <c r="F226" s="2">
        <f>+J226-I226</f>
        <v>15</v>
      </c>
      <c r="G226" s="2">
        <f ca="1">+TODAY()-I226</f>
        <v>18</v>
      </c>
      <c r="H226" s="15">
        <v>696049</v>
      </c>
      <c r="I226" s="1">
        <v>46102</v>
      </c>
      <c r="J226" s="1">
        <v>46117</v>
      </c>
      <c r="K226" s="18" t="s">
        <v>1068</v>
      </c>
      <c r="L226" s="18" t="s">
        <v>321</v>
      </c>
      <c r="M226" s="18" t="s">
        <v>19</v>
      </c>
      <c r="N226" s="18" t="s">
        <v>1134</v>
      </c>
      <c r="O226">
        <v>15</v>
      </c>
    </row>
    <row r="227" spans="1:15" x14ac:dyDescent="0.25">
      <c r="A227" s="18" t="s">
        <v>7276</v>
      </c>
      <c r="B227" s="18" t="s">
        <v>1132</v>
      </c>
      <c r="C227" s="18" t="s">
        <v>1133</v>
      </c>
      <c r="D227" s="18" t="s">
        <v>1066</v>
      </c>
      <c r="E227" s="18" t="s">
        <v>5735</v>
      </c>
      <c r="F227" s="2">
        <f>+J227-I227</f>
        <v>15</v>
      </c>
      <c r="G227" s="2">
        <f ca="1">+TODAY()-I227</f>
        <v>29</v>
      </c>
      <c r="H227" s="15">
        <v>380823</v>
      </c>
      <c r="I227" s="1">
        <v>46091</v>
      </c>
      <c r="J227" s="1">
        <v>46106</v>
      </c>
      <c r="K227" s="18" t="s">
        <v>1068</v>
      </c>
      <c r="L227" s="18" t="s">
        <v>321</v>
      </c>
      <c r="M227" s="18" t="s">
        <v>19</v>
      </c>
      <c r="N227" s="18" t="s">
        <v>1134</v>
      </c>
      <c r="O227">
        <v>15</v>
      </c>
    </row>
    <row r="228" spans="1:15" x14ac:dyDescent="0.25">
      <c r="A228" s="18" t="s">
        <v>7276</v>
      </c>
      <c r="B228" s="18" t="s">
        <v>920</v>
      </c>
      <c r="C228" s="18" t="s">
        <v>921</v>
      </c>
      <c r="D228" s="18" t="s">
        <v>916</v>
      </c>
      <c r="E228" s="18" t="s">
        <v>922</v>
      </c>
      <c r="F228" s="2">
        <f>+J228-I228</f>
        <v>30</v>
      </c>
      <c r="G228" s="2">
        <f ca="1">+TODAY()-I228</f>
        <v>631</v>
      </c>
      <c r="H228" s="15">
        <v>782383</v>
      </c>
      <c r="I228" s="1">
        <v>45489</v>
      </c>
      <c r="J228" s="1">
        <v>45519</v>
      </c>
      <c r="K228" s="18" t="s">
        <v>918</v>
      </c>
      <c r="L228" s="18" t="s">
        <v>312</v>
      </c>
      <c r="M228" s="18" t="s">
        <v>19</v>
      </c>
      <c r="N228" s="18" t="s">
        <v>923</v>
      </c>
      <c r="O228">
        <v>1</v>
      </c>
    </row>
    <row r="229" spans="1:15" x14ac:dyDescent="0.25">
      <c r="A229" s="18" t="s">
        <v>7276</v>
      </c>
      <c r="B229" s="18" t="s">
        <v>1268</v>
      </c>
      <c r="C229" s="18" t="s">
        <v>1269</v>
      </c>
      <c r="D229" s="18" t="s">
        <v>1259</v>
      </c>
      <c r="E229" s="18" t="s">
        <v>5982</v>
      </c>
      <c r="F229" s="2">
        <f>+J229-I229</f>
        <v>30</v>
      </c>
      <c r="G229" s="2">
        <f ca="1">+TODAY()-I229</f>
        <v>25</v>
      </c>
      <c r="H229" s="15">
        <v>4084478</v>
      </c>
      <c r="I229" s="1">
        <v>46095</v>
      </c>
      <c r="J229" s="1">
        <v>46125</v>
      </c>
      <c r="K229" s="18" t="s">
        <v>1063</v>
      </c>
      <c r="L229" s="18" t="s">
        <v>981</v>
      </c>
      <c r="M229" s="18" t="s">
        <v>19</v>
      </c>
      <c r="N229" s="18" t="s">
        <v>1270</v>
      </c>
      <c r="O229">
        <v>30</v>
      </c>
    </row>
    <row r="230" spans="1:15" x14ac:dyDescent="0.25">
      <c r="A230" s="18" t="s">
        <v>7276</v>
      </c>
      <c r="B230" s="18" t="s">
        <v>1268</v>
      </c>
      <c r="C230" s="18" t="s">
        <v>1269</v>
      </c>
      <c r="D230" s="18" t="s">
        <v>1259</v>
      </c>
      <c r="E230" s="18" t="s">
        <v>5550</v>
      </c>
      <c r="F230" s="2">
        <f>+J230-I230</f>
        <v>30</v>
      </c>
      <c r="G230" s="2">
        <f ca="1">+TODAY()-I230</f>
        <v>34</v>
      </c>
      <c r="H230" s="15">
        <v>524145</v>
      </c>
      <c r="I230" s="1">
        <v>46086</v>
      </c>
      <c r="J230" s="1">
        <v>46116</v>
      </c>
      <c r="K230" s="18" t="s">
        <v>1260</v>
      </c>
      <c r="L230" s="18" t="s">
        <v>981</v>
      </c>
      <c r="M230" s="18" t="s">
        <v>19</v>
      </c>
      <c r="N230" s="18" t="s">
        <v>1270</v>
      </c>
      <c r="O230">
        <v>30</v>
      </c>
    </row>
    <row r="231" spans="1:15" x14ac:dyDescent="0.25">
      <c r="A231" s="18" t="s">
        <v>7276</v>
      </c>
      <c r="B231" s="18" t="s">
        <v>1268</v>
      </c>
      <c r="C231" s="18" t="s">
        <v>1269</v>
      </c>
      <c r="D231" s="18" t="s">
        <v>1259</v>
      </c>
      <c r="E231" s="18" t="s">
        <v>5551</v>
      </c>
      <c r="F231" s="2">
        <f>+J231-I231</f>
        <v>30</v>
      </c>
      <c r="G231" s="2">
        <f ca="1">+TODAY()-I231</f>
        <v>34</v>
      </c>
      <c r="H231" s="15">
        <v>4506931</v>
      </c>
      <c r="I231" s="1">
        <v>46086</v>
      </c>
      <c r="J231" s="1">
        <v>46116</v>
      </c>
      <c r="K231" s="18" t="s">
        <v>1260</v>
      </c>
      <c r="L231" s="18" t="s">
        <v>981</v>
      </c>
      <c r="M231" s="18" t="s">
        <v>19</v>
      </c>
      <c r="N231" s="18" t="s">
        <v>1270</v>
      </c>
      <c r="O231">
        <v>30</v>
      </c>
    </row>
    <row r="232" spans="1:15" x14ac:dyDescent="0.25">
      <c r="A232" s="18" t="s">
        <v>7276</v>
      </c>
      <c r="B232" s="18" t="s">
        <v>1268</v>
      </c>
      <c r="C232" s="18" t="s">
        <v>1269</v>
      </c>
      <c r="D232" s="18" t="s">
        <v>1259</v>
      </c>
      <c r="E232" s="18" t="s">
        <v>5121</v>
      </c>
      <c r="F232" s="2">
        <f>+J232-I232</f>
        <v>30</v>
      </c>
      <c r="G232" s="2">
        <f ca="1">+TODAY()-I232</f>
        <v>55</v>
      </c>
      <c r="H232" s="15">
        <v>827298</v>
      </c>
      <c r="I232" s="1">
        <v>46065</v>
      </c>
      <c r="J232" s="1">
        <v>46095</v>
      </c>
      <c r="K232" s="18" t="s">
        <v>1260</v>
      </c>
      <c r="L232" s="18" t="s">
        <v>981</v>
      </c>
      <c r="M232" s="18" t="s">
        <v>19</v>
      </c>
      <c r="N232" s="18" t="s">
        <v>1270</v>
      </c>
      <c r="O232">
        <v>30</v>
      </c>
    </row>
    <row r="233" spans="1:15" x14ac:dyDescent="0.25">
      <c r="A233" s="18" t="s">
        <v>7276</v>
      </c>
      <c r="B233" s="18" t="s">
        <v>1268</v>
      </c>
      <c r="C233" s="18" t="s">
        <v>1269</v>
      </c>
      <c r="D233" s="18" t="s">
        <v>1259</v>
      </c>
      <c r="E233" s="18" t="s">
        <v>5122</v>
      </c>
      <c r="F233" s="2">
        <f>+J233-I233</f>
        <v>30</v>
      </c>
      <c r="G233" s="2">
        <f ca="1">+TODAY()-I233</f>
        <v>55</v>
      </c>
      <c r="H233" s="15">
        <v>2503278</v>
      </c>
      <c r="I233" s="1">
        <v>46065</v>
      </c>
      <c r="J233" s="1">
        <v>46095</v>
      </c>
      <c r="K233" s="18" t="s">
        <v>1260</v>
      </c>
      <c r="L233" s="18" t="s">
        <v>981</v>
      </c>
      <c r="M233" s="18" t="s">
        <v>19</v>
      </c>
      <c r="N233" s="18" t="s">
        <v>1270</v>
      </c>
      <c r="O233">
        <v>30</v>
      </c>
    </row>
    <row r="234" spans="1:15" x14ac:dyDescent="0.25">
      <c r="A234" s="18" t="s">
        <v>7276</v>
      </c>
      <c r="B234" s="18" t="s">
        <v>1268</v>
      </c>
      <c r="C234" s="18" t="s">
        <v>1269</v>
      </c>
      <c r="D234" s="18" t="s">
        <v>1259</v>
      </c>
      <c r="E234" s="18" t="s">
        <v>5168</v>
      </c>
      <c r="F234" s="2">
        <f>+J234-I234</f>
        <v>30</v>
      </c>
      <c r="G234" s="2">
        <f ca="1">+TODAY()-I234</f>
        <v>55</v>
      </c>
      <c r="H234" s="15">
        <v>1952055</v>
      </c>
      <c r="I234" s="1">
        <v>46065</v>
      </c>
      <c r="J234" s="1">
        <v>46095</v>
      </c>
      <c r="K234" s="18" t="s">
        <v>1738</v>
      </c>
      <c r="L234" s="18" t="s">
        <v>981</v>
      </c>
      <c r="M234" s="18" t="s">
        <v>19</v>
      </c>
      <c r="N234" s="18" t="s">
        <v>1270</v>
      </c>
      <c r="O234">
        <v>30</v>
      </c>
    </row>
    <row r="235" spans="1:15" x14ac:dyDescent="0.25">
      <c r="A235" s="18" t="s">
        <v>7276</v>
      </c>
      <c r="B235" s="18" t="s">
        <v>3467</v>
      </c>
      <c r="C235" s="18" t="s">
        <v>3468</v>
      </c>
      <c r="D235" s="18" t="s">
        <v>204</v>
      </c>
      <c r="E235" s="18" t="s">
        <v>6463</v>
      </c>
      <c r="F235" s="2">
        <f>+J235-I235</f>
        <v>30</v>
      </c>
      <c r="G235" s="2">
        <f ca="1">+TODAY()-I235</f>
        <v>13</v>
      </c>
      <c r="H235" s="15">
        <v>1190073</v>
      </c>
      <c r="I235" s="1">
        <v>46107</v>
      </c>
      <c r="J235" s="1">
        <v>46137</v>
      </c>
      <c r="K235" s="18" t="s">
        <v>343</v>
      </c>
      <c r="L235" s="18" t="s">
        <v>47</v>
      </c>
      <c r="M235" s="18" t="s">
        <v>19</v>
      </c>
      <c r="N235" s="18" t="s">
        <v>3470</v>
      </c>
      <c r="O235">
        <v>30</v>
      </c>
    </row>
    <row r="236" spans="1:15" x14ac:dyDescent="0.25">
      <c r="A236" s="18" t="s">
        <v>7276</v>
      </c>
      <c r="B236" s="18" t="s">
        <v>1546</v>
      </c>
      <c r="C236" s="18" t="s">
        <v>1547</v>
      </c>
      <c r="D236" s="18" t="s">
        <v>1527</v>
      </c>
      <c r="E236" s="18" t="s">
        <v>6058</v>
      </c>
      <c r="F236" s="2">
        <f>+J236-I236</f>
        <v>30</v>
      </c>
      <c r="G236" s="2">
        <f ca="1">+TODAY()-I236</f>
        <v>27</v>
      </c>
      <c r="H236" s="15">
        <v>848542</v>
      </c>
      <c r="I236" s="1">
        <v>46093</v>
      </c>
      <c r="J236" s="1">
        <v>46123</v>
      </c>
      <c r="K236" s="18" t="s">
        <v>1528</v>
      </c>
      <c r="L236" s="18" t="s">
        <v>207</v>
      </c>
      <c r="M236" s="18" t="s">
        <v>19</v>
      </c>
      <c r="N236" s="18" t="s">
        <v>1548</v>
      </c>
      <c r="O236">
        <v>0</v>
      </c>
    </row>
    <row r="237" spans="1:15" x14ac:dyDescent="0.25">
      <c r="A237" s="18" t="s">
        <v>7276</v>
      </c>
      <c r="B237" s="18" t="s">
        <v>1546</v>
      </c>
      <c r="C237" s="18" t="s">
        <v>1547</v>
      </c>
      <c r="D237" s="18" t="s">
        <v>1527</v>
      </c>
      <c r="E237" s="18" t="s">
        <v>6059</v>
      </c>
      <c r="F237" s="2">
        <f>+J237-I237</f>
        <v>30</v>
      </c>
      <c r="G237" s="2">
        <f ca="1">+TODAY()-I237</f>
        <v>27</v>
      </c>
      <c r="H237" s="15">
        <v>3438819</v>
      </c>
      <c r="I237" s="1">
        <v>46093</v>
      </c>
      <c r="J237" s="1">
        <v>46123</v>
      </c>
      <c r="K237" s="18" t="s">
        <v>1528</v>
      </c>
      <c r="L237" s="18" t="s">
        <v>207</v>
      </c>
      <c r="M237" s="18" t="s">
        <v>19</v>
      </c>
      <c r="N237" s="18" t="s">
        <v>1548</v>
      </c>
      <c r="O237">
        <v>0</v>
      </c>
    </row>
    <row r="238" spans="1:15" x14ac:dyDescent="0.25">
      <c r="A238" s="18" t="s">
        <v>7276</v>
      </c>
      <c r="B238" s="18" t="s">
        <v>1546</v>
      </c>
      <c r="C238" s="18" t="s">
        <v>1547</v>
      </c>
      <c r="D238" s="18" t="s">
        <v>1527</v>
      </c>
      <c r="E238" s="18" t="s">
        <v>6621</v>
      </c>
      <c r="F238" s="2">
        <f>+J238-I238</f>
        <v>30</v>
      </c>
      <c r="G238" s="2">
        <f ca="1">+TODAY()-I238</f>
        <v>13</v>
      </c>
      <c r="H238" s="15">
        <v>1489018</v>
      </c>
      <c r="I238" s="1">
        <v>46107</v>
      </c>
      <c r="J238" s="1">
        <v>46137</v>
      </c>
      <c r="K238" s="18" t="s">
        <v>1528</v>
      </c>
      <c r="L238" s="18" t="s">
        <v>207</v>
      </c>
      <c r="M238" s="18" t="s">
        <v>19</v>
      </c>
      <c r="N238" s="18" t="s">
        <v>1548</v>
      </c>
      <c r="O238">
        <v>0</v>
      </c>
    </row>
    <row r="239" spans="1:15" x14ac:dyDescent="0.25">
      <c r="A239" s="18" t="s">
        <v>7276</v>
      </c>
      <c r="B239" s="18" t="s">
        <v>1546</v>
      </c>
      <c r="C239" s="18" t="s">
        <v>1547</v>
      </c>
      <c r="D239" s="18" t="s">
        <v>1527</v>
      </c>
      <c r="E239" s="18" t="s">
        <v>6622</v>
      </c>
      <c r="F239" s="2">
        <f>+J239-I239</f>
        <v>30</v>
      </c>
      <c r="G239" s="2">
        <f ca="1">+TODAY()-I239</f>
        <v>13</v>
      </c>
      <c r="H239" s="15">
        <v>1008032</v>
      </c>
      <c r="I239" s="1">
        <v>46107</v>
      </c>
      <c r="J239" s="1">
        <v>46137</v>
      </c>
      <c r="K239" s="18" t="s">
        <v>1528</v>
      </c>
      <c r="L239" s="18" t="s">
        <v>207</v>
      </c>
      <c r="M239" s="18" t="s">
        <v>19</v>
      </c>
      <c r="N239" s="18" t="s">
        <v>1548</v>
      </c>
      <c r="O239">
        <v>0</v>
      </c>
    </row>
    <row r="240" spans="1:15" x14ac:dyDescent="0.25">
      <c r="A240" s="18" t="s">
        <v>7276</v>
      </c>
      <c r="B240" s="18" t="s">
        <v>7170</v>
      </c>
      <c r="C240" s="18" t="s">
        <v>7171</v>
      </c>
      <c r="D240" s="18" t="s">
        <v>1250</v>
      </c>
      <c r="E240" s="18" t="s">
        <v>7172</v>
      </c>
      <c r="F240" s="2">
        <f>+J240-I240</f>
        <v>1</v>
      </c>
      <c r="G240" s="2">
        <f ca="1">+TODAY()-I240</f>
        <v>9</v>
      </c>
      <c r="H240" s="15">
        <v>299600</v>
      </c>
      <c r="I240" s="1">
        <v>46111</v>
      </c>
      <c r="J240" s="1">
        <v>46112</v>
      </c>
      <c r="K240" s="18" t="s">
        <v>1243</v>
      </c>
      <c r="L240" s="18" t="s">
        <v>312</v>
      </c>
      <c r="M240" s="18" t="s">
        <v>19</v>
      </c>
      <c r="N240" s="18" t="s">
        <v>7173</v>
      </c>
      <c r="O240">
        <v>1</v>
      </c>
    </row>
    <row r="241" spans="1:15" x14ac:dyDescent="0.25">
      <c r="A241" s="18" t="s">
        <v>7276</v>
      </c>
      <c r="B241" s="18" t="s">
        <v>7170</v>
      </c>
      <c r="C241" s="18" t="s">
        <v>7171</v>
      </c>
      <c r="D241" s="18" t="s">
        <v>1250</v>
      </c>
      <c r="E241" s="18" t="s">
        <v>7174</v>
      </c>
      <c r="F241" s="2">
        <f>+J241-I241</f>
        <v>1</v>
      </c>
      <c r="G241" s="2">
        <f ca="1">+TODAY()-I241</f>
        <v>9</v>
      </c>
      <c r="H241" s="15">
        <v>69653</v>
      </c>
      <c r="I241" s="1">
        <v>46111</v>
      </c>
      <c r="J241" s="1">
        <v>46112</v>
      </c>
      <c r="K241" s="18" t="s">
        <v>1243</v>
      </c>
      <c r="L241" s="18" t="s">
        <v>312</v>
      </c>
      <c r="M241" s="18" t="s">
        <v>19</v>
      </c>
      <c r="N241" s="18" t="s">
        <v>7173</v>
      </c>
      <c r="O241">
        <v>1</v>
      </c>
    </row>
    <row r="242" spans="1:15" x14ac:dyDescent="0.25">
      <c r="A242" s="18" t="s">
        <v>7276</v>
      </c>
      <c r="B242" s="18" t="s">
        <v>189</v>
      </c>
      <c r="C242" s="18" t="s">
        <v>190</v>
      </c>
      <c r="D242" s="18" t="s">
        <v>15</v>
      </c>
      <c r="E242" s="18" t="s">
        <v>5206</v>
      </c>
      <c r="F242" s="2">
        <f>+J242-I242</f>
        <v>1</v>
      </c>
      <c r="G242" s="2">
        <f ca="1">+TODAY()-I242</f>
        <v>40</v>
      </c>
      <c r="H242" s="15">
        <v>28080</v>
      </c>
      <c r="I242" s="1">
        <v>46080</v>
      </c>
      <c r="J242" s="1">
        <v>46081</v>
      </c>
      <c r="K242" s="18" t="s">
        <v>17</v>
      </c>
      <c r="L242" s="18" t="s">
        <v>109</v>
      </c>
      <c r="M242" s="18" t="s">
        <v>19</v>
      </c>
      <c r="N242" s="18" t="s">
        <v>191</v>
      </c>
      <c r="O242">
        <v>30</v>
      </c>
    </row>
    <row r="243" spans="1:15" x14ac:dyDescent="0.25">
      <c r="A243" s="18" t="s">
        <v>7276</v>
      </c>
      <c r="B243" s="18" t="s">
        <v>189</v>
      </c>
      <c r="C243" s="18" t="s">
        <v>190</v>
      </c>
      <c r="D243" s="18" t="s">
        <v>15</v>
      </c>
      <c r="E243" s="18" t="s">
        <v>5612</v>
      </c>
      <c r="F243" s="2">
        <f>+J243-I243</f>
        <v>15</v>
      </c>
      <c r="G243" s="2">
        <f ca="1">+TODAY()-I243</f>
        <v>32</v>
      </c>
      <c r="H243" s="15">
        <v>1021759</v>
      </c>
      <c r="I243" s="1">
        <v>46088</v>
      </c>
      <c r="J243" s="1">
        <v>46103</v>
      </c>
      <c r="K243" s="18" t="s">
        <v>17</v>
      </c>
      <c r="L243" s="18" t="s">
        <v>109</v>
      </c>
      <c r="M243" s="18" t="s">
        <v>19</v>
      </c>
      <c r="N243" s="18" t="s">
        <v>191</v>
      </c>
      <c r="O243">
        <v>30</v>
      </c>
    </row>
    <row r="244" spans="1:15" x14ac:dyDescent="0.25">
      <c r="A244" s="18" t="s">
        <v>7276</v>
      </c>
      <c r="B244" s="18" t="s">
        <v>189</v>
      </c>
      <c r="C244" s="18" t="s">
        <v>190</v>
      </c>
      <c r="D244" s="18" t="s">
        <v>15</v>
      </c>
      <c r="E244" s="18" t="s">
        <v>5626</v>
      </c>
      <c r="F244" s="2">
        <f>+J244-I244</f>
        <v>30</v>
      </c>
      <c r="G244" s="2">
        <f ca="1">+TODAY()-I244</f>
        <v>29</v>
      </c>
      <c r="H244" s="15">
        <v>1572320</v>
      </c>
      <c r="I244" s="1">
        <v>46091</v>
      </c>
      <c r="J244" s="1">
        <v>46121</v>
      </c>
      <c r="K244" s="18" t="s">
        <v>17</v>
      </c>
      <c r="L244" s="18" t="s">
        <v>109</v>
      </c>
      <c r="M244" s="18" t="s">
        <v>19</v>
      </c>
      <c r="N244" s="18" t="s">
        <v>191</v>
      </c>
      <c r="O244">
        <v>30</v>
      </c>
    </row>
    <row r="245" spans="1:15" x14ac:dyDescent="0.25">
      <c r="A245" s="18" t="s">
        <v>7276</v>
      </c>
      <c r="B245" s="18" t="s">
        <v>189</v>
      </c>
      <c r="C245" s="18" t="s">
        <v>190</v>
      </c>
      <c r="D245" s="18" t="s">
        <v>15</v>
      </c>
      <c r="E245" s="18" t="s">
        <v>6190</v>
      </c>
      <c r="F245" s="2">
        <f>+J245-I245</f>
        <v>30</v>
      </c>
      <c r="G245" s="2">
        <f ca="1">+TODAY()-I245</f>
        <v>18</v>
      </c>
      <c r="H245" s="15">
        <v>1324186</v>
      </c>
      <c r="I245" s="1">
        <v>46102</v>
      </c>
      <c r="J245" s="1">
        <v>46132</v>
      </c>
      <c r="K245" s="18" t="s">
        <v>17</v>
      </c>
      <c r="L245" s="18" t="s">
        <v>109</v>
      </c>
      <c r="M245" s="18" t="s">
        <v>19</v>
      </c>
      <c r="N245" s="18" t="s">
        <v>191</v>
      </c>
      <c r="O245">
        <v>30</v>
      </c>
    </row>
    <row r="246" spans="1:15" x14ac:dyDescent="0.25">
      <c r="A246" s="18" t="s">
        <v>7276</v>
      </c>
      <c r="B246" s="18" t="s">
        <v>189</v>
      </c>
      <c r="C246" s="18" t="s">
        <v>190</v>
      </c>
      <c r="D246" s="18" t="s">
        <v>15</v>
      </c>
      <c r="E246" s="18" t="s">
        <v>6715</v>
      </c>
      <c r="F246" s="2">
        <f>+J246-I246</f>
        <v>15</v>
      </c>
      <c r="G246" s="2">
        <f ca="1">+TODAY()-I246</f>
        <v>12</v>
      </c>
      <c r="H246" s="15">
        <v>3263362</v>
      </c>
      <c r="I246" s="1">
        <v>46108</v>
      </c>
      <c r="J246" s="1">
        <v>46123</v>
      </c>
      <c r="K246" s="18" t="s">
        <v>17</v>
      </c>
      <c r="L246" s="18" t="s">
        <v>109</v>
      </c>
      <c r="M246" s="18" t="s">
        <v>19</v>
      </c>
      <c r="N246" s="18" t="s">
        <v>191</v>
      </c>
      <c r="O246">
        <v>30</v>
      </c>
    </row>
    <row r="247" spans="1:15" x14ac:dyDescent="0.25">
      <c r="A247" s="18" t="s">
        <v>7276</v>
      </c>
      <c r="B247" s="18" t="s">
        <v>189</v>
      </c>
      <c r="C247" s="18" t="s">
        <v>190</v>
      </c>
      <c r="D247" s="18" t="s">
        <v>15</v>
      </c>
      <c r="E247" s="18" t="s">
        <v>6718</v>
      </c>
      <c r="F247" s="2">
        <f>+J247-I247</f>
        <v>30</v>
      </c>
      <c r="G247" s="2">
        <f ca="1">+TODAY()-I247</f>
        <v>11</v>
      </c>
      <c r="H247" s="15">
        <v>1977329</v>
      </c>
      <c r="I247" s="1">
        <v>46109</v>
      </c>
      <c r="J247" s="1">
        <v>46139</v>
      </c>
      <c r="K247" s="18" t="s">
        <v>17</v>
      </c>
      <c r="L247" s="18" t="s">
        <v>109</v>
      </c>
      <c r="M247" s="18" t="s">
        <v>19</v>
      </c>
      <c r="N247" s="18" t="s">
        <v>191</v>
      </c>
      <c r="O247">
        <v>30</v>
      </c>
    </row>
    <row r="248" spans="1:15" x14ac:dyDescent="0.25">
      <c r="A248" s="18" t="s">
        <v>7276</v>
      </c>
      <c r="B248" s="18" t="s">
        <v>189</v>
      </c>
      <c r="C248" s="18" t="s">
        <v>190</v>
      </c>
      <c r="D248" s="18" t="s">
        <v>15</v>
      </c>
      <c r="E248" s="18" t="s">
        <v>5925</v>
      </c>
      <c r="F248" s="2">
        <f>+J248-I248</f>
        <v>30</v>
      </c>
      <c r="G248" s="2">
        <f ca="1">+TODAY()-I248</f>
        <v>23</v>
      </c>
      <c r="H248" s="15">
        <v>1362149</v>
      </c>
      <c r="I248" s="1">
        <v>46097</v>
      </c>
      <c r="J248" s="1">
        <v>46127</v>
      </c>
      <c r="K248" s="18" t="s">
        <v>17</v>
      </c>
      <c r="L248" s="18" t="s">
        <v>109</v>
      </c>
      <c r="M248" s="18" t="s">
        <v>19</v>
      </c>
      <c r="N248" s="18" t="s">
        <v>191</v>
      </c>
      <c r="O248">
        <v>30</v>
      </c>
    </row>
    <row r="249" spans="1:15" x14ac:dyDescent="0.25">
      <c r="A249" s="18" t="s">
        <v>7276</v>
      </c>
      <c r="B249" s="18" t="s">
        <v>5457</v>
      </c>
      <c r="C249" s="18" t="s">
        <v>5458</v>
      </c>
      <c r="D249" s="18" t="s">
        <v>1118</v>
      </c>
      <c r="E249" s="18" t="s">
        <v>5459</v>
      </c>
      <c r="F249" s="2">
        <f>+J249-I249</f>
        <v>30</v>
      </c>
      <c r="G249" s="2">
        <f ca="1">+TODAY()-I249</f>
        <v>37</v>
      </c>
      <c r="H249" s="15">
        <v>1146384</v>
      </c>
      <c r="I249" s="1">
        <v>46083</v>
      </c>
      <c r="J249" s="1">
        <v>46113</v>
      </c>
      <c r="K249" s="18" t="s">
        <v>1144</v>
      </c>
      <c r="L249" s="18" t="s">
        <v>207</v>
      </c>
      <c r="M249" s="18" t="s">
        <v>19</v>
      </c>
      <c r="N249" s="18" t="s">
        <v>5460</v>
      </c>
      <c r="O249">
        <v>30</v>
      </c>
    </row>
    <row r="250" spans="1:15" x14ac:dyDescent="0.25">
      <c r="A250" s="18" t="s">
        <v>7276</v>
      </c>
      <c r="B250" s="18" t="s">
        <v>5457</v>
      </c>
      <c r="C250" s="18" t="s">
        <v>5458</v>
      </c>
      <c r="D250" s="18" t="s">
        <v>1118</v>
      </c>
      <c r="E250" s="18" t="s">
        <v>5999</v>
      </c>
      <c r="F250" s="2">
        <f>+J250-I250</f>
        <v>30</v>
      </c>
      <c r="G250" s="2">
        <f ca="1">+TODAY()-I250</f>
        <v>25</v>
      </c>
      <c r="H250" s="15">
        <v>1009093</v>
      </c>
      <c r="I250" s="1">
        <v>46095</v>
      </c>
      <c r="J250" s="1">
        <v>46125</v>
      </c>
      <c r="K250" s="18" t="s">
        <v>1144</v>
      </c>
      <c r="L250" s="18" t="s">
        <v>207</v>
      </c>
      <c r="M250" s="18" t="s">
        <v>19</v>
      </c>
      <c r="N250" s="18" t="s">
        <v>5460</v>
      </c>
      <c r="O250">
        <v>30</v>
      </c>
    </row>
    <row r="251" spans="1:15" x14ac:dyDescent="0.25">
      <c r="A251" s="18" t="s">
        <v>7276</v>
      </c>
      <c r="B251" s="18" t="s">
        <v>7127</v>
      </c>
      <c r="C251" s="18" t="s">
        <v>7128</v>
      </c>
      <c r="D251" s="18" t="s">
        <v>1201</v>
      </c>
      <c r="E251" s="18" t="s">
        <v>7129</v>
      </c>
      <c r="F251" s="2">
        <f>+J251-I251</f>
        <v>1</v>
      </c>
      <c r="G251" s="2">
        <f ca="1">+TODAY()-I251</f>
        <v>8</v>
      </c>
      <c r="H251" s="15">
        <v>50845</v>
      </c>
      <c r="I251" s="1">
        <v>46112</v>
      </c>
      <c r="J251" s="1">
        <v>46113</v>
      </c>
      <c r="K251" s="18" t="s">
        <v>1202</v>
      </c>
      <c r="L251" s="18" t="s">
        <v>321</v>
      </c>
      <c r="M251" s="18" t="s">
        <v>19</v>
      </c>
      <c r="N251" s="18" t="s">
        <v>7130</v>
      </c>
      <c r="O251">
        <v>30</v>
      </c>
    </row>
    <row r="252" spans="1:15" x14ac:dyDescent="0.25">
      <c r="A252" s="18" t="s">
        <v>7276</v>
      </c>
      <c r="B252" s="18" t="s">
        <v>208</v>
      </c>
      <c r="C252" s="18" t="s">
        <v>209</v>
      </c>
      <c r="D252" s="18" t="s">
        <v>46</v>
      </c>
      <c r="E252" s="18" t="s">
        <v>6796</v>
      </c>
      <c r="F252" s="2">
        <f>+J252-I252</f>
        <v>30</v>
      </c>
      <c r="G252" s="2">
        <f ca="1">+TODAY()-I252</f>
        <v>8</v>
      </c>
      <c r="H252" s="15">
        <v>54007</v>
      </c>
      <c r="I252" s="1">
        <v>46112</v>
      </c>
      <c r="J252" s="1">
        <v>46142</v>
      </c>
      <c r="K252" s="18" t="s">
        <v>17</v>
      </c>
      <c r="L252" s="18" t="s">
        <v>32</v>
      </c>
      <c r="M252" s="18" t="s">
        <v>19</v>
      </c>
      <c r="N252" s="18" t="s">
        <v>210</v>
      </c>
      <c r="O252">
        <v>30</v>
      </c>
    </row>
    <row r="253" spans="1:15" x14ac:dyDescent="0.25">
      <c r="A253" s="18" t="s">
        <v>7276</v>
      </c>
      <c r="B253" s="18" t="s">
        <v>208</v>
      </c>
      <c r="C253" s="18" t="s">
        <v>209</v>
      </c>
      <c r="D253" s="18" t="s">
        <v>46</v>
      </c>
      <c r="E253" s="18" t="s">
        <v>6797</v>
      </c>
      <c r="F253" s="2">
        <f>+J253-I253</f>
        <v>30</v>
      </c>
      <c r="G253" s="2">
        <f ca="1">+TODAY()-I253</f>
        <v>8</v>
      </c>
      <c r="H253" s="15">
        <v>1186497</v>
      </c>
      <c r="I253" s="1">
        <v>46112</v>
      </c>
      <c r="J253" s="1">
        <v>46142</v>
      </c>
      <c r="K253" s="18" t="s">
        <v>17</v>
      </c>
      <c r="L253" s="18" t="s">
        <v>32</v>
      </c>
      <c r="M253" s="18" t="s">
        <v>19</v>
      </c>
      <c r="N253" s="18" t="s">
        <v>210</v>
      </c>
      <c r="O253">
        <v>30</v>
      </c>
    </row>
    <row r="254" spans="1:15" x14ac:dyDescent="0.25">
      <c r="A254" s="18" t="s">
        <v>7276</v>
      </c>
      <c r="B254" s="18" t="s">
        <v>4882</v>
      </c>
      <c r="C254" s="18" t="s">
        <v>4883</v>
      </c>
      <c r="D254" s="18" t="s">
        <v>916</v>
      </c>
      <c r="E254" s="18" t="s">
        <v>7459</v>
      </c>
      <c r="F254" s="2">
        <f>+J254-I254</f>
        <v>1</v>
      </c>
      <c r="G254" s="2">
        <f ca="1">+TODAY()-I254</f>
        <v>7</v>
      </c>
      <c r="H254" s="15">
        <v>178780</v>
      </c>
      <c r="I254" s="1">
        <v>46113</v>
      </c>
      <c r="J254" s="1">
        <v>46114</v>
      </c>
      <c r="K254" s="18" t="s">
        <v>918</v>
      </c>
      <c r="L254" s="18" t="s">
        <v>312</v>
      </c>
      <c r="M254" s="18" t="s">
        <v>19</v>
      </c>
      <c r="N254" s="18" t="s">
        <v>4885</v>
      </c>
      <c r="O254">
        <v>1</v>
      </c>
    </row>
    <row r="255" spans="1:15" x14ac:dyDescent="0.25">
      <c r="A255" s="18" t="s">
        <v>7276</v>
      </c>
      <c r="B255" s="18" t="s">
        <v>4882</v>
      </c>
      <c r="C255" s="18" t="s">
        <v>4883</v>
      </c>
      <c r="D255" s="18" t="s">
        <v>916</v>
      </c>
      <c r="E255" s="18" t="s">
        <v>7776</v>
      </c>
      <c r="F255" s="2">
        <f>+J255-I255</f>
        <v>1</v>
      </c>
      <c r="G255" s="2">
        <f ca="1">+TODAY()-I255</f>
        <v>1</v>
      </c>
      <c r="H255" s="15">
        <v>114542</v>
      </c>
      <c r="I255" s="1">
        <v>46119</v>
      </c>
      <c r="J255" s="1">
        <v>46120</v>
      </c>
      <c r="K255" s="18" t="s">
        <v>918</v>
      </c>
      <c r="L255" s="18" t="s">
        <v>312</v>
      </c>
      <c r="M255" s="18" t="s">
        <v>19</v>
      </c>
      <c r="N255" s="18" t="s">
        <v>4885</v>
      </c>
      <c r="O255">
        <v>1</v>
      </c>
    </row>
    <row r="256" spans="1:15" x14ac:dyDescent="0.25">
      <c r="A256" s="18" t="s">
        <v>7276</v>
      </c>
      <c r="B256" s="18" t="s">
        <v>183</v>
      </c>
      <c r="C256" s="18" t="s">
        <v>184</v>
      </c>
      <c r="D256" s="18" t="s">
        <v>15</v>
      </c>
      <c r="E256" s="18" t="s">
        <v>5621</v>
      </c>
      <c r="F256" s="2">
        <f>+J256-I256</f>
        <v>30</v>
      </c>
      <c r="G256" s="2">
        <f ca="1">+TODAY()-I256</f>
        <v>29</v>
      </c>
      <c r="H256" s="15">
        <v>380407</v>
      </c>
      <c r="I256" s="1">
        <v>46091</v>
      </c>
      <c r="J256" s="1">
        <v>46121</v>
      </c>
      <c r="K256" s="18" t="s">
        <v>17</v>
      </c>
      <c r="L256" s="18" t="s">
        <v>32</v>
      </c>
      <c r="M256" s="18" t="s">
        <v>19</v>
      </c>
      <c r="N256" s="18" t="s">
        <v>185</v>
      </c>
      <c r="O256">
        <v>30</v>
      </c>
    </row>
    <row r="257" spans="1:15" x14ac:dyDescent="0.25">
      <c r="A257" s="18" t="s">
        <v>7276</v>
      </c>
      <c r="B257" s="18" t="s">
        <v>183</v>
      </c>
      <c r="C257" s="18" t="s">
        <v>184</v>
      </c>
      <c r="D257" s="18" t="s">
        <v>15</v>
      </c>
      <c r="E257" s="18" t="s">
        <v>7331</v>
      </c>
      <c r="F257" s="2">
        <f>+J257-I257</f>
        <v>10</v>
      </c>
      <c r="G257" s="2">
        <f ca="1">+TODAY()-I257</f>
        <v>2</v>
      </c>
      <c r="H257" s="15">
        <v>420000</v>
      </c>
      <c r="I257" s="1">
        <v>46118</v>
      </c>
      <c r="J257" s="1">
        <v>46128</v>
      </c>
      <c r="K257" s="18" t="s">
        <v>17</v>
      </c>
      <c r="L257" s="18" t="s">
        <v>32</v>
      </c>
      <c r="M257" s="18" t="s">
        <v>19</v>
      </c>
      <c r="N257" s="18" t="s">
        <v>185</v>
      </c>
      <c r="O257">
        <v>30</v>
      </c>
    </row>
    <row r="258" spans="1:15" x14ac:dyDescent="0.25">
      <c r="A258" s="18" t="s">
        <v>7276</v>
      </c>
      <c r="B258" s="18" t="s">
        <v>183</v>
      </c>
      <c r="C258" s="18" t="s">
        <v>184</v>
      </c>
      <c r="D258" s="18" t="s">
        <v>15</v>
      </c>
      <c r="E258" s="18" t="s">
        <v>7408</v>
      </c>
      <c r="F258" s="2">
        <f>+J258-I258</f>
        <v>10</v>
      </c>
      <c r="G258" s="2">
        <f ca="1">+TODAY()-I258</f>
        <v>2</v>
      </c>
      <c r="H258" s="15">
        <v>420000</v>
      </c>
      <c r="I258" s="1">
        <v>46118</v>
      </c>
      <c r="J258" s="1">
        <v>46128</v>
      </c>
      <c r="K258" s="18" t="s">
        <v>17</v>
      </c>
      <c r="L258" s="18" t="s">
        <v>32</v>
      </c>
      <c r="M258" s="18" t="s">
        <v>19</v>
      </c>
      <c r="N258" s="18" t="s">
        <v>185</v>
      </c>
      <c r="O258">
        <v>30</v>
      </c>
    </row>
    <row r="259" spans="1:15" x14ac:dyDescent="0.25">
      <c r="A259" s="18" t="s">
        <v>7276</v>
      </c>
      <c r="B259" s="18" t="s">
        <v>2093</v>
      </c>
      <c r="C259" s="18" t="s">
        <v>2094</v>
      </c>
      <c r="D259" s="18" t="s">
        <v>983</v>
      </c>
      <c r="E259" s="18" t="s">
        <v>5242</v>
      </c>
      <c r="F259" s="2">
        <f>+J259-I259</f>
        <v>30</v>
      </c>
      <c r="G259" s="2">
        <f ca="1">+TODAY()-I259</f>
        <v>40</v>
      </c>
      <c r="H259" s="15">
        <v>415372</v>
      </c>
      <c r="I259" s="1">
        <v>46080</v>
      </c>
      <c r="J259" s="1">
        <v>46110</v>
      </c>
      <c r="K259" s="18" t="s">
        <v>980</v>
      </c>
      <c r="L259" s="18" t="s">
        <v>981</v>
      </c>
      <c r="M259" s="18" t="s">
        <v>19</v>
      </c>
      <c r="N259" s="18" t="s">
        <v>987</v>
      </c>
      <c r="O259">
        <v>30</v>
      </c>
    </row>
    <row r="260" spans="1:15" x14ac:dyDescent="0.25">
      <c r="A260" s="18" t="s">
        <v>7276</v>
      </c>
      <c r="B260" s="18" t="s">
        <v>2093</v>
      </c>
      <c r="C260" s="18" t="s">
        <v>2094</v>
      </c>
      <c r="D260" s="18" t="s">
        <v>983</v>
      </c>
      <c r="E260" s="18" t="s">
        <v>5980</v>
      </c>
      <c r="F260" s="2">
        <f>+J260-I260</f>
        <v>30</v>
      </c>
      <c r="G260" s="2">
        <f ca="1">+TODAY()-I260</f>
        <v>27</v>
      </c>
      <c r="H260" s="15">
        <v>173401</v>
      </c>
      <c r="I260" s="1">
        <v>46093</v>
      </c>
      <c r="J260" s="1">
        <v>46123</v>
      </c>
      <c r="K260" s="18" t="s">
        <v>980</v>
      </c>
      <c r="L260" s="18" t="s">
        <v>981</v>
      </c>
      <c r="M260" s="18" t="s">
        <v>19</v>
      </c>
      <c r="N260" s="18" t="s">
        <v>987</v>
      </c>
      <c r="O260">
        <v>30</v>
      </c>
    </row>
    <row r="261" spans="1:15" x14ac:dyDescent="0.25">
      <c r="A261" s="18" t="s">
        <v>7276</v>
      </c>
      <c r="B261" s="18" t="s">
        <v>314</v>
      </c>
      <c r="C261" s="18" t="s">
        <v>315</v>
      </c>
      <c r="D261" s="18" t="s">
        <v>15</v>
      </c>
      <c r="E261" s="18" t="s">
        <v>5657</v>
      </c>
      <c r="F261" s="2">
        <f>+J261-I261</f>
        <v>30</v>
      </c>
      <c r="G261" s="2">
        <f ca="1">+TODAY()-I261</f>
        <v>32</v>
      </c>
      <c r="H261" s="15">
        <v>702252</v>
      </c>
      <c r="I261" s="1">
        <v>46088</v>
      </c>
      <c r="J261" s="1">
        <v>46118</v>
      </c>
      <c r="K261" s="18" t="s">
        <v>17</v>
      </c>
      <c r="L261" s="18" t="s">
        <v>312</v>
      </c>
      <c r="M261" s="18" t="s">
        <v>19</v>
      </c>
      <c r="N261" s="18" t="s">
        <v>316</v>
      </c>
      <c r="O261">
        <v>30</v>
      </c>
    </row>
    <row r="262" spans="1:15" x14ac:dyDescent="0.25">
      <c r="A262" s="18" t="s">
        <v>7276</v>
      </c>
      <c r="B262" s="18" t="s">
        <v>1167</v>
      </c>
      <c r="C262" s="18" t="s">
        <v>1168</v>
      </c>
      <c r="D262" s="18" t="s">
        <v>1118</v>
      </c>
      <c r="E262" s="18" t="s">
        <v>5461</v>
      </c>
      <c r="F262" s="2">
        <f>+J262-I262</f>
        <v>30</v>
      </c>
      <c r="G262" s="2">
        <f ca="1">+TODAY()-I262</f>
        <v>37</v>
      </c>
      <c r="H262" s="15">
        <v>1265358</v>
      </c>
      <c r="I262" s="1">
        <v>46083</v>
      </c>
      <c r="J262" s="1">
        <v>46113</v>
      </c>
      <c r="K262" s="18" t="s">
        <v>1144</v>
      </c>
      <c r="L262" s="18" t="s">
        <v>207</v>
      </c>
      <c r="M262" s="18" t="s">
        <v>19</v>
      </c>
      <c r="N262" s="18" t="s">
        <v>1169</v>
      </c>
      <c r="O262">
        <v>30</v>
      </c>
    </row>
    <row r="263" spans="1:15" x14ac:dyDescent="0.25">
      <c r="A263" s="18" t="s">
        <v>7276</v>
      </c>
      <c r="B263" s="18" t="s">
        <v>1167</v>
      </c>
      <c r="C263" s="18" t="s">
        <v>1168</v>
      </c>
      <c r="D263" s="18" t="s">
        <v>1118</v>
      </c>
      <c r="E263" s="18" t="s">
        <v>5462</v>
      </c>
      <c r="F263" s="2">
        <f>+J263-I263</f>
        <v>30</v>
      </c>
      <c r="G263" s="2">
        <f ca="1">+TODAY()-I263</f>
        <v>37</v>
      </c>
      <c r="H263" s="15">
        <v>5076604</v>
      </c>
      <c r="I263" s="1">
        <v>46083</v>
      </c>
      <c r="J263" s="1">
        <v>46113</v>
      </c>
      <c r="K263" s="18" t="s">
        <v>1144</v>
      </c>
      <c r="L263" s="18" t="s">
        <v>207</v>
      </c>
      <c r="M263" s="18" t="s">
        <v>19</v>
      </c>
      <c r="N263" s="18" t="s">
        <v>1169</v>
      </c>
      <c r="O263">
        <v>30</v>
      </c>
    </row>
    <row r="264" spans="1:15" x14ac:dyDescent="0.25">
      <c r="A264" s="18" t="s">
        <v>7276</v>
      </c>
      <c r="B264" s="18" t="s">
        <v>1179</v>
      </c>
      <c r="C264" s="18" t="s">
        <v>1180</v>
      </c>
      <c r="D264" s="18" t="s">
        <v>1181</v>
      </c>
      <c r="E264" s="18" t="s">
        <v>1182</v>
      </c>
      <c r="F264" s="2">
        <f>+J264-I264</f>
        <v>30</v>
      </c>
      <c r="G264" s="2">
        <f ca="1">+TODAY()-I264</f>
        <v>653</v>
      </c>
      <c r="H264" s="15">
        <v>16031810</v>
      </c>
      <c r="I264" s="1">
        <v>45467</v>
      </c>
      <c r="J264" s="1">
        <v>45497</v>
      </c>
      <c r="K264" s="18" t="s">
        <v>1183</v>
      </c>
      <c r="L264" s="18" t="s">
        <v>984</v>
      </c>
      <c r="M264" s="18" t="s">
        <v>19</v>
      </c>
      <c r="N264" s="18" t="s">
        <v>1184</v>
      </c>
      <c r="O264">
        <v>30</v>
      </c>
    </row>
    <row r="265" spans="1:15" x14ac:dyDescent="0.25">
      <c r="A265" s="18" t="s">
        <v>7276</v>
      </c>
      <c r="B265" s="18" t="s">
        <v>174</v>
      </c>
      <c r="C265" s="18" t="s">
        <v>175</v>
      </c>
      <c r="D265" s="18" t="s">
        <v>46</v>
      </c>
      <c r="E265" s="18" t="s">
        <v>5625</v>
      </c>
      <c r="F265" s="2">
        <f>+J265-I265</f>
        <v>30</v>
      </c>
      <c r="G265" s="2">
        <f ca="1">+TODAY()-I265</f>
        <v>29</v>
      </c>
      <c r="H265" s="15">
        <v>1253139</v>
      </c>
      <c r="I265" s="1">
        <v>46091</v>
      </c>
      <c r="J265" s="1">
        <v>46121</v>
      </c>
      <c r="K265" s="18" t="s">
        <v>17</v>
      </c>
      <c r="L265" s="18" t="s">
        <v>32</v>
      </c>
      <c r="M265" s="18" t="s">
        <v>19</v>
      </c>
      <c r="N265" s="18" t="s">
        <v>176</v>
      </c>
      <c r="O265">
        <v>30</v>
      </c>
    </row>
    <row r="266" spans="1:15" x14ac:dyDescent="0.25">
      <c r="A266" s="18" t="s">
        <v>7276</v>
      </c>
      <c r="B266" s="18" t="s">
        <v>174</v>
      </c>
      <c r="C266" s="18" t="s">
        <v>175</v>
      </c>
      <c r="D266" s="18" t="s">
        <v>46</v>
      </c>
      <c r="E266" s="18" t="s">
        <v>5919</v>
      </c>
      <c r="F266" s="2">
        <f>+J266-I266</f>
        <v>30</v>
      </c>
      <c r="G266" s="2">
        <f ca="1">+TODAY()-I266</f>
        <v>22</v>
      </c>
      <c r="H266" s="15">
        <v>866699</v>
      </c>
      <c r="I266" s="1">
        <v>46098</v>
      </c>
      <c r="J266" s="1">
        <v>46128</v>
      </c>
      <c r="K266" s="18" t="s">
        <v>17</v>
      </c>
      <c r="L266" s="18" t="s">
        <v>32</v>
      </c>
      <c r="M266" s="18" t="s">
        <v>19</v>
      </c>
      <c r="N266" s="18" t="s">
        <v>176</v>
      </c>
      <c r="O266">
        <v>30</v>
      </c>
    </row>
    <row r="267" spans="1:15" x14ac:dyDescent="0.25">
      <c r="A267" s="18" t="s">
        <v>7276</v>
      </c>
      <c r="B267" s="18" t="s">
        <v>104</v>
      </c>
      <c r="C267" s="18" t="s">
        <v>105</v>
      </c>
      <c r="D267" s="18" t="s">
        <v>46</v>
      </c>
      <c r="E267" s="18" t="s">
        <v>5635</v>
      </c>
      <c r="F267" s="2">
        <f>+J267-I267</f>
        <v>30</v>
      </c>
      <c r="G267" s="2">
        <f ca="1">+TODAY()-I267</f>
        <v>28</v>
      </c>
      <c r="H267" s="15">
        <v>1887241</v>
      </c>
      <c r="I267" s="1">
        <v>46092</v>
      </c>
      <c r="J267" s="1">
        <v>46122</v>
      </c>
      <c r="K267" s="18" t="s">
        <v>17</v>
      </c>
      <c r="L267" s="18" t="s">
        <v>32</v>
      </c>
      <c r="M267" s="18" t="s">
        <v>19</v>
      </c>
      <c r="N267" s="18" t="s">
        <v>106</v>
      </c>
      <c r="O267">
        <v>30</v>
      </c>
    </row>
    <row r="268" spans="1:15" x14ac:dyDescent="0.25">
      <c r="A268" s="18" t="s">
        <v>7276</v>
      </c>
      <c r="B268" s="18" t="s">
        <v>104</v>
      </c>
      <c r="C268" s="18" t="s">
        <v>105</v>
      </c>
      <c r="D268" s="18" t="s">
        <v>46</v>
      </c>
      <c r="E268" s="18" t="s">
        <v>6175</v>
      </c>
      <c r="F268" s="2">
        <f>+J268-I268</f>
        <v>30</v>
      </c>
      <c r="G268" s="2">
        <f ca="1">+TODAY()-I268</f>
        <v>20</v>
      </c>
      <c r="H268" s="15">
        <v>898737</v>
      </c>
      <c r="I268" s="1">
        <v>46100</v>
      </c>
      <c r="J268" s="1">
        <v>46130</v>
      </c>
      <c r="K268" s="18" t="s">
        <v>17</v>
      </c>
      <c r="L268" s="18" t="s">
        <v>32</v>
      </c>
      <c r="M268" s="18" t="s">
        <v>19</v>
      </c>
      <c r="N268" s="18" t="s">
        <v>106</v>
      </c>
      <c r="O268">
        <v>30</v>
      </c>
    </row>
    <row r="269" spans="1:15" x14ac:dyDescent="0.25">
      <c r="A269" s="18" t="s">
        <v>7276</v>
      </c>
      <c r="B269" s="18" t="s">
        <v>104</v>
      </c>
      <c r="C269" s="18" t="s">
        <v>105</v>
      </c>
      <c r="D269" s="18" t="s">
        <v>46</v>
      </c>
      <c r="E269" s="18" t="s">
        <v>6412</v>
      </c>
      <c r="F269" s="2">
        <f>+J269-I269</f>
        <v>30</v>
      </c>
      <c r="G269" s="2">
        <f ca="1">+TODAY()-I269</f>
        <v>13</v>
      </c>
      <c r="H269" s="15">
        <v>632820</v>
      </c>
      <c r="I269" s="1">
        <v>46107</v>
      </c>
      <c r="J269" s="1">
        <v>46137</v>
      </c>
      <c r="K269" s="18" t="s">
        <v>17</v>
      </c>
      <c r="L269" s="18" t="s">
        <v>32</v>
      </c>
      <c r="M269" s="18" t="s">
        <v>19</v>
      </c>
      <c r="N269" s="18" t="s">
        <v>106</v>
      </c>
      <c r="O269">
        <v>30</v>
      </c>
    </row>
    <row r="270" spans="1:15" x14ac:dyDescent="0.25">
      <c r="A270" s="18" t="s">
        <v>7276</v>
      </c>
      <c r="B270" s="18" t="s">
        <v>104</v>
      </c>
      <c r="C270" s="18" t="s">
        <v>105</v>
      </c>
      <c r="D270" s="18" t="s">
        <v>46</v>
      </c>
      <c r="E270" s="18" t="s">
        <v>6777</v>
      </c>
      <c r="F270" s="2">
        <f>+J270-I270</f>
        <v>30</v>
      </c>
      <c r="G270" s="2">
        <f ca="1">+TODAY()-I270</f>
        <v>9</v>
      </c>
      <c r="H270" s="15">
        <v>1597657</v>
      </c>
      <c r="I270" s="1">
        <v>46111</v>
      </c>
      <c r="J270" s="1">
        <v>46141</v>
      </c>
      <c r="K270" s="18" t="s">
        <v>17</v>
      </c>
      <c r="L270" s="18" t="s">
        <v>32</v>
      </c>
      <c r="M270" s="18" t="s">
        <v>19</v>
      </c>
      <c r="N270" s="18" t="s">
        <v>106</v>
      </c>
      <c r="O270">
        <v>30</v>
      </c>
    </row>
    <row r="271" spans="1:15" x14ac:dyDescent="0.25">
      <c r="A271" s="18" t="s">
        <v>7276</v>
      </c>
      <c r="B271" s="18" t="s">
        <v>104</v>
      </c>
      <c r="C271" s="18" t="s">
        <v>105</v>
      </c>
      <c r="D271" s="18" t="s">
        <v>46</v>
      </c>
      <c r="E271" s="18" t="s">
        <v>7641</v>
      </c>
      <c r="F271" s="2">
        <f>+J271-I271</f>
        <v>30</v>
      </c>
      <c r="G271" s="2">
        <f ca="1">+TODAY()-I271</f>
        <v>1</v>
      </c>
      <c r="H271" s="15">
        <v>994660</v>
      </c>
      <c r="I271" s="1">
        <v>46119</v>
      </c>
      <c r="J271" s="1">
        <v>46149</v>
      </c>
      <c r="K271" s="18" t="s">
        <v>17</v>
      </c>
      <c r="L271" s="18" t="s">
        <v>32</v>
      </c>
      <c r="M271" s="18" t="s">
        <v>19</v>
      </c>
      <c r="N271" s="18" t="s">
        <v>106</v>
      </c>
      <c r="O271">
        <v>30</v>
      </c>
    </row>
    <row r="272" spans="1:15" x14ac:dyDescent="0.25">
      <c r="A272" s="18" t="s">
        <v>7276</v>
      </c>
      <c r="B272" s="18" t="s">
        <v>866</v>
      </c>
      <c r="C272" s="18" t="s">
        <v>867</v>
      </c>
      <c r="D272" s="18" t="s">
        <v>854</v>
      </c>
      <c r="E272" s="18" t="s">
        <v>5091</v>
      </c>
      <c r="F272" s="2">
        <f>+J272-I272</f>
        <v>30</v>
      </c>
      <c r="G272" s="2">
        <f ca="1">+TODAY()-I272</f>
        <v>53</v>
      </c>
      <c r="H272" s="15">
        <v>999417</v>
      </c>
      <c r="I272" s="1">
        <v>46067</v>
      </c>
      <c r="J272" s="1">
        <v>46097</v>
      </c>
      <c r="K272" s="18" t="s">
        <v>845</v>
      </c>
      <c r="L272" s="18" t="s">
        <v>18</v>
      </c>
      <c r="M272" s="18" t="s">
        <v>19</v>
      </c>
      <c r="N272" s="18" t="s">
        <v>868</v>
      </c>
      <c r="O272">
        <v>30</v>
      </c>
    </row>
    <row r="273" spans="1:15" x14ac:dyDescent="0.25">
      <c r="A273" s="18" t="s">
        <v>7276</v>
      </c>
      <c r="B273" s="18" t="s">
        <v>866</v>
      </c>
      <c r="C273" s="18" t="s">
        <v>867</v>
      </c>
      <c r="D273" s="18" t="s">
        <v>854</v>
      </c>
      <c r="E273" s="18" t="s">
        <v>5232</v>
      </c>
      <c r="F273" s="2">
        <f>+J273-I273</f>
        <v>30</v>
      </c>
      <c r="G273" s="2">
        <f ca="1">+TODAY()-I273</f>
        <v>39</v>
      </c>
      <c r="H273" s="15">
        <v>354133</v>
      </c>
      <c r="I273" s="1">
        <v>46081</v>
      </c>
      <c r="J273" s="1">
        <v>46111</v>
      </c>
      <c r="K273" s="18" t="s">
        <v>845</v>
      </c>
      <c r="L273" s="18" t="s">
        <v>18</v>
      </c>
      <c r="M273" s="18" t="s">
        <v>19</v>
      </c>
      <c r="N273" s="18" t="s">
        <v>868</v>
      </c>
      <c r="O273">
        <v>30</v>
      </c>
    </row>
    <row r="274" spans="1:15" x14ac:dyDescent="0.25">
      <c r="A274" s="18" t="s">
        <v>7276</v>
      </c>
      <c r="B274" s="18" t="s">
        <v>866</v>
      </c>
      <c r="C274" s="18" t="s">
        <v>867</v>
      </c>
      <c r="D274" s="18" t="s">
        <v>854</v>
      </c>
      <c r="E274" s="18" t="s">
        <v>5233</v>
      </c>
      <c r="F274" s="2">
        <f>+J274-I274</f>
        <v>30</v>
      </c>
      <c r="G274" s="2">
        <f ca="1">+TODAY()-I274</f>
        <v>39</v>
      </c>
      <c r="H274" s="15">
        <v>1296528</v>
      </c>
      <c r="I274" s="1">
        <v>46081</v>
      </c>
      <c r="J274" s="1">
        <v>46111</v>
      </c>
      <c r="K274" s="18" t="s">
        <v>845</v>
      </c>
      <c r="L274" s="18" t="s">
        <v>18</v>
      </c>
      <c r="M274" s="18" t="s">
        <v>19</v>
      </c>
      <c r="N274" s="18" t="s">
        <v>868</v>
      </c>
      <c r="O274">
        <v>30</v>
      </c>
    </row>
    <row r="275" spans="1:15" x14ac:dyDescent="0.25">
      <c r="A275" s="18" t="s">
        <v>7276</v>
      </c>
      <c r="B275" s="18" t="s">
        <v>866</v>
      </c>
      <c r="C275" s="18" t="s">
        <v>867</v>
      </c>
      <c r="D275" s="18" t="s">
        <v>854</v>
      </c>
      <c r="E275" s="18" t="s">
        <v>5953</v>
      </c>
      <c r="F275" s="2">
        <f>+J275-I275</f>
        <v>30</v>
      </c>
      <c r="G275" s="2">
        <f ca="1">+TODAY()-I275</f>
        <v>26</v>
      </c>
      <c r="H275" s="15">
        <v>126202</v>
      </c>
      <c r="I275" s="1">
        <v>46094</v>
      </c>
      <c r="J275" s="1">
        <v>46124</v>
      </c>
      <c r="K275" s="18" t="s">
        <v>845</v>
      </c>
      <c r="L275" s="18" t="s">
        <v>18</v>
      </c>
      <c r="M275" s="18" t="s">
        <v>19</v>
      </c>
      <c r="N275" s="18" t="s">
        <v>868</v>
      </c>
      <c r="O275">
        <v>30</v>
      </c>
    </row>
    <row r="276" spans="1:15" x14ac:dyDescent="0.25">
      <c r="A276" s="18" t="s">
        <v>7276</v>
      </c>
      <c r="B276" s="18" t="s">
        <v>866</v>
      </c>
      <c r="C276" s="18" t="s">
        <v>867</v>
      </c>
      <c r="D276" s="18" t="s">
        <v>854</v>
      </c>
      <c r="E276" s="18" t="s">
        <v>5954</v>
      </c>
      <c r="F276" s="2">
        <f>+J276-I276</f>
        <v>30</v>
      </c>
      <c r="G276" s="2">
        <f ca="1">+TODAY()-I276</f>
        <v>26</v>
      </c>
      <c r="H276" s="15">
        <v>1677705</v>
      </c>
      <c r="I276" s="1">
        <v>46094</v>
      </c>
      <c r="J276" s="1">
        <v>46124</v>
      </c>
      <c r="K276" s="18" t="s">
        <v>845</v>
      </c>
      <c r="L276" s="18" t="s">
        <v>18</v>
      </c>
      <c r="M276" s="18" t="s">
        <v>19</v>
      </c>
      <c r="N276" s="18" t="s">
        <v>868</v>
      </c>
      <c r="O276">
        <v>30</v>
      </c>
    </row>
    <row r="277" spans="1:15" x14ac:dyDescent="0.25">
      <c r="A277" s="18" t="s">
        <v>7276</v>
      </c>
      <c r="B277" s="18" t="s">
        <v>1780</v>
      </c>
      <c r="C277" s="18" t="s">
        <v>1781</v>
      </c>
      <c r="D277" s="18" t="s">
        <v>1775</v>
      </c>
      <c r="E277" s="18" t="s">
        <v>1782</v>
      </c>
      <c r="F277" s="2">
        <f>+J277-I277</f>
        <v>25</v>
      </c>
      <c r="G277" s="2">
        <f ca="1">+TODAY()-I277</f>
        <v>2525</v>
      </c>
      <c r="H277" s="15">
        <v>1015366</v>
      </c>
      <c r="I277" s="1">
        <v>43595</v>
      </c>
      <c r="J277" s="1">
        <v>43620</v>
      </c>
      <c r="K277" s="18" t="s">
        <v>1777</v>
      </c>
      <c r="L277" s="18" t="s">
        <v>1778</v>
      </c>
      <c r="M277" s="18" t="s">
        <v>19</v>
      </c>
      <c r="N277" s="18" t="s">
        <v>1783</v>
      </c>
      <c r="O277">
        <v>1</v>
      </c>
    </row>
    <row r="278" spans="1:15" x14ac:dyDescent="0.25">
      <c r="A278" s="18" t="s">
        <v>7276</v>
      </c>
      <c r="B278" s="18" t="s">
        <v>7733</v>
      </c>
      <c r="C278" s="18" t="s">
        <v>7734</v>
      </c>
      <c r="D278" s="18" t="s">
        <v>916</v>
      </c>
      <c r="E278" s="18" t="s">
        <v>7735</v>
      </c>
      <c r="F278" s="2">
        <f>+J278-I278</f>
        <v>1</v>
      </c>
      <c r="G278" s="2">
        <f ca="1">+TODAY()-I278</f>
        <v>1</v>
      </c>
      <c r="H278" s="15">
        <v>339650</v>
      </c>
      <c r="I278" s="1">
        <v>46119</v>
      </c>
      <c r="J278" s="1">
        <v>46120</v>
      </c>
      <c r="K278" s="18" t="s">
        <v>918</v>
      </c>
      <c r="L278" s="18" t="s">
        <v>312</v>
      </c>
      <c r="M278" s="18" t="s">
        <v>19</v>
      </c>
      <c r="N278" s="18" t="s">
        <v>7736</v>
      </c>
      <c r="O278">
        <v>1</v>
      </c>
    </row>
    <row r="279" spans="1:15" x14ac:dyDescent="0.25">
      <c r="A279" s="18" t="s">
        <v>7276</v>
      </c>
      <c r="B279" s="18" t="s">
        <v>7733</v>
      </c>
      <c r="C279" s="18" t="s">
        <v>7734</v>
      </c>
      <c r="D279" s="18" t="s">
        <v>916</v>
      </c>
      <c r="E279" s="18" t="s">
        <v>7737</v>
      </c>
      <c r="F279" s="2">
        <f>+J279-I279</f>
        <v>1</v>
      </c>
      <c r="G279" s="2">
        <f ca="1">+TODAY()-I279</f>
        <v>1</v>
      </c>
      <c r="H279" s="15">
        <v>216000</v>
      </c>
      <c r="I279" s="1">
        <v>46119</v>
      </c>
      <c r="J279" s="1">
        <v>46120</v>
      </c>
      <c r="K279" s="18" t="s">
        <v>918</v>
      </c>
      <c r="L279" s="18" t="s">
        <v>312</v>
      </c>
      <c r="M279" s="18" t="s">
        <v>19</v>
      </c>
      <c r="N279" s="18" t="s">
        <v>7736</v>
      </c>
      <c r="O279">
        <v>1</v>
      </c>
    </row>
    <row r="280" spans="1:15" x14ac:dyDescent="0.25">
      <c r="A280" s="18" t="s">
        <v>7276</v>
      </c>
      <c r="B280" s="18" t="s">
        <v>7733</v>
      </c>
      <c r="C280" s="18" t="s">
        <v>7734</v>
      </c>
      <c r="D280" s="18" t="s">
        <v>916</v>
      </c>
      <c r="E280" s="18" t="s">
        <v>7794</v>
      </c>
      <c r="F280" s="2">
        <f>+J280-I280</f>
        <v>1</v>
      </c>
      <c r="G280" s="2">
        <f ca="1">+TODAY()-I280</f>
        <v>1</v>
      </c>
      <c r="H280" s="15">
        <v>128006</v>
      </c>
      <c r="I280" s="1">
        <v>46119</v>
      </c>
      <c r="J280" s="1">
        <v>46120</v>
      </c>
      <c r="K280" s="18" t="s">
        <v>918</v>
      </c>
      <c r="L280" s="18" t="s">
        <v>312</v>
      </c>
      <c r="M280" s="18" t="s">
        <v>19</v>
      </c>
      <c r="N280" s="18" t="s">
        <v>7736</v>
      </c>
      <c r="O280">
        <v>1</v>
      </c>
    </row>
    <row r="281" spans="1:15" x14ac:dyDescent="0.25">
      <c r="A281" s="18" t="s">
        <v>7276</v>
      </c>
      <c r="B281" s="18" t="s">
        <v>7338</v>
      </c>
      <c r="C281" s="18" t="s">
        <v>7339</v>
      </c>
      <c r="D281" s="18" t="s">
        <v>15</v>
      </c>
      <c r="E281" s="18" t="s">
        <v>7340</v>
      </c>
      <c r="F281" s="2">
        <f>+J281-I281</f>
        <v>30</v>
      </c>
      <c r="G281" s="2">
        <f ca="1">+TODAY()-I281</f>
        <v>2</v>
      </c>
      <c r="H281" s="15">
        <v>42000</v>
      </c>
      <c r="I281" s="1">
        <v>46118</v>
      </c>
      <c r="J281" s="1">
        <v>46148</v>
      </c>
      <c r="K281" s="18" t="s">
        <v>17</v>
      </c>
      <c r="L281" s="18" t="s">
        <v>109</v>
      </c>
      <c r="M281" s="18" t="s">
        <v>19</v>
      </c>
      <c r="N281" s="18" t="s">
        <v>7341</v>
      </c>
      <c r="O281">
        <v>30</v>
      </c>
    </row>
    <row r="282" spans="1:15" x14ac:dyDescent="0.25">
      <c r="A282" s="18" t="s">
        <v>7276</v>
      </c>
      <c r="B282" s="18" t="s">
        <v>303</v>
      </c>
      <c r="C282" s="18" t="s">
        <v>304</v>
      </c>
      <c r="D282" s="18" t="s">
        <v>305</v>
      </c>
      <c r="E282" s="18" t="s">
        <v>306</v>
      </c>
      <c r="F282" s="2">
        <f>+J282-I282</f>
        <v>5</v>
      </c>
      <c r="G282" s="2">
        <f ca="1">+TODAY()-I282</f>
        <v>1238</v>
      </c>
      <c r="H282" s="15">
        <v>87903300</v>
      </c>
      <c r="I282" s="1">
        <v>44882</v>
      </c>
      <c r="J282" s="1">
        <v>44887</v>
      </c>
      <c r="K282" s="18" t="s">
        <v>17</v>
      </c>
      <c r="L282" s="18" t="s">
        <v>109</v>
      </c>
      <c r="M282" s="18" t="s">
        <v>19</v>
      </c>
      <c r="N282" s="18" t="s">
        <v>307</v>
      </c>
      <c r="O282">
        <v>1</v>
      </c>
    </row>
    <row r="283" spans="1:15" x14ac:dyDescent="0.25">
      <c r="A283" s="18" t="s">
        <v>7276</v>
      </c>
      <c r="B283" s="18" t="s">
        <v>7317</v>
      </c>
      <c r="C283" s="18" t="s">
        <v>7318</v>
      </c>
      <c r="D283" s="18" t="s">
        <v>15</v>
      </c>
      <c r="E283" s="18" t="s">
        <v>7319</v>
      </c>
      <c r="F283" s="2">
        <f>+J283-I283</f>
        <v>30</v>
      </c>
      <c r="G283" s="2">
        <f ca="1">+TODAY()-I283</f>
        <v>7</v>
      </c>
      <c r="H283" s="15">
        <v>55100</v>
      </c>
      <c r="I283" s="1">
        <v>46113</v>
      </c>
      <c r="J283" s="1">
        <v>46143</v>
      </c>
      <c r="K283" s="18" t="s">
        <v>17</v>
      </c>
      <c r="L283" s="18" t="s">
        <v>109</v>
      </c>
      <c r="M283" s="18" t="s">
        <v>19</v>
      </c>
      <c r="N283" s="18" t="s">
        <v>7320</v>
      </c>
      <c r="O283">
        <v>30</v>
      </c>
    </row>
    <row r="284" spans="1:15" x14ac:dyDescent="0.25">
      <c r="A284" s="18" t="s">
        <v>7276</v>
      </c>
      <c r="B284" s="18" t="s">
        <v>4641</v>
      </c>
      <c r="C284" s="18" t="s">
        <v>4642</v>
      </c>
      <c r="D284" s="18" t="s">
        <v>1514</v>
      </c>
      <c r="E284" s="18" t="s">
        <v>6349</v>
      </c>
      <c r="F284" s="2">
        <f>+J284-I284</f>
        <v>30</v>
      </c>
      <c r="G284" s="2">
        <f ca="1">+TODAY()-I284</f>
        <v>21</v>
      </c>
      <c r="H284" s="15">
        <v>1486480</v>
      </c>
      <c r="I284" s="1">
        <v>46099</v>
      </c>
      <c r="J284" s="1">
        <v>46129</v>
      </c>
      <c r="K284" s="18" t="s">
        <v>1515</v>
      </c>
      <c r="L284" s="18" t="s">
        <v>984</v>
      </c>
      <c r="M284" s="18" t="s">
        <v>19</v>
      </c>
      <c r="N284" s="18" t="s">
        <v>4644</v>
      </c>
      <c r="O284">
        <v>30</v>
      </c>
    </row>
    <row r="285" spans="1:15" x14ac:dyDescent="0.25">
      <c r="A285" s="18" t="s">
        <v>7276</v>
      </c>
      <c r="B285" s="18" t="s">
        <v>1101</v>
      </c>
      <c r="C285" s="18" t="s">
        <v>1102</v>
      </c>
      <c r="D285" s="18" t="s">
        <v>1066</v>
      </c>
      <c r="E285" s="18" t="s">
        <v>5202</v>
      </c>
      <c r="F285" s="2">
        <f>+J285-I285</f>
        <v>30</v>
      </c>
      <c r="G285" s="2">
        <f ca="1">+TODAY()-I285</f>
        <v>42</v>
      </c>
      <c r="H285" s="15">
        <v>1458551</v>
      </c>
      <c r="I285" s="1">
        <v>46078</v>
      </c>
      <c r="J285" s="1">
        <v>46108</v>
      </c>
      <c r="K285" s="18" t="s">
        <v>17</v>
      </c>
      <c r="L285" s="18" t="s">
        <v>207</v>
      </c>
      <c r="M285" s="18" t="s">
        <v>19</v>
      </c>
      <c r="N285" s="18" t="s">
        <v>1103</v>
      </c>
      <c r="O285">
        <v>30</v>
      </c>
    </row>
    <row r="286" spans="1:15" x14ac:dyDescent="0.25">
      <c r="A286" s="18" t="s">
        <v>7276</v>
      </c>
      <c r="B286" s="18" t="s">
        <v>1101</v>
      </c>
      <c r="C286" s="18" t="s">
        <v>1102</v>
      </c>
      <c r="D286" s="18" t="s">
        <v>1066</v>
      </c>
      <c r="E286" s="18" t="s">
        <v>1939</v>
      </c>
      <c r="F286" s="2">
        <f>+J286-I286</f>
        <v>30</v>
      </c>
      <c r="G286" s="2">
        <f ca="1">+TODAY()-I286</f>
        <v>238</v>
      </c>
      <c r="H286" s="15">
        <v>2105</v>
      </c>
      <c r="I286" s="1">
        <v>45882</v>
      </c>
      <c r="J286" s="1">
        <v>45912</v>
      </c>
      <c r="K286" s="18" t="s">
        <v>1068</v>
      </c>
      <c r="L286" s="18" t="s">
        <v>207</v>
      </c>
      <c r="M286" s="18" t="s">
        <v>19</v>
      </c>
      <c r="N286" s="18" t="s">
        <v>1103</v>
      </c>
      <c r="O286">
        <v>30</v>
      </c>
    </row>
    <row r="287" spans="1:15" x14ac:dyDescent="0.25">
      <c r="A287" s="18" t="s">
        <v>7276</v>
      </c>
      <c r="B287" s="18" t="s">
        <v>1101</v>
      </c>
      <c r="C287" s="18" t="s">
        <v>1102</v>
      </c>
      <c r="D287" s="18" t="s">
        <v>1066</v>
      </c>
      <c r="E287" s="18" t="s">
        <v>2743</v>
      </c>
      <c r="F287" s="2">
        <f>+J287-I287</f>
        <v>30</v>
      </c>
      <c r="G287" s="2">
        <f ca="1">+TODAY()-I287</f>
        <v>106</v>
      </c>
      <c r="H287" s="15">
        <v>47489</v>
      </c>
      <c r="I287" s="1">
        <v>46014</v>
      </c>
      <c r="J287" s="1">
        <v>46044</v>
      </c>
      <c r="K287" s="18" t="s">
        <v>1068</v>
      </c>
      <c r="L287" s="18" t="s">
        <v>207</v>
      </c>
      <c r="M287" s="18" t="s">
        <v>19</v>
      </c>
      <c r="N287" s="18" t="s">
        <v>1103</v>
      </c>
      <c r="O287">
        <v>30</v>
      </c>
    </row>
    <row r="288" spans="1:15" x14ac:dyDescent="0.25">
      <c r="A288" s="18" t="s">
        <v>7276</v>
      </c>
      <c r="B288" s="18" t="s">
        <v>1101</v>
      </c>
      <c r="C288" s="18" t="s">
        <v>1102</v>
      </c>
      <c r="D288" s="18" t="s">
        <v>1066</v>
      </c>
      <c r="E288" s="18" t="s">
        <v>5444</v>
      </c>
      <c r="F288" s="2">
        <f>+J288-I288</f>
        <v>30</v>
      </c>
      <c r="G288" s="2">
        <f ca="1">+TODAY()-I288</f>
        <v>35</v>
      </c>
      <c r="H288" s="15">
        <v>1291110</v>
      </c>
      <c r="I288" s="1">
        <v>46085</v>
      </c>
      <c r="J288" s="1">
        <v>46115</v>
      </c>
      <c r="K288" s="18" t="s">
        <v>1068</v>
      </c>
      <c r="L288" s="18" t="s">
        <v>207</v>
      </c>
      <c r="M288" s="18" t="s">
        <v>19</v>
      </c>
      <c r="N288" s="18" t="s">
        <v>1103</v>
      </c>
      <c r="O288">
        <v>30</v>
      </c>
    </row>
    <row r="289" spans="1:15" x14ac:dyDescent="0.25">
      <c r="A289" s="18" t="s">
        <v>7276</v>
      </c>
      <c r="B289" s="18" t="s">
        <v>1101</v>
      </c>
      <c r="C289" s="18" t="s">
        <v>1102</v>
      </c>
      <c r="D289" s="18" t="s">
        <v>1066</v>
      </c>
      <c r="E289" s="18" t="s">
        <v>5723</v>
      </c>
      <c r="F289" s="2">
        <f>+J289-I289</f>
        <v>30</v>
      </c>
      <c r="G289" s="2">
        <f ca="1">+TODAY()-I289</f>
        <v>28</v>
      </c>
      <c r="H289" s="15">
        <v>69500</v>
      </c>
      <c r="I289" s="1">
        <v>46092</v>
      </c>
      <c r="J289" s="1">
        <v>46122</v>
      </c>
      <c r="K289" s="18" t="s">
        <v>1068</v>
      </c>
      <c r="L289" s="18" t="s">
        <v>207</v>
      </c>
      <c r="M289" s="18" t="s">
        <v>19</v>
      </c>
      <c r="N289" s="18" t="s">
        <v>1103</v>
      </c>
      <c r="O289">
        <v>30</v>
      </c>
    </row>
    <row r="290" spans="1:15" x14ac:dyDescent="0.25">
      <c r="A290" s="18" t="s">
        <v>7276</v>
      </c>
      <c r="B290" s="18" t="s">
        <v>1101</v>
      </c>
      <c r="C290" s="18" t="s">
        <v>1102</v>
      </c>
      <c r="D290" s="18" t="s">
        <v>1066</v>
      </c>
      <c r="E290" s="18" t="s">
        <v>6498</v>
      </c>
      <c r="F290" s="2">
        <f>+J290-I290</f>
        <v>30</v>
      </c>
      <c r="G290" s="2">
        <f ca="1">+TODAY()-I290</f>
        <v>13</v>
      </c>
      <c r="H290" s="15">
        <v>5862594</v>
      </c>
      <c r="I290" s="1">
        <v>46107</v>
      </c>
      <c r="J290" s="1">
        <v>46137</v>
      </c>
      <c r="K290" s="18" t="s">
        <v>1068</v>
      </c>
      <c r="L290" s="18" t="s">
        <v>207</v>
      </c>
      <c r="M290" s="18" t="s">
        <v>19</v>
      </c>
      <c r="N290" s="18" t="s">
        <v>1103</v>
      </c>
      <c r="O290">
        <v>30</v>
      </c>
    </row>
    <row r="291" spans="1:15" x14ac:dyDescent="0.25">
      <c r="A291" s="18" t="s">
        <v>7276</v>
      </c>
      <c r="B291" s="18" t="s">
        <v>1101</v>
      </c>
      <c r="C291" s="18" t="s">
        <v>1102</v>
      </c>
      <c r="D291" s="18" t="s">
        <v>1066</v>
      </c>
      <c r="E291" s="18" t="s">
        <v>6499</v>
      </c>
      <c r="F291" s="2">
        <f>+J291-I291</f>
        <v>30</v>
      </c>
      <c r="G291" s="2">
        <f ca="1">+TODAY()-I291</f>
        <v>13</v>
      </c>
      <c r="H291" s="15">
        <v>420000</v>
      </c>
      <c r="I291" s="1">
        <v>46107</v>
      </c>
      <c r="J291" s="1">
        <v>46137</v>
      </c>
      <c r="K291" s="18" t="s">
        <v>1068</v>
      </c>
      <c r="L291" s="18" t="s">
        <v>207</v>
      </c>
      <c r="M291" s="18" t="s">
        <v>19</v>
      </c>
      <c r="N291" s="18" t="s">
        <v>1103</v>
      </c>
      <c r="O291">
        <v>30</v>
      </c>
    </row>
    <row r="292" spans="1:15" x14ac:dyDescent="0.25">
      <c r="A292" s="18" t="s">
        <v>7276</v>
      </c>
      <c r="B292" s="18" t="s">
        <v>1101</v>
      </c>
      <c r="C292" s="18" t="s">
        <v>1102</v>
      </c>
      <c r="D292" s="18" t="s">
        <v>1066</v>
      </c>
      <c r="E292" s="18" t="s">
        <v>5985</v>
      </c>
      <c r="F292" s="2">
        <f>+J292-I292</f>
        <v>30</v>
      </c>
      <c r="G292" s="2">
        <f ca="1">+TODAY()-I292</f>
        <v>26</v>
      </c>
      <c r="H292" s="15">
        <v>930398</v>
      </c>
      <c r="I292" s="1">
        <v>46094</v>
      </c>
      <c r="J292" s="1">
        <v>46124</v>
      </c>
      <c r="K292" s="18" t="s">
        <v>1068</v>
      </c>
      <c r="L292" s="18" t="s">
        <v>207</v>
      </c>
      <c r="M292" s="18" t="s">
        <v>19</v>
      </c>
      <c r="N292" s="18" t="s">
        <v>1103</v>
      </c>
      <c r="O292">
        <v>30</v>
      </c>
    </row>
    <row r="293" spans="1:15" x14ac:dyDescent="0.25">
      <c r="A293" s="18" t="s">
        <v>7276</v>
      </c>
      <c r="B293" s="18" t="s">
        <v>1516</v>
      </c>
      <c r="C293" s="18" t="s">
        <v>1517</v>
      </c>
      <c r="D293" s="18" t="s">
        <v>1514</v>
      </c>
      <c r="E293" s="18" t="s">
        <v>5040</v>
      </c>
      <c r="F293" s="2">
        <f>+J293-I293</f>
        <v>30</v>
      </c>
      <c r="G293" s="2">
        <f ca="1">+TODAY()-I293</f>
        <v>61</v>
      </c>
      <c r="H293" s="15">
        <v>1517412</v>
      </c>
      <c r="I293" s="1">
        <v>46059</v>
      </c>
      <c r="J293" s="1">
        <v>46089</v>
      </c>
      <c r="K293" s="18" t="s">
        <v>1515</v>
      </c>
      <c r="L293" s="18" t="s">
        <v>984</v>
      </c>
      <c r="M293" s="18" t="s">
        <v>19</v>
      </c>
      <c r="N293" s="18" t="s">
        <v>1518</v>
      </c>
      <c r="O293">
        <v>1</v>
      </c>
    </row>
    <row r="294" spans="1:15" x14ac:dyDescent="0.25">
      <c r="A294" s="18" t="s">
        <v>7276</v>
      </c>
      <c r="B294" s="18" t="s">
        <v>1516</v>
      </c>
      <c r="C294" s="18" t="s">
        <v>1517</v>
      </c>
      <c r="D294" s="18" t="s">
        <v>1514</v>
      </c>
      <c r="E294" s="18" t="s">
        <v>5139</v>
      </c>
      <c r="F294" s="2">
        <f>+J294-I294</f>
        <v>30</v>
      </c>
      <c r="G294" s="2">
        <f ca="1">+TODAY()-I294</f>
        <v>48</v>
      </c>
      <c r="H294" s="15">
        <v>757517</v>
      </c>
      <c r="I294" s="1">
        <v>46072</v>
      </c>
      <c r="J294" s="1">
        <v>46102</v>
      </c>
      <c r="K294" s="18" t="s">
        <v>1515</v>
      </c>
      <c r="L294" s="18" t="s">
        <v>984</v>
      </c>
      <c r="M294" s="18" t="s">
        <v>19</v>
      </c>
      <c r="N294" s="18" t="s">
        <v>1518</v>
      </c>
      <c r="O294">
        <v>1</v>
      </c>
    </row>
    <row r="295" spans="1:15" x14ac:dyDescent="0.25">
      <c r="A295" s="18" t="s">
        <v>7276</v>
      </c>
      <c r="B295" s="18" t="s">
        <v>1516</v>
      </c>
      <c r="C295" s="18" t="s">
        <v>1517</v>
      </c>
      <c r="D295" s="18" t="s">
        <v>1514</v>
      </c>
      <c r="E295" s="18" t="s">
        <v>5141</v>
      </c>
      <c r="F295" s="2">
        <f>+J295-I295</f>
        <v>30</v>
      </c>
      <c r="G295" s="2">
        <f ca="1">+TODAY()-I295</f>
        <v>48</v>
      </c>
      <c r="H295" s="15">
        <v>642148</v>
      </c>
      <c r="I295" s="1">
        <v>46072</v>
      </c>
      <c r="J295" s="1">
        <v>46102</v>
      </c>
      <c r="K295" s="18" t="s">
        <v>1515</v>
      </c>
      <c r="L295" s="18" t="s">
        <v>984</v>
      </c>
      <c r="M295" s="18" t="s">
        <v>19</v>
      </c>
      <c r="N295" s="18" t="s">
        <v>1518</v>
      </c>
      <c r="O295">
        <v>1</v>
      </c>
    </row>
    <row r="296" spans="1:15" x14ac:dyDescent="0.25">
      <c r="A296" s="18" t="s">
        <v>7276</v>
      </c>
      <c r="B296" s="18" t="s">
        <v>1661</v>
      </c>
      <c r="C296" s="18" t="s">
        <v>1662</v>
      </c>
      <c r="D296" s="18" t="s">
        <v>1587</v>
      </c>
      <c r="E296" s="18" t="s">
        <v>6675</v>
      </c>
      <c r="F296" s="2">
        <f>+J296-I296</f>
        <v>1</v>
      </c>
      <c r="G296" s="2">
        <f ca="1">+TODAY()-I296</f>
        <v>14</v>
      </c>
      <c r="H296" s="15">
        <v>3</v>
      </c>
      <c r="I296" s="1">
        <v>46106</v>
      </c>
      <c r="J296" s="1">
        <v>46107</v>
      </c>
      <c r="K296" s="18" t="s">
        <v>1589</v>
      </c>
      <c r="L296" s="18" t="s">
        <v>984</v>
      </c>
      <c r="M296" s="18" t="s">
        <v>19</v>
      </c>
      <c r="N296" s="18" t="s">
        <v>1663</v>
      </c>
      <c r="O296">
        <v>1</v>
      </c>
    </row>
    <row r="297" spans="1:15" x14ac:dyDescent="0.25">
      <c r="A297" s="18" t="s">
        <v>7276</v>
      </c>
      <c r="B297" s="18" t="s">
        <v>1661</v>
      </c>
      <c r="C297" s="18" t="s">
        <v>1662</v>
      </c>
      <c r="D297" s="18" t="s">
        <v>1587</v>
      </c>
      <c r="E297" s="18" t="s">
        <v>6676</v>
      </c>
      <c r="F297" s="2">
        <f>+J297-I297</f>
        <v>1</v>
      </c>
      <c r="G297" s="2">
        <f ca="1">+TODAY()-I297</f>
        <v>14</v>
      </c>
      <c r="H297" s="15">
        <v>12600000</v>
      </c>
      <c r="I297" s="1">
        <v>46106</v>
      </c>
      <c r="J297" s="1">
        <v>46107</v>
      </c>
      <c r="K297" s="18" t="s">
        <v>1589</v>
      </c>
      <c r="L297" s="18" t="s">
        <v>984</v>
      </c>
      <c r="M297" s="18" t="s">
        <v>19</v>
      </c>
      <c r="N297" s="18" t="s">
        <v>1663</v>
      </c>
      <c r="O297">
        <v>1</v>
      </c>
    </row>
    <row r="298" spans="1:15" x14ac:dyDescent="0.25">
      <c r="A298" s="18" t="s">
        <v>7276</v>
      </c>
      <c r="B298" s="18" t="s">
        <v>1661</v>
      </c>
      <c r="C298" s="18" t="s">
        <v>1662</v>
      </c>
      <c r="D298" s="18" t="s">
        <v>1587</v>
      </c>
      <c r="E298" s="18" t="s">
        <v>6677</v>
      </c>
      <c r="F298" s="2">
        <f>+J298-I298</f>
        <v>1</v>
      </c>
      <c r="G298" s="2">
        <f ca="1">+TODAY()-I298</f>
        <v>14</v>
      </c>
      <c r="H298" s="15">
        <v>1158384</v>
      </c>
      <c r="I298" s="1">
        <v>46106</v>
      </c>
      <c r="J298" s="1">
        <v>46107</v>
      </c>
      <c r="K298" s="18" t="s">
        <v>1589</v>
      </c>
      <c r="L298" s="18" t="s">
        <v>984</v>
      </c>
      <c r="M298" s="18" t="s">
        <v>19</v>
      </c>
      <c r="N298" s="18" t="s">
        <v>1663</v>
      </c>
      <c r="O298">
        <v>1</v>
      </c>
    </row>
    <row r="299" spans="1:15" x14ac:dyDescent="0.25">
      <c r="A299" s="18" t="s">
        <v>7276</v>
      </c>
      <c r="B299" s="18" t="s">
        <v>1661</v>
      </c>
      <c r="C299" s="18" t="s">
        <v>1662</v>
      </c>
      <c r="D299" s="18" t="s">
        <v>1587</v>
      </c>
      <c r="E299" s="18" t="s">
        <v>6678</v>
      </c>
      <c r="F299" s="2">
        <f>+J299-I299</f>
        <v>1</v>
      </c>
      <c r="G299" s="2">
        <f ca="1">+TODAY()-I299</f>
        <v>14</v>
      </c>
      <c r="H299" s="15">
        <v>2308251</v>
      </c>
      <c r="I299" s="1">
        <v>46106</v>
      </c>
      <c r="J299" s="1">
        <v>46107</v>
      </c>
      <c r="K299" s="18" t="s">
        <v>1589</v>
      </c>
      <c r="L299" s="18" t="s">
        <v>984</v>
      </c>
      <c r="M299" s="18" t="s">
        <v>19</v>
      </c>
      <c r="N299" s="18" t="s">
        <v>1663</v>
      </c>
      <c r="O299">
        <v>1</v>
      </c>
    </row>
    <row r="300" spans="1:15" x14ac:dyDescent="0.25">
      <c r="A300" s="18" t="s">
        <v>7276</v>
      </c>
      <c r="B300" s="18" t="s">
        <v>1661</v>
      </c>
      <c r="C300" s="18" t="s">
        <v>1662</v>
      </c>
      <c r="D300" s="18" t="s">
        <v>1587</v>
      </c>
      <c r="E300" s="18" t="s">
        <v>6679</v>
      </c>
      <c r="F300" s="2">
        <f>+J300-I300</f>
        <v>1</v>
      </c>
      <c r="G300" s="2">
        <f ca="1">+TODAY()-I300</f>
        <v>14</v>
      </c>
      <c r="H300" s="15">
        <v>659200</v>
      </c>
      <c r="I300" s="1">
        <v>46106</v>
      </c>
      <c r="J300" s="1">
        <v>46107</v>
      </c>
      <c r="K300" s="18" t="s">
        <v>1589</v>
      </c>
      <c r="L300" s="18" t="s">
        <v>984</v>
      </c>
      <c r="M300" s="18" t="s">
        <v>19</v>
      </c>
      <c r="N300" s="18" t="s">
        <v>1663</v>
      </c>
      <c r="O300">
        <v>1</v>
      </c>
    </row>
    <row r="301" spans="1:15" x14ac:dyDescent="0.25">
      <c r="A301" s="18" t="s">
        <v>7276</v>
      </c>
      <c r="B301" s="18" t="s">
        <v>1661</v>
      </c>
      <c r="C301" s="18" t="s">
        <v>1662</v>
      </c>
      <c r="D301" s="18" t="s">
        <v>1587</v>
      </c>
      <c r="E301" s="18" t="s">
        <v>6680</v>
      </c>
      <c r="F301" s="2">
        <f>+J301-I301</f>
        <v>1</v>
      </c>
      <c r="G301" s="2">
        <f ca="1">+TODAY()-I301</f>
        <v>14</v>
      </c>
      <c r="H301" s="15">
        <v>760970</v>
      </c>
      <c r="I301" s="1">
        <v>46106</v>
      </c>
      <c r="J301" s="1">
        <v>46107</v>
      </c>
      <c r="K301" s="18" t="s">
        <v>1589</v>
      </c>
      <c r="L301" s="18" t="s">
        <v>984</v>
      </c>
      <c r="M301" s="18" t="s">
        <v>19</v>
      </c>
      <c r="N301" s="18" t="s">
        <v>1663</v>
      </c>
      <c r="O301">
        <v>1</v>
      </c>
    </row>
    <row r="302" spans="1:15" x14ac:dyDescent="0.25">
      <c r="A302" s="18" t="s">
        <v>7276</v>
      </c>
      <c r="B302" s="18" t="s">
        <v>1661</v>
      </c>
      <c r="C302" s="18" t="s">
        <v>1662</v>
      </c>
      <c r="D302" s="18" t="s">
        <v>1587</v>
      </c>
      <c r="E302" s="18" t="s">
        <v>7827</v>
      </c>
      <c r="F302" s="2">
        <f>+J302-I302</f>
        <v>1</v>
      </c>
      <c r="G302" s="2">
        <f ca="1">+TODAY()-I302</f>
        <v>1</v>
      </c>
      <c r="H302" s="15">
        <v>5</v>
      </c>
      <c r="I302" s="1">
        <v>46119</v>
      </c>
      <c r="J302" s="1">
        <v>46120</v>
      </c>
      <c r="K302" s="18" t="s">
        <v>1589</v>
      </c>
      <c r="L302" s="18" t="s">
        <v>984</v>
      </c>
      <c r="M302" s="18" t="s">
        <v>19</v>
      </c>
      <c r="N302" s="18" t="s">
        <v>1663</v>
      </c>
      <c r="O302">
        <v>1</v>
      </c>
    </row>
    <row r="303" spans="1:15" x14ac:dyDescent="0.25">
      <c r="A303" s="18" t="s">
        <v>7276</v>
      </c>
      <c r="B303" s="18" t="s">
        <v>1661</v>
      </c>
      <c r="C303" s="18" t="s">
        <v>1662</v>
      </c>
      <c r="D303" s="18" t="s">
        <v>1587</v>
      </c>
      <c r="E303" s="18" t="s">
        <v>7828</v>
      </c>
      <c r="F303" s="2">
        <f>+J303-I303</f>
        <v>1</v>
      </c>
      <c r="G303" s="2">
        <f ca="1">+TODAY()-I303</f>
        <v>1</v>
      </c>
      <c r="H303" s="15">
        <v>10884400</v>
      </c>
      <c r="I303" s="1">
        <v>46119</v>
      </c>
      <c r="J303" s="1">
        <v>46120</v>
      </c>
      <c r="K303" s="18" t="s">
        <v>1589</v>
      </c>
      <c r="L303" s="18" t="s">
        <v>984</v>
      </c>
      <c r="M303" s="18" t="s">
        <v>19</v>
      </c>
      <c r="N303" s="18" t="s">
        <v>1663</v>
      </c>
      <c r="O303">
        <v>1</v>
      </c>
    </row>
    <row r="304" spans="1:15" x14ac:dyDescent="0.25">
      <c r="A304" s="18" t="s">
        <v>7276</v>
      </c>
      <c r="B304" s="18" t="s">
        <v>1661</v>
      </c>
      <c r="C304" s="18" t="s">
        <v>1662</v>
      </c>
      <c r="D304" s="18" t="s">
        <v>1587</v>
      </c>
      <c r="E304" s="18" t="s">
        <v>7840</v>
      </c>
      <c r="F304" s="2">
        <f>+J304-I304</f>
        <v>1</v>
      </c>
      <c r="G304" s="2">
        <f ca="1">+TODAY()-I304</f>
        <v>1</v>
      </c>
      <c r="H304" s="15">
        <v>439500</v>
      </c>
      <c r="I304" s="1">
        <v>46119</v>
      </c>
      <c r="J304" s="1">
        <v>46120</v>
      </c>
      <c r="K304" s="18" t="s">
        <v>1589</v>
      </c>
      <c r="L304" s="18" t="s">
        <v>984</v>
      </c>
      <c r="M304" s="18" t="s">
        <v>19</v>
      </c>
      <c r="N304" s="18" t="s">
        <v>1663</v>
      </c>
      <c r="O304">
        <v>1</v>
      </c>
    </row>
    <row r="305" spans="1:15" x14ac:dyDescent="0.25">
      <c r="A305" s="18" t="s">
        <v>7276</v>
      </c>
      <c r="B305" s="18" t="s">
        <v>1661</v>
      </c>
      <c r="C305" s="18" t="s">
        <v>1662</v>
      </c>
      <c r="D305" s="18" t="s">
        <v>1587</v>
      </c>
      <c r="E305" s="18" t="s">
        <v>1686</v>
      </c>
      <c r="F305" s="2">
        <f>+J305-I305</f>
        <v>30</v>
      </c>
      <c r="G305" s="2">
        <f ca="1">+TODAY()-I305</f>
        <v>1812</v>
      </c>
      <c r="H305" s="15">
        <v>38646651</v>
      </c>
      <c r="I305" s="1">
        <v>44308</v>
      </c>
      <c r="J305" s="1">
        <v>44338</v>
      </c>
      <c r="K305" s="18" t="s">
        <v>1589</v>
      </c>
      <c r="L305" s="18" t="s">
        <v>90</v>
      </c>
      <c r="M305" s="18" t="s">
        <v>19</v>
      </c>
      <c r="N305" s="18" t="s">
        <v>1663</v>
      </c>
      <c r="O305">
        <v>1</v>
      </c>
    </row>
    <row r="306" spans="1:15" x14ac:dyDescent="0.25">
      <c r="A306" s="18" t="s">
        <v>7276</v>
      </c>
      <c r="B306" s="18" t="s">
        <v>7524</v>
      </c>
      <c r="C306" s="18" t="s">
        <v>7525</v>
      </c>
      <c r="D306" s="18" t="s">
        <v>1118</v>
      </c>
      <c r="E306" s="18" t="s">
        <v>7526</v>
      </c>
      <c r="F306" s="2">
        <f>+J306-I306</f>
        <v>1</v>
      </c>
      <c r="G306" s="2">
        <f ca="1">+TODAY()-I306</f>
        <v>7</v>
      </c>
      <c r="H306" s="15">
        <v>58796</v>
      </c>
      <c r="I306" s="1">
        <v>46113</v>
      </c>
      <c r="J306" s="1">
        <v>46114</v>
      </c>
      <c r="K306" s="18" t="s">
        <v>1144</v>
      </c>
      <c r="L306" s="18" t="s">
        <v>321</v>
      </c>
      <c r="M306" s="18" t="s">
        <v>19</v>
      </c>
      <c r="N306" s="18" t="s">
        <v>7527</v>
      </c>
      <c r="O306">
        <v>1</v>
      </c>
    </row>
    <row r="307" spans="1:15" x14ac:dyDescent="0.25">
      <c r="A307" s="18" t="s">
        <v>7276</v>
      </c>
      <c r="B307" s="18" t="s">
        <v>7524</v>
      </c>
      <c r="C307" s="18" t="s">
        <v>7525</v>
      </c>
      <c r="D307" s="18" t="s">
        <v>1118</v>
      </c>
      <c r="E307" s="18" t="s">
        <v>7528</v>
      </c>
      <c r="F307" s="2">
        <f>+J307-I307</f>
        <v>1</v>
      </c>
      <c r="G307" s="2">
        <f ca="1">+TODAY()-I307</f>
        <v>7</v>
      </c>
      <c r="H307" s="15">
        <v>388492</v>
      </c>
      <c r="I307" s="1">
        <v>46113</v>
      </c>
      <c r="J307" s="1">
        <v>46114</v>
      </c>
      <c r="K307" s="18" t="s">
        <v>1144</v>
      </c>
      <c r="L307" s="18" t="s">
        <v>321</v>
      </c>
      <c r="M307" s="18" t="s">
        <v>19</v>
      </c>
      <c r="N307" s="18" t="s">
        <v>7527</v>
      </c>
      <c r="O307">
        <v>1</v>
      </c>
    </row>
    <row r="308" spans="1:15" x14ac:dyDescent="0.25">
      <c r="A308" s="18" t="s">
        <v>7276</v>
      </c>
      <c r="B308" s="18" t="s">
        <v>1585</v>
      </c>
      <c r="C308" s="18" t="s">
        <v>1586</v>
      </c>
      <c r="D308" s="18" t="s">
        <v>1587</v>
      </c>
      <c r="E308" s="18" t="s">
        <v>1588</v>
      </c>
      <c r="F308" s="2">
        <f>+J308-I308</f>
        <v>25</v>
      </c>
      <c r="G308" s="2">
        <f ca="1">+TODAY()-I308</f>
        <v>2911</v>
      </c>
      <c r="H308" s="15">
        <v>576764</v>
      </c>
      <c r="I308" s="1">
        <v>43209</v>
      </c>
      <c r="J308" s="1">
        <v>43234</v>
      </c>
      <c r="K308" s="18" t="s">
        <v>1589</v>
      </c>
      <c r="L308" s="18" t="s">
        <v>90</v>
      </c>
      <c r="M308" s="18" t="s">
        <v>19</v>
      </c>
      <c r="N308" s="18" t="s">
        <v>1590</v>
      </c>
      <c r="O308">
        <v>30</v>
      </c>
    </row>
    <row r="309" spans="1:15" x14ac:dyDescent="0.25">
      <c r="A309" s="18" t="s">
        <v>7276</v>
      </c>
      <c r="B309" s="18" t="s">
        <v>6068</v>
      </c>
      <c r="C309" s="18" t="s">
        <v>6069</v>
      </c>
      <c r="D309" s="18" t="s">
        <v>1527</v>
      </c>
      <c r="E309" s="18" t="s">
        <v>6609</v>
      </c>
      <c r="F309" s="2">
        <f>+J309-I309</f>
        <v>30</v>
      </c>
      <c r="G309" s="2">
        <f ca="1">+TODAY()-I309</f>
        <v>13</v>
      </c>
      <c r="H309" s="15">
        <v>633579</v>
      </c>
      <c r="I309" s="1">
        <v>46107</v>
      </c>
      <c r="J309" s="1">
        <v>46137</v>
      </c>
      <c r="K309" s="18" t="s">
        <v>1528</v>
      </c>
      <c r="L309" s="18" t="s">
        <v>207</v>
      </c>
      <c r="M309" s="18" t="s">
        <v>19</v>
      </c>
      <c r="N309" s="18" t="s">
        <v>6070</v>
      </c>
      <c r="O309">
        <v>30</v>
      </c>
    </row>
    <row r="310" spans="1:15" x14ac:dyDescent="0.25">
      <c r="A310" s="18" t="s">
        <v>7276</v>
      </c>
      <c r="B310" s="18" t="s">
        <v>1511</v>
      </c>
      <c r="C310" s="18" t="s">
        <v>1512</v>
      </c>
      <c r="D310" s="18" t="s">
        <v>1507</v>
      </c>
      <c r="E310" s="18" t="s">
        <v>5136</v>
      </c>
      <c r="F310" s="2">
        <f>+J310-I310</f>
        <v>30</v>
      </c>
      <c r="G310" s="2">
        <f ca="1">+TODAY()-I310</f>
        <v>48</v>
      </c>
      <c r="H310" s="15">
        <v>830426</v>
      </c>
      <c r="I310" s="1">
        <v>46072</v>
      </c>
      <c r="J310" s="1">
        <v>46102</v>
      </c>
      <c r="K310" s="18" t="s">
        <v>1509</v>
      </c>
      <c r="L310" s="18" t="s">
        <v>984</v>
      </c>
      <c r="M310" s="18" t="s">
        <v>19</v>
      </c>
      <c r="N310" s="18" t="s">
        <v>1513</v>
      </c>
      <c r="O310">
        <v>30</v>
      </c>
    </row>
    <row r="311" spans="1:15" x14ac:dyDescent="0.25">
      <c r="A311" s="18" t="s">
        <v>7276</v>
      </c>
      <c r="B311" s="18" t="s">
        <v>1511</v>
      </c>
      <c r="C311" s="18" t="s">
        <v>1512</v>
      </c>
      <c r="D311" s="18" t="s">
        <v>1507</v>
      </c>
      <c r="E311" s="18" t="s">
        <v>5137</v>
      </c>
      <c r="F311" s="2">
        <f>+J311-I311</f>
        <v>30</v>
      </c>
      <c r="G311" s="2">
        <f ca="1">+TODAY()-I311</f>
        <v>48</v>
      </c>
      <c r="H311" s="15">
        <v>1239541</v>
      </c>
      <c r="I311" s="1">
        <v>46072</v>
      </c>
      <c r="J311" s="1">
        <v>46102</v>
      </c>
      <c r="K311" s="18" t="s">
        <v>1509</v>
      </c>
      <c r="L311" s="18" t="s">
        <v>984</v>
      </c>
      <c r="M311" s="18" t="s">
        <v>19</v>
      </c>
      <c r="N311" s="18" t="s">
        <v>1513</v>
      </c>
      <c r="O311">
        <v>30</v>
      </c>
    </row>
    <row r="312" spans="1:15" x14ac:dyDescent="0.25">
      <c r="A312" s="18" t="s">
        <v>7276</v>
      </c>
      <c r="B312" s="18" t="s">
        <v>1511</v>
      </c>
      <c r="C312" s="18" t="s">
        <v>1512</v>
      </c>
      <c r="D312" s="18" t="s">
        <v>1507</v>
      </c>
      <c r="E312" s="18" t="s">
        <v>7217</v>
      </c>
      <c r="F312" s="2">
        <f>+J312-I312</f>
        <v>30</v>
      </c>
      <c r="G312" s="2">
        <f ca="1">+TODAY()-I312</f>
        <v>8</v>
      </c>
      <c r="H312" s="15">
        <v>1358208</v>
      </c>
      <c r="I312" s="1">
        <v>46112</v>
      </c>
      <c r="J312" s="1">
        <v>46142</v>
      </c>
      <c r="K312" s="18" t="s">
        <v>1509</v>
      </c>
      <c r="L312" s="18" t="s">
        <v>984</v>
      </c>
      <c r="M312" s="18" t="s">
        <v>19</v>
      </c>
      <c r="N312" s="18" t="s">
        <v>1513</v>
      </c>
      <c r="O312">
        <v>30</v>
      </c>
    </row>
    <row r="313" spans="1:15" x14ac:dyDescent="0.25">
      <c r="A313" s="18" t="s">
        <v>7276</v>
      </c>
      <c r="B313" s="18" t="s">
        <v>6532</v>
      </c>
      <c r="C313" s="18" t="s">
        <v>6533</v>
      </c>
      <c r="D313" s="18" t="s">
        <v>1209</v>
      </c>
      <c r="E313" s="18" t="s">
        <v>7125</v>
      </c>
      <c r="F313" s="2">
        <f>+J313-I313</f>
        <v>1</v>
      </c>
      <c r="G313" s="2">
        <f ca="1">+TODAY()-I313</f>
        <v>8</v>
      </c>
      <c r="H313" s="15">
        <v>78716</v>
      </c>
      <c r="I313" s="1">
        <v>46112</v>
      </c>
      <c r="J313" s="1">
        <v>46113</v>
      </c>
      <c r="K313" s="18" t="s">
        <v>1202</v>
      </c>
      <c r="L313" s="18" t="s">
        <v>321</v>
      </c>
      <c r="M313" s="18" t="s">
        <v>19</v>
      </c>
      <c r="N313" s="18" t="s">
        <v>6534</v>
      </c>
      <c r="O313">
        <v>30</v>
      </c>
    </row>
    <row r="314" spans="1:15" x14ac:dyDescent="0.25">
      <c r="A314" s="18" t="s">
        <v>7276</v>
      </c>
      <c r="B314" s="18" t="s">
        <v>351</v>
      </c>
      <c r="C314" s="18" t="s">
        <v>352</v>
      </c>
      <c r="D314" s="18" t="s">
        <v>204</v>
      </c>
      <c r="E314" s="18" t="s">
        <v>353</v>
      </c>
      <c r="F314" s="2">
        <f>+J314-I314</f>
        <v>30</v>
      </c>
      <c r="G314" s="2">
        <f ca="1">+TODAY()-I314</f>
        <v>841</v>
      </c>
      <c r="H314" s="15">
        <v>743426</v>
      </c>
      <c r="I314" s="1">
        <v>45279</v>
      </c>
      <c r="J314" s="1">
        <v>45309</v>
      </c>
      <c r="K314" s="18" t="s">
        <v>343</v>
      </c>
      <c r="L314" s="18" t="s">
        <v>18</v>
      </c>
      <c r="M314" s="18" t="s">
        <v>19</v>
      </c>
      <c r="N314" s="18" t="s">
        <v>6201</v>
      </c>
      <c r="O314">
        <v>30</v>
      </c>
    </row>
    <row r="315" spans="1:15" x14ac:dyDescent="0.25">
      <c r="A315" s="18" t="s">
        <v>7276</v>
      </c>
      <c r="B315" s="18" t="s">
        <v>351</v>
      </c>
      <c r="C315" s="18" t="s">
        <v>352</v>
      </c>
      <c r="D315" s="18" t="s">
        <v>204</v>
      </c>
      <c r="E315" s="18" t="s">
        <v>355</v>
      </c>
      <c r="F315" s="2">
        <f>+J315-I315</f>
        <v>30</v>
      </c>
      <c r="G315" s="2">
        <f ca="1">+TODAY()-I315</f>
        <v>824</v>
      </c>
      <c r="H315" s="15">
        <v>10114453</v>
      </c>
      <c r="I315" s="1">
        <v>45296</v>
      </c>
      <c r="J315" s="1">
        <v>45326</v>
      </c>
      <c r="K315" s="18" t="s">
        <v>343</v>
      </c>
      <c r="L315" s="18" t="s">
        <v>18</v>
      </c>
      <c r="M315" s="18" t="s">
        <v>19</v>
      </c>
      <c r="N315" s="18" t="s">
        <v>6201</v>
      </c>
      <c r="O315">
        <v>30</v>
      </c>
    </row>
    <row r="316" spans="1:15" x14ac:dyDescent="0.25">
      <c r="A316" s="18" t="s">
        <v>7276</v>
      </c>
      <c r="B316" s="18" t="s">
        <v>351</v>
      </c>
      <c r="C316" s="18" t="s">
        <v>352</v>
      </c>
      <c r="D316" s="18" t="s">
        <v>204</v>
      </c>
      <c r="E316" s="18" t="s">
        <v>356</v>
      </c>
      <c r="F316" s="2">
        <f>+J316-I316</f>
        <v>30</v>
      </c>
      <c r="G316" s="2">
        <f ca="1">+TODAY()-I316</f>
        <v>813</v>
      </c>
      <c r="H316" s="15">
        <v>6826177</v>
      </c>
      <c r="I316" s="1">
        <v>45307</v>
      </c>
      <c r="J316" s="1">
        <v>45337</v>
      </c>
      <c r="K316" s="18" t="s">
        <v>343</v>
      </c>
      <c r="L316" s="18" t="s">
        <v>18</v>
      </c>
      <c r="M316" s="18" t="s">
        <v>19</v>
      </c>
      <c r="N316" s="18" t="s">
        <v>6201</v>
      </c>
      <c r="O316">
        <v>30</v>
      </c>
    </row>
    <row r="317" spans="1:15" x14ac:dyDescent="0.25">
      <c r="A317" s="18" t="s">
        <v>7276</v>
      </c>
      <c r="B317" s="18" t="s">
        <v>351</v>
      </c>
      <c r="C317" s="18" t="s">
        <v>352</v>
      </c>
      <c r="D317" s="18" t="s">
        <v>204</v>
      </c>
      <c r="E317" s="18" t="s">
        <v>357</v>
      </c>
      <c r="F317" s="2">
        <f>+J317-I317</f>
        <v>30</v>
      </c>
      <c r="G317" s="2">
        <f ca="1">+TODAY()-I317</f>
        <v>813</v>
      </c>
      <c r="H317" s="15">
        <v>5315944</v>
      </c>
      <c r="I317" s="1">
        <v>45307</v>
      </c>
      <c r="J317" s="1">
        <v>45337</v>
      </c>
      <c r="K317" s="18" t="s">
        <v>343</v>
      </c>
      <c r="L317" s="18" t="s">
        <v>18</v>
      </c>
      <c r="M317" s="18" t="s">
        <v>19</v>
      </c>
      <c r="N317" s="18" t="s">
        <v>6201</v>
      </c>
      <c r="O317">
        <v>30</v>
      </c>
    </row>
    <row r="318" spans="1:15" x14ac:dyDescent="0.25">
      <c r="A318" s="18" t="s">
        <v>7276</v>
      </c>
      <c r="B318" s="18" t="s">
        <v>1652</v>
      </c>
      <c r="C318" s="18" t="s">
        <v>1653</v>
      </c>
      <c r="D318" s="18" t="s">
        <v>1587</v>
      </c>
      <c r="E318" s="18" t="s">
        <v>5837</v>
      </c>
      <c r="F318" s="2">
        <f>+J318-I318</f>
        <v>30</v>
      </c>
      <c r="G318" s="2">
        <f ca="1">+TODAY()-I318</f>
        <v>29</v>
      </c>
      <c r="H318" s="15">
        <v>309510</v>
      </c>
      <c r="I318" s="1">
        <v>46091</v>
      </c>
      <c r="J318" s="1">
        <v>46121</v>
      </c>
      <c r="K318" s="18" t="s">
        <v>1589</v>
      </c>
      <c r="L318" s="18" t="s">
        <v>984</v>
      </c>
      <c r="M318" s="18" t="s">
        <v>19</v>
      </c>
      <c r="N318" s="18" t="s">
        <v>1654</v>
      </c>
      <c r="O318">
        <v>30</v>
      </c>
    </row>
    <row r="319" spans="1:15" x14ac:dyDescent="0.25">
      <c r="A319" s="18" t="s">
        <v>7276</v>
      </c>
      <c r="B319" s="18" t="s">
        <v>1652</v>
      </c>
      <c r="C319" s="18" t="s">
        <v>1653</v>
      </c>
      <c r="D319" s="18" t="s">
        <v>1587</v>
      </c>
      <c r="E319" s="18" t="s">
        <v>6697</v>
      </c>
      <c r="F319" s="2">
        <f>+J319-I319</f>
        <v>30</v>
      </c>
      <c r="G319" s="2">
        <f ca="1">+TODAY()-I319</f>
        <v>13</v>
      </c>
      <c r="H319" s="15">
        <v>856011</v>
      </c>
      <c r="I319" s="1">
        <v>46107</v>
      </c>
      <c r="J319" s="1">
        <v>46137</v>
      </c>
      <c r="K319" s="18" t="s">
        <v>1589</v>
      </c>
      <c r="L319" s="18" t="s">
        <v>984</v>
      </c>
      <c r="M319" s="18" t="s">
        <v>19</v>
      </c>
      <c r="N319" s="18" t="s">
        <v>1654</v>
      </c>
      <c r="O319">
        <v>30</v>
      </c>
    </row>
    <row r="320" spans="1:15" x14ac:dyDescent="0.25">
      <c r="A320" s="18" t="s">
        <v>7276</v>
      </c>
      <c r="B320" s="18" t="s">
        <v>1652</v>
      </c>
      <c r="C320" s="18" t="s">
        <v>1653</v>
      </c>
      <c r="D320" s="18" t="s">
        <v>1587</v>
      </c>
      <c r="E320" s="18" t="s">
        <v>7826</v>
      </c>
      <c r="F320" s="2">
        <f>+J320-I320</f>
        <v>30</v>
      </c>
      <c r="G320" s="2">
        <f ca="1">+TODAY()-I320</f>
        <v>1</v>
      </c>
      <c r="H320" s="15">
        <v>147500</v>
      </c>
      <c r="I320" s="1">
        <v>46119</v>
      </c>
      <c r="J320" s="1">
        <v>46149</v>
      </c>
      <c r="K320" s="18" t="s">
        <v>1589</v>
      </c>
      <c r="L320" s="18" t="s">
        <v>984</v>
      </c>
      <c r="M320" s="18" t="s">
        <v>19</v>
      </c>
      <c r="N320" s="18" t="s">
        <v>1654</v>
      </c>
      <c r="O320">
        <v>30</v>
      </c>
    </row>
    <row r="321" spans="1:15" x14ac:dyDescent="0.25">
      <c r="A321" s="18" t="s">
        <v>7276</v>
      </c>
      <c r="B321" s="18" t="s">
        <v>1361</v>
      </c>
      <c r="C321" s="18" t="s">
        <v>1362</v>
      </c>
      <c r="D321" s="18" t="s">
        <v>382</v>
      </c>
      <c r="E321" s="18" t="s">
        <v>6052</v>
      </c>
      <c r="F321" s="2">
        <f>+J321-I321</f>
        <v>30</v>
      </c>
      <c r="G321" s="2">
        <f ca="1">+TODAY()-I321</f>
        <v>26</v>
      </c>
      <c r="H321" s="15">
        <v>1761343</v>
      </c>
      <c r="I321" s="1">
        <v>46094</v>
      </c>
      <c r="J321" s="1">
        <v>46124</v>
      </c>
      <c r="K321" s="18" t="s">
        <v>1325</v>
      </c>
      <c r="L321" s="18" t="s">
        <v>90</v>
      </c>
      <c r="M321" s="18" t="s">
        <v>19</v>
      </c>
      <c r="N321" s="18" t="s">
        <v>1363</v>
      </c>
      <c r="O321">
        <v>30</v>
      </c>
    </row>
    <row r="322" spans="1:15" x14ac:dyDescent="0.25">
      <c r="A322" s="18" t="s">
        <v>7276</v>
      </c>
      <c r="B322" s="18" t="s">
        <v>1361</v>
      </c>
      <c r="C322" s="18" t="s">
        <v>1362</v>
      </c>
      <c r="D322" s="18" t="s">
        <v>382</v>
      </c>
      <c r="E322" s="18" t="s">
        <v>7188</v>
      </c>
      <c r="F322" s="2">
        <f>+J322-I322</f>
        <v>30</v>
      </c>
      <c r="G322" s="2">
        <f ca="1">+TODAY()-I322</f>
        <v>11</v>
      </c>
      <c r="H322" s="15">
        <v>4096192</v>
      </c>
      <c r="I322" s="1">
        <v>46109</v>
      </c>
      <c r="J322" s="1">
        <v>46139</v>
      </c>
      <c r="K322" s="18" t="s">
        <v>1325</v>
      </c>
      <c r="L322" s="18" t="s">
        <v>90</v>
      </c>
      <c r="M322" s="18" t="s">
        <v>19</v>
      </c>
      <c r="N322" s="18" t="s">
        <v>1363</v>
      </c>
      <c r="O322">
        <v>30</v>
      </c>
    </row>
    <row r="323" spans="1:15" x14ac:dyDescent="0.25">
      <c r="A323" s="18" t="s">
        <v>7276</v>
      </c>
      <c r="B323" s="18" t="s">
        <v>6856</v>
      </c>
      <c r="C323" s="18" t="s">
        <v>6857</v>
      </c>
      <c r="D323" s="18" t="s">
        <v>15</v>
      </c>
      <c r="E323" s="18" t="s">
        <v>6858</v>
      </c>
      <c r="F323" s="2">
        <f>+J323-I323</f>
        <v>1</v>
      </c>
      <c r="G323" s="2">
        <f ca="1">+TODAY()-I323</f>
        <v>9</v>
      </c>
      <c r="H323" s="15">
        <v>39990</v>
      </c>
      <c r="I323" s="1">
        <v>46111</v>
      </c>
      <c r="J323" s="1">
        <v>46112</v>
      </c>
      <c r="K323" s="18" t="s">
        <v>17</v>
      </c>
      <c r="L323" s="18" t="s">
        <v>312</v>
      </c>
      <c r="M323" s="18" t="s">
        <v>19</v>
      </c>
      <c r="N323" s="18" t="s">
        <v>6859</v>
      </c>
      <c r="O323">
        <v>1</v>
      </c>
    </row>
    <row r="324" spans="1:15" x14ac:dyDescent="0.25">
      <c r="A324" s="18" t="s">
        <v>7276</v>
      </c>
      <c r="B324" s="18" t="s">
        <v>6856</v>
      </c>
      <c r="C324" s="18" t="s">
        <v>6857</v>
      </c>
      <c r="D324" s="18" t="s">
        <v>15</v>
      </c>
      <c r="E324" s="18" t="s">
        <v>6896</v>
      </c>
      <c r="F324" s="2">
        <f>+J324-I324</f>
        <v>1</v>
      </c>
      <c r="G324" s="2">
        <f ca="1">+TODAY()-I324</f>
        <v>8</v>
      </c>
      <c r="H324" s="15">
        <v>338200</v>
      </c>
      <c r="I324" s="1">
        <v>46112</v>
      </c>
      <c r="J324" s="1">
        <v>46113</v>
      </c>
      <c r="K324" s="18" t="s">
        <v>17</v>
      </c>
      <c r="L324" s="18" t="s">
        <v>312</v>
      </c>
      <c r="M324" s="18" t="s">
        <v>19</v>
      </c>
      <c r="N324" s="18" t="s">
        <v>6859</v>
      </c>
      <c r="O324">
        <v>1</v>
      </c>
    </row>
    <row r="325" spans="1:15" x14ac:dyDescent="0.25">
      <c r="A325" s="18" t="s">
        <v>7276</v>
      </c>
      <c r="B325" s="18" t="s">
        <v>7248</v>
      </c>
      <c r="C325" s="18" t="s">
        <v>7249</v>
      </c>
      <c r="D325" s="18" t="s">
        <v>1947</v>
      </c>
      <c r="E325" s="18" t="s">
        <v>7250</v>
      </c>
      <c r="F325" s="2">
        <f>+J325-I325</f>
        <v>1</v>
      </c>
      <c r="G325" s="2">
        <f ca="1">+TODAY()-I325</f>
        <v>9</v>
      </c>
      <c r="H325" s="15">
        <v>218249</v>
      </c>
      <c r="I325" s="1">
        <v>46111</v>
      </c>
      <c r="J325" s="1">
        <v>46112</v>
      </c>
      <c r="K325" s="18" t="s">
        <v>1734</v>
      </c>
      <c r="L325" s="18" t="s">
        <v>312</v>
      </c>
      <c r="M325" s="18" t="s">
        <v>19</v>
      </c>
      <c r="N325" s="18" t="s">
        <v>149</v>
      </c>
      <c r="O325">
        <v>30</v>
      </c>
    </row>
    <row r="326" spans="1:15" x14ac:dyDescent="0.25">
      <c r="A326" s="18" t="s">
        <v>7276</v>
      </c>
      <c r="B326" s="18" t="s">
        <v>2095</v>
      </c>
      <c r="C326" s="18" t="s">
        <v>2096</v>
      </c>
      <c r="D326" s="18" t="s">
        <v>1138</v>
      </c>
      <c r="E326" s="18" t="s">
        <v>2097</v>
      </c>
      <c r="F326" s="2">
        <f>+J326-I326</f>
        <v>1</v>
      </c>
      <c r="G326" s="2">
        <f ca="1">+TODAY()-I326</f>
        <v>159</v>
      </c>
      <c r="H326" s="15">
        <v>30700</v>
      </c>
      <c r="I326" s="1">
        <v>45961</v>
      </c>
      <c r="J326" s="1">
        <v>45962</v>
      </c>
      <c r="K326" s="18" t="s">
        <v>1144</v>
      </c>
      <c r="L326" s="18" t="s">
        <v>321</v>
      </c>
      <c r="M326" s="18" t="s">
        <v>19</v>
      </c>
      <c r="N326" s="18" t="s">
        <v>2098</v>
      </c>
      <c r="O326">
        <v>1</v>
      </c>
    </row>
    <row r="327" spans="1:15" x14ac:dyDescent="0.25">
      <c r="A327" s="18" t="s">
        <v>7276</v>
      </c>
      <c r="B327" s="18" t="s">
        <v>2846</v>
      </c>
      <c r="C327" s="18" t="s">
        <v>2847</v>
      </c>
      <c r="D327" s="18" t="s">
        <v>382</v>
      </c>
      <c r="E327" s="18" t="s">
        <v>7182</v>
      </c>
      <c r="F327" s="2">
        <f>+J327-I327</f>
        <v>15</v>
      </c>
      <c r="G327" s="2">
        <f ca="1">+TODAY()-I327</f>
        <v>11</v>
      </c>
      <c r="H327" s="15">
        <v>498278</v>
      </c>
      <c r="I327" s="1">
        <v>46109</v>
      </c>
      <c r="J327" s="1">
        <v>46124</v>
      </c>
      <c r="K327" s="18" t="s">
        <v>1325</v>
      </c>
      <c r="L327" s="18" t="s">
        <v>90</v>
      </c>
      <c r="M327" s="18" t="s">
        <v>2848</v>
      </c>
      <c r="N327" s="18" t="s">
        <v>2849</v>
      </c>
      <c r="O327">
        <v>15</v>
      </c>
    </row>
    <row r="328" spans="1:15" x14ac:dyDescent="0.25">
      <c r="A328" s="18" t="s">
        <v>7276</v>
      </c>
      <c r="B328" s="18" t="s">
        <v>2170</v>
      </c>
      <c r="C328" s="18" t="s">
        <v>2171</v>
      </c>
      <c r="D328" s="18" t="s">
        <v>15</v>
      </c>
      <c r="E328" s="18" t="s">
        <v>6826</v>
      </c>
      <c r="F328" s="2">
        <f>+J328-I328</f>
        <v>1</v>
      </c>
      <c r="G328" s="2">
        <f ca="1">+TODAY()-I328</f>
        <v>8</v>
      </c>
      <c r="H328" s="15">
        <v>145101</v>
      </c>
      <c r="I328" s="1">
        <v>46112</v>
      </c>
      <c r="J328" s="1">
        <v>46113</v>
      </c>
      <c r="K328" s="18" t="s">
        <v>17</v>
      </c>
      <c r="L328" s="18" t="s">
        <v>32</v>
      </c>
      <c r="M328" s="18" t="s">
        <v>19</v>
      </c>
      <c r="N328" s="18" t="s">
        <v>2172</v>
      </c>
      <c r="O328">
        <v>30</v>
      </c>
    </row>
    <row r="329" spans="1:15" x14ac:dyDescent="0.25">
      <c r="A329" s="18" t="s">
        <v>7276</v>
      </c>
      <c r="B329" s="18" t="s">
        <v>2170</v>
      </c>
      <c r="C329" s="18" t="s">
        <v>2171</v>
      </c>
      <c r="D329" s="18" t="s">
        <v>15</v>
      </c>
      <c r="E329" s="18" t="s">
        <v>6840</v>
      </c>
      <c r="F329" s="2">
        <f>+J329-I329</f>
        <v>1</v>
      </c>
      <c r="G329" s="2">
        <f ca="1">+TODAY()-I329</f>
        <v>8</v>
      </c>
      <c r="H329" s="15">
        <v>200406</v>
      </c>
      <c r="I329" s="1">
        <v>46112</v>
      </c>
      <c r="J329" s="1">
        <v>46113</v>
      </c>
      <c r="K329" s="18" t="s">
        <v>17</v>
      </c>
      <c r="L329" s="18" t="s">
        <v>32</v>
      </c>
      <c r="M329" s="18" t="s">
        <v>19</v>
      </c>
      <c r="N329" s="18" t="s">
        <v>2172</v>
      </c>
      <c r="O329">
        <v>30</v>
      </c>
    </row>
    <row r="330" spans="1:15" x14ac:dyDescent="0.25">
      <c r="A330" s="18" t="s">
        <v>7276</v>
      </c>
      <c r="B330" s="18" t="s">
        <v>2170</v>
      </c>
      <c r="C330" s="18" t="s">
        <v>2171</v>
      </c>
      <c r="D330" s="18" t="s">
        <v>15</v>
      </c>
      <c r="E330" s="18" t="s">
        <v>6903</v>
      </c>
      <c r="F330" s="2">
        <f>+J330-I330</f>
        <v>1</v>
      </c>
      <c r="G330" s="2">
        <f ca="1">+TODAY()-I330</f>
        <v>8</v>
      </c>
      <c r="H330" s="15">
        <v>319902</v>
      </c>
      <c r="I330" s="1">
        <v>46112</v>
      </c>
      <c r="J330" s="1">
        <v>46113</v>
      </c>
      <c r="K330" s="18" t="s">
        <v>17</v>
      </c>
      <c r="L330" s="18" t="s">
        <v>317</v>
      </c>
      <c r="M330" s="18" t="s">
        <v>19</v>
      </c>
      <c r="N330" s="18" t="s">
        <v>2172</v>
      </c>
      <c r="O330">
        <v>30</v>
      </c>
    </row>
    <row r="331" spans="1:15" x14ac:dyDescent="0.25">
      <c r="A331" s="18" t="s">
        <v>7276</v>
      </c>
      <c r="B331" s="18" t="s">
        <v>1572</v>
      </c>
      <c r="C331" s="18" t="s">
        <v>1573</v>
      </c>
      <c r="D331" s="18" t="s">
        <v>1563</v>
      </c>
      <c r="E331" s="18" t="s">
        <v>5489</v>
      </c>
      <c r="F331" s="2">
        <f>+J331-I331</f>
        <v>30</v>
      </c>
      <c r="G331" s="2">
        <f ca="1">+TODAY()-I331</f>
        <v>35</v>
      </c>
      <c r="H331" s="15">
        <v>504000</v>
      </c>
      <c r="I331" s="1">
        <v>46085</v>
      </c>
      <c r="J331" s="1">
        <v>46115</v>
      </c>
      <c r="K331" s="18" t="s">
        <v>1564</v>
      </c>
      <c r="L331" s="18" t="s">
        <v>984</v>
      </c>
      <c r="M331" s="18" t="s">
        <v>19</v>
      </c>
      <c r="N331" s="18" t="s">
        <v>1574</v>
      </c>
      <c r="O331">
        <v>30</v>
      </c>
    </row>
    <row r="332" spans="1:15" x14ac:dyDescent="0.25">
      <c r="A332" s="18" t="s">
        <v>7276</v>
      </c>
      <c r="B332" s="18" t="s">
        <v>1572</v>
      </c>
      <c r="C332" s="18" t="s">
        <v>1573</v>
      </c>
      <c r="D332" s="18" t="s">
        <v>1563</v>
      </c>
      <c r="E332" s="18" t="s">
        <v>5494</v>
      </c>
      <c r="F332" s="2">
        <f>+J332-I332</f>
        <v>30</v>
      </c>
      <c r="G332" s="2">
        <f ca="1">+TODAY()-I332</f>
        <v>35</v>
      </c>
      <c r="H332" s="15">
        <v>356416</v>
      </c>
      <c r="I332" s="1">
        <v>46085</v>
      </c>
      <c r="J332" s="1">
        <v>46115</v>
      </c>
      <c r="K332" s="18" t="s">
        <v>1564</v>
      </c>
      <c r="L332" s="18" t="s">
        <v>984</v>
      </c>
      <c r="M332" s="18" t="s">
        <v>19</v>
      </c>
      <c r="N332" s="18" t="s">
        <v>1574</v>
      </c>
      <c r="O332">
        <v>30</v>
      </c>
    </row>
    <row r="333" spans="1:15" x14ac:dyDescent="0.25">
      <c r="A333" s="18" t="s">
        <v>7276</v>
      </c>
      <c r="B333" s="18" t="s">
        <v>1572</v>
      </c>
      <c r="C333" s="18" t="s">
        <v>1573</v>
      </c>
      <c r="D333" s="18" t="s">
        <v>1563</v>
      </c>
      <c r="E333" s="18" t="s">
        <v>6082</v>
      </c>
      <c r="F333" s="2">
        <f>+J333-I333</f>
        <v>30</v>
      </c>
      <c r="G333" s="2">
        <f ca="1">+TODAY()-I333</f>
        <v>22</v>
      </c>
      <c r="H333" s="15">
        <v>48000</v>
      </c>
      <c r="I333" s="1">
        <v>46098</v>
      </c>
      <c r="J333" s="1">
        <v>46128</v>
      </c>
      <c r="K333" s="18" t="s">
        <v>1564</v>
      </c>
      <c r="L333" s="18" t="s">
        <v>984</v>
      </c>
      <c r="M333" s="18" t="s">
        <v>19</v>
      </c>
      <c r="N333" s="18" t="s">
        <v>1574</v>
      </c>
      <c r="O333">
        <v>30</v>
      </c>
    </row>
    <row r="334" spans="1:15" x14ac:dyDescent="0.25">
      <c r="A334" s="18" t="s">
        <v>7276</v>
      </c>
      <c r="B334" s="18" t="s">
        <v>1572</v>
      </c>
      <c r="C334" s="18" t="s">
        <v>1573</v>
      </c>
      <c r="D334" s="18" t="s">
        <v>1563</v>
      </c>
      <c r="E334" s="18" t="s">
        <v>6083</v>
      </c>
      <c r="F334" s="2">
        <f>+J334-I334</f>
        <v>30</v>
      </c>
      <c r="G334" s="2">
        <f ca="1">+TODAY()-I334</f>
        <v>22</v>
      </c>
      <c r="H334" s="15">
        <v>1821993</v>
      </c>
      <c r="I334" s="1">
        <v>46098</v>
      </c>
      <c r="J334" s="1">
        <v>46128</v>
      </c>
      <c r="K334" s="18" t="s">
        <v>1564</v>
      </c>
      <c r="L334" s="18" t="s">
        <v>984</v>
      </c>
      <c r="M334" s="18" t="s">
        <v>19</v>
      </c>
      <c r="N334" s="18" t="s">
        <v>1574</v>
      </c>
      <c r="O334">
        <v>30</v>
      </c>
    </row>
    <row r="335" spans="1:15" x14ac:dyDescent="0.25">
      <c r="A335" s="18" t="s">
        <v>7276</v>
      </c>
      <c r="B335" s="18" t="s">
        <v>1572</v>
      </c>
      <c r="C335" s="18" t="s">
        <v>1573</v>
      </c>
      <c r="D335" s="18" t="s">
        <v>1563</v>
      </c>
      <c r="E335" s="18" t="s">
        <v>5312</v>
      </c>
      <c r="F335" s="2">
        <f>+J335-I335</f>
        <v>30</v>
      </c>
      <c r="G335" s="2">
        <f ca="1">+TODAY()-I335</f>
        <v>40</v>
      </c>
      <c r="H335" s="15">
        <v>525000</v>
      </c>
      <c r="I335" s="1">
        <v>46080</v>
      </c>
      <c r="J335" s="1">
        <v>46110</v>
      </c>
      <c r="K335" s="18" t="s">
        <v>1564</v>
      </c>
      <c r="L335" s="18" t="s">
        <v>984</v>
      </c>
      <c r="M335" s="18" t="s">
        <v>19</v>
      </c>
      <c r="N335" s="18" t="s">
        <v>1574</v>
      </c>
      <c r="O335">
        <v>30</v>
      </c>
    </row>
    <row r="336" spans="1:15" x14ac:dyDescent="0.25">
      <c r="A336" s="18" t="s">
        <v>7276</v>
      </c>
      <c r="B336" s="18" t="s">
        <v>1382</v>
      </c>
      <c r="C336" s="18" t="s">
        <v>1383</v>
      </c>
      <c r="D336" s="18" t="s">
        <v>1323</v>
      </c>
      <c r="E336" s="18" t="s">
        <v>5780</v>
      </c>
      <c r="F336" s="2">
        <f>+J336-I336</f>
        <v>30</v>
      </c>
      <c r="G336" s="2">
        <f ca="1">+TODAY()-I336</f>
        <v>29</v>
      </c>
      <c r="H336" s="15">
        <v>1772504</v>
      </c>
      <c r="I336" s="1">
        <v>46091</v>
      </c>
      <c r="J336" s="1">
        <v>46121</v>
      </c>
      <c r="K336" s="18" t="s">
        <v>1325</v>
      </c>
      <c r="L336" s="18" t="s">
        <v>90</v>
      </c>
      <c r="M336" s="18" t="s">
        <v>19</v>
      </c>
      <c r="N336" s="18" t="s">
        <v>1384</v>
      </c>
      <c r="O336">
        <v>30</v>
      </c>
    </row>
    <row r="337" spans="1:15" x14ac:dyDescent="0.25">
      <c r="A337" s="18" t="s">
        <v>7276</v>
      </c>
      <c r="B337" s="18" t="s">
        <v>1382</v>
      </c>
      <c r="C337" s="18" t="s">
        <v>1383</v>
      </c>
      <c r="D337" s="18" t="s">
        <v>1323</v>
      </c>
      <c r="E337" s="18" t="s">
        <v>6564</v>
      </c>
      <c r="F337" s="2">
        <f>+J337-I337</f>
        <v>30</v>
      </c>
      <c r="G337" s="2">
        <f ca="1">+TODAY()-I337</f>
        <v>14</v>
      </c>
      <c r="H337" s="15">
        <v>482850</v>
      </c>
      <c r="I337" s="1">
        <v>46106</v>
      </c>
      <c r="J337" s="1">
        <v>46136</v>
      </c>
      <c r="K337" s="18" t="s">
        <v>1325</v>
      </c>
      <c r="L337" s="18" t="s">
        <v>90</v>
      </c>
      <c r="M337" s="18" t="s">
        <v>19</v>
      </c>
      <c r="N337" s="18" t="s">
        <v>1384</v>
      </c>
      <c r="O337">
        <v>30</v>
      </c>
    </row>
    <row r="338" spans="1:15" x14ac:dyDescent="0.25">
      <c r="A338" s="18" t="s">
        <v>7276</v>
      </c>
      <c r="B338" s="18" t="s">
        <v>1382</v>
      </c>
      <c r="C338" s="18" t="s">
        <v>1383</v>
      </c>
      <c r="D338" s="18" t="s">
        <v>1323</v>
      </c>
      <c r="E338" s="18" t="s">
        <v>6572</v>
      </c>
      <c r="F338" s="2">
        <f>+J338-I338</f>
        <v>30</v>
      </c>
      <c r="G338" s="2">
        <f ca="1">+TODAY()-I338</f>
        <v>13</v>
      </c>
      <c r="H338" s="15">
        <v>346800</v>
      </c>
      <c r="I338" s="1">
        <v>46107</v>
      </c>
      <c r="J338" s="1">
        <v>46137</v>
      </c>
      <c r="K338" s="18" t="s">
        <v>1325</v>
      </c>
      <c r="L338" s="18" t="s">
        <v>90</v>
      </c>
      <c r="M338" s="18" t="s">
        <v>19</v>
      </c>
      <c r="N338" s="18" t="s">
        <v>1384</v>
      </c>
      <c r="O338">
        <v>30</v>
      </c>
    </row>
    <row r="339" spans="1:15" x14ac:dyDescent="0.25">
      <c r="A339" s="18" t="s">
        <v>7276</v>
      </c>
      <c r="B339" s="18" t="s">
        <v>1748</v>
      </c>
      <c r="C339" s="18" t="s">
        <v>1749</v>
      </c>
      <c r="D339" s="18" t="s">
        <v>1750</v>
      </c>
      <c r="E339" s="18" t="s">
        <v>1946</v>
      </c>
      <c r="F339" s="2">
        <f>+J339-I339</f>
        <v>30</v>
      </c>
      <c r="G339" s="2">
        <f ca="1">+TODAY()-I339</f>
        <v>238</v>
      </c>
      <c r="H339" s="15">
        <v>530497</v>
      </c>
      <c r="I339" s="1">
        <v>45882</v>
      </c>
      <c r="J339" s="1">
        <v>45912</v>
      </c>
      <c r="K339" s="18" t="s">
        <v>1747</v>
      </c>
      <c r="L339" s="18" t="s">
        <v>981</v>
      </c>
      <c r="M339" s="18" t="s">
        <v>19</v>
      </c>
      <c r="N339" s="18" t="s">
        <v>6365</v>
      </c>
      <c r="O339">
        <v>1</v>
      </c>
    </row>
    <row r="340" spans="1:15" x14ac:dyDescent="0.25">
      <c r="A340" s="18" t="s">
        <v>7276</v>
      </c>
      <c r="B340" s="18" t="s">
        <v>1748</v>
      </c>
      <c r="C340" s="18" t="s">
        <v>1749</v>
      </c>
      <c r="D340" s="18" t="s">
        <v>1750</v>
      </c>
      <c r="E340" s="18" t="s">
        <v>1967</v>
      </c>
      <c r="F340" s="2">
        <f>+J340-I340</f>
        <v>30</v>
      </c>
      <c r="G340" s="2">
        <f ca="1">+TODAY()-I340</f>
        <v>224</v>
      </c>
      <c r="H340" s="15">
        <v>883779</v>
      </c>
      <c r="I340" s="1">
        <v>45896</v>
      </c>
      <c r="J340" s="1">
        <v>45926</v>
      </c>
      <c r="K340" s="18" t="s">
        <v>1747</v>
      </c>
      <c r="L340" s="18" t="s">
        <v>981</v>
      </c>
      <c r="M340" s="18" t="s">
        <v>19</v>
      </c>
      <c r="N340" s="18" t="s">
        <v>6365</v>
      </c>
      <c r="O340">
        <v>1</v>
      </c>
    </row>
    <row r="341" spans="1:15" x14ac:dyDescent="0.25">
      <c r="A341" s="18" t="s">
        <v>7276</v>
      </c>
      <c r="B341" s="18" t="s">
        <v>1748</v>
      </c>
      <c r="C341" s="18" t="s">
        <v>1749</v>
      </c>
      <c r="D341" s="18" t="s">
        <v>1750</v>
      </c>
      <c r="E341" s="18" t="s">
        <v>1993</v>
      </c>
      <c r="F341" s="2">
        <f>+J341-I341</f>
        <v>30</v>
      </c>
      <c r="G341" s="2">
        <f ca="1">+TODAY()-I341</f>
        <v>205</v>
      </c>
      <c r="H341" s="15">
        <v>658949</v>
      </c>
      <c r="I341" s="1">
        <v>45915</v>
      </c>
      <c r="J341" s="1">
        <v>45945</v>
      </c>
      <c r="K341" s="18" t="s">
        <v>1854</v>
      </c>
      <c r="L341" s="18" t="s">
        <v>981</v>
      </c>
      <c r="M341" s="18" t="s">
        <v>19</v>
      </c>
      <c r="N341" s="18" t="s">
        <v>6365</v>
      </c>
      <c r="O341">
        <v>1</v>
      </c>
    </row>
    <row r="342" spans="1:15" x14ac:dyDescent="0.25">
      <c r="A342" s="18" t="s">
        <v>7276</v>
      </c>
      <c r="B342" s="18" t="s">
        <v>7350</v>
      </c>
      <c r="C342" s="18" t="s">
        <v>7351</v>
      </c>
      <c r="D342" s="18" t="s">
        <v>15</v>
      </c>
      <c r="E342" s="18" t="s">
        <v>7352</v>
      </c>
      <c r="F342" s="2">
        <f>+J342-I342</f>
        <v>30</v>
      </c>
      <c r="G342" s="2">
        <f ca="1">+TODAY()-I342</f>
        <v>2</v>
      </c>
      <c r="H342" s="15">
        <v>137400</v>
      </c>
      <c r="I342" s="1">
        <v>46118</v>
      </c>
      <c r="J342" s="1">
        <v>46148</v>
      </c>
      <c r="K342" s="18" t="s">
        <v>17</v>
      </c>
      <c r="L342" s="18" t="s">
        <v>109</v>
      </c>
      <c r="M342" s="18" t="s">
        <v>19</v>
      </c>
      <c r="N342" s="18" t="s">
        <v>7353</v>
      </c>
      <c r="O342">
        <v>30</v>
      </c>
    </row>
    <row r="343" spans="1:15" x14ac:dyDescent="0.25">
      <c r="A343" s="18" t="s">
        <v>7276</v>
      </c>
      <c r="B343" s="18" t="s">
        <v>6276</v>
      </c>
      <c r="C343" s="18" t="s">
        <v>6277</v>
      </c>
      <c r="D343" s="18" t="s">
        <v>1201</v>
      </c>
      <c r="E343" s="18" t="s">
        <v>6278</v>
      </c>
      <c r="F343" s="2">
        <f>+J343-I343</f>
        <v>30</v>
      </c>
      <c r="G343" s="2">
        <f ca="1">+TODAY()-I343</f>
        <v>20</v>
      </c>
      <c r="H343" s="15">
        <v>536848</v>
      </c>
      <c r="I343" s="1">
        <v>46100</v>
      </c>
      <c r="J343" s="1">
        <v>46130</v>
      </c>
      <c r="K343" s="18" t="s">
        <v>1202</v>
      </c>
      <c r="L343" s="18" t="s">
        <v>207</v>
      </c>
      <c r="M343" s="18" t="s">
        <v>19</v>
      </c>
      <c r="N343" s="18" t="s">
        <v>6279</v>
      </c>
      <c r="O343">
        <v>30</v>
      </c>
    </row>
    <row r="344" spans="1:15" x14ac:dyDescent="0.25">
      <c r="A344" s="18" t="s">
        <v>7276</v>
      </c>
      <c r="B344" s="18" t="s">
        <v>1886</v>
      </c>
      <c r="C344" s="18" t="s">
        <v>1887</v>
      </c>
      <c r="D344" s="18" t="s">
        <v>1883</v>
      </c>
      <c r="E344" s="18" t="s">
        <v>5193</v>
      </c>
      <c r="F344" s="2">
        <f>+J344-I344</f>
        <v>30</v>
      </c>
      <c r="G344" s="2">
        <f ca="1">+TODAY()-I344</f>
        <v>48</v>
      </c>
      <c r="H344" s="15">
        <v>556927</v>
      </c>
      <c r="I344" s="1">
        <v>46072</v>
      </c>
      <c r="J344" s="1">
        <v>46102</v>
      </c>
      <c r="K344" s="18" t="s">
        <v>1884</v>
      </c>
      <c r="L344" s="18" t="s">
        <v>984</v>
      </c>
      <c r="M344" s="18" t="s">
        <v>19</v>
      </c>
      <c r="N344" s="18" t="s">
        <v>1888</v>
      </c>
      <c r="O344">
        <v>30</v>
      </c>
    </row>
    <row r="345" spans="1:15" x14ac:dyDescent="0.25">
      <c r="A345" s="18" t="s">
        <v>7276</v>
      </c>
      <c r="B345" s="18" t="s">
        <v>1886</v>
      </c>
      <c r="C345" s="18" t="s">
        <v>1887</v>
      </c>
      <c r="D345" s="18" t="s">
        <v>1883</v>
      </c>
      <c r="E345" s="18" t="s">
        <v>7273</v>
      </c>
      <c r="F345" s="2">
        <f>+J345-I345</f>
        <v>30</v>
      </c>
      <c r="G345" s="2">
        <f ca="1">+TODAY()-I345</f>
        <v>8</v>
      </c>
      <c r="H345" s="15">
        <v>928506</v>
      </c>
      <c r="I345" s="1">
        <v>46112</v>
      </c>
      <c r="J345" s="1">
        <v>46142</v>
      </c>
      <c r="K345" s="18" t="s">
        <v>1884</v>
      </c>
      <c r="L345" s="18" t="s">
        <v>984</v>
      </c>
      <c r="M345" s="18" t="s">
        <v>19</v>
      </c>
      <c r="N345" s="18" t="s">
        <v>1888</v>
      </c>
      <c r="O345">
        <v>30</v>
      </c>
    </row>
    <row r="346" spans="1:15" x14ac:dyDescent="0.25">
      <c r="A346" s="18" t="s">
        <v>7276</v>
      </c>
      <c r="B346" s="18" t="s">
        <v>1379</v>
      </c>
      <c r="C346" s="18" t="s">
        <v>1380</v>
      </c>
      <c r="D346" s="18" t="s">
        <v>382</v>
      </c>
      <c r="E346" s="18" t="s">
        <v>6560</v>
      </c>
      <c r="F346" s="2">
        <f>+J346-I346</f>
        <v>30</v>
      </c>
      <c r="G346" s="2">
        <f ca="1">+TODAY()-I346</f>
        <v>14</v>
      </c>
      <c r="H346" s="15">
        <v>1106039</v>
      </c>
      <c r="I346" s="1">
        <v>46106</v>
      </c>
      <c r="J346" s="1">
        <v>46136</v>
      </c>
      <c r="K346" s="18" t="s">
        <v>1325</v>
      </c>
      <c r="L346" s="18" t="s">
        <v>90</v>
      </c>
      <c r="M346" s="18" t="s">
        <v>19</v>
      </c>
      <c r="N346" s="18" t="s">
        <v>1381</v>
      </c>
      <c r="O346">
        <v>30</v>
      </c>
    </row>
    <row r="347" spans="1:15" x14ac:dyDescent="0.25">
      <c r="A347" s="18" t="s">
        <v>7276</v>
      </c>
      <c r="B347" s="18" t="s">
        <v>1379</v>
      </c>
      <c r="C347" s="18" t="s">
        <v>1380</v>
      </c>
      <c r="D347" s="18" t="s">
        <v>382</v>
      </c>
      <c r="E347" s="18" t="s">
        <v>6587</v>
      </c>
      <c r="F347" s="2">
        <f>+J347-I347</f>
        <v>30</v>
      </c>
      <c r="G347" s="2">
        <f ca="1">+TODAY()-I347</f>
        <v>13</v>
      </c>
      <c r="H347" s="15">
        <v>305800</v>
      </c>
      <c r="I347" s="1">
        <v>46107</v>
      </c>
      <c r="J347" s="1">
        <v>46137</v>
      </c>
      <c r="K347" s="18" t="s">
        <v>1325</v>
      </c>
      <c r="L347" s="18" t="s">
        <v>90</v>
      </c>
      <c r="M347" s="18" t="s">
        <v>19</v>
      </c>
      <c r="N347" s="18" t="s">
        <v>1381</v>
      </c>
      <c r="O347">
        <v>30</v>
      </c>
    </row>
    <row r="348" spans="1:15" x14ac:dyDescent="0.25">
      <c r="A348" s="18" t="s">
        <v>7276</v>
      </c>
      <c r="B348" s="18" t="s">
        <v>2034</v>
      </c>
      <c r="C348" s="18" t="s">
        <v>2035</v>
      </c>
      <c r="D348" s="18" t="s">
        <v>15</v>
      </c>
      <c r="E348" s="18" t="s">
        <v>5412</v>
      </c>
      <c r="F348" s="2">
        <f>+J348-I348</f>
        <v>8</v>
      </c>
      <c r="G348" s="2">
        <f ca="1">+TODAY()-I348</f>
        <v>35</v>
      </c>
      <c r="H348" s="15">
        <v>256000</v>
      </c>
      <c r="I348" s="1">
        <v>46085</v>
      </c>
      <c r="J348" s="1">
        <v>46093</v>
      </c>
      <c r="K348" s="18" t="s">
        <v>17</v>
      </c>
      <c r="L348" s="18" t="s">
        <v>317</v>
      </c>
      <c r="M348" s="18" t="s">
        <v>19</v>
      </c>
      <c r="N348" s="18" t="s">
        <v>2036</v>
      </c>
      <c r="O348">
        <v>8</v>
      </c>
    </row>
    <row r="349" spans="1:15" x14ac:dyDescent="0.25">
      <c r="A349" s="18" t="s">
        <v>7276</v>
      </c>
      <c r="B349" s="18" t="s">
        <v>2034</v>
      </c>
      <c r="C349" s="18" t="s">
        <v>2035</v>
      </c>
      <c r="D349" s="18" t="s">
        <v>15</v>
      </c>
      <c r="E349" s="18" t="s">
        <v>6439</v>
      </c>
      <c r="F349" s="2">
        <f>+J349-I349</f>
        <v>8</v>
      </c>
      <c r="G349" s="2">
        <f ca="1">+TODAY()-I349</f>
        <v>14</v>
      </c>
      <c r="H349" s="15">
        <v>676000</v>
      </c>
      <c r="I349" s="1">
        <v>46106</v>
      </c>
      <c r="J349" s="1">
        <v>46114</v>
      </c>
      <c r="K349" s="18" t="s">
        <v>17</v>
      </c>
      <c r="L349" s="18" t="s">
        <v>317</v>
      </c>
      <c r="M349" s="18" t="s">
        <v>19</v>
      </c>
      <c r="N349" s="18" t="s">
        <v>2036</v>
      </c>
      <c r="O349">
        <v>8</v>
      </c>
    </row>
    <row r="350" spans="1:15" x14ac:dyDescent="0.25">
      <c r="A350" s="18" t="s">
        <v>7276</v>
      </c>
      <c r="B350" s="18" t="s">
        <v>946</v>
      </c>
      <c r="C350" s="18" t="s">
        <v>947</v>
      </c>
      <c r="D350" s="18" t="s">
        <v>916</v>
      </c>
      <c r="E350" s="18" t="s">
        <v>5970</v>
      </c>
      <c r="F350" s="2">
        <f>+J350-I350</f>
        <v>15</v>
      </c>
      <c r="G350" s="2">
        <f ca="1">+TODAY()-I350</f>
        <v>23</v>
      </c>
      <c r="H350" s="15">
        <v>200450</v>
      </c>
      <c r="I350" s="1">
        <v>46097</v>
      </c>
      <c r="J350" s="1">
        <v>46112</v>
      </c>
      <c r="K350" s="18" t="s">
        <v>918</v>
      </c>
      <c r="L350" s="18" t="s">
        <v>312</v>
      </c>
      <c r="M350" s="18" t="s">
        <v>19</v>
      </c>
      <c r="N350" s="18" t="s">
        <v>948</v>
      </c>
      <c r="O350">
        <v>30</v>
      </c>
    </row>
    <row r="351" spans="1:15" x14ac:dyDescent="0.25">
      <c r="A351" s="18" t="s">
        <v>7276</v>
      </c>
      <c r="B351" s="18" t="s">
        <v>946</v>
      </c>
      <c r="C351" s="18" t="s">
        <v>947</v>
      </c>
      <c r="D351" s="18" t="s">
        <v>916</v>
      </c>
      <c r="E351" s="18" t="s">
        <v>5971</v>
      </c>
      <c r="F351" s="2">
        <f>+J351-I351</f>
        <v>15</v>
      </c>
      <c r="G351" s="2">
        <f ca="1">+TODAY()-I351</f>
        <v>23</v>
      </c>
      <c r="H351" s="15">
        <v>84460</v>
      </c>
      <c r="I351" s="1">
        <v>46097</v>
      </c>
      <c r="J351" s="1">
        <v>46112</v>
      </c>
      <c r="K351" s="18" t="s">
        <v>918</v>
      </c>
      <c r="L351" s="18" t="s">
        <v>312</v>
      </c>
      <c r="M351" s="18" t="s">
        <v>19</v>
      </c>
      <c r="N351" s="18" t="s">
        <v>948</v>
      </c>
      <c r="O351">
        <v>30</v>
      </c>
    </row>
    <row r="352" spans="1:15" x14ac:dyDescent="0.25">
      <c r="A352" s="18" t="s">
        <v>7276</v>
      </c>
      <c r="B352" s="18" t="s">
        <v>946</v>
      </c>
      <c r="C352" s="18" t="s">
        <v>947</v>
      </c>
      <c r="D352" s="18" t="s">
        <v>916</v>
      </c>
      <c r="E352" s="18" t="s">
        <v>7005</v>
      </c>
      <c r="F352" s="2">
        <f>+J352-I352</f>
        <v>15</v>
      </c>
      <c r="G352" s="2">
        <f ca="1">+TODAY()-I352</f>
        <v>9</v>
      </c>
      <c r="H352" s="15">
        <v>216552</v>
      </c>
      <c r="I352" s="1">
        <v>46111</v>
      </c>
      <c r="J352" s="1">
        <v>46126</v>
      </c>
      <c r="K352" s="18" t="s">
        <v>918</v>
      </c>
      <c r="L352" s="18" t="s">
        <v>312</v>
      </c>
      <c r="M352" s="18" t="s">
        <v>19</v>
      </c>
      <c r="N352" s="18" t="s">
        <v>948</v>
      </c>
      <c r="O352">
        <v>30</v>
      </c>
    </row>
    <row r="353" spans="1:15" x14ac:dyDescent="0.25">
      <c r="A353" s="18" t="s">
        <v>7276</v>
      </c>
      <c r="B353" s="18" t="s">
        <v>946</v>
      </c>
      <c r="C353" s="18" t="s">
        <v>947</v>
      </c>
      <c r="D353" s="18" t="s">
        <v>916</v>
      </c>
      <c r="E353" s="18" t="s">
        <v>7006</v>
      </c>
      <c r="F353" s="2">
        <f>+J353-I353</f>
        <v>15</v>
      </c>
      <c r="G353" s="2">
        <f ca="1">+TODAY()-I353</f>
        <v>9</v>
      </c>
      <c r="H353" s="15">
        <v>155108</v>
      </c>
      <c r="I353" s="1">
        <v>46111</v>
      </c>
      <c r="J353" s="1">
        <v>46126</v>
      </c>
      <c r="K353" s="18" t="s">
        <v>918</v>
      </c>
      <c r="L353" s="18" t="s">
        <v>312</v>
      </c>
      <c r="M353" s="18" t="s">
        <v>19</v>
      </c>
      <c r="N353" s="18" t="s">
        <v>948</v>
      </c>
      <c r="O353">
        <v>30</v>
      </c>
    </row>
    <row r="354" spans="1:15" x14ac:dyDescent="0.25">
      <c r="A354" s="18" t="s">
        <v>7276</v>
      </c>
      <c r="B354" s="18" t="s">
        <v>946</v>
      </c>
      <c r="C354" s="18" t="s">
        <v>947</v>
      </c>
      <c r="D354" s="18" t="s">
        <v>916</v>
      </c>
      <c r="E354" s="18" t="s">
        <v>7478</v>
      </c>
      <c r="F354" s="2">
        <f>+J354-I354</f>
        <v>15</v>
      </c>
      <c r="G354" s="2">
        <f ca="1">+TODAY()-I354</f>
        <v>2</v>
      </c>
      <c r="H354" s="15">
        <v>155698</v>
      </c>
      <c r="I354" s="1">
        <v>46118</v>
      </c>
      <c r="J354" s="1">
        <v>46133</v>
      </c>
      <c r="K354" s="18" t="s">
        <v>918</v>
      </c>
      <c r="L354" s="18" t="s">
        <v>312</v>
      </c>
      <c r="M354" s="18" t="s">
        <v>19</v>
      </c>
      <c r="N354" s="18" t="s">
        <v>948</v>
      </c>
      <c r="O354">
        <v>30</v>
      </c>
    </row>
    <row r="355" spans="1:15" x14ac:dyDescent="0.25">
      <c r="A355" s="18" t="s">
        <v>7276</v>
      </c>
      <c r="B355" s="18" t="s">
        <v>946</v>
      </c>
      <c r="C355" s="18" t="s">
        <v>947</v>
      </c>
      <c r="D355" s="18" t="s">
        <v>916</v>
      </c>
      <c r="E355" s="18" t="s">
        <v>7479</v>
      </c>
      <c r="F355" s="2">
        <f>+J355-I355</f>
        <v>15</v>
      </c>
      <c r="G355" s="2">
        <f ca="1">+TODAY()-I355</f>
        <v>2</v>
      </c>
      <c r="H355" s="15">
        <v>76700</v>
      </c>
      <c r="I355" s="1">
        <v>46118</v>
      </c>
      <c r="J355" s="1">
        <v>46133</v>
      </c>
      <c r="K355" s="18" t="s">
        <v>918</v>
      </c>
      <c r="L355" s="18" t="s">
        <v>312</v>
      </c>
      <c r="M355" s="18" t="s">
        <v>19</v>
      </c>
      <c r="N355" s="18" t="s">
        <v>948</v>
      </c>
      <c r="O355">
        <v>30</v>
      </c>
    </row>
    <row r="356" spans="1:15" x14ac:dyDescent="0.25">
      <c r="A356" s="18" t="s">
        <v>7276</v>
      </c>
      <c r="B356" s="18" t="s">
        <v>1370</v>
      </c>
      <c r="C356" s="18" t="s">
        <v>1371</v>
      </c>
      <c r="D356" s="18" t="s">
        <v>1323</v>
      </c>
      <c r="E356" s="18" t="s">
        <v>5797</v>
      </c>
      <c r="F356" s="2">
        <f>+J356-I356</f>
        <v>30</v>
      </c>
      <c r="G356" s="2">
        <f ca="1">+TODAY()-I356</f>
        <v>28</v>
      </c>
      <c r="H356" s="15">
        <v>1129870</v>
      </c>
      <c r="I356" s="1">
        <v>46092</v>
      </c>
      <c r="J356" s="1">
        <v>46122</v>
      </c>
      <c r="K356" s="18" t="s">
        <v>1325</v>
      </c>
      <c r="L356" s="18" t="s">
        <v>90</v>
      </c>
      <c r="M356" s="18" t="s">
        <v>19</v>
      </c>
      <c r="N356" s="18" t="s">
        <v>1372</v>
      </c>
      <c r="O356">
        <v>30</v>
      </c>
    </row>
    <row r="357" spans="1:15" x14ac:dyDescent="0.25">
      <c r="A357" s="18" t="s">
        <v>7276</v>
      </c>
      <c r="B357" s="18" t="s">
        <v>1370</v>
      </c>
      <c r="C357" s="18" t="s">
        <v>1371</v>
      </c>
      <c r="D357" s="18" t="s">
        <v>1323</v>
      </c>
      <c r="E357" s="18" t="s">
        <v>6592</v>
      </c>
      <c r="F357" s="2">
        <f>+J357-I357</f>
        <v>30</v>
      </c>
      <c r="G357" s="2">
        <f ca="1">+TODAY()-I357</f>
        <v>13</v>
      </c>
      <c r="H357" s="15">
        <v>1689211</v>
      </c>
      <c r="I357" s="1">
        <v>46107</v>
      </c>
      <c r="J357" s="1">
        <v>46137</v>
      </c>
      <c r="K357" s="18" t="s">
        <v>1325</v>
      </c>
      <c r="L357" s="18" t="s">
        <v>90</v>
      </c>
      <c r="M357" s="18" t="s">
        <v>19</v>
      </c>
      <c r="N357" s="18" t="s">
        <v>1372</v>
      </c>
      <c r="O357">
        <v>30</v>
      </c>
    </row>
    <row r="358" spans="1:15" x14ac:dyDescent="0.25">
      <c r="A358" s="18" t="s">
        <v>7276</v>
      </c>
      <c r="B358" s="18" t="s">
        <v>143</v>
      </c>
      <c r="C358" s="18" t="s">
        <v>144</v>
      </c>
      <c r="D358" s="18" t="s">
        <v>15</v>
      </c>
      <c r="E358" s="18" t="s">
        <v>5392</v>
      </c>
      <c r="F358" s="2">
        <f>+J358-I358</f>
        <v>30</v>
      </c>
      <c r="G358" s="2">
        <f ca="1">+TODAY()-I358</f>
        <v>35</v>
      </c>
      <c r="H358" s="15">
        <v>1571703</v>
      </c>
      <c r="I358" s="1">
        <v>46085</v>
      </c>
      <c r="J358" s="1">
        <v>46115</v>
      </c>
      <c r="K358" s="18" t="s">
        <v>17</v>
      </c>
      <c r="L358" s="18" t="s">
        <v>32</v>
      </c>
      <c r="M358" s="18" t="s">
        <v>19</v>
      </c>
      <c r="N358" s="18" t="s">
        <v>145</v>
      </c>
      <c r="O358">
        <v>30</v>
      </c>
    </row>
    <row r="359" spans="1:15" x14ac:dyDescent="0.25">
      <c r="A359" s="18" t="s">
        <v>7276</v>
      </c>
      <c r="B359" s="18" t="s">
        <v>143</v>
      </c>
      <c r="C359" s="18" t="s">
        <v>144</v>
      </c>
      <c r="D359" s="18" t="s">
        <v>15</v>
      </c>
      <c r="E359" s="18" t="s">
        <v>5393</v>
      </c>
      <c r="F359" s="2">
        <f>+J359-I359</f>
        <v>30</v>
      </c>
      <c r="G359" s="2">
        <f ca="1">+TODAY()-I359</f>
        <v>35</v>
      </c>
      <c r="H359" s="15">
        <v>1335485</v>
      </c>
      <c r="I359" s="1">
        <v>46085</v>
      </c>
      <c r="J359" s="1">
        <v>46115</v>
      </c>
      <c r="K359" s="18" t="s">
        <v>17</v>
      </c>
      <c r="L359" s="18" t="s">
        <v>32</v>
      </c>
      <c r="M359" s="18" t="s">
        <v>19</v>
      </c>
      <c r="N359" s="18" t="s">
        <v>145</v>
      </c>
      <c r="O359">
        <v>30</v>
      </c>
    </row>
    <row r="360" spans="1:15" x14ac:dyDescent="0.25">
      <c r="A360" s="18" t="s">
        <v>7276</v>
      </c>
      <c r="B360" s="18" t="s">
        <v>143</v>
      </c>
      <c r="C360" s="18" t="s">
        <v>144</v>
      </c>
      <c r="D360" s="18" t="s">
        <v>15</v>
      </c>
      <c r="E360" s="18" t="s">
        <v>5889</v>
      </c>
      <c r="F360" s="2">
        <f>+J360-I360</f>
        <v>30</v>
      </c>
      <c r="G360" s="2">
        <f ca="1">+TODAY()-I360</f>
        <v>26</v>
      </c>
      <c r="H360" s="15">
        <v>904844</v>
      </c>
      <c r="I360" s="1">
        <v>46094</v>
      </c>
      <c r="J360" s="1">
        <v>46124</v>
      </c>
      <c r="K360" s="18" t="s">
        <v>17</v>
      </c>
      <c r="L360" s="18" t="s">
        <v>32</v>
      </c>
      <c r="M360" s="18" t="s">
        <v>19</v>
      </c>
      <c r="N360" s="18" t="s">
        <v>145</v>
      </c>
      <c r="O360">
        <v>30</v>
      </c>
    </row>
    <row r="361" spans="1:15" x14ac:dyDescent="0.25">
      <c r="A361" s="18" t="s">
        <v>7276</v>
      </c>
      <c r="B361" s="18" t="s">
        <v>143</v>
      </c>
      <c r="C361" s="18" t="s">
        <v>144</v>
      </c>
      <c r="D361" s="18" t="s">
        <v>15</v>
      </c>
      <c r="E361" s="18" t="s">
        <v>5890</v>
      </c>
      <c r="F361" s="2">
        <f>+J361-I361</f>
        <v>30</v>
      </c>
      <c r="G361" s="2">
        <f ca="1">+TODAY()-I361</f>
        <v>26</v>
      </c>
      <c r="H361" s="15">
        <v>2346587</v>
      </c>
      <c r="I361" s="1">
        <v>46094</v>
      </c>
      <c r="J361" s="1">
        <v>46124</v>
      </c>
      <c r="K361" s="18" t="s">
        <v>17</v>
      </c>
      <c r="L361" s="18" t="s">
        <v>32</v>
      </c>
      <c r="M361" s="18" t="s">
        <v>19</v>
      </c>
      <c r="N361" s="18" t="s">
        <v>145</v>
      </c>
      <c r="O361">
        <v>30</v>
      </c>
    </row>
    <row r="362" spans="1:15" x14ac:dyDescent="0.25">
      <c r="A362" s="18" t="s">
        <v>7276</v>
      </c>
      <c r="B362" s="18" t="s">
        <v>143</v>
      </c>
      <c r="C362" s="18" t="s">
        <v>144</v>
      </c>
      <c r="D362" s="18" t="s">
        <v>15</v>
      </c>
      <c r="E362" s="18" t="s">
        <v>6404</v>
      </c>
      <c r="F362" s="2">
        <f>+J362-I362</f>
        <v>30</v>
      </c>
      <c r="G362" s="2">
        <f ca="1">+TODAY()-I362</f>
        <v>14</v>
      </c>
      <c r="H362" s="15">
        <v>253498</v>
      </c>
      <c r="I362" s="1">
        <v>46106</v>
      </c>
      <c r="J362" s="1">
        <v>46136</v>
      </c>
      <c r="K362" s="18" t="s">
        <v>17</v>
      </c>
      <c r="L362" s="18" t="s">
        <v>32</v>
      </c>
      <c r="M362" s="18" t="s">
        <v>19</v>
      </c>
      <c r="N362" s="18" t="s">
        <v>145</v>
      </c>
      <c r="O362">
        <v>30</v>
      </c>
    </row>
    <row r="363" spans="1:15" x14ac:dyDescent="0.25">
      <c r="A363" s="18" t="s">
        <v>7276</v>
      </c>
      <c r="B363" s="18" t="s">
        <v>143</v>
      </c>
      <c r="C363" s="18" t="s">
        <v>144</v>
      </c>
      <c r="D363" s="18" t="s">
        <v>15</v>
      </c>
      <c r="E363" s="18" t="s">
        <v>6405</v>
      </c>
      <c r="F363" s="2">
        <f>+J363-I363</f>
        <v>30</v>
      </c>
      <c r="G363" s="2">
        <f ca="1">+TODAY()-I363</f>
        <v>14</v>
      </c>
      <c r="H363" s="15">
        <v>1080977</v>
      </c>
      <c r="I363" s="1">
        <v>46106</v>
      </c>
      <c r="J363" s="1">
        <v>46136</v>
      </c>
      <c r="K363" s="18" t="s">
        <v>17</v>
      </c>
      <c r="L363" s="18" t="s">
        <v>32</v>
      </c>
      <c r="M363" s="18" t="s">
        <v>19</v>
      </c>
      <c r="N363" s="18" t="s">
        <v>145</v>
      </c>
      <c r="O363">
        <v>30</v>
      </c>
    </row>
    <row r="364" spans="1:15" x14ac:dyDescent="0.25">
      <c r="A364" s="18" t="s">
        <v>7276</v>
      </c>
      <c r="B364" s="18" t="s">
        <v>143</v>
      </c>
      <c r="C364" s="18" t="s">
        <v>144</v>
      </c>
      <c r="D364" s="18" t="s">
        <v>15</v>
      </c>
      <c r="E364" s="18" t="s">
        <v>6727</v>
      </c>
      <c r="F364" s="2">
        <f>+J364-I364</f>
        <v>30</v>
      </c>
      <c r="G364" s="2">
        <f ca="1">+TODAY()-I364</f>
        <v>11</v>
      </c>
      <c r="H364" s="15">
        <v>114800</v>
      </c>
      <c r="I364" s="1">
        <v>46109</v>
      </c>
      <c r="J364" s="1">
        <v>46139</v>
      </c>
      <c r="K364" s="18" t="s">
        <v>17</v>
      </c>
      <c r="L364" s="18" t="s">
        <v>32</v>
      </c>
      <c r="M364" s="18" t="s">
        <v>19</v>
      </c>
      <c r="N364" s="18" t="s">
        <v>145</v>
      </c>
      <c r="O364">
        <v>30</v>
      </c>
    </row>
    <row r="365" spans="1:15" x14ac:dyDescent="0.25">
      <c r="A365" s="18" t="s">
        <v>7276</v>
      </c>
      <c r="B365" s="18" t="s">
        <v>143</v>
      </c>
      <c r="C365" s="18" t="s">
        <v>144</v>
      </c>
      <c r="D365" s="18" t="s">
        <v>15</v>
      </c>
      <c r="E365" s="18" t="s">
        <v>6728</v>
      </c>
      <c r="F365" s="2">
        <f>+J365-I365</f>
        <v>30</v>
      </c>
      <c r="G365" s="2">
        <f ca="1">+TODAY()-I365</f>
        <v>11</v>
      </c>
      <c r="H365" s="15">
        <v>1329000</v>
      </c>
      <c r="I365" s="1">
        <v>46109</v>
      </c>
      <c r="J365" s="1">
        <v>46139</v>
      </c>
      <c r="K365" s="18" t="s">
        <v>17</v>
      </c>
      <c r="L365" s="18" t="s">
        <v>32</v>
      </c>
      <c r="M365" s="18" t="s">
        <v>19</v>
      </c>
      <c r="N365" s="18" t="s">
        <v>145</v>
      </c>
      <c r="O365">
        <v>30</v>
      </c>
    </row>
    <row r="366" spans="1:15" x14ac:dyDescent="0.25">
      <c r="A366" s="18" t="s">
        <v>7276</v>
      </c>
      <c r="B366" s="18" t="s">
        <v>52</v>
      </c>
      <c r="C366" s="18" t="s">
        <v>53</v>
      </c>
      <c r="D366" s="18" t="s">
        <v>15</v>
      </c>
      <c r="E366" s="18" t="s">
        <v>5382</v>
      </c>
      <c r="F366" s="2">
        <f>+J366-I366</f>
        <v>30</v>
      </c>
      <c r="G366" s="2">
        <f ca="1">+TODAY()-I366</f>
        <v>36</v>
      </c>
      <c r="H366" s="15">
        <v>4091138</v>
      </c>
      <c r="I366" s="1">
        <v>46084</v>
      </c>
      <c r="J366" s="1">
        <v>46114</v>
      </c>
      <c r="K366" s="18" t="s">
        <v>17</v>
      </c>
      <c r="L366" s="18" t="s">
        <v>32</v>
      </c>
      <c r="M366" s="18" t="s">
        <v>19</v>
      </c>
      <c r="N366" s="18" t="s">
        <v>6146</v>
      </c>
      <c r="O366">
        <v>30</v>
      </c>
    </row>
    <row r="367" spans="1:15" x14ac:dyDescent="0.25">
      <c r="A367" s="18" t="s">
        <v>7276</v>
      </c>
      <c r="B367" s="18" t="s">
        <v>52</v>
      </c>
      <c r="C367" s="18" t="s">
        <v>53</v>
      </c>
      <c r="D367" s="18" t="s">
        <v>15</v>
      </c>
      <c r="E367" s="18" t="s">
        <v>5517</v>
      </c>
      <c r="F367" s="2">
        <f>+J367-I367</f>
        <v>30</v>
      </c>
      <c r="G367" s="2">
        <f ca="1">+TODAY()-I367</f>
        <v>33</v>
      </c>
      <c r="H367" s="15">
        <v>2120000</v>
      </c>
      <c r="I367" s="1">
        <v>46087</v>
      </c>
      <c r="J367" s="1">
        <v>46117</v>
      </c>
      <c r="K367" s="18" t="s">
        <v>17</v>
      </c>
      <c r="L367" s="18" t="s">
        <v>32</v>
      </c>
      <c r="M367" s="18" t="s">
        <v>19</v>
      </c>
      <c r="N367" s="18" t="s">
        <v>6146</v>
      </c>
      <c r="O367">
        <v>30</v>
      </c>
    </row>
    <row r="368" spans="1:15" x14ac:dyDescent="0.25">
      <c r="A368" s="18" t="s">
        <v>7276</v>
      </c>
      <c r="B368" s="18" t="s">
        <v>52</v>
      </c>
      <c r="C368" s="18" t="s">
        <v>53</v>
      </c>
      <c r="D368" s="18" t="s">
        <v>15</v>
      </c>
      <c r="E368" s="18" t="s">
        <v>5524</v>
      </c>
      <c r="F368" s="2">
        <f>+J368-I368</f>
        <v>30</v>
      </c>
      <c r="G368" s="2">
        <f ca="1">+TODAY()-I368</f>
        <v>33</v>
      </c>
      <c r="H368" s="15">
        <v>249652</v>
      </c>
      <c r="I368" s="1">
        <v>46087</v>
      </c>
      <c r="J368" s="1">
        <v>46117</v>
      </c>
      <c r="K368" s="18" t="s">
        <v>17</v>
      </c>
      <c r="L368" s="18" t="s">
        <v>32</v>
      </c>
      <c r="M368" s="18" t="s">
        <v>19</v>
      </c>
      <c r="N368" s="18" t="s">
        <v>6146</v>
      </c>
      <c r="O368">
        <v>30</v>
      </c>
    </row>
    <row r="369" spans="1:15" x14ac:dyDescent="0.25">
      <c r="A369" s="18" t="s">
        <v>7276</v>
      </c>
      <c r="B369" s="18" t="s">
        <v>52</v>
      </c>
      <c r="C369" s="18" t="s">
        <v>53</v>
      </c>
      <c r="D369" s="18" t="s">
        <v>15</v>
      </c>
      <c r="E369" s="18" t="s">
        <v>5525</v>
      </c>
      <c r="F369" s="2">
        <f>+J369-I369</f>
        <v>30</v>
      </c>
      <c r="G369" s="2">
        <f ca="1">+TODAY()-I369</f>
        <v>33</v>
      </c>
      <c r="H369" s="15">
        <v>4122433</v>
      </c>
      <c r="I369" s="1">
        <v>46087</v>
      </c>
      <c r="J369" s="1">
        <v>46117</v>
      </c>
      <c r="K369" s="18" t="s">
        <v>17</v>
      </c>
      <c r="L369" s="18" t="s">
        <v>32</v>
      </c>
      <c r="M369" s="18" t="s">
        <v>19</v>
      </c>
      <c r="N369" s="18" t="s">
        <v>6146</v>
      </c>
      <c r="O369">
        <v>30</v>
      </c>
    </row>
    <row r="370" spans="1:15" x14ac:dyDescent="0.25">
      <c r="A370" s="18" t="s">
        <v>7276</v>
      </c>
      <c r="B370" s="18" t="s">
        <v>52</v>
      </c>
      <c r="C370" s="18" t="s">
        <v>53</v>
      </c>
      <c r="D370" s="18" t="s">
        <v>15</v>
      </c>
      <c r="E370" s="18" t="s">
        <v>5623</v>
      </c>
      <c r="F370" s="2">
        <f>+J370-I370</f>
        <v>30</v>
      </c>
      <c r="G370" s="2">
        <f ca="1">+TODAY()-I370</f>
        <v>29</v>
      </c>
      <c r="H370" s="15">
        <v>528495</v>
      </c>
      <c r="I370" s="1">
        <v>46091</v>
      </c>
      <c r="J370" s="1">
        <v>46121</v>
      </c>
      <c r="K370" s="18" t="s">
        <v>17</v>
      </c>
      <c r="L370" s="18" t="s">
        <v>32</v>
      </c>
      <c r="M370" s="18" t="s">
        <v>19</v>
      </c>
      <c r="N370" s="18" t="s">
        <v>6146</v>
      </c>
      <c r="O370">
        <v>30</v>
      </c>
    </row>
    <row r="371" spans="1:15" x14ac:dyDescent="0.25">
      <c r="A371" s="18" t="s">
        <v>7276</v>
      </c>
      <c r="B371" s="18" t="s">
        <v>52</v>
      </c>
      <c r="C371" s="18" t="s">
        <v>53</v>
      </c>
      <c r="D371" s="18" t="s">
        <v>15</v>
      </c>
      <c r="E371" s="18" t="s">
        <v>5896</v>
      </c>
      <c r="F371" s="2">
        <f>+J371-I371</f>
        <v>30</v>
      </c>
      <c r="G371" s="2">
        <f ca="1">+TODAY()-I371</f>
        <v>25</v>
      </c>
      <c r="H371" s="15">
        <v>980239</v>
      </c>
      <c r="I371" s="1">
        <v>46095</v>
      </c>
      <c r="J371" s="1">
        <v>46125</v>
      </c>
      <c r="K371" s="18" t="s">
        <v>17</v>
      </c>
      <c r="L371" s="18" t="s">
        <v>32</v>
      </c>
      <c r="M371" s="18" t="s">
        <v>19</v>
      </c>
      <c r="N371" s="18" t="s">
        <v>6146</v>
      </c>
      <c r="O371">
        <v>30</v>
      </c>
    </row>
    <row r="372" spans="1:15" x14ac:dyDescent="0.25">
      <c r="A372" s="18" t="s">
        <v>7276</v>
      </c>
      <c r="B372" s="18" t="s">
        <v>52</v>
      </c>
      <c r="C372" s="18" t="s">
        <v>53</v>
      </c>
      <c r="D372" s="18" t="s">
        <v>15</v>
      </c>
      <c r="E372" s="18" t="s">
        <v>5907</v>
      </c>
      <c r="F372" s="2">
        <f>+J372-I372</f>
        <v>30</v>
      </c>
      <c r="G372" s="2">
        <f ca="1">+TODAY()-I372</f>
        <v>23</v>
      </c>
      <c r="H372" s="15">
        <v>2120000</v>
      </c>
      <c r="I372" s="1">
        <v>46097</v>
      </c>
      <c r="J372" s="1">
        <v>46127</v>
      </c>
      <c r="K372" s="18" t="s">
        <v>17</v>
      </c>
      <c r="L372" s="18" t="s">
        <v>32</v>
      </c>
      <c r="M372" s="18" t="s">
        <v>19</v>
      </c>
      <c r="N372" s="18" t="s">
        <v>6146</v>
      </c>
      <c r="O372">
        <v>30</v>
      </c>
    </row>
    <row r="373" spans="1:15" x14ac:dyDescent="0.25">
      <c r="A373" s="18" t="s">
        <v>7276</v>
      </c>
      <c r="B373" s="18" t="s">
        <v>52</v>
      </c>
      <c r="C373" s="18" t="s">
        <v>53</v>
      </c>
      <c r="D373" s="18" t="s">
        <v>15</v>
      </c>
      <c r="E373" s="18" t="s">
        <v>5911</v>
      </c>
      <c r="F373" s="2">
        <f>+J373-I373</f>
        <v>30</v>
      </c>
      <c r="G373" s="2">
        <f ca="1">+TODAY()-I373</f>
        <v>23</v>
      </c>
      <c r="H373" s="15">
        <v>816245</v>
      </c>
      <c r="I373" s="1">
        <v>46097</v>
      </c>
      <c r="J373" s="1">
        <v>46127</v>
      </c>
      <c r="K373" s="18" t="s">
        <v>17</v>
      </c>
      <c r="L373" s="18" t="s">
        <v>32</v>
      </c>
      <c r="M373" s="18" t="s">
        <v>19</v>
      </c>
      <c r="N373" s="18" t="s">
        <v>6146</v>
      </c>
      <c r="O373">
        <v>30</v>
      </c>
    </row>
    <row r="374" spans="1:15" x14ac:dyDescent="0.25">
      <c r="A374" s="18" t="s">
        <v>7276</v>
      </c>
      <c r="B374" s="18" t="s">
        <v>52</v>
      </c>
      <c r="C374" s="18" t="s">
        <v>53</v>
      </c>
      <c r="D374" s="18" t="s">
        <v>15</v>
      </c>
      <c r="E374" s="18" t="s">
        <v>6836</v>
      </c>
      <c r="F374" s="2">
        <f>+J374-I374</f>
        <v>30</v>
      </c>
      <c r="G374" s="2">
        <f ca="1">+TODAY()-I374</f>
        <v>8</v>
      </c>
      <c r="H374" s="15">
        <v>2067526</v>
      </c>
      <c r="I374" s="1">
        <v>46112</v>
      </c>
      <c r="J374" s="1">
        <v>46142</v>
      </c>
      <c r="K374" s="18" t="s">
        <v>17</v>
      </c>
      <c r="L374" s="18" t="s">
        <v>32</v>
      </c>
      <c r="M374" s="18" t="s">
        <v>19</v>
      </c>
      <c r="N374" s="18" t="s">
        <v>6146</v>
      </c>
      <c r="O374">
        <v>30</v>
      </c>
    </row>
    <row r="375" spans="1:15" x14ac:dyDescent="0.25">
      <c r="A375" s="18" t="s">
        <v>7276</v>
      </c>
      <c r="B375" s="18" t="s">
        <v>52</v>
      </c>
      <c r="C375" s="18" t="s">
        <v>53</v>
      </c>
      <c r="D375" s="18" t="s">
        <v>15</v>
      </c>
      <c r="E375" s="18" t="s">
        <v>6837</v>
      </c>
      <c r="F375" s="2">
        <f>+J375-I375</f>
        <v>30</v>
      </c>
      <c r="G375" s="2">
        <f ca="1">+TODAY()-I375</f>
        <v>8</v>
      </c>
      <c r="H375" s="15">
        <v>5579742</v>
      </c>
      <c r="I375" s="1">
        <v>46112</v>
      </c>
      <c r="J375" s="1">
        <v>46142</v>
      </c>
      <c r="K375" s="18" t="s">
        <v>17</v>
      </c>
      <c r="L375" s="18" t="s">
        <v>32</v>
      </c>
      <c r="M375" s="18" t="s">
        <v>19</v>
      </c>
      <c r="N375" s="18" t="s">
        <v>6146</v>
      </c>
      <c r="O375">
        <v>30</v>
      </c>
    </row>
    <row r="376" spans="1:15" x14ac:dyDescent="0.25">
      <c r="A376" s="18" t="s">
        <v>7276</v>
      </c>
      <c r="B376" s="18" t="s">
        <v>52</v>
      </c>
      <c r="C376" s="18" t="s">
        <v>53</v>
      </c>
      <c r="D376" s="18" t="s">
        <v>15</v>
      </c>
      <c r="E376" s="18" t="s">
        <v>7365</v>
      </c>
      <c r="F376" s="2">
        <f>+J376-I376</f>
        <v>30</v>
      </c>
      <c r="G376" s="2">
        <f ca="1">+TODAY()-I376</f>
        <v>1</v>
      </c>
      <c r="H376" s="15">
        <v>1535277</v>
      </c>
      <c r="I376" s="1">
        <v>46119</v>
      </c>
      <c r="J376" s="1">
        <v>46149</v>
      </c>
      <c r="K376" s="18" t="s">
        <v>17</v>
      </c>
      <c r="L376" s="18" t="s">
        <v>32</v>
      </c>
      <c r="M376" s="18" t="s">
        <v>19</v>
      </c>
      <c r="N376" s="18" t="s">
        <v>6146</v>
      </c>
      <c r="O376">
        <v>30</v>
      </c>
    </row>
    <row r="377" spans="1:15" x14ac:dyDescent="0.25">
      <c r="A377" s="18" t="s">
        <v>7276</v>
      </c>
      <c r="B377" s="18" t="s">
        <v>52</v>
      </c>
      <c r="C377" s="18" t="s">
        <v>53</v>
      </c>
      <c r="D377" s="18" t="s">
        <v>15</v>
      </c>
      <c r="E377" s="18" t="s">
        <v>7366</v>
      </c>
      <c r="F377" s="2">
        <f>+J377-I377</f>
        <v>30</v>
      </c>
      <c r="G377" s="2">
        <f ca="1">+TODAY()-I377</f>
        <v>1</v>
      </c>
      <c r="H377" s="15">
        <v>2120000</v>
      </c>
      <c r="I377" s="1">
        <v>46119</v>
      </c>
      <c r="J377" s="1">
        <v>46149</v>
      </c>
      <c r="K377" s="18" t="s">
        <v>17</v>
      </c>
      <c r="L377" s="18" t="s">
        <v>32</v>
      </c>
      <c r="M377" s="18" t="s">
        <v>19</v>
      </c>
      <c r="N377" s="18" t="s">
        <v>6146</v>
      </c>
      <c r="O377">
        <v>30</v>
      </c>
    </row>
    <row r="378" spans="1:15" x14ac:dyDescent="0.25">
      <c r="A378" s="18" t="s">
        <v>7276</v>
      </c>
      <c r="B378" s="18" t="s">
        <v>4180</v>
      </c>
      <c r="C378" s="18" t="s">
        <v>4181</v>
      </c>
      <c r="D378" s="18" t="s">
        <v>340</v>
      </c>
      <c r="E378" s="18" t="s">
        <v>5548</v>
      </c>
      <c r="F378" s="2">
        <f>+J378-I378</f>
        <v>30</v>
      </c>
      <c r="G378" s="2">
        <f ca="1">+TODAY()-I378</f>
        <v>34</v>
      </c>
      <c r="H378" s="15">
        <v>4056214</v>
      </c>
      <c r="I378" s="1">
        <v>46086</v>
      </c>
      <c r="J378" s="1">
        <v>46116</v>
      </c>
      <c r="K378" s="18" t="s">
        <v>1233</v>
      </c>
      <c r="L378" s="18" t="s">
        <v>18</v>
      </c>
      <c r="M378" s="18" t="s">
        <v>19</v>
      </c>
      <c r="N378" s="18" t="s">
        <v>4183</v>
      </c>
      <c r="O378">
        <v>30</v>
      </c>
    </row>
    <row r="379" spans="1:15" x14ac:dyDescent="0.25">
      <c r="A379" s="18" t="s">
        <v>7276</v>
      </c>
      <c r="B379" s="18" t="s">
        <v>4180</v>
      </c>
      <c r="C379" s="18" t="s">
        <v>4181</v>
      </c>
      <c r="D379" s="18" t="s">
        <v>340</v>
      </c>
      <c r="E379" s="18" t="s">
        <v>5549</v>
      </c>
      <c r="F379" s="2">
        <f>+J379-I379</f>
        <v>30</v>
      </c>
      <c r="G379" s="2">
        <f ca="1">+TODAY()-I379</f>
        <v>34</v>
      </c>
      <c r="H379" s="15">
        <v>348004</v>
      </c>
      <c r="I379" s="1">
        <v>46086</v>
      </c>
      <c r="J379" s="1">
        <v>46116</v>
      </c>
      <c r="K379" s="18" t="s">
        <v>1233</v>
      </c>
      <c r="L379" s="18" t="s">
        <v>18</v>
      </c>
      <c r="M379" s="18" t="s">
        <v>19</v>
      </c>
      <c r="N379" s="18" t="s">
        <v>4183</v>
      </c>
      <c r="O379">
        <v>30</v>
      </c>
    </row>
    <row r="380" spans="1:15" x14ac:dyDescent="0.25">
      <c r="A380" s="18" t="s">
        <v>7276</v>
      </c>
      <c r="B380" s="18" t="s">
        <v>1943</v>
      </c>
      <c r="C380" s="18" t="s">
        <v>1944</v>
      </c>
      <c r="D380" s="18" t="s">
        <v>1587</v>
      </c>
      <c r="E380" s="18" t="s">
        <v>6695</v>
      </c>
      <c r="F380" s="2">
        <f>+J380-I380</f>
        <v>30</v>
      </c>
      <c r="G380" s="2">
        <f ca="1">+TODAY()-I380</f>
        <v>13</v>
      </c>
      <c r="H380" s="15">
        <v>878181</v>
      </c>
      <c r="I380" s="1">
        <v>46107</v>
      </c>
      <c r="J380" s="1">
        <v>46137</v>
      </c>
      <c r="K380" s="18" t="s">
        <v>1589</v>
      </c>
      <c r="L380" s="18" t="s">
        <v>984</v>
      </c>
      <c r="M380" s="18" t="s">
        <v>19</v>
      </c>
      <c r="N380" s="18" t="s">
        <v>1945</v>
      </c>
      <c r="O380">
        <v>30</v>
      </c>
    </row>
    <row r="381" spans="1:15" x14ac:dyDescent="0.25">
      <c r="A381" s="18" t="s">
        <v>7276</v>
      </c>
      <c r="B381" s="18" t="s">
        <v>1176</v>
      </c>
      <c r="C381" s="18" t="s">
        <v>1177</v>
      </c>
      <c r="D381" s="18" t="s">
        <v>1138</v>
      </c>
      <c r="E381" s="18" t="s">
        <v>7531</v>
      </c>
      <c r="F381" s="2">
        <f>+J381-I381</f>
        <v>15</v>
      </c>
      <c r="G381" s="2">
        <f ca="1">+TODAY()-I381</f>
        <v>7</v>
      </c>
      <c r="H381" s="15">
        <v>221060</v>
      </c>
      <c r="I381" s="1">
        <v>46113</v>
      </c>
      <c r="J381" s="1">
        <v>46128</v>
      </c>
      <c r="K381" s="18" t="s">
        <v>1144</v>
      </c>
      <c r="L381" s="18" t="s">
        <v>321</v>
      </c>
      <c r="M381" s="18" t="s">
        <v>19</v>
      </c>
      <c r="N381" s="18" t="s">
        <v>1178</v>
      </c>
      <c r="O381">
        <v>15</v>
      </c>
    </row>
    <row r="382" spans="1:15" x14ac:dyDescent="0.25">
      <c r="A382" s="18" t="s">
        <v>7276</v>
      </c>
      <c r="B382" s="18" t="s">
        <v>1176</v>
      </c>
      <c r="C382" s="18" t="s">
        <v>1177</v>
      </c>
      <c r="D382" s="18" t="s">
        <v>1138</v>
      </c>
      <c r="E382" s="18" t="s">
        <v>6020</v>
      </c>
      <c r="F382" s="2">
        <f>+J382-I382</f>
        <v>15</v>
      </c>
      <c r="G382" s="2">
        <f ca="1">+TODAY()-I382</f>
        <v>26</v>
      </c>
      <c r="H382" s="15">
        <v>207901</v>
      </c>
      <c r="I382" s="1">
        <v>46094</v>
      </c>
      <c r="J382" s="1">
        <v>46109</v>
      </c>
      <c r="K382" s="18" t="s">
        <v>1144</v>
      </c>
      <c r="L382" s="18" t="s">
        <v>321</v>
      </c>
      <c r="M382" s="18" t="s">
        <v>19</v>
      </c>
      <c r="N382" s="18" t="s">
        <v>1178</v>
      </c>
      <c r="O382">
        <v>15</v>
      </c>
    </row>
    <row r="383" spans="1:15" x14ac:dyDescent="0.25">
      <c r="A383" s="18" t="s">
        <v>7276</v>
      </c>
      <c r="B383" s="18" t="s">
        <v>1176</v>
      </c>
      <c r="C383" s="18" t="s">
        <v>1177</v>
      </c>
      <c r="D383" s="18" t="s">
        <v>1138</v>
      </c>
      <c r="E383" s="18" t="s">
        <v>6530</v>
      </c>
      <c r="F383" s="2">
        <f>+J383-I383</f>
        <v>15</v>
      </c>
      <c r="G383" s="2">
        <f ca="1">+TODAY()-I383</f>
        <v>12</v>
      </c>
      <c r="H383" s="15">
        <v>175885</v>
      </c>
      <c r="I383" s="1">
        <v>46108</v>
      </c>
      <c r="J383" s="1">
        <v>46123</v>
      </c>
      <c r="K383" s="18" t="s">
        <v>1144</v>
      </c>
      <c r="L383" s="18" t="s">
        <v>321</v>
      </c>
      <c r="M383" s="18" t="s">
        <v>19</v>
      </c>
      <c r="N383" s="18" t="s">
        <v>1178</v>
      </c>
      <c r="O383">
        <v>15</v>
      </c>
    </row>
    <row r="384" spans="1:15" x14ac:dyDescent="0.25">
      <c r="A384" s="18" t="s">
        <v>7276</v>
      </c>
      <c r="B384" s="18" t="s">
        <v>310</v>
      </c>
      <c r="C384" s="18" t="s">
        <v>311</v>
      </c>
      <c r="D384" s="18" t="s">
        <v>15</v>
      </c>
      <c r="E384" s="18" t="s">
        <v>5660</v>
      </c>
      <c r="F384" s="2">
        <f>+J384-I384</f>
        <v>30</v>
      </c>
      <c r="G384" s="2">
        <f ca="1">+TODAY()-I384</f>
        <v>27</v>
      </c>
      <c r="H384" s="15">
        <v>581196</v>
      </c>
      <c r="I384" s="1">
        <v>46093</v>
      </c>
      <c r="J384" s="1">
        <v>46123</v>
      </c>
      <c r="K384" s="18" t="s">
        <v>17</v>
      </c>
      <c r="L384" s="18" t="s">
        <v>312</v>
      </c>
      <c r="M384" s="18" t="s">
        <v>19</v>
      </c>
      <c r="N384" s="18" t="s">
        <v>313</v>
      </c>
      <c r="O384">
        <v>30</v>
      </c>
    </row>
    <row r="385" spans="1:15" x14ac:dyDescent="0.25">
      <c r="A385" s="18" t="s">
        <v>7276</v>
      </c>
      <c r="B385" s="18" t="s">
        <v>310</v>
      </c>
      <c r="C385" s="18" t="s">
        <v>311</v>
      </c>
      <c r="D385" s="18" t="s">
        <v>15</v>
      </c>
      <c r="E385" s="18" t="s">
        <v>6448</v>
      </c>
      <c r="F385" s="2">
        <f>+J385-I385</f>
        <v>10</v>
      </c>
      <c r="G385" s="2">
        <f ca="1">+TODAY()-I385</f>
        <v>12</v>
      </c>
      <c r="H385" s="15">
        <v>420000</v>
      </c>
      <c r="I385" s="1">
        <v>46108</v>
      </c>
      <c r="J385" s="1">
        <v>46118</v>
      </c>
      <c r="K385" s="18" t="s">
        <v>17</v>
      </c>
      <c r="L385" s="18" t="s">
        <v>312</v>
      </c>
      <c r="M385" s="18" t="s">
        <v>19</v>
      </c>
      <c r="N385" s="18" t="s">
        <v>313</v>
      </c>
      <c r="O385">
        <v>30</v>
      </c>
    </row>
    <row r="386" spans="1:15" x14ac:dyDescent="0.25">
      <c r="A386" s="18" t="s">
        <v>7276</v>
      </c>
      <c r="B386" s="18" t="s">
        <v>1710</v>
      </c>
      <c r="C386" s="18" t="s">
        <v>1711</v>
      </c>
      <c r="D386" s="18" t="s">
        <v>1705</v>
      </c>
      <c r="E386" s="18" t="s">
        <v>7240</v>
      </c>
      <c r="F386" s="2">
        <f>+J386-I386</f>
        <v>30</v>
      </c>
      <c r="G386" s="2">
        <f ca="1">+TODAY()-I386</f>
        <v>9</v>
      </c>
      <c r="H386" s="15">
        <v>1614174</v>
      </c>
      <c r="I386" s="1">
        <v>46111</v>
      </c>
      <c r="J386" s="1">
        <v>46141</v>
      </c>
      <c r="K386" s="18" t="s">
        <v>1706</v>
      </c>
      <c r="L386" s="18" t="s">
        <v>90</v>
      </c>
      <c r="M386" s="18" t="s">
        <v>19</v>
      </c>
      <c r="N386" s="18" t="s">
        <v>1712</v>
      </c>
      <c r="O386">
        <v>30</v>
      </c>
    </row>
    <row r="387" spans="1:15" x14ac:dyDescent="0.25">
      <c r="A387" s="18" t="s">
        <v>7276</v>
      </c>
      <c r="B387" s="18" t="s">
        <v>1710</v>
      </c>
      <c r="C387" s="18" t="s">
        <v>1711</v>
      </c>
      <c r="D387" s="18" t="s">
        <v>1705</v>
      </c>
      <c r="E387" s="18" t="s">
        <v>7241</v>
      </c>
      <c r="F387" s="2">
        <f>+J387-I387</f>
        <v>30</v>
      </c>
      <c r="G387" s="2">
        <f ca="1">+TODAY()-I387</f>
        <v>9</v>
      </c>
      <c r="H387" s="15">
        <v>3818011</v>
      </c>
      <c r="I387" s="1">
        <v>46111</v>
      </c>
      <c r="J387" s="1">
        <v>46141</v>
      </c>
      <c r="K387" s="18" t="s">
        <v>1706</v>
      </c>
      <c r="L387" s="18" t="s">
        <v>90</v>
      </c>
      <c r="M387" s="18" t="s">
        <v>19</v>
      </c>
      <c r="N387" s="18" t="s">
        <v>1712</v>
      </c>
      <c r="O387">
        <v>30</v>
      </c>
    </row>
    <row r="388" spans="1:15" x14ac:dyDescent="0.25">
      <c r="A388" s="18" t="s">
        <v>7276</v>
      </c>
      <c r="B388" s="18" t="s">
        <v>1710</v>
      </c>
      <c r="C388" s="18" t="s">
        <v>1711</v>
      </c>
      <c r="D388" s="18" t="s">
        <v>1705</v>
      </c>
      <c r="E388" s="18" t="s">
        <v>7242</v>
      </c>
      <c r="F388" s="2">
        <f>+J388-I388</f>
        <v>30</v>
      </c>
      <c r="G388" s="2">
        <f ca="1">+TODAY()-I388</f>
        <v>9</v>
      </c>
      <c r="H388" s="15">
        <v>1257394</v>
      </c>
      <c r="I388" s="1">
        <v>46111</v>
      </c>
      <c r="J388" s="1">
        <v>46141</v>
      </c>
      <c r="K388" s="18" t="s">
        <v>1706</v>
      </c>
      <c r="L388" s="18" t="s">
        <v>90</v>
      </c>
      <c r="M388" s="18" t="s">
        <v>19</v>
      </c>
      <c r="N388" s="18" t="s">
        <v>1712</v>
      </c>
      <c r="O388">
        <v>30</v>
      </c>
    </row>
    <row r="389" spans="1:15" x14ac:dyDescent="0.25">
      <c r="A389" s="18" t="s">
        <v>7276</v>
      </c>
      <c r="B389" s="18" t="s">
        <v>1710</v>
      </c>
      <c r="C389" s="18" t="s">
        <v>1711</v>
      </c>
      <c r="D389" s="18" t="s">
        <v>1705</v>
      </c>
      <c r="E389" s="18" t="s">
        <v>7243</v>
      </c>
      <c r="F389" s="2">
        <f>+J389-I389</f>
        <v>30</v>
      </c>
      <c r="G389" s="2">
        <f ca="1">+TODAY()-I389</f>
        <v>9</v>
      </c>
      <c r="H389" s="15">
        <v>2596949</v>
      </c>
      <c r="I389" s="1">
        <v>46111</v>
      </c>
      <c r="J389" s="1">
        <v>46141</v>
      </c>
      <c r="K389" s="18" t="s">
        <v>1706</v>
      </c>
      <c r="L389" s="18" t="s">
        <v>90</v>
      </c>
      <c r="M389" s="18" t="s">
        <v>19</v>
      </c>
      <c r="N389" s="18" t="s">
        <v>1712</v>
      </c>
      <c r="O389">
        <v>30</v>
      </c>
    </row>
    <row r="390" spans="1:15" x14ac:dyDescent="0.25">
      <c r="A390" s="18" t="s">
        <v>7276</v>
      </c>
      <c r="B390" s="18" t="s">
        <v>1104</v>
      </c>
      <c r="C390" s="18" t="s">
        <v>1105</v>
      </c>
      <c r="D390" s="18" t="s">
        <v>1066</v>
      </c>
      <c r="E390" s="18" t="s">
        <v>5015</v>
      </c>
      <c r="F390" s="2">
        <f>+J390-I390</f>
        <v>26</v>
      </c>
      <c r="G390" s="2">
        <f ca="1">+TODAY()-I390</f>
        <v>57</v>
      </c>
      <c r="H390" s="15">
        <v>186200</v>
      </c>
      <c r="I390" s="1">
        <v>46063</v>
      </c>
      <c r="J390" s="1">
        <v>46089</v>
      </c>
      <c r="K390" s="18" t="s">
        <v>1068</v>
      </c>
      <c r="L390" s="18" t="s">
        <v>207</v>
      </c>
      <c r="M390" s="18" t="s">
        <v>19</v>
      </c>
      <c r="N390" s="18" t="s">
        <v>1106</v>
      </c>
      <c r="O390">
        <v>30</v>
      </c>
    </row>
    <row r="391" spans="1:15" x14ac:dyDescent="0.25">
      <c r="A391" s="18" t="s">
        <v>7276</v>
      </c>
      <c r="B391" s="18" t="s">
        <v>1104</v>
      </c>
      <c r="C391" s="18" t="s">
        <v>1105</v>
      </c>
      <c r="D391" s="18" t="s">
        <v>1066</v>
      </c>
      <c r="E391" s="18" t="s">
        <v>5734</v>
      </c>
      <c r="F391" s="2">
        <f>+J391-I391</f>
        <v>15</v>
      </c>
      <c r="G391" s="2">
        <f ca="1">+TODAY()-I391</f>
        <v>32</v>
      </c>
      <c r="H391" s="15">
        <v>49726</v>
      </c>
      <c r="I391" s="1">
        <v>46088</v>
      </c>
      <c r="J391" s="1">
        <v>46103</v>
      </c>
      <c r="K391" s="18" t="s">
        <v>1068</v>
      </c>
      <c r="L391" s="18" t="s">
        <v>321</v>
      </c>
      <c r="M391" s="18" t="s">
        <v>19</v>
      </c>
      <c r="N391" s="18" t="s">
        <v>1106</v>
      </c>
      <c r="O391">
        <v>30</v>
      </c>
    </row>
    <row r="392" spans="1:15" x14ac:dyDescent="0.25">
      <c r="A392" s="18" t="s">
        <v>7276</v>
      </c>
      <c r="B392" s="18" t="s">
        <v>1104</v>
      </c>
      <c r="C392" s="18" t="s">
        <v>1105</v>
      </c>
      <c r="D392" s="18" t="s">
        <v>1066</v>
      </c>
      <c r="E392" s="18" t="s">
        <v>5757</v>
      </c>
      <c r="F392" s="2">
        <f>+J392-I392</f>
        <v>30</v>
      </c>
      <c r="G392" s="2">
        <f ca="1">+TODAY()-I392</f>
        <v>32</v>
      </c>
      <c r="H392" s="15">
        <v>2603822</v>
      </c>
      <c r="I392" s="1">
        <v>46088</v>
      </c>
      <c r="J392" s="1">
        <v>46118</v>
      </c>
      <c r="K392" s="18" t="s">
        <v>1144</v>
      </c>
      <c r="L392" s="18" t="s">
        <v>117</v>
      </c>
      <c r="M392" s="18" t="s">
        <v>19</v>
      </c>
      <c r="N392" s="18" t="s">
        <v>1106</v>
      </c>
      <c r="O392">
        <v>30</v>
      </c>
    </row>
    <row r="393" spans="1:15" x14ac:dyDescent="0.25">
      <c r="A393" s="18" t="s">
        <v>7276</v>
      </c>
      <c r="B393" s="18" t="s">
        <v>5288</v>
      </c>
      <c r="C393" s="18" t="s">
        <v>5289</v>
      </c>
      <c r="D393" s="18" t="s">
        <v>1323</v>
      </c>
      <c r="E393" s="18" t="s">
        <v>5795</v>
      </c>
      <c r="F393" s="2">
        <f>+J393-I393</f>
        <v>30</v>
      </c>
      <c r="G393" s="2">
        <f ca="1">+TODAY()-I393</f>
        <v>28</v>
      </c>
      <c r="H393" s="15">
        <v>4524025</v>
      </c>
      <c r="I393" s="1">
        <v>46092</v>
      </c>
      <c r="J393" s="1">
        <v>46122</v>
      </c>
      <c r="K393" s="18" t="s">
        <v>1325</v>
      </c>
      <c r="L393" s="18" t="s">
        <v>90</v>
      </c>
      <c r="M393" s="18" t="s">
        <v>19</v>
      </c>
      <c r="N393" s="18" t="s">
        <v>5290</v>
      </c>
      <c r="O393">
        <v>30</v>
      </c>
    </row>
    <row r="394" spans="1:15" x14ac:dyDescent="0.25">
      <c r="A394" s="18" t="s">
        <v>7276</v>
      </c>
      <c r="B394" s="18" t="s">
        <v>5288</v>
      </c>
      <c r="C394" s="18" t="s">
        <v>5289</v>
      </c>
      <c r="D394" s="18" t="s">
        <v>1323</v>
      </c>
      <c r="E394" s="18" t="s">
        <v>5796</v>
      </c>
      <c r="F394" s="2">
        <f>+J394-I394</f>
        <v>30</v>
      </c>
      <c r="G394" s="2">
        <f ca="1">+TODAY()-I394</f>
        <v>28</v>
      </c>
      <c r="H394" s="15">
        <v>4132766</v>
      </c>
      <c r="I394" s="1">
        <v>46092</v>
      </c>
      <c r="J394" s="1">
        <v>46122</v>
      </c>
      <c r="K394" s="18" t="s">
        <v>1325</v>
      </c>
      <c r="L394" s="18" t="s">
        <v>90</v>
      </c>
      <c r="M394" s="18" t="s">
        <v>19</v>
      </c>
      <c r="N394" s="18" t="s">
        <v>5290</v>
      </c>
      <c r="O394">
        <v>30</v>
      </c>
    </row>
    <row r="395" spans="1:15" x14ac:dyDescent="0.25">
      <c r="A395" s="18" t="s">
        <v>7276</v>
      </c>
      <c r="B395" s="18" t="s">
        <v>5288</v>
      </c>
      <c r="C395" s="18" t="s">
        <v>5289</v>
      </c>
      <c r="D395" s="18" t="s">
        <v>1323</v>
      </c>
      <c r="E395" s="18" t="s">
        <v>6558</v>
      </c>
      <c r="F395" s="2">
        <f>+J395-I395</f>
        <v>30</v>
      </c>
      <c r="G395" s="2">
        <f ca="1">+TODAY()-I395</f>
        <v>14</v>
      </c>
      <c r="H395" s="15">
        <v>2950762</v>
      </c>
      <c r="I395" s="1">
        <v>46106</v>
      </c>
      <c r="J395" s="1">
        <v>46136</v>
      </c>
      <c r="K395" s="18" t="s">
        <v>1325</v>
      </c>
      <c r="L395" s="18" t="s">
        <v>90</v>
      </c>
      <c r="M395" s="18" t="s">
        <v>19</v>
      </c>
      <c r="N395" s="18" t="s">
        <v>5290</v>
      </c>
      <c r="O395">
        <v>30</v>
      </c>
    </row>
    <row r="396" spans="1:15" x14ac:dyDescent="0.25">
      <c r="A396" s="18" t="s">
        <v>7276</v>
      </c>
      <c r="B396" s="18" t="s">
        <v>5288</v>
      </c>
      <c r="C396" s="18" t="s">
        <v>5289</v>
      </c>
      <c r="D396" s="18" t="s">
        <v>1323</v>
      </c>
      <c r="E396" s="18" t="s">
        <v>6559</v>
      </c>
      <c r="F396" s="2">
        <f>+J396-I396</f>
        <v>30</v>
      </c>
      <c r="G396" s="2">
        <f ca="1">+TODAY()-I396</f>
        <v>14</v>
      </c>
      <c r="H396" s="15">
        <v>13901557</v>
      </c>
      <c r="I396" s="1">
        <v>46106</v>
      </c>
      <c r="J396" s="1">
        <v>46136</v>
      </c>
      <c r="K396" s="18" t="s">
        <v>1325</v>
      </c>
      <c r="L396" s="18" t="s">
        <v>90</v>
      </c>
      <c r="M396" s="18" t="s">
        <v>19</v>
      </c>
      <c r="N396" s="18" t="s">
        <v>5290</v>
      </c>
      <c r="O396">
        <v>30</v>
      </c>
    </row>
    <row r="397" spans="1:15" x14ac:dyDescent="0.25">
      <c r="A397" s="18" t="s">
        <v>7276</v>
      </c>
      <c r="B397" s="18" t="s">
        <v>5288</v>
      </c>
      <c r="C397" s="18" t="s">
        <v>5289</v>
      </c>
      <c r="D397" s="18" t="s">
        <v>1323</v>
      </c>
      <c r="E397" s="18" t="s">
        <v>7842</v>
      </c>
      <c r="F397" s="2">
        <f>+J397-I397</f>
        <v>30</v>
      </c>
      <c r="G397" s="2">
        <f ca="1">+TODAY()-I397</f>
        <v>0</v>
      </c>
      <c r="H397" s="15">
        <v>933000</v>
      </c>
      <c r="I397" s="1">
        <v>46120</v>
      </c>
      <c r="J397" s="1">
        <v>46150</v>
      </c>
      <c r="K397" s="18" t="s">
        <v>1325</v>
      </c>
      <c r="L397" s="18" t="s">
        <v>90</v>
      </c>
      <c r="M397" s="18" t="s">
        <v>19</v>
      </c>
      <c r="N397" s="18" t="s">
        <v>5290</v>
      </c>
      <c r="O397">
        <v>30</v>
      </c>
    </row>
    <row r="398" spans="1:15" x14ac:dyDescent="0.25">
      <c r="A398" s="18" t="s">
        <v>7276</v>
      </c>
      <c r="B398" s="18" t="s">
        <v>4163</v>
      </c>
      <c r="C398" s="18" t="s">
        <v>4164</v>
      </c>
      <c r="D398" s="18" t="s">
        <v>4165</v>
      </c>
      <c r="E398" s="18" t="s">
        <v>5372</v>
      </c>
      <c r="F398" s="2">
        <f>+J398-I398</f>
        <v>30</v>
      </c>
      <c r="G398" s="2">
        <f ca="1">+TODAY()-I398</f>
        <v>44</v>
      </c>
      <c r="H398" s="15">
        <v>2445766</v>
      </c>
      <c r="I398" s="1">
        <v>46076</v>
      </c>
      <c r="J398" s="1">
        <v>46106</v>
      </c>
      <c r="K398" s="18" t="s">
        <v>5373</v>
      </c>
      <c r="L398" s="18" t="s">
        <v>981</v>
      </c>
      <c r="M398" s="18" t="s">
        <v>19</v>
      </c>
      <c r="N398" s="18" t="s">
        <v>4167</v>
      </c>
      <c r="O398">
        <v>30</v>
      </c>
    </row>
    <row r="399" spans="1:15" x14ac:dyDescent="0.25">
      <c r="A399" s="18" t="s">
        <v>7276</v>
      </c>
      <c r="B399" s="18" t="s">
        <v>4163</v>
      </c>
      <c r="C399" s="18" t="s">
        <v>4164</v>
      </c>
      <c r="D399" s="18" t="s">
        <v>4165</v>
      </c>
      <c r="E399" s="18" t="s">
        <v>6130</v>
      </c>
      <c r="F399" s="2">
        <f>+J399-I399</f>
        <v>30</v>
      </c>
      <c r="G399" s="2">
        <f ca="1">+TODAY()-I399</f>
        <v>23</v>
      </c>
      <c r="H399" s="15">
        <v>1296898</v>
      </c>
      <c r="I399" s="1">
        <v>46097</v>
      </c>
      <c r="J399" s="1">
        <v>46127</v>
      </c>
      <c r="K399" s="18" t="s">
        <v>5373</v>
      </c>
      <c r="L399" s="18" t="s">
        <v>981</v>
      </c>
      <c r="M399" s="18" t="s">
        <v>19</v>
      </c>
      <c r="N399" s="18" t="s">
        <v>4167</v>
      </c>
      <c r="O399">
        <v>30</v>
      </c>
    </row>
    <row r="400" spans="1:15" x14ac:dyDescent="0.25">
      <c r="A400" s="18" t="s">
        <v>7276</v>
      </c>
      <c r="B400" s="18" t="s">
        <v>3246</v>
      </c>
      <c r="C400" s="18" t="s">
        <v>3247</v>
      </c>
      <c r="D400" s="18" t="s">
        <v>15</v>
      </c>
      <c r="E400" s="18" t="s">
        <v>5078</v>
      </c>
      <c r="F400" s="2">
        <f>+J400-I400</f>
        <v>30</v>
      </c>
      <c r="G400" s="2">
        <f ca="1">+TODAY()-I400</f>
        <v>55</v>
      </c>
      <c r="H400" s="15">
        <v>4385036</v>
      </c>
      <c r="I400" s="1">
        <v>46065</v>
      </c>
      <c r="J400" s="1">
        <v>46095</v>
      </c>
      <c r="K400" s="18" t="s">
        <v>17</v>
      </c>
      <c r="L400" s="18" t="s">
        <v>109</v>
      </c>
      <c r="M400" s="18" t="s">
        <v>19</v>
      </c>
      <c r="N400" s="18" t="s">
        <v>3249</v>
      </c>
      <c r="O400">
        <v>30</v>
      </c>
    </row>
    <row r="401" spans="1:15" x14ac:dyDescent="0.25">
      <c r="A401" s="18" t="s">
        <v>7276</v>
      </c>
      <c r="B401" s="18" t="s">
        <v>3246</v>
      </c>
      <c r="C401" s="18" t="s">
        <v>3247</v>
      </c>
      <c r="D401" s="18" t="s">
        <v>15</v>
      </c>
      <c r="E401" s="18" t="s">
        <v>5079</v>
      </c>
      <c r="F401" s="2">
        <f>+J401-I401</f>
        <v>30</v>
      </c>
      <c r="G401" s="2">
        <f ca="1">+TODAY()-I401</f>
        <v>55</v>
      </c>
      <c r="H401" s="15">
        <v>6311190</v>
      </c>
      <c r="I401" s="1">
        <v>46065</v>
      </c>
      <c r="J401" s="1">
        <v>46095</v>
      </c>
      <c r="K401" s="18" t="s">
        <v>17</v>
      </c>
      <c r="L401" s="18" t="s">
        <v>109</v>
      </c>
      <c r="M401" s="18" t="s">
        <v>19</v>
      </c>
      <c r="N401" s="18" t="s">
        <v>3249</v>
      </c>
      <c r="O401">
        <v>30</v>
      </c>
    </row>
    <row r="402" spans="1:15" x14ac:dyDescent="0.25">
      <c r="A402" s="18" t="s">
        <v>7276</v>
      </c>
      <c r="B402" s="18" t="s">
        <v>3246</v>
      </c>
      <c r="C402" s="18" t="s">
        <v>3247</v>
      </c>
      <c r="D402" s="18" t="s">
        <v>15</v>
      </c>
      <c r="E402" s="18" t="s">
        <v>5909</v>
      </c>
      <c r="F402" s="2">
        <f>+J402-I402</f>
        <v>30</v>
      </c>
      <c r="G402" s="2">
        <f ca="1">+TODAY()-I402</f>
        <v>23</v>
      </c>
      <c r="H402" s="15">
        <v>21200000</v>
      </c>
      <c r="I402" s="1">
        <v>46097</v>
      </c>
      <c r="J402" s="1">
        <v>46127</v>
      </c>
      <c r="K402" s="18" t="s">
        <v>17</v>
      </c>
      <c r="L402" s="18" t="s">
        <v>109</v>
      </c>
      <c r="M402" s="18" t="s">
        <v>19</v>
      </c>
      <c r="N402" s="18" t="s">
        <v>3249</v>
      </c>
      <c r="O402">
        <v>30</v>
      </c>
    </row>
    <row r="403" spans="1:15" x14ac:dyDescent="0.25">
      <c r="A403" s="18" t="s">
        <v>7276</v>
      </c>
      <c r="B403" s="18" t="s">
        <v>1997</v>
      </c>
      <c r="C403" s="18" t="s">
        <v>1998</v>
      </c>
      <c r="D403" s="18" t="s">
        <v>1947</v>
      </c>
      <c r="E403" s="18" t="s">
        <v>7179</v>
      </c>
      <c r="F403" s="2">
        <f>+J403-I403</f>
        <v>1</v>
      </c>
      <c r="G403" s="2">
        <f ca="1">+TODAY()-I403</f>
        <v>8</v>
      </c>
      <c r="H403" s="15">
        <v>64151</v>
      </c>
      <c r="I403" s="1">
        <v>46112</v>
      </c>
      <c r="J403" s="1">
        <v>46113</v>
      </c>
      <c r="K403" s="18" t="s">
        <v>1243</v>
      </c>
      <c r="L403" s="18" t="s">
        <v>312</v>
      </c>
      <c r="M403" s="18" t="s">
        <v>19</v>
      </c>
      <c r="N403" s="18" t="s">
        <v>2000</v>
      </c>
      <c r="O403">
        <v>30</v>
      </c>
    </row>
    <row r="404" spans="1:15" x14ac:dyDescent="0.25">
      <c r="A404" s="18" t="s">
        <v>7276</v>
      </c>
      <c r="B404" s="18" t="s">
        <v>6937</v>
      </c>
      <c r="C404" s="18" t="s">
        <v>6938</v>
      </c>
      <c r="D404" s="18" t="s">
        <v>204</v>
      </c>
      <c r="E404" s="18" t="s">
        <v>6939</v>
      </c>
      <c r="F404" s="2">
        <f>+J404-I404</f>
        <v>1</v>
      </c>
      <c r="G404" s="2">
        <f ca="1">+TODAY()-I404</f>
        <v>9</v>
      </c>
      <c r="H404" s="15">
        <v>203544</v>
      </c>
      <c r="I404" s="1">
        <v>46111</v>
      </c>
      <c r="J404" s="1">
        <v>46112</v>
      </c>
      <c r="K404" s="18" t="s">
        <v>343</v>
      </c>
      <c r="L404" s="18" t="s">
        <v>18</v>
      </c>
      <c r="M404" s="18" t="s">
        <v>19</v>
      </c>
      <c r="N404" s="18" t="s">
        <v>6940</v>
      </c>
      <c r="O404">
        <v>1</v>
      </c>
    </row>
    <row r="405" spans="1:15" x14ac:dyDescent="0.25">
      <c r="A405" s="18" t="s">
        <v>7276</v>
      </c>
      <c r="B405" s="18" t="s">
        <v>1272</v>
      </c>
      <c r="C405" s="18" t="s">
        <v>1273</v>
      </c>
      <c r="D405" s="18" t="s">
        <v>1259</v>
      </c>
      <c r="E405" s="18" t="s">
        <v>5279</v>
      </c>
      <c r="F405" s="2">
        <f>+J405-I405</f>
        <v>30</v>
      </c>
      <c r="G405" s="2">
        <f ca="1">+TODAY()-I405</f>
        <v>40</v>
      </c>
      <c r="H405" s="15">
        <v>713839</v>
      </c>
      <c r="I405" s="1">
        <v>46080</v>
      </c>
      <c r="J405" s="1">
        <v>46110</v>
      </c>
      <c r="K405" s="18" t="s">
        <v>1260</v>
      </c>
      <c r="L405" s="18" t="s">
        <v>981</v>
      </c>
      <c r="M405" s="18" t="s">
        <v>19</v>
      </c>
      <c r="N405" s="18" t="s">
        <v>1274</v>
      </c>
      <c r="O405">
        <v>30</v>
      </c>
    </row>
    <row r="406" spans="1:15" x14ac:dyDescent="0.25">
      <c r="A406" s="18" t="s">
        <v>7276</v>
      </c>
      <c r="B406" s="18" t="s">
        <v>1272</v>
      </c>
      <c r="C406" s="18" t="s">
        <v>1273</v>
      </c>
      <c r="D406" s="18" t="s">
        <v>1259</v>
      </c>
      <c r="E406" s="18" t="s">
        <v>6033</v>
      </c>
      <c r="F406" s="2">
        <f>+J406-I406</f>
        <v>30</v>
      </c>
      <c r="G406" s="2">
        <f ca="1">+TODAY()-I406</f>
        <v>27</v>
      </c>
      <c r="H406" s="15">
        <v>324400</v>
      </c>
      <c r="I406" s="1">
        <v>46093</v>
      </c>
      <c r="J406" s="1">
        <v>46123</v>
      </c>
      <c r="K406" s="18" t="s">
        <v>1260</v>
      </c>
      <c r="L406" s="18" t="s">
        <v>981</v>
      </c>
      <c r="M406" s="18" t="s">
        <v>19</v>
      </c>
      <c r="N406" s="18" t="s">
        <v>1274</v>
      </c>
      <c r="O406">
        <v>30</v>
      </c>
    </row>
    <row r="407" spans="1:15" x14ac:dyDescent="0.25">
      <c r="A407" s="18" t="s">
        <v>7276</v>
      </c>
      <c r="B407" s="18" t="s">
        <v>1272</v>
      </c>
      <c r="C407" s="18" t="s">
        <v>1273</v>
      </c>
      <c r="D407" s="18" t="s">
        <v>1259</v>
      </c>
      <c r="E407" s="18" t="s">
        <v>6035</v>
      </c>
      <c r="F407" s="2">
        <f>+J407-I407</f>
        <v>30</v>
      </c>
      <c r="G407" s="2">
        <f ca="1">+TODAY()-I407</f>
        <v>25</v>
      </c>
      <c r="H407" s="15">
        <v>458146</v>
      </c>
      <c r="I407" s="1">
        <v>46095</v>
      </c>
      <c r="J407" s="1">
        <v>46125</v>
      </c>
      <c r="K407" s="18" t="s">
        <v>1260</v>
      </c>
      <c r="L407" s="18" t="s">
        <v>981</v>
      </c>
      <c r="M407" s="18" t="s">
        <v>19</v>
      </c>
      <c r="N407" s="18" t="s">
        <v>1274</v>
      </c>
      <c r="O407">
        <v>30</v>
      </c>
    </row>
    <row r="408" spans="1:15" x14ac:dyDescent="0.25">
      <c r="A408" s="18" t="s">
        <v>7276</v>
      </c>
      <c r="B408" s="18" t="s">
        <v>4004</v>
      </c>
      <c r="C408" s="18" t="s">
        <v>4005</v>
      </c>
      <c r="D408" s="18" t="s">
        <v>916</v>
      </c>
      <c r="E408" s="18" t="s">
        <v>7465</v>
      </c>
      <c r="F408" s="2">
        <f>+J408-I408</f>
        <v>1</v>
      </c>
      <c r="G408" s="2">
        <f ca="1">+TODAY()-I408</f>
        <v>2</v>
      </c>
      <c r="H408" s="15">
        <v>170535</v>
      </c>
      <c r="I408" s="1">
        <v>46118</v>
      </c>
      <c r="J408" s="1">
        <v>46119</v>
      </c>
      <c r="K408" s="18" t="s">
        <v>918</v>
      </c>
      <c r="L408" s="18" t="s">
        <v>312</v>
      </c>
      <c r="M408" s="18" t="s">
        <v>19</v>
      </c>
      <c r="N408" s="18" t="s">
        <v>4006</v>
      </c>
      <c r="O408">
        <v>30</v>
      </c>
    </row>
    <row r="409" spans="1:15" x14ac:dyDescent="0.25">
      <c r="A409" s="18" t="s">
        <v>7276</v>
      </c>
      <c r="B409" s="18" t="s">
        <v>4004</v>
      </c>
      <c r="C409" s="18" t="s">
        <v>4005</v>
      </c>
      <c r="D409" s="18" t="s">
        <v>916</v>
      </c>
      <c r="E409" s="18" t="s">
        <v>7466</v>
      </c>
      <c r="F409" s="2">
        <f>+J409-I409</f>
        <v>1</v>
      </c>
      <c r="G409" s="2">
        <f ca="1">+TODAY()-I409</f>
        <v>2</v>
      </c>
      <c r="H409" s="15">
        <v>42000</v>
      </c>
      <c r="I409" s="1">
        <v>46118</v>
      </c>
      <c r="J409" s="1">
        <v>46119</v>
      </c>
      <c r="K409" s="18" t="s">
        <v>918</v>
      </c>
      <c r="L409" s="18" t="s">
        <v>312</v>
      </c>
      <c r="M409" s="18" t="s">
        <v>19</v>
      </c>
      <c r="N409" s="18" t="s">
        <v>4006</v>
      </c>
      <c r="O409">
        <v>30</v>
      </c>
    </row>
    <row r="410" spans="1:15" x14ac:dyDescent="0.25">
      <c r="A410" s="18" t="s">
        <v>7276</v>
      </c>
      <c r="B410" s="18" t="s">
        <v>1122</v>
      </c>
      <c r="C410" s="18" t="s">
        <v>1123</v>
      </c>
      <c r="D410" s="18" t="s">
        <v>320</v>
      </c>
      <c r="E410" s="18" t="s">
        <v>1124</v>
      </c>
      <c r="F410" s="2">
        <f>+J410-I410</f>
        <v>30</v>
      </c>
      <c r="G410" s="2">
        <f ca="1">+TODAY()-I410</f>
        <v>265</v>
      </c>
      <c r="H410" s="15">
        <v>99509</v>
      </c>
      <c r="I410" s="1">
        <v>45855</v>
      </c>
      <c r="J410" s="1">
        <v>45885</v>
      </c>
      <c r="K410" s="18" t="s">
        <v>1068</v>
      </c>
      <c r="L410" s="18" t="s">
        <v>47</v>
      </c>
      <c r="M410" s="18" t="s">
        <v>19</v>
      </c>
      <c r="N410" s="18" t="s">
        <v>1125</v>
      </c>
      <c r="O410">
        <v>30</v>
      </c>
    </row>
    <row r="411" spans="1:15" x14ac:dyDescent="0.25">
      <c r="A411" s="18" t="s">
        <v>7276</v>
      </c>
      <c r="B411" s="18" t="s">
        <v>4209</v>
      </c>
      <c r="C411" s="18" t="s">
        <v>4210</v>
      </c>
      <c r="D411" s="18" t="s">
        <v>46</v>
      </c>
      <c r="E411" s="18" t="s">
        <v>5378</v>
      </c>
      <c r="F411" s="2">
        <f>+J411-I411</f>
        <v>30</v>
      </c>
      <c r="G411" s="2">
        <f ca="1">+TODAY()-I411</f>
        <v>37</v>
      </c>
      <c r="H411" s="15">
        <v>225600</v>
      </c>
      <c r="I411" s="1">
        <v>46083</v>
      </c>
      <c r="J411" s="1">
        <v>46113</v>
      </c>
      <c r="K411" s="18" t="s">
        <v>17</v>
      </c>
      <c r="L411" s="18" t="s">
        <v>32</v>
      </c>
      <c r="M411" s="18" t="s">
        <v>19</v>
      </c>
      <c r="N411" s="18" t="s">
        <v>149</v>
      </c>
      <c r="O411">
        <v>30</v>
      </c>
    </row>
    <row r="412" spans="1:15" x14ac:dyDescent="0.25">
      <c r="A412" s="18" t="s">
        <v>7276</v>
      </c>
      <c r="B412" s="18" t="s">
        <v>4209</v>
      </c>
      <c r="C412" s="18" t="s">
        <v>4210</v>
      </c>
      <c r="D412" s="18" t="s">
        <v>46</v>
      </c>
      <c r="E412" s="18" t="s">
        <v>5512</v>
      </c>
      <c r="F412" s="2">
        <f>+J412-I412</f>
        <v>30</v>
      </c>
      <c r="G412" s="2">
        <f ca="1">+TODAY()-I412</f>
        <v>34</v>
      </c>
      <c r="H412" s="15">
        <v>1067884</v>
      </c>
      <c r="I412" s="1">
        <v>46086</v>
      </c>
      <c r="J412" s="1">
        <v>46116</v>
      </c>
      <c r="K412" s="18" t="s">
        <v>17</v>
      </c>
      <c r="L412" s="18" t="s">
        <v>32</v>
      </c>
      <c r="M412" s="18" t="s">
        <v>19</v>
      </c>
      <c r="N412" s="18" t="s">
        <v>149</v>
      </c>
      <c r="O412">
        <v>30</v>
      </c>
    </row>
    <row r="413" spans="1:15" x14ac:dyDescent="0.25">
      <c r="A413" s="18" t="s">
        <v>7276</v>
      </c>
      <c r="B413" s="18" t="s">
        <v>4209</v>
      </c>
      <c r="C413" s="18" t="s">
        <v>4210</v>
      </c>
      <c r="D413" s="18" t="s">
        <v>46</v>
      </c>
      <c r="E413" s="18" t="s">
        <v>5514</v>
      </c>
      <c r="F413" s="2">
        <f>+J413-I413</f>
        <v>30</v>
      </c>
      <c r="G413" s="2">
        <f ca="1">+TODAY()-I413</f>
        <v>34</v>
      </c>
      <c r="H413" s="15">
        <v>589980</v>
      </c>
      <c r="I413" s="1">
        <v>46086</v>
      </c>
      <c r="J413" s="1">
        <v>46116</v>
      </c>
      <c r="K413" s="18" t="s">
        <v>17</v>
      </c>
      <c r="L413" s="18" t="s">
        <v>32</v>
      </c>
      <c r="M413" s="18" t="s">
        <v>19</v>
      </c>
      <c r="N413" s="18" t="s">
        <v>149</v>
      </c>
      <c r="O413">
        <v>30</v>
      </c>
    </row>
    <row r="414" spans="1:15" x14ac:dyDescent="0.25">
      <c r="A414" s="18" t="s">
        <v>7276</v>
      </c>
      <c r="B414" s="18" t="s">
        <v>4209</v>
      </c>
      <c r="C414" s="18" t="s">
        <v>4210</v>
      </c>
      <c r="D414" s="18" t="s">
        <v>46</v>
      </c>
      <c r="E414" s="18" t="s">
        <v>5515</v>
      </c>
      <c r="F414" s="2">
        <f>+J414-I414</f>
        <v>30</v>
      </c>
      <c r="G414" s="2">
        <f ca="1">+TODAY()-I414</f>
        <v>34</v>
      </c>
      <c r="H414" s="15">
        <v>1795702</v>
      </c>
      <c r="I414" s="1">
        <v>46086</v>
      </c>
      <c r="J414" s="1">
        <v>46116</v>
      </c>
      <c r="K414" s="18" t="s">
        <v>17</v>
      </c>
      <c r="L414" s="18" t="s">
        <v>32</v>
      </c>
      <c r="M414" s="18" t="s">
        <v>19</v>
      </c>
      <c r="N414" s="18" t="s">
        <v>149</v>
      </c>
      <c r="O414">
        <v>30</v>
      </c>
    </row>
    <row r="415" spans="1:15" x14ac:dyDescent="0.25">
      <c r="A415" s="18" t="s">
        <v>7276</v>
      </c>
      <c r="B415" s="18" t="s">
        <v>4209</v>
      </c>
      <c r="C415" s="18" t="s">
        <v>4210</v>
      </c>
      <c r="D415" s="18" t="s">
        <v>46</v>
      </c>
      <c r="E415" s="18" t="s">
        <v>5618</v>
      </c>
      <c r="F415" s="2">
        <f>+J415-I415</f>
        <v>30</v>
      </c>
      <c r="G415" s="2">
        <f ca="1">+TODAY()-I415</f>
        <v>30</v>
      </c>
      <c r="H415" s="15">
        <v>508291</v>
      </c>
      <c r="I415" s="1">
        <v>46090</v>
      </c>
      <c r="J415" s="1">
        <v>46120</v>
      </c>
      <c r="K415" s="18" t="s">
        <v>17</v>
      </c>
      <c r="L415" s="18" t="s">
        <v>32</v>
      </c>
      <c r="M415" s="18" t="s">
        <v>19</v>
      </c>
      <c r="N415" s="18" t="s">
        <v>149</v>
      </c>
      <c r="O415">
        <v>30</v>
      </c>
    </row>
    <row r="416" spans="1:15" x14ac:dyDescent="0.25">
      <c r="A416" s="18" t="s">
        <v>7276</v>
      </c>
      <c r="B416" s="18" t="s">
        <v>4209</v>
      </c>
      <c r="C416" s="18" t="s">
        <v>4210</v>
      </c>
      <c r="D416" s="18" t="s">
        <v>46</v>
      </c>
      <c r="E416" s="18" t="s">
        <v>5641</v>
      </c>
      <c r="F416" s="2">
        <f>+J416-I416</f>
        <v>30</v>
      </c>
      <c r="G416" s="2">
        <f ca="1">+TODAY()-I416</f>
        <v>28</v>
      </c>
      <c r="H416" s="15">
        <v>2515052</v>
      </c>
      <c r="I416" s="1">
        <v>46092</v>
      </c>
      <c r="J416" s="1">
        <v>46122</v>
      </c>
      <c r="K416" s="18" t="s">
        <v>17</v>
      </c>
      <c r="L416" s="18" t="s">
        <v>32</v>
      </c>
      <c r="M416" s="18" t="s">
        <v>19</v>
      </c>
      <c r="N416" s="18" t="s">
        <v>149</v>
      </c>
      <c r="O416">
        <v>30</v>
      </c>
    </row>
    <row r="417" spans="1:15" x14ac:dyDescent="0.25">
      <c r="A417" s="18" t="s">
        <v>7276</v>
      </c>
      <c r="B417" s="18" t="s">
        <v>4209</v>
      </c>
      <c r="C417" s="18" t="s">
        <v>4210</v>
      </c>
      <c r="D417" s="18" t="s">
        <v>46</v>
      </c>
      <c r="E417" s="18" t="s">
        <v>5642</v>
      </c>
      <c r="F417" s="2">
        <f>+J417-I417</f>
        <v>30</v>
      </c>
      <c r="G417" s="2">
        <f ca="1">+TODAY()-I417</f>
        <v>28</v>
      </c>
      <c r="H417" s="15">
        <v>649169</v>
      </c>
      <c r="I417" s="1">
        <v>46092</v>
      </c>
      <c r="J417" s="1">
        <v>46122</v>
      </c>
      <c r="K417" s="18" t="s">
        <v>17</v>
      </c>
      <c r="L417" s="18" t="s">
        <v>32</v>
      </c>
      <c r="M417" s="18" t="s">
        <v>19</v>
      </c>
      <c r="N417" s="18" t="s">
        <v>149</v>
      </c>
      <c r="O417">
        <v>30</v>
      </c>
    </row>
    <row r="418" spans="1:15" x14ac:dyDescent="0.25">
      <c r="A418" s="18" t="s">
        <v>7276</v>
      </c>
      <c r="B418" s="18" t="s">
        <v>4209</v>
      </c>
      <c r="C418" s="18" t="s">
        <v>4210</v>
      </c>
      <c r="D418" s="18" t="s">
        <v>46</v>
      </c>
      <c r="E418" s="18" t="s">
        <v>5864</v>
      </c>
      <c r="F418" s="2">
        <f>+J418-I418</f>
        <v>30</v>
      </c>
      <c r="G418" s="2">
        <f ca="1">+TODAY()-I418</f>
        <v>27</v>
      </c>
      <c r="H418" s="15">
        <v>2100000</v>
      </c>
      <c r="I418" s="1">
        <v>46093</v>
      </c>
      <c r="J418" s="1">
        <v>46123</v>
      </c>
      <c r="K418" s="18" t="s">
        <v>17</v>
      </c>
      <c r="L418" s="18" t="s">
        <v>32</v>
      </c>
      <c r="M418" s="18" t="s">
        <v>19</v>
      </c>
      <c r="N418" s="18" t="s">
        <v>149</v>
      </c>
      <c r="O418">
        <v>30</v>
      </c>
    </row>
    <row r="419" spans="1:15" x14ac:dyDescent="0.25">
      <c r="A419" s="18" t="s">
        <v>7276</v>
      </c>
      <c r="B419" s="18" t="s">
        <v>4209</v>
      </c>
      <c r="C419" s="18" t="s">
        <v>4210</v>
      </c>
      <c r="D419" s="18" t="s">
        <v>46</v>
      </c>
      <c r="E419" s="18" t="s">
        <v>5865</v>
      </c>
      <c r="F419" s="2">
        <f>+J419-I419</f>
        <v>30</v>
      </c>
      <c r="G419" s="2">
        <f ca="1">+TODAY()-I419</f>
        <v>27</v>
      </c>
      <c r="H419" s="15">
        <v>3248000</v>
      </c>
      <c r="I419" s="1">
        <v>46093</v>
      </c>
      <c r="J419" s="1">
        <v>46123</v>
      </c>
      <c r="K419" s="18" t="s">
        <v>17</v>
      </c>
      <c r="L419" s="18" t="s">
        <v>32</v>
      </c>
      <c r="M419" s="18" t="s">
        <v>19</v>
      </c>
      <c r="N419" s="18" t="s">
        <v>149</v>
      </c>
      <c r="O419">
        <v>30</v>
      </c>
    </row>
    <row r="420" spans="1:15" x14ac:dyDescent="0.25">
      <c r="A420" s="18" t="s">
        <v>7276</v>
      </c>
      <c r="B420" s="18" t="s">
        <v>4209</v>
      </c>
      <c r="C420" s="18" t="s">
        <v>4210</v>
      </c>
      <c r="D420" s="18" t="s">
        <v>46</v>
      </c>
      <c r="E420" s="18" t="s">
        <v>6154</v>
      </c>
      <c r="F420" s="2">
        <f>+J420-I420</f>
        <v>30</v>
      </c>
      <c r="G420" s="2">
        <f ca="1">+TODAY()-I420</f>
        <v>21</v>
      </c>
      <c r="H420" s="15">
        <v>1927000</v>
      </c>
      <c r="I420" s="1">
        <v>46099</v>
      </c>
      <c r="J420" s="1">
        <v>46129</v>
      </c>
      <c r="K420" s="18" t="s">
        <v>17</v>
      </c>
      <c r="L420" s="18" t="s">
        <v>32</v>
      </c>
      <c r="M420" s="18" t="s">
        <v>19</v>
      </c>
      <c r="N420" s="18" t="s">
        <v>149</v>
      </c>
      <c r="O420">
        <v>30</v>
      </c>
    </row>
    <row r="421" spans="1:15" x14ac:dyDescent="0.25">
      <c r="A421" s="18" t="s">
        <v>7276</v>
      </c>
      <c r="B421" s="18" t="s">
        <v>4209</v>
      </c>
      <c r="C421" s="18" t="s">
        <v>4210</v>
      </c>
      <c r="D421" s="18" t="s">
        <v>46</v>
      </c>
      <c r="E421" s="18" t="s">
        <v>6155</v>
      </c>
      <c r="F421" s="2">
        <f>+J421-I421</f>
        <v>30</v>
      </c>
      <c r="G421" s="2">
        <f ca="1">+TODAY()-I421</f>
        <v>21</v>
      </c>
      <c r="H421" s="15">
        <v>175000</v>
      </c>
      <c r="I421" s="1">
        <v>46099</v>
      </c>
      <c r="J421" s="1">
        <v>46129</v>
      </c>
      <c r="K421" s="18" t="s">
        <v>17</v>
      </c>
      <c r="L421" s="18" t="s">
        <v>32</v>
      </c>
      <c r="M421" s="18" t="s">
        <v>19</v>
      </c>
      <c r="N421" s="18" t="s">
        <v>149</v>
      </c>
      <c r="O421">
        <v>30</v>
      </c>
    </row>
    <row r="422" spans="1:15" x14ac:dyDescent="0.25">
      <c r="A422" s="18" t="s">
        <v>7276</v>
      </c>
      <c r="B422" s="18" t="s">
        <v>4209</v>
      </c>
      <c r="C422" s="18" t="s">
        <v>4210</v>
      </c>
      <c r="D422" s="18" t="s">
        <v>46</v>
      </c>
      <c r="E422" s="18" t="s">
        <v>6183</v>
      </c>
      <c r="F422" s="2">
        <f>+J422-I422</f>
        <v>30</v>
      </c>
      <c r="G422" s="2">
        <f ca="1">+TODAY()-I422</f>
        <v>20</v>
      </c>
      <c r="H422" s="15">
        <v>812718</v>
      </c>
      <c r="I422" s="1">
        <v>46100</v>
      </c>
      <c r="J422" s="1">
        <v>46130</v>
      </c>
      <c r="K422" s="18" t="s">
        <v>17</v>
      </c>
      <c r="L422" s="18" t="s">
        <v>32</v>
      </c>
      <c r="M422" s="18" t="s">
        <v>19</v>
      </c>
      <c r="N422" s="18" t="s">
        <v>149</v>
      </c>
      <c r="O422">
        <v>30</v>
      </c>
    </row>
    <row r="423" spans="1:15" x14ac:dyDescent="0.25">
      <c r="A423" s="18" t="s">
        <v>7276</v>
      </c>
      <c r="B423" s="18" t="s">
        <v>4209</v>
      </c>
      <c r="C423" s="18" t="s">
        <v>4210</v>
      </c>
      <c r="D423" s="18" t="s">
        <v>46</v>
      </c>
      <c r="E423" s="18" t="s">
        <v>6394</v>
      </c>
      <c r="F423" s="2">
        <f>+J423-I423</f>
        <v>30</v>
      </c>
      <c r="G423" s="2">
        <f ca="1">+TODAY()-I423</f>
        <v>15</v>
      </c>
      <c r="H423" s="15">
        <v>204600</v>
      </c>
      <c r="I423" s="1">
        <v>46105</v>
      </c>
      <c r="J423" s="1">
        <v>46135</v>
      </c>
      <c r="K423" s="18" t="s">
        <v>17</v>
      </c>
      <c r="L423" s="18" t="s">
        <v>32</v>
      </c>
      <c r="M423" s="18" t="s">
        <v>19</v>
      </c>
      <c r="N423" s="18" t="s">
        <v>149</v>
      </c>
      <c r="O423">
        <v>30</v>
      </c>
    </row>
    <row r="424" spans="1:15" x14ac:dyDescent="0.25">
      <c r="A424" s="18" t="s">
        <v>7276</v>
      </c>
      <c r="B424" s="18" t="s">
        <v>4209</v>
      </c>
      <c r="C424" s="18" t="s">
        <v>4210</v>
      </c>
      <c r="D424" s="18" t="s">
        <v>46</v>
      </c>
      <c r="E424" s="18" t="s">
        <v>6765</v>
      </c>
      <c r="F424" s="2">
        <f>+J424-I424</f>
        <v>30</v>
      </c>
      <c r="G424" s="2">
        <f ca="1">+TODAY()-I424</f>
        <v>9</v>
      </c>
      <c r="H424" s="15">
        <v>642002</v>
      </c>
      <c r="I424" s="1">
        <v>46111</v>
      </c>
      <c r="J424" s="1">
        <v>46141</v>
      </c>
      <c r="K424" s="18" t="s">
        <v>17</v>
      </c>
      <c r="L424" s="18" t="s">
        <v>32</v>
      </c>
      <c r="M424" s="18" t="s">
        <v>19</v>
      </c>
      <c r="N424" s="18" t="s">
        <v>149</v>
      </c>
      <c r="O424">
        <v>30</v>
      </c>
    </row>
    <row r="425" spans="1:15" x14ac:dyDescent="0.25">
      <c r="A425" s="18" t="s">
        <v>7276</v>
      </c>
      <c r="B425" s="18" t="s">
        <v>4209</v>
      </c>
      <c r="C425" s="18" t="s">
        <v>4210</v>
      </c>
      <c r="D425" s="18" t="s">
        <v>46</v>
      </c>
      <c r="E425" s="18" t="s">
        <v>7289</v>
      </c>
      <c r="F425" s="2">
        <f>+J425-I425</f>
        <v>30</v>
      </c>
      <c r="G425" s="2">
        <f ca="1">+TODAY()-I425</f>
        <v>7</v>
      </c>
      <c r="H425" s="15">
        <v>806420</v>
      </c>
      <c r="I425" s="1">
        <v>46113</v>
      </c>
      <c r="J425" s="1">
        <v>46143</v>
      </c>
      <c r="K425" s="18" t="s">
        <v>17</v>
      </c>
      <c r="L425" s="18" t="s">
        <v>32</v>
      </c>
      <c r="M425" s="18" t="s">
        <v>19</v>
      </c>
      <c r="N425" s="18" t="s">
        <v>149</v>
      </c>
      <c r="O425">
        <v>30</v>
      </c>
    </row>
    <row r="426" spans="1:15" x14ac:dyDescent="0.25">
      <c r="A426" s="18" t="s">
        <v>7276</v>
      </c>
      <c r="B426" s="18" t="s">
        <v>4502</v>
      </c>
      <c r="C426" s="18" t="s">
        <v>4503</v>
      </c>
      <c r="D426" s="18" t="s">
        <v>1118</v>
      </c>
      <c r="E426" s="18" t="s">
        <v>7539</v>
      </c>
      <c r="F426" s="2">
        <f>+J426-I426</f>
        <v>1</v>
      </c>
      <c r="G426" s="2">
        <f ca="1">+TODAY()-I426</f>
        <v>7</v>
      </c>
      <c r="H426" s="15">
        <v>249593</v>
      </c>
      <c r="I426" s="1">
        <v>46113</v>
      </c>
      <c r="J426" s="1">
        <v>46114</v>
      </c>
      <c r="K426" s="18" t="s">
        <v>1144</v>
      </c>
      <c r="L426" s="18" t="s">
        <v>321</v>
      </c>
      <c r="M426" s="18" t="s">
        <v>19</v>
      </c>
      <c r="N426" s="18" t="s">
        <v>4505</v>
      </c>
      <c r="O426">
        <v>1</v>
      </c>
    </row>
    <row r="427" spans="1:15" x14ac:dyDescent="0.25">
      <c r="A427" s="18" t="s">
        <v>7276</v>
      </c>
      <c r="B427" s="18" t="s">
        <v>7681</v>
      </c>
      <c r="C427" s="18" t="s">
        <v>7682</v>
      </c>
      <c r="D427" s="18" t="s">
        <v>15</v>
      </c>
      <c r="E427" s="18" t="s">
        <v>7683</v>
      </c>
      <c r="F427" s="2">
        <f>+J427-I427</f>
        <v>1</v>
      </c>
      <c r="G427" s="2">
        <f ca="1">+TODAY()-I427</f>
        <v>1</v>
      </c>
      <c r="H427" s="15">
        <v>73101</v>
      </c>
      <c r="I427" s="1">
        <v>46119</v>
      </c>
      <c r="J427" s="1">
        <v>46120</v>
      </c>
      <c r="K427" s="18" t="s">
        <v>17</v>
      </c>
      <c r="L427" s="18" t="s">
        <v>317</v>
      </c>
      <c r="M427" s="18" t="s">
        <v>19</v>
      </c>
      <c r="N427" s="18" t="s">
        <v>7684</v>
      </c>
      <c r="O427">
        <v>1</v>
      </c>
    </row>
    <row r="428" spans="1:15" x14ac:dyDescent="0.25">
      <c r="A428" s="18" t="s">
        <v>7276</v>
      </c>
      <c r="B428" s="18" t="s">
        <v>370</v>
      </c>
      <c r="C428" s="18" t="s">
        <v>371</v>
      </c>
      <c r="D428" s="18" t="s">
        <v>347</v>
      </c>
      <c r="E428" s="18" t="s">
        <v>5694</v>
      </c>
      <c r="F428" s="2">
        <f>+J428-I428</f>
        <v>30</v>
      </c>
      <c r="G428" s="2">
        <f ca="1">+TODAY()-I428</f>
        <v>28</v>
      </c>
      <c r="H428" s="15">
        <v>156640</v>
      </c>
      <c r="I428" s="1">
        <v>46092</v>
      </c>
      <c r="J428" s="1">
        <v>46122</v>
      </c>
      <c r="K428" s="18" t="s">
        <v>343</v>
      </c>
      <c r="L428" s="18" t="s">
        <v>18</v>
      </c>
      <c r="M428" s="18" t="s">
        <v>19</v>
      </c>
      <c r="N428" s="18" t="s">
        <v>372</v>
      </c>
      <c r="O428">
        <v>30</v>
      </c>
    </row>
    <row r="429" spans="1:15" x14ac:dyDescent="0.25">
      <c r="A429" s="18" t="s">
        <v>7276</v>
      </c>
      <c r="B429" s="18" t="s">
        <v>370</v>
      </c>
      <c r="C429" s="18" t="s">
        <v>371</v>
      </c>
      <c r="D429" s="18" t="s">
        <v>347</v>
      </c>
      <c r="E429" s="18" t="s">
        <v>6465</v>
      </c>
      <c r="F429" s="2">
        <f>+J429-I429</f>
        <v>30</v>
      </c>
      <c r="G429" s="2">
        <f ca="1">+TODAY()-I429</f>
        <v>13</v>
      </c>
      <c r="H429" s="15">
        <v>199440</v>
      </c>
      <c r="I429" s="1">
        <v>46107</v>
      </c>
      <c r="J429" s="1">
        <v>46137</v>
      </c>
      <c r="K429" s="18" t="s">
        <v>343</v>
      </c>
      <c r="L429" s="18" t="s">
        <v>18</v>
      </c>
      <c r="M429" s="18" t="s">
        <v>19</v>
      </c>
      <c r="N429" s="18" t="s">
        <v>372</v>
      </c>
      <c r="O429">
        <v>30</v>
      </c>
    </row>
    <row r="430" spans="1:15" x14ac:dyDescent="0.25">
      <c r="A430" s="18" t="s">
        <v>7276</v>
      </c>
      <c r="B430" s="18" t="s">
        <v>370</v>
      </c>
      <c r="C430" s="18" t="s">
        <v>371</v>
      </c>
      <c r="D430" s="18" t="s">
        <v>347</v>
      </c>
      <c r="E430" s="18" t="s">
        <v>7704</v>
      </c>
      <c r="F430" s="2">
        <f>+J430-I430</f>
        <v>30</v>
      </c>
      <c r="G430" s="2">
        <f ca="1">+TODAY()-I430</f>
        <v>1</v>
      </c>
      <c r="H430" s="15">
        <v>157600</v>
      </c>
      <c r="I430" s="1">
        <v>46119</v>
      </c>
      <c r="J430" s="1">
        <v>46149</v>
      </c>
      <c r="K430" s="18" t="s">
        <v>343</v>
      </c>
      <c r="L430" s="18" t="s">
        <v>18</v>
      </c>
      <c r="M430" s="18" t="s">
        <v>19</v>
      </c>
      <c r="N430" s="18" t="s">
        <v>372</v>
      </c>
      <c r="O430">
        <v>30</v>
      </c>
    </row>
    <row r="431" spans="1:15" x14ac:dyDescent="0.25">
      <c r="A431" s="18" t="s">
        <v>7276</v>
      </c>
      <c r="B431" s="18" t="s">
        <v>1091</v>
      </c>
      <c r="C431" s="18" t="s">
        <v>1092</v>
      </c>
      <c r="D431" s="18" t="s">
        <v>1066</v>
      </c>
      <c r="E431" s="18" t="s">
        <v>1093</v>
      </c>
      <c r="F431" s="2">
        <f>+J431-I431</f>
        <v>18</v>
      </c>
      <c r="G431" s="2">
        <f ca="1">+TODAY()-I431</f>
        <v>890</v>
      </c>
      <c r="H431" s="15">
        <v>2246762</v>
      </c>
      <c r="I431" s="1">
        <v>45230</v>
      </c>
      <c r="J431" s="1">
        <v>45248</v>
      </c>
      <c r="K431" s="18" t="s">
        <v>1068</v>
      </c>
      <c r="L431" s="18" t="s">
        <v>321</v>
      </c>
      <c r="M431" s="18" t="s">
        <v>19</v>
      </c>
      <c r="N431" s="18" t="s">
        <v>1094</v>
      </c>
      <c r="O431">
        <v>1</v>
      </c>
    </row>
    <row r="432" spans="1:15" x14ac:dyDescent="0.25">
      <c r="A432" s="18" t="s">
        <v>7276</v>
      </c>
      <c r="B432" s="18" t="s">
        <v>1552</v>
      </c>
      <c r="C432" s="18" t="s">
        <v>1553</v>
      </c>
      <c r="D432" s="18" t="s">
        <v>1527</v>
      </c>
      <c r="E432" s="18" t="s">
        <v>6075</v>
      </c>
      <c r="F432" s="2">
        <f>+J432-I432</f>
        <v>30</v>
      </c>
      <c r="G432" s="2">
        <f ca="1">+TODAY()-I432</f>
        <v>27</v>
      </c>
      <c r="H432" s="15">
        <v>565012</v>
      </c>
      <c r="I432" s="1">
        <v>46093</v>
      </c>
      <c r="J432" s="1">
        <v>46123</v>
      </c>
      <c r="K432" s="18" t="s">
        <v>1528</v>
      </c>
      <c r="L432" s="18" t="s">
        <v>207</v>
      </c>
      <c r="M432" s="18" t="s">
        <v>19</v>
      </c>
      <c r="N432" s="18" t="s">
        <v>1539</v>
      </c>
      <c r="O432">
        <v>30</v>
      </c>
    </row>
    <row r="433" spans="1:15" x14ac:dyDescent="0.25">
      <c r="A433" s="18" t="s">
        <v>7276</v>
      </c>
      <c r="B433" s="18" t="s">
        <v>1552</v>
      </c>
      <c r="C433" s="18" t="s">
        <v>1553</v>
      </c>
      <c r="D433" s="18" t="s">
        <v>1527</v>
      </c>
      <c r="E433" s="18" t="s">
        <v>6620</v>
      </c>
      <c r="F433" s="2">
        <f>+J433-I433</f>
        <v>30</v>
      </c>
      <c r="G433" s="2">
        <f ca="1">+TODAY()-I433</f>
        <v>13</v>
      </c>
      <c r="H433" s="15">
        <v>494699</v>
      </c>
      <c r="I433" s="1">
        <v>46107</v>
      </c>
      <c r="J433" s="1">
        <v>46137</v>
      </c>
      <c r="K433" s="18" t="s">
        <v>1528</v>
      </c>
      <c r="L433" s="18" t="s">
        <v>207</v>
      </c>
      <c r="M433" s="18" t="s">
        <v>19</v>
      </c>
      <c r="N433" s="18" t="s">
        <v>1539</v>
      </c>
      <c r="O433">
        <v>30</v>
      </c>
    </row>
    <row r="434" spans="1:15" x14ac:dyDescent="0.25">
      <c r="A434" s="18" t="s">
        <v>7276</v>
      </c>
      <c r="B434" s="18" t="s">
        <v>1095</v>
      </c>
      <c r="C434" s="18" t="s">
        <v>1096</v>
      </c>
      <c r="D434" s="18" t="s">
        <v>320</v>
      </c>
      <c r="E434" s="18" t="s">
        <v>5107</v>
      </c>
      <c r="F434" s="2">
        <f>+J434-I434</f>
        <v>30</v>
      </c>
      <c r="G434" s="2">
        <f ca="1">+TODAY()-I434</f>
        <v>50</v>
      </c>
      <c r="H434" s="15">
        <v>1786980</v>
      </c>
      <c r="I434" s="1">
        <v>46070</v>
      </c>
      <c r="J434" s="1">
        <v>46100</v>
      </c>
      <c r="K434" s="18" t="s">
        <v>1068</v>
      </c>
      <c r="L434" s="18" t="s">
        <v>207</v>
      </c>
      <c r="M434" s="18" t="s">
        <v>19</v>
      </c>
      <c r="N434" s="18" t="s">
        <v>1097</v>
      </c>
      <c r="O434">
        <v>30</v>
      </c>
    </row>
    <row r="435" spans="1:15" x14ac:dyDescent="0.25">
      <c r="A435" s="18" t="s">
        <v>7276</v>
      </c>
      <c r="B435" s="18" t="s">
        <v>1095</v>
      </c>
      <c r="C435" s="18" t="s">
        <v>1096</v>
      </c>
      <c r="D435" s="18" t="s">
        <v>320</v>
      </c>
      <c r="E435" s="18" t="s">
        <v>5252</v>
      </c>
      <c r="F435" s="2">
        <f>+J435-I435</f>
        <v>30</v>
      </c>
      <c r="G435" s="2">
        <f ca="1">+TODAY()-I435</f>
        <v>42</v>
      </c>
      <c r="H435" s="15">
        <v>1284873</v>
      </c>
      <c r="I435" s="1">
        <v>46078</v>
      </c>
      <c r="J435" s="1">
        <v>46108</v>
      </c>
      <c r="K435" s="18" t="s">
        <v>1068</v>
      </c>
      <c r="L435" s="18" t="s">
        <v>207</v>
      </c>
      <c r="M435" s="18" t="s">
        <v>19</v>
      </c>
      <c r="N435" s="18" t="s">
        <v>1097</v>
      </c>
      <c r="O435">
        <v>30</v>
      </c>
    </row>
    <row r="436" spans="1:15" x14ac:dyDescent="0.25">
      <c r="A436" s="18" t="s">
        <v>7276</v>
      </c>
      <c r="B436" s="18" t="s">
        <v>1095</v>
      </c>
      <c r="C436" s="18" t="s">
        <v>1096</v>
      </c>
      <c r="D436" s="18" t="s">
        <v>320</v>
      </c>
      <c r="E436" s="18" t="s">
        <v>5437</v>
      </c>
      <c r="F436" s="2">
        <f>+J436-I436</f>
        <v>30</v>
      </c>
      <c r="G436" s="2">
        <f ca="1">+TODAY()-I436</f>
        <v>35</v>
      </c>
      <c r="H436" s="15">
        <v>1552348</v>
      </c>
      <c r="I436" s="1">
        <v>46085</v>
      </c>
      <c r="J436" s="1">
        <v>46115</v>
      </c>
      <c r="K436" s="18" t="s">
        <v>1068</v>
      </c>
      <c r="L436" s="18" t="s">
        <v>207</v>
      </c>
      <c r="M436" s="18" t="s">
        <v>19</v>
      </c>
      <c r="N436" s="18" t="s">
        <v>1097</v>
      </c>
      <c r="O436">
        <v>30</v>
      </c>
    </row>
    <row r="437" spans="1:15" x14ac:dyDescent="0.25">
      <c r="A437" s="18" t="s">
        <v>7276</v>
      </c>
      <c r="B437" s="18" t="s">
        <v>1095</v>
      </c>
      <c r="C437" s="18" t="s">
        <v>1096</v>
      </c>
      <c r="D437" s="18" t="s">
        <v>320</v>
      </c>
      <c r="E437" s="18" t="s">
        <v>5445</v>
      </c>
      <c r="F437" s="2">
        <f>+J437-I437</f>
        <v>30</v>
      </c>
      <c r="G437" s="2">
        <f ca="1">+TODAY()-I437</f>
        <v>35</v>
      </c>
      <c r="H437" s="15">
        <v>164877</v>
      </c>
      <c r="I437" s="1">
        <v>46085</v>
      </c>
      <c r="J437" s="1">
        <v>46115</v>
      </c>
      <c r="K437" s="18" t="s">
        <v>1068</v>
      </c>
      <c r="L437" s="18" t="s">
        <v>207</v>
      </c>
      <c r="M437" s="18" t="s">
        <v>19</v>
      </c>
      <c r="N437" s="18" t="s">
        <v>1097</v>
      </c>
      <c r="O437">
        <v>30</v>
      </c>
    </row>
    <row r="438" spans="1:15" x14ac:dyDescent="0.25">
      <c r="A438" s="18" t="s">
        <v>7276</v>
      </c>
      <c r="B438" s="18" t="s">
        <v>1095</v>
      </c>
      <c r="C438" s="18" t="s">
        <v>1096</v>
      </c>
      <c r="D438" s="18" t="s">
        <v>320</v>
      </c>
      <c r="E438" s="18" t="s">
        <v>5713</v>
      </c>
      <c r="F438" s="2">
        <f>+J438-I438</f>
        <v>30</v>
      </c>
      <c r="G438" s="2">
        <f ca="1">+TODAY()-I438</f>
        <v>29</v>
      </c>
      <c r="H438" s="15">
        <v>861064</v>
      </c>
      <c r="I438" s="1">
        <v>46091</v>
      </c>
      <c r="J438" s="1">
        <v>46121</v>
      </c>
      <c r="K438" s="18" t="s">
        <v>1068</v>
      </c>
      <c r="L438" s="18" t="s">
        <v>207</v>
      </c>
      <c r="M438" s="18" t="s">
        <v>19</v>
      </c>
      <c r="N438" s="18" t="s">
        <v>1097</v>
      </c>
      <c r="O438">
        <v>30</v>
      </c>
    </row>
    <row r="439" spans="1:15" x14ac:dyDescent="0.25">
      <c r="A439" s="18" t="s">
        <v>7276</v>
      </c>
      <c r="B439" s="18" t="s">
        <v>1095</v>
      </c>
      <c r="C439" s="18" t="s">
        <v>1096</v>
      </c>
      <c r="D439" s="18" t="s">
        <v>320</v>
      </c>
      <c r="E439" s="18" t="s">
        <v>5714</v>
      </c>
      <c r="F439" s="2">
        <f>+J439-I439</f>
        <v>30</v>
      </c>
      <c r="G439" s="2">
        <f ca="1">+TODAY()-I439</f>
        <v>29</v>
      </c>
      <c r="H439" s="15">
        <v>1904327</v>
      </c>
      <c r="I439" s="1">
        <v>46091</v>
      </c>
      <c r="J439" s="1">
        <v>46121</v>
      </c>
      <c r="K439" s="18" t="s">
        <v>1068</v>
      </c>
      <c r="L439" s="18" t="s">
        <v>207</v>
      </c>
      <c r="M439" s="18" t="s">
        <v>19</v>
      </c>
      <c r="N439" s="18" t="s">
        <v>1097</v>
      </c>
      <c r="O439">
        <v>30</v>
      </c>
    </row>
    <row r="440" spans="1:15" x14ac:dyDescent="0.25">
      <c r="A440" s="18" t="s">
        <v>7276</v>
      </c>
      <c r="B440" s="18" t="s">
        <v>1095</v>
      </c>
      <c r="C440" s="18" t="s">
        <v>1096</v>
      </c>
      <c r="D440" s="18" t="s">
        <v>320</v>
      </c>
      <c r="E440" s="18" t="s">
        <v>6252</v>
      </c>
      <c r="F440" s="2">
        <f>+J440-I440</f>
        <v>30</v>
      </c>
      <c r="G440" s="2">
        <f ca="1">+TODAY()-I440</f>
        <v>22</v>
      </c>
      <c r="H440" s="15">
        <v>1564482</v>
      </c>
      <c r="I440" s="1">
        <v>46098</v>
      </c>
      <c r="J440" s="1">
        <v>46128</v>
      </c>
      <c r="K440" s="18" t="s">
        <v>1068</v>
      </c>
      <c r="L440" s="18" t="s">
        <v>207</v>
      </c>
      <c r="M440" s="18" t="s">
        <v>19</v>
      </c>
      <c r="N440" s="18" t="s">
        <v>1097</v>
      </c>
      <c r="O440">
        <v>30</v>
      </c>
    </row>
    <row r="441" spans="1:15" x14ac:dyDescent="0.25">
      <c r="A441" s="18" t="s">
        <v>7276</v>
      </c>
      <c r="B441" s="18" t="s">
        <v>1095</v>
      </c>
      <c r="C441" s="18" t="s">
        <v>1096</v>
      </c>
      <c r="D441" s="18" t="s">
        <v>320</v>
      </c>
      <c r="E441" s="18" t="s">
        <v>6495</v>
      </c>
      <c r="F441" s="2">
        <f>+J441-I441</f>
        <v>30</v>
      </c>
      <c r="G441" s="2">
        <f ca="1">+TODAY()-I441</f>
        <v>13</v>
      </c>
      <c r="H441" s="15">
        <v>1151586</v>
      </c>
      <c r="I441" s="1">
        <v>46107</v>
      </c>
      <c r="J441" s="1">
        <v>46137</v>
      </c>
      <c r="K441" s="18" t="s">
        <v>1068</v>
      </c>
      <c r="L441" s="18" t="s">
        <v>207</v>
      </c>
      <c r="M441" s="18" t="s">
        <v>19</v>
      </c>
      <c r="N441" s="18" t="s">
        <v>1097</v>
      </c>
      <c r="O441">
        <v>30</v>
      </c>
    </row>
    <row r="442" spans="1:15" x14ac:dyDescent="0.25">
      <c r="A442" s="18" t="s">
        <v>7276</v>
      </c>
      <c r="B442" s="18" t="s">
        <v>1095</v>
      </c>
      <c r="C442" s="18" t="s">
        <v>1096</v>
      </c>
      <c r="D442" s="18" t="s">
        <v>320</v>
      </c>
      <c r="E442" s="18" t="s">
        <v>7045</v>
      </c>
      <c r="F442" s="2">
        <f>+J442-I442</f>
        <v>30</v>
      </c>
      <c r="G442" s="2">
        <f ca="1">+TODAY()-I442</f>
        <v>8</v>
      </c>
      <c r="H442" s="15">
        <v>1989614</v>
      </c>
      <c r="I442" s="1">
        <v>46112</v>
      </c>
      <c r="J442" s="1">
        <v>46142</v>
      </c>
      <c r="K442" s="18" t="s">
        <v>1068</v>
      </c>
      <c r="L442" s="18" t="s">
        <v>207</v>
      </c>
      <c r="M442" s="18" t="s">
        <v>19</v>
      </c>
      <c r="N442" s="18" t="s">
        <v>1097</v>
      </c>
      <c r="O442">
        <v>30</v>
      </c>
    </row>
    <row r="443" spans="1:15" x14ac:dyDescent="0.25">
      <c r="A443" s="18" t="s">
        <v>7276</v>
      </c>
      <c r="B443" s="18" t="s">
        <v>973</v>
      </c>
      <c r="C443" s="18" t="s">
        <v>974</v>
      </c>
      <c r="D443" s="18" t="s">
        <v>916</v>
      </c>
      <c r="E443" s="18" t="s">
        <v>975</v>
      </c>
      <c r="F443" s="2">
        <f>+J443-I443</f>
        <v>15</v>
      </c>
      <c r="G443" s="2">
        <f ca="1">+TODAY()-I443</f>
        <v>715</v>
      </c>
      <c r="H443" s="15">
        <v>866179</v>
      </c>
      <c r="I443" s="1">
        <v>45405</v>
      </c>
      <c r="J443" s="1">
        <v>45420</v>
      </c>
      <c r="K443" s="18" t="s">
        <v>918</v>
      </c>
      <c r="L443" s="18" t="s">
        <v>312</v>
      </c>
      <c r="M443" s="18" t="s">
        <v>19</v>
      </c>
      <c r="N443" s="18" t="s">
        <v>976</v>
      </c>
      <c r="O443">
        <v>15</v>
      </c>
    </row>
    <row r="444" spans="1:15" x14ac:dyDescent="0.25">
      <c r="A444" s="18" t="s">
        <v>7276</v>
      </c>
      <c r="B444" s="18" t="s">
        <v>1135</v>
      </c>
      <c r="C444" s="18" t="s">
        <v>1136</v>
      </c>
      <c r="D444" s="18" t="s">
        <v>1066</v>
      </c>
      <c r="E444" s="18" t="s">
        <v>5214</v>
      </c>
      <c r="F444" s="2">
        <f>+J444-I444</f>
        <v>15</v>
      </c>
      <c r="G444" s="2">
        <f ca="1">+TODAY()-I444</f>
        <v>41</v>
      </c>
      <c r="H444" s="15">
        <v>240421</v>
      </c>
      <c r="I444" s="1">
        <v>46079</v>
      </c>
      <c r="J444" s="1">
        <v>46094</v>
      </c>
      <c r="K444" s="18" t="s">
        <v>17</v>
      </c>
      <c r="L444" s="18" t="s">
        <v>321</v>
      </c>
      <c r="M444" s="18" t="s">
        <v>19</v>
      </c>
      <c r="N444" s="18" t="s">
        <v>1137</v>
      </c>
      <c r="O444">
        <v>15</v>
      </c>
    </row>
    <row r="445" spans="1:15" x14ac:dyDescent="0.25">
      <c r="A445" s="18" t="s">
        <v>7276</v>
      </c>
      <c r="B445" s="18" t="s">
        <v>1135</v>
      </c>
      <c r="C445" s="18" t="s">
        <v>1136</v>
      </c>
      <c r="D445" s="18" t="s">
        <v>1066</v>
      </c>
      <c r="E445" s="18" t="s">
        <v>5983</v>
      </c>
      <c r="F445" s="2">
        <f>+J445-I445</f>
        <v>15</v>
      </c>
      <c r="G445" s="2">
        <f ca="1">+TODAY()-I445</f>
        <v>27</v>
      </c>
      <c r="H445" s="15">
        <v>207986</v>
      </c>
      <c r="I445" s="1">
        <v>46093</v>
      </c>
      <c r="J445" s="1">
        <v>46108</v>
      </c>
      <c r="K445" s="18" t="s">
        <v>1068</v>
      </c>
      <c r="L445" s="18" t="s">
        <v>321</v>
      </c>
      <c r="M445" s="18" t="s">
        <v>19</v>
      </c>
      <c r="N445" s="18" t="s">
        <v>1137</v>
      </c>
      <c r="O445">
        <v>15</v>
      </c>
    </row>
    <row r="446" spans="1:15" x14ac:dyDescent="0.25">
      <c r="A446" s="18" t="s">
        <v>7276</v>
      </c>
      <c r="B446" s="18" t="s">
        <v>1135</v>
      </c>
      <c r="C446" s="18" t="s">
        <v>1136</v>
      </c>
      <c r="D446" s="18" t="s">
        <v>1066</v>
      </c>
      <c r="E446" s="18" t="s">
        <v>6506</v>
      </c>
      <c r="F446" s="2">
        <f>+J446-I446</f>
        <v>15</v>
      </c>
      <c r="G446" s="2">
        <f ca="1">+TODAY()-I446</f>
        <v>13</v>
      </c>
      <c r="H446" s="15">
        <v>270000</v>
      </c>
      <c r="I446" s="1">
        <v>46107</v>
      </c>
      <c r="J446" s="1">
        <v>46122</v>
      </c>
      <c r="K446" s="18" t="s">
        <v>1068</v>
      </c>
      <c r="L446" s="18" t="s">
        <v>321</v>
      </c>
      <c r="M446" s="18" t="s">
        <v>19</v>
      </c>
      <c r="N446" s="18" t="s">
        <v>1137</v>
      </c>
      <c r="O446">
        <v>15</v>
      </c>
    </row>
    <row r="447" spans="1:15" x14ac:dyDescent="0.25">
      <c r="A447" s="18" t="s">
        <v>7276</v>
      </c>
      <c r="B447" s="18" t="s">
        <v>4498</v>
      </c>
      <c r="C447" s="18" t="s">
        <v>4499</v>
      </c>
      <c r="D447" s="18" t="s">
        <v>1118</v>
      </c>
      <c r="E447" s="18" t="s">
        <v>7561</v>
      </c>
      <c r="F447" s="2">
        <f>+J447-I447</f>
        <v>1</v>
      </c>
      <c r="G447" s="2">
        <f ca="1">+TODAY()-I447</f>
        <v>2</v>
      </c>
      <c r="H447" s="15">
        <v>1981260</v>
      </c>
      <c r="I447" s="1">
        <v>46118</v>
      </c>
      <c r="J447" s="1">
        <v>46119</v>
      </c>
      <c r="K447" s="18" t="s">
        <v>1144</v>
      </c>
      <c r="L447" s="18" t="s">
        <v>321</v>
      </c>
      <c r="M447" s="18" t="s">
        <v>19</v>
      </c>
      <c r="N447" s="18" t="s">
        <v>4501</v>
      </c>
      <c r="O447">
        <v>1</v>
      </c>
    </row>
    <row r="448" spans="1:15" x14ac:dyDescent="0.25">
      <c r="A448" s="18" t="s">
        <v>7276</v>
      </c>
      <c r="B448" s="18" t="s">
        <v>7765</v>
      </c>
      <c r="C448" s="18" t="s">
        <v>7766</v>
      </c>
      <c r="D448" s="18" t="s">
        <v>916</v>
      </c>
      <c r="E448" s="18" t="s">
        <v>7767</v>
      </c>
      <c r="F448" s="2">
        <f>+J448-I448</f>
        <v>1</v>
      </c>
      <c r="G448" s="2">
        <f ca="1">+TODAY()-I448</f>
        <v>1</v>
      </c>
      <c r="H448" s="15">
        <v>160164</v>
      </c>
      <c r="I448" s="1">
        <v>46119</v>
      </c>
      <c r="J448" s="1">
        <v>46120</v>
      </c>
      <c r="K448" s="18" t="s">
        <v>918</v>
      </c>
      <c r="L448" s="18" t="s">
        <v>312</v>
      </c>
      <c r="M448" s="18" t="s">
        <v>19</v>
      </c>
      <c r="N448" s="18" t="s">
        <v>7768</v>
      </c>
      <c r="O448">
        <v>1</v>
      </c>
    </row>
    <row r="449" spans="1:15" x14ac:dyDescent="0.25">
      <c r="A449" s="18" t="s">
        <v>7276</v>
      </c>
      <c r="B449" s="18" t="s">
        <v>7765</v>
      </c>
      <c r="C449" s="18" t="s">
        <v>7766</v>
      </c>
      <c r="D449" s="18" t="s">
        <v>916</v>
      </c>
      <c r="E449" s="18" t="s">
        <v>7769</v>
      </c>
      <c r="F449" s="2">
        <f>+J449-I449</f>
        <v>1</v>
      </c>
      <c r="G449" s="2">
        <f ca="1">+TODAY()-I449</f>
        <v>1</v>
      </c>
      <c r="H449" s="15">
        <v>484506</v>
      </c>
      <c r="I449" s="1">
        <v>46119</v>
      </c>
      <c r="J449" s="1">
        <v>46120</v>
      </c>
      <c r="K449" s="18" t="s">
        <v>918</v>
      </c>
      <c r="L449" s="18" t="s">
        <v>312</v>
      </c>
      <c r="M449" s="18" t="s">
        <v>19</v>
      </c>
      <c r="N449" s="18" t="s">
        <v>7768</v>
      </c>
      <c r="O449">
        <v>1</v>
      </c>
    </row>
    <row r="450" spans="1:15" x14ac:dyDescent="0.25">
      <c r="A450" s="18" t="s">
        <v>7276</v>
      </c>
      <c r="B450" s="18" t="s">
        <v>1664</v>
      </c>
      <c r="C450" s="18" t="s">
        <v>1665</v>
      </c>
      <c r="D450" s="18" t="s">
        <v>1593</v>
      </c>
      <c r="E450" s="18" t="s">
        <v>5832</v>
      </c>
      <c r="F450" s="2">
        <f>+J450-I450</f>
        <v>30</v>
      </c>
      <c r="G450" s="2">
        <f ca="1">+TODAY()-I450</f>
        <v>30</v>
      </c>
      <c r="H450" s="15">
        <v>587559</v>
      </c>
      <c r="I450" s="1">
        <v>46090</v>
      </c>
      <c r="J450" s="1">
        <v>46120</v>
      </c>
      <c r="K450" s="18" t="s">
        <v>1589</v>
      </c>
      <c r="L450" s="18" t="s">
        <v>984</v>
      </c>
      <c r="M450" s="18" t="s">
        <v>19</v>
      </c>
      <c r="N450" s="18" t="s">
        <v>1666</v>
      </c>
      <c r="O450">
        <v>30</v>
      </c>
    </row>
    <row r="451" spans="1:15" x14ac:dyDescent="0.25">
      <c r="A451" s="18" t="s">
        <v>7276</v>
      </c>
      <c r="B451" s="18" t="s">
        <v>1664</v>
      </c>
      <c r="C451" s="18" t="s">
        <v>1665</v>
      </c>
      <c r="D451" s="18" t="s">
        <v>1593</v>
      </c>
      <c r="E451" s="18" t="s">
        <v>6666</v>
      </c>
      <c r="F451" s="2">
        <f>+J451-I451</f>
        <v>30</v>
      </c>
      <c r="G451" s="2">
        <f ca="1">+TODAY()-I451</f>
        <v>14</v>
      </c>
      <c r="H451" s="15">
        <v>492000</v>
      </c>
      <c r="I451" s="1">
        <v>46106</v>
      </c>
      <c r="J451" s="1">
        <v>46136</v>
      </c>
      <c r="K451" s="18" t="s">
        <v>1589</v>
      </c>
      <c r="L451" s="18" t="s">
        <v>984</v>
      </c>
      <c r="M451" s="18" t="s">
        <v>19</v>
      </c>
      <c r="N451" s="18" t="s">
        <v>1666</v>
      </c>
      <c r="O451">
        <v>30</v>
      </c>
    </row>
    <row r="452" spans="1:15" x14ac:dyDescent="0.25">
      <c r="A452" s="18" t="s">
        <v>7276</v>
      </c>
      <c r="B452" s="18" t="s">
        <v>1664</v>
      </c>
      <c r="C452" s="18" t="s">
        <v>1665</v>
      </c>
      <c r="D452" s="18" t="s">
        <v>1593</v>
      </c>
      <c r="E452" s="18" t="s">
        <v>6667</v>
      </c>
      <c r="F452" s="2">
        <f>+J452-I452</f>
        <v>30</v>
      </c>
      <c r="G452" s="2">
        <f ca="1">+TODAY()-I452</f>
        <v>14</v>
      </c>
      <c r="H452" s="15">
        <v>469015</v>
      </c>
      <c r="I452" s="1">
        <v>46106</v>
      </c>
      <c r="J452" s="1">
        <v>46136</v>
      </c>
      <c r="K452" s="18" t="s">
        <v>1589</v>
      </c>
      <c r="L452" s="18" t="s">
        <v>984</v>
      </c>
      <c r="M452" s="18" t="s">
        <v>19</v>
      </c>
      <c r="N452" s="18" t="s">
        <v>1666</v>
      </c>
      <c r="O452">
        <v>30</v>
      </c>
    </row>
    <row r="453" spans="1:15" x14ac:dyDescent="0.25">
      <c r="A453" s="18" t="s">
        <v>7276</v>
      </c>
      <c r="B453" s="18" t="s">
        <v>1664</v>
      </c>
      <c r="C453" s="18" t="s">
        <v>1665</v>
      </c>
      <c r="D453" s="18" t="s">
        <v>1593</v>
      </c>
      <c r="E453" s="18" t="s">
        <v>6668</v>
      </c>
      <c r="F453" s="2">
        <f>+J453-I453</f>
        <v>30</v>
      </c>
      <c r="G453" s="2">
        <f ca="1">+TODAY()-I453</f>
        <v>14</v>
      </c>
      <c r="H453" s="15">
        <v>129000</v>
      </c>
      <c r="I453" s="1">
        <v>46106</v>
      </c>
      <c r="J453" s="1">
        <v>46136</v>
      </c>
      <c r="K453" s="18" t="s">
        <v>1589</v>
      </c>
      <c r="L453" s="18" t="s">
        <v>984</v>
      </c>
      <c r="M453" s="18" t="s">
        <v>19</v>
      </c>
      <c r="N453" s="18" t="s">
        <v>1666</v>
      </c>
      <c r="O453">
        <v>30</v>
      </c>
    </row>
    <row r="454" spans="1:15" x14ac:dyDescent="0.25">
      <c r="A454" s="18" t="s">
        <v>7276</v>
      </c>
      <c r="B454" s="18" t="s">
        <v>1664</v>
      </c>
      <c r="C454" s="18" t="s">
        <v>1665</v>
      </c>
      <c r="D454" s="18" t="s">
        <v>1593</v>
      </c>
      <c r="E454" s="18" t="s">
        <v>7838</v>
      </c>
      <c r="F454" s="2">
        <f>+J454-I454</f>
        <v>30</v>
      </c>
      <c r="G454" s="2">
        <f ca="1">+TODAY()-I454</f>
        <v>1</v>
      </c>
      <c r="H454" s="15">
        <v>1167953</v>
      </c>
      <c r="I454" s="1">
        <v>46119</v>
      </c>
      <c r="J454" s="1">
        <v>46149</v>
      </c>
      <c r="K454" s="18" t="s">
        <v>1589</v>
      </c>
      <c r="L454" s="18" t="s">
        <v>984</v>
      </c>
      <c r="M454" s="18" t="s">
        <v>19</v>
      </c>
      <c r="N454" s="18" t="s">
        <v>1666</v>
      </c>
      <c r="O454">
        <v>30</v>
      </c>
    </row>
    <row r="455" spans="1:15" x14ac:dyDescent="0.25">
      <c r="A455" s="18" t="s">
        <v>7276</v>
      </c>
      <c r="B455" s="18" t="s">
        <v>4957</v>
      </c>
      <c r="C455" s="18" t="s">
        <v>4958</v>
      </c>
      <c r="D455" s="18" t="s">
        <v>1323</v>
      </c>
      <c r="E455" s="18" t="s">
        <v>6571</v>
      </c>
      <c r="F455" s="2">
        <f>+J455-I455</f>
        <v>1</v>
      </c>
      <c r="G455" s="2">
        <f ca="1">+TODAY()-I455</f>
        <v>14</v>
      </c>
      <c r="H455" s="15">
        <v>58800</v>
      </c>
      <c r="I455" s="1">
        <v>46106</v>
      </c>
      <c r="J455" s="1">
        <v>46107</v>
      </c>
      <c r="K455" s="18" t="s">
        <v>1325</v>
      </c>
      <c r="L455" s="18" t="s">
        <v>90</v>
      </c>
      <c r="M455" s="18" t="s">
        <v>19</v>
      </c>
      <c r="N455" s="18" t="s">
        <v>4960</v>
      </c>
      <c r="O455">
        <v>1</v>
      </c>
    </row>
    <row r="456" spans="1:15" x14ac:dyDescent="0.25">
      <c r="A456" s="18" t="s">
        <v>7276</v>
      </c>
      <c r="B456" s="18" t="s">
        <v>4815</v>
      </c>
      <c r="C456" s="18" t="s">
        <v>4816</v>
      </c>
      <c r="D456" s="18" t="s">
        <v>916</v>
      </c>
      <c r="E456" s="18" t="s">
        <v>7746</v>
      </c>
      <c r="F456" s="2">
        <f>+J456-I456</f>
        <v>1</v>
      </c>
      <c r="G456" s="2">
        <f ca="1">+TODAY()-I456</f>
        <v>1</v>
      </c>
      <c r="H456" s="15">
        <v>84000</v>
      </c>
      <c r="I456" s="1">
        <v>46119</v>
      </c>
      <c r="J456" s="1">
        <v>46120</v>
      </c>
      <c r="K456" s="18" t="s">
        <v>918</v>
      </c>
      <c r="L456" s="18" t="s">
        <v>312</v>
      </c>
      <c r="M456" s="18" t="s">
        <v>19</v>
      </c>
      <c r="N456" s="18" t="s">
        <v>4818</v>
      </c>
      <c r="O456">
        <v>30</v>
      </c>
    </row>
    <row r="457" spans="1:15" x14ac:dyDescent="0.25">
      <c r="A457" s="18" t="s">
        <v>7276</v>
      </c>
      <c r="B457" s="18" t="s">
        <v>4815</v>
      </c>
      <c r="C457" s="18" t="s">
        <v>4816</v>
      </c>
      <c r="D457" s="18" t="s">
        <v>916</v>
      </c>
      <c r="E457" s="18" t="s">
        <v>7747</v>
      </c>
      <c r="F457" s="2">
        <f>+J457-I457</f>
        <v>1</v>
      </c>
      <c r="G457" s="2">
        <f ca="1">+TODAY()-I457</f>
        <v>1</v>
      </c>
      <c r="H457" s="15">
        <v>35451</v>
      </c>
      <c r="I457" s="1">
        <v>46119</v>
      </c>
      <c r="J457" s="1">
        <v>46120</v>
      </c>
      <c r="K457" s="18" t="s">
        <v>918</v>
      </c>
      <c r="L457" s="18" t="s">
        <v>312</v>
      </c>
      <c r="M457" s="18" t="s">
        <v>19</v>
      </c>
      <c r="N457" s="18" t="s">
        <v>4818</v>
      </c>
      <c r="O457">
        <v>30</v>
      </c>
    </row>
    <row r="458" spans="1:15" x14ac:dyDescent="0.25">
      <c r="A458" s="18" t="s">
        <v>7276</v>
      </c>
      <c r="B458" s="18" t="s">
        <v>7677</v>
      </c>
      <c r="C458" s="18" t="s">
        <v>7678</v>
      </c>
      <c r="D458" s="18" t="s">
        <v>15</v>
      </c>
      <c r="E458" s="18" t="s">
        <v>7679</v>
      </c>
      <c r="F458" s="2">
        <f>+J458-I458</f>
        <v>1</v>
      </c>
      <c r="G458" s="2">
        <f ca="1">+TODAY()-I458</f>
        <v>1</v>
      </c>
      <c r="H458" s="15">
        <v>167964</v>
      </c>
      <c r="I458" s="1">
        <v>46119</v>
      </c>
      <c r="J458" s="1">
        <v>46120</v>
      </c>
      <c r="K458" s="18" t="s">
        <v>17</v>
      </c>
      <c r="L458" s="18" t="s">
        <v>317</v>
      </c>
      <c r="M458" s="18" t="s">
        <v>19</v>
      </c>
      <c r="N458" s="18" t="s">
        <v>7680</v>
      </c>
      <c r="O458">
        <v>1</v>
      </c>
    </row>
    <row r="459" spans="1:15" x14ac:dyDescent="0.25">
      <c r="A459" s="18" t="s">
        <v>7276</v>
      </c>
      <c r="B459" s="18" t="s">
        <v>4623</v>
      </c>
      <c r="C459" s="18" t="s">
        <v>4624</v>
      </c>
      <c r="D459" s="18" t="s">
        <v>1401</v>
      </c>
      <c r="E459" s="18" t="s">
        <v>7202</v>
      </c>
      <c r="F459" s="2">
        <f>+J459-I459</f>
        <v>1</v>
      </c>
      <c r="G459" s="2">
        <f ca="1">+TODAY()-I459</f>
        <v>8</v>
      </c>
      <c r="H459" s="15">
        <v>500216</v>
      </c>
      <c r="I459" s="1">
        <v>46112</v>
      </c>
      <c r="J459" s="1">
        <v>46113</v>
      </c>
      <c r="K459" s="18" t="s">
        <v>1403</v>
      </c>
      <c r="L459" s="18" t="s">
        <v>90</v>
      </c>
      <c r="M459" s="18" t="s">
        <v>19</v>
      </c>
      <c r="N459" s="18" t="s">
        <v>4626</v>
      </c>
      <c r="O459">
        <v>30</v>
      </c>
    </row>
    <row r="460" spans="1:15" x14ac:dyDescent="0.25">
      <c r="A460" s="18" t="s">
        <v>7276</v>
      </c>
      <c r="B460" s="18" t="s">
        <v>1079</v>
      </c>
      <c r="C460" s="18" t="s">
        <v>1080</v>
      </c>
      <c r="D460" s="18" t="s">
        <v>320</v>
      </c>
      <c r="E460" s="18" t="s">
        <v>1081</v>
      </c>
      <c r="F460" s="2">
        <f>+J460-I460</f>
        <v>25</v>
      </c>
      <c r="G460" s="2">
        <f ca="1">+TODAY()-I460</f>
        <v>2893</v>
      </c>
      <c r="H460" s="15">
        <v>1260352</v>
      </c>
      <c r="I460" s="1">
        <v>43227</v>
      </c>
      <c r="J460" s="1">
        <v>43252</v>
      </c>
      <c r="K460" s="18" t="s">
        <v>1068</v>
      </c>
      <c r="L460" s="18" t="s">
        <v>1069</v>
      </c>
      <c r="M460" s="18" t="s">
        <v>19</v>
      </c>
      <c r="N460" s="18" t="s">
        <v>1082</v>
      </c>
      <c r="O460">
        <v>30</v>
      </c>
    </row>
    <row r="461" spans="1:15" x14ac:dyDescent="0.25">
      <c r="A461" s="18" t="s">
        <v>7276</v>
      </c>
      <c r="B461" s="18" t="s">
        <v>1079</v>
      </c>
      <c r="C461" s="18" t="s">
        <v>1080</v>
      </c>
      <c r="D461" s="18" t="s">
        <v>320</v>
      </c>
      <c r="E461" s="18" t="s">
        <v>1083</v>
      </c>
      <c r="F461" s="2">
        <f>+J461-I461</f>
        <v>25</v>
      </c>
      <c r="G461" s="2">
        <f ca="1">+TODAY()-I461</f>
        <v>2884</v>
      </c>
      <c r="H461" s="15">
        <v>492428</v>
      </c>
      <c r="I461" s="1">
        <v>43236</v>
      </c>
      <c r="J461" s="1">
        <v>43261</v>
      </c>
      <c r="K461" s="18" t="s">
        <v>1068</v>
      </c>
      <c r="L461" s="18" t="s">
        <v>1069</v>
      </c>
      <c r="M461" s="18" t="s">
        <v>19</v>
      </c>
      <c r="N461" s="18" t="s">
        <v>1082</v>
      </c>
      <c r="O461">
        <v>30</v>
      </c>
    </row>
    <row r="462" spans="1:15" x14ac:dyDescent="0.25">
      <c r="A462" s="18" t="s">
        <v>7276</v>
      </c>
      <c r="B462" s="18" t="s">
        <v>1079</v>
      </c>
      <c r="C462" s="18" t="s">
        <v>1080</v>
      </c>
      <c r="D462" s="18" t="s">
        <v>320</v>
      </c>
      <c r="E462" s="18" t="s">
        <v>1084</v>
      </c>
      <c r="F462" s="2">
        <f>+J462-I462</f>
        <v>25</v>
      </c>
      <c r="G462" s="2">
        <f ca="1">+TODAY()-I462</f>
        <v>2862</v>
      </c>
      <c r="H462" s="15">
        <v>1526002</v>
      </c>
      <c r="I462" s="1">
        <v>43258</v>
      </c>
      <c r="J462" s="1">
        <v>43283</v>
      </c>
      <c r="K462" s="18" t="s">
        <v>1068</v>
      </c>
      <c r="L462" s="18" t="s">
        <v>1069</v>
      </c>
      <c r="M462" s="18" t="s">
        <v>19</v>
      </c>
      <c r="N462" s="18" t="s">
        <v>1082</v>
      </c>
      <c r="O462">
        <v>30</v>
      </c>
    </row>
    <row r="463" spans="1:15" x14ac:dyDescent="0.25">
      <c r="A463" s="18" t="s">
        <v>7276</v>
      </c>
      <c r="B463" s="18" t="s">
        <v>1079</v>
      </c>
      <c r="C463" s="18" t="s">
        <v>1080</v>
      </c>
      <c r="D463" s="18" t="s">
        <v>320</v>
      </c>
      <c r="E463" s="18" t="s">
        <v>1085</v>
      </c>
      <c r="F463" s="2">
        <f>+J463-I463</f>
        <v>25</v>
      </c>
      <c r="G463" s="2">
        <f ca="1">+TODAY()-I463</f>
        <v>2862</v>
      </c>
      <c r="H463" s="15">
        <v>1239171</v>
      </c>
      <c r="I463" s="1">
        <v>43258</v>
      </c>
      <c r="J463" s="1">
        <v>43283</v>
      </c>
      <c r="K463" s="18" t="s">
        <v>1068</v>
      </c>
      <c r="L463" s="18" t="s">
        <v>1069</v>
      </c>
      <c r="M463" s="18" t="s">
        <v>19</v>
      </c>
      <c r="N463" s="18" t="s">
        <v>1082</v>
      </c>
      <c r="O463">
        <v>30</v>
      </c>
    </row>
    <row r="464" spans="1:15" x14ac:dyDescent="0.25">
      <c r="A464" s="18" t="s">
        <v>7276</v>
      </c>
      <c r="B464" s="18" t="s">
        <v>6785</v>
      </c>
      <c r="C464" s="18" t="s">
        <v>6786</v>
      </c>
      <c r="D464" s="18" t="s">
        <v>46</v>
      </c>
      <c r="E464" s="18" t="s">
        <v>6787</v>
      </c>
      <c r="F464" s="2">
        <f>+J464-I464</f>
        <v>1</v>
      </c>
      <c r="G464" s="2">
        <f ca="1">+TODAY()-I464</f>
        <v>8</v>
      </c>
      <c r="H464" s="15">
        <v>467200</v>
      </c>
      <c r="I464" s="1">
        <v>46112</v>
      </c>
      <c r="J464" s="1">
        <v>46113</v>
      </c>
      <c r="K464" s="18" t="s">
        <v>17</v>
      </c>
      <c r="L464" s="18" t="s">
        <v>32</v>
      </c>
      <c r="M464" s="18" t="s">
        <v>19</v>
      </c>
      <c r="N464" s="18" t="s">
        <v>6788</v>
      </c>
      <c r="O464">
        <v>15</v>
      </c>
    </row>
    <row r="465" spans="1:15" x14ac:dyDescent="0.25">
      <c r="A465" s="18" t="s">
        <v>7276</v>
      </c>
      <c r="B465" s="18" t="s">
        <v>6785</v>
      </c>
      <c r="C465" s="18" t="s">
        <v>6786</v>
      </c>
      <c r="D465" s="18" t="s">
        <v>46</v>
      </c>
      <c r="E465" s="18" t="s">
        <v>7395</v>
      </c>
      <c r="F465" s="2">
        <f>+J465-I465</f>
        <v>1</v>
      </c>
      <c r="G465" s="2">
        <f ca="1">+TODAY()-I465</f>
        <v>2</v>
      </c>
      <c r="H465" s="15">
        <v>21449</v>
      </c>
      <c r="I465" s="1">
        <v>46118</v>
      </c>
      <c r="J465" s="1">
        <v>46119</v>
      </c>
      <c r="K465" s="18" t="s">
        <v>17</v>
      </c>
      <c r="L465" s="18" t="s">
        <v>317</v>
      </c>
      <c r="M465" s="18" t="s">
        <v>19</v>
      </c>
      <c r="N465" s="18" t="s">
        <v>6788</v>
      </c>
      <c r="O465">
        <v>15</v>
      </c>
    </row>
    <row r="466" spans="1:15" x14ac:dyDescent="0.25">
      <c r="A466" s="18" t="s">
        <v>7276</v>
      </c>
      <c r="B466" s="18" t="s">
        <v>7166</v>
      </c>
      <c r="C466" s="18" t="s">
        <v>7167</v>
      </c>
      <c r="D466" s="18" t="s">
        <v>1250</v>
      </c>
      <c r="E466" s="18" t="s">
        <v>7168</v>
      </c>
      <c r="F466" s="2">
        <f>+J466-I466</f>
        <v>1</v>
      </c>
      <c r="G466" s="2">
        <f ca="1">+TODAY()-I466</f>
        <v>9</v>
      </c>
      <c r="H466" s="15">
        <v>130401</v>
      </c>
      <c r="I466" s="1">
        <v>46111</v>
      </c>
      <c r="J466" s="1">
        <v>46112</v>
      </c>
      <c r="K466" s="18" t="s">
        <v>1243</v>
      </c>
      <c r="L466" s="18" t="s">
        <v>312</v>
      </c>
      <c r="M466" s="18" t="s">
        <v>19</v>
      </c>
      <c r="N466" s="18" t="s">
        <v>7169</v>
      </c>
      <c r="O466">
        <v>0</v>
      </c>
    </row>
    <row r="467" spans="1:15" x14ac:dyDescent="0.25">
      <c r="A467" s="18" t="s">
        <v>7276</v>
      </c>
      <c r="B467" s="18" t="s">
        <v>1840</v>
      </c>
      <c r="C467" s="18" t="s">
        <v>1841</v>
      </c>
      <c r="D467" s="18" t="s">
        <v>1842</v>
      </c>
      <c r="E467" s="18" t="s">
        <v>5060</v>
      </c>
      <c r="F467" s="2">
        <f>+J467-I467</f>
        <v>30</v>
      </c>
      <c r="G467" s="2">
        <f ca="1">+TODAY()-I467</f>
        <v>61</v>
      </c>
      <c r="H467" s="15">
        <v>2000000</v>
      </c>
      <c r="I467" s="1">
        <v>46059</v>
      </c>
      <c r="J467" s="1">
        <v>46089</v>
      </c>
      <c r="K467" s="18" t="s">
        <v>1843</v>
      </c>
      <c r="L467" s="18" t="s">
        <v>981</v>
      </c>
      <c r="M467" s="18" t="s">
        <v>19</v>
      </c>
      <c r="N467" s="18" t="s">
        <v>1844</v>
      </c>
      <c r="O467">
        <v>30</v>
      </c>
    </row>
    <row r="468" spans="1:15" x14ac:dyDescent="0.25">
      <c r="A468" s="18" t="s">
        <v>7276</v>
      </c>
      <c r="B468" s="18" t="s">
        <v>1840</v>
      </c>
      <c r="C468" s="18" t="s">
        <v>1841</v>
      </c>
      <c r="D468" s="18" t="s">
        <v>1842</v>
      </c>
      <c r="E468" s="18" t="s">
        <v>5859</v>
      </c>
      <c r="F468" s="2">
        <f>+J468-I468</f>
        <v>30</v>
      </c>
      <c r="G468" s="2">
        <f ca="1">+TODAY()-I468</f>
        <v>33</v>
      </c>
      <c r="H468" s="15">
        <v>1172172</v>
      </c>
      <c r="I468" s="1">
        <v>46087</v>
      </c>
      <c r="J468" s="1">
        <v>46117</v>
      </c>
      <c r="K468" s="18" t="s">
        <v>1843</v>
      </c>
      <c r="L468" s="18" t="s">
        <v>981</v>
      </c>
      <c r="M468" s="18" t="s">
        <v>19</v>
      </c>
      <c r="N468" s="18" t="s">
        <v>1844</v>
      </c>
      <c r="O468">
        <v>30</v>
      </c>
    </row>
    <row r="469" spans="1:15" x14ac:dyDescent="0.25">
      <c r="A469" s="18" t="s">
        <v>7276</v>
      </c>
      <c r="B469" s="18" t="s">
        <v>1840</v>
      </c>
      <c r="C469" s="18" t="s">
        <v>1841</v>
      </c>
      <c r="D469" s="18" t="s">
        <v>1842</v>
      </c>
      <c r="E469" s="18" t="s">
        <v>5860</v>
      </c>
      <c r="F469" s="2">
        <f>+J469-I469</f>
        <v>30</v>
      </c>
      <c r="G469" s="2">
        <f ca="1">+TODAY()-I469</f>
        <v>33</v>
      </c>
      <c r="H469" s="15">
        <v>824000</v>
      </c>
      <c r="I469" s="1">
        <v>46087</v>
      </c>
      <c r="J469" s="1">
        <v>46117</v>
      </c>
      <c r="K469" s="18" t="s">
        <v>1843</v>
      </c>
      <c r="L469" s="18" t="s">
        <v>981</v>
      </c>
      <c r="M469" s="18" t="s">
        <v>19</v>
      </c>
      <c r="N469" s="18" t="s">
        <v>1844</v>
      </c>
      <c r="O469">
        <v>30</v>
      </c>
    </row>
    <row r="470" spans="1:15" x14ac:dyDescent="0.25">
      <c r="A470" s="18" t="s">
        <v>7276</v>
      </c>
      <c r="B470" s="18" t="s">
        <v>1840</v>
      </c>
      <c r="C470" s="18" t="s">
        <v>1841</v>
      </c>
      <c r="D470" s="18" t="s">
        <v>1842</v>
      </c>
      <c r="E470" s="18" t="s">
        <v>5861</v>
      </c>
      <c r="F470" s="2">
        <f>+J470-I470</f>
        <v>30</v>
      </c>
      <c r="G470" s="2">
        <f ca="1">+TODAY()-I470</f>
        <v>33</v>
      </c>
      <c r="H470" s="15">
        <v>382828</v>
      </c>
      <c r="I470" s="1">
        <v>46087</v>
      </c>
      <c r="J470" s="1">
        <v>46117</v>
      </c>
      <c r="K470" s="18" t="s">
        <v>1843</v>
      </c>
      <c r="L470" s="18" t="s">
        <v>981</v>
      </c>
      <c r="M470" s="18" t="s">
        <v>19</v>
      </c>
      <c r="N470" s="18" t="s">
        <v>1844</v>
      </c>
      <c r="O470">
        <v>30</v>
      </c>
    </row>
    <row r="471" spans="1:15" x14ac:dyDescent="0.25">
      <c r="A471" s="18" t="s">
        <v>7276</v>
      </c>
      <c r="B471" s="18" t="s">
        <v>1764</v>
      </c>
      <c r="C471" s="18" t="s">
        <v>1765</v>
      </c>
      <c r="D471" s="18" t="s">
        <v>331</v>
      </c>
      <c r="E471" s="18" t="s">
        <v>5501</v>
      </c>
      <c r="F471" s="2">
        <f>+J471-I471</f>
        <v>30</v>
      </c>
      <c r="G471" s="2">
        <f ca="1">+TODAY()-I471</f>
        <v>35</v>
      </c>
      <c r="H471" s="15">
        <v>473102</v>
      </c>
      <c r="I471" s="1">
        <v>46085</v>
      </c>
      <c r="J471" s="1">
        <v>46115</v>
      </c>
      <c r="K471" s="18" t="s">
        <v>1758</v>
      </c>
      <c r="L471" s="18" t="s">
        <v>207</v>
      </c>
      <c r="M471" s="18" t="s">
        <v>19</v>
      </c>
      <c r="N471" s="18" t="s">
        <v>1766</v>
      </c>
      <c r="O471">
        <v>30</v>
      </c>
    </row>
    <row r="472" spans="1:15" x14ac:dyDescent="0.25">
      <c r="A472" s="18" t="s">
        <v>7276</v>
      </c>
      <c r="B472" s="18" t="s">
        <v>1764</v>
      </c>
      <c r="C472" s="18" t="s">
        <v>1765</v>
      </c>
      <c r="D472" s="18" t="s">
        <v>331</v>
      </c>
      <c r="E472" s="18" t="s">
        <v>5502</v>
      </c>
      <c r="F472" s="2">
        <f>+J472-I472</f>
        <v>30</v>
      </c>
      <c r="G472" s="2">
        <f ca="1">+TODAY()-I472</f>
        <v>35</v>
      </c>
      <c r="H472" s="15">
        <v>4712410</v>
      </c>
      <c r="I472" s="1">
        <v>46085</v>
      </c>
      <c r="J472" s="1">
        <v>46115</v>
      </c>
      <c r="K472" s="18" t="s">
        <v>1758</v>
      </c>
      <c r="L472" s="18" t="s">
        <v>207</v>
      </c>
      <c r="M472" s="18" t="s">
        <v>19</v>
      </c>
      <c r="N472" s="18" t="s">
        <v>1766</v>
      </c>
      <c r="O472">
        <v>30</v>
      </c>
    </row>
    <row r="473" spans="1:15" x14ac:dyDescent="0.25">
      <c r="A473" s="18" t="s">
        <v>7276</v>
      </c>
      <c r="B473" s="18" t="s">
        <v>1764</v>
      </c>
      <c r="C473" s="18" t="s">
        <v>1765</v>
      </c>
      <c r="D473" s="18" t="s">
        <v>331</v>
      </c>
      <c r="E473" s="18" t="s">
        <v>5855</v>
      </c>
      <c r="F473" s="2">
        <f>+J473-I473</f>
        <v>8</v>
      </c>
      <c r="G473" s="2">
        <f ca="1">+TODAY()-I473</f>
        <v>28</v>
      </c>
      <c r="H473" s="15">
        <v>1</v>
      </c>
      <c r="I473" s="1">
        <v>46092</v>
      </c>
      <c r="J473" s="1">
        <v>46100</v>
      </c>
      <c r="K473" s="18" t="s">
        <v>1758</v>
      </c>
      <c r="L473" s="18" t="s">
        <v>207</v>
      </c>
      <c r="M473" s="18" t="s">
        <v>19</v>
      </c>
      <c r="N473" s="18" t="s">
        <v>1766</v>
      </c>
      <c r="O473">
        <v>30</v>
      </c>
    </row>
    <row r="474" spans="1:15" x14ac:dyDescent="0.25">
      <c r="A474" s="18" t="s">
        <v>7276</v>
      </c>
      <c r="B474" s="18" t="s">
        <v>1764</v>
      </c>
      <c r="C474" s="18" t="s">
        <v>1765</v>
      </c>
      <c r="D474" s="18" t="s">
        <v>331</v>
      </c>
      <c r="E474" s="18" t="s">
        <v>5856</v>
      </c>
      <c r="F474" s="2">
        <f>+J474-I474</f>
        <v>30</v>
      </c>
      <c r="G474" s="2">
        <f ca="1">+TODAY()-I474</f>
        <v>28</v>
      </c>
      <c r="H474" s="15">
        <v>1</v>
      </c>
      <c r="I474" s="1">
        <v>46092</v>
      </c>
      <c r="J474" s="1">
        <v>46122</v>
      </c>
      <c r="K474" s="18" t="s">
        <v>1758</v>
      </c>
      <c r="L474" s="18" t="s">
        <v>207</v>
      </c>
      <c r="M474" s="18" t="s">
        <v>19</v>
      </c>
      <c r="N474" s="18" t="s">
        <v>1766</v>
      </c>
      <c r="O474">
        <v>30</v>
      </c>
    </row>
    <row r="475" spans="1:15" x14ac:dyDescent="0.25">
      <c r="A475" s="18" t="s">
        <v>7276</v>
      </c>
      <c r="B475" s="18" t="s">
        <v>1764</v>
      </c>
      <c r="C475" s="18" t="s">
        <v>1765</v>
      </c>
      <c r="D475" s="18" t="s">
        <v>331</v>
      </c>
      <c r="E475" s="18" t="s">
        <v>5857</v>
      </c>
      <c r="F475" s="2">
        <f>+J475-I475</f>
        <v>30</v>
      </c>
      <c r="G475" s="2">
        <f ca="1">+TODAY()-I475</f>
        <v>28</v>
      </c>
      <c r="H475" s="15">
        <v>4250000</v>
      </c>
      <c r="I475" s="1">
        <v>46092</v>
      </c>
      <c r="J475" s="1">
        <v>46122</v>
      </c>
      <c r="K475" s="18" t="s">
        <v>1758</v>
      </c>
      <c r="L475" s="18" t="s">
        <v>207</v>
      </c>
      <c r="M475" s="18" t="s">
        <v>19</v>
      </c>
      <c r="N475" s="18" t="s">
        <v>1766</v>
      </c>
      <c r="O475">
        <v>30</v>
      </c>
    </row>
    <row r="476" spans="1:15" x14ac:dyDescent="0.25">
      <c r="A476" s="18" t="s">
        <v>7276</v>
      </c>
      <c r="B476" s="18" t="s">
        <v>1764</v>
      </c>
      <c r="C476" s="18" t="s">
        <v>1765</v>
      </c>
      <c r="D476" s="18" t="s">
        <v>331</v>
      </c>
      <c r="E476" s="18" t="s">
        <v>6370</v>
      </c>
      <c r="F476" s="2">
        <f>+J476-I476</f>
        <v>8</v>
      </c>
      <c r="G476" s="2">
        <f ca="1">+TODAY()-I476</f>
        <v>20</v>
      </c>
      <c r="H476" s="15">
        <v>2100000</v>
      </c>
      <c r="I476" s="1">
        <v>46100</v>
      </c>
      <c r="J476" s="1">
        <v>46108</v>
      </c>
      <c r="K476" s="18" t="s">
        <v>1758</v>
      </c>
      <c r="L476" s="18" t="s">
        <v>207</v>
      </c>
      <c r="M476" s="18" t="s">
        <v>19</v>
      </c>
      <c r="N476" s="18" t="s">
        <v>1766</v>
      </c>
      <c r="O476">
        <v>30</v>
      </c>
    </row>
    <row r="477" spans="1:15" x14ac:dyDescent="0.25">
      <c r="A477" s="18" t="s">
        <v>7276</v>
      </c>
      <c r="B477" s="18" t="s">
        <v>1764</v>
      </c>
      <c r="C477" s="18" t="s">
        <v>1765</v>
      </c>
      <c r="D477" s="18" t="s">
        <v>331</v>
      </c>
      <c r="E477" s="18" t="s">
        <v>7619</v>
      </c>
      <c r="F477" s="2">
        <f>+J477-I477</f>
        <v>30</v>
      </c>
      <c r="G477" s="2">
        <f ca="1">+TODAY()-I477</f>
        <v>7</v>
      </c>
      <c r="H477" s="15">
        <v>760000</v>
      </c>
      <c r="I477" s="1">
        <v>46113</v>
      </c>
      <c r="J477" s="1">
        <v>46143</v>
      </c>
      <c r="K477" s="18" t="s">
        <v>1758</v>
      </c>
      <c r="L477" s="18" t="s">
        <v>207</v>
      </c>
      <c r="M477" s="18" t="s">
        <v>19</v>
      </c>
      <c r="N477" s="18" t="s">
        <v>1766</v>
      </c>
      <c r="O477">
        <v>30</v>
      </c>
    </row>
    <row r="478" spans="1:15" x14ac:dyDescent="0.25">
      <c r="A478" s="18" t="s">
        <v>7276</v>
      </c>
      <c r="B478" s="18" t="s">
        <v>7582</v>
      </c>
      <c r="C478" s="18" t="s">
        <v>7583</v>
      </c>
      <c r="D478" s="18" t="s">
        <v>875</v>
      </c>
      <c r="E478" s="18" t="s">
        <v>7584</v>
      </c>
      <c r="F478" s="2">
        <f>+J478-I478</f>
        <v>1</v>
      </c>
      <c r="G478" s="2">
        <f ca="1">+TODAY()-I478</f>
        <v>7</v>
      </c>
      <c r="H478" s="15">
        <v>316431</v>
      </c>
      <c r="I478" s="1">
        <v>46113</v>
      </c>
      <c r="J478" s="1">
        <v>46114</v>
      </c>
      <c r="K478" s="18" t="s">
        <v>1403</v>
      </c>
      <c r="L478" s="18" t="s">
        <v>90</v>
      </c>
      <c r="M478" s="18" t="s">
        <v>19</v>
      </c>
      <c r="N478" s="18" t="s">
        <v>7585</v>
      </c>
      <c r="O478">
        <v>1</v>
      </c>
    </row>
    <row r="479" spans="1:15" x14ac:dyDescent="0.25">
      <c r="A479" s="18" t="s">
        <v>7276</v>
      </c>
      <c r="B479" s="18" t="s">
        <v>7260</v>
      </c>
      <c r="C479" s="18" t="s">
        <v>7261</v>
      </c>
      <c r="D479" s="18" t="s">
        <v>6359</v>
      </c>
      <c r="E479" s="18" t="s">
        <v>7262</v>
      </c>
      <c r="F479" s="2">
        <f>+J479-I479</f>
        <v>1</v>
      </c>
      <c r="G479" s="2">
        <f ca="1">+TODAY()-I479</f>
        <v>8</v>
      </c>
      <c r="H479" s="15">
        <v>116812</v>
      </c>
      <c r="I479" s="1">
        <v>46112</v>
      </c>
      <c r="J479" s="1">
        <v>46113</v>
      </c>
      <c r="K479" s="18" t="s">
        <v>1734</v>
      </c>
      <c r="L479" s="18" t="s">
        <v>321</v>
      </c>
      <c r="M479" s="18" t="s">
        <v>19</v>
      </c>
      <c r="N479" s="18" t="s">
        <v>7263</v>
      </c>
      <c r="O479">
        <v>30</v>
      </c>
    </row>
    <row r="480" spans="1:15" x14ac:dyDescent="0.25">
      <c r="A480" s="18" t="s">
        <v>7276</v>
      </c>
      <c r="B480" s="18" t="s">
        <v>5097</v>
      </c>
      <c r="C480" s="18" t="s">
        <v>5098</v>
      </c>
      <c r="D480" s="18" t="s">
        <v>983</v>
      </c>
      <c r="E480" s="18" t="s">
        <v>5244</v>
      </c>
      <c r="F480" s="2">
        <f>+J480-I480</f>
        <v>30</v>
      </c>
      <c r="G480" s="2">
        <f ca="1">+TODAY()-I480</f>
        <v>40</v>
      </c>
      <c r="H480" s="15">
        <v>4552254</v>
      </c>
      <c r="I480" s="1">
        <v>46080</v>
      </c>
      <c r="J480" s="1">
        <v>46110</v>
      </c>
      <c r="K480" s="18" t="s">
        <v>980</v>
      </c>
      <c r="L480" s="18" t="s">
        <v>981</v>
      </c>
      <c r="M480" s="18" t="s">
        <v>19</v>
      </c>
      <c r="N480" s="18" t="s">
        <v>5099</v>
      </c>
      <c r="O480">
        <v>30</v>
      </c>
    </row>
    <row r="481" spans="1:15" x14ac:dyDescent="0.25">
      <c r="A481" s="18" t="s">
        <v>7276</v>
      </c>
      <c r="B481" s="18" t="s">
        <v>985</v>
      </c>
      <c r="C481" s="18" t="s">
        <v>986</v>
      </c>
      <c r="D481" s="18" t="s">
        <v>979</v>
      </c>
      <c r="E481" s="18" t="s">
        <v>5243</v>
      </c>
      <c r="F481" s="2">
        <f>+J481-I481</f>
        <v>30</v>
      </c>
      <c r="G481" s="2">
        <f ca="1">+TODAY()-I481</f>
        <v>40</v>
      </c>
      <c r="H481" s="15">
        <v>177910</v>
      </c>
      <c r="I481" s="1">
        <v>46080</v>
      </c>
      <c r="J481" s="1">
        <v>46110</v>
      </c>
      <c r="K481" s="18" t="s">
        <v>980</v>
      </c>
      <c r="L481" s="18" t="s">
        <v>981</v>
      </c>
      <c r="M481" s="18" t="s">
        <v>19</v>
      </c>
      <c r="N481" s="18" t="s">
        <v>987</v>
      </c>
      <c r="O481">
        <v>30</v>
      </c>
    </row>
    <row r="482" spans="1:15" x14ac:dyDescent="0.25">
      <c r="A482" s="18" t="s">
        <v>7276</v>
      </c>
      <c r="B482" s="18" t="s">
        <v>985</v>
      </c>
      <c r="C482" s="18" t="s">
        <v>986</v>
      </c>
      <c r="D482" s="18" t="s">
        <v>979</v>
      </c>
      <c r="E482" s="18" t="s">
        <v>5187</v>
      </c>
      <c r="F482" s="2">
        <f>+J482-I482</f>
        <v>30</v>
      </c>
      <c r="G482" s="2">
        <f ca="1">+TODAY()-I482</f>
        <v>54</v>
      </c>
      <c r="H482" s="15">
        <v>130005</v>
      </c>
      <c r="I482" s="1">
        <v>46066</v>
      </c>
      <c r="J482" s="1">
        <v>46096</v>
      </c>
      <c r="K482" s="18" t="s">
        <v>1875</v>
      </c>
      <c r="L482" s="18" t="s">
        <v>981</v>
      </c>
      <c r="M482" s="18" t="s">
        <v>19</v>
      </c>
      <c r="N482" s="18" t="s">
        <v>987</v>
      </c>
      <c r="O482">
        <v>30</v>
      </c>
    </row>
    <row r="483" spans="1:15" x14ac:dyDescent="0.25">
      <c r="A483" s="18" t="s">
        <v>7276</v>
      </c>
      <c r="B483" s="18" t="s">
        <v>4045</v>
      </c>
      <c r="C483" s="18" t="s">
        <v>4046</v>
      </c>
      <c r="D483" s="18" t="s">
        <v>1066</v>
      </c>
      <c r="E483" s="18" t="s">
        <v>7063</v>
      </c>
      <c r="F483" s="2">
        <f>+J483-I483</f>
        <v>1</v>
      </c>
      <c r="G483" s="2">
        <f ca="1">+TODAY()-I483</f>
        <v>9</v>
      </c>
      <c r="H483" s="15">
        <v>87220</v>
      </c>
      <c r="I483" s="1">
        <v>46111</v>
      </c>
      <c r="J483" s="1">
        <v>46112</v>
      </c>
      <c r="K483" s="18" t="s">
        <v>1068</v>
      </c>
      <c r="L483" s="18" t="s">
        <v>321</v>
      </c>
      <c r="M483" s="18" t="s">
        <v>19</v>
      </c>
      <c r="N483" s="18" t="s">
        <v>4047</v>
      </c>
      <c r="O483">
        <v>1</v>
      </c>
    </row>
    <row r="484" spans="1:15" x14ac:dyDescent="0.25">
      <c r="A484" s="18" t="s">
        <v>7276</v>
      </c>
      <c r="B484" s="18" t="s">
        <v>2023</v>
      </c>
      <c r="C484" s="18" t="s">
        <v>2024</v>
      </c>
      <c r="D484" s="18" t="s">
        <v>854</v>
      </c>
      <c r="E484" s="18" t="s">
        <v>5963</v>
      </c>
      <c r="F484" s="2">
        <f>+J484-I484</f>
        <v>30</v>
      </c>
      <c r="G484" s="2">
        <f ca="1">+TODAY()-I484</f>
        <v>26</v>
      </c>
      <c r="H484" s="15">
        <v>681474</v>
      </c>
      <c r="I484" s="1">
        <v>46094</v>
      </c>
      <c r="J484" s="1">
        <v>46124</v>
      </c>
      <c r="K484" s="18" t="s">
        <v>845</v>
      </c>
      <c r="L484" s="18" t="s">
        <v>18</v>
      </c>
      <c r="M484" s="18" t="s">
        <v>19</v>
      </c>
      <c r="N484" s="18" t="s">
        <v>2025</v>
      </c>
      <c r="O484">
        <v>30</v>
      </c>
    </row>
    <row r="485" spans="1:15" x14ac:dyDescent="0.25">
      <c r="A485" s="18" t="s">
        <v>7276</v>
      </c>
      <c r="B485" s="18" t="s">
        <v>2023</v>
      </c>
      <c r="C485" s="18" t="s">
        <v>2024</v>
      </c>
      <c r="D485" s="18" t="s">
        <v>854</v>
      </c>
      <c r="E485" s="18" t="s">
        <v>5964</v>
      </c>
      <c r="F485" s="2">
        <f>+J485-I485</f>
        <v>30</v>
      </c>
      <c r="G485" s="2">
        <f ca="1">+TODAY()-I485</f>
        <v>26</v>
      </c>
      <c r="H485" s="15">
        <v>1373141</v>
      </c>
      <c r="I485" s="1">
        <v>46094</v>
      </c>
      <c r="J485" s="1">
        <v>46124</v>
      </c>
      <c r="K485" s="18" t="s">
        <v>845</v>
      </c>
      <c r="L485" s="18" t="s">
        <v>18</v>
      </c>
      <c r="M485" s="18" t="s">
        <v>19</v>
      </c>
      <c r="N485" s="18" t="s">
        <v>2025</v>
      </c>
      <c r="O485">
        <v>30</v>
      </c>
    </row>
    <row r="486" spans="1:15" x14ac:dyDescent="0.25">
      <c r="A486" s="18" t="s">
        <v>7276</v>
      </c>
      <c r="B486" s="18" t="s">
        <v>914</v>
      </c>
      <c r="C486" s="18" t="s">
        <v>915</v>
      </c>
      <c r="D486" s="18" t="s">
        <v>916</v>
      </c>
      <c r="E486" s="18" t="s">
        <v>917</v>
      </c>
      <c r="F486" s="2">
        <f>+J486-I486</f>
        <v>1</v>
      </c>
      <c r="G486" s="2">
        <f ca="1">+TODAY()-I486</f>
        <v>1311</v>
      </c>
      <c r="H486" s="15">
        <v>139106</v>
      </c>
      <c r="I486" s="1">
        <v>44809</v>
      </c>
      <c r="J486" s="1">
        <v>44810</v>
      </c>
      <c r="K486" s="18" t="s">
        <v>918</v>
      </c>
      <c r="L486" s="18" t="s">
        <v>312</v>
      </c>
      <c r="M486" s="18" t="s">
        <v>19</v>
      </c>
      <c r="N486" s="18" t="s">
        <v>919</v>
      </c>
      <c r="O486">
        <v>1</v>
      </c>
    </row>
    <row r="487" spans="1:15" x14ac:dyDescent="0.25">
      <c r="A487" s="18" t="s">
        <v>7276</v>
      </c>
      <c r="B487" s="18" t="s">
        <v>5358</v>
      </c>
      <c r="C487" s="18" t="s">
        <v>5359</v>
      </c>
      <c r="D487" s="18" t="s">
        <v>1842</v>
      </c>
      <c r="E487" s="18" t="s">
        <v>5360</v>
      </c>
      <c r="F487" s="2">
        <f>+J487-I487</f>
        <v>30</v>
      </c>
      <c r="G487" s="2">
        <f ca="1">+TODAY()-I487</f>
        <v>44</v>
      </c>
      <c r="H487" s="15">
        <v>405000</v>
      </c>
      <c r="I487" s="1">
        <v>46076</v>
      </c>
      <c r="J487" s="1">
        <v>46106</v>
      </c>
      <c r="K487" s="18" t="s">
        <v>1843</v>
      </c>
      <c r="L487" s="18" t="s">
        <v>981</v>
      </c>
      <c r="M487" s="18" t="s">
        <v>19</v>
      </c>
      <c r="N487" s="18" t="s">
        <v>5361</v>
      </c>
      <c r="O487">
        <v>30</v>
      </c>
    </row>
    <row r="488" spans="1:15" x14ac:dyDescent="0.25">
      <c r="A488" s="18" t="s">
        <v>7276</v>
      </c>
      <c r="B488" s="18" t="s">
        <v>5358</v>
      </c>
      <c r="C488" s="18" t="s">
        <v>5359</v>
      </c>
      <c r="D488" s="18" t="s">
        <v>1842</v>
      </c>
      <c r="E488" s="18" t="s">
        <v>5362</v>
      </c>
      <c r="F488" s="2">
        <f>+J488-I488</f>
        <v>30</v>
      </c>
      <c r="G488" s="2">
        <f ca="1">+TODAY()-I488</f>
        <v>44</v>
      </c>
      <c r="H488" s="15">
        <v>252621</v>
      </c>
      <c r="I488" s="1">
        <v>46076</v>
      </c>
      <c r="J488" s="1">
        <v>46106</v>
      </c>
      <c r="K488" s="18" t="s">
        <v>1843</v>
      </c>
      <c r="L488" s="18" t="s">
        <v>981</v>
      </c>
      <c r="M488" s="18" t="s">
        <v>19</v>
      </c>
      <c r="N488" s="18" t="s">
        <v>5361</v>
      </c>
      <c r="O488">
        <v>30</v>
      </c>
    </row>
    <row r="489" spans="1:15" x14ac:dyDescent="0.25">
      <c r="A489" s="18" t="s">
        <v>7276</v>
      </c>
      <c r="B489" s="18" t="s">
        <v>5024</v>
      </c>
      <c r="C489" s="18" t="s">
        <v>5025</v>
      </c>
      <c r="D489" s="18" t="s">
        <v>1201</v>
      </c>
      <c r="E489" s="18" t="s">
        <v>5026</v>
      </c>
      <c r="F489" s="2">
        <f>+J489-I489</f>
        <v>1</v>
      </c>
      <c r="G489" s="2">
        <f ca="1">+TODAY()-I489</f>
        <v>61</v>
      </c>
      <c r="H489" s="15">
        <v>166901</v>
      </c>
      <c r="I489" s="1">
        <v>46059</v>
      </c>
      <c r="J489" s="1">
        <v>46060</v>
      </c>
      <c r="K489" s="18" t="s">
        <v>1202</v>
      </c>
      <c r="L489" s="18" t="s">
        <v>321</v>
      </c>
      <c r="M489" s="18" t="s">
        <v>19</v>
      </c>
      <c r="N489" s="18" t="s">
        <v>5027</v>
      </c>
      <c r="O489">
        <v>30</v>
      </c>
    </row>
    <row r="490" spans="1:15" x14ac:dyDescent="0.25">
      <c r="A490" s="18" t="s">
        <v>7276</v>
      </c>
      <c r="B490" s="18" t="s">
        <v>5024</v>
      </c>
      <c r="C490" s="18" t="s">
        <v>5025</v>
      </c>
      <c r="D490" s="18" t="s">
        <v>1201</v>
      </c>
      <c r="E490" s="18" t="s">
        <v>7118</v>
      </c>
      <c r="F490" s="2">
        <f>+J490-I490</f>
        <v>1</v>
      </c>
      <c r="G490" s="2">
        <f ca="1">+TODAY()-I490</f>
        <v>8</v>
      </c>
      <c r="H490" s="15">
        <v>228616</v>
      </c>
      <c r="I490" s="1">
        <v>46112</v>
      </c>
      <c r="J490" s="1">
        <v>46113</v>
      </c>
      <c r="K490" s="18" t="s">
        <v>1202</v>
      </c>
      <c r="L490" s="18" t="s">
        <v>321</v>
      </c>
      <c r="M490" s="18" t="s">
        <v>19</v>
      </c>
      <c r="N490" s="18" t="s">
        <v>5027</v>
      </c>
      <c r="O490">
        <v>30</v>
      </c>
    </row>
    <row r="491" spans="1:15" x14ac:dyDescent="0.25">
      <c r="A491" s="18" t="s">
        <v>7276</v>
      </c>
      <c r="B491" s="18" t="s">
        <v>3365</v>
      </c>
      <c r="C491" s="18" t="s">
        <v>3366</v>
      </c>
      <c r="D491" s="18" t="s">
        <v>15</v>
      </c>
      <c r="E491" s="18" t="s">
        <v>3373</v>
      </c>
      <c r="F491" s="2">
        <f>+J491-I491</f>
        <v>30</v>
      </c>
      <c r="G491" s="2">
        <f ca="1">+TODAY()-I491</f>
        <v>82</v>
      </c>
      <c r="H491" s="15">
        <v>2787403</v>
      </c>
      <c r="I491" s="1">
        <v>46038</v>
      </c>
      <c r="J491" s="1">
        <v>46068</v>
      </c>
      <c r="K491" s="18" t="s">
        <v>17</v>
      </c>
      <c r="L491" s="18" t="s">
        <v>90</v>
      </c>
      <c r="M491" s="18" t="s">
        <v>19</v>
      </c>
      <c r="N491" s="18" t="s">
        <v>3368</v>
      </c>
      <c r="O491">
        <v>1</v>
      </c>
    </row>
    <row r="492" spans="1:15" x14ac:dyDescent="0.25">
      <c r="A492" s="18" t="s">
        <v>7276</v>
      </c>
      <c r="B492" s="18" t="s">
        <v>1473</v>
      </c>
      <c r="C492" s="18" t="s">
        <v>1474</v>
      </c>
      <c r="D492" s="18" t="s">
        <v>341</v>
      </c>
      <c r="E492" s="18" t="s">
        <v>5035</v>
      </c>
      <c r="F492" s="2">
        <f>+J492-I492</f>
        <v>30</v>
      </c>
      <c r="G492" s="2">
        <f ca="1">+TODAY()-I492</f>
        <v>61</v>
      </c>
      <c r="H492" s="15">
        <v>7992337</v>
      </c>
      <c r="I492" s="1">
        <v>46059</v>
      </c>
      <c r="J492" s="1">
        <v>46089</v>
      </c>
      <c r="K492" s="18" t="s">
        <v>1470</v>
      </c>
      <c r="L492" s="18" t="s">
        <v>981</v>
      </c>
      <c r="M492" s="18" t="s">
        <v>19</v>
      </c>
      <c r="N492" s="18" t="s">
        <v>1475</v>
      </c>
      <c r="O492">
        <v>30</v>
      </c>
    </row>
    <row r="493" spans="1:15" x14ac:dyDescent="0.25">
      <c r="A493" s="18" t="s">
        <v>7276</v>
      </c>
      <c r="B493" s="18" t="s">
        <v>201</v>
      </c>
      <c r="C493" s="18" t="s">
        <v>202</v>
      </c>
      <c r="D493" s="18" t="s">
        <v>15</v>
      </c>
      <c r="E493" s="18" t="s">
        <v>6782</v>
      </c>
      <c r="F493" s="2">
        <f>+J493-I493</f>
        <v>1</v>
      </c>
      <c r="G493" s="2">
        <f ca="1">+TODAY()-I493</f>
        <v>9</v>
      </c>
      <c r="H493" s="15">
        <v>651957</v>
      </c>
      <c r="I493" s="1">
        <v>46111</v>
      </c>
      <c r="J493" s="1">
        <v>46112</v>
      </c>
      <c r="K493" s="18" t="s">
        <v>17</v>
      </c>
      <c r="L493" s="18" t="s">
        <v>18</v>
      </c>
      <c r="M493" s="18" t="s">
        <v>19</v>
      </c>
      <c r="N493" s="18" t="s">
        <v>203</v>
      </c>
      <c r="O493">
        <v>30</v>
      </c>
    </row>
    <row r="494" spans="1:15" x14ac:dyDescent="0.25">
      <c r="A494" s="18" t="s">
        <v>7276</v>
      </c>
      <c r="B494" s="18" t="s">
        <v>201</v>
      </c>
      <c r="C494" s="18" t="s">
        <v>202</v>
      </c>
      <c r="D494" s="18" t="s">
        <v>15</v>
      </c>
      <c r="E494" s="18" t="s">
        <v>6783</v>
      </c>
      <c r="F494" s="2">
        <f>+J494-I494</f>
        <v>1</v>
      </c>
      <c r="G494" s="2">
        <f ca="1">+TODAY()-I494</f>
        <v>9</v>
      </c>
      <c r="H494" s="15">
        <v>2700796</v>
      </c>
      <c r="I494" s="1">
        <v>46111</v>
      </c>
      <c r="J494" s="1">
        <v>46112</v>
      </c>
      <c r="K494" s="18" t="s">
        <v>17</v>
      </c>
      <c r="L494" s="18" t="s">
        <v>18</v>
      </c>
      <c r="M494" s="18" t="s">
        <v>19</v>
      </c>
      <c r="N494" s="18" t="s">
        <v>203</v>
      </c>
      <c r="O494">
        <v>30</v>
      </c>
    </row>
    <row r="495" spans="1:15" x14ac:dyDescent="0.25">
      <c r="A495" s="18" t="s">
        <v>7276</v>
      </c>
      <c r="B495" s="18" t="s">
        <v>201</v>
      </c>
      <c r="C495" s="18" t="s">
        <v>202</v>
      </c>
      <c r="D495" s="18" t="s">
        <v>15</v>
      </c>
      <c r="E495" s="18" t="s">
        <v>6843</v>
      </c>
      <c r="F495" s="2">
        <f>+J495-I495</f>
        <v>1</v>
      </c>
      <c r="G495" s="2">
        <f ca="1">+TODAY()-I495</f>
        <v>8</v>
      </c>
      <c r="H495" s="15">
        <v>1475000</v>
      </c>
      <c r="I495" s="1">
        <v>46112</v>
      </c>
      <c r="J495" s="1">
        <v>46113</v>
      </c>
      <c r="K495" s="18" t="s">
        <v>17</v>
      </c>
      <c r="L495" s="18" t="s">
        <v>18</v>
      </c>
      <c r="M495" s="18" t="s">
        <v>19</v>
      </c>
      <c r="N495" s="18" t="s">
        <v>203</v>
      </c>
      <c r="O495">
        <v>30</v>
      </c>
    </row>
    <row r="496" spans="1:15" x14ac:dyDescent="0.25">
      <c r="A496" s="18" t="s">
        <v>7276</v>
      </c>
      <c r="B496" s="18" t="s">
        <v>201</v>
      </c>
      <c r="C496" s="18" t="s">
        <v>202</v>
      </c>
      <c r="D496" s="18" t="s">
        <v>15</v>
      </c>
      <c r="E496" s="18" t="s">
        <v>5676</v>
      </c>
      <c r="F496" s="2">
        <f>+J496-I496</f>
        <v>1</v>
      </c>
      <c r="G496" s="2">
        <f ca="1">+TODAY()-I496</f>
        <v>29</v>
      </c>
      <c r="H496" s="15">
        <v>66000</v>
      </c>
      <c r="I496" s="1">
        <v>46091</v>
      </c>
      <c r="J496" s="1">
        <v>46092</v>
      </c>
      <c r="K496" s="18" t="s">
        <v>343</v>
      </c>
      <c r="L496" s="18" t="s">
        <v>117</v>
      </c>
      <c r="M496" s="18" t="s">
        <v>19</v>
      </c>
      <c r="N496" s="18" t="s">
        <v>203</v>
      </c>
      <c r="O496">
        <v>30</v>
      </c>
    </row>
    <row r="497" spans="1:15" x14ac:dyDescent="0.25">
      <c r="A497" s="18" t="s">
        <v>7276</v>
      </c>
      <c r="B497" s="18" t="s">
        <v>201</v>
      </c>
      <c r="C497" s="18" t="s">
        <v>202</v>
      </c>
      <c r="D497" s="18" t="s">
        <v>15</v>
      </c>
      <c r="E497" s="18" t="s">
        <v>6952</v>
      </c>
      <c r="F497" s="2">
        <f>+J497-I497</f>
        <v>1</v>
      </c>
      <c r="G497" s="2">
        <f ca="1">+TODAY()-I497</f>
        <v>9</v>
      </c>
      <c r="H497" s="15">
        <v>1</v>
      </c>
      <c r="I497" s="1">
        <v>46111</v>
      </c>
      <c r="J497" s="1">
        <v>46112</v>
      </c>
      <c r="K497" s="18" t="s">
        <v>638</v>
      </c>
      <c r="L497" s="18" t="s">
        <v>18</v>
      </c>
      <c r="M497" s="18" t="s">
        <v>19</v>
      </c>
      <c r="N497" s="18" t="s">
        <v>203</v>
      </c>
      <c r="O497">
        <v>30</v>
      </c>
    </row>
    <row r="498" spans="1:15" x14ac:dyDescent="0.25">
      <c r="A498" s="18" t="s">
        <v>7276</v>
      </c>
      <c r="B498" s="18" t="s">
        <v>201</v>
      </c>
      <c r="C498" s="18" t="s">
        <v>202</v>
      </c>
      <c r="D498" s="18" t="s">
        <v>15</v>
      </c>
      <c r="E498" s="18" t="s">
        <v>6953</v>
      </c>
      <c r="F498" s="2">
        <f>+J498-I498</f>
        <v>1</v>
      </c>
      <c r="G498" s="2">
        <f ca="1">+TODAY()-I498</f>
        <v>9</v>
      </c>
      <c r="H498" s="15">
        <v>4200000</v>
      </c>
      <c r="I498" s="1">
        <v>46111</v>
      </c>
      <c r="J498" s="1">
        <v>46112</v>
      </c>
      <c r="K498" s="18" t="s">
        <v>638</v>
      </c>
      <c r="L498" s="18" t="s">
        <v>18</v>
      </c>
      <c r="M498" s="18" t="s">
        <v>19</v>
      </c>
      <c r="N498" s="18" t="s">
        <v>203</v>
      </c>
      <c r="O498">
        <v>30</v>
      </c>
    </row>
    <row r="499" spans="1:15" x14ac:dyDescent="0.25">
      <c r="A499" s="18" t="s">
        <v>7276</v>
      </c>
      <c r="B499" s="18" t="s">
        <v>201</v>
      </c>
      <c r="C499" s="18" t="s">
        <v>202</v>
      </c>
      <c r="D499" s="18" t="s">
        <v>15</v>
      </c>
      <c r="E499" s="18" t="s">
        <v>7458</v>
      </c>
      <c r="F499" s="2">
        <f>+J499-I499</f>
        <v>30</v>
      </c>
      <c r="G499" s="2">
        <f ca="1">+TODAY()-I499</f>
        <v>11</v>
      </c>
      <c r="H499" s="15">
        <v>-2</v>
      </c>
      <c r="I499" s="1">
        <v>46109</v>
      </c>
      <c r="J499" s="1">
        <v>46139</v>
      </c>
      <c r="K499" s="18" t="s">
        <v>845</v>
      </c>
      <c r="L499" s="18" t="s">
        <v>18</v>
      </c>
      <c r="M499" s="18" t="s">
        <v>19</v>
      </c>
      <c r="N499" s="18" t="s">
        <v>203</v>
      </c>
      <c r="O499">
        <v>30</v>
      </c>
    </row>
    <row r="500" spans="1:15" x14ac:dyDescent="0.25">
      <c r="A500" s="18" t="s">
        <v>7276</v>
      </c>
      <c r="B500" s="18" t="s">
        <v>201</v>
      </c>
      <c r="C500" s="18" t="s">
        <v>202</v>
      </c>
      <c r="D500" s="18" t="s">
        <v>15</v>
      </c>
      <c r="E500" s="18" t="s">
        <v>7030</v>
      </c>
      <c r="F500" s="2">
        <f>+J500-I500</f>
        <v>1</v>
      </c>
      <c r="G500" s="2">
        <f ca="1">+TODAY()-I500</f>
        <v>8</v>
      </c>
      <c r="H500" s="15">
        <v>2</v>
      </c>
      <c r="I500" s="1">
        <v>46112</v>
      </c>
      <c r="J500" s="1">
        <v>46113</v>
      </c>
      <c r="K500" s="18" t="s">
        <v>989</v>
      </c>
      <c r="L500" s="18" t="s">
        <v>18</v>
      </c>
      <c r="M500" s="18" t="s">
        <v>19</v>
      </c>
      <c r="N500" s="18" t="s">
        <v>203</v>
      </c>
      <c r="O500">
        <v>30</v>
      </c>
    </row>
    <row r="501" spans="1:15" x14ac:dyDescent="0.25">
      <c r="A501" s="18" t="s">
        <v>7276</v>
      </c>
      <c r="B501" s="18" t="s">
        <v>201</v>
      </c>
      <c r="C501" s="18" t="s">
        <v>202</v>
      </c>
      <c r="D501" s="18" t="s">
        <v>15</v>
      </c>
      <c r="E501" s="18" t="s">
        <v>7031</v>
      </c>
      <c r="F501" s="2">
        <f>+J501-I501</f>
        <v>1</v>
      </c>
      <c r="G501" s="2">
        <f ca="1">+TODAY()-I501</f>
        <v>8</v>
      </c>
      <c r="H501" s="15">
        <v>8891400</v>
      </c>
      <c r="I501" s="1">
        <v>46112</v>
      </c>
      <c r="J501" s="1">
        <v>46113</v>
      </c>
      <c r="K501" s="18" t="s">
        <v>989</v>
      </c>
      <c r="L501" s="18" t="s">
        <v>18</v>
      </c>
      <c r="M501" s="18" t="s">
        <v>19</v>
      </c>
      <c r="N501" s="18" t="s">
        <v>203</v>
      </c>
      <c r="O501">
        <v>30</v>
      </c>
    </row>
    <row r="502" spans="1:15" x14ac:dyDescent="0.25">
      <c r="A502" s="18" t="s">
        <v>7276</v>
      </c>
      <c r="B502" s="18" t="s">
        <v>1616</v>
      </c>
      <c r="C502" s="18" t="s">
        <v>1617</v>
      </c>
      <c r="D502" s="18" t="s">
        <v>1593</v>
      </c>
      <c r="E502" s="18" t="s">
        <v>6356</v>
      </c>
      <c r="F502" s="2">
        <f>+J502-I502</f>
        <v>30</v>
      </c>
      <c r="G502" s="2">
        <f ca="1">+TODAY()-I502</f>
        <v>19</v>
      </c>
      <c r="H502" s="15">
        <v>2</v>
      </c>
      <c r="I502" s="1">
        <v>46101</v>
      </c>
      <c r="J502" s="1">
        <v>46131</v>
      </c>
      <c r="K502" s="18" t="s">
        <v>1589</v>
      </c>
      <c r="L502" s="18" t="s">
        <v>984</v>
      </c>
      <c r="M502" s="18" t="s">
        <v>19</v>
      </c>
      <c r="N502" s="18" t="s">
        <v>1618</v>
      </c>
      <c r="O502">
        <v>30</v>
      </c>
    </row>
    <row r="503" spans="1:15" x14ac:dyDescent="0.25">
      <c r="A503" s="18" t="s">
        <v>7276</v>
      </c>
      <c r="B503" s="18" t="s">
        <v>1616</v>
      </c>
      <c r="C503" s="18" t="s">
        <v>1617</v>
      </c>
      <c r="D503" s="18" t="s">
        <v>1593</v>
      </c>
      <c r="E503" s="18" t="s">
        <v>6357</v>
      </c>
      <c r="F503" s="2">
        <f>+J503-I503</f>
        <v>30</v>
      </c>
      <c r="G503" s="2">
        <f ca="1">+TODAY()-I503</f>
        <v>19</v>
      </c>
      <c r="H503" s="15">
        <v>12430000</v>
      </c>
      <c r="I503" s="1">
        <v>46101</v>
      </c>
      <c r="J503" s="1">
        <v>46131</v>
      </c>
      <c r="K503" s="18" t="s">
        <v>1589</v>
      </c>
      <c r="L503" s="18" t="s">
        <v>984</v>
      </c>
      <c r="M503" s="18" t="s">
        <v>19</v>
      </c>
      <c r="N503" s="18" t="s">
        <v>1618</v>
      </c>
      <c r="O503">
        <v>30</v>
      </c>
    </row>
    <row r="504" spans="1:15" x14ac:dyDescent="0.25">
      <c r="A504" s="18" t="s">
        <v>7276</v>
      </c>
      <c r="B504" s="18" t="s">
        <v>1616</v>
      </c>
      <c r="C504" s="18" t="s">
        <v>1617</v>
      </c>
      <c r="D504" s="18" t="s">
        <v>1593</v>
      </c>
      <c r="E504" s="18" t="s">
        <v>6358</v>
      </c>
      <c r="F504" s="2">
        <f>+J504-I504</f>
        <v>30</v>
      </c>
      <c r="G504" s="2">
        <f ca="1">+TODAY()-I504</f>
        <v>19</v>
      </c>
      <c r="H504" s="15">
        <v>41398</v>
      </c>
      <c r="I504" s="1">
        <v>46101</v>
      </c>
      <c r="J504" s="1">
        <v>46131</v>
      </c>
      <c r="K504" s="18" t="s">
        <v>1589</v>
      </c>
      <c r="L504" s="18" t="s">
        <v>984</v>
      </c>
      <c r="M504" s="18" t="s">
        <v>19</v>
      </c>
      <c r="N504" s="18" t="s">
        <v>1618</v>
      </c>
      <c r="O504">
        <v>30</v>
      </c>
    </row>
    <row r="505" spans="1:15" x14ac:dyDescent="0.25">
      <c r="A505" s="18" t="s">
        <v>7276</v>
      </c>
      <c r="B505" s="18" t="s">
        <v>1616</v>
      </c>
      <c r="C505" s="18" t="s">
        <v>1617</v>
      </c>
      <c r="D505" s="18" t="s">
        <v>1593</v>
      </c>
      <c r="E505" s="18" t="s">
        <v>6639</v>
      </c>
      <c r="F505" s="2">
        <f>+J505-I505</f>
        <v>30</v>
      </c>
      <c r="G505" s="2">
        <f ca="1">+TODAY()-I505</f>
        <v>15</v>
      </c>
      <c r="H505" s="15">
        <v>1</v>
      </c>
      <c r="I505" s="1">
        <v>46105</v>
      </c>
      <c r="J505" s="1">
        <v>46135</v>
      </c>
      <c r="K505" s="18" t="s">
        <v>1589</v>
      </c>
      <c r="L505" s="18" t="s">
        <v>984</v>
      </c>
      <c r="M505" s="18" t="s">
        <v>19</v>
      </c>
      <c r="N505" s="18" t="s">
        <v>1618</v>
      </c>
      <c r="O505">
        <v>30</v>
      </c>
    </row>
    <row r="506" spans="1:15" x14ac:dyDescent="0.25">
      <c r="A506" s="18" t="s">
        <v>7276</v>
      </c>
      <c r="B506" s="18" t="s">
        <v>1616</v>
      </c>
      <c r="C506" s="18" t="s">
        <v>1617</v>
      </c>
      <c r="D506" s="18" t="s">
        <v>1593</v>
      </c>
      <c r="E506" s="18" t="s">
        <v>6640</v>
      </c>
      <c r="F506" s="2">
        <f>+J506-I506</f>
        <v>30</v>
      </c>
      <c r="G506" s="2">
        <f ca="1">+TODAY()-I506</f>
        <v>15</v>
      </c>
      <c r="H506" s="15">
        <v>4933600</v>
      </c>
      <c r="I506" s="1">
        <v>46105</v>
      </c>
      <c r="J506" s="1">
        <v>46135</v>
      </c>
      <c r="K506" s="18" t="s">
        <v>1589</v>
      </c>
      <c r="L506" s="18" t="s">
        <v>984</v>
      </c>
      <c r="M506" s="18" t="s">
        <v>19</v>
      </c>
      <c r="N506" s="18" t="s">
        <v>1618</v>
      </c>
      <c r="O506">
        <v>30</v>
      </c>
    </row>
    <row r="507" spans="1:15" x14ac:dyDescent="0.25">
      <c r="A507" s="18" t="s">
        <v>7276</v>
      </c>
      <c r="B507" s="18" t="s">
        <v>1616</v>
      </c>
      <c r="C507" s="18" t="s">
        <v>1617</v>
      </c>
      <c r="D507" s="18" t="s">
        <v>1593</v>
      </c>
      <c r="E507" s="18" t="s">
        <v>6641</v>
      </c>
      <c r="F507" s="2">
        <f>+J507-I507</f>
        <v>30</v>
      </c>
      <c r="G507" s="2">
        <f ca="1">+TODAY()-I507</f>
        <v>15</v>
      </c>
      <c r="H507" s="15">
        <v>624418</v>
      </c>
      <c r="I507" s="1">
        <v>46105</v>
      </c>
      <c r="J507" s="1">
        <v>46135</v>
      </c>
      <c r="K507" s="18" t="s">
        <v>1589</v>
      </c>
      <c r="L507" s="18" t="s">
        <v>984</v>
      </c>
      <c r="M507" s="18" t="s">
        <v>19</v>
      </c>
      <c r="N507" s="18" t="s">
        <v>1618</v>
      </c>
      <c r="O507">
        <v>30</v>
      </c>
    </row>
    <row r="508" spans="1:15" x14ac:dyDescent="0.25">
      <c r="A508" s="18" t="s">
        <v>7276</v>
      </c>
      <c r="B508" s="18" t="s">
        <v>1616</v>
      </c>
      <c r="C508" s="18" t="s">
        <v>1617</v>
      </c>
      <c r="D508" s="18" t="s">
        <v>1593</v>
      </c>
      <c r="E508" s="18" t="s">
        <v>7597</v>
      </c>
      <c r="F508" s="2">
        <f>+J508-I508</f>
        <v>30</v>
      </c>
      <c r="G508" s="2">
        <f ca="1">+TODAY()-I508</f>
        <v>2</v>
      </c>
      <c r="H508" s="15">
        <v>1</v>
      </c>
      <c r="I508" s="1">
        <v>46118</v>
      </c>
      <c r="J508" s="1">
        <v>46148</v>
      </c>
      <c r="K508" s="18" t="s">
        <v>1589</v>
      </c>
      <c r="L508" s="18" t="s">
        <v>984</v>
      </c>
      <c r="M508" s="18" t="s">
        <v>19</v>
      </c>
      <c r="N508" s="18" t="s">
        <v>1618</v>
      </c>
      <c r="O508">
        <v>30</v>
      </c>
    </row>
    <row r="509" spans="1:15" x14ac:dyDescent="0.25">
      <c r="A509" s="18" t="s">
        <v>7276</v>
      </c>
      <c r="B509" s="18" t="s">
        <v>1616</v>
      </c>
      <c r="C509" s="18" t="s">
        <v>1617</v>
      </c>
      <c r="D509" s="18" t="s">
        <v>1593</v>
      </c>
      <c r="E509" s="18" t="s">
        <v>7598</v>
      </c>
      <c r="F509" s="2">
        <f>+J509-I509</f>
        <v>30</v>
      </c>
      <c r="G509" s="2">
        <f ca="1">+TODAY()-I509</f>
        <v>2</v>
      </c>
      <c r="H509" s="15">
        <v>4354960</v>
      </c>
      <c r="I509" s="1">
        <v>46118</v>
      </c>
      <c r="J509" s="1">
        <v>46148</v>
      </c>
      <c r="K509" s="18" t="s">
        <v>1589</v>
      </c>
      <c r="L509" s="18" t="s">
        <v>984</v>
      </c>
      <c r="M509" s="18" t="s">
        <v>19</v>
      </c>
      <c r="N509" s="18" t="s">
        <v>1618</v>
      </c>
      <c r="O509">
        <v>30</v>
      </c>
    </row>
    <row r="510" spans="1:15" x14ac:dyDescent="0.25">
      <c r="A510" s="18" t="s">
        <v>7276</v>
      </c>
      <c r="B510" s="18" t="s">
        <v>1616</v>
      </c>
      <c r="C510" s="18" t="s">
        <v>1617</v>
      </c>
      <c r="D510" s="18" t="s">
        <v>1593</v>
      </c>
      <c r="E510" s="18" t="s">
        <v>7599</v>
      </c>
      <c r="F510" s="2">
        <f>+J510-I510</f>
        <v>30</v>
      </c>
      <c r="G510" s="2">
        <f ca="1">+TODAY()-I510</f>
        <v>2</v>
      </c>
      <c r="H510" s="15">
        <v>219002</v>
      </c>
      <c r="I510" s="1">
        <v>46118</v>
      </c>
      <c r="J510" s="1">
        <v>46148</v>
      </c>
      <c r="K510" s="18" t="s">
        <v>1589</v>
      </c>
      <c r="L510" s="18" t="s">
        <v>984</v>
      </c>
      <c r="M510" s="18" t="s">
        <v>19</v>
      </c>
      <c r="N510" s="18" t="s">
        <v>1618</v>
      </c>
      <c r="O510">
        <v>30</v>
      </c>
    </row>
    <row r="511" spans="1:15" x14ac:dyDescent="0.25">
      <c r="A511" s="18" t="s">
        <v>7276</v>
      </c>
      <c r="B511" s="18" t="s">
        <v>1616</v>
      </c>
      <c r="C511" s="18" t="s">
        <v>1617</v>
      </c>
      <c r="D511" s="18" t="s">
        <v>1593</v>
      </c>
      <c r="E511" s="18" t="s">
        <v>7600</v>
      </c>
      <c r="F511" s="2">
        <f>+J511-I511</f>
        <v>30</v>
      </c>
      <c r="G511" s="2">
        <f ca="1">+TODAY()-I511</f>
        <v>2</v>
      </c>
      <c r="H511" s="15">
        <v>1917118</v>
      </c>
      <c r="I511" s="1">
        <v>46118</v>
      </c>
      <c r="J511" s="1">
        <v>46148</v>
      </c>
      <c r="K511" s="18" t="s">
        <v>1589</v>
      </c>
      <c r="L511" s="18" t="s">
        <v>984</v>
      </c>
      <c r="M511" s="18" t="s">
        <v>19</v>
      </c>
      <c r="N511" s="18" t="s">
        <v>1618</v>
      </c>
      <c r="O511">
        <v>30</v>
      </c>
    </row>
    <row r="512" spans="1:15" x14ac:dyDescent="0.25">
      <c r="A512" s="18" t="s">
        <v>7276</v>
      </c>
      <c r="B512" s="18" t="s">
        <v>1613</v>
      </c>
      <c r="C512" s="18" t="s">
        <v>1614</v>
      </c>
      <c r="D512" s="18" t="s">
        <v>1593</v>
      </c>
      <c r="E512" s="18" t="s">
        <v>5323</v>
      </c>
      <c r="F512" s="2">
        <f>+J512-I512</f>
        <v>30</v>
      </c>
      <c r="G512" s="2">
        <f ca="1">+TODAY()-I512</f>
        <v>43</v>
      </c>
      <c r="H512" s="15">
        <v>1681185</v>
      </c>
      <c r="I512" s="1">
        <v>46077</v>
      </c>
      <c r="J512" s="1">
        <v>46107</v>
      </c>
      <c r="K512" s="18" t="s">
        <v>1589</v>
      </c>
      <c r="L512" s="18" t="s">
        <v>984</v>
      </c>
      <c r="M512" s="18" t="s">
        <v>19</v>
      </c>
      <c r="N512" s="18" t="s">
        <v>1615</v>
      </c>
      <c r="O512">
        <v>30</v>
      </c>
    </row>
    <row r="513" spans="1:15" x14ac:dyDescent="0.25">
      <c r="A513" s="18" t="s">
        <v>7276</v>
      </c>
      <c r="B513" s="18" t="s">
        <v>1613</v>
      </c>
      <c r="C513" s="18" t="s">
        <v>1614</v>
      </c>
      <c r="D513" s="18" t="s">
        <v>1593</v>
      </c>
      <c r="E513" s="18" t="s">
        <v>5324</v>
      </c>
      <c r="F513" s="2">
        <f>+J513-I513</f>
        <v>30</v>
      </c>
      <c r="G513" s="2">
        <f ca="1">+TODAY()-I513</f>
        <v>43</v>
      </c>
      <c r="H513" s="15">
        <v>393345</v>
      </c>
      <c r="I513" s="1">
        <v>46077</v>
      </c>
      <c r="J513" s="1">
        <v>46107</v>
      </c>
      <c r="K513" s="18" t="s">
        <v>1589</v>
      </c>
      <c r="L513" s="18" t="s">
        <v>984</v>
      </c>
      <c r="M513" s="18" t="s">
        <v>19</v>
      </c>
      <c r="N513" s="18" t="s">
        <v>1615</v>
      </c>
      <c r="O513">
        <v>30</v>
      </c>
    </row>
    <row r="514" spans="1:15" x14ac:dyDescent="0.25">
      <c r="A514" s="18" t="s">
        <v>7276</v>
      </c>
      <c r="B514" s="18" t="s">
        <v>1613</v>
      </c>
      <c r="C514" s="18" t="s">
        <v>1614</v>
      </c>
      <c r="D514" s="18" t="s">
        <v>1593</v>
      </c>
      <c r="E514" s="18" t="s">
        <v>5325</v>
      </c>
      <c r="F514" s="2">
        <f>+J514-I514</f>
        <v>30</v>
      </c>
      <c r="G514" s="2">
        <f ca="1">+TODAY()-I514</f>
        <v>43</v>
      </c>
      <c r="H514" s="15">
        <v>1304800</v>
      </c>
      <c r="I514" s="1">
        <v>46077</v>
      </c>
      <c r="J514" s="1">
        <v>46107</v>
      </c>
      <c r="K514" s="18" t="s">
        <v>1589</v>
      </c>
      <c r="L514" s="18" t="s">
        <v>984</v>
      </c>
      <c r="M514" s="18" t="s">
        <v>19</v>
      </c>
      <c r="N514" s="18" t="s">
        <v>1615</v>
      </c>
      <c r="O514">
        <v>30</v>
      </c>
    </row>
    <row r="515" spans="1:15" x14ac:dyDescent="0.25">
      <c r="A515" s="18" t="s">
        <v>7276</v>
      </c>
      <c r="B515" s="18" t="s">
        <v>1613</v>
      </c>
      <c r="C515" s="18" t="s">
        <v>1614</v>
      </c>
      <c r="D515" s="18" t="s">
        <v>1593</v>
      </c>
      <c r="E515" s="18" t="s">
        <v>5822</v>
      </c>
      <c r="F515" s="2">
        <f>+J515-I515</f>
        <v>30</v>
      </c>
      <c r="G515" s="2">
        <f ca="1">+TODAY()-I515</f>
        <v>30</v>
      </c>
      <c r="H515" s="15">
        <v>3437800</v>
      </c>
      <c r="I515" s="1">
        <v>46090</v>
      </c>
      <c r="J515" s="1">
        <v>46120</v>
      </c>
      <c r="K515" s="18" t="s">
        <v>1589</v>
      </c>
      <c r="L515" s="18" t="s">
        <v>984</v>
      </c>
      <c r="M515" s="18" t="s">
        <v>19</v>
      </c>
      <c r="N515" s="18" t="s">
        <v>1615</v>
      </c>
      <c r="O515">
        <v>30</v>
      </c>
    </row>
    <row r="516" spans="1:15" x14ac:dyDescent="0.25">
      <c r="A516" s="18" t="s">
        <v>7276</v>
      </c>
      <c r="B516" s="18" t="s">
        <v>1613</v>
      </c>
      <c r="C516" s="18" t="s">
        <v>1614</v>
      </c>
      <c r="D516" s="18" t="s">
        <v>1593</v>
      </c>
      <c r="E516" s="18" t="s">
        <v>5823</v>
      </c>
      <c r="F516" s="2">
        <f>+J516-I516</f>
        <v>30</v>
      </c>
      <c r="G516" s="2">
        <f ca="1">+TODAY()-I516</f>
        <v>30</v>
      </c>
      <c r="H516" s="15">
        <v>802058</v>
      </c>
      <c r="I516" s="1">
        <v>46090</v>
      </c>
      <c r="J516" s="1">
        <v>46120</v>
      </c>
      <c r="K516" s="18" t="s">
        <v>1589</v>
      </c>
      <c r="L516" s="18" t="s">
        <v>984</v>
      </c>
      <c r="M516" s="18" t="s">
        <v>19</v>
      </c>
      <c r="N516" s="18" t="s">
        <v>1615</v>
      </c>
      <c r="O516">
        <v>30</v>
      </c>
    </row>
    <row r="517" spans="1:15" x14ac:dyDescent="0.25">
      <c r="A517" s="18" t="s">
        <v>7276</v>
      </c>
      <c r="B517" s="18" t="s">
        <v>1613</v>
      </c>
      <c r="C517" s="18" t="s">
        <v>1614</v>
      </c>
      <c r="D517" s="18" t="s">
        <v>1593</v>
      </c>
      <c r="E517" s="18" t="s">
        <v>6099</v>
      </c>
      <c r="F517" s="2">
        <f>+J517-I517</f>
        <v>30</v>
      </c>
      <c r="G517" s="2">
        <f ca="1">+TODAY()-I517</f>
        <v>22</v>
      </c>
      <c r="H517" s="15">
        <v>1380000</v>
      </c>
      <c r="I517" s="1">
        <v>46098</v>
      </c>
      <c r="J517" s="1">
        <v>46128</v>
      </c>
      <c r="K517" s="18" t="s">
        <v>1589</v>
      </c>
      <c r="L517" s="18" t="s">
        <v>984</v>
      </c>
      <c r="M517" s="18" t="s">
        <v>19</v>
      </c>
      <c r="N517" s="18" t="s">
        <v>1615</v>
      </c>
      <c r="O517">
        <v>30</v>
      </c>
    </row>
    <row r="518" spans="1:15" x14ac:dyDescent="0.25">
      <c r="A518" s="18" t="s">
        <v>7276</v>
      </c>
      <c r="B518" s="18" t="s">
        <v>1613</v>
      </c>
      <c r="C518" s="18" t="s">
        <v>1614</v>
      </c>
      <c r="D518" s="18" t="s">
        <v>1593</v>
      </c>
      <c r="E518" s="18" t="s">
        <v>6642</v>
      </c>
      <c r="F518" s="2">
        <f>+J518-I518</f>
        <v>30</v>
      </c>
      <c r="G518" s="2">
        <f ca="1">+TODAY()-I518</f>
        <v>15</v>
      </c>
      <c r="H518" s="15">
        <v>2370000</v>
      </c>
      <c r="I518" s="1">
        <v>46105</v>
      </c>
      <c r="J518" s="1">
        <v>46135</v>
      </c>
      <c r="K518" s="18" t="s">
        <v>1589</v>
      </c>
      <c r="L518" s="18" t="s">
        <v>984</v>
      </c>
      <c r="M518" s="18" t="s">
        <v>19</v>
      </c>
      <c r="N518" s="18" t="s">
        <v>1615</v>
      </c>
      <c r="O518">
        <v>30</v>
      </c>
    </row>
    <row r="519" spans="1:15" x14ac:dyDescent="0.25">
      <c r="A519" s="18" t="s">
        <v>7276</v>
      </c>
      <c r="B519" s="18" t="s">
        <v>1613</v>
      </c>
      <c r="C519" s="18" t="s">
        <v>1614</v>
      </c>
      <c r="D519" s="18" t="s">
        <v>1593</v>
      </c>
      <c r="E519" s="18" t="s">
        <v>7601</v>
      </c>
      <c r="F519" s="2">
        <f>+J519-I519</f>
        <v>30</v>
      </c>
      <c r="G519" s="2">
        <f ca="1">+TODAY()-I519</f>
        <v>2</v>
      </c>
      <c r="H519" s="15">
        <v>512705</v>
      </c>
      <c r="I519" s="1">
        <v>46118</v>
      </c>
      <c r="J519" s="1">
        <v>46148</v>
      </c>
      <c r="K519" s="18" t="s">
        <v>1589</v>
      </c>
      <c r="L519" s="18" t="s">
        <v>984</v>
      </c>
      <c r="M519" s="18" t="s">
        <v>19</v>
      </c>
      <c r="N519" s="18" t="s">
        <v>1615</v>
      </c>
      <c r="O519">
        <v>30</v>
      </c>
    </row>
    <row r="520" spans="1:15" x14ac:dyDescent="0.25">
      <c r="A520" s="18" t="s">
        <v>7276</v>
      </c>
      <c r="B520" s="18" t="s">
        <v>1613</v>
      </c>
      <c r="C520" s="18" t="s">
        <v>1614</v>
      </c>
      <c r="D520" s="18" t="s">
        <v>1593</v>
      </c>
      <c r="E520" s="18" t="s">
        <v>7602</v>
      </c>
      <c r="F520" s="2">
        <f>+J520-I520</f>
        <v>30</v>
      </c>
      <c r="G520" s="2">
        <f ca="1">+TODAY()-I520</f>
        <v>2</v>
      </c>
      <c r="H520" s="15">
        <v>2367000</v>
      </c>
      <c r="I520" s="1">
        <v>46118</v>
      </c>
      <c r="J520" s="1">
        <v>46148</v>
      </c>
      <c r="K520" s="18" t="s">
        <v>1589</v>
      </c>
      <c r="L520" s="18" t="s">
        <v>984</v>
      </c>
      <c r="M520" s="18" t="s">
        <v>19</v>
      </c>
      <c r="N520" s="18" t="s">
        <v>1615</v>
      </c>
      <c r="O520">
        <v>30</v>
      </c>
    </row>
    <row r="521" spans="1:15" x14ac:dyDescent="0.25">
      <c r="A521" s="18" t="s">
        <v>7276</v>
      </c>
      <c r="B521" s="18" t="s">
        <v>1152</v>
      </c>
      <c r="C521" s="18" t="s">
        <v>1153</v>
      </c>
      <c r="D521" s="18" t="s">
        <v>1118</v>
      </c>
      <c r="E521" s="18" t="s">
        <v>2250</v>
      </c>
      <c r="F521" s="2">
        <f>+J521-I521</f>
        <v>30</v>
      </c>
      <c r="G521" s="2">
        <f ca="1">+TODAY()-I521</f>
        <v>128</v>
      </c>
      <c r="H521" s="15">
        <v>92560</v>
      </c>
      <c r="I521" s="1">
        <v>45992</v>
      </c>
      <c r="J521" s="1">
        <v>46022</v>
      </c>
      <c r="K521" s="18" t="s">
        <v>1144</v>
      </c>
      <c r="L521" s="18" t="s">
        <v>207</v>
      </c>
      <c r="M521" s="18" t="s">
        <v>19</v>
      </c>
      <c r="N521" s="18" t="s">
        <v>1154</v>
      </c>
      <c r="O521">
        <v>30</v>
      </c>
    </row>
    <row r="522" spans="1:15" x14ac:dyDescent="0.25">
      <c r="A522" s="18" t="s">
        <v>7276</v>
      </c>
      <c r="B522" s="18" t="s">
        <v>1152</v>
      </c>
      <c r="C522" s="18" t="s">
        <v>1153</v>
      </c>
      <c r="D522" s="18" t="s">
        <v>1118</v>
      </c>
      <c r="E522" s="18" t="s">
        <v>5451</v>
      </c>
      <c r="F522" s="2">
        <f>+J522-I522</f>
        <v>30</v>
      </c>
      <c r="G522" s="2">
        <f ca="1">+TODAY()-I522</f>
        <v>37</v>
      </c>
      <c r="H522" s="15">
        <v>2459975</v>
      </c>
      <c r="I522" s="1">
        <v>46083</v>
      </c>
      <c r="J522" s="1">
        <v>46113</v>
      </c>
      <c r="K522" s="18" t="s">
        <v>1144</v>
      </c>
      <c r="L522" s="18" t="s">
        <v>207</v>
      </c>
      <c r="M522" s="18" t="s">
        <v>19</v>
      </c>
      <c r="N522" s="18" t="s">
        <v>1154</v>
      </c>
      <c r="O522">
        <v>30</v>
      </c>
    </row>
    <row r="523" spans="1:15" x14ac:dyDescent="0.25">
      <c r="A523" s="18" t="s">
        <v>7276</v>
      </c>
      <c r="B523" s="18" t="s">
        <v>1152</v>
      </c>
      <c r="C523" s="18" t="s">
        <v>1153</v>
      </c>
      <c r="D523" s="18" t="s">
        <v>1118</v>
      </c>
      <c r="E523" s="18" t="s">
        <v>5452</v>
      </c>
      <c r="F523" s="2">
        <f>+J523-I523</f>
        <v>30</v>
      </c>
      <c r="G523" s="2">
        <f ca="1">+TODAY()-I523</f>
        <v>37</v>
      </c>
      <c r="H523" s="15">
        <v>2113077</v>
      </c>
      <c r="I523" s="1">
        <v>46083</v>
      </c>
      <c r="J523" s="1">
        <v>46113</v>
      </c>
      <c r="K523" s="18" t="s">
        <v>1144</v>
      </c>
      <c r="L523" s="18" t="s">
        <v>207</v>
      </c>
      <c r="M523" s="18" t="s">
        <v>19</v>
      </c>
      <c r="N523" s="18" t="s">
        <v>1154</v>
      </c>
      <c r="O523">
        <v>30</v>
      </c>
    </row>
    <row r="524" spans="1:15" x14ac:dyDescent="0.25">
      <c r="A524" s="18" t="s">
        <v>7276</v>
      </c>
      <c r="B524" s="18" t="s">
        <v>1152</v>
      </c>
      <c r="C524" s="18" t="s">
        <v>1153</v>
      </c>
      <c r="D524" s="18" t="s">
        <v>1118</v>
      </c>
      <c r="E524" s="18" t="s">
        <v>5740</v>
      </c>
      <c r="F524" s="2">
        <f>+J524-I524</f>
        <v>30</v>
      </c>
      <c r="G524" s="2">
        <f ca="1">+TODAY()-I524</f>
        <v>30</v>
      </c>
      <c r="H524" s="15">
        <v>940922</v>
      </c>
      <c r="I524" s="1">
        <v>46090</v>
      </c>
      <c r="J524" s="1">
        <v>46120</v>
      </c>
      <c r="K524" s="18" t="s">
        <v>1144</v>
      </c>
      <c r="L524" s="18" t="s">
        <v>207</v>
      </c>
      <c r="M524" s="18" t="s">
        <v>19</v>
      </c>
      <c r="N524" s="18" t="s">
        <v>1154</v>
      </c>
      <c r="O524">
        <v>30</v>
      </c>
    </row>
    <row r="525" spans="1:15" x14ac:dyDescent="0.25">
      <c r="A525" s="18" t="s">
        <v>7276</v>
      </c>
      <c r="B525" s="18" t="s">
        <v>1152</v>
      </c>
      <c r="C525" s="18" t="s">
        <v>1153</v>
      </c>
      <c r="D525" s="18" t="s">
        <v>1118</v>
      </c>
      <c r="E525" s="18" t="s">
        <v>5997</v>
      </c>
      <c r="F525" s="2">
        <f>+J525-I525</f>
        <v>30</v>
      </c>
      <c r="G525" s="2">
        <f ca="1">+TODAY()-I525</f>
        <v>25</v>
      </c>
      <c r="H525" s="15">
        <v>1532716</v>
      </c>
      <c r="I525" s="1">
        <v>46095</v>
      </c>
      <c r="J525" s="1">
        <v>46125</v>
      </c>
      <c r="K525" s="18" t="s">
        <v>1144</v>
      </c>
      <c r="L525" s="18" t="s">
        <v>207</v>
      </c>
      <c r="M525" s="18" t="s">
        <v>19</v>
      </c>
      <c r="N525" s="18" t="s">
        <v>1154</v>
      </c>
      <c r="O525">
        <v>30</v>
      </c>
    </row>
    <row r="526" spans="1:15" x14ac:dyDescent="0.25">
      <c r="A526" s="18" t="s">
        <v>7276</v>
      </c>
      <c r="B526" s="18" t="s">
        <v>1152</v>
      </c>
      <c r="C526" s="18" t="s">
        <v>1153</v>
      </c>
      <c r="D526" s="18" t="s">
        <v>1118</v>
      </c>
      <c r="E526" s="18" t="s">
        <v>5998</v>
      </c>
      <c r="F526" s="2">
        <f>+J526-I526</f>
        <v>30</v>
      </c>
      <c r="G526" s="2">
        <f ca="1">+TODAY()-I526</f>
        <v>25</v>
      </c>
      <c r="H526" s="15">
        <v>3986724</v>
      </c>
      <c r="I526" s="1">
        <v>46095</v>
      </c>
      <c r="J526" s="1">
        <v>46125</v>
      </c>
      <c r="K526" s="18" t="s">
        <v>1144</v>
      </c>
      <c r="L526" s="18" t="s">
        <v>207</v>
      </c>
      <c r="M526" s="18" t="s">
        <v>19</v>
      </c>
      <c r="N526" s="18" t="s">
        <v>1154</v>
      </c>
      <c r="O526">
        <v>30</v>
      </c>
    </row>
    <row r="527" spans="1:15" x14ac:dyDescent="0.25">
      <c r="A527" s="18" t="s">
        <v>7276</v>
      </c>
      <c r="B527" s="18" t="s">
        <v>1152</v>
      </c>
      <c r="C527" s="18" t="s">
        <v>1153</v>
      </c>
      <c r="D527" s="18" t="s">
        <v>1118</v>
      </c>
      <c r="E527" s="18" t="s">
        <v>6273</v>
      </c>
      <c r="F527" s="2">
        <f>+J527-I527</f>
        <v>30</v>
      </c>
      <c r="G527" s="2">
        <f ca="1">+TODAY()-I527</f>
        <v>22</v>
      </c>
      <c r="H527" s="15">
        <v>364825</v>
      </c>
      <c r="I527" s="1">
        <v>46098</v>
      </c>
      <c r="J527" s="1">
        <v>46128</v>
      </c>
      <c r="K527" s="18" t="s">
        <v>1144</v>
      </c>
      <c r="L527" s="18" t="s">
        <v>207</v>
      </c>
      <c r="M527" s="18" t="s">
        <v>19</v>
      </c>
      <c r="N527" s="18" t="s">
        <v>1154</v>
      </c>
      <c r="O527">
        <v>30</v>
      </c>
    </row>
    <row r="528" spans="1:15" x14ac:dyDescent="0.25">
      <c r="A528" s="18" t="s">
        <v>7276</v>
      </c>
      <c r="B528" s="18" t="s">
        <v>1152</v>
      </c>
      <c r="C528" s="18" t="s">
        <v>1153</v>
      </c>
      <c r="D528" s="18" t="s">
        <v>1118</v>
      </c>
      <c r="E528" s="18" t="s">
        <v>7075</v>
      </c>
      <c r="F528" s="2">
        <f>+J528-I528</f>
        <v>30</v>
      </c>
      <c r="G528" s="2">
        <f ca="1">+TODAY()-I528</f>
        <v>9</v>
      </c>
      <c r="H528" s="15">
        <v>2882552</v>
      </c>
      <c r="I528" s="1">
        <v>46111</v>
      </c>
      <c r="J528" s="1">
        <v>46141</v>
      </c>
      <c r="K528" s="18" t="s">
        <v>1144</v>
      </c>
      <c r="L528" s="18" t="s">
        <v>207</v>
      </c>
      <c r="M528" s="18" t="s">
        <v>19</v>
      </c>
      <c r="N528" s="18" t="s">
        <v>1154</v>
      </c>
      <c r="O528">
        <v>30</v>
      </c>
    </row>
    <row r="529" spans="1:15" x14ac:dyDescent="0.25">
      <c r="A529" s="18" t="s">
        <v>7276</v>
      </c>
      <c r="B529" s="18" t="s">
        <v>1152</v>
      </c>
      <c r="C529" s="18" t="s">
        <v>1153</v>
      </c>
      <c r="D529" s="18" t="s">
        <v>1118</v>
      </c>
      <c r="E529" s="18" t="s">
        <v>7076</v>
      </c>
      <c r="F529" s="2">
        <f>+J529-I529</f>
        <v>30</v>
      </c>
      <c r="G529" s="2">
        <f ca="1">+TODAY()-I529</f>
        <v>9</v>
      </c>
      <c r="H529" s="15">
        <v>3584884</v>
      </c>
      <c r="I529" s="1">
        <v>46111</v>
      </c>
      <c r="J529" s="1">
        <v>46141</v>
      </c>
      <c r="K529" s="18" t="s">
        <v>1144</v>
      </c>
      <c r="L529" s="18" t="s">
        <v>207</v>
      </c>
      <c r="M529" s="18" t="s">
        <v>19</v>
      </c>
      <c r="N529" s="18" t="s">
        <v>1154</v>
      </c>
      <c r="O529">
        <v>30</v>
      </c>
    </row>
    <row r="530" spans="1:15" x14ac:dyDescent="0.25">
      <c r="A530" s="18" t="s">
        <v>7276</v>
      </c>
      <c r="B530" s="18" t="s">
        <v>1152</v>
      </c>
      <c r="C530" s="18" t="s">
        <v>1153</v>
      </c>
      <c r="D530" s="18" t="s">
        <v>1118</v>
      </c>
      <c r="E530" s="18" t="s">
        <v>7080</v>
      </c>
      <c r="F530" s="2">
        <f>+J530-I530</f>
        <v>30</v>
      </c>
      <c r="G530" s="2">
        <f ca="1">+TODAY()-I530</f>
        <v>9</v>
      </c>
      <c r="H530" s="15">
        <v>852563</v>
      </c>
      <c r="I530" s="1">
        <v>46111</v>
      </c>
      <c r="J530" s="1">
        <v>46141</v>
      </c>
      <c r="K530" s="18" t="s">
        <v>1144</v>
      </c>
      <c r="L530" s="18" t="s">
        <v>207</v>
      </c>
      <c r="M530" s="18" t="s">
        <v>19</v>
      </c>
      <c r="N530" s="18" t="s">
        <v>1154</v>
      </c>
      <c r="O530">
        <v>30</v>
      </c>
    </row>
    <row r="531" spans="1:15" x14ac:dyDescent="0.25">
      <c r="A531" s="18" t="s">
        <v>7276</v>
      </c>
      <c r="B531" s="18" t="s">
        <v>1152</v>
      </c>
      <c r="C531" s="18" t="s">
        <v>1153</v>
      </c>
      <c r="D531" s="18" t="s">
        <v>1118</v>
      </c>
      <c r="E531" s="18" t="s">
        <v>7557</v>
      </c>
      <c r="F531" s="2">
        <f>+J531-I531</f>
        <v>30</v>
      </c>
      <c r="G531" s="2">
        <f ca="1">+TODAY()-I531</f>
        <v>2</v>
      </c>
      <c r="H531" s="15">
        <v>1032044</v>
      </c>
      <c r="I531" s="1">
        <v>46118</v>
      </c>
      <c r="J531" s="1">
        <v>46148</v>
      </c>
      <c r="K531" s="18" t="s">
        <v>1144</v>
      </c>
      <c r="L531" s="18" t="s">
        <v>207</v>
      </c>
      <c r="M531" s="18" t="s">
        <v>19</v>
      </c>
      <c r="N531" s="18" t="s">
        <v>1154</v>
      </c>
      <c r="O531">
        <v>30</v>
      </c>
    </row>
    <row r="532" spans="1:15" x14ac:dyDescent="0.25">
      <c r="A532" s="18" t="s">
        <v>7276</v>
      </c>
      <c r="B532" s="18" t="s">
        <v>1152</v>
      </c>
      <c r="C532" s="18" t="s">
        <v>1153</v>
      </c>
      <c r="D532" s="18" t="s">
        <v>1118</v>
      </c>
      <c r="E532" s="18" t="s">
        <v>7558</v>
      </c>
      <c r="F532" s="2">
        <f>+J532-I532</f>
        <v>30</v>
      </c>
      <c r="G532" s="2">
        <f ca="1">+TODAY()-I532</f>
        <v>2</v>
      </c>
      <c r="H532" s="15">
        <v>4273073</v>
      </c>
      <c r="I532" s="1">
        <v>46118</v>
      </c>
      <c r="J532" s="1">
        <v>46148</v>
      </c>
      <c r="K532" s="18" t="s">
        <v>1144</v>
      </c>
      <c r="L532" s="18" t="s">
        <v>207</v>
      </c>
      <c r="M532" s="18" t="s">
        <v>19</v>
      </c>
      <c r="N532" s="18" t="s">
        <v>1154</v>
      </c>
      <c r="O532">
        <v>30</v>
      </c>
    </row>
    <row r="533" spans="1:15" x14ac:dyDescent="0.25">
      <c r="A533" s="18" t="s">
        <v>7276</v>
      </c>
      <c r="B533" s="18" t="s">
        <v>1152</v>
      </c>
      <c r="C533" s="18" t="s">
        <v>1153</v>
      </c>
      <c r="D533" s="18" t="s">
        <v>1118</v>
      </c>
      <c r="E533" s="18" t="s">
        <v>7563</v>
      </c>
      <c r="F533" s="2">
        <f>+J533-I533</f>
        <v>30</v>
      </c>
      <c r="G533" s="2">
        <f ca="1">+TODAY()-I533</f>
        <v>2</v>
      </c>
      <c r="H533" s="15">
        <v>549385</v>
      </c>
      <c r="I533" s="1">
        <v>46118</v>
      </c>
      <c r="J533" s="1">
        <v>46148</v>
      </c>
      <c r="K533" s="18" t="s">
        <v>1144</v>
      </c>
      <c r="L533" s="18" t="s">
        <v>207</v>
      </c>
      <c r="M533" s="18" t="s">
        <v>19</v>
      </c>
      <c r="N533" s="18" t="s">
        <v>1154</v>
      </c>
      <c r="O533">
        <v>30</v>
      </c>
    </row>
    <row r="534" spans="1:15" x14ac:dyDescent="0.25">
      <c r="A534" s="18" t="s">
        <v>7276</v>
      </c>
      <c r="B534" s="18" t="s">
        <v>3126</v>
      </c>
      <c r="C534" s="18" t="s">
        <v>3127</v>
      </c>
      <c r="D534" s="18" t="s">
        <v>875</v>
      </c>
      <c r="E534" s="18" t="s">
        <v>3130</v>
      </c>
      <c r="F534" s="2">
        <f>+J534-I534</f>
        <v>30</v>
      </c>
      <c r="G534" s="2">
        <f ca="1">+TODAY()-I534</f>
        <v>90</v>
      </c>
      <c r="H534" s="15">
        <v>238378</v>
      </c>
      <c r="I534" s="1">
        <v>46030</v>
      </c>
      <c r="J534" s="1">
        <v>46060</v>
      </c>
      <c r="K534" s="18" t="s">
        <v>1403</v>
      </c>
      <c r="L534" s="18" t="s">
        <v>90</v>
      </c>
      <c r="M534" s="18" t="s">
        <v>19</v>
      </c>
      <c r="N534" s="18" t="s">
        <v>3129</v>
      </c>
      <c r="O534">
        <v>30</v>
      </c>
    </row>
    <row r="535" spans="1:15" x14ac:dyDescent="0.25">
      <c r="A535" s="18" t="s">
        <v>7276</v>
      </c>
      <c r="B535" s="18" t="s">
        <v>3126</v>
      </c>
      <c r="C535" s="18" t="s">
        <v>3127</v>
      </c>
      <c r="D535" s="18" t="s">
        <v>875</v>
      </c>
      <c r="E535" s="18" t="s">
        <v>5130</v>
      </c>
      <c r="F535" s="2">
        <f>+J535-I535</f>
        <v>30</v>
      </c>
      <c r="G535" s="2">
        <f ca="1">+TODAY()-I535</f>
        <v>47</v>
      </c>
      <c r="H535" s="15">
        <v>5376429</v>
      </c>
      <c r="I535" s="1">
        <v>46073</v>
      </c>
      <c r="J535" s="1">
        <v>46103</v>
      </c>
      <c r="K535" s="18" t="s">
        <v>1403</v>
      </c>
      <c r="L535" s="18" t="s">
        <v>90</v>
      </c>
      <c r="M535" s="18" t="s">
        <v>19</v>
      </c>
      <c r="N535" s="18" t="s">
        <v>3129</v>
      </c>
      <c r="O535">
        <v>30</v>
      </c>
    </row>
    <row r="536" spans="1:15" x14ac:dyDescent="0.25">
      <c r="A536" s="18" t="s">
        <v>7276</v>
      </c>
      <c r="B536" s="18" t="s">
        <v>3126</v>
      </c>
      <c r="C536" s="18" t="s">
        <v>3127</v>
      </c>
      <c r="D536" s="18" t="s">
        <v>875</v>
      </c>
      <c r="E536" s="18" t="s">
        <v>5131</v>
      </c>
      <c r="F536" s="2">
        <f>+J536-I536</f>
        <v>30</v>
      </c>
      <c r="G536" s="2">
        <f ca="1">+TODAY()-I536</f>
        <v>47</v>
      </c>
      <c r="H536" s="15">
        <v>19256331</v>
      </c>
      <c r="I536" s="1">
        <v>46073</v>
      </c>
      <c r="J536" s="1">
        <v>46103</v>
      </c>
      <c r="K536" s="18" t="s">
        <v>1403</v>
      </c>
      <c r="L536" s="18" t="s">
        <v>90</v>
      </c>
      <c r="M536" s="18" t="s">
        <v>19</v>
      </c>
      <c r="N536" s="18" t="s">
        <v>3129</v>
      </c>
      <c r="O536">
        <v>30</v>
      </c>
    </row>
    <row r="537" spans="1:15" x14ac:dyDescent="0.25">
      <c r="A537" s="18" t="s">
        <v>7276</v>
      </c>
      <c r="B537" s="18" t="s">
        <v>3126</v>
      </c>
      <c r="C537" s="18" t="s">
        <v>3127</v>
      </c>
      <c r="D537" s="18" t="s">
        <v>875</v>
      </c>
      <c r="E537" s="18" t="s">
        <v>5132</v>
      </c>
      <c r="F537" s="2">
        <f>+J537-I537</f>
        <v>30</v>
      </c>
      <c r="G537" s="2">
        <f ca="1">+TODAY()-I537</f>
        <v>47</v>
      </c>
      <c r="H537" s="15">
        <v>4147518</v>
      </c>
      <c r="I537" s="1">
        <v>46073</v>
      </c>
      <c r="J537" s="1">
        <v>46103</v>
      </c>
      <c r="K537" s="18" t="s">
        <v>1403</v>
      </c>
      <c r="L537" s="18" t="s">
        <v>117</v>
      </c>
      <c r="M537" s="18" t="s">
        <v>19</v>
      </c>
      <c r="N537" s="18" t="s">
        <v>3129</v>
      </c>
      <c r="O537">
        <v>30</v>
      </c>
    </row>
    <row r="538" spans="1:15" x14ac:dyDescent="0.25">
      <c r="A538" s="18" t="s">
        <v>7276</v>
      </c>
      <c r="B538" s="18" t="s">
        <v>3126</v>
      </c>
      <c r="C538" s="18" t="s">
        <v>3127</v>
      </c>
      <c r="D538" s="18" t="s">
        <v>875</v>
      </c>
      <c r="E538" s="18" t="s">
        <v>5133</v>
      </c>
      <c r="F538" s="2">
        <f>+J538-I538</f>
        <v>30</v>
      </c>
      <c r="G538" s="2">
        <f ca="1">+TODAY()-I538</f>
        <v>47</v>
      </c>
      <c r="H538" s="15">
        <v>1332000</v>
      </c>
      <c r="I538" s="1">
        <v>46073</v>
      </c>
      <c r="J538" s="1">
        <v>46103</v>
      </c>
      <c r="K538" s="18" t="s">
        <v>1403</v>
      </c>
      <c r="L538" s="18" t="s">
        <v>117</v>
      </c>
      <c r="M538" s="18" t="s">
        <v>19</v>
      </c>
      <c r="N538" s="18" t="s">
        <v>3129</v>
      </c>
      <c r="O538">
        <v>30</v>
      </c>
    </row>
    <row r="539" spans="1:15" x14ac:dyDescent="0.25">
      <c r="A539" s="18" t="s">
        <v>7276</v>
      </c>
      <c r="B539" s="18" t="s">
        <v>3126</v>
      </c>
      <c r="C539" s="18" t="s">
        <v>3127</v>
      </c>
      <c r="D539" s="18" t="s">
        <v>875</v>
      </c>
      <c r="E539" s="18" t="s">
        <v>5564</v>
      </c>
      <c r="F539" s="2">
        <f>+J539-I539</f>
        <v>30</v>
      </c>
      <c r="G539" s="2">
        <f ca="1">+TODAY()-I539</f>
        <v>34</v>
      </c>
      <c r="H539" s="15">
        <v>1257012</v>
      </c>
      <c r="I539" s="1">
        <v>46086</v>
      </c>
      <c r="J539" s="1">
        <v>46116</v>
      </c>
      <c r="K539" s="18" t="s">
        <v>1403</v>
      </c>
      <c r="L539" s="18" t="s">
        <v>90</v>
      </c>
      <c r="M539" s="18" t="s">
        <v>19</v>
      </c>
      <c r="N539" s="18" t="s">
        <v>3129</v>
      </c>
      <c r="O539">
        <v>30</v>
      </c>
    </row>
    <row r="540" spans="1:15" x14ac:dyDescent="0.25">
      <c r="A540" s="18" t="s">
        <v>7276</v>
      </c>
      <c r="B540" s="18" t="s">
        <v>3126</v>
      </c>
      <c r="C540" s="18" t="s">
        <v>3127</v>
      </c>
      <c r="D540" s="18" t="s">
        <v>875</v>
      </c>
      <c r="E540" s="18" t="s">
        <v>5565</v>
      </c>
      <c r="F540" s="2">
        <f>+J540-I540</f>
        <v>30</v>
      </c>
      <c r="G540" s="2">
        <f ca="1">+TODAY()-I540</f>
        <v>34</v>
      </c>
      <c r="H540" s="15">
        <v>6169588</v>
      </c>
      <c r="I540" s="1">
        <v>46086</v>
      </c>
      <c r="J540" s="1">
        <v>46116</v>
      </c>
      <c r="K540" s="18" t="s">
        <v>1403</v>
      </c>
      <c r="L540" s="18" t="s">
        <v>90</v>
      </c>
      <c r="M540" s="18" t="s">
        <v>19</v>
      </c>
      <c r="N540" s="18" t="s">
        <v>3129</v>
      </c>
      <c r="O540">
        <v>30</v>
      </c>
    </row>
    <row r="541" spans="1:15" x14ac:dyDescent="0.25">
      <c r="A541" s="18" t="s">
        <v>7276</v>
      </c>
      <c r="B541" s="18" t="s">
        <v>3126</v>
      </c>
      <c r="C541" s="18" t="s">
        <v>3127</v>
      </c>
      <c r="D541" s="18" t="s">
        <v>875</v>
      </c>
      <c r="E541" s="18" t="s">
        <v>6322</v>
      </c>
      <c r="F541" s="2">
        <f>+J541-I541</f>
        <v>30</v>
      </c>
      <c r="G541" s="2">
        <f ca="1">+TODAY()-I541</f>
        <v>19</v>
      </c>
      <c r="H541" s="15">
        <v>1</v>
      </c>
      <c r="I541" s="1">
        <v>46101</v>
      </c>
      <c r="J541" s="1">
        <v>46131</v>
      </c>
      <c r="K541" s="18" t="s">
        <v>1403</v>
      </c>
      <c r="L541" s="18" t="s">
        <v>90</v>
      </c>
      <c r="M541" s="18" t="s">
        <v>19</v>
      </c>
      <c r="N541" s="18" t="s">
        <v>3129</v>
      </c>
      <c r="O541">
        <v>30</v>
      </c>
    </row>
    <row r="542" spans="1:15" x14ac:dyDescent="0.25">
      <c r="A542" s="18" t="s">
        <v>7276</v>
      </c>
      <c r="B542" s="18" t="s">
        <v>3126</v>
      </c>
      <c r="C542" s="18" t="s">
        <v>3127</v>
      </c>
      <c r="D542" s="18" t="s">
        <v>875</v>
      </c>
      <c r="E542" s="18" t="s">
        <v>6323</v>
      </c>
      <c r="F542" s="2">
        <f>+J542-I542</f>
        <v>30</v>
      </c>
      <c r="G542" s="2">
        <f ca="1">+TODAY()-I542</f>
        <v>19</v>
      </c>
      <c r="H542" s="15">
        <v>5132794</v>
      </c>
      <c r="I542" s="1">
        <v>46101</v>
      </c>
      <c r="J542" s="1">
        <v>46131</v>
      </c>
      <c r="K542" s="18" t="s">
        <v>1403</v>
      </c>
      <c r="L542" s="18" t="s">
        <v>90</v>
      </c>
      <c r="M542" s="18" t="s">
        <v>19</v>
      </c>
      <c r="N542" s="18" t="s">
        <v>3129</v>
      </c>
      <c r="O542">
        <v>30</v>
      </c>
    </row>
    <row r="543" spans="1:15" x14ac:dyDescent="0.25">
      <c r="A543" s="18" t="s">
        <v>7276</v>
      </c>
      <c r="B543" s="18" t="s">
        <v>3126</v>
      </c>
      <c r="C543" s="18" t="s">
        <v>3127</v>
      </c>
      <c r="D543" s="18" t="s">
        <v>875</v>
      </c>
      <c r="E543" s="18" t="s">
        <v>6337</v>
      </c>
      <c r="F543" s="2">
        <f>+J543-I543</f>
        <v>30</v>
      </c>
      <c r="G543" s="2">
        <f ca="1">+TODAY()-I543</f>
        <v>19</v>
      </c>
      <c r="H543" s="15">
        <v>2800753</v>
      </c>
      <c r="I543" s="1">
        <v>46101</v>
      </c>
      <c r="J543" s="1">
        <v>46131</v>
      </c>
      <c r="K543" s="18" t="s">
        <v>1403</v>
      </c>
      <c r="L543" s="18" t="s">
        <v>90</v>
      </c>
      <c r="M543" s="18" t="s">
        <v>19</v>
      </c>
      <c r="N543" s="18" t="s">
        <v>3129</v>
      </c>
      <c r="O543">
        <v>30</v>
      </c>
    </row>
    <row r="544" spans="1:15" x14ac:dyDescent="0.25">
      <c r="A544" s="18" t="s">
        <v>7276</v>
      </c>
      <c r="B544" s="18" t="s">
        <v>3126</v>
      </c>
      <c r="C544" s="18" t="s">
        <v>3127</v>
      </c>
      <c r="D544" s="18" t="s">
        <v>875</v>
      </c>
      <c r="E544" s="18" t="s">
        <v>6600</v>
      </c>
      <c r="F544" s="2">
        <f>+J544-I544</f>
        <v>30</v>
      </c>
      <c r="G544" s="2">
        <f ca="1">+TODAY()-I544</f>
        <v>15</v>
      </c>
      <c r="H544" s="15">
        <v>4392642</v>
      </c>
      <c r="I544" s="1">
        <v>46105</v>
      </c>
      <c r="J544" s="1">
        <v>46135</v>
      </c>
      <c r="K544" s="18" t="s">
        <v>1403</v>
      </c>
      <c r="L544" s="18" t="s">
        <v>117</v>
      </c>
      <c r="M544" s="18" t="s">
        <v>19</v>
      </c>
      <c r="N544" s="18" t="s">
        <v>3129</v>
      </c>
      <c r="O544">
        <v>30</v>
      </c>
    </row>
    <row r="545" spans="1:15" x14ac:dyDescent="0.25">
      <c r="A545" s="18" t="s">
        <v>7276</v>
      </c>
      <c r="B545" s="18" t="s">
        <v>3126</v>
      </c>
      <c r="C545" s="18" t="s">
        <v>3127</v>
      </c>
      <c r="D545" s="18" t="s">
        <v>875</v>
      </c>
      <c r="E545" s="18" t="s">
        <v>6602</v>
      </c>
      <c r="F545" s="2">
        <f>+J545-I545</f>
        <v>30</v>
      </c>
      <c r="G545" s="2">
        <f ca="1">+TODAY()-I545</f>
        <v>15</v>
      </c>
      <c r="H545" s="15">
        <v>4425000</v>
      </c>
      <c r="I545" s="1">
        <v>46105</v>
      </c>
      <c r="J545" s="1">
        <v>46135</v>
      </c>
      <c r="K545" s="18" t="s">
        <v>1403</v>
      </c>
      <c r="L545" s="18" t="s">
        <v>117</v>
      </c>
      <c r="M545" s="18" t="s">
        <v>19</v>
      </c>
      <c r="N545" s="18" t="s">
        <v>3129</v>
      </c>
      <c r="O545">
        <v>30</v>
      </c>
    </row>
    <row r="546" spans="1:15" x14ac:dyDescent="0.25">
      <c r="A546" s="18" t="s">
        <v>7276</v>
      </c>
      <c r="B546" s="18" t="s">
        <v>1139</v>
      </c>
      <c r="C546" s="18" t="s">
        <v>1140</v>
      </c>
      <c r="D546" s="18" t="s">
        <v>1066</v>
      </c>
      <c r="E546" s="18" t="s">
        <v>5986</v>
      </c>
      <c r="F546" s="2">
        <f>+J546-I546</f>
        <v>15</v>
      </c>
      <c r="G546" s="2">
        <f ca="1">+TODAY()-I546</f>
        <v>26</v>
      </c>
      <c r="H546" s="15">
        <v>4439584</v>
      </c>
      <c r="I546" s="1">
        <v>46094</v>
      </c>
      <c r="J546" s="1">
        <v>46109</v>
      </c>
      <c r="K546" s="18" t="s">
        <v>1068</v>
      </c>
      <c r="L546" s="18" t="s">
        <v>321</v>
      </c>
      <c r="M546" s="18" t="s">
        <v>19</v>
      </c>
      <c r="N546" s="18" t="s">
        <v>1141</v>
      </c>
      <c r="O546">
        <v>15</v>
      </c>
    </row>
    <row r="547" spans="1:15" x14ac:dyDescent="0.25">
      <c r="A547" s="18" t="s">
        <v>7276</v>
      </c>
      <c r="B547" s="18" t="s">
        <v>1139</v>
      </c>
      <c r="C547" s="18" t="s">
        <v>1140</v>
      </c>
      <c r="D547" s="18" t="s">
        <v>1066</v>
      </c>
      <c r="E547" s="18" t="s">
        <v>5987</v>
      </c>
      <c r="F547" s="2">
        <f>+J547-I547</f>
        <v>15</v>
      </c>
      <c r="G547" s="2">
        <f ca="1">+TODAY()-I547</f>
        <v>26</v>
      </c>
      <c r="H547" s="15">
        <v>935971</v>
      </c>
      <c r="I547" s="1">
        <v>46094</v>
      </c>
      <c r="J547" s="1">
        <v>46109</v>
      </c>
      <c r="K547" s="18" t="s">
        <v>1068</v>
      </c>
      <c r="L547" s="18" t="s">
        <v>321</v>
      </c>
      <c r="M547" s="18" t="s">
        <v>19</v>
      </c>
      <c r="N547" s="18" t="s">
        <v>1141</v>
      </c>
      <c r="O547">
        <v>15</v>
      </c>
    </row>
    <row r="548" spans="1:15" x14ac:dyDescent="0.25">
      <c r="A548" s="18" t="s">
        <v>7276</v>
      </c>
      <c r="B548" s="18" t="s">
        <v>2197</v>
      </c>
      <c r="C548" s="18" t="s">
        <v>2198</v>
      </c>
      <c r="D548" s="18" t="s">
        <v>15</v>
      </c>
      <c r="E548" s="18" t="s">
        <v>5380</v>
      </c>
      <c r="F548" s="2">
        <f>+J548-I548</f>
        <v>30</v>
      </c>
      <c r="G548" s="2">
        <f ca="1">+TODAY()-I548</f>
        <v>36</v>
      </c>
      <c r="H548" s="15">
        <v>173402</v>
      </c>
      <c r="I548" s="1">
        <v>46084</v>
      </c>
      <c r="J548" s="1">
        <v>46114</v>
      </c>
      <c r="K548" s="18" t="s">
        <v>17</v>
      </c>
      <c r="L548" s="18" t="s">
        <v>32</v>
      </c>
      <c r="M548" s="18" t="s">
        <v>19</v>
      </c>
      <c r="N548" s="18" t="s">
        <v>2199</v>
      </c>
      <c r="O548">
        <v>30</v>
      </c>
    </row>
    <row r="549" spans="1:15" x14ac:dyDescent="0.25">
      <c r="A549" s="18" t="s">
        <v>7276</v>
      </c>
      <c r="B549" s="18" t="s">
        <v>2197</v>
      </c>
      <c r="C549" s="18" t="s">
        <v>2198</v>
      </c>
      <c r="D549" s="18" t="s">
        <v>15</v>
      </c>
      <c r="E549" s="18" t="s">
        <v>6178</v>
      </c>
      <c r="F549" s="2">
        <f>+J549-I549</f>
        <v>30</v>
      </c>
      <c r="G549" s="2">
        <f ca="1">+TODAY()-I549</f>
        <v>20</v>
      </c>
      <c r="H549" s="15">
        <v>157102</v>
      </c>
      <c r="I549" s="1">
        <v>46100</v>
      </c>
      <c r="J549" s="1">
        <v>46130</v>
      </c>
      <c r="K549" s="18" t="s">
        <v>17</v>
      </c>
      <c r="L549" s="18" t="s">
        <v>32</v>
      </c>
      <c r="M549" s="18" t="s">
        <v>19</v>
      </c>
      <c r="N549" s="18" t="s">
        <v>2199</v>
      </c>
      <c r="O549">
        <v>30</v>
      </c>
    </row>
    <row r="550" spans="1:15" x14ac:dyDescent="0.25">
      <c r="A550" s="18" t="s">
        <v>7276</v>
      </c>
      <c r="B550" s="18" t="s">
        <v>4278</v>
      </c>
      <c r="C550" s="18" t="s">
        <v>4279</v>
      </c>
      <c r="D550" s="18" t="s">
        <v>46</v>
      </c>
      <c r="E550" s="18" t="s">
        <v>7662</v>
      </c>
      <c r="F550" s="2">
        <f>+J550-I550</f>
        <v>1</v>
      </c>
      <c r="G550" s="2">
        <f ca="1">+TODAY()-I550</f>
        <v>1</v>
      </c>
      <c r="H550" s="15">
        <v>5200</v>
      </c>
      <c r="I550" s="1">
        <v>46119</v>
      </c>
      <c r="J550" s="1">
        <v>46120</v>
      </c>
      <c r="K550" s="18" t="s">
        <v>17</v>
      </c>
      <c r="L550" s="18" t="s">
        <v>28</v>
      </c>
      <c r="M550" s="18" t="s">
        <v>19</v>
      </c>
      <c r="N550" s="18" t="s">
        <v>4281</v>
      </c>
      <c r="O550">
        <v>30</v>
      </c>
    </row>
    <row r="551" spans="1:15" x14ac:dyDescent="0.25">
      <c r="A551" s="18" t="s">
        <v>7276</v>
      </c>
      <c r="B551" s="18" t="s">
        <v>7434</v>
      </c>
      <c r="C551" s="18" t="s">
        <v>7435</v>
      </c>
      <c r="D551" s="18" t="s">
        <v>15</v>
      </c>
      <c r="E551" s="18" t="s">
        <v>7436</v>
      </c>
      <c r="F551" s="2">
        <f>+J551-I551</f>
        <v>30</v>
      </c>
      <c r="G551" s="2">
        <f ca="1">+TODAY()-I551</f>
        <v>2</v>
      </c>
      <c r="H551" s="15">
        <v>191202</v>
      </c>
      <c r="I551" s="1">
        <v>46118</v>
      </c>
      <c r="J551" s="1">
        <v>46148</v>
      </c>
      <c r="K551" s="18" t="s">
        <v>17</v>
      </c>
      <c r="L551" s="18" t="s">
        <v>109</v>
      </c>
      <c r="M551" s="18" t="s">
        <v>19</v>
      </c>
      <c r="N551" s="18" t="s">
        <v>7437</v>
      </c>
      <c r="O551">
        <v>30</v>
      </c>
    </row>
    <row r="552" spans="1:15" x14ac:dyDescent="0.25">
      <c r="A552" s="18" t="s">
        <v>7276</v>
      </c>
      <c r="B552" s="18" t="s">
        <v>1610</v>
      </c>
      <c r="C552" s="18" t="s">
        <v>1611</v>
      </c>
      <c r="D552" s="18" t="s">
        <v>1593</v>
      </c>
      <c r="E552" s="18" t="s">
        <v>2494</v>
      </c>
      <c r="F552" s="2">
        <f>+J552-I552</f>
        <v>30</v>
      </c>
      <c r="G552" s="2">
        <f ca="1">+TODAY()-I552</f>
        <v>112</v>
      </c>
      <c r="H552" s="15">
        <v>12600</v>
      </c>
      <c r="I552" s="1">
        <v>46008</v>
      </c>
      <c r="J552" s="1">
        <v>46038</v>
      </c>
      <c r="K552" s="18" t="s">
        <v>1589</v>
      </c>
      <c r="L552" s="18" t="s">
        <v>984</v>
      </c>
      <c r="M552" s="18" t="s">
        <v>19</v>
      </c>
      <c r="N552" s="18" t="s">
        <v>1612</v>
      </c>
      <c r="O552">
        <v>30</v>
      </c>
    </row>
    <row r="553" spans="1:15" x14ac:dyDescent="0.25">
      <c r="A553" s="18" t="s">
        <v>7276</v>
      </c>
      <c r="B553" s="18" t="s">
        <v>1610</v>
      </c>
      <c r="C553" s="18" t="s">
        <v>1611</v>
      </c>
      <c r="D553" s="18" t="s">
        <v>1593</v>
      </c>
      <c r="E553" s="18" t="s">
        <v>4985</v>
      </c>
      <c r="F553" s="2">
        <f>+J553-I553</f>
        <v>30</v>
      </c>
      <c r="G553" s="2">
        <f ca="1">+TODAY()-I553</f>
        <v>69</v>
      </c>
      <c r="H553" s="15">
        <v>428000</v>
      </c>
      <c r="I553" s="1">
        <v>46051</v>
      </c>
      <c r="J553" s="1">
        <v>46081</v>
      </c>
      <c r="K553" s="18" t="s">
        <v>1589</v>
      </c>
      <c r="L553" s="18" t="s">
        <v>984</v>
      </c>
      <c r="M553" s="18" t="s">
        <v>19</v>
      </c>
      <c r="N553" s="18" t="s">
        <v>1612</v>
      </c>
      <c r="O553">
        <v>30</v>
      </c>
    </row>
    <row r="554" spans="1:15" x14ac:dyDescent="0.25">
      <c r="A554" s="18" t="s">
        <v>7276</v>
      </c>
      <c r="B554" s="18" t="s">
        <v>1610</v>
      </c>
      <c r="C554" s="18" t="s">
        <v>1611</v>
      </c>
      <c r="D554" s="18" t="s">
        <v>1593</v>
      </c>
      <c r="E554" s="18" t="s">
        <v>4986</v>
      </c>
      <c r="F554" s="2">
        <f>+J554-I554</f>
        <v>30</v>
      </c>
      <c r="G554" s="2">
        <f ca="1">+TODAY()-I554</f>
        <v>69</v>
      </c>
      <c r="H554" s="15">
        <v>115740</v>
      </c>
      <c r="I554" s="1">
        <v>46051</v>
      </c>
      <c r="J554" s="1">
        <v>46081</v>
      </c>
      <c r="K554" s="18" t="s">
        <v>1589</v>
      </c>
      <c r="L554" s="18" t="s">
        <v>984</v>
      </c>
      <c r="M554" s="18" t="s">
        <v>19</v>
      </c>
      <c r="N554" s="18" t="s">
        <v>1612</v>
      </c>
      <c r="O554">
        <v>30</v>
      </c>
    </row>
    <row r="555" spans="1:15" x14ac:dyDescent="0.25">
      <c r="A555" s="18" t="s">
        <v>7276</v>
      </c>
      <c r="B555" s="18" t="s">
        <v>1610</v>
      </c>
      <c r="C555" s="18" t="s">
        <v>1611</v>
      </c>
      <c r="D555" s="18" t="s">
        <v>1593</v>
      </c>
      <c r="E555" s="18" t="s">
        <v>5343</v>
      </c>
      <c r="F555" s="2">
        <f>+J555-I555</f>
        <v>30</v>
      </c>
      <c r="G555" s="2">
        <f ca="1">+TODAY()-I555</f>
        <v>40</v>
      </c>
      <c r="H555" s="15">
        <v>616900</v>
      </c>
      <c r="I555" s="1">
        <v>46080</v>
      </c>
      <c r="J555" s="1">
        <v>46110</v>
      </c>
      <c r="K555" s="18" t="s">
        <v>1589</v>
      </c>
      <c r="L555" s="18" t="s">
        <v>984</v>
      </c>
      <c r="M555" s="18" t="s">
        <v>19</v>
      </c>
      <c r="N555" s="18" t="s">
        <v>1612</v>
      </c>
      <c r="O555">
        <v>30</v>
      </c>
    </row>
    <row r="556" spans="1:15" x14ac:dyDescent="0.25">
      <c r="A556" s="18" t="s">
        <v>7276</v>
      </c>
      <c r="B556" s="18" t="s">
        <v>863</v>
      </c>
      <c r="C556" s="18" t="s">
        <v>864</v>
      </c>
      <c r="D556" s="18" t="s">
        <v>854</v>
      </c>
      <c r="E556" s="18" t="s">
        <v>5092</v>
      </c>
      <c r="F556" s="2">
        <f>+J556-I556</f>
        <v>30</v>
      </c>
      <c r="G556" s="2">
        <f ca="1">+TODAY()-I556</f>
        <v>53</v>
      </c>
      <c r="H556" s="15">
        <v>1095039</v>
      </c>
      <c r="I556" s="1">
        <v>46067</v>
      </c>
      <c r="J556" s="1">
        <v>46097</v>
      </c>
      <c r="K556" s="18" t="s">
        <v>845</v>
      </c>
      <c r="L556" s="18" t="s">
        <v>18</v>
      </c>
      <c r="M556" s="18" t="s">
        <v>19</v>
      </c>
      <c r="N556" s="18" t="s">
        <v>865</v>
      </c>
      <c r="O556">
        <v>30</v>
      </c>
    </row>
    <row r="557" spans="1:15" x14ac:dyDescent="0.25">
      <c r="A557" s="18" t="s">
        <v>7276</v>
      </c>
      <c r="B557" s="18" t="s">
        <v>863</v>
      </c>
      <c r="C557" s="18" t="s">
        <v>864</v>
      </c>
      <c r="D557" s="18" t="s">
        <v>854</v>
      </c>
      <c r="E557" s="18" t="s">
        <v>5942</v>
      </c>
      <c r="F557" s="2">
        <f>+J557-I557</f>
        <v>30</v>
      </c>
      <c r="G557" s="2">
        <f ca="1">+TODAY()-I557</f>
        <v>26</v>
      </c>
      <c r="H557" s="15">
        <v>547533</v>
      </c>
      <c r="I557" s="1">
        <v>46094</v>
      </c>
      <c r="J557" s="1">
        <v>46124</v>
      </c>
      <c r="K557" s="18" t="s">
        <v>845</v>
      </c>
      <c r="L557" s="18" t="s">
        <v>18</v>
      </c>
      <c r="M557" s="18" t="s">
        <v>19</v>
      </c>
      <c r="N557" s="18" t="s">
        <v>865</v>
      </c>
      <c r="O557">
        <v>30</v>
      </c>
    </row>
    <row r="558" spans="1:15" x14ac:dyDescent="0.25">
      <c r="A558" s="18" t="s">
        <v>7276</v>
      </c>
      <c r="B558" s="18" t="s">
        <v>5420</v>
      </c>
      <c r="C558" s="18" t="s">
        <v>5421</v>
      </c>
      <c r="D558" s="18" t="s">
        <v>2310</v>
      </c>
      <c r="E558" s="18" t="s">
        <v>6979</v>
      </c>
      <c r="F558" s="2">
        <f>+J558-I558</f>
        <v>30</v>
      </c>
      <c r="G558" s="2">
        <f ca="1">+TODAY()-I558</f>
        <v>9</v>
      </c>
      <c r="H558" s="15">
        <v>175491</v>
      </c>
      <c r="I558" s="1">
        <v>46111</v>
      </c>
      <c r="J558" s="1">
        <v>46141</v>
      </c>
      <c r="K558" s="18" t="s">
        <v>839</v>
      </c>
      <c r="L558" s="18" t="s">
        <v>18</v>
      </c>
      <c r="M558" s="18" t="s">
        <v>19</v>
      </c>
      <c r="N558" s="18" t="s">
        <v>5422</v>
      </c>
      <c r="O558">
        <v>30</v>
      </c>
    </row>
    <row r="559" spans="1:15" x14ac:dyDescent="0.25">
      <c r="A559" s="18" t="s">
        <v>7276</v>
      </c>
      <c r="B559" s="18" t="s">
        <v>6196</v>
      </c>
      <c r="C559" s="18" t="s">
        <v>6197</v>
      </c>
      <c r="D559" s="18" t="s">
        <v>15</v>
      </c>
      <c r="E559" s="18" t="s">
        <v>7423</v>
      </c>
      <c r="F559" s="2">
        <f>+J559-I559</f>
        <v>1</v>
      </c>
      <c r="G559" s="2">
        <f ca="1">+TODAY()-I559</f>
        <v>2</v>
      </c>
      <c r="H559" s="15">
        <v>94018</v>
      </c>
      <c r="I559" s="1">
        <v>46118</v>
      </c>
      <c r="J559" s="1">
        <v>46119</v>
      </c>
      <c r="K559" s="18" t="s">
        <v>17</v>
      </c>
      <c r="L559" s="18" t="s">
        <v>317</v>
      </c>
      <c r="M559" s="18" t="s">
        <v>19</v>
      </c>
      <c r="N559" s="18" t="s">
        <v>6198</v>
      </c>
      <c r="O559">
        <v>30</v>
      </c>
    </row>
    <row r="560" spans="1:15" x14ac:dyDescent="0.25">
      <c r="A560" s="18" t="s">
        <v>7276</v>
      </c>
      <c r="B560" s="18" t="s">
        <v>6196</v>
      </c>
      <c r="C560" s="18" t="s">
        <v>6197</v>
      </c>
      <c r="D560" s="18" t="s">
        <v>15</v>
      </c>
      <c r="E560" s="18" t="s">
        <v>7424</v>
      </c>
      <c r="F560" s="2">
        <f>+J560-I560</f>
        <v>1</v>
      </c>
      <c r="G560" s="2">
        <f ca="1">+TODAY()-I560</f>
        <v>2</v>
      </c>
      <c r="H560" s="15">
        <v>42800</v>
      </c>
      <c r="I560" s="1">
        <v>46118</v>
      </c>
      <c r="J560" s="1">
        <v>46119</v>
      </c>
      <c r="K560" s="18" t="s">
        <v>17</v>
      </c>
      <c r="L560" s="18" t="s">
        <v>317</v>
      </c>
      <c r="M560" s="18" t="s">
        <v>19</v>
      </c>
      <c r="N560" s="18" t="s">
        <v>6198</v>
      </c>
      <c r="O560">
        <v>30</v>
      </c>
    </row>
    <row r="561" spans="1:15" x14ac:dyDescent="0.25">
      <c r="A561" s="18" t="s">
        <v>7276</v>
      </c>
      <c r="B561" s="18" t="s">
        <v>6871</v>
      </c>
      <c r="C561" s="18" t="s">
        <v>6872</v>
      </c>
      <c r="D561" s="18" t="s">
        <v>6359</v>
      </c>
      <c r="E561" s="18" t="s">
        <v>6873</v>
      </c>
      <c r="F561" s="2">
        <f>+J561-I561</f>
        <v>1</v>
      </c>
      <c r="G561" s="2">
        <f ca="1">+TODAY()-I561</f>
        <v>8</v>
      </c>
      <c r="H561" s="15">
        <v>45839</v>
      </c>
      <c r="I561" s="1">
        <v>46112</v>
      </c>
      <c r="J561" s="1">
        <v>46113</v>
      </c>
      <c r="K561" s="18" t="s">
        <v>17</v>
      </c>
      <c r="L561" s="18" t="s">
        <v>321</v>
      </c>
      <c r="M561" s="18" t="s">
        <v>19</v>
      </c>
      <c r="N561" s="18" t="s">
        <v>6874</v>
      </c>
      <c r="O561">
        <v>1</v>
      </c>
    </row>
    <row r="562" spans="1:15" x14ac:dyDescent="0.25">
      <c r="A562" s="18" t="s">
        <v>7276</v>
      </c>
      <c r="B562" s="18" t="s">
        <v>1540</v>
      </c>
      <c r="C562" s="18" t="s">
        <v>1541</v>
      </c>
      <c r="D562" s="18" t="s">
        <v>1532</v>
      </c>
      <c r="E562" s="18" t="s">
        <v>5311</v>
      </c>
      <c r="F562" s="2">
        <f>+J562-I562</f>
        <v>30</v>
      </c>
      <c r="G562" s="2">
        <f ca="1">+TODAY()-I562</f>
        <v>41</v>
      </c>
      <c r="H562" s="15">
        <v>220000</v>
      </c>
      <c r="I562" s="1">
        <v>46079</v>
      </c>
      <c r="J562" s="1">
        <v>46109</v>
      </c>
      <c r="K562" s="18" t="s">
        <v>1528</v>
      </c>
      <c r="L562" s="18" t="s">
        <v>207</v>
      </c>
      <c r="M562" s="18" t="s">
        <v>19</v>
      </c>
      <c r="N562" s="18" t="s">
        <v>1542</v>
      </c>
      <c r="O562">
        <v>30</v>
      </c>
    </row>
    <row r="563" spans="1:15" x14ac:dyDescent="0.25">
      <c r="A563" s="18" t="s">
        <v>7276</v>
      </c>
      <c r="B563" s="18" t="s">
        <v>1540</v>
      </c>
      <c r="C563" s="18" t="s">
        <v>1541</v>
      </c>
      <c r="D563" s="18" t="s">
        <v>1532</v>
      </c>
      <c r="E563" s="18" t="s">
        <v>6076</v>
      </c>
      <c r="F563" s="2">
        <f>+J563-I563</f>
        <v>30</v>
      </c>
      <c r="G563" s="2">
        <f ca="1">+TODAY()-I563</f>
        <v>27</v>
      </c>
      <c r="H563" s="15">
        <v>1353066</v>
      </c>
      <c r="I563" s="1">
        <v>46093</v>
      </c>
      <c r="J563" s="1">
        <v>46123</v>
      </c>
      <c r="K563" s="18" t="s">
        <v>1528</v>
      </c>
      <c r="L563" s="18" t="s">
        <v>207</v>
      </c>
      <c r="M563" s="18" t="s">
        <v>19</v>
      </c>
      <c r="N563" s="18" t="s">
        <v>1542</v>
      </c>
      <c r="O563">
        <v>30</v>
      </c>
    </row>
    <row r="564" spans="1:15" x14ac:dyDescent="0.25">
      <c r="A564" s="18" t="s">
        <v>7276</v>
      </c>
      <c r="B564" s="18" t="s">
        <v>1540</v>
      </c>
      <c r="C564" s="18" t="s">
        <v>1541</v>
      </c>
      <c r="D564" s="18" t="s">
        <v>1532</v>
      </c>
      <c r="E564" s="18" t="s">
        <v>6619</v>
      </c>
      <c r="F564" s="2">
        <f>+J564-I564</f>
        <v>30</v>
      </c>
      <c r="G564" s="2">
        <f ca="1">+TODAY()-I564</f>
        <v>13</v>
      </c>
      <c r="H564" s="15">
        <v>606243</v>
      </c>
      <c r="I564" s="1">
        <v>46107</v>
      </c>
      <c r="J564" s="1">
        <v>46137</v>
      </c>
      <c r="K564" s="18" t="s">
        <v>1528</v>
      </c>
      <c r="L564" s="18" t="s">
        <v>207</v>
      </c>
      <c r="M564" s="18" t="s">
        <v>19</v>
      </c>
      <c r="N564" s="18" t="s">
        <v>1542</v>
      </c>
      <c r="O564">
        <v>30</v>
      </c>
    </row>
    <row r="565" spans="1:15" x14ac:dyDescent="0.25">
      <c r="A565" s="18" t="s">
        <v>7276</v>
      </c>
      <c r="B565" s="18" t="s">
        <v>1789</v>
      </c>
      <c r="C565" s="18" t="s">
        <v>1790</v>
      </c>
      <c r="D565" s="18" t="s">
        <v>1791</v>
      </c>
      <c r="E565" s="18" t="s">
        <v>1792</v>
      </c>
      <c r="F565" s="2">
        <f>+J565-I565</f>
        <v>25</v>
      </c>
      <c r="G565" s="2">
        <f ca="1">+TODAY()-I565</f>
        <v>2525</v>
      </c>
      <c r="H565" s="15">
        <v>585800</v>
      </c>
      <c r="I565" s="1">
        <v>43595</v>
      </c>
      <c r="J565" s="1">
        <v>43620</v>
      </c>
      <c r="K565" s="18" t="s">
        <v>1793</v>
      </c>
      <c r="L565" s="18" t="s">
        <v>1778</v>
      </c>
      <c r="M565" s="18" t="s">
        <v>19</v>
      </c>
      <c r="N565" s="18" t="s">
        <v>1794</v>
      </c>
      <c r="O565">
        <v>1</v>
      </c>
    </row>
    <row r="566" spans="1:15" x14ac:dyDescent="0.25">
      <c r="A566" s="18" t="s">
        <v>7276</v>
      </c>
      <c r="B566" s="18" t="s">
        <v>1604</v>
      </c>
      <c r="C566" s="18" t="s">
        <v>1605</v>
      </c>
      <c r="D566" s="18" t="s">
        <v>1587</v>
      </c>
      <c r="E566" s="18" t="s">
        <v>5047</v>
      </c>
      <c r="F566" s="2">
        <f>+J566-I566</f>
        <v>30</v>
      </c>
      <c r="G566" s="2">
        <f ca="1">+TODAY()-I566</f>
        <v>60</v>
      </c>
      <c r="H566" s="15">
        <v>3150002</v>
      </c>
      <c r="I566" s="1">
        <v>46060</v>
      </c>
      <c r="J566" s="1">
        <v>46090</v>
      </c>
      <c r="K566" s="18" t="s">
        <v>1589</v>
      </c>
      <c r="L566" s="18" t="s">
        <v>984</v>
      </c>
      <c r="M566" s="18" t="s">
        <v>19</v>
      </c>
      <c r="N566" s="18" t="s">
        <v>1606</v>
      </c>
      <c r="O566">
        <v>30</v>
      </c>
    </row>
    <row r="567" spans="1:15" x14ac:dyDescent="0.25">
      <c r="A567" s="18" t="s">
        <v>7276</v>
      </c>
      <c r="B567" s="18" t="s">
        <v>1604</v>
      </c>
      <c r="C567" s="18" t="s">
        <v>1605</v>
      </c>
      <c r="D567" s="18" t="s">
        <v>1587</v>
      </c>
      <c r="E567" s="18" t="s">
        <v>5335</v>
      </c>
      <c r="F567" s="2">
        <f>+J567-I567</f>
        <v>30</v>
      </c>
      <c r="G567" s="2">
        <f ca="1">+TODAY()-I567</f>
        <v>41</v>
      </c>
      <c r="H567" s="15">
        <v>2259396</v>
      </c>
      <c r="I567" s="1">
        <v>46079</v>
      </c>
      <c r="J567" s="1">
        <v>46109</v>
      </c>
      <c r="K567" s="18" t="s">
        <v>1589</v>
      </c>
      <c r="L567" s="18" t="s">
        <v>984</v>
      </c>
      <c r="M567" s="18" t="s">
        <v>19</v>
      </c>
      <c r="N567" s="18" t="s">
        <v>1606</v>
      </c>
      <c r="O567">
        <v>30</v>
      </c>
    </row>
    <row r="568" spans="1:15" x14ac:dyDescent="0.25">
      <c r="A568" s="18" t="s">
        <v>7276</v>
      </c>
      <c r="B568" s="18" t="s">
        <v>1604</v>
      </c>
      <c r="C568" s="18" t="s">
        <v>1605</v>
      </c>
      <c r="D568" s="18" t="s">
        <v>1587</v>
      </c>
      <c r="E568" s="18" t="s">
        <v>5337</v>
      </c>
      <c r="F568" s="2">
        <f>+J568-I568</f>
        <v>30</v>
      </c>
      <c r="G568" s="2">
        <f ca="1">+TODAY()-I568</f>
        <v>41</v>
      </c>
      <c r="H568" s="15">
        <v>2120001</v>
      </c>
      <c r="I568" s="1">
        <v>46079</v>
      </c>
      <c r="J568" s="1">
        <v>46109</v>
      </c>
      <c r="K568" s="18" t="s">
        <v>1589</v>
      </c>
      <c r="L568" s="18" t="s">
        <v>984</v>
      </c>
      <c r="M568" s="18" t="s">
        <v>19</v>
      </c>
      <c r="N568" s="18" t="s">
        <v>1606</v>
      </c>
      <c r="O568">
        <v>30</v>
      </c>
    </row>
    <row r="569" spans="1:15" x14ac:dyDescent="0.25">
      <c r="A569" s="18" t="s">
        <v>7276</v>
      </c>
      <c r="B569" s="18" t="s">
        <v>1604</v>
      </c>
      <c r="C569" s="18" t="s">
        <v>1605</v>
      </c>
      <c r="D569" s="18" t="s">
        <v>1587</v>
      </c>
      <c r="E569" s="18" t="s">
        <v>5338</v>
      </c>
      <c r="F569" s="2">
        <f>+J569-I569</f>
        <v>30</v>
      </c>
      <c r="G569" s="2">
        <f ca="1">+TODAY()-I569</f>
        <v>41</v>
      </c>
      <c r="H569" s="15">
        <v>460200</v>
      </c>
      <c r="I569" s="1">
        <v>46079</v>
      </c>
      <c r="J569" s="1">
        <v>46109</v>
      </c>
      <c r="K569" s="18" t="s">
        <v>1589</v>
      </c>
      <c r="L569" s="18" t="s">
        <v>984</v>
      </c>
      <c r="M569" s="18" t="s">
        <v>19</v>
      </c>
      <c r="N569" s="18" t="s">
        <v>1606</v>
      </c>
      <c r="O569">
        <v>30</v>
      </c>
    </row>
    <row r="570" spans="1:15" x14ac:dyDescent="0.25">
      <c r="A570" s="18" t="s">
        <v>7276</v>
      </c>
      <c r="B570" s="18" t="s">
        <v>1604</v>
      </c>
      <c r="C570" s="18" t="s">
        <v>1605</v>
      </c>
      <c r="D570" s="18" t="s">
        <v>1587</v>
      </c>
      <c r="E570" s="18" t="s">
        <v>5346</v>
      </c>
      <c r="F570" s="2">
        <f>+J570-I570</f>
        <v>30</v>
      </c>
      <c r="G570" s="2">
        <f ca="1">+TODAY()-I570</f>
        <v>37</v>
      </c>
      <c r="H570" s="15">
        <v>1910001</v>
      </c>
      <c r="I570" s="1">
        <v>46083</v>
      </c>
      <c r="J570" s="1">
        <v>46113</v>
      </c>
      <c r="K570" s="18" t="s">
        <v>1589</v>
      </c>
      <c r="L570" s="18" t="s">
        <v>984</v>
      </c>
      <c r="M570" s="18" t="s">
        <v>19</v>
      </c>
      <c r="N570" s="18" t="s">
        <v>1606</v>
      </c>
      <c r="O570">
        <v>30</v>
      </c>
    </row>
    <row r="571" spans="1:15" x14ac:dyDescent="0.25">
      <c r="A571" s="18" t="s">
        <v>7276</v>
      </c>
      <c r="B571" s="18" t="s">
        <v>1604</v>
      </c>
      <c r="C571" s="18" t="s">
        <v>1605</v>
      </c>
      <c r="D571" s="18" t="s">
        <v>1587</v>
      </c>
      <c r="E571" s="18" t="s">
        <v>5347</v>
      </c>
      <c r="F571" s="2">
        <f>+J571-I571</f>
        <v>30</v>
      </c>
      <c r="G571" s="2">
        <f ca="1">+TODAY()-I571</f>
        <v>37</v>
      </c>
      <c r="H571" s="15">
        <v>1404660</v>
      </c>
      <c r="I571" s="1">
        <v>46083</v>
      </c>
      <c r="J571" s="1">
        <v>46113</v>
      </c>
      <c r="K571" s="18" t="s">
        <v>1589</v>
      </c>
      <c r="L571" s="18" t="s">
        <v>984</v>
      </c>
      <c r="M571" s="18" t="s">
        <v>19</v>
      </c>
      <c r="N571" s="18" t="s">
        <v>1606</v>
      </c>
      <c r="O571">
        <v>30</v>
      </c>
    </row>
    <row r="572" spans="1:15" x14ac:dyDescent="0.25">
      <c r="A572" s="18" t="s">
        <v>7276</v>
      </c>
      <c r="B572" s="18" t="s">
        <v>1604</v>
      </c>
      <c r="C572" s="18" t="s">
        <v>1605</v>
      </c>
      <c r="D572" s="18" t="s">
        <v>1587</v>
      </c>
      <c r="E572" s="18" t="s">
        <v>7603</v>
      </c>
      <c r="F572" s="2">
        <f>+J572-I572</f>
        <v>30</v>
      </c>
      <c r="G572" s="2">
        <f ca="1">+TODAY()-I572</f>
        <v>2</v>
      </c>
      <c r="H572" s="15">
        <v>2</v>
      </c>
      <c r="I572" s="1">
        <v>46118</v>
      </c>
      <c r="J572" s="1">
        <v>46148</v>
      </c>
      <c r="K572" s="18" t="s">
        <v>1589</v>
      </c>
      <c r="L572" s="18" t="s">
        <v>984</v>
      </c>
      <c r="M572" s="18" t="s">
        <v>19</v>
      </c>
      <c r="N572" s="18" t="s">
        <v>1606</v>
      </c>
      <c r="O572">
        <v>30</v>
      </c>
    </row>
    <row r="573" spans="1:15" x14ac:dyDescent="0.25">
      <c r="A573" s="18" t="s">
        <v>7276</v>
      </c>
      <c r="B573" s="18" t="s">
        <v>1604</v>
      </c>
      <c r="C573" s="18" t="s">
        <v>1605</v>
      </c>
      <c r="D573" s="18" t="s">
        <v>1587</v>
      </c>
      <c r="E573" s="18" t="s">
        <v>7604</v>
      </c>
      <c r="F573" s="2">
        <f>+J573-I573</f>
        <v>30</v>
      </c>
      <c r="G573" s="2">
        <f ca="1">+TODAY()-I573</f>
        <v>2</v>
      </c>
      <c r="H573" s="15">
        <v>4030400</v>
      </c>
      <c r="I573" s="1">
        <v>46118</v>
      </c>
      <c r="J573" s="1">
        <v>46148</v>
      </c>
      <c r="K573" s="18" t="s">
        <v>1589</v>
      </c>
      <c r="L573" s="18" t="s">
        <v>984</v>
      </c>
      <c r="M573" s="18" t="s">
        <v>19</v>
      </c>
      <c r="N573" s="18" t="s">
        <v>1606</v>
      </c>
      <c r="O573">
        <v>30</v>
      </c>
    </row>
    <row r="574" spans="1:15" x14ac:dyDescent="0.25">
      <c r="A574" s="18" t="s">
        <v>7276</v>
      </c>
      <c r="B574" s="18" t="s">
        <v>1604</v>
      </c>
      <c r="C574" s="18" t="s">
        <v>1605</v>
      </c>
      <c r="D574" s="18" t="s">
        <v>1587</v>
      </c>
      <c r="E574" s="18" t="s">
        <v>7605</v>
      </c>
      <c r="F574" s="2">
        <f>+J574-I574</f>
        <v>30</v>
      </c>
      <c r="G574" s="2">
        <f ca="1">+TODAY()-I574</f>
        <v>2</v>
      </c>
      <c r="H574" s="15">
        <v>2374105</v>
      </c>
      <c r="I574" s="1">
        <v>46118</v>
      </c>
      <c r="J574" s="1">
        <v>46148</v>
      </c>
      <c r="K574" s="18" t="s">
        <v>1589</v>
      </c>
      <c r="L574" s="18" t="s">
        <v>984</v>
      </c>
      <c r="M574" s="18" t="s">
        <v>19</v>
      </c>
      <c r="N574" s="18" t="s">
        <v>1606</v>
      </c>
      <c r="O574">
        <v>30</v>
      </c>
    </row>
    <row r="575" spans="1:15" x14ac:dyDescent="0.25">
      <c r="A575" s="18" t="s">
        <v>7276</v>
      </c>
      <c r="B575" s="18" t="s">
        <v>1071</v>
      </c>
      <c r="C575" s="18" t="s">
        <v>1072</v>
      </c>
      <c r="D575" s="18" t="s">
        <v>1066</v>
      </c>
      <c r="E575" s="18" t="s">
        <v>1073</v>
      </c>
      <c r="F575" s="2">
        <f>+J575-I575</f>
        <v>25</v>
      </c>
      <c r="G575" s="2">
        <f ca="1">+TODAY()-I575</f>
        <v>3394</v>
      </c>
      <c r="H575" s="15">
        <v>228615</v>
      </c>
      <c r="I575" s="1">
        <v>42726</v>
      </c>
      <c r="J575" s="1">
        <v>42751</v>
      </c>
      <c r="K575" s="18" t="s">
        <v>1068</v>
      </c>
      <c r="L575" s="18" t="s">
        <v>1069</v>
      </c>
      <c r="M575" s="18" t="s">
        <v>19</v>
      </c>
      <c r="N575" s="18" t="s">
        <v>1074</v>
      </c>
      <c r="O575">
        <v>30</v>
      </c>
    </row>
    <row r="576" spans="1:15" x14ac:dyDescent="0.25">
      <c r="A576" s="18" t="s">
        <v>7276</v>
      </c>
      <c r="B576" s="18" t="s">
        <v>7207</v>
      </c>
      <c r="C576" s="18" t="s">
        <v>7208</v>
      </c>
      <c r="D576" s="18" t="s">
        <v>875</v>
      </c>
      <c r="E576" s="18" t="s">
        <v>7209</v>
      </c>
      <c r="F576" s="2">
        <f>+J576-I576</f>
        <v>15</v>
      </c>
      <c r="G576" s="2">
        <f ca="1">+TODAY()-I576</f>
        <v>8</v>
      </c>
      <c r="H576" s="15">
        <v>1547835</v>
      </c>
      <c r="I576" s="1">
        <v>46112</v>
      </c>
      <c r="J576" s="1">
        <v>46127</v>
      </c>
      <c r="K576" s="18" t="s">
        <v>1403</v>
      </c>
      <c r="L576" s="18" t="s">
        <v>90</v>
      </c>
      <c r="M576" s="18" t="s">
        <v>19</v>
      </c>
      <c r="N576" s="18" t="s">
        <v>7210</v>
      </c>
      <c r="O576">
        <v>30</v>
      </c>
    </row>
    <row r="577" spans="1:15" x14ac:dyDescent="0.25">
      <c r="A577" s="18" t="s">
        <v>7276</v>
      </c>
      <c r="B577" s="18" t="s">
        <v>1622</v>
      </c>
      <c r="C577" s="18" t="s">
        <v>1623</v>
      </c>
      <c r="D577" s="18" t="s">
        <v>1587</v>
      </c>
      <c r="E577" s="18" t="s">
        <v>5052</v>
      </c>
      <c r="F577" s="2">
        <f>+J577-I577</f>
        <v>30</v>
      </c>
      <c r="G577" s="2">
        <f ca="1">+TODAY()-I577</f>
        <v>57</v>
      </c>
      <c r="H577" s="15">
        <v>600000</v>
      </c>
      <c r="I577" s="1">
        <v>46063</v>
      </c>
      <c r="J577" s="1">
        <v>46093</v>
      </c>
      <c r="K577" s="18" t="s">
        <v>1589</v>
      </c>
      <c r="L577" s="18" t="s">
        <v>984</v>
      </c>
      <c r="M577" s="18" t="s">
        <v>19</v>
      </c>
      <c r="N577" s="18" t="s">
        <v>1624</v>
      </c>
      <c r="O577">
        <v>1</v>
      </c>
    </row>
    <row r="578" spans="1:15" x14ac:dyDescent="0.25">
      <c r="A578" s="18" t="s">
        <v>7276</v>
      </c>
      <c r="B578" s="18" t="s">
        <v>1622</v>
      </c>
      <c r="C578" s="18" t="s">
        <v>1623</v>
      </c>
      <c r="D578" s="18" t="s">
        <v>1587</v>
      </c>
      <c r="E578" s="18" t="s">
        <v>5327</v>
      </c>
      <c r="F578" s="2">
        <f>+J578-I578</f>
        <v>30</v>
      </c>
      <c r="G578" s="2">
        <f ca="1">+TODAY()-I578</f>
        <v>43</v>
      </c>
      <c r="H578" s="15">
        <v>385800</v>
      </c>
      <c r="I578" s="1">
        <v>46077</v>
      </c>
      <c r="J578" s="1">
        <v>46107</v>
      </c>
      <c r="K578" s="18" t="s">
        <v>1589</v>
      </c>
      <c r="L578" s="18" t="s">
        <v>984</v>
      </c>
      <c r="M578" s="18" t="s">
        <v>19</v>
      </c>
      <c r="N578" s="18" t="s">
        <v>1624</v>
      </c>
      <c r="O578">
        <v>1</v>
      </c>
    </row>
    <row r="579" spans="1:15" x14ac:dyDescent="0.25">
      <c r="A579" s="18" t="s">
        <v>7276</v>
      </c>
      <c r="B579" s="18" t="s">
        <v>1622</v>
      </c>
      <c r="C579" s="18" t="s">
        <v>1623</v>
      </c>
      <c r="D579" s="18" t="s">
        <v>1587</v>
      </c>
      <c r="E579" s="18" t="s">
        <v>5328</v>
      </c>
      <c r="F579" s="2">
        <f>+J579-I579</f>
        <v>30</v>
      </c>
      <c r="G579" s="2">
        <f ca="1">+TODAY()-I579</f>
        <v>43</v>
      </c>
      <c r="H579" s="15">
        <v>439212</v>
      </c>
      <c r="I579" s="1">
        <v>46077</v>
      </c>
      <c r="J579" s="1">
        <v>46107</v>
      </c>
      <c r="K579" s="18" t="s">
        <v>1589</v>
      </c>
      <c r="L579" s="18" t="s">
        <v>984</v>
      </c>
      <c r="M579" s="18" t="s">
        <v>19</v>
      </c>
      <c r="N579" s="18" t="s">
        <v>1624</v>
      </c>
      <c r="O579">
        <v>1</v>
      </c>
    </row>
    <row r="580" spans="1:15" x14ac:dyDescent="0.25">
      <c r="A580" s="18" t="s">
        <v>7276</v>
      </c>
      <c r="B580" s="18" t="s">
        <v>1622</v>
      </c>
      <c r="C580" s="18" t="s">
        <v>1623</v>
      </c>
      <c r="D580" s="18" t="s">
        <v>1587</v>
      </c>
      <c r="E580" s="18" t="s">
        <v>5831</v>
      </c>
      <c r="F580" s="2">
        <f>+J580-I580</f>
        <v>30</v>
      </c>
      <c r="G580" s="2">
        <f ca="1">+TODAY()-I580</f>
        <v>30</v>
      </c>
      <c r="H580" s="15">
        <v>686600</v>
      </c>
      <c r="I580" s="1">
        <v>46090</v>
      </c>
      <c r="J580" s="1">
        <v>46120</v>
      </c>
      <c r="K580" s="18" t="s">
        <v>1589</v>
      </c>
      <c r="L580" s="18" t="s">
        <v>984</v>
      </c>
      <c r="M580" s="18" t="s">
        <v>19</v>
      </c>
      <c r="N580" s="18" t="s">
        <v>1624</v>
      </c>
      <c r="O580">
        <v>1</v>
      </c>
    </row>
    <row r="581" spans="1:15" x14ac:dyDescent="0.25">
      <c r="A581" s="18" t="s">
        <v>7276</v>
      </c>
      <c r="B581" s="18" t="s">
        <v>1622</v>
      </c>
      <c r="C581" s="18" t="s">
        <v>1623</v>
      </c>
      <c r="D581" s="18" t="s">
        <v>1587</v>
      </c>
      <c r="E581" s="18" t="s">
        <v>6655</v>
      </c>
      <c r="F581" s="2">
        <f>+J581-I581</f>
        <v>30</v>
      </c>
      <c r="G581" s="2">
        <f ca="1">+TODAY()-I581</f>
        <v>15</v>
      </c>
      <c r="H581" s="15">
        <v>773000</v>
      </c>
      <c r="I581" s="1">
        <v>46105</v>
      </c>
      <c r="J581" s="1">
        <v>46135</v>
      </c>
      <c r="K581" s="18" t="s">
        <v>1589</v>
      </c>
      <c r="L581" s="18" t="s">
        <v>984</v>
      </c>
      <c r="M581" s="18" t="s">
        <v>19</v>
      </c>
      <c r="N581" s="18" t="s">
        <v>1624</v>
      </c>
      <c r="O581">
        <v>1</v>
      </c>
    </row>
    <row r="582" spans="1:15" x14ac:dyDescent="0.25">
      <c r="A582" s="18" t="s">
        <v>7276</v>
      </c>
      <c r="B582" s="18" t="s">
        <v>1622</v>
      </c>
      <c r="C582" s="18" t="s">
        <v>1623</v>
      </c>
      <c r="D582" s="18" t="s">
        <v>1587</v>
      </c>
      <c r="E582" s="18" t="s">
        <v>6656</v>
      </c>
      <c r="F582" s="2">
        <f>+J582-I582</f>
        <v>30</v>
      </c>
      <c r="G582" s="2">
        <f ca="1">+TODAY()-I582</f>
        <v>15</v>
      </c>
      <c r="H582" s="15">
        <v>289410</v>
      </c>
      <c r="I582" s="1">
        <v>46105</v>
      </c>
      <c r="J582" s="1">
        <v>46135</v>
      </c>
      <c r="K582" s="18" t="s">
        <v>1589</v>
      </c>
      <c r="L582" s="18" t="s">
        <v>984</v>
      </c>
      <c r="M582" s="18" t="s">
        <v>19</v>
      </c>
      <c r="N582" s="18" t="s">
        <v>1624</v>
      </c>
      <c r="O582">
        <v>1</v>
      </c>
    </row>
    <row r="583" spans="1:15" x14ac:dyDescent="0.25">
      <c r="A583" s="18" t="s">
        <v>7276</v>
      </c>
      <c r="B583" s="18" t="s">
        <v>1622</v>
      </c>
      <c r="C583" s="18" t="s">
        <v>1623</v>
      </c>
      <c r="D583" s="18" t="s">
        <v>1587</v>
      </c>
      <c r="E583" s="18" t="s">
        <v>7829</v>
      </c>
      <c r="F583" s="2">
        <f>+J583-I583</f>
        <v>30</v>
      </c>
      <c r="G583" s="2">
        <f ca="1">+TODAY()-I583</f>
        <v>1</v>
      </c>
      <c r="H583" s="15">
        <v>944000</v>
      </c>
      <c r="I583" s="1">
        <v>46119</v>
      </c>
      <c r="J583" s="1">
        <v>46149</v>
      </c>
      <c r="K583" s="18" t="s">
        <v>1589</v>
      </c>
      <c r="L583" s="18" t="s">
        <v>984</v>
      </c>
      <c r="M583" s="18" t="s">
        <v>19</v>
      </c>
      <c r="N583" s="18" t="s">
        <v>1624</v>
      </c>
      <c r="O583">
        <v>1</v>
      </c>
    </row>
    <row r="584" spans="1:15" x14ac:dyDescent="0.25">
      <c r="A584" s="18" t="s">
        <v>7276</v>
      </c>
      <c r="B584" s="18" t="s">
        <v>1622</v>
      </c>
      <c r="C584" s="18" t="s">
        <v>1623</v>
      </c>
      <c r="D584" s="18" t="s">
        <v>1587</v>
      </c>
      <c r="E584" s="18" t="s">
        <v>7830</v>
      </c>
      <c r="F584" s="2">
        <f>+J584-I584</f>
        <v>30</v>
      </c>
      <c r="G584" s="2">
        <f ca="1">+TODAY()-I584</f>
        <v>1</v>
      </c>
      <c r="H584" s="15">
        <v>523052</v>
      </c>
      <c r="I584" s="1">
        <v>46119</v>
      </c>
      <c r="J584" s="1">
        <v>46149</v>
      </c>
      <c r="K584" s="18" t="s">
        <v>1589</v>
      </c>
      <c r="L584" s="18" t="s">
        <v>984</v>
      </c>
      <c r="M584" s="18" t="s">
        <v>19</v>
      </c>
      <c r="N584" s="18" t="s">
        <v>1624</v>
      </c>
      <c r="O584">
        <v>1</v>
      </c>
    </row>
    <row r="585" spans="1:15" x14ac:dyDescent="0.25">
      <c r="A585" s="18" t="s">
        <v>7276</v>
      </c>
      <c r="B585" s="18" t="s">
        <v>3273</v>
      </c>
      <c r="C585" s="18" t="s">
        <v>3274</v>
      </c>
      <c r="D585" s="18" t="s">
        <v>46</v>
      </c>
      <c r="E585" s="18" t="s">
        <v>5194</v>
      </c>
      <c r="F585" s="2">
        <f>+J585-I585</f>
        <v>30</v>
      </c>
      <c r="G585" s="2">
        <f ca="1">+TODAY()-I585</f>
        <v>46</v>
      </c>
      <c r="H585" s="15">
        <v>341317</v>
      </c>
      <c r="I585" s="1">
        <v>46074</v>
      </c>
      <c r="J585" s="1">
        <v>46104</v>
      </c>
      <c r="K585" s="18" t="s">
        <v>17</v>
      </c>
      <c r="L585" s="18" t="s">
        <v>32</v>
      </c>
      <c r="M585" s="18" t="s">
        <v>19</v>
      </c>
      <c r="N585" s="18" t="s">
        <v>3275</v>
      </c>
      <c r="O585">
        <v>30</v>
      </c>
    </row>
    <row r="586" spans="1:15" x14ac:dyDescent="0.25">
      <c r="A586" s="18" t="s">
        <v>7276</v>
      </c>
      <c r="B586" s="18" t="s">
        <v>3273</v>
      </c>
      <c r="C586" s="18" t="s">
        <v>3274</v>
      </c>
      <c r="D586" s="18" t="s">
        <v>46</v>
      </c>
      <c r="E586" s="18" t="s">
        <v>7409</v>
      </c>
      <c r="F586" s="2">
        <f>+J586-I586</f>
        <v>10</v>
      </c>
      <c r="G586" s="2">
        <f ca="1">+TODAY()-I586</f>
        <v>2</v>
      </c>
      <c r="H586" s="15">
        <v>540800</v>
      </c>
      <c r="I586" s="1">
        <v>46118</v>
      </c>
      <c r="J586" s="1">
        <v>46128</v>
      </c>
      <c r="K586" s="18" t="s">
        <v>17</v>
      </c>
      <c r="L586" s="18" t="s">
        <v>32</v>
      </c>
      <c r="M586" s="18" t="s">
        <v>19</v>
      </c>
      <c r="N586" s="18" t="s">
        <v>3275</v>
      </c>
      <c r="O586">
        <v>30</v>
      </c>
    </row>
    <row r="587" spans="1:15" x14ac:dyDescent="0.25">
      <c r="A587" s="18" t="s">
        <v>7276</v>
      </c>
      <c r="B587" s="18" t="s">
        <v>1399</v>
      </c>
      <c r="C587" s="18" t="s">
        <v>1400</v>
      </c>
      <c r="D587" s="18" t="s">
        <v>1401</v>
      </c>
      <c r="E587" s="18" t="s">
        <v>1402</v>
      </c>
      <c r="F587" s="2">
        <f>+J587-I587</f>
        <v>25</v>
      </c>
      <c r="G587" s="2">
        <f ca="1">+TODAY()-I587</f>
        <v>2816</v>
      </c>
      <c r="H587" s="15">
        <v>481208</v>
      </c>
      <c r="I587" s="1">
        <v>43304</v>
      </c>
      <c r="J587" s="1">
        <v>43329</v>
      </c>
      <c r="K587" s="18" t="s">
        <v>1403</v>
      </c>
      <c r="L587" s="18" t="s">
        <v>90</v>
      </c>
      <c r="M587" s="18" t="s">
        <v>19</v>
      </c>
      <c r="N587" s="18" t="s">
        <v>1404</v>
      </c>
      <c r="O587">
        <v>25</v>
      </c>
    </row>
    <row r="588" spans="1:15" x14ac:dyDescent="0.25">
      <c r="A588" s="18" t="s">
        <v>7276</v>
      </c>
      <c r="B588" s="18" t="s">
        <v>1142</v>
      </c>
      <c r="C588" s="18" t="s">
        <v>1143</v>
      </c>
      <c r="D588" s="18" t="s">
        <v>1118</v>
      </c>
      <c r="E588" s="18" t="s">
        <v>5453</v>
      </c>
      <c r="F588" s="2">
        <f>+J588-I588</f>
        <v>30</v>
      </c>
      <c r="G588" s="2">
        <f ca="1">+TODAY()-I588</f>
        <v>37</v>
      </c>
      <c r="H588" s="15">
        <v>598914</v>
      </c>
      <c r="I588" s="1">
        <v>46083</v>
      </c>
      <c r="J588" s="1">
        <v>46113</v>
      </c>
      <c r="K588" s="18" t="s">
        <v>1144</v>
      </c>
      <c r="L588" s="18" t="s">
        <v>207</v>
      </c>
      <c r="M588" s="18" t="s">
        <v>19</v>
      </c>
      <c r="N588" s="18" t="s">
        <v>1145</v>
      </c>
      <c r="O588">
        <v>30</v>
      </c>
    </row>
    <row r="589" spans="1:15" x14ac:dyDescent="0.25">
      <c r="A589" s="18" t="s">
        <v>7276</v>
      </c>
      <c r="B589" s="18" t="s">
        <v>1142</v>
      </c>
      <c r="C589" s="18" t="s">
        <v>1143</v>
      </c>
      <c r="D589" s="18" t="s">
        <v>1118</v>
      </c>
      <c r="E589" s="18" t="s">
        <v>5454</v>
      </c>
      <c r="F589" s="2">
        <f>+J589-I589</f>
        <v>30</v>
      </c>
      <c r="G589" s="2">
        <f ca="1">+TODAY()-I589</f>
        <v>37</v>
      </c>
      <c r="H589" s="15">
        <v>5025460</v>
      </c>
      <c r="I589" s="1">
        <v>46083</v>
      </c>
      <c r="J589" s="1">
        <v>46113</v>
      </c>
      <c r="K589" s="18" t="s">
        <v>1144</v>
      </c>
      <c r="L589" s="18" t="s">
        <v>207</v>
      </c>
      <c r="M589" s="18" t="s">
        <v>19</v>
      </c>
      <c r="N589" s="18" t="s">
        <v>1145</v>
      </c>
      <c r="O589">
        <v>30</v>
      </c>
    </row>
    <row r="590" spans="1:15" x14ac:dyDescent="0.25">
      <c r="A590" s="18" t="s">
        <v>7276</v>
      </c>
      <c r="B590" s="18" t="s">
        <v>1142</v>
      </c>
      <c r="C590" s="18" t="s">
        <v>1143</v>
      </c>
      <c r="D590" s="18" t="s">
        <v>1118</v>
      </c>
      <c r="E590" s="18" t="s">
        <v>5745</v>
      </c>
      <c r="F590" s="2">
        <f>+J590-I590</f>
        <v>30</v>
      </c>
      <c r="G590" s="2">
        <f ca="1">+TODAY()-I590</f>
        <v>30</v>
      </c>
      <c r="H590" s="15">
        <v>212304</v>
      </c>
      <c r="I590" s="1">
        <v>46090</v>
      </c>
      <c r="J590" s="1">
        <v>46120</v>
      </c>
      <c r="K590" s="18" t="s">
        <v>1144</v>
      </c>
      <c r="L590" s="18" t="s">
        <v>207</v>
      </c>
      <c r="M590" s="18" t="s">
        <v>19</v>
      </c>
      <c r="N590" s="18" t="s">
        <v>1145</v>
      </c>
      <c r="O590">
        <v>30</v>
      </c>
    </row>
    <row r="591" spans="1:15" x14ac:dyDescent="0.25">
      <c r="A591" s="18" t="s">
        <v>7276</v>
      </c>
      <c r="B591" s="18" t="s">
        <v>1142</v>
      </c>
      <c r="C591" s="18" t="s">
        <v>1143</v>
      </c>
      <c r="D591" s="18" t="s">
        <v>1118</v>
      </c>
      <c r="E591" s="18" t="s">
        <v>5753</v>
      </c>
      <c r="F591" s="2">
        <f>+J591-I591</f>
        <v>30</v>
      </c>
      <c r="G591" s="2">
        <f ca="1">+TODAY()-I591</f>
        <v>29</v>
      </c>
      <c r="H591" s="15">
        <v>2122444</v>
      </c>
      <c r="I591" s="1">
        <v>46091</v>
      </c>
      <c r="J591" s="1">
        <v>46121</v>
      </c>
      <c r="K591" s="18" t="s">
        <v>1144</v>
      </c>
      <c r="L591" s="18" t="s">
        <v>207</v>
      </c>
      <c r="M591" s="18" t="s">
        <v>19</v>
      </c>
      <c r="N591" s="18" t="s">
        <v>1145</v>
      </c>
      <c r="O591">
        <v>30</v>
      </c>
    </row>
    <row r="592" spans="1:15" x14ac:dyDescent="0.25">
      <c r="A592" s="18" t="s">
        <v>7276</v>
      </c>
      <c r="B592" s="18" t="s">
        <v>1142</v>
      </c>
      <c r="C592" s="18" t="s">
        <v>1143</v>
      </c>
      <c r="D592" s="18" t="s">
        <v>1118</v>
      </c>
      <c r="E592" s="18" t="s">
        <v>6002</v>
      </c>
      <c r="F592" s="2">
        <f>+J592-I592</f>
        <v>30</v>
      </c>
      <c r="G592" s="2">
        <f ca="1">+TODAY()-I592</f>
        <v>25</v>
      </c>
      <c r="H592" s="15">
        <v>113748</v>
      </c>
      <c r="I592" s="1">
        <v>46095</v>
      </c>
      <c r="J592" s="1">
        <v>46125</v>
      </c>
      <c r="K592" s="18" t="s">
        <v>1144</v>
      </c>
      <c r="L592" s="18" t="s">
        <v>207</v>
      </c>
      <c r="M592" s="18" t="s">
        <v>19</v>
      </c>
      <c r="N592" s="18" t="s">
        <v>1145</v>
      </c>
      <c r="O592">
        <v>30</v>
      </c>
    </row>
    <row r="593" spans="1:15" x14ac:dyDescent="0.25">
      <c r="A593" s="18" t="s">
        <v>7276</v>
      </c>
      <c r="B593" s="18" t="s">
        <v>1142</v>
      </c>
      <c r="C593" s="18" t="s">
        <v>1143</v>
      </c>
      <c r="D593" s="18" t="s">
        <v>1118</v>
      </c>
      <c r="E593" s="18" t="s">
        <v>6003</v>
      </c>
      <c r="F593" s="2">
        <f>+J593-I593</f>
        <v>30</v>
      </c>
      <c r="G593" s="2">
        <f ca="1">+TODAY()-I593</f>
        <v>25</v>
      </c>
      <c r="H593" s="15">
        <v>1715603</v>
      </c>
      <c r="I593" s="1">
        <v>46095</v>
      </c>
      <c r="J593" s="1">
        <v>46125</v>
      </c>
      <c r="K593" s="18" t="s">
        <v>1144</v>
      </c>
      <c r="L593" s="18" t="s">
        <v>207</v>
      </c>
      <c r="M593" s="18" t="s">
        <v>19</v>
      </c>
      <c r="N593" s="18" t="s">
        <v>1145</v>
      </c>
      <c r="O593">
        <v>30</v>
      </c>
    </row>
    <row r="594" spans="1:15" x14ac:dyDescent="0.25">
      <c r="A594" s="18" t="s">
        <v>7276</v>
      </c>
      <c r="B594" s="18" t="s">
        <v>1142</v>
      </c>
      <c r="C594" s="18" t="s">
        <v>1143</v>
      </c>
      <c r="D594" s="18" t="s">
        <v>1118</v>
      </c>
      <c r="E594" s="18" t="s">
        <v>6004</v>
      </c>
      <c r="F594" s="2">
        <f>+J594-I594</f>
        <v>30</v>
      </c>
      <c r="G594" s="2">
        <f ca="1">+TODAY()-I594</f>
        <v>25</v>
      </c>
      <c r="H594" s="15">
        <v>169599</v>
      </c>
      <c r="I594" s="1">
        <v>46095</v>
      </c>
      <c r="J594" s="1">
        <v>46125</v>
      </c>
      <c r="K594" s="18" t="s">
        <v>1144</v>
      </c>
      <c r="L594" s="18" t="s">
        <v>207</v>
      </c>
      <c r="M594" s="18" t="s">
        <v>19</v>
      </c>
      <c r="N594" s="18" t="s">
        <v>1145</v>
      </c>
      <c r="O594">
        <v>30</v>
      </c>
    </row>
    <row r="595" spans="1:15" x14ac:dyDescent="0.25">
      <c r="A595" s="18" t="s">
        <v>7276</v>
      </c>
      <c r="B595" s="18" t="s">
        <v>1142</v>
      </c>
      <c r="C595" s="18" t="s">
        <v>1143</v>
      </c>
      <c r="D595" s="18" t="s">
        <v>1118</v>
      </c>
      <c r="E595" s="18" t="s">
        <v>6514</v>
      </c>
      <c r="F595" s="2">
        <f>+J595-I595</f>
        <v>30</v>
      </c>
      <c r="G595" s="2">
        <f ca="1">+TODAY()-I595</f>
        <v>15</v>
      </c>
      <c r="H595" s="15">
        <v>890008</v>
      </c>
      <c r="I595" s="1">
        <v>46105</v>
      </c>
      <c r="J595" s="1">
        <v>46135</v>
      </c>
      <c r="K595" s="18" t="s">
        <v>1144</v>
      </c>
      <c r="L595" s="18" t="s">
        <v>207</v>
      </c>
      <c r="M595" s="18" t="s">
        <v>19</v>
      </c>
      <c r="N595" s="18" t="s">
        <v>1145</v>
      </c>
      <c r="O595">
        <v>30</v>
      </c>
    </row>
    <row r="596" spans="1:15" x14ac:dyDescent="0.25">
      <c r="A596" s="18" t="s">
        <v>7276</v>
      </c>
      <c r="B596" s="18" t="s">
        <v>1142</v>
      </c>
      <c r="C596" s="18" t="s">
        <v>1143</v>
      </c>
      <c r="D596" s="18" t="s">
        <v>1118</v>
      </c>
      <c r="E596" s="18" t="s">
        <v>6515</v>
      </c>
      <c r="F596" s="2">
        <f>+J596-I596</f>
        <v>30</v>
      </c>
      <c r="G596" s="2">
        <f ca="1">+TODAY()-I596</f>
        <v>15</v>
      </c>
      <c r="H596" s="15">
        <v>2686925</v>
      </c>
      <c r="I596" s="1">
        <v>46105</v>
      </c>
      <c r="J596" s="1">
        <v>46135</v>
      </c>
      <c r="K596" s="18" t="s">
        <v>1144</v>
      </c>
      <c r="L596" s="18" t="s">
        <v>207</v>
      </c>
      <c r="M596" s="18" t="s">
        <v>19</v>
      </c>
      <c r="N596" s="18" t="s">
        <v>1145</v>
      </c>
      <c r="O596">
        <v>30</v>
      </c>
    </row>
    <row r="597" spans="1:15" x14ac:dyDescent="0.25">
      <c r="A597" s="18" t="s">
        <v>7276</v>
      </c>
      <c r="B597" s="18" t="s">
        <v>1142</v>
      </c>
      <c r="C597" s="18" t="s">
        <v>1143</v>
      </c>
      <c r="D597" s="18" t="s">
        <v>1118</v>
      </c>
      <c r="E597" s="18" t="s">
        <v>6517</v>
      </c>
      <c r="F597" s="2">
        <f>+J597-I597</f>
        <v>30</v>
      </c>
      <c r="G597" s="2">
        <f ca="1">+TODAY()-I597</f>
        <v>15</v>
      </c>
      <c r="H597" s="15">
        <v>2987632</v>
      </c>
      <c r="I597" s="1">
        <v>46105</v>
      </c>
      <c r="J597" s="1">
        <v>46135</v>
      </c>
      <c r="K597" s="18" t="s">
        <v>1144</v>
      </c>
      <c r="L597" s="18" t="s">
        <v>207</v>
      </c>
      <c r="M597" s="18" t="s">
        <v>19</v>
      </c>
      <c r="N597" s="18" t="s">
        <v>1145</v>
      </c>
      <c r="O597">
        <v>30</v>
      </c>
    </row>
    <row r="598" spans="1:15" x14ac:dyDescent="0.25">
      <c r="A598" s="18" t="s">
        <v>7276</v>
      </c>
      <c r="B598" s="18" t="s">
        <v>1142</v>
      </c>
      <c r="C598" s="18" t="s">
        <v>1143</v>
      </c>
      <c r="D598" s="18" t="s">
        <v>1118</v>
      </c>
      <c r="E598" s="18" t="s">
        <v>6524</v>
      </c>
      <c r="F598" s="2">
        <f>+J598-I598</f>
        <v>30</v>
      </c>
      <c r="G598" s="2">
        <f ca="1">+TODAY()-I598</f>
        <v>15</v>
      </c>
      <c r="H598" s="15">
        <v>2538184</v>
      </c>
      <c r="I598" s="1">
        <v>46105</v>
      </c>
      <c r="J598" s="1">
        <v>46135</v>
      </c>
      <c r="K598" s="18" t="s">
        <v>1144</v>
      </c>
      <c r="L598" s="18" t="s">
        <v>207</v>
      </c>
      <c r="M598" s="18" t="s">
        <v>19</v>
      </c>
      <c r="N598" s="18" t="s">
        <v>1145</v>
      </c>
      <c r="O598">
        <v>30</v>
      </c>
    </row>
    <row r="599" spans="1:15" x14ac:dyDescent="0.25">
      <c r="A599" s="18" t="s">
        <v>7276</v>
      </c>
      <c r="B599" s="18" t="s">
        <v>1142</v>
      </c>
      <c r="C599" s="18" t="s">
        <v>1143</v>
      </c>
      <c r="D599" s="18" t="s">
        <v>1118</v>
      </c>
      <c r="E599" s="18" t="s">
        <v>7089</v>
      </c>
      <c r="F599" s="2">
        <f>+J599-I599</f>
        <v>30</v>
      </c>
      <c r="G599" s="2">
        <f ca="1">+TODAY()-I599</f>
        <v>9</v>
      </c>
      <c r="H599" s="15">
        <v>1158048</v>
      </c>
      <c r="I599" s="1">
        <v>46111</v>
      </c>
      <c r="J599" s="1">
        <v>46141</v>
      </c>
      <c r="K599" s="18" t="s">
        <v>1144</v>
      </c>
      <c r="L599" s="18" t="s">
        <v>207</v>
      </c>
      <c r="M599" s="18" t="s">
        <v>19</v>
      </c>
      <c r="N599" s="18" t="s">
        <v>1145</v>
      </c>
      <c r="O599">
        <v>30</v>
      </c>
    </row>
    <row r="600" spans="1:15" x14ac:dyDescent="0.25">
      <c r="A600" s="18" t="s">
        <v>7276</v>
      </c>
      <c r="B600" s="18" t="s">
        <v>1142</v>
      </c>
      <c r="C600" s="18" t="s">
        <v>1143</v>
      </c>
      <c r="D600" s="18" t="s">
        <v>1118</v>
      </c>
      <c r="E600" s="18" t="s">
        <v>7555</v>
      </c>
      <c r="F600" s="2">
        <f>+J600-I600</f>
        <v>30</v>
      </c>
      <c r="G600" s="2">
        <f ca="1">+TODAY()-I600</f>
        <v>2</v>
      </c>
      <c r="H600" s="15">
        <v>1917191</v>
      </c>
      <c r="I600" s="1">
        <v>46118</v>
      </c>
      <c r="J600" s="1">
        <v>46148</v>
      </c>
      <c r="K600" s="18" t="s">
        <v>1144</v>
      </c>
      <c r="L600" s="18" t="s">
        <v>207</v>
      </c>
      <c r="M600" s="18" t="s">
        <v>19</v>
      </c>
      <c r="N600" s="18" t="s">
        <v>1145</v>
      </c>
      <c r="O600">
        <v>30</v>
      </c>
    </row>
    <row r="601" spans="1:15" x14ac:dyDescent="0.25">
      <c r="A601" s="18" t="s">
        <v>7276</v>
      </c>
      <c r="B601" s="18" t="s">
        <v>1142</v>
      </c>
      <c r="C601" s="18" t="s">
        <v>1143</v>
      </c>
      <c r="D601" s="18" t="s">
        <v>1118</v>
      </c>
      <c r="E601" s="18" t="s">
        <v>7556</v>
      </c>
      <c r="F601" s="2">
        <f>+J601-I601</f>
        <v>30</v>
      </c>
      <c r="G601" s="2">
        <f ca="1">+TODAY()-I601</f>
        <v>2</v>
      </c>
      <c r="H601" s="15">
        <v>2143995</v>
      </c>
      <c r="I601" s="1">
        <v>46118</v>
      </c>
      <c r="J601" s="1">
        <v>46148</v>
      </c>
      <c r="K601" s="18" t="s">
        <v>1144</v>
      </c>
      <c r="L601" s="18" t="s">
        <v>207</v>
      </c>
      <c r="M601" s="18" t="s">
        <v>19</v>
      </c>
      <c r="N601" s="18" t="s">
        <v>1145</v>
      </c>
      <c r="O601">
        <v>30</v>
      </c>
    </row>
    <row r="602" spans="1:15" x14ac:dyDescent="0.25">
      <c r="A602" s="18" t="s">
        <v>7276</v>
      </c>
      <c r="B602" s="18" t="s">
        <v>7281</v>
      </c>
      <c r="C602" s="18" t="s">
        <v>7282</v>
      </c>
      <c r="D602" s="18" t="s">
        <v>15</v>
      </c>
      <c r="E602" s="18" t="s">
        <v>7283</v>
      </c>
      <c r="F602" s="2">
        <f>+J602-I602</f>
        <v>30</v>
      </c>
      <c r="G602" s="2">
        <f ca="1">+TODAY()-I602</f>
        <v>7</v>
      </c>
      <c r="H602" s="15">
        <v>140601</v>
      </c>
      <c r="I602" s="1">
        <v>46113</v>
      </c>
      <c r="J602" s="1">
        <v>46143</v>
      </c>
      <c r="K602" s="18" t="s">
        <v>17</v>
      </c>
      <c r="L602" s="18" t="s">
        <v>47</v>
      </c>
      <c r="M602" s="18" t="s">
        <v>19</v>
      </c>
      <c r="N602" s="18" t="s">
        <v>7284</v>
      </c>
      <c r="O602">
        <v>30</v>
      </c>
    </row>
    <row r="603" spans="1:15" x14ac:dyDescent="0.25">
      <c r="A603" s="18" t="s">
        <v>7276</v>
      </c>
      <c r="B603" s="18" t="s">
        <v>1170</v>
      </c>
      <c r="C603" s="18" t="s">
        <v>1171</v>
      </c>
      <c r="D603" s="18" t="s">
        <v>1118</v>
      </c>
      <c r="E603" s="18" t="s">
        <v>1172</v>
      </c>
      <c r="F603" s="2">
        <f>+J603-I603</f>
        <v>30</v>
      </c>
      <c r="G603" s="2">
        <f ca="1">+TODAY()-I603</f>
        <v>1066</v>
      </c>
      <c r="H603" s="15">
        <v>3335575</v>
      </c>
      <c r="I603" s="1">
        <v>45054</v>
      </c>
      <c r="J603" s="1">
        <v>45084</v>
      </c>
      <c r="K603" s="18" t="s">
        <v>1144</v>
      </c>
      <c r="L603" s="18" t="s">
        <v>207</v>
      </c>
      <c r="M603" s="18" t="s">
        <v>19</v>
      </c>
      <c r="N603" s="18" t="s">
        <v>1173</v>
      </c>
      <c r="O603">
        <v>30</v>
      </c>
    </row>
    <row r="604" spans="1:15" x14ac:dyDescent="0.25">
      <c r="A604" s="18" t="s">
        <v>7276</v>
      </c>
      <c r="B604" s="18" t="s">
        <v>1170</v>
      </c>
      <c r="C604" s="18" t="s">
        <v>1171</v>
      </c>
      <c r="D604" s="18" t="s">
        <v>1118</v>
      </c>
      <c r="E604" s="18" t="s">
        <v>1174</v>
      </c>
      <c r="F604" s="2">
        <f>+J604-I604</f>
        <v>30</v>
      </c>
      <c r="G604" s="2">
        <f ca="1">+TODAY()-I604</f>
        <v>1059</v>
      </c>
      <c r="H604" s="15">
        <v>5619425</v>
      </c>
      <c r="I604" s="1">
        <v>45061</v>
      </c>
      <c r="J604" s="1">
        <v>45091</v>
      </c>
      <c r="K604" s="18" t="s">
        <v>1144</v>
      </c>
      <c r="L604" s="18" t="s">
        <v>207</v>
      </c>
      <c r="M604" s="18" t="s">
        <v>19</v>
      </c>
      <c r="N604" s="18" t="s">
        <v>1173</v>
      </c>
      <c r="O604">
        <v>30</v>
      </c>
    </row>
    <row r="605" spans="1:15" x14ac:dyDescent="0.25">
      <c r="A605" s="18" t="s">
        <v>7276</v>
      </c>
      <c r="B605" s="18" t="s">
        <v>1170</v>
      </c>
      <c r="C605" s="18" t="s">
        <v>1171</v>
      </c>
      <c r="D605" s="18" t="s">
        <v>1118</v>
      </c>
      <c r="E605" s="18" t="s">
        <v>1175</v>
      </c>
      <c r="F605" s="2">
        <f>+J605-I605</f>
        <v>30</v>
      </c>
      <c r="G605" s="2">
        <f ca="1">+TODAY()-I605</f>
        <v>1051</v>
      </c>
      <c r="H605" s="15">
        <v>2445000</v>
      </c>
      <c r="I605" s="1">
        <v>45069</v>
      </c>
      <c r="J605" s="1">
        <v>45099</v>
      </c>
      <c r="K605" s="18" t="s">
        <v>1144</v>
      </c>
      <c r="L605" s="18" t="s">
        <v>207</v>
      </c>
      <c r="M605" s="18" t="s">
        <v>19</v>
      </c>
      <c r="N605" s="18" t="s">
        <v>1173</v>
      </c>
      <c r="O605">
        <v>30</v>
      </c>
    </row>
    <row r="606" spans="1:15" x14ac:dyDescent="0.25">
      <c r="A606" s="18" t="s">
        <v>7276</v>
      </c>
      <c r="B606" s="18" t="s">
        <v>1825</v>
      </c>
      <c r="C606" s="18" t="s">
        <v>1826</v>
      </c>
      <c r="D606" s="18" t="s">
        <v>1827</v>
      </c>
      <c r="E606" s="18" t="s">
        <v>1828</v>
      </c>
      <c r="F606" s="2">
        <f>+J606-I606</f>
        <v>25</v>
      </c>
      <c r="G606" s="2">
        <f ca="1">+TODAY()-I606</f>
        <v>2694</v>
      </c>
      <c r="H606" s="15">
        <v>1509674</v>
      </c>
      <c r="I606" s="1">
        <v>43426</v>
      </c>
      <c r="J606" s="1">
        <v>43451</v>
      </c>
      <c r="K606" s="18" t="s">
        <v>1829</v>
      </c>
      <c r="L606" s="18" t="s">
        <v>1069</v>
      </c>
      <c r="M606" s="18" t="s">
        <v>19</v>
      </c>
      <c r="N606" s="18" t="s">
        <v>1830</v>
      </c>
      <c r="O606">
        <v>30</v>
      </c>
    </row>
    <row r="607" spans="1:15" x14ac:dyDescent="0.25">
      <c r="A607" s="18" t="s">
        <v>7276</v>
      </c>
      <c r="B607" s="18" t="s">
        <v>1825</v>
      </c>
      <c r="C607" s="18" t="s">
        <v>1826</v>
      </c>
      <c r="D607" s="18" t="s">
        <v>1827</v>
      </c>
      <c r="E607" s="18" t="s">
        <v>1831</v>
      </c>
      <c r="F607" s="2">
        <f>+J607-I607</f>
        <v>25</v>
      </c>
      <c r="G607" s="2">
        <f ca="1">+TODAY()-I607</f>
        <v>2680</v>
      </c>
      <c r="H607" s="15">
        <v>2273980</v>
      </c>
      <c r="I607" s="1">
        <v>43440</v>
      </c>
      <c r="J607" s="1">
        <v>43465</v>
      </c>
      <c r="K607" s="18" t="s">
        <v>1829</v>
      </c>
      <c r="L607" s="18" t="s">
        <v>1069</v>
      </c>
      <c r="M607" s="18" t="s">
        <v>19</v>
      </c>
      <c r="N607" s="18" t="s">
        <v>1830</v>
      </c>
      <c r="O607">
        <v>30</v>
      </c>
    </row>
    <row r="608" spans="1:15" x14ac:dyDescent="0.25">
      <c r="A608" s="18" t="s">
        <v>7276</v>
      </c>
      <c r="B608" s="18" t="s">
        <v>1825</v>
      </c>
      <c r="C608" s="18" t="s">
        <v>1826</v>
      </c>
      <c r="D608" s="18" t="s">
        <v>1827</v>
      </c>
      <c r="E608" s="18" t="s">
        <v>1832</v>
      </c>
      <c r="F608" s="2">
        <f>+J608-I608</f>
        <v>25</v>
      </c>
      <c r="G608" s="2">
        <f ca="1">+TODAY()-I608</f>
        <v>2651</v>
      </c>
      <c r="H608" s="15">
        <v>1920585</v>
      </c>
      <c r="I608" s="1">
        <v>43469</v>
      </c>
      <c r="J608" s="1">
        <v>43494</v>
      </c>
      <c r="K608" s="18" t="s">
        <v>1829</v>
      </c>
      <c r="L608" s="18" t="s">
        <v>1069</v>
      </c>
      <c r="M608" s="18" t="s">
        <v>19</v>
      </c>
      <c r="N608" s="18" t="s">
        <v>1830</v>
      </c>
      <c r="O608">
        <v>30</v>
      </c>
    </row>
    <row r="609" spans="1:15" x14ac:dyDescent="0.25">
      <c r="A609" s="18" t="s">
        <v>7276</v>
      </c>
      <c r="B609" s="18" t="s">
        <v>1825</v>
      </c>
      <c r="C609" s="18" t="s">
        <v>1826</v>
      </c>
      <c r="D609" s="18" t="s">
        <v>1827</v>
      </c>
      <c r="E609" s="18" t="s">
        <v>1833</v>
      </c>
      <c r="F609" s="2">
        <f>+J609-I609</f>
        <v>15</v>
      </c>
      <c r="G609" s="2">
        <f ca="1">+TODAY()-I609</f>
        <v>2624</v>
      </c>
      <c r="H609" s="15">
        <v>298700</v>
      </c>
      <c r="I609" s="1">
        <v>43496</v>
      </c>
      <c r="J609" s="1">
        <v>43511</v>
      </c>
      <c r="K609" s="18" t="s">
        <v>1829</v>
      </c>
      <c r="L609" s="18" t="s">
        <v>1069</v>
      </c>
      <c r="M609" s="18" t="s">
        <v>19</v>
      </c>
      <c r="N609" s="18" t="s">
        <v>1830</v>
      </c>
      <c r="O609">
        <v>30</v>
      </c>
    </row>
    <row r="610" spans="1:15" x14ac:dyDescent="0.25">
      <c r="A610" s="18" t="s">
        <v>7276</v>
      </c>
      <c r="B610" s="18" t="s">
        <v>1405</v>
      </c>
      <c r="C610" s="18" t="s">
        <v>1406</v>
      </c>
      <c r="D610" s="18" t="s">
        <v>1401</v>
      </c>
      <c r="E610" s="18" t="s">
        <v>1407</v>
      </c>
      <c r="F610" s="2">
        <f>+J610-I610</f>
        <v>30</v>
      </c>
      <c r="G610" s="2">
        <f ca="1">+TODAY()-I610</f>
        <v>494</v>
      </c>
      <c r="H610" s="15">
        <v>200000</v>
      </c>
      <c r="I610" s="1">
        <v>45626</v>
      </c>
      <c r="J610" s="1">
        <v>45656</v>
      </c>
      <c r="K610" s="18" t="s">
        <v>1403</v>
      </c>
      <c r="L610" s="18" t="s">
        <v>90</v>
      </c>
      <c r="M610" s="18" t="s">
        <v>19</v>
      </c>
      <c r="N610" s="18" t="s">
        <v>1408</v>
      </c>
      <c r="O610">
        <v>30</v>
      </c>
    </row>
    <row r="611" spans="1:15" x14ac:dyDescent="0.25">
      <c r="A611" s="18" t="s">
        <v>7276</v>
      </c>
      <c r="B611" s="18" t="s">
        <v>4619</v>
      </c>
      <c r="C611" s="18" t="s">
        <v>4620</v>
      </c>
      <c r="D611" s="18" t="s">
        <v>1401</v>
      </c>
      <c r="E611" s="18" t="s">
        <v>7199</v>
      </c>
      <c r="F611" s="2">
        <f>+J611-I611</f>
        <v>1</v>
      </c>
      <c r="G611" s="2">
        <f ca="1">+TODAY()-I611</f>
        <v>8</v>
      </c>
      <c r="H611" s="15">
        <v>1568834</v>
      </c>
      <c r="I611" s="1">
        <v>46112</v>
      </c>
      <c r="J611" s="1">
        <v>46113</v>
      </c>
      <c r="K611" s="18" t="s">
        <v>1403</v>
      </c>
      <c r="L611" s="18" t="s">
        <v>90</v>
      </c>
      <c r="M611" s="18" t="s">
        <v>19</v>
      </c>
      <c r="N611" s="18" t="s">
        <v>4622</v>
      </c>
      <c r="O611">
        <v>1</v>
      </c>
    </row>
    <row r="612" spans="1:15" x14ac:dyDescent="0.25">
      <c r="A612" s="18" t="s">
        <v>7276</v>
      </c>
      <c r="B612" s="18" t="s">
        <v>7453</v>
      </c>
      <c r="C612" s="18" t="s">
        <v>7454</v>
      </c>
      <c r="D612" s="18" t="s">
        <v>15</v>
      </c>
      <c r="E612" s="18" t="s">
        <v>7455</v>
      </c>
      <c r="F612" s="2">
        <f>+J612-I612</f>
        <v>1</v>
      </c>
      <c r="G612" s="2">
        <f ca="1">+TODAY()-I612</f>
        <v>1</v>
      </c>
      <c r="H612" s="15">
        <v>416197</v>
      </c>
      <c r="I612" s="1">
        <v>46119</v>
      </c>
      <c r="J612" s="1">
        <v>46120</v>
      </c>
      <c r="K612" s="18" t="s">
        <v>17</v>
      </c>
      <c r="L612" s="18" t="s">
        <v>317</v>
      </c>
      <c r="M612" s="18" t="s">
        <v>19</v>
      </c>
      <c r="N612" s="18" t="s">
        <v>7456</v>
      </c>
      <c r="O612">
        <v>30</v>
      </c>
    </row>
    <row r="613" spans="1:15" x14ac:dyDescent="0.25">
      <c r="A613" s="18" t="s">
        <v>7276</v>
      </c>
      <c r="B613" s="18" t="s">
        <v>1619</v>
      </c>
      <c r="C613" s="18" t="s">
        <v>1620</v>
      </c>
      <c r="D613" s="18" t="s">
        <v>1593</v>
      </c>
      <c r="E613" s="18" t="s">
        <v>5322</v>
      </c>
      <c r="F613" s="2">
        <f>+J613-I613</f>
        <v>30</v>
      </c>
      <c r="G613" s="2">
        <f ca="1">+TODAY()-I613</f>
        <v>43</v>
      </c>
      <c r="H613" s="15">
        <v>354600</v>
      </c>
      <c r="I613" s="1">
        <v>46077</v>
      </c>
      <c r="J613" s="1">
        <v>46107</v>
      </c>
      <c r="K613" s="18" t="s">
        <v>1589</v>
      </c>
      <c r="L613" s="18" t="s">
        <v>984</v>
      </c>
      <c r="M613" s="18" t="s">
        <v>19</v>
      </c>
      <c r="N613" s="18" t="s">
        <v>1621</v>
      </c>
      <c r="O613">
        <v>30</v>
      </c>
    </row>
    <row r="614" spans="1:15" x14ac:dyDescent="0.25">
      <c r="A614" s="18" t="s">
        <v>7276</v>
      </c>
      <c r="B614" s="18" t="s">
        <v>1619</v>
      </c>
      <c r="C614" s="18" t="s">
        <v>1620</v>
      </c>
      <c r="D614" s="18" t="s">
        <v>1593</v>
      </c>
      <c r="E614" s="18" t="s">
        <v>5828</v>
      </c>
      <c r="F614" s="2">
        <f>+J614-I614</f>
        <v>30</v>
      </c>
      <c r="G614" s="2">
        <f ca="1">+TODAY()-I614</f>
        <v>30</v>
      </c>
      <c r="H614" s="15">
        <v>420000</v>
      </c>
      <c r="I614" s="1">
        <v>46090</v>
      </c>
      <c r="J614" s="1">
        <v>46120</v>
      </c>
      <c r="K614" s="18" t="s">
        <v>1589</v>
      </c>
      <c r="L614" s="18" t="s">
        <v>984</v>
      </c>
      <c r="M614" s="18" t="s">
        <v>19</v>
      </c>
      <c r="N614" s="18" t="s">
        <v>1621</v>
      </c>
      <c r="O614">
        <v>30</v>
      </c>
    </row>
    <row r="615" spans="1:15" x14ac:dyDescent="0.25">
      <c r="A615" s="18" t="s">
        <v>7276</v>
      </c>
      <c r="B615" s="18" t="s">
        <v>1619</v>
      </c>
      <c r="C615" s="18" t="s">
        <v>1620</v>
      </c>
      <c r="D615" s="18" t="s">
        <v>1593</v>
      </c>
      <c r="E615" s="18" t="s">
        <v>6631</v>
      </c>
      <c r="F615" s="2">
        <f>+J615-I615</f>
        <v>30</v>
      </c>
      <c r="G615" s="2">
        <f ca="1">+TODAY()-I615</f>
        <v>15</v>
      </c>
      <c r="H615" s="15">
        <v>667099</v>
      </c>
      <c r="I615" s="1">
        <v>46105</v>
      </c>
      <c r="J615" s="1">
        <v>46135</v>
      </c>
      <c r="K615" s="18" t="s">
        <v>1589</v>
      </c>
      <c r="L615" s="18" t="s">
        <v>984</v>
      </c>
      <c r="M615" s="18" t="s">
        <v>19</v>
      </c>
      <c r="N615" s="18" t="s">
        <v>1621</v>
      </c>
      <c r="O615">
        <v>30</v>
      </c>
    </row>
    <row r="616" spans="1:15" x14ac:dyDescent="0.25">
      <c r="A616" s="18" t="s">
        <v>7276</v>
      </c>
      <c r="B616" s="18" t="s">
        <v>1928</v>
      </c>
      <c r="C616" s="18" t="s">
        <v>1929</v>
      </c>
      <c r="D616" s="18" t="s">
        <v>1930</v>
      </c>
      <c r="E616" s="18" t="s">
        <v>6125</v>
      </c>
      <c r="F616" s="2">
        <f>+J616-I616</f>
        <v>30</v>
      </c>
      <c r="G616" s="2">
        <f ca="1">+TODAY()-I616</f>
        <v>25</v>
      </c>
      <c r="H616" s="15">
        <v>2650039</v>
      </c>
      <c r="I616" s="1">
        <v>46095</v>
      </c>
      <c r="J616" s="1">
        <v>46125</v>
      </c>
      <c r="K616" s="18" t="s">
        <v>1854</v>
      </c>
      <c r="L616" s="18" t="s">
        <v>981</v>
      </c>
      <c r="M616" s="18" t="s">
        <v>19</v>
      </c>
      <c r="N616" s="18" t="s">
        <v>1931</v>
      </c>
      <c r="O616">
        <v>30</v>
      </c>
    </row>
    <row r="617" spans="1:15" x14ac:dyDescent="0.25">
      <c r="A617" s="18" t="s">
        <v>7276</v>
      </c>
      <c r="B617" s="18" t="s">
        <v>1057</v>
      </c>
      <c r="C617" s="18" t="s">
        <v>1058</v>
      </c>
      <c r="D617" s="18" t="s">
        <v>998</v>
      </c>
      <c r="E617" s="18" t="s">
        <v>5981</v>
      </c>
      <c r="F617" s="2">
        <f>+J617-I617</f>
        <v>15</v>
      </c>
      <c r="G617" s="2">
        <f ca="1">+TODAY()-I617</f>
        <v>26</v>
      </c>
      <c r="H617" s="15">
        <v>330931</v>
      </c>
      <c r="I617" s="1">
        <v>46094</v>
      </c>
      <c r="J617" s="1">
        <v>46109</v>
      </c>
      <c r="K617" s="18" t="s">
        <v>989</v>
      </c>
      <c r="L617" s="18" t="s">
        <v>317</v>
      </c>
      <c r="M617" s="18" t="s">
        <v>19</v>
      </c>
      <c r="N617" s="18" t="s">
        <v>1059</v>
      </c>
      <c r="O617">
        <v>15</v>
      </c>
    </row>
    <row r="618" spans="1:15" x14ac:dyDescent="0.25">
      <c r="A618" s="18" t="s">
        <v>7276</v>
      </c>
      <c r="B618" s="18" t="s">
        <v>1057</v>
      </c>
      <c r="C618" s="18" t="s">
        <v>1058</v>
      </c>
      <c r="D618" s="18" t="s">
        <v>998</v>
      </c>
      <c r="E618" s="18" t="s">
        <v>6249</v>
      </c>
      <c r="F618" s="2">
        <f>+J618-I618</f>
        <v>10</v>
      </c>
      <c r="G618" s="2">
        <f ca="1">+TODAY()-I618</f>
        <v>19</v>
      </c>
      <c r="H618" s="15">
        <v>342400</v>
      </c>
      <c r="I618" s="1">
        <v>46101</v>
      </c>
      <c r="J618" s="1">
        <v>46111</v>
      </c>
      <c r="K618" s="18" t="s">
        <v>989</v>
      </c>
      <c r="L618" s="18" t="s">
        <v>317</v>
      </c>
      <c r="M618" s="18" t="s">
        <v>19</v>
      </c>
      <c r="N618" s="18" t="s">
        <v>1059</v>
      </c>
      <c r="O618">
        <v>15</v>
      </c>
    </row>
    <row r="619" spans="1:15" x14ac:dyDescent="0.25">
      <c r="A619" s="18" t="s">
        <v>7276</v>
      </c>
      <c r="B619" s="18" t="s">
        <v>1057</v>
      </c>
      <c r="C619" s="18" t="s">
        <v>1058</v>
      </c>
      <c r="D619" s="18" t="s">
        <v>998</v>
      </c>
      <c r="E619" s="18" t="s">
        <v>6250</v>
      </c>
      <c r="F619" s="2">
        <f>+J619-I619</f>
        <v>15</v>
      </c>
      <c r="G619" s="2">
        <f ca="1">+TODAY()-I619</f>
        <v>19</v>
      </c>
      <c r="H619" s="15">
        <v>388100</v>
      </c>
      <c r="I619" s="1">
        <v>46101</v>
      </c>
      <c r="J619" s="1">
        <v>46116</v>
      </c>
      <c r="K619" s="18" t="s">
        <v>989</v>
      </c>
      <c r="L619" s="18" t="s">
        <v>317</v>
      </c>
      <c r="M619" s="18" t="s">
        <v>19</v>
      </c>
      <c r="N619" s="18" t="s">
        <v>1059</v>
      </c>
      <c r="O619">
        <v>15</v>
      </c>
    </row>
    <row r="620" spans="1:15" x14ac:dyDescent="0.25">
      <c r="A620" s="18" t="s">
        <v>7276</v>
      </c>
      <c r="B620" s="18" t="s">
        <v>4519</v>
      </c>
      <c r="C620" s="18" t="s">
        <v>4520</v>
      </c>
      <c r="D620" s="18" t="s">
        <v>1118</v>
      </c>
      <c r="E620" s="18" t="s">
        <v>5755</v>
      </c>
      <c r="F620" s="2">
        <f>+J620-I620</f>
        <v>20</v>
      </c>
      <c r="G620" s="2">
        <f ca="1">+TODAY()-I620</f>
        <v>33</v>
      </c>
      <c r="H620" s="15">
        <v>162938</v>
      </c>
      <c r="I620" s="1">
        <v>46087</v>
      </c>
      <c r="J620" s="1">
        <v>46107</v>
      </c>
      <c r="K620" s="18" t="s">
        <v>1144</v>
      </c>
      <c r="L620" s="18" t="s">
        <v>321</v>
      </c>
      <c r="M620" s="18" t="s">
        <v>19</v>
      </c>
      <c r="N620" s="18" t="s">
        <v>4522</v>
      </c>
      <c r="O620">
        <v>30</v>
      </c>
    </row>
    <row r="621" spans="1:15" x14ac:dyDescent="0.25">
      <c r="A621" s="18" t="s">
        <v>7276</v>
      </c>
      <c r="B621" s="18" t="s">
        <v>4519</v>
      </c>
      <c r="C621" s="18" t="s">
        <v>4520</v>
      </c>
      <c r="D621" s="18" t="s">
        <v>1118</v>
      </c>
      <c r="E621" s="18" t="s">
        <v>6019</v>
      </c>
      <c r="F621" s="2">
        <f>+J621-I621</f>
        <v>20</v>
      </c>
      <c r="G621" s="2">
        <f ca="1">+TODAY()-I621</f>
        <v>26</v>
      </c>
      <c r="H621" s="15">
        <v>169793</v>
      </c>
      <c r="I621" s="1">
        <v>46094</v>
      </c>
      <c r="J621" s="1">
        <v>46114</v>
      </c>
      <c r="K621" s="18" t="s">
        <v>1144</v>
      </c>
      <c r="L621" s="18" t="s">
        <v>321</v>
      </c>
      <c r="M621" s="18" t="s">
        <v>19</v>
      </c>
      <c r="N621" s="18" t="s">
        <v>4522</v>
      </c>
      <c r="O621">
        <v>30</v>
      </c>
    </row>
    <row r="622" spans="1:15" x14ac:dyDescent="0.25">
      <c r="A622" s="18" t="s">
        <v>7276</v>
      </c>
      <c r="B622" s="18" t="s">
        <v>4519</v>
      </c>
      <c r="C622" s="18" t="s">
        <v>4520</v>
      </c>
      <c r="D622" s="18" t="s">
        <v>1118</v>
      </c>
      <c r="E622" s="18" t="s">
        <v>6526</v>
      </c>
      <c r="F622" s="2">
        <f>+J622-I622</f>
        <v>15</v>
      </c>
      <c r="G622" s="2">
        <f ca="1">+TODAY()-I622</f>
        <v>12</v>
      </c>
      <c r="H622" s="15">
        <v>153240</v>
      </c>
      <c r="I622" s="1">
        <v>46108</v>
      </c>
      <c r="J622" s="1">
        <v>46123</v>
      </c>
      <c r="K622" s="18" t="s">
        <v>1144</v>
      </c>
      <c r="L622" s="18" t="s">
        <v>321</v>
      </c>
      <c r="M622" s="18" t="s">
        <v>19</v>
      </c>
      <c r="N622" s="18" t="s">
        <v>4522</v>
      </c>
      <c r="O622">
        <v>30</v>
      </c>
    </row>
    <row r="623" spans="1:15" x14ac:dyDescent="0.25">
      <c r="A623" s="18" t="s">
        <v>7276</v>
      </c>
      <c r="B623" s="18" t="s">
        <v>1275</v>
      </c>
      <c r="C623" s="18" t="s">
        <v>1276</v>
      </c>
      <c r="D623" s="18" t="s">
        <v>1277</v>
      </c>
      <c r="E623" s="18" t="s">
        <v>5280</v>
      </c>
      <c r="F623" s="2">
        <f>+J623-I623</f>
        <v>30</v>
      </c>
      <c r="G623" s="2">
        <f ca="1">+TODAY()-I623</f>
        <v>40</v>
      </c>
      <c r="H623" s="15">
        <v>349504</v>
      </c>
      <c r="I623" s="1">
        <v>46080</v>
      </c>
      <c r="J623" s="1">
        <v>46110</v>
      </c>
      <c r="K623" s="18" t="s">
        <v>1260</v>
      </c>
      <c r="L623" s="18" t="s">
        <v>981</v>
      </c>
      <c r="M623" s="18" t="s">
        <v>19</v>
      </c>
      <c r="N623" s="18" t="s">
        <v>1278</v>
      </c>
      <c r="O623">
        <v>30</v>
      </c>
    </row>
    <row r="624" spans="1:15" x14ac:dyDescent="0.25">
      <c r="A624" s="18" t="s">
        <v>7276</v>
      </c>
      <c r="B624" s="18" t="s">
        <v>1275</v>
      </c>
      <c r="C624" s="18" t="s">
        <v>1276</v>
      </c>
      <c r="D624" s="18" t="s">
        <v>1277</v>
      </c>
      <c r="E624" s="18" t="s">
        <v>6036</v>
      </c>
      <c r="F624" s="2">
        <f>+J624-I624</f>
        <v>30</v>
      </c>
      <c r="G624" s="2">
        <f ca="1">+TODAY()-I624</f>
        <v>25</v>
      </c>
      <c r="H624" s="15">
        <v>861794</v>
      </c>
      <c r="I624" s="1">
        <v>46095</v>
      </c>
      <c r="J624" s="1">
        <v>46125</v>
      </c>
      <c r="K624" s="18" t="s">
        <v>1260</v>
      </c>
      <c r="L624" s="18" t="s">
        <v>981</v>
      </c>
      <c r="M624" s="18" t="s">
        <v>19</v>
      </c>
      <c r="N624" s="18" t="s">
        <v>1278</v>
      </c>
      <c r="O624">
        <v>30</v>
      </c>
    </row>
    <row r="625" spans="1:15" x14ac:dyDescent="0.25">
      <c r="A625" s="18" t="s">
        <v>7276</v>
      </c>
      <c r="B625" s="18" t="s">
        <v>1275</v>
      </c>
      <c r="C625" s="18" t="s">
        <v>1276</v>
      </c>
      <c r="D625" s="18" t="s">
        <v>1277</v>
      </c>
      <c r="E625" s="18" t="s">
        <v>5127</v>
      </c>
      <c r="F625" s="2">
        <f>+J625-I625</f>
        <v>30</v>
      </c>
      <c r="G625" s="2">
        <f ca="1">+TODAY()-I625</f>
        <v>55</v>
      </c>
      <c r="H625" s="15">
        <v>721002</v>
      </c>
      <c r="I625" s="1">
        <v>46065</v>
      </c>
      <c r="J625" s="1">
        <v>46095</v>
      </c>
      <c r="K625" s="18" t="s">
        <v>1260</v>
      </c>
      <c r="L625" s="18" t="s">
        <v>981</v>
      </c>
      <c r="M625" s="18" t="s">
        <v>19</v>
      </c>
      <c r="N625" s="18" t="s">
        <v>1278</v>
      </c>
      <c r="O625">
        <v>30</v>
      </c>
    </row>
    <row r="626" spans="1:15" x14ac:dyDescent="0.25">
      <c r="A626" s="18" t="s">
        <v>7276</v>
      </c>
      <c r="B626" s="18" t="s">
        <v>29</v>
      </c>
      <c r="C626" s="18" t="s">
        <v>30</v>
      </c>
      <c r="D626" s="18" t="s">
        <v>15</v>
      </c>
      <c r="E626" s="18" t="s">
        <v>31</v>
      </c>
      <c r="F626" s="2">
        <f>+J626-I626</f>
        <v>30</v>
      </c>
      <c r="G626" s="2">
        <f ca="1">+TODAY()-I626</f>
        <v>406</v>
      </c>
      <c r="H626" s="15">
        <v>1432296</v>
      </c>
      <c r="I626" s="1">
        <v>45714</v>
      </c>
      <c r="J626" s="1">
        <v>45744</v>
      </c>
      <c r="K626" s="18" t="s">
        <v>17</v>
      </c>
      <c r="L626" s="18" t="s">
        <v>32</v>
      </c>
      <c r="M626" s="18" t="s">
        <v>19</v>
      </c>
      <c r="N626" s="18" t="s">
        <v>33</v>
      </c>
      <c r="O626">
        <v>30</v>
      </c>
    </row>
    <row r="627" spans="1:15" x14ac:dyDescent="0.25">
      <c r="A627" s="18" t="s">
        <v>7276</v>
      </c>
      <c r="B627" s="18" t="s">
        <v>29</v>
      </c>
      <c r="C627" s="18" t="s">
        <v>30</v>
      </c>
      <c r="D627" s="18" t="s">
        <v>15</v>
      </c>
      <c r="E627" s="18" t="s">
        <v>34</v>
      </c>
      <c r="F627" s="2">
        <f>+J627-I627</f>
        <v>30</v>
      </c>
      <c r="G627" s="2">
        <f ca="1">+TODAY()-I627</f>
        <v>384</v>
      </c>
      <c r="H627" s="15">
        <v>748439</v>
      </c>
      <c r="I627" s="1">
        <v>45736</v>
      </c>
      <c r="J627" s="1">
        <v>45766</v>
      </c>
      <c r="K627" s="18" t="s">
        <v>17</v>
      </c>
      <c r="L627" s="18" t="s">
        <v>32</v>
      </c>
      <c r="M627" s="18" t="s">
        <v>19</v>
      </c>
      <c r="N627" s="18" t="s">
        <v>33</v>
      </c>
      <c r="O627">
        <v>30</v>
      </c>
    </row>
    <row r="628" spans="1:15" x14ac:dyDescent="0.25">
      <c r="A628" s="18" t="s">
        <v>7276</v>
      </c>
      <c r="B628" s="18" t="s">
        <v>7143</v>
      </c>
      <c r="C628" s="18" t="s">
        <v>7144</v>
      </c>
      <c r="D628" s="18" t="s">
        <v>46</v>
      </c>
      <c r="E628" s="18" t="s">
        <v>7145</v>
      </c>
      <c r="F628" s="2">
        <f>+J628-I628</f>
        <v>1</v>
      </c>
      <c r="G628" s="2">
        <f ca="1">+TODAY()-I628</f>
        <v>8</v>
      </c>
      <c r="H628" s="15">
        <v>63829</v>
      </c>
      <c r="I628" s="1">
        <v>46112</v>
      </c>
      <c r="J628" s="1">
        <v>46113</v>
      </c>
      <c r="K628" s="18" t="s">
        <v>1233</v>
      </c>
      <c r="L628" s="18" t="s">
        <v>317</v>
      </c>
      <c r="M628" s="18" t="s">
        <v>19</v>
      </c>
      <c r="N628" s="18" t="s">
        <v>7146</v>
      </c>
      <c r="O628">
        <v>8</v>
      </c>
    </row>
    <row r="629" spans="1:15" x14ac:dyDescent="0.25">
      <c r="A629" s="18" t="s">
        <v>7276</v>
      </c>
      <c r="B629" s="18" t="s">
        <v>5123</v>
      </c>
      <c r="C629" s="18" t="s">
        <v>5124</v>
      </c>
      <c r="D629" s="18" t="s">
        <v>1259</v>
      </c>
      <c r="E629" s="18" t="s">
        <v>5125</v>
      </c>
      <c r="F629" s="2">
        <f>+J629-I629</f>
        <v>30</v>
      </c>
      <c r="G629" s="2">
        <f ca="1">+TODAY()-I629</f>
        <v>55</v>
      </c>
      <c r="H629" s="15">
        <v>2181908</v>
      </c>
      <c r="I629" s="1">
        <v>46065</v>
      </c>
      <c r="J629" s="1">
        <v>46095</v>
      </c>
      <c r="K629" s="18" t="s">
        <v>1260</v>
      </c>
      <c r="L629" s="18" t="s">
        <v>981</v>
      </c>
      <c r="M629" s="18" t="s">
        <v>19</v>
      </c>
      <c r="N629" s="18" t="s">
        <v>5126</v>
      </c>
      <c r="O629">
        <v>30</v>
      </c>
    </row>
    <row r="630" spans="1:15" x14ac:dyDescent="0.25">
      <c r="A630" s="18" t="s">
        <v>7276</v>
      </c>
      <c r="B630" s="18" t="s">
        <v>44</v>
      </c>
      <c r="C630" s="18" t="s">
        <v>45</v>
      </c>
      <c r="D630" s="18" t="s">
        <v>46</v>
      </c>
      <c r="E630" s="18" t="s">
        <v>5887</v>
      </c>
      <c r="F630" s="2">
        <f>+J630-I630</f>
        <v>30</v>
      </c>
      <c r="G630" s="2">
        <f ca="1">+TODAY()-I630</f>
        <v>26</v>
      </c>
      <c r="H630" s="15">
        <v>831643</v>
      </c>
      <c r="I630" s="1">
        <v>46094</v>
      </c>
      <c r="J630" s="1">
        <v>46124</v>
      </c>
      <c r="K630" s="18" t="s">
        <v>17</v>
      </c>
      <c r="L630" s="18" t="s">
        <v>32</v>
      </c>
      <c r="M630" s="18" t="s">
        <v>19</v>
      </c>
      <c r="N630" s="18" t="s">
        <v>48</v>
      </c>
      <c r="O630">
        <v>30</v>
      </c>
    </row>
    <row r="631" spans="1:15" x14ac:dyDescent="0.25">
      <c r="A631" s="18" t="s">
        <v>7276</v>
      </c>
      <c r="B631" s="18" t="s">
        <v>44</v>
      </c>
      <c r="C631" s="18" t="s">
        <v>45</v>
      </c>
      <c r="D631" s="18" t="s">
        <v>46</v>
      </c>
      <c r="E631" s="18" t="s">
        <v>6393</v>
      </c>
      <c r="F631" s="2">
        <f>+J631-I631</f>
        <v>10</v>
      </c>
      <c r="G631" s="2">
        <f ca="1">+TODAY()-I631</f>
        <v>15</v>
      </c>
      <c r="H631" s="15">
        <v>1165600</v>
      </c>
      <c r="I631" s="1">
        <v>46105</v>
      </c>
      <c r="J631" s="1">
        <v>46115</v>
      </c>
      <c r="K631" s="18" t="s">
        <v>17</v>
      </c>
      <c r="L631" s="18" t="s">
        <v>32</v>
      </c>
      <c r="M631" s="18" t="s">
        <v>19</v>
      </c>
      <c r="N631" s="18" t="s">
        <v>48</v>
      </c>
      <c r="O631">
        <v>30</v>
      </c>
    </row>
    <row r="632" spans="1:15" x14ac:dyDescent="0.25">
      <c r="A632" s="18" t="s">
        <v>7276</v>
      </c>
      <c r="B632" s="18" t="s">
        <v>44</v>
      </c>
      <c r="C632" s="18" t="s">
        <v>45</v>
      </c>
      <c r="D632" s="18" t="s">
        <v>46</v>
      </c>
      <c r="E632" s="18" t="s">
        <v>7316</v>
      </c>
      <c r="F632" s="2">
        <f>+J632-I632</f>
        <v>30</v>
      </c>
      <c r="G632" s="2">
        <f ca="1">+TODAY()-I632</f>
        <v>7</v>
      </c>
      <c r="H632" s="15">
        <v>538659</v>
      </c>
      <c r="I632" s="1">
        <v>46113</v>
      </c>
      <c r="J632" s="1">
        <v>46143</v>
      </c>
      <c r="K632" s="18" t="s">
        <v>17</v>
      </c>
      <c r="L632" s="18" t="s">
        <v>32</v>
      </c>
      <c r="M632" s="18" t="s">
        <v>19</v>
      </c>
      <c r="N632" s="18" t="s">
        <v>48</v>
      </c>
      <c r="O632">
        <v>30</v>
      </c>
    </row>
    <row r="633" spans="1:15" x14ac:dyDescent="0.25">
      <c r="A633" s="18" t="s">
        <v>7276</v>
      </c>
      <c r="B633" s="18" t="s">
        <v>44</v>
      </c>
      <c r="C633" s="18" t="s">
        <v>45</v>
      </c>
      <c r="D633" s="18" t="s">
        <v>46</v>
      </c>
      <c r="E633" s="18" t="s">
        <v>5535</v>
      </c>
      <c r="F633" s="2">
        <f>+J633-I633</f>
        <v>30</v>
      </c>
      <c r="G633" s="2">
        <f ca="1">+TODAY()-I633</f>
        <v>33</v>
      </c>
      <c r="H633" s="15">
        <v>1454837</v>
      </c>
      <c r="I633" s="1">
        <v>46087</v>
      </c>
      <c r="J633" s="1">
        <v>46117</v>
      </c>
      <c r="K633" s="18" t="s">
        <v>343</v>
      </c>
      <c r="L633" s="18" t="s">
        <v>117</v>
      </c>
      <c r="M633" s="18" t="s">
        <v>19</v>
      </c>
      <c r="N633" s="18" t="s">
        <v>48</v>
      </c>
      <c r="O633">
        <v>30</v>
      </c>
    </row>
    <row r="634" spans="1:15" x14ac:dyDescent="0.25">
      <c r="A634" s="18" t="s">
        <v>7276</v>
      </c>
      <c r="B634" s="18" t="s">
        <v>1455</v>
      </c>
      <c r="C634" s="18" t="s">
        <v>1456</v>
      </c>
      <c r="D634" s="18" t="s">
        <v>875</v>
      </c>
      <c r="E634" s="18" t="s">
        <v>6805</v>
      </c>
      <c r="F634" s="2">
        <f>+J634-I634</f>
        <v>30</v>
      </c>
      <c r="G634" s="2">
        <f ca="1">+TODAY()-I634</f>
        <v>8</v>
      </c>
      <c r="H634" s="15">
        <v>296168</v>
      </c>
      <c r="I634" s="1">
        <v>46112</v>
      </c>
      <c r="J634" s="1">
        <v>46142</v>
      </c>
      <c r="K634" s="18" t="s">
        <v>17</v>
      </c>
      <c r="L634" s="18" t="s">
        <v>90</v>
      </c>
      <c r="M634" s="18" t="s">
        <v>19</v>
      </c>
      <c r="N634" s="18" t="s">
        <v>179</v>
      </c>
      <c r="O634">
        <v>30</v>
      </c>
    </row>
    <row r="635" spans="1:15" x14ac:dyDescent="0.25">
      <c r="A635" s="18" t="s">
        <v>7276</v>
      </c>
      <c r="B635" s="18" t="s">
        <v>1455</v>
      </c>
      <c r="C635" s="18" t="s">
        <v>1456</v>
      </c>
      <c r="D635" s="18" t="s">
        <v>875</v>
      </c>
      <c r="E635" s="18" t="s">
        <v>7206</v>
      </c>
      <c r="F635" s="2">
        <f>+J635-I635</f>
        <v>30</v>
      </c>
      <c r="G635" s="2">
        <f ca="1">+TODAY()-I635</f>
        <v>8</v>
      </c>
      <c r="H635" s="15">
        <v>111198</v>
      </c>
      <c r="I635" s="1">
        <v>46112</v>
      </c>
      <c r="J635" s="1">
        <v>46142</v>
      </c>
      <c r="K635" s="18" t="s">
        <v>1403</v>
      </c>
      <c r="L635" s="18" t="s">
        <v>90</v>
      </c>
      <c r="M635" s="18" t="s">
        <v>19</v>
      </c>
      <c r="N635" s="18" t="s">
        <v>179</v>
      </c>
      <c r="O635">
        <v>30</v>
      </c>
    </row>
    <row r="636" spans="1:15" x14ac:dyDescent="0.25">
      <c r="A636" s="18" t="s">
        <v>7276</v>
      </c>
      <c r="B636" s="18" t="s">
        <v>1455</v>
      </c>
      <c r="C636" s="18" t="s">
        <v>1456</v>
      </c>
      <c r="D636" s="18" t="s">
        <v>875</v>
      </c>
      <c r="E636" s="18" t="s">
        <v>7814</v>
      </c>
      <c r="F636" s="2">
        <f>+J636-I636</f>
        <v>23</v>
      </c>
      <c r="G636" s="2">
        <f ca="1">+TODAY()-I636</f>
        <v>1</v>
      </c>
      <c r="H636" s="15">
        <v>77160</v>
      </c>
      <c r="I636" s="1">
        <v>46119</v>
      </c>
      <c r="J636" s="1">
        <v>46142</v>
      </c>
      <c r="K636" s="18" t="s">
        <v>1403</v>
      </c>
      <c r="L636" s="18" t="s">
        <v>90</v>
      </c>
      <c r="M636" s="18" t="s">
        <v>19</v>
      </c>
      <c r="N636" s="18" t="s">
        <v>179</v>
      </c>
      <c r="O636">
        <v>30</v>
      </c>
    </row>
    <row r="637" spans="1:15" x14ac:dyDescent="0.25">
      <c r="A637" s="18" t="s">
        <v>7276</v>
      </c>
      <c r="B637" s="18" t="s">
        <v>2313</v>
      </c>
      <c r="C637" s="18" t="s">
        <v>2314</v>
      </c>
      <c r="D637" s="18" t="s">
        <v>875</v>
      </c>
      <c r="E637" s="18" t="s">
        <v>5698</v>
      </c>
      <c r="F637" s="2">
        <f>+J637-I637</f>
        <v>30</v>
      </c>
      <c r="G637" s="2">
        <f ca="1">+TODAY()-I637</f>
        <v>30</v>
      </c>
      <c r="H637" s="15">
        <v>3780000</v>
      </c>
      <c r="I637" s="1">
        <v>46090</v>
      </c>
      <c r="J637" s="1">
        <v>46120</v>
      </c>
      <c r="K637" s="18" t="s">
        <v>845</v>
      </c>
      <c r="L637" s="18" t="s">
        <v>109</v>
      </c>
      <c r="M637" s="18" t="s">
        <v>19</v>
      </c>
      <c r="N637" s="18" t="s">
        <v>2316</v>
      </c>
      <c r="O637">
        <v>30</v>
      </c>
    </row>
    <row r="638" spans="1:15" x14ac:dyDescent="0.25">
      <c r="A638" s="18" t="s">
        <v>7276</v>
      </c>
      <c r="B638" s="18" t="s">
        <v>2313</v>
      </c>
      <c r="C638" s="18" t="s">
        <v>2314</v>
      </c>
      <c r="D638" s="18" t="s">
        <v>875</v>
      </c>
      <c r="E638" s="18" t="s">
        <v>5699</v>
      </c>
      <c r="F638" s="2">
        <f>+J638-I638</f>
        <v>30</v>
      </c>
      <c r="G638" s="2">
        <f ca="1">+TODAY()-I638</f>
        <v>30</v>
      </c>
      <c r="H638" s="15">
        <v>2893737</v>
      </c>
      <c r="I638" s="1">
        <v>46090</v>
      </c>
      <c r="J638" s="1">
        <v>46120</v>
      </c>
      <c r="K638" s="18" t="s">
        <v>845</v>
      </c>
      <c r="L638" s="18" t="s">
        <v>109</v>
      </c>
      <c r="M638" s="18" t="s">
        <v>19</v>
      </c>
      <c r="N638" s="18" t="s">
        <v>2316</v>
      </c>
      <c r="O638">
        <v>30</v>
      </c>
    </row>
    <row r="639" spans="1:15" x14ac:dyDescent="0.25">
      <c r="A639" s="18" t="s">
        <v>7276</v>
      </c>
      <c r="B639" s="18" t="s">
        <v>2313</v>
      </c>
      <c r="C639" s="18" t="s">
        <v>2314</v>
      </c>
      <c r="D639" s="18" t="s">
        <v>875</v>
      </c>
      <c r="E639" s="18" t="s">
        <v>5700</v>
      </c>
      <c r="F639" s="2">
        <f>+J639-I639</f>
        <v>30</v>
      </c>
      <c r="G639" s="2">
        <f ca="1">+TODAY()-I639</f>
        <v>30</v>
      </c>
      <c r="H639" s="15">
        <v>3834895</v>
      </c>
      <c r="I639" s="1">
        <v>46090</v>
      </c>
      <c r="J639" s="1">
        <v>46120</v>
      </c>
      <c r="K639" s="18" t="s">
        <v>845</v>
      </c>
      <c r="L639" s="18" t="s">
        <v>109</v>
      </c>
      <c r="M639" s="18" t="s">
        <v>19</v>
      </c>
      <c r="N639" s="18" t="s">
        <v>2316</v>
      </c>
      <c r="O639">
        <v>30</v>
      </c>
    </row>
    <row r="640" spans="1:15" x14ac:dyDescent="0.25">
      <c r="A640" s="18" t="s">
        <v>7276</v>
      </c>
      <c r="B640" s="18" t="s">
        <v>2313</v>
      </c>
      <c r="C640" s="18" t="s">
        <v>2314</v>
      </c>
      <c r="D640" s="18" t="s">
        <v>875</v>
      </c>
      <c r="E640" s="18" t="s">
        <v>6234</v>
      </c>
      <c r="F640" s="2">
        <f>+J640-I640</f>
        <v>30</v>
      </c>
      <c r="G640" s="2">
        <f ca="1">+TODAY()-I640</f>
        <v>19</v>
      </c>
      <c r="H640" s="15">
        <v>5821200</v>
      </c>
      <c r="I640" s="1">
        <v>46101</v>
      </c>
      <c r="J640" s="1">
        <v>46131</v>
      </c>
      <c r="K640" s="18" t="s">
        <v>845</v>
      </c>
      <c r="L640" s="18" t="s">
        <v>109</v>
      </c>
      <c r="M640" s="18" t="s">
        <v>19</v>
      </c>
      <c r="N640" s="18" t="s">
        <v>2316</v>
      </c>
      <c r="O640">
        <v>30</v>
      </c>
    </row>
    <row r="641" spans="1:15" x14ac:dyDescent="0.25">
      <c r="A641" s="18" t="s">
        <v>7276</v>
      </c>
      <c r="B641" s="18" t="s">
        <v>2313</v>
      </c>
      <c r="C641" s="18" t="s">
        <v>2314</v>
      </c>
      <c r="D641" s="18" t="s">
        <v>875</v>
      </c>
      <c r="E641" s="18" t="s">
        <v>6235</v>
      </c>
      <c r="F641" s="2">
        <f>+J641-I641</f>
        <v>30</v>
      </c>
      <c r="G641" s="2">
        <f ca="1">+TODAY()-I641</f>
        <v>19</v>
      </c>
      <c r="H641" s="15">
        <v>1632775</v>
      </c>
      <c r="I641" s="1">
        <v>46101</v>
      </c>
      <c r="J641" s="1">
        <v>46131</v>
      </c>
      <c r="K641" s="18" t="s">
        <v>845</v>
      </c>
      <c r="L641" s="18" t="s">
        <v>109</v>
      </c>
      <c r="M641" s="18" t="s">
        <v>19</v>
      </c>
      <c r="N641" s="18" t="s">
        <v>2316</v>
      </c>
      <c r="O641">
        <v>30</v>
      </c>
    </row>
    <row r="642" spans="1:15" x14ac:dyDescent="0.25">
      <c r="A642" s="18" t="s">
        <v>7276</v>
      </c>
      <c r="B642" s="18" t="s">
        <v>2313</v>
      </c>
      <c r="C642" s="18" t="s">
        <v>2314</v>
      </c>
      <c r="D642" s="18" t="s">
        <v>875</v>
      </c>
      <c r="E642" s="18" t="s">
        <v>6236</v>
      </c>
      <c r="F642" s="2">
        <f>+J642-I642</f>
        <v>30</v>
      </c>
      <c r="G642" s="2">
        <f ca="1">+TODAY()-I642</f>
        <v>19</v>
      </c>
      <c r="H642" s="15">
        <v>5070897</v>
      </c>
      <c r="I642" s="1">
        <v>46101</v>
      </c>
      <c r="J642" s="1">
        <v>46131</v>
      </c>
      <c r="K642" s="18" t="s">
        <v>845</v>
      </c>
      <c r="L642" s="18" t="s">
        <v>109</v>
      </c>
      <c r="M642" s="18" t="s">
        <v>19</v>
      </c>
      <c r="N642" s="18" t="s">
        <v>2316</v>
      </c>
      <c r="O642">
        <v>30</v>
      </c>
    </row>
    <row r="643" spans="1:15" x14ac:dyDescent="0.25">
      <c r="A643" s="18" t="s">
        <v>7276</v>
      </c>
      <c r="B643" s="18" t="s">
        <v>2313</v>
      </c>
      <c r="C643" s="18" t="s">
        <v>2314</v>
      </c>
      <c r="D643" s="18" t="s">
        <v>875</v>
      </c>
      <c r="E643" s="18" t="s">
        <v>5554</v>
      </c>
      <c r="F643" s="2">
        <f>+J643-I643</f>
        <v>30</v>
      </c>
      <c r="G643" s="2">
        <f ca="1">+TODAY()-I643</f>
        <v>34</v>
      </c>
      <c r="H643" s="15">
        <v>1110199</v>
      </c>
      <c r="I643" s="1">
        <v>46086</v>
      </c>
      <c r="J643" s="1">
        <v>46116</v>
      </c>
      <c r="K643" s="18" t="s">
        <v>1403</v>
      </c>
      <c r="L643" s="18" t="s">
        <v>109</v>
      </c>
      <c r="M643" s="18" t="s">
        <v>19</v>
      </c>
      <c r="N643" s="18" t="s">
        <v>2316</v>
      </c>
      <c r="O643">
        <v>30</v>
      </c>
    </row>
    <row r="644" spans="1:15" x14ac:dyDescent="0.25">
      <c r="A644" s="18" t="s">
        <v>7276</v>
      </c>
      <c r="B644" s="18" t="s">
        <v>2313</v>
      </c>
      <c r="C644" s="18" t="s">
        <v>2314</v>
      </c>
      <c r="D644" s="18" t="s">
        <v>875</v>
      </c>
      <c r="E644" s="18" t="s">
        <v>5555</v>
      </c>
      <c r="F644" s="2">
        <f>+J644-I644</f>
        <v>30</v>
      </c>
      <c r="G644" s="2">
        <f ca="1">+TODAY()-I644</f>
        <v>34</v>
      </c>
      <c r="H644" s="15">
        <v>951599</v>
      </c>
      <c r="I644" s="1">
        <v>46086</v>
      </c>
      <c r="J644" s="1">
        <v>46116</v>
      </c>
      <c r="K644" s="18" t="s">
        <v>1403</v>
      </c>
      <c r="L644" s="18" t="s">
        <v>109</v>
      </c>
      <c r="M644" s="18" t="s">
        <v>19</v>
      </c>
      <c r="N644" s="18" t="s">
        <v>2316</v>
      </c>
      <c r="O644">
        <v>30</v>
      </c>
    </row>
    <row r="645" spans="1:15" x14ac:dyDescent="0.25">
      <c r="A645" s="18" t="s">
        <v>7276</v>
      </c>
      <c r="B645" s="18" t="s">
        <v>2313</v>
      </c>
      <c r="C645" s="18" t="s">
        <v>2314</v>
      </c>
      <c r="D645" s="18" t="s">
        <v>875</v>
      </c>
      <c r="E645" s="18" t="s">
        <v>5557</v>
      </c>
      <c r="F645" s="2">
        <f>+J645-I645</f>
        <v>30</v>
      </c>
      <c r="G645" s="2">
        <f ca="1">+TODAY()-I645</f>
        <v>34</v>
      </c>
      <c r="H645" s="15">
        <v>4120200</v>
      </c>
      <c r="I645" s="1">
        <v>46086</v>
      </c>
      <c r="J645" s="1">
        <v>46116</v>
      </c>
      <c r="K645" s="18" t="s">
        <v>1403</v>
      </c>
      <c r="L645" s="18" t="s">
        <v>109</v>
      </c>
      <c r="M645" s="18" t="s">
        <v>19</v>
      </c>
      <c r="N645" s="18" t="s">
        <v>2316</v>
      </c>
      <c r="O645">
        <v>30</v>
      </c>
    </row>
    <row r="646" spans="1:15" x14ac:dyDescent="0.25">
      <c r="A646" s="18" t="s">
        <v>7276</v>
      </c>
      <c r="B646" s="18" t="s">
        <v>2313</v>
      </c>
      <c r="C646" s="18" t="s">
        <v>2314</v>
      </c>
      <c r="D646" s="18" t="s">
        <v>875</v>
      </c>
      <c r="E646" s="18" t="s">
        <v>5558</v>
      </c>
      <c r="F646" s="2">
        <f>+J646-I646</f>
        <v>30</v>
      </c>
      <c r="G646" s="2">
        <f ca="1">+TODAY()-I646</f>
        <v>34</v>
      </c>
      <c r="H646" s="15">
        <v>2002506</v>
      </c>
      <c r="I646" s="1">
        <v>46086</v>
      </c>
      <c r="J646" s="1">
        <v>46116</v>
      </c>
      <c r="K646" s="18" t="s">
        <v>1403</v>
      </c>
      <c r="L646" s="18" t="s">
        <v>109</v>
      </c>
      <c r="M646" s="18" t="s">
        <v>19</v>
      </c>
      <c r="N646" s="18" t="s">
        <v>2316</v>
      </c>
      <c r="O646">
        <v>30</v>
      </c>
    </row>
    <row r="647" spans="1:15" x14ac:dyDescent="0.25">
      <c r="A647" s="18" t="s">
        <v>7276</v>
      </c>
      <c r="B647" s="18" t="s">
        <v>2313</v>
      </c>
      <c r="C647" s="18" t="s">
        <v>2314</v>
      </c>
      <c r="D647" s="18" t="s">
        <v>875</v>
      </c>
      <c r="E647" s="18" t="s">
        <v>5559</v>
      </c>
      <c r="F647" s="2">
        <f>+J647-I647</f>
        <v>30</v>
      </c>
      <c r="G647" s="2">
        <f ca="1">+TODAY()-I647</f>
        <v>34</v>
      </c>
      <c r="H647" s="15">
        <v>4730559</v>
      </c>
      <c r="I647" s="1">
        <v>46086</v>
      </c>
      <c r="J647" s="1">
        <v>46116</v>
      </c>
      <c r="K647" s="18" t="s">
        <v>1403</v>
      </c>
      <c r="L647" s="18" t="s">
        <v>109</v>
      </c>
      <c r="M647" s="18" t="s">
        <v>19</v>
      </c>
      <c r="N647" s="18" t="s">
        <v>2316</v>
      </c>
      <c r="O647">
        <v>30</v>
      </c>
    </row>
    <row r="648" spans="1:15" x14ac:dyDescent="0.25">
      <c r="A648" s="18" t="s">
        <v>7276</v>
      </c>
      <c r="B648" s="18" t="s">
        <v>2313</v>
      </c>
      <c r="C648" s="18" t="s">
        <v>2314</v>
      </c>
      <c r="D648" s="18" t="s">
        <v>875</v>
      </c>
      <c r="E648" s="18" t="s">
        <v>6326</v>
      </c>
      <c r="F648" s="2">
        <f>+J648-I648</f>
        <v>30</v>
      </c>
      <c r="G648" s="2">
        <f ca="1">+TODAY()-I648</f>
        <v>19</v>
      </c>
      <c r="H648" s="15">
        <v>5103000</v>
      </c>
      <c r="I648" s="1">
        <v>46101</v>
      </c>
      <c r="J648" s="1">
        <v>46131</v>
      </c>
      <c r="K648" s="18" t="s">
        <v>1403</v>
      </c>
      <c r="L648" s="18" t="s">
        <v>109</v>
      </c>
      <c r="M648" s="18" t="s">
        <v>19</v>
      </c>
      <c r="N648" s="18" t="s">
        <v>2316</v>
      </c>
      <c r="O648">
        <v>30</v>
      </c>
    </row>
    <row r="649" spans="1:15" x14ac:dyDescent="0.25">
      <c r="A649" s="18" t="s">
        <v>7276</v>
      </c>
      <c r="B649" s="18" t="s">
        <v>2313</v>
      </c>
      <c r="C649" s="18" t="s">
        <v>2314</v>
      </c>
      <c r="D649" s="18" t="s">
        <v>875</v>
      </c>
      <c r="E649" s="18" t="s">
        <v>6327</v>
      </c>
      <c r="F649" s="2">
        <f>+J649-I649</f>
        <v>30</v>
      </c>
      <c r="G649" s="2">
        <f ca="1">+TODAY()-I649</f>
        <v>19</v>
      </c>
      <c r="H649" s="15">
        <v>1785171</v>
      </c>
      <c r="I649" s="1">
        <v>46101</v>
      </c>
      <c r="J649" s="1">
        <v>46131</v>
      </c>
      <c r="K649" s="18" t="s">
        <v>1403</v>
      </c>
      <c r="L649" s="18" t="s">
        <v>109</v>
      </c>
      <c r="M649" s="18" t="s">
        <v>19</v>
      </c>
      <c r="N649" s="18" t="s">
        <v>2316</v>
      </c>
      <c r="O649">
        <v>30</v>
      </c>
    </row>
    <row r="650" spans="1:15" x14ac:dyDescent="0.25">
      <c r="A650" s="18" t="s">
        <v>7276</v>
      </c>
      <c r="B650" s="18" t="s">
        <v>2313</v>
      </c>
      <c r="C650" s="18" t="s">
        <v>2314</v>
      </c>
      <c r="D650" s="18" t="s">
        <v>875</v>
      </c>
      <c r="E650" s="18" t="s">
        <v>6328</v>
      </c>
      <c r="F650" s="2">
        <f>+J650-I650</f>
        <v>30</v>
      </c>
      <c r="G650" s="2">
        <f ca="1">+TODAY()-I650</f>
        <v>19</v>
      </c>
      <c r="H650" s="15">
        <v>4127099</v>
      </c>
      <c r="I650" s="1">
        <v>46101</v>
      </c>
      <c r="J650" s="1">
        <v>46131</v>
      </c>
      <c r="K650" s="18" t="s">
        <v>1403</v>
      </c>
      <c r="L650" s="18" t="s">
        <v>109</v>
      </c>
      <c r="M650" s="18" t="s">
        <v>19</v>
      </c>
      <c r="N650" s="18" t="s">
        <v>2316</v>
      </c>
      <c r="O650">
        <v>30</v>
      </c>
    </row>
    <row r="651" spans="1:15" x14ac:dyDescent="0.25">
      <c r="A651" s="18" t="s">
        <v>7276</v>
      </c>
      <c r="B651" s="18" t="s">
        <v>2313</v>
      </c>
      <c r="C651" s="18" t="s">
        <v>2314</v>
      </c>
      <c r="D651" s="18" t="s">
        <v>875</v>
      </c>
      <c r="E651" s="18" t="s">
        <v>7587</v>
      </c>
      <c r="F651" s="2">
        <f>+J651-I651</f>
        <v>30</v>
      </c>
      <c r="G651" s="2">
        <f ca="1">+TODAY()-I651</f>
        <v>2</v>
      </c>
      <c r="H651" s="15">
        <v>950999</v>
      </c>
      <c r="I651" s="1">
        <v>46118</v>
      </c>
      <c r="J651" s="1">
        <v>46148</v>
      </c>
      <c r="K651" s="18" t="s">
        <v>1403</v>
      </c>
      <c r="L651" s="18" t="s">
        <v>109</v>
      </c>
      <c r="M651" s="18" t="s">
        <v>19</v>
      </c>
      <c r="N651" s="18" t="s">
        <v>2316</v>
      </c>
      <c r="O651">
        <v>30</v>
      </c>
    </row>
    <row r="652" spans="1:15" x14ac:dyDescent="0.25">
      <c r="A652" s="18" t="s">
        <v>7276</v>
      </c>
      <c r="B652" s="18" t="s">
        <v>4997</v>
      </c>
      <c r="C652" s="18" t="s">
        <v>4998</v>
      </c>
      <c r="D652" s="18" t="s">
        <v>998</v>
      </c>
      <c r="E652" s="18" t="s">
        <v>5573</v>
      </c>
      <c r="F652" s="2">
        <f>+J652-I652</f>
        <v>10</v>
      </c>
      <c r="G652" s="2">
        <f ca="1">+TODAY()-I652</f>
        <v>33</v>
      </c>
      <c r="H652" s="15">
        <v>4200000</v>
      </c>
      <c r="I652" s="1">
        <v>46087</v>
      </c>
      <c r="J652" s="1">
        <v>46097</v>
      </c>
      <c r="K652" s="18" t="s">
        <v>989</v>
      </c>
      <c r="L652" s="18" t="s">
        <v>317</v>
      </c>
      <c r="M652" s="18" t="s">
        <v>19</v>
      </c>
      <c r="N652" s="18" t="s">
        <v>4999</v>
      </c>
      <c r="O652">
        <v>30</v>
      </c>
    </row>
    <row r="653" spans="1:15" x14ac:dyDescent="0.25">
      <c r="A653" s="18" t="s">
        <v>7276</v>
      </c>
      <c r="B653" s="18" t="s">
        <v>4997</v>
      </c>
      <c r="C653" s="18" t="s">
        <v>4998</v>
      </c>
      <c r="D653" s="18" t="s">
        <v>998</v>
      </c>
      <c r="E653" s="18" t="s">
        <v>6246</v>
      </c>
      <c r="F653" s="2">
        <f>+J653-I653</f>
        <v>10</v>
      </c>
      <c r="G653" s="2">
        <f ca="1">+TODAY()-I653</f>
        <v>19</v>
      </c>
      <c r="H653" s="15">
        <v>420000</v>
      </c>
      <c r="I653" s="1">
        <v>46101</v>
      </c>
      <c r="J653" s="1">
        <v>46111</v>
      </c>
      <c r="K653" s="18" t="s">
        <v>989</v>
      </c>
      <c r="L653" s="18" t="s">
        <v>317</v>
      </c>
      <c r="M653" s="18" t="s">
        <v>19</v>
      </c>
      <c r="N653" s="18" t="s">
        <v>4999</v>
      </c>
      <c r="O653">
        <v>30</v>
      </c>
    </row>
    <row r="654" spans="1:15" x14ac:dyDescent="0.25">
      <c r="A654" s="18" t="s">
        <v>7276</v>
      </c>
      <c r="B654" s="18" t="s">
        <v>4997</v>
      </c>
      <c r="C654" s="18" t="s">
        <v>4998</v>
      </c>
      <c r="D654" s="18" t="s">
        <v>998</v>
      </c>
      <c r="E654" s="18" t="s">
        <v>6248</v>
      </c>
      <c r="F654" s="2">
        <f>+J654-I654</f>
        <v>10</v>
      </c>
      <c r="G654" s="2">
        <f ca="1">+TODAY()-I654</f>
        <v>19</v>
      </c>
      <c r="H654" s="15">
        <v>3780000</v>
      </c>
      <c r="I654" s="1">
        <v>46101</v>
      </c>
      <c r="J654" s="1">
        <v>46111</v>
      </c>
      <c r="K654" s="18" t="s">
        <v>989</v>
      </c>
      <c r="L654" s="18" t="s">
        <v>317</v>
      </c>
      <c r="M654" s="18" t="s">
        <v>19</v>
      </c>
      <c r="N654" s="18" t="s">
        <v>4999</v>
      </c>
      <c r="O654">
        <v>30</v>
      </c>
    </row>
    <row r="655" spans="1:15" x14ac:dyDescent="0.25">
      <c r="A655" s="18" t="s">
        <v>7276</v>
      </c>
      <c r="B655" s="18" t="s">
        <v>2144</v>
      </c>
      <c r="C655" s="18" t="s">
        <v>2145</v>
      </c>
      <c r="D655" s="18" t="s">
        <v>1401</v>
      </c>
      <c r="E655" s="18" t="s">
        <v>5566</v>
      </c>
      <c r="F655" s="2">
        <f>+J655-I655</f>
        <v>30</v>
      </c>
      <c r="G655" s="2">
        <f ca="1">+TODAY()-I655</f>
        <v>33</v>
      </c>
      <c r="H655" s="15">
        <v>283201</v>
      </c>
      <c r="I655" s="1">
        <v>46087</v>
      </c>
      <c r="J655" s="1">
        <v>46117</v>
      </c>
      <c r="K655" s="18" t="s">
        <v>1403</v>
      </c>
      <c r="L655" s="18" t="s">
        <v>90</v>
      </c>
      <c r="M655" s="18" t="s">
        <v>19</v>
      </c>
      <c r="N655" s="18" t="s">
        <v>2146</v>
      </c>
      <c r="O655">
        <v>30</v>
      </c>
    </row>
    <row r="656" spans="1:15" x14ac:dyDescent="0.25">
      <c r="A656" s="18" t="s">
        <v>7276</v>
      </c>
      <c r="B656" s="18" t="s">
        <v>2144</v>
      </c>
      <c r="C656" s="18" t="s">
        <v>2145</v>
      </c>
      <c r="D656" s="18" t="s">
        <v>1401</v>
      </c>
      <c r="E656" s="18" t="s">
        <v>5567</v>
      </c>
      <c r="F656" s="2">
        <f>+J656-I656</f>
        <v>30</v>
      </c>
      <c r="G656" s="2">
        <f ca="1">+TODAY()-I656</f>
        <v>33</v>
      </c>
      <c r="H656" s="15">
        <v>3439157</v>
      </c>
      <c r="I656" s="1">
        <v>46087</v>
      </c>
      <c r="J656" s="1">
        <v>46117</v>
      </c>
      <c r="K656" s="18" t="s">
        <v>1403</v>
      </c>
      <c r="L656" s="18" t="s">
        <v>90</v>
      </c>
      <c r="M656" s="18" t="s">
        <v>19</v>
      </c>
      <c r="N656" s="18" t="s">
        <v>2146</v>
      </c>
      <c r="O656">
        <v>30</v>
      </c>
    </row>
    <row r="657" spans="1:15" x14ac:dyDescent="0.25">
      <c r="A657" s="18" t="s">
        <v>7276</v>
      </c>
      <c r="B657" s="18" t="s">
        <v>2144</v>
      </c>
      <c r="C657" s="18" t="s">
        <v>2145</v>
      </c>
      <c r="D657" s="18" t="s">
        <v>1401</v>
      </c>
      <c r="E657" s="18" t="s">
        <v>6314</v>
      </c>
      <c r="F657" s="2">
        <f>+J657-I657</f>
        <v>30</v>
      </c>
      <c r="G657" s="2">
        <f ca="1">+TODAY()-I657</f>
        <v>20</v>
      </c>
      <c r="H657" s="15">
        <v>929823</v>
      </c>
      <c r="I657" s="1">
        <v>46100</v>
      </c>
      <c r="J657" s="1">
        <v>46130</v>
      </c>
      <c r="K657" s="18" t="s">
        <v>1403</v>
      </c>
      <c r="L657" s="18" t="s">
        <v>90</v>
      </c>
      <c r="M657" s="18" t="s">
        <v>19</v>
      </c>
      <c r="N657" s="18" t="s">
        <v>2146</v>
      </c>
      <c r="O657">
        <v>30</v>
      </c>
    </row>
    <row r="658" spans="1:15" x14ac:dyDescent="0.25">
      <c r="A658" s="18" t="s">
        <v>7276</v>
      </c>
      <c r="B658" s="18" t="s">
        <v>2144</v>
      </c>
      <c r="C658" s="18" t="s">
        <v>2145</v>
      </c>
      <c r="D658" s="18" t="s">
        <v>1401</v>
      </c>
      <c r="E658" s="18" t="s">
        <v>6315</v>
      </c>
      <c r="F658" s="2">
        <f>+J658-I658</f>
        <v>30</v>
      </c>
      <c r="G658" s="2">
        <f ca="1">+TODAY()-I658</f>
        <v>20</v>
      </c>
      <c r="H658" s="15">
        <v>1407200</v>
      </c>
      <c r="I658" s="1">
        <v>46100</v>
      </c>
      <c r="J658" s="1">
        <v>46130</v>
      </c>
      <c r="K658" s="18" t="s">
        <v>1403</v>
      </c>
      <c r="L658" s="18" t="s">
        <v>90</v>
      </c>
      <c r="M658" s="18" t="s">
        <v>19</v>
      </c>
      <c r="N658" s="18" t="s">
        <v>2146</v>
      </c>
      <c r="O658">
        <v>30</v>
      </c>
    </row>
    <row r="659" spans="1:15" x14ac:dyDescent="0.25">
      <c r="A659" s="18" t="s">
        <v>7276</v>
      </c>
      <c r="B659" s="18" t="s">
        <v>3575</v>
      </c>
      <c r="C659" s="18" t="s">
        <v>3576</v>
      </c>
      <c r="D659" s="18" t="s">
        <v>320</v>
      </c>
      <c r="E659" s="18" t="s">
        <v>5733</v>
      </c>
      <c r="F659" s="2">
        <f>+J659-I659</f>
        <v>1</v>
      </c>
      <c r="G659" s="2">
        <f ca="1">+TODAY()-I659</f>
        <v>28</v>
      </c>
      <c r="H659" s="15">
        <v>28641</v>
      </c>
      <c r="I659" s="1">
        <v>46092</v>
      </c>
      <c r="J659" s="1">
        <v>46093</v>
      </c>
      <c r="K659" s="18" t="s">
        <v>1068</v>
      </c>
      <c r="L659" s="18" t="s">
        <v>117</v>
      </c>
      <c r="M659" s="18" t="s">
        <v>19</v>
      </c>
      <c r="N659" s="18" t="s">
        <v>3578</v>
      </c>
      <c r="O659">
        <v>15</v>
      </c>
    </row>
    <row r="660" spans="1:15" x14ac:dyDescent="0.25">
      <c r="A660" s="18" t="s">
        <v>7276</v>
      </c>
      <c r="B660" s="18" t="s">
        <v>3449</v>
      </c>
      <c r="C660" s="18" t="s">
        <v>3450</v>
      </c>
      <c r="D660" s="18" t="s">
        <v>347</v>
      </c>
      <c r="E660" s="18" t="s">
        <v>6459</v>
      </c>
      <c r="F660" s="2">
        <f>+J660-I660</f>
        <v>30</v>
      </c>
      <c r="G660" s="2">
        <f ca="1">+TODAY()-I660</f>
        <v>14</v>
      </c>
      <c r="H660" s="15">
        <v>677798</v>
      </c>
      <c r="I660" s="1">
        <v>46106</v>
      </c>
      <c r="J660" s="1">
        <v>46136</v>
      </c>
      <c r="K660" s="18" t="s">
        <v>343</v>
      </c>
      <c r="L660" s="18" t="s">
        <v>18</v>
      </c>
      <c r="M660" s="18" t="s">
        <v>19</v>
      </c>
      <c r="N660" s="18" t="s">
        <v>3452</v>
      </c>
      <c r="O660">
        <v>30</v>
      </c>
    </row>
    <row r="661" spans="1:15" x14ac:dyDescent="0.25">
      <c r="A661" s="18" t="s">
        <v>7276</v>
      </c>
      <c r="B661" s="18" t="s">
        <v>1897</v>
      </c>
      <c r="C661" s="18" t="s">
        <v>1898</v>
      </c>
      <c r="D661" s="18" t="s">
        <v>1891</v>
      </c>
      <c r="E661" s="18" t="s">
        <v>5862</v>
      </c>
      <c r="F661" s="2">
        <f>+J661-I661</f>
        <v>30</v>
      </c>
      <c r="G661" s="2">
        <f ca="1">+TODAY()-I661</f>
        <v>33</v>
      </c>
      <c r="H661" s="15">
        <v>927817</v>
      </c>
      <c r="I661" s="1">
        <v>46087</v>
      </c>
      <c r="J661" s="1">
        <v>46117</v>
      </c>
      <c r="K661" s="18" t="s">
        <v>1892</v>
      </c>
      <c r="L661" s="18" t="s">
        <v>981</v>
      </c>
      <c r="M661" s="18" t="s">
        <v>19</v>
      </c>
      <c r="N661" s="18" t="s">
        <v>1899</v>
      </c>
      <c r="O661">
        <v>1</v>
      </c>
    </row>
    <row r="662" spans="1:15" x14ac:dyDescent="0.25">
      <c r="A662" s="18" t="s">
        <v>7276</v>
      </c>
      <c r="B662" s="18" t="s">
        <v>1385</v>
      </c>
      <c r="C662" s="18" t="s">
        <v>1386</v>
      </c>
      <c r="D662" s="18" t="s">
        <v>1323</v>
      </c>
      <c r="E662" s="18" t="s">
        <v>1387</v>
      </c>
      <c r="F662" s="2">
        <f>+J662-I662</f>
        <v>30</v>
      </c>
      <c r="G662" s="2">
        <f ca="1">+TODAY()-I662</f>
        <v>2351</v>
      </c>
      <c r="H662" s="15">
        <v>991210</v>
      </c>
      <c r="I662" s="1">
        <v>43769</v>
      </c>
      <c r="J662" s="1">
        <v>43799</v>
      </c>
      <c r="K662" s="18" t="s">
        <v>1325</v>
      </c>
      <c r="L662" s="18" t="s">
        <v>90</v>
      </c>
      <c r="M662" s="18" t="s">
        <v>19</v>
      </c>
      <c r="N662" s="18" t="s">
        <v>1388</v>
      </c>
      <c r="O662">
        <v>30</v>
      </c>
    </row>
    <row r="663" spans="1:15" x14ac:dyDescent="0.25">
      <c r="A663" s="18" t="s">
        <v>7276</v>
      </c>
      <c r="B663" s="18" t="s">
        <v>1385</v>
      </c>
      <c r="C663" s="18" t="s">
        <v>1386</v>
      </c>
      <c r="D663" s="18" t="s">
        <v>1323</v>
      </c>
      <c r="E663" s="18" t="s">
        <v>1389</v>
      </c>
      <c r="F663" s="2">
        <f>+J663-I663</f>
        <v>30</v>
      </c>
      <c r="G663" s="2">
        <f ca="1">+TODAY()-I663</f>
        <v>2322</v>
      </c>
      <c r="H663" s="15">
        <v>2336849</v>
      </c>
      <c r="I663" s="1">
        <v>43798</v>
      </c>
      <c r="J663" s="1">
        <v>43828</v>
      </c>
      <c r="K663" s="18" t="s">
        <v>1325</v>
      </c>
      <c r="L663" s="18" t="s">
        <v>90</v>
      </c>
      <c r="M663" s="18" t="s">
        <v>19</v>
      </c>
      <c r="N663" s="18" t="s">
        <v>1388</v>
      </c>
      <c r="O663">
        <v>30</v>
      </c>
    </row>
    <row r="664" spans="1:15" x14ac:dyDescent="0.25">
      <c r="A664" s="18" t="s">
        <v>7276</v>
      </c>
      <c r="B664" s="18" t="s">
        <v>1385</v>
      </c>
      <c r="C664" s="18" t="s">
        <v>1386</v>
      </c>
      <c r="D664" s="18" t="s">
        <v>1323</v>
      </c>
      <c r="E664" s="18" t="s">
        <v>1390</v>
      </c>
      <c r="F664" s="2">
        <f>+J664-I664</f>
        <v>30</v>
      </c>
      <c r="G664" s="2">
        <f ca="1">+TODAY()-I664</f>
        <v>2322</v>
      </c>
      <c r="H664" s="15">
        <v>1271260</v>
      </c>
      <c r="I664" s="1">
        <v>43798</v>
      </c>
      <c r="J664" s="1">
        <v>43828</v>
      </c>
      <c r="K664" s="18" t="s">
        <v>1325</v>
      </c>
      <c r="L664" s="18" t="s">
        <v>90</v>
      </c>
      <c r="M664" s="18" t="s">
        <v>19</v>
      </c>
      <c r="N664" s="18" t="s">
        <v>1388</v>
      </c>
      <c r="O664">
        <v>30</v>
      </c>
    </row>
    <row r="665" spans="1:15" x14ac:dyDescent="0.25">
      <c r="A665" s="18" t="s">
        <v>7276</v>
      </c>
      <c r="B665" s="18" t="s">
        <v>1446</v>
      </c>
      <c r="C665" s="18" t="s">
        <v>1447</v>
      </c>
      <c r="D665" s="18" t="s">
        <v>1401</v>
      </c>
      <c r="E665" s="18" t="s">
        <v>5030</v>
      </c>
      <c r="F665" s="2">
        <f>+J665-I665</f>
        <v>30</v>
      </c>
      <c r="G665" s="2">
        <f ca="1">+TODAY()-I665</f>
        <v>58</v>
      </c>
      <c r="H665" s="15">
        <v>2157337</v>
      </c>
      <c r="I665" s="1">
        <v>46062</v>
      </c>
      <c r="J665" s="1">
        <v>46092</v>
      </c>
      <c r="K665" s="18" t="s">
        <v>1403</v>
      </c>
      <c r="L665" s="18" t="s">
        <v>90</v>
      </c>
      <c r="M665" s="18" t="s">
        <v>19</v>
      </c>
      <c r="N665" s="18" t="s">
        <v>1448</v>
      </c>
      <c r="O665">
        <v>30</v>
      </c>
    </row>
    <row r="666" spans="1:15" x14ac:dyDescent="0.25">
      <c r="A666" s="18" t="s">
        <v>7276</v>
      </c>
      <c r="B666" s="18" t="s">
        <v>1446</v>
      </c>
      <c r="C666" s="18" t="s">
        <v>1447</v>
      </c>
      <c r="D666" s="18" t="s">
        <v>1401</v>
      </c>
      <c r="E666" s="18" t="s">
        <v>5129</v>
      </c>
      <c r="F666" s="2">
        <f>+J666-I666</f>
        <v>30</v>
      </c>
      <c r="G666" s="2">
        <f ca="1">+TODAY()-I666</f>
        <v>48</v>
      </c>
      <c r="H666" s="15">
        <v>7897925</v>
      </c>
      <c r="I666" s="1">
        <v>46072</v>
      </c>
      <c r="J666" s="1">
        <v>46102</v>
      </c>
      <c r="K666" s="18" t="s">
        <v>1403</v>
      </c>
      <c r="L666" s="18" t="s">
        <v>90</v>
      </c>
      <c r="M666" s="18" t="s">
        <v>19</v>
      </c>
      <c r="N666" s="18" t="s">
        <v>1448</v>
      </c>
      <c r="O666">
        <v>30</v>
      </c>
    </row>
    <row r="667" spans="1:15" x14ac:dyDescent="0.25">
      <c r="A667" s="18" t="s">
        <v>7276</v>
      </c>
      <c r="B667" s="18" t="s">
        <v>1446</v>
      </c>
      <c r="C667" s="18" t="s">
        <v>1447</v>
      </c>
      <c r="D667" s="18" t="s">
        <v>1401</v>
      </c>
      <c r="E667" s="18" t="s">
        <v>7577</v>
      </c>
      <c r="F667" s="2">
        <f>+J667-I667</f>
        <v>30</v>
      </c>
      <c r="G667" s="2">
        <f ca="1">+TODAY()-I667</f>
        <v>7</v>
      </c>
      <c r="H667" s="15">
        <v>3838038</v>
      </c>
      <c r="I667" s="1">
        <v>46113</v>
      </c>
      <c r="J667" s="1">
        <v>46143</v>
      </c>
      <c r="K667" s="18" t="s">
        <v>1403</v>
      </c>
      <c r="L667" s="18" t="s">
        <v>90</v>
      </c>
      <c r="M667" s="18" t="s">
        <v>19</v>
      </c>
      <c r="N667" s="18" t="s">
        <v>1448</v>
      </c>
      <c r="O667">
        <v>30</v>
      </c>
    </row>
    <row r="668" spans="1:15" x14ac:dyDescent="0.25">
      <c r="A668" s="18" t="s">
        <v>7276</v>
      </c>
      <c r="B668" s="18" t="s">
        <v>1446</v>
      </c>
      <c r="C668" s="18" t="s">
        <v>1447</v>
      </c>
      <c r="D668" s="18" t="s">
        <v>1401</v>
      </c>
      <c r="E668" s="18" t="s">
        <v>7578</v>
      </c>
      <c r="F668" s="2">
        <f>+J668-I668</f>
        <v>30</v>
      </c>
      <c r="G668" s="2">
        <f ca="1">+TODAY()-I668</f>
        <v>7</v>
      </c>
      <c r="H668" s="15">
        <v>13928320</v>
      </c>
      <c r="I668" s="1">
        <v>46113</v>
      </c>
      <c r="J668" s="1">
        <v>46143</v>
      </c>
      <c r="K668" s="18" t="s">
        <v>1403</v>
      </c>
      <c r="L668" s="18" t="s">
        <v>90</v>
      </c>
      <c r="M668" s="18" t="s">
        <v>19</v>
      </c>
      <c r="N668" s="18" t="s">
        <v>1448</v>
      </c>
      <c r="O668">
        <v>30</v>
      </c>
    </row>
    <row r="669" spans="1:15" x14ac:dyDescent="0.25">
      <c r="A669" s="18" t="s">
        <v>7276</v>
      </c>
      <c r="B669" s="18" t="s">
        <v>7396</v>
      </c>
      <c r="C669" s="18" t="s">
        <v>7397</v>
      </c>
      <c r="D669" s="18" t="s">
        <v>15</v>
      </c>
      <c r="E669" s="18" t="s">
        <v>7398</v>
      </c>
      <c r="F669" s="2">
        <f>+J669-I669</f>
        <v>1</v>
      </c>
      <c r="G669" s="2">
        <f ca="1">+TODAY()-I669</f>
        <v>2</v>
      </c>
      <c r="H669" s="15">
        <v>1223429</v>
      </c>
      <c r="I669" s="1">
        <v>46118</v>
      </c>
      <c r="J669" s="1">
        <v>46119</v>
      </c>
      <c r="K669" s="18" t="s">
        <v>17</v>
      </c>
      <c r="L669" s="18" t="s">
        <v>317</v>
      </c>
      <c r="M669" s="18" t="s">
        <v>19</v>
      </c>
      <c r="N669" s="18" t="s">
        <v>7399</v>
      </c>
      <c r="O669">
        <v>30</v>
      </c>
    </row>
    <row r="670" spans="1:15" x14ac:dyDescent="0.25">
      <c r="A670" s="18" t="s">
        <v>7276</v>
      </c>
      <c r="B670" s="18" t="s">
        <v>111</v>
      </c>
      <c r="C670" s="18" t="s">
        <v>112</v>
      </c>
      <c r="D670" s="18" t="s">
        <v>15</v>
      </c>
      <c r="E670" s="18" t="s">
        <v>5886</v>
      </c>
      <c r="F670" s="2">
        <f>+J670-I670</f>
        <v>30</v>
      </c>
      <c r="G670" s="2">
        <f ca="1">+TODAY()-I670</f>
        <v>26</v>
      </c>
      <c r="H670" s="15">
        <v>1800739</v>
      </c>
      <c r="I670" s="1">
        <v>46094</v>
      </c>
      <c r="J670" s="1">
        <v>46124</v>
      </c>
      <c r="K670" s="18" t="s">
        <v>17</v>
      </c>
      <c r="L670" s="18" t="s">
        <v>32</v>
      </c>
      <c r="M670" s="18" t="s">
        <v>19</v>
      </c>
      <c r="N670" s="18" t="s">
        <v>113</v>
      </c>
      <c r="O670">
        <v>30</v>
      </c>
    </row>
    <row r="671" spans="1:15" x14ac:dyDescent="0.25">
      <c r="A671" s="18" t="s">
        <v>7276</v>
      </c>
      <c r="B671" s="18" t="s">
        <v>111</v>
      </c>
      <c r="C671" s="18" t="s">
        <v>112</v>
      </c>
      <c r="D671" s="18" t="s">
        <v>15</v>
      </c>
      <c r="E671" s="18" t="s">
        <v>5898</v>
      </c>
      <c r="F671" s="2">
        <f>+J671-I671</f>
        <v>30</v>
      </c>
      <c r="G671" s="2">
        <f ca="1">+TODAY()-I671</f>
        <v>25</v>
      </c>
      <c r="H671" s="15">
        <v>517205</v>
      </c>
      <c r="I671" s="1">
        <v>46095</v>
      </c>
      <c r="J671" s="1">
        <v>46125</v>
      </c>
      <c r="K671" s="18" t="s">
        <v>17</v>
      </c>
      <c r="L671" s="18" t="s">
        <v>32</v>
      </c>
      <c r="M671" s="18" t="s">
        <v>19</v>
      </c>
      <c r="N671" s="18" t="s">
        <v>113</v>
      </c>
      <c r="O671">
        <v>30</v>
      </c>
    </row>
    <row r="672" spans="1:15" x14ac:dyDescent="0.25">
      <c r="A672" s="18" t="s">
        <v>7276</v>
      </c>
      <c r="B672" s="18" t="s">
        <v>111</v>
      </c>
      <c r="C672" s="18" t="s">
        <v>112</v>
      </c>
      <c r="D672" s="18" t="s">
        <v>15</v>
      </c>
      <c r="E672" s="18" t="s">
        <v>6794</v>
      </c>
      <c r="F672" s="2">
        <f>+J672-I672</f>
        <v>30</v>
      </c>
      <c r="G672" s="2">
        <f ca="1">+TODAY()-I672</f>
        <v>8</v>
      </c>
      <c r="H672" s="15">
        <v>839779</v>
      </c>
      <c r="I672" s="1">
        <v>46112</v>
      </c>
      <c r="J672" s="1">
        <v>46142</v>
      </c>
      <c r="K672" s="18" t="s">
        <v>17</v>
      </c>
      <c r="L672" s="18" t="s">
        <v>32</v>
      </c>
      <c r="M672" s="18" t="s">
        <v>19</v>
      </c>
      <c r="N672" s="18" t="s">
        <v>113</v>
      </c>
      <c r="O672">
        <v>30</v>
      </c>
    </row>
    <row r="673" spans="1:15" x14ac:dyDescent="0.25">
      <c r="A673" s="18" t="s">
        <v>7276</v>
      </c>
      <c r="B673" s="18" t="s">
        <v>2066</v>
      </c>
      <c r="C673" s="18" t="s">
        <v>2067</v>
      </c>
      <c r="D673" s="18" t="s">
        <v>930</v>
      </c>
      <c r="E673" s="18" t="s">
        <v>7468</v>
      </c>
      <c r="F673" s="2">
        <f>+J673-I673</f>
        <v>30</v>
      </c>
      <c r="G673" s="2">
        <f ca="1">+TODAY()-I673</f>
        <v>2</v>
      </c>
      <c r="H673" s="15">
        <v>757600</v>
      </c>
      <c r="I673" s="1">
        <v>46118</v>
      </c>
      <c r="J673" s="1">
        <v>46148</v>
      </c>
      <c r="K673" s="18" t="s">
        <v>918</v>
      </c>
      <c r="L673" s="18" t="s">
        <v>312</v>
      </c>
      <c r="M673" s="18" t="s">
        <v>19</v>
      </c>
      <c r="N673" s="18" t="s">
        <v>2068</v>
      </c>
      <c r="O673">
        <v>30</v>
      </c>
    </row>
    <row r="674" spans="1:15" x14ac:dyDescent="0.25">
      <c r="A674" s="18" t="s">
        <v>7276</v>
      </c>
      <c r="B674" s="18" t="s">
        <v>7032</v>
      </c>
      <c r="C674" s="18" t="s">
        <v>7033</v>
      </c>
      <c r="D674" s="18" t="s">
        <v>998</v>
      </c>
      <c r="E674" s="18" t="s">
        <v>7034</v>
      </c>
      <c r="F674" s="2">
        <f>+J674-I674</f>
        <v>1</v>
      </c>
      <c r="G674" s="2">
        <f ca="1">+TODAY()-I674</f>
        <v>8</v>
      </c>
      <c r="H674" s="15">
        <v>481998</v>
      </c>
      <c r="I674" s="1">
        <v>46112</v>
      </c>
      <c r="J674" s="1">
        <v>46113</v>
      </c>
      <c r="K674" s="18" t="s">
        <v>989</v>
      </c>
      <c r="L674" s="18" t="s">
        <v>18</v>
      </c>
      <c r="M674" s="18" t="s">
        <v>19</v>
      </c>
      <c r="N674" s="18" t="s">
        <v>7035</v>
      </c>
      <c r="O674">
        <v>1</v>
      </c>
    </row>
    <row r="675" spans="1:15" x14ac:dyDescent="0.25">
      <c r="A675" s="18" t="s">
        <v>7276</v>
      </c>
      <c r="B675" s="18" t="s">
        <v>7032</v>
      </c>
      <c r="C675" s="18" t="s">
        <v>7033</v>
      </c>
      <c r="D675" s="18" t="s">
        <v>998</v>
      </c>
      <c r="E675" s="18" t="s">
        <v>7036</v>
      </c>
      <c r="F675" s="2">
        <f>+J675-I675</f>
        <v>1</v>
      </c>
      <c r="G675" s="2">
        <f ca="1">+TODAY()-I675</f>
        <v>8</v>
      </c>
      <c r="H675" s="15">
        <v>2420000</v>
      </c>
      <c r="I675" s="1">
        <v>46112</v>
      </c>
      <c r="J675" s="1">
        <v>46113</v>
      </c>
      <c r="K675" s="18" t="s">
        <v>989</v>
      </c>
      <c r="L675" s="18" t="s">
        <v>18</v>
      </c>
      <c r="M675" s="18" t="s">
        <v>19</v>
      </c>
      <c r="N675" s="18" t="s">
        <v>7035</v>
      </c>
      <c r="O675">
        <v>1</v>
      </c>
    </row>
    <row r="676" spans="1:15" x14ac:dyDescent="0.25">
      <c r="A676" s="18" t="s">
        <v>7276</v>
      </c>
      <c r="B676" s="18" t="s">
        <v>3962</v>
      </c>
      <c r="C676" s="18" t="s">
        <v>3963</v>
      </c>
      <c r="D676" s="18" t="s">
        <v>15</v>
      </c>
      <c r="E676" s="18" t="s">
        <v>6923</v>
      </c>
      <c r="F676" s="2">
        <f>+J676-I676</f>
        <v>1</v>
      </c>
      <c r="G676" s="2">
        <f ca="1">+TODAY()-I676</f>
        <v>8</v>
      </c>
      <c r="H676" s="15">
        <v>119369</v>
      </c>
      <c r="I676" s="1">
        <v>46112</v>
      </c>
      <c r="J676" s="1">
        <v>46113</v>
      </c>
      <c r="K676" s="18" t="s">
        <v>17</v>
      </c>
      <c r="L676" s="18" t="s">
        <v>317</v>
      </c>
      <c r="M676" s="18" t="s">
        <v>19</v>
      </c>
      <c r="N676" s="18" t="s">
        <v>3965</v>
      </c>
      <c r="O676">
        <v>30</v>
      </c>
    </row>
    <row r="677" spans="1:15" x14ac:dyDescent="0.25">
      <c r="A677" s="18" t="s">
        <v>7276</v>
      </c>
      <c r="B677" s="18" t="s">
        <v>3962</v>
      </c>
      <c r="C677" s="18" t="s">
        <v>3963</v>
      </c>
      <c r="D677" s="18" t="s">
        <v>15</v>
      </c>
      <c r="E677" s="18" t="s">
        <v>6924</v>
      </c>
      <c r="F677" s="2">
        <f>+J677-I677</f>
        <v>1</v>
      </c>
      <c r="G677" s="2">
        <f ca="1">+TODAY()-I677</f>
        <v>8</v>
      </c>
      <c r="H677" s="15">
        <v>70900</v>
      </c>
      <c r="I677" s="1">
        <v>46112</v>
      </c>
      <c r="J677" s="1">
        <v>46113</v>
      </c>
      <c r="K677" s="18" t="s">
        <v>17</v>
      </c>
      <c r="L677" s="18" t="s">
        <v>317</v>
      </c>
      <c r="M677" s="18" t="s">
        <v>19</v>
      </c>
      <c r="N677" s="18" t="s">
        <v>3965</v>
      </c>
      <c r="O677">
        <v>30</v>
      </c>
    </row>
    <row r="678" spans="1:15" x14ac:dyDescent="0.25">
      <c r="A678" s="18" t="s">
        <v>7276</v>
      </c>
      <c r="B678" s="18" t="s">
        <v>4482</v>
      </c>
      <c r="C678" s="18" t="s">
        <v>4483</v>
      </c>
      <c r="D678" s="18" t="s">
        <v>1118</v>
      </c>
      <c r="E678" s="18" t="s">
        <v>7529</v>
      </c>
      <c r="F678" s="2">
        <f>+J678-I678</f>
        <v>1</v>
      </c>
      <c r="G678" s="2">
        <f ca="1">+TODAY()-I678</f>
        <v>7</v>
      </c>
      <c r="H678" s="15">
        <v>49250</v>
      </c>
      <c r="I678" s="1">
        <v>46113</v>
      </c>
      <c r="J678" s="1">
        <v>46114</v>
      </c>
      <c r="K678" s="18" t="s">
        <v>1144</v>
      </c>
      <c r="L678" s="18" t="s">
        <v>321</v>
      </c>
      <c r="M678" s="18" t="s">
        <v>19</v>
      </c>
      <c r="N678" s="18" t="s">
        <v>4485</v>
      </c>
      <c r="O678">
        <v>30</v>
      </c>
    </row>
    <row r="679" spans="1:15" x14ac:dyDescent="0.25">
      <c r="A679" s="18" t="s">
        <v>7276</v>
      </c>
      <c r="B679" s="18" t="s">
        <v>358</v>
      </c>
      <c r="C679" s="18" t="s">
        <v>359</v>
      </c>
      <c r="D679" s="18" t="s">
        <v>347</v>
      </c>
      <c r="E679" s="18" t="s">
        <v>4975</v>
      </c>
      <c r="F679" s="2">
        <f>+J679-I679</f>
        <v>30</v>
      </c>
      <c r="G679" s="2">
        <f ca="1">+TODAY()-I679</f>
        <v>70</v>
      </c>
      <c r="H679" s="15">
        <v>34648</v>
      </c>
      <c r="I679" s="1">
        <v>46050</v>
      </c>
      <c r="J679" s="1">
        <v>46080</v>
      </c>
      <c r="K679" s="18" t="s">
        <v>343</v>
      </c>
      <c r="L679" s="18" t="s">
        <v>18</v>
      </c>
      <c r="M679" s="18" t="s">
        <v>19</v>
      </c>
      <c r="N679" s="18" t="s">
        <v>360</v>
      </c>
      <c r="O679">
        <v>30</v>
      </c>
    </row>
    <row r="680" spans="1:15" x14ac:dyDescent="0.25">
      <c r="A680" s="18" t="s">
        <v>7276</v>
      </c>
      <c r="B680" s="18" t="s">
        <v>358</v>
      </c>
      <c r="C680" s="18" t="s">
        <v>359</v>
      </c>
      <c r="D680" s="18" t="s">
        <v>347</v>
      </c>
      <c r="E680" s="18" t="s">
        <v>5228</v>
      </c>
      <c r="F680" s="2">
        <f>+J680-I680</f>
        <v>30</v>
      </c>
      <c r="G680" s="2">
        <f ca="1">+TODAY()-I680</f>
        <v>42</v>
      </c>
      <c r="H680" s="15">
        <v>547706</v>
      </c>
      <c r="I680" s="1">
        <v>46078</v>
      </c>
      <c r="J680" s="1">
        <v>46108</v>
      </c>
      <c r="K680" s="18" t="s">
        <v>343</v>
      </c>
      <c r="L680" s="18" t="s">
        <v>47</v>
      </c>
      <c r="M680" s="18" t="s">
        <v>19</v>
      </c>
      <c r="N680" s="18" t="s">
        <v>360</v>
      </c>
      <c r="O680">
        <v>30</v>
      </c>
    </row>
    <row r="681" spans="1:15" x14ac:dyDescent="0.25">
      <c r="A681" s="18" t="s">
        <v>7276</v>
      </c>
      <c r="B681" s="18" t="s">
        <v>358</v>
      </c>
      <c r="C681" s="18" t="s">
        <v>359</v>
      </c>
      <c r="D681" s="18" t="s">
        <v>347</v>
      </c>
      <c r="E681" s="18" t="s">
        <v>5680</v>
      </c>
      <c r="F681" s="2">
        <f>+J681-I681</f>
        <v>30</v>
      </c>
      <c r="G681" s="2">
        <f ca="1">+TODAY()-I681</f>
        <v>28</v>
      </c>
      <c r="H681" s="15">
        <v>6853145</v>
      </c>
      <c r="I681" s="1">
        <v>46092</v>
      </c>
      <c r="J681" s="1">
        <v>46122</v>
      </c>
      <c r="K681" s="18" t="s">
        <v>343</v>
      </c>
      <c r="L681" s="18" t="s">
        <v>18</v>
      </c>
      <c r="M681" s="18" t="s">
        <v>19</v>
      </c>
      <c r="N681" s="18" t="s">
        <v>360</v>
      </c>
      <c r="O681">
        <v>30</v>
      </c>
    </row>
    <row r="682" spans="1:15" x14ac:dyDescent="0.25">
      <c r="A682" s="18" t="s">
        <v>7276</v>
      </c>
      <c r="B682" s="18" t="s">
        <v>358</v>
      </c>
      <c r="C682" s="18" t="s">
        <v>359</v>
      </c>
      <c r="D682" s="18" t="s">
        <v>347</v>
      </c>
      <c r="E682" s="18" t="s">
        <v>5681</v>
      </c>
      <c r="F682" s="2">
        <f>+J682-I682</f>
        <v>30</v>
      </c>
      <c r="G682" s="2">
        <f ca="1">+TODAY()-I682</f>
        <v>28</v>
      </c>
      <c r="H682" s="15">
        <v>3476805</v>
      </c>
      <c r="I682" s="1">
        <v>46092</v>
      </c>
      <c r="J682" s="1">
        <v>46122</v>
      </c>
      <c r="K682" s="18" t="s">
        <v>343</v>
      </c>
      <c r="L682" s="18" t="s">
        <v>18</v>
      </c>
      <c r="M682" s="18" t="s">
        <v>19</v>
      </c>
      <c r="N682" s="18" t="s">
        <v>360</v>
      </c>
      <c r="O682">
        <v>30</v>
      </c>
    </row>
    <row r="683" spans="1:15" x14ac:dyDescent="0.25">
      <c r="A683" s="18" t="s">
        <v>7276</v>
      </c>
      <c r="B683" s="18" t="s">
        <v>358</v>
      </c>
      <c r="C683" s="18" t="s">
        <v>359</v>
      </c>
      <c r="D683" s="18" t="s">
        <v>347</v>
      </c>
      <c r="E683" s="18" t="s">
        <v>5685</v>
      </c>
      <c r="F683" s="2">
        <f>+J683-I683</f>
        <v>30</v>
      </c>
      <c r="G683" s="2">
        <f ca="1">+TODAY()-I683</f>
        <v>28</v>
      </c>
      <c r="H683" s="15">
        <v>921244</v>
      </c>
      <c r="I683" s="1">
        <v>46092</v>
      </c>
      <c r="J683" s="1">
        <v>46122</v>
      </c>
      <c r="K683" s="18" t="s">
        <v>343</v>
      </c>
      <c r="L683" s="18" t="s">
        <v>117</v>
      </c>
      <c r="M683" s="18" t="s">
        <v>19</v>
      </c>
      <c r="N683" s="18" t="s">
        <v>360</v>
      </c>
      <c r="O683">
        <v>30</v>
      </c>
    </row>
    <row r="684" spans="1:15" x14ac:dyDescent="0.25">
      <c r="A684" s="18" t="s">
        <v>7276</v>
      </c>
      <c r="B684" s="18" t="s">
        <v>358</v>
      </c>
      <c r="C684" s="18" t="s">
        <v>359</v>
      </c>
      <c r="D684" s="18" t="s">
        <v>347</v>
      </c>
      <c r="E684" s="18" t="s">
        <v>6450</v>
      </c>
      <c r="F684" s="2">
        <f>+J684-I684</f>
        <v>30</v>
      </c>
      <c r="G684" s="2">
        <f ca="1">+TODAY()-I684</f>
        <v>15</v>
      </c>
      <c r="H684" s="15">
        <v>742299</v>
      </c>
      <c r="I684" s="1">
        <v>46105</v>
      </c>
      <c r="J684" s="1">
        <v>46135</v>
      </c>
      <c r="K684" s="18" t="s">
        <v>343</v>
      </c>
      <c r="L684" s="18" t="s">
        <v>18</v>
      </c>
      <c r="M684" s="18" t="s">
        <v>19</v>
      </c>
      <c r="N684" s="18" t="s">
        <v>360</v>
      </c>
      <c r="O684">
        <v>30</v>
      </c>
    </row>
    <row r="685" spans="1:15" x14ac:dyDescent="0.25">
      <c r="A685" s="18" t="s">
        <v>7276</v>
      </c>
      <c r="B685" s="18" t="s">
        <v>358</v>
      </c>
      <c r="C685" s="18" t="s">
        <v>359</v>
      </c>
      <c r="D685" s="18" t="s">
        <v>347</v>
      </c>
      <c r="E685" s="18" t="s">
        <v>6452</v>
      </c>
      <c r="F685" s="2">
        <f>+J685-I685</f>
        <v>30</v>
      </c>
      <c r="G685" s="2">
        <f ca="1">+TODAY()-I685</f>
        <v>15</v>
      </c>
      <c r="H685" s="15">
        <v>443822</v>
      </c>
      <c r="I685" s="1">
        <v>46105</v>
      </c>
      <c r="J685" s="1">
        <v>46135</v>
      </c>
      <c r="K685" s="18" t="s">
        <v>343</v>
      </c>
      <c r="L685" s="18" t="s">
        <v>47</v>
      </c>
      <c r="M685" s="18" t="s">
        <v>19</v>
      </c>
      <c r="N685" s="18" t="s">
        <v>360</v>
      </c>
      <c r="O685">
        <v>30</v>
      </c>
    </row>
    <row r="686" spans="1:15" x14ac:dyDescent="0.25">
      <c r="A686" s="18" t="s">
        <v>7276</v>
      </c>
      <c r="B686" s="18" t="s">
        <v>358</v>
      </c>
      <c r="C686" s="18" t="s">
        <v>359</v>
      </c>
      <c r="D686" s="18" t="s">
        <v>347</v>
      </c>
      <c r="E686" s="18" t="s">
        <v>6453</v>
      </c>
      <c r="F686" s="2">
        <f>+J686-I686</f>
        <v>30</v>
      </c>
      <c r="G686" s="2">
        <f ca="1">+TODAY()-I686</f>
        <v>15</v>
      </c>
      <c r="H686" s="15">
        <v>800002</v>
      </c>
      <c r="I686" s="1">
        <v>46105</v>
      </c>
      <c r="J686" s="1">
        <v>46135</v>
      </c>
      <c r="K686" s="18" t="s">
        <v>343</v>
      </c>
      <c r="L686" s="18" t="s">
        <v>47</v>
      </c>
      <c r="M686" s="18" t="s">
        <v>19</v>
      </c>
      <c r="N686" s="18" t="s">
        <v>360</v>
      </c>
      <c r="O686">
        <v>30</v>
      </c>
    </row>
    <row r="687" spans="1:15" x14ac:dyDescent="0.25">
      <c r="A687" s="18" t="s">
        <v>7276</v>
      </c>
      <c r="B687" s="18" t="s">
        <v>358</v>
      </c>
      <c r="C687" s="18" t="s">
        <v>359</v>
      </c>
      <c r="D687" s="18" t="s">
        <v>347</v>
      </c>
      <c r="E687" s="18" t="s">
        <v>6456</v>
      </c>
      <c r="F687" s="2">
        <f>+J687-I687</f>
        <v>30</v>
      </c>
      <c r="G687" s="2">
        <f ca="1">+TODAY()-I687</f>
        <v>15</v>
      </c>
      <c r="H687" s="15">
        <v>667294</v>
      </c>
      <c r="I687" s="1">
        <v>46105</v>
      </c>
      <c r="J687" s="1">
        <v>46135</v>
      </c>
      <c r="K687" s="18" t="s">
        <v>343</v>
      </c>
      <c r="L687" s="18" t="s">
        <v>117</v>
      </c>
      <c r="M687" s="18" t="s">
        <v>19</v>
      </c>
      <c r="N687" s="18" t="s">
        <v>360</v>
      </c>
      <c r="O687">
        <v>30</v>
      </c>
    </row>
    <row r="688" spans="1:15" x14ac:dyDescent="0.25">
      <c r="A688" s="18" t="s">
        <v>7276</v>
      </c>
      <c r="B688" s="18" t="s">
        <v>1427</v>
      </c>
      <c r="C688" s="18" t="s">
        <v>1428</v>
      </c>
      <c r="D688" s="18" t="s">
        <v>875</v>
      </c>
      <c r="E688" s="18" t="s">
        <v>5029</v>
      </c>
      <c r="F688" s="2">
        <f>+J688-I688</f>
        <v>30</v>
      </c>
      <c r="G688" s="2">
        <f ca="1">+TODAY()-I688</f>
        <v>61</v>
      </c>
      <c r="H688" s="15">
        <v>432208</v>
      </c>
      <c r="I688" s="1">
        <v>46059</v>
      </c>
      <c r="J688" s="1">
        <v>46089</v>
      </c>
      <c r="K688" s="18" t="s">
        <v>1403</v>
      </c>
      <c r="L688" s="18" t="s">
        <v>47</v>
      </c>
      <c r="M688" s="18" t="s">
        <v>19</v>
      </c>
      <c r="N688" s="18" t="s">
        <v>1429</v>
      </c>
      <c r="O688">
        <v>30</v>
      </c>
    </row>
    <row r="689" spans="1:15" x14ac:dyDescent="0.25">
      <c r="A689" s="18" t="s">
        <v>7276</v>
      </c>
      <c r="B689" s="18" t="s">
        <v>1427</v>
      </c>
      <c r="C689" s="18" t="s">
        <v>1428</v>
      </c>
      <c r="D689" s="18" t="s">
        <v>875</v>
      </c>
      <c r="E689" s="18" t="s">
        <v>6320</v>
      </c>
      <c r="F689" s="2">
        <f>+J689-I689</f>
        <v>30</v>
      </c>
      <c r="G689" s="2">
        <f ca="1">+TODAY()-I689</f>
        <v>19</v>
      </c>
      <c r="H689" s="15">
        <v>1869999</v>
      </c>
      <c r="I689" s="1">
        <v>46101</v>
      </c>
      <c r="J689" s="1">
        <v>46131</v>
      </c>
      <c r="K689" s="18" t="s">
        <v>1403</v>
      </c>
      <c r="L689" s="18" t="s">
        <v>90</v>
      </c>
      <c r="M689" s="18" t="s">
        <v>19</v>
      </c>
      <c r="N689" s="18" t="s">
        <v>1429</v>
      </c>
      <c r="O689">
        <v>30</v>
      </c>
    </row>
    <row r="690" spans="1:15" x14ac:dyDescent="0.25">
      <c r="A690" s="18" t="s">
        <v>7276</v>
      </c>
      <c r="B690" s="18" t="s">
        <v>1427</v>
      </c>
      <c r="C690" s="18" t="s">
        <v>1428</v>
      </c>
      <c r="D690" s="18" t="s">
        <v>875</v>
      </c>
      <c r="E690" s="18" t="s">
        <v>6321</v>
      </c>
      <c r="F690" s="2">
        <f>+J690-I690</f>
        <v>30</v>
      </c>
      <c r="G690" s="2">
        <f ca="1">+TODAY()-I690</f>
        <v>19</v>
      </c>
      <c r="H690" s="15">
        <v>1221499</v>
      </c>
      <c r="I690" s="1">
        <v>46101</v>
      </c>
      <c r="J690" s="1">
        <v>46131</v>
      </c>
      <c r="K690" s="18" t="s">
        <v>1403</v>
      </c>
      <c r="L690" s="18" t="s">
        <v>90</v>
      </c>
      <c r="M690" s="18" t="s">
        <v>19</v>
      </c>
      <c r="N690" s="18" t="s">
        <v>1429</v>
      </c>
      <c r="O690">
        <v>30</v>
      </c>
    </row>
    <row r="691" spans="1:15" x14ac:dyDescent="0.25">
      <c r="A691" s="18" t="s">
        <v>7276</v>
      </c>
      <c r="B691" s="18" t="s">
        <v>1427</v>
      </c>
      <c r="C691" s="18" t="s">
        <v>1428</v>
      </c>
      <c r="D691" s="18" t="s">
        <v>875</v>
      </c>
      <c r="E691" s="18" t="s">
        <v>6601</v>
      </c>
      <c r="F691" s="2">
        <f>+J691-I691</f>
        <v>30</v>
      </c>
      <c r="G691" s="2">
        <f ca="1">+TODAY()-I691</f>
        <v>15</v>
      </c>
      <c r="H691" s="15">
        <v>378383</v>
      </c>
      <c r="I691" s="1">
        <v>46105</v>
      </c>
      <c r="J691" s="1">
        <v>46135</v>
      </c>
      <c r="K691" s="18" t="s">
        <v>1403</v>
      </c>
      <c r="L691" s="18" t="s">
        <v>117</v>
      </c>
      <c r="M691" s="18" t="s">
        <v>19</v>
      </c>
      <c r="N691" s="18" t="s">
        <v>1429</v>
      </c>
      <c r="O691">
        <v>30</v>
      </c>
    </row>
    <row r="692" spans="1:15" x14ac:dyDescent="0.25">
      <c r="A692" s="18" t="s">
        <v>7276</v>
      </c>
      <c r="B692" s="18" t="s">
        <v>1427</v>
      </c>
      <c r="C692" s="18" t="s">
        <v>1428</v>
      </c>
      <c r="D692" s="18" t="s">
        <v>875</v>
      </c>
      <c r="E692" s="18" t="s">
        <v>7192</v>
      </c>
      <c r="F692" s="2">
        <f>+J692-I692</f>
        <v>30</v>
      </c>
      <c r="G692" s="2">
        <f ca="1">+TODAY()-I692</f>
        <v>8</v>
      </c>
      <c r="H692" s="15">
        <v>1545873</v>
      </c>
      <c r="I692" s="1">
        <v>46112</v>
      </c>
      <c r="J692" s="1">
        <v>46142</v>
      </c>
      <c r="K692" s="18" t="s">
        <v>1403</v>
      </c>
      <c r="L692" s="18" t="s">
        <v>90</v>
      </c>
      <c r="M692" s="18" t="s">
        <v>19</v>
      </c>
      <c r="N692" s="18" t="s">
        <v>1429</v>
      </c>
      <c r="O692">
        <v>30</v>
      </c>
    </row>
    <row r="693" spans="1:15" x14ac:dyDescent="0.25">
      <c r="A693" s="18" t="s">
        <v>7276</v>
      </c>
      <c r="B693" s="18" t="s">
        <v>1427</v>
      </c>
      <c r="C693" s="18" t="s">
        <v>1428</v>
      </c>
      <c r="D693" s="18" t="s">
        <v>875</v>
      </c>
      <c r="E693" s="18" t="s">
        <v>7586</v>
      </c>
      <c r="F693" s="2">
        <f>+J693-I693</f>
        <v>30</v>
      </c>
      <c r="G693" s="2">
        <f ca="1">+TODAY()-I693</f>
        <v>7</v>
      </c>
      <c r="H693" s="15">
        <v>622000</v>
      </c>
      <c r="I693" s="1">
        <v>46113</v>
      </c>
      <c r="J693" s="1">
        <v>46143</v>
      </c>
      <c r="K693" s="18" t="s">
        <v>1403</v>
      </c>
      <c r="L693" s="18" t="s">
        <v>90</v>
      </c>
      <c r="M693" s="18" t="s">
        <v>19</v>
      </c>
      <c r="N693" s="18" t="s">
        <v>1429</v>
      </c>
      <c r="O693">
        <v>30</v>
      </c>
    </row>
    <row r="694" spans="1:15" x14ac:dyDescent="0.25">
      <c r="A694" s="18" t="s">
        <v>7276</v>
      </c>
      <c r="B694" s="18" t="s">
        <v>880</v>
      </c>
      <c r="C694" s="18" t="s">
        <v>881</v>
      </c>
      <c r="D694" s="18" t="s">
        <v>854</v>
      </c>
      <c r="E694" s="18" t="s">
        <v>2076</v>
      </c>
      <c r="F694" s="2">
        <f>+J694-I694</f>
        <v>1</v>
      </c>
      <c r="G694" s="2">
        <f ca="1">+TODAY()-I694</f>
        <v>165</v>
      </c>
      <c r="H694" s="15">
        <v>2276</v>
      </c>
      <c r="I694" s="1">
        <v>45955</v>
      </c>
      <c r="J694" s="1">
        <v>45956</v>
      </c>
      <c r="K694" s="18" t="s">
        <v>845</v>
      </c>
      <c r="L694" s="18" t="s">
        <v>47</v>
      </c>
      <c r="M694" s="18" t="s">
        <v>19</v>
      </c>
      <c r="N694" s="18" t="s">
        <v>882</v>
      </c>
      <c r="O694">
        <v>30</v>
      </c>
    </row>
    <row r="695" spans="1:15" x14ac:dyDescent="0.25">
      <c r="A695" s="18" t="s">
        <v>7276</v>
      </c>
      <c r="B695" s="18" t="s">
        <v>880</v>
      </c>
      <c r="C695" s="18" t="s">
        <v>881</v>
      </c>
      <c r="D695" s="18" t="s">
        <v>854</v>
      </c>
      <c r="E695" s="18" t="s">
        <v>3495</v>
      </c>
      <c r="F695" s="2">
        <f>+J695-I695</f>
        <v>30</v>
      </c>
      <c r="G695" s="2">
        <f ca="1">+TODAY()-I695</f>
        <v>81</v>
      </c>
      <c r="H695" s="15">
        <v>90005</v>
      </c>
      <c r="I695" s="1">
        <v>46039</v>
      </c>
      <c r="J695" s="1">
        <v>46069</v>
      </c>
      <c r="K695" s="18" t="s">
        <v>845</v>
      </c>
      <c r="L695" s="18" t="s">
        <v>18</v>
      </c>
      <c r="M695" s="18" t="s">
        <v>19</v>
      </c>
      <c r="N695" s="18" t="s">
        <v>882</v>
      </c>
      <c r="O695">
        <v>30</v>
      </c>
    </row>
    <row r="696" spans="1:15" x14ac:dyDescent="0.25">
      <c r="A696" s="18" t="s">
        <v>7276</v>
      </c>
      <c r="B696" s="18" t="s">
        <v>880</v>
      </c>
      <c r="C696" s="18" t="s">
        <v>881</v>
      </c>
      <c r="D696" s="18" t="s">
        <v>854</v>
      </c>
      <c r="E696" s="18" t="s">
        <v>5948</v>
      </c>
      <c r="F696" s="2">
        <f>+J696-I696</f>
        <v>30</v>
      </c>
      <c r="G696" s="2">
        <f ca="1">+TODAY()-I696</f>
        <v>26</v>
      </c>
      <c r="H696" s="15">
        <v>899702</v>
      </c>
      <c r="I696" s="1">
        <v>46094</v>
      </c>
      <c r="J696" s="1">
        <v>46124</v>
      </c>
      <c r="K696" s="18" t="s">
        <v>845</v>
      </c>
      <c r="L696" s="18" t="s">
        <v>18</v>
      </c>
      <c r="M696" s="18" t="s">
        <v>19</v>
      </c>
      <c r="N696" s="18" t="s">
        <v>882</v>
      </c>
      <c r="O696">
        <v>30</v>
      </c>
    </row>
    <row r="697" spans="1:15" x14ac:dyDescent="0.25">
      <c r="A697" s="18" t="s">
        <v>7276</v>
      </c>
      <c r="B697" s="18" t="s">
        <v>880</v>
      </c>
      <c r="C697" s="18" t="s">
        <v>881</v>
      </c>
      <c r="D697" s="18" t="s">
        <v>854</v>
      </c>
      <c r="E697" s="18" t="s">
        <v>6466</v>
      </c>
      <c r="F697" s="2">
        <f>+J697-I697</f>
        <v>30</v>
      </c>
      <c r="G697" s="2">
        <f ca="1">+TODAY()-I697</f>
        <v>12</v>
      </c>
      <c r="H697" s="15">
        <v>1462505</v>
      </c>
      <c r="I697" s="1">
        <v>46108</v>
      </c>
      <c r="J697" s="1">
        <v>46138</v>
      </c>
      <c r="K697" s="18" t="s">
        <v>845</v>
      </c>
      <c r="L697" s="18" t="s">
        <v>18</v>
      </c>
      <c r="M697" s="18" t="s">
        <v>19</v>
      </c>
      <c r="N697" s="18" t="s">
        <v>882</v>
      </c>
      <c r="O697">
        <v>30</v>
      </c>
    </row>
    <row r="698" spans="1:15" x14ac:dyDescent="0.25">
      <c r="A698" s="18" t="s">
        <v>7276</v>
      </c>
      <c r="B698" s="18" t="s">
        <v>880</v>
      </c>
      <c r="C698" s="18" t="s">
        <v>881</v>
      </c>
      <c r="D698" s="18" t="s">
        <v>854</v>
      </c>
      <c r="E698" s="18" t="s">
        <v>6467</v>
      </c>
      <c r="F698" s="2">
        <f>+J698-I698</f>
        <v>30</v>
      </c>
      <c r="G698" s="2">
        <f ca="1">+TODAY()-I698</f>
        <v>12</v>
      </c>
      <c r="H698" s="15">
        <v>1302987</v>
      </c>
      <c r="I698" s="1">
        <v>46108</v>
      </c>
      <c r="J698" s="1">
        <v>46138</v>
      </c>
      <c r="K698" s="18" t="s">
        <v>845</v>
      </c>
      <c r="L698" s="18" t="s">
        <v>18</v>
      </c>
      <c r="M698" s="18" t="s">
        <v>19</v>
      </c>
      <c r="N698" s="18" t="s">
        <v>882</v>
      </c>
      <c r="O698">
        <v>30</v>
      </c>
    </row>
    <row r="699" spans="1:15" x14ac:dyDescent="0.25">
      <c r="A699" s="18" t="s">
        <v>7276</v>
      </c>
      <c r="B699" s="18" t="s">
        <v>4943</v>
      </c>
      <c r="C699" s="18" t="s">
        <v>4944</v>
      </c>
      <c r="D699" s="18" t="s">
        <v>320</v>
      </c>
      <c r="E699" s="18" t="s">
        <v>7059</v>
      </c>
      <c r="F699" s="2">
        <f>+J699-I699</f>
        <v>1</v>
      </c>
      <c r="G699" s="2">
        <f ca="1">+TODAY()-I699</f>
        <v>9</v>
      </c>
      <c r="H699" s="15">
        <v>48170</v>
      </c>
      <c r="I699" s="1">
        <v>46111</v>
      </c>
      <c r="J699" s="1">
        <v>46112</v>
      </c>
      <c r="K699" s="18" t="s">
        <v>1068</v>
      </c>
      <c r="L699" s="18" t="s">
        <v>321</v>
      </c>
      <c r="M699" s="18" t="s">
        <v>19</v>
      </c>
      <c r="N699" s="18" t="s">
        <v>4946</v>
      </c>
      <c r="O699">
        <v>1</v>
      </c>
    </row>
    <row r="700" spans="1:15" x14ac:dyDescent="0.25">
      <c r="A700" s="18" t="s">
        <v>7276</v>
      </c>
      <c r="B700" s="18" t="s">
        <v>4943</v>
      </c>
      <c r="C700" s="18" t="s">
        <v>4944</v>
      </c>
      <c r="D700" s="18" t="s">
        <v>320</v>
      </c>
      <c r="E700" s="18" t="s">
        <v>7511</v>
      </c>
      <c r="F700" s="2">
        <f>+J700-I700</f>
        <v>1</v>
      </c>
      <c r="G700" s="2">
        <f ca="1">+TODAY()-I700</f>
        <v>2</v>
      </c>
      <c r="H700" s="15">
        <v>39098</v>
      </c>
      <c r="I700" s="1">
        <v>46118</v>
      </c>
      <c r="J700" s="1">
        <v>46119</v>
      </c>
      <c r="K700" s="18" t="s">
        <v>1068</v>
      </c>
      <c r="L700" s="18" t="s">
        <v>321</v>
      </c>
      <c r="M700" s="18" t="s">
        <v>19</v>
      </c>
      <c r="N700" s="18" t="s">
        <v>4946</v>
      </c>
      <c r="O700">
        <v>1</v>
      </c>
    </row>
    <row r="701" spans="1:15" x14ac:dyDescent="0.25">
      <c r="A701" s="18" t="s">
        <v>7276</v>
      </c>
      <c r="B701" s="18" t="s">
        <v>4943</v>
      </c>
      <c r="C701" s="18" t="s">
        <v>4944</v>
      </c>
      <c r="D701" s="18" t="s">
        <v>320</v>
      </c>
      <c r="E701" s="18" t="s">
        <v>7512</v>
      </c>
      <c r="F701" s="2">
        <f>+J701-I701</f>
        <v>1</v>
      </c>
      <c r="G701" s="2">
        <f ca="1">+TODAY()-I701</f>
        <v>2</v>
      </c>
      <c r="H701" s="15">
        <v>45360</v>
      </c>
      <c r="I701" s="1">
        <v>46118</v>
      </c>
      <c r="J701" s="1">
        <v>46119</v>
      </c>
      <c r="K701" s="18" t="s">
        <v>1068</v>
      </c>
      <c r="L701" s="18" t="s">
        <v>321</v>
      </c>
      <c r="M701" s="18" t="s">
        <v>19</v>
      </c>
      <c r="N701" s="18" t="s">
        <v>4946</v>
      </c>
      <c r="O701">
        <v>1</v>
      </c>
    </row>
    <row r="702" spans="1:15" x14ac:dyDescent="0.25">
      <c r="A702" s="18" t="s">
        <v>7276</v>
      </c>
      <c r="B702" s="18" t="s">
        <v>2141</v>
      </c>
      <c r="C702" s="18" t="s">
        <v>2142</v>
      </c>
      <c r="D702" s="18" t="s">
        <v>875</v>
      </c>
      <c r="E702" s="18" t="s">
        <v>7200</v>
      </c>
      <c r="F702" s="2">
        <f>+J702-I702</f>
        <v>1</v>
      </c>
      <c r="G702" s="2">
        <f ca="1">+TODAY()-I702</f>
        <v>8</v>
      </c>
      <c r="H702" s="15">
        <v>197206</v>
      </c>
      <c r="I702" s="1">
        <v>46112</v>
      </c>
      <c r="J702" s="1">
        <v>46113</v>
      </c>
      <c r="K702" s="18" t="s">
        <v>1403</v>
      </c>
      <c r="L702" s="18" t="s">
        <v>90</v>
      </c>
      <c r="M702" s="18" t="s">
        <v>19</v>
      </c>
      <c r="N702" s="18" t="s">
        <v>7201</v>
      </c>
      <c r="O702">
        <v>30</v>
      </c>
    </row>
    <row r="703" spans="1:15" x14ac:dyDescent="0.25">
      <c r="A703" s="18" t="s">
        <v>7276</v>
      </c>
      <c r="B703" s="18" t="s">
        <v>3701</v>
      </c>
      <c r="C703" s="18" t="s">
        <v>3702</v>
      </c>
      <c r="D703" s="18" t="s">
        <v>875</v>
      </c>
      <c r="E703" s="18" t="s">
        <v>6338</v>
      </c>
      <c r="F703" s="2">
        <f>+J703-I703</f>
        <v>30</v>
      </c>
      <c r="G703" s="2">
        <f ca="1">+TODAY()-I703</f>
        <v>19</v>
      </c>
      <c r="H703" s="15">
        <v>1750114</v>
      </c>
      <c r="I703" s="1">
        <v>46101</v>
      </c>
      <c r="J703" s="1">
        <v>46131</v>
      </c>
      <c r="K703" s="18" t="s">
        <v>1403</v>
      </c>
      <c r="L703" s="18" t="s">
        <v>47</v>
      </c>
      <c r="M703" s="18" t="s">
        <v>19</v>
      </c>
      <c r="N703" s="18" t="s">
        <v>3704</v>
      </c>
      <c r="O703">
        <v>30</v>
      </c>
    </row>
    <row r="704" spans="1:15" x14ac:dyDescent="0.25">
      <c r="A704" s="18" t="s">
        <v>7276</v>
      </c>
      <c r="B704" s="18" t="s">
        <v>4934</v>
      </c>
      <c r="C704" s="18" t="s">
        <v>4935</v>
      </c>
      <c r="D704" s="18" t="s">
        <v>320</v>
      </c>
      <c r="E704" s="18" t="s">
        <v>5020</v>
      </c>
      <c r="F704" s="2">
        <f>+J704-I704</f>
        <v>1</v>
      </c>
      <c r="G704" s="2">
        <f ca="1">+TODAY()-I704</f>
        <v>57</v>
      </c>
      <c r="H704" s="15">
        <v>172776</v>
      </c>
      <c r="I704" s="1">
        <v>46063</v>
      </c>
      <c r="J704" s="1">
        <v>46064</v>
      </c>
      <c r="K704" s="18" t="s">
        <v>1068</v>
      </c>
      <c r="L704" s="18" t="s">
        <v>321</v>
      </c>
      <c r="M704" s="18" t="s">
        <v>19</v>
      </c>
      <c r="N704" s="18" t="s">
        <v>4937</v>
      </c>
      <c r="O704">
        <v>1</v>
      </c>
    </row>
    <row r="705" spans="1:15" x14ac:dyDescent="0.25">
      <c r="A705" s="18" t="s">
        <v>7276</v>
      </c>
      <c r="B705" s="18" t="s">
        <v>1476</v>
      </c>
      <c r="C705" s="18" t="s">
        <v>1477</v>
      </c>
      <c r="D705" s="18" t="s">
        <v>1478</v>
      </c>
      <c r="E705" s="18" t="s">
        <v>6056</v>
      </c>
      <c r="F705" s="2">
        <f>+J705-I705</f>
        <v>30</v>
      </c>
      <c r="G705" s="2">
        <f ca="1">+TODAY()-I705</f>
        <v>27</v>
      </c>
      <c r="H705" s="15">
        <v>857503</v>
      </c>
      <c r="I705" s="1">
        <v>46093</v>
      </c>
      <c r="J705" s="1">
        <v>46123</v>
      </c>
      <c r="K705" s="18" t="s">
        <v>1470</v>
      </c>
      <c r="L705" s="18" t="s">
        <v>981</v>
      </c>
      <c r="M705" s="18" t="s">
        <v>19</v>
      </c>
      <c r="N705" s="18" t="s">
        <v>1479</v>
      </c>
      <c r="O705">
        <v>30</v>
      </c>
    </row>
    <row r="706" spans="1:15" x14ac:dyDescent="0.25">
      <c r="A706" s="18" t="s">
        <v>7276</v>
      </c>
      <c r="B706" s="18" t="s">
        <v>1476</v>
      </c>
      <c r="C706" s="18" t="s">
        <v>1477</v>
      </c>
      <c r="D706" s="18" t="s">
        <v>1478</v>
      </c>
      <c r="E706" s="18" t="s">
        <v>6057</v>
      </c>
      <c r="F706" s="2">
        <f>+J706-I706</f>
        <v>30</v>
      </c>
      <c r="G706" s="2">
        <f ca="1">+TODAY()-I706</f>
        <v>27</v>
      </c>
      <c r="H706" s="15">
        <v>468000</v>
      </c>
      <c r="I706" s="1">
        <v>46093</v>
      </c>
      <c r="J706" s="1">
        <v>46123</v>
      </c>
      <c r="K706" s="18" t="s">
        <v>1470</v>
      </c>
      <c r="L706" s="18" t="s">
        <v>981</v>
      </c>
      <c r="M706" s="18" t="s">
        <v>19</v>
      </c>
      <c r="N706" s="18" t="s">
        <v>1479</v>
      </c>
      <c r="O706">
        <v>30</v>
      </c>
    </row>
    <row r="707" spans="1:15" x14ac:dyDescent="0.25">
      <c r="A707" s="18" t="s">
        <v>7276</v>
      </c>
      <c r="B707" s="18" t="s">
        <v>1476</v>
      </c>
      <c r="C707" s="18" t="s">
        <v>1477</v>
      </c>
      <c r="D707" s="18" t="s">
        <v>1478</v>
      </c>
      <c r="E707" s="18" t="s">
        <v>7216</v>
      </c>
      <c r="F707" s="2">
        <f>+J707-I707</f>
        <v>30</v>
      </c>
      <c r="G707" s="2">
        <f ca="1">+TODAY()-I707</f>
        <v>8</v>
      </c>
      <c r="H707" s="15">
        <v>1470294</v>
      </c>
      <c r="I707" s="1">
        <v>46112</v>
      </c>
      <c r="J707" s="1">
        <v>46142</v>
      </c>
      <c r="K707" s="18" t="s">
        <v>1470</v>
      </c>
      <c r="L707" s="18" t="s">
        <v>981</v>
      </c>
      <c r="M707" s="18" t="s">
        <v>19</v>
      </c>
      <c r="N707" s="18" t="s">
        <v>1479</v>
      </c>
      <c r="O707">
        <v>30</v>
      </c>
    </row>
    <row r="708" spans="1:15" x14ac:dyDescent="0.25">
      <c r="A708" s="18" t="s">
        <v>7276</v>
      </c>
      <c r="B708" s="18" t="s">
        <v>1064</v>
      </c>
      <c r="C708" s="18" t="s">
        <v>1065</v>
      </c>
      <c r="D708" s="18" t="s">
        <v>1066</v>
      </c>
      <c r="E708" s="18" t="s">
        <v>1067</v>
      </c>
      <c r="F708" s="2">
        <f>+J708-I708</f>
        <v>25</v>
      </c>
      <c r="G708" s="2">
        <f ca="1">+TODAY()-I708</f>
        <v>3488</v>
      </c>
      <c r="H708" s="15">
        <v>258740</v>
      </c>
      <c r="I708" s="1">
        <v>42632</v>
      </c>
      <c r="J708" s="1">
        <v>42657</v>
      </c>
      <c r="K708" s="18" t="s">
        <v>1068</v>
      </c>
      <c r="L708" s="18" t="s">
        <v>1069</v>
      </c>
      <c r="M708" s="18" t="s">
        <v>19</v>
      </c>
      <c r="N708" s="18" t="s">
        <v>1070</v>
      </c>
      <c r="O708">
        <v>30</v>
      </c>
    </row>
    <row r="709" spans="1:15" x14ac:dyDescent="0.25">
      <c r="A709" s="18" t="s">
        <v>7276</v>
      </c>
      <c r="B709" s="18" t="s">
        <v>6443</v>
      </c>
      <c r="C709" s="18" t="s">
        <v>6444</v>
      </c>
      <c r="D709" s="18" t="s">
        <v>15</v>
      </c>
      <c r="E709" s="18" t="s">
        <v>7394</v>
      </c>
      <c r="F709" s="2">
        <f>+J709-I709</f>
        <v>1</v>
      </c>
      <c r="G709" s="2">
        <f ca="1">+TODAY()-I709</f>
        <v>2</v>
      </c>
      <c r="H709" s="15">
        <v>154913</v>
      </c>
      <c r="I709" s="1">
        <v>46118</v>
      </c>
      <c r="J709" s="1">
        <v>46119</v>
      </c>
      <c r="K709" s="18" t="s">
        <v>17</v>
      </c>
      <c r="L709" s="18" t="s">
        <v>312</v>
      </c>
      <c r="M709" s="18" t="s">
        <v>19</v>
      </c>
      <c r="N709" s="18" t="s">
        <v>6445</v>
      </c>
      <c r="O709">
        <v>1</v>
      </c>
    </row>
    <row r="710" spans="1:15" x14ac:dyDescent="0.25">
      <c r="A710" s="18" t="s">
        <v>7276</v>
      </c>
      <c r="B710" s="18" t="s">
        <v>6443</v>
      </c>
      <c r="C710" s="18" t="s">
        <v>6444</v>
      </c>
      <c r="D710" s="18" t="s">
        <v>15</v>
      </c>
      <c r="E710" s="18" t="s">
        <v>7669</v>
      </c>
      <c r="F710" s="2">
        <f>+J710-I710</f>
        <v>1</v>
      </c>
      <c r="G710" s="2">
        <f ca="1">+TODAY()-I710</f>
        <v>1</v>
      </c>
      <c r="H710" s="15">
        <v>113554</v>
      </c>
      <c r="I710" s="1">
        <v>46119</v>
      </c>
      <c r="J710" s="1">
        <v>46120</v>
      </c>
      <c r="K710" s="18" t="s">
        <v>17</v>
      </c>
      <c r="L710" s="18" t="s">
        <v>312</v>
      </c>
      <c r="M710" s="18" t="s">
        <v>19</v>
      </c>
      <c r="N710" s="18" t="s">
        <v>6445</v>
      </c>
      <c r="O710">
        <v>1</v>
      </c>
    </row>
    <row r="711" spans="1:15" x14ac:dyDescent="0.25">
      <c r="A711" s="18" t="s">
        <v>7276</v>
      </c>
      <c r="B711" s="18" t="s">
        <v>977</v>
      </c>
      <c r="C711" s="18" t="s">
        <v>978</v>
      </c>
      <c r="D711" s="18" t="s">
        <v>979</v>
      </c>
      <c r="E711" s="18" t="s">
        <v>4976</v>
      </c>
      <c r="F711" s="2">
        <f>+J711-I711</f>
        <v>30</v>
      </c>
      <c r="G711" s="2">
        <f ca="1">+TODAY()-I711</f>
        <v>69</v>
      </c>
      <c r="H711" s="15">
        <v>2614781</v>
      </c>
      <c r="I711" s="1">
        <v>46051</v>
      </c>
      <c r="J711" s="1">
        <v>46081</v>
      </c>
      <c r="K711" s="18" t="s">
        <v>980</v>
      </c>
      <c r="L711" s="18" t="s">
        <v>981</v>
      </c>
      <c r="M711" s="18" t="s">
        <v>19</v>
      </c>
      <c r="N711" s="18" t="s">
        <v>982</v>
      </c>
      <c r="O711">
        <v>30</v>
      </c>
    </row>
    <row r="712" spans="1:15" x14ac:dyDescent="0.25">
      <c r="A712" s="18" t="s">
        <v>7276</v>
      </c>
      <c r="B712" s="18" t="s">
        <v>977</v>
      </c>
      <c r="C712" s="18" t="s">
        <v>978</v>
      </c>
      <c r="D712" s="18" t="s">
        <v>979</v>
      </c>
      <c r="E712" s="18" t="s">
        <v>5100</v>
      </c>
      <c r="F712" s="2">
        <f>+J712-I712</f>
        <v>30</v>
      </c>
      <c r="G712" s="2">
        <f ca="1">+TODAY()-I712</f>
        <v>49</v>
      </c>
      <c r="H712" s="15">
        <v>137320</v>
      </c>
      <c r="I712" s="1">
        <v>46071</v>
      </c>
      <c r="J712" s="1">
        <v>46101</v>
      </c>
      <c r="K712" s="18" t="s">
        <v>980</v>
      </c>
      <c r="L712" s="18" t="s">
        <v>981</v>
      </c>
      <c r="M712" s="18" t="s">
        <v>19</v>
      </c>
      <c r="N712" s="18" t="s">
        <v>982</v>
      </c>
      <c r="O712">
        <v>30</v>
      </c>
    </row>
    <row r="713" spans="1:15" x14ac:dyDescent="0.25">
      <c r="A713" s="18" t="s">
        <v>7276</v>
      </c>
      <c r="B713" s="18" t="s">
        <v>977</v>
      </c>
      <c r="C713" s="18" t="s">
        <v>978</v>
      </c>
      <c r="D713" s="18" t="s">
        <v>979</v>
      </c>
      <c r="E713" s="18" t="s">
        <v>7022</v>
      </c>
      <c r="F713" s="2">
        <f>+J713-I713</f>
        <v>30</v>
      </c>
      <c r="G713" s="2">
        <f ca="1">+TODAY()-I713</f>
        <v>8</v>
      </c>
      <c r="H713" s="15">
        <v>2425470</v>
      </c>
      <c r="I713" s="1">
        <v>46112</v>
      </c>
      <c r="J713" s="1">
        <v>46142</v>
      </c>
      <c r="K713" s="18" t="s">
        <v>980</v>
      </c>
      <c r="L713" s="18" t="s">
        <v>981</v>
      </c>
      <c r="M713" s="18" t="s">
        <v>19</v>
      </c>
      <c r="N713" s="18" t="s">
        <v>982</v>
      </c>
      <c r="O713">
        <v>30</v>
      </c>
    </row>
    <row r="714" spans="1:15" x14ac:dyDescent="0.25">
      <c r="A714" s="18" t="s">
        <v>7276</v>
      </c>
      <c r="B714" s="18" t="s">
        <v>1283</v>
      </c>
      <c r="C714" s="18" t="s">
        <v>1284</v>
      </c>
      <c r="D714" s="18" t="s">
        <v>1282</v>
      </c>
      <c r="E714" s="18" t="s">
        <v>2761</v>
      </c>
      <c r="F714" s="2">
        <f>+J714-I714</f>
        <v>30</v>
      </c>
      <c r="G714" s="2">
        <f ca="1">+TODAY()-I714</f>
        <v>103</v>
      </c>
      <c r="H714" s="15">
        <v>851973</v>
      </c>
      <c r="I714" s="1">
        <v>46017</v>
      </c>
      <c r="J714" s="1">
        <v>46047</v>
      </c>
      <c r="K714" s="18" t="s">
        <v>1260</v>
      </c>
      <c r="L714" s="18" t="s">
        <v>981</v>
      </c>
      <c r="M714" s="18" t="s">
        <v>19</v>
      </c>
      <c r="N714" s="18" t="s">
        <v>1285</v>
      </c>
      <c r="O714">
        <v>30</v>
      </c>
    </row>
    <row r="715" spans="1:15" x14ac:dyDescent="0.25">
      <c r="A715" s="18" t="s">
        <v>7276</v>
      </c>
      <c r="B715" s="18" t="s">
        <v>2438</v>
      </c>
      <c r="C715" s="18" t="s">
        <v>2439</v>
      </c>
      <c r="D715" s="18" t="s">
        <v>347</v>
      </c>
      <c r="E715" s="18" t="s">
        <v>5695</v>
      </c>
      <c r="F715" s="2">
        <f>+J715-I715</f>
        <v>30</v>
      </c>
      <c r="G715" s="2">
        <f ca="1">+TODAY()-I715</f>
        <v>28</v>
      </c>
      <c r="H715" s="15">
        <v>408837</v>
      </c>
      <c r="I715" s="1">
        <v>46092</v>
      </c>
      <c r="J715" s="1">
        <v>46122</v>
      </c>
      <c r="K715" s="18" t="s">
        <v>343</v>
      </c>
      <c r="L715" s="18" t="s">
        <v>18</v>
      </c>
      <c r="M715" s="18" t="s">
        <v>391</v>
      </c>
      <c r="N715" s="18" t="s">
        <v>2440</v>
      </c>
      <c r="O715">
        <v>30</v>
      </c>
    </row>
    <row r="716" spans="1:15" x14ac:dyDescent="0.25">
      <c r="A716" s="18" t="s">
        <v>7276</v>
      </c>
      <c r="B716" s="18" t="s">
        <v>2438</v>
      </c>
      <c r="C716" s="18" t="s">
        <v>2439</v>
      </c>
      <c r="D716" s="18" t="s">
        <v>347</v>
      </c>
      <c r="E716" s="18" t="s">
        <v>5696</v>
      </c>
      <c r="F716" s="2">
        <f>+J716-I716</f>
        <v>30</v>
      </c>
      <c r="G716" s="2">
        <f ca="1">+TODAY()-I716</f>
        <v>28</v>
      </c>
      <c r="H716" s="15">
        <v>1132005</v>
      </c>
      <c r="I716" s="1">
        <v>46092</v>
      </c>
      <c r="J716" s="1">
        <v>46122</v>
      </c>
      <c r="K716" s="18" t="s">
        <v>343</v>
      </c>
      <c r="L716" s="18" t="s">
        <v>18</v>
      </c>
      <c r="M716" s="18" t="s">
        <v>391</v>
      </c>
      <c r="N716" s="18" t="s">
        <v>2440</v>
      </c>
      <c r="O716">
        <v>30</v>
      </c>
    </row>
    <row r="717" spans="1:15" x14ac:dyDescent="0.25">
      <c r="A717" s="18" t="s">
        <v>7276</v>
      </c>
      <c r="B717" s="18" t="s">
        <v>1907</v>
      </c>
      <c r="C717" s="18" t="s">
        <v>1908</v>
      </c>
      <c r="D717" s="18" t="s">
        <v>204</v>
      </c>
      <c r="E717" s="18" t="s">
        <v>5686</v>
      </c>
      <c r="F717" s="2">
        <f>+J717-I717</f>
        <v>30</v>
      </c>
      <c r="G717" s="2">
        <f ca="1">+TODAY()-I717</f>
        <v>28</v>
      </c>
      <c r="H717" s="15">
        <v>1668494</v>
      </c>
      <c r="I717" s="1">
        <v>46092</v>
      </c>
      <c r="J717" s="1">
        <v>46122</v>
      </c>
      <c r="K717" s="18" t="s">
        <v>343</v>
      </c>
      <c r="L717" s="18" t="s">
        <v>47</v>
      </c>
      <c r="M717" s="18" t="s">
        <v>19</v>
      </c>
      <c r="N717" s="18" t="s">
        <v>6202</v>
      </c>
      <c r="O717">
        <v>30</v>
      </c>
    </row>
    <row r="718" spans="1:15" x14ac:dyDescent="0.25">
      <c r="A718" s="18" t="s">
        <v>7276</v>
      </c>
      <c r="B718" s="18" t="s">
        <v>1907</v>
      </c>
      <c r="C718" s="18" t="s">
        <v>1908</v>
      </c>
      <c r="D718" s="18" t="s">
        <v>204</v>
      </c>
      <c r="E718" s="18" t="s">
        <v>6457</v>
      </c>
      <c r="F718" s="2">
        <f>+J718-I718</f>
        <v>30</v>
      </c>
      <c r="G718" s="2">
        <f ca="1">+TODAY()-I718</f>
        <v>15</v>
      </c>
      <c r="H718" s="15">
        <v>486998</v>
      </c>
      <c r="I718" s="1">
        <v>46105</v>
      </c>
      <c r="J718" s="1">
        <v>46135</v>
      </c>
      <c r="K718" s="18" t="s">
        <v>343</v>
      </c>
      <c r="L718" s="18" t="s">
        <v>47</v>
      </c>
      <c r="M718" s="18" t="s">
        <v>19</v>
      </c>
      <c r="N718" s="18" t="s">
        <v>6202</v>
      </c>
      <c r="O718">
        <v>30</v>
      </c>
    </row>
    <row r="719" spans="1:15" x14ac:dyDescent="0.25">
      <c r="A719" s="18" t="s">
        <v>7276</v>
      </c>
      <c r="B719" s="18" t="s">
        <v>1907</v>
      </c>
      <c r="C719" s="18" t="s">
        <v>1908</v>
      </c>
      <c r="D719" s="18" t="s">
        <v>204</v>
      </c>
      <c r="E719" s="18" t="s">
        <v>6461</v>
      </c>
      <c r="F719" s="2">
        <f>+J719-I719</f>
        <v>30</v>
      </c>
      <c r="G719" s="2">
        <f ca="1">+TODAY()-I719</f>
        <v>14</v>
      </c>
      <c r="H719" s="15">
        <v>543709</v>
      </c>
      <c r="I719" s="1">
        <v>46106</v>
      </c>
      <c r="J719" s="1">
        <v>46136</v>
      </c>
      <c r="K719" s="18" t="s">
        <v>343</v>
      </c>
      <c r="L719" s="18" t="s">
        <v>117</v>
      </c>
      <c r="M719" s="18" t="s">
        <v>19</v>
      </c>
      <c r="N719" s="18" t="s">
        <v>6202</v>
      </c>
      <c r="O719">
        <v>30</v>
      </c>
    </row>
    <row r="720" spans="1:15" x14ac:dyDescent="0.25">
      <c r="A720" s="18" t="s">
        <v>7276</v>
      </c>
      <c r="B720" s="18" t="s">
        <v>1907</v>
      </c>
      <c r="C720" s="18" t="s">
        <v>1908</v>
      </c>
      <c r="D720" s="18" t="s">
        <v>204</v>
      </c>
      <c r="E720" s="18" t="s">
        <v>6462</v>
      </c>
      <c r="F720" s="2">
        <f>+J720-I720</f>
        <v>30</v>
      </c>
      <c r="G720" s="2">
        <f ca="1">+TODAY()-I720</f>
        <v>14</v>
      </c>
      <c r="H720" s="15">
        <v>135500</v>
      </c>
      <c r="I720" s="1">
        <v>46106</v>
      </c>
      <c r="J720" s="1">
        <v>46136</v>
      </c>
      <c r="K720" s="18" t="s">
        <v>343</v>
      </c>
      <c r="L720" s="18" t="s">
        <v>117</v>
      </c>
      <c r="M720" s="18" t="s">
        <v>19</v>
      </c>
      <c r="N720" s="18" t="s">
        <v>6202</v>
      </c>
      <c r="O720">
        <v>30</v>
      </c>
    </row>
    <row r="721" spans="1:15" x14ac:dyDescent="0.25">
      <c r="A721" s="18" t="s">
        <v>7276</v>
      </c>
      <c r="B721" s="18" t="s">
        <v>5582</v>
      </c>
      <c r="C721" s="18" t="s">
        <v>5583</v>
      </c>
      <c r="D721" s="18" t="s">
        <v>1858</v>
      </c>
      <c r="E721" s="18" t="s">
        <v>7266</v>
      </c>
      <c r="F721" s="2">
        <f>+J721-I721</f>
        <v>30</v>
      </c>
      <c r="G721" s="2">
        <f ca="1">+TODAY()-I721</f>
        <v>8</v>
      </c>
      <c r="H721" s="15">
        <v>8271488</v>
      </c>
      <c r="I721" s="1">
        <v>46112</v>
      </c>
      <c r="J721" s="1">
        <v>46142</v>
      </c>
      <c r="K721" s="18" t="s">
        <v>1859</v>
      </c>
      <c r="L721" s="18" t="s">
        <v>984</v>
      </c>
      <c r="M721" s="18" t="s">
        <v>19</v>
      </c>
      <c r="N721" s="18" t="s">
        <v>5584</v>
      </c>
      <c r="O721">
        <v>30</v>
      </c>
    </row>
    <row r="722" spans="1:15" x14ac:dyDescent="0.25">
      <c r="A722" s="18" t="s">
        <v>7276</v>
      </c>
      <c r="B722" s="18" t="s">
        <v>5582</v>
      </c>
      <c r="C722" s="18" t="s">
        <v>5583</v>
      </c>
      <c r="D722" s="18" t="s">
        <v>1858</v>
      </c>
      <c r="E722" s="18" t="s">
        <v>7267</v>
      </c>
      <c r="F722" s="2">
        <f>+J722-I722</f>
        <v>30</v>
      </c>
      <c r="G722" s="2">
        <f ca="1">+TODAY()-I722</f>
        <v>8</v>
      </c>
      <c r="H722" s="15">
        <v>10846622</v>
      </c>
      <c r="I722" s="1">
        <v>46112</v>
      </c>
      <c r="J722" s="1">
        <v>46142</v>
      </c>
      <c r="K722" s="18" t="s">
        <v>1859</v>
      </c>
      <c r="L722" s="18" t="s">
        <v>984</v>
      </c>
      <c r="M722" s="18" t="s">
        <v>19</v>
      </c>
      <c r="N722" s="18" t="s">
        <v>5584</v>
      </c>
      <c r="O722">
        <v>30</v>
      </c>
    </row>
    <row r="723" spans="1:15" x14ac:dyDescent="0.25">
      <c r="A723" s="18" t="s">
        <v>7276</v>
      </c>
      <c r="B723" s="18" t="s">
        <v>5582</v>
      </c>
      <c r="C723" s="18" t="s">
        <v>5583</v>
      </c>
      <c r="D723" s="18" t="s">
        <v>1858</v>
      </c>
      <c r="E723" s="18" t="s">
        <v>7268</v>
      </c>
      <c r="F723" s="2">
        <f>+J723-I723</f>
        <v>30</v>
      </c>
      <c r="G723" s="2">
        <f ca="1">+TODAY()-I723</f>
        <v>8</v>
      </c>
      <c r="H723" s="15">
        <v>1966747</v>
      </c>
      <c r="I723" s="1">
        <v>46112</v>
      </c>
      <c r="J723" s="1">
        <v>46142</v>
      </c>
      <c r="K723" s="18" t="s">
        <v>1859</v>
      </c>
      <c r="L723" s="18" t="s">
        <v>984</v>
      </c>
      <c r="M723" s="18" t="s">
        <v>19</v>
      </c>
      <c r="N723" s="18" t="s">
        <v>5584</v>
      </c>
      <c r="O723">
        <v>30</v>
      </c>
    </row>
    <row r="724" spans="1:15" x14ac:dyDescent="0.25">
      <c r="A724" s="18" t="s">
        <v>7276</v>
      </c>
      <c r="B724" s="18" t="s">
        <v>5582</v>
      </c>
      <c r="C724" s="18" t="s">
        <v>5583</v>
      </c>
      <c r="D724" s="18" t="s">
        <v>1858</v>
      </c>
      <c r="E724" s="18" t="s">
        <v>7620</v>
      </c>
      <c r="F724" s="2">
        <f>+J724-I724</f>
        <v>30</v>
      </c>
      <c r="G724" s="2">
        <f ca="1">+TODAY()-I724</f>
        <v>7</v>
      </c>
      <c r="H724" s="15">
        <v>7586645</v>
      </c>
      <c r="I724" s="1">
        <v>46113</v>
      </c>
      <c r="J724" s="1">
        <v>46143</v>
      </c>
      <c r="K724" s="18" t="s">
        <v>1859</v>
      </c>
      <c r="L724" s="18" t="s">
        <v>984</v>
      </c>
      <c r="M724" s="18" t="s">
        <v>19</v>
      </c>
      <c r="N724" s="18" t="s">
        <v>5584</v>
      </c>
      <c r="O724">
        <v>30</v>
      </c>
    </row>
    <row r="725" spans="1:15" x14ac:dyDescent="0.25">
      <c r="A725" s="18" t="s">
        <v>7276</v>
      </c>
      <c r="B725" s="18" t="s">
        <v>5582</v>
      </c>
      <c r="C725" s="18" t="s">
        <v>5583</v>
      </c>
      <c r="D725" s="18" t="s">
        <v>1858</v>
      </c>
      <c r="E725" s="18" t="s">
        <v>7621</v>
      </c>
      <c r="F725" s="2">
        <f>+J725-I725</f>
        <v>30</v>
      </c>
      <c r="G725" s="2">
        <f ca="1">+TODAY()-I725</f>
        <v>7</v>
      </c>
      <c r="H725" s="15">
        <v>5346045</v>
      </c>
      <c r="I725" s="1">
        <v>46113</v>
      </c>
      <c r="J725" s="1">
        <v>46143</v>
      </c>
      <c r="K725" s="18" t="s">
        <v>1859</v>
      </c>
      <c r="L725" s="18" t="s">
        <v>984</v>
      </c>
      <c r="M725" s="18" t="s">
        <v>19</v>
      </c>
      <c r="N725" s="18" t="s">
        <v>5584</v>
      </c>
      <c r="O725">
        <v>30</v>
      </c>
    </row>
    <row r="726" spans="1:15" x14ac:dyDescent="0.25">
      <c r="A726" s="18" t="s">
        <v>7276</v>
      </c>
      <c r="B726" s="18" t="s">
        <v>889</v>
      </c>
      <c r="C726" s="18" t="s">
        <v>890</v>
      </c>
      <c r="D726" s="18" t="s">
        <v>854</v>
      </c>
      <c r="E726" s="18" t="s">
        <v>5231</v>
      </c>
      <c r="F726" s="2">
        <f>+J726-I726</f>
        <v>30</v>
      </c>
      <c r="G726" s="2">
        <f ca="1">+TODAY()-I726</f>
        <v>39</v>
      </c>
      <c r="H726" s="15">
        <v>579799</v>
      </c>
      <c r="I726" s="1">
        <v>46081</v>
      </c>
      <c r="J726" s="1">
        <v>46111</v>
      </c>
      <c r="K726" s="18" t="s">
        <v>845</v>
      </c>
      <c r="L726" s="18" t="s">
        <v>18</v>
      </c>
      <c r="M726" s="18" t="s">
        <v>19</v>
      </c>
      <c r="N726" s="18" t="s">
        <v>891</v>
      </c>
      <c r="O726">
        <v>30</v>
      </c>
    </row>
    <row r="727" spans="1:15" x14ac:dyDescent="0.25">
      <c r="A727" s="18" t="s">
        <v>7276</v>
      </c>
      <c r="B727" s="18" t="s">
        <v>889</v>
      </c>
      <c r="C727" s="18" t="s">
        <v>890</v>
      </c>
      <c r="D727" s="18" t="s">
        <v>854</v>
      </c>
      <c r="E727" s="18" t="s">
        <v>5952</v>
      </c>
      <c r="F727" s="2">
        <f>+J727-I727</f>
        <v>30</v>
      </c>
      <c r="G727" s="2">
        <f ca="1">+TODAY()-I727</f>
        <v>26</v>
      </c>
      <c r="H727" s="15">
        <v>1013610</v>
      </c>
      <c r="I727" s="1">
        <v>46094</v>
      </c>
      <c r="J727" s="1">
        <v>46124</v>
      </c>
      <c r="K727" s="18" t="s">
        <v>845</v>
      </c>
      <c r="L727" s="18" t="s">
        <v>18</v>
      </c>
      <c r="M727" s="18" t="s">
        <v>19</v>
      </c>
      <c r="N727" s="18" t="s">
        <v>891</v>
      </c>
      <c r="O727">
        <v>30</v>
      </c>
    </row>
    <row r="728" spans="1:15" x14ac:dyDescent="0.25">
      <c r="A728" s="18" t="s">
        <v>7276</v>
      </c>
      <c r="B728" s="18" t="s">
        <v>1578</v>
      </c>
      <c r="C728" s="18" t="s">
        <v>1579</v>
      </c>
      <c r="D728" s="18" t="s">
        <v>1563</v>
      </c>
      <c r="E728" s="18" t="s">
        <v>5487</v>
      </c>
      <c r="F728" s="2">
        <f>+J728-I728</f>
        <v>30</v>
      </c>
      <c r="G728" s="2">
        <f ca="1">+TODAY()-I728</f>
        <v>35</v>
      </c>
      <c r="H728" s="15">
        <v>2375273</v>
      </c>
      <c r="I728" s="1">
        <v>46085</v>
      </c>
      <c r="J728" s="1">
        <v>46115</v>
      </c>
      <c r="K728" s="18" t="s">
        <v>1564</v>
      </c>
      <c r="L728" s="18" t="s">
        <v>984</v>
      </c>
      <c r="M728" s="18" t="s">
        <v>19</v>
      </c>
      <c r="N728" s="18" t="s">
        <v>1580</v>
      </c>
      <c r="O728">
        <v>30</v>
      </c>
    </row>
    <row r="729" spans="1:15" x14ac:dyDescent="0.25">
      <c r="A729" s="18" t="s">
        <v>7276</v>
      </c>
      <c r="B729" s="18" t="s">
        <v>4994</v>
      </c>
      <c r="C729" s="18" t="s">
        <v>4995</v>
      </c>
      <c r="D729" s="18" t="s">
        <v>854</v>
      </c>
      <c r="E729" s="18" t="s">
        <v>5966</v>
      </c>
      <c r="F729" s="2">
        <f>+J729-I729</f>
        <v>30</v>
      </c>
      <c r="G729" s="2">
        <f ca="1">+TODAY()-I729</f>
        <v>26</v>
      </c>
      <c r="H729" s="15">
        <v>540005</v>
      </c>
      <c r="I729" s="1">
        <v>46094</v>
      </c>
      <c r="J729" s="1">
        <v>46124</v>
      </c>
      <c r="K729" s="18" t="s">
        <v>845</v>
      </c>
      <c r="L729" s="18" t="s">
        <v>18</v>
      </c>
      <c r="M729" s="18" t="s">
        <v>19</v>
      </c>
      <c r="N729" s="18" t="s">
        <v>4996</v>
      </c>
      <c r="O729">
        <v>30</v>
      </c>
    </row>
    <row r="730" spans="1:15" x14ac:dyDescent="0.25">
      <c r="A730" s="18" t="s">
        <v>7276</v>
      </c>
      <c r="B730" s="18" t="s">
        <v>3325</v>
      </c>
      <c r="C730" s="18" t="s">
        <v>3326</v>
      </c>
      <c r="D730" s="18" t="s">
        <v>46</v>
      </c>
      <c r="E730" s="18" t="s">
        <v>5213</v>
      </c>
      <c r="F730" s="2">
        <f>+J730-I730</f>
        <v>30</v>
      </c>
      <c r="G730" s="2">
        <f ca="1">+TODAY()-I730</f>
        <v>37</v>
      </c>
      <c r="H730" s="15">
        <v>313600</v>
      </c>
      <c r="I730" s="1">
        <v>46083</v>
      </c>
      <c r="J730" s="1">
        <v>46113</v>
      </c>
      <c r="K730" s="18" t="s">
        <v>17</v>
      </c>
      <c r="L730" s="18" t="s">
        <v>32</v>
      </c>
      <c r="M730" s="18" t="s">
        <v>19</v>
      </c>
      <c r="N730" s="18" t="s">
        <v>3328</v>
      </c>
      <c r="O730">
        <v>30</v>
      </c>
    </row>
    <row r="731" spans="1:15" x14ac:dyDescent="0.25">
      <c r="A731" s="18" t="s">
        <v>7276</v>
      </c>
      <c r="B731" s="18" t="s">
        <v>3325</v>
      </c>
      <c r="C731" s="18" t="s">
        <v>3326</v>
      </c>
      <c r="D731" s="18" t="s">
        <v>46</v>
      </c>
      <c r="E731" s="18" t="s">
        <v>6833</v>
      </c>
      <c r="F731" s="2">
        <f>+J731-I731</f>
        <v>30</v>
      </c>
      <c r="G731" s="2">
        <f ca="1">+TODAY()-I731</f>
        <v>8</v>
      </c>
      <c r="H731" s="15">
        <v>162402</v>
      </c>
      <c r="I731" s="1">
        <v>46112</v>
      </c>
      <c r="J731" s="1">
        <v>46142</v>
      </c>
      <c r="K731" s="18" t="s">
        <v>17</v>
      </c>
      <c r="L731" s="18" t="s">
        <v>32</v>
      </c>
      <c r="M731" s="18" t="s">
        <v>19</v>
      </c>
      <c r="N731" s="18" t="s">
        <v>3328</v>
      </c>
      <c r="O731">
        <v>30</v>
      </c>
    </row>
    <row r="732" spans="1:15" x14ac:dyDescent="0.25">
      <c r="A732" s="18" t="s">
        <v>7276</v>
      </c>
      <c r="B732" s="18" t="s">
        <v>3325</v>
      </c>
      <c r="C732" s="18" t="s">
        <v>3326</v>
      </c>
      <c r="D732" s="18" t="s">
        <v>46</v>
      </c>
      <c r="E732" s="18" t="s">
        <v>6834</v>
      </c>
      <c r="F732" s="2">
        <f>+J732-I732</f>
        <v>10</v>
      </c>
      <c r="G732" s="2">
        <f ca="1">+TODAY()-I732</f>
        <v>8</v>
      </c>
      <c r="H732" s="15">
        <v>840000</v>
      </c>
      <c r="I732" s="1">
        <v>46112</v>
      </c>
      <c r="J732" s="1">
        <v>46122</v>
      </c>
      <c r="K732" s="18" t="s">
        <v>17</v>
      </c>
      <c r="L732" s="18" t="s">
        <v>32</v>
      </c>
      <c r="M732" s="18" t="s">
        <v>19</v>
      </c>
      <c r="N732" s="18" t="s">
        <v>3328</v>
      </c>
      <c r="O732">
        <v>30</v>
      </c>
    </row>
    <row r="733" spans="1:15" x14ac:dyDescent="0.25">
      <c r="A733" s="18" t="s">
        <v>7276</v>
      </c>
      <c r="B733" s="18" t="s">
        <v>98</v>
      </c>
      <c r="C733" s="18" t="s">
        <v>99</v>
      </c>
      <c r="D733" s="18" t="s">
        <v>15</v>
      </c>
      <c r="E733" s="18" t="s">
        <v>5212</v>
      </c>
      <c r="F733" s="2">
        <f>+J733-I733</f>
        <v>30</v>
      </c>
      <c r="G733" s="2">
        <f ca="1">+TODAY()-I733</f>
        <v>37</v>
      </c>
      <c r="H733" s="15">
        <v>525561</v>
      </c>
      <c r="I733" s="1">
        <v>46083</v>
      </c>
      <c r="J733" s="1">
        <v>46113</v>
      </c>
      <c r="K733" s="18" t="s">
        <v>17</v>
      </c>
      <c r="L733" s="18" t="s">
        <v>32</v>
      </c>
      <c r="M733" s="18" t="s">
        <v>19</v>
      </c>
      <c r="N733" s="18" t="s">
        <v>100</v>
      </c>
      <c r="O733">
        <v>30</v>
      </c>
    </row>
    <row r="734" spans="1:15" x14ac:dyDescent="0.25">
      <c r="A734" s="18" t="s">
        <v>7276</v>
      </c>
      <c r="B734" s="18" t="s">
        <v>98</v>
      </c>
      <c r="C734" s="18" t="s">
        <v>99</v>
      </c>
      <c r="D734" s="18" t="s">
        <v>15</v>
      </c>
      <c r="E734" s="18" t="s">
        <v>5384</v>
      </c>
      <c r="F734" s="2">
        <f>+J734-I734</f>
        <v>30</v>
      </c>
      <c r="G734" s="2">
        <f ca="1">+TODAY()-I734</f>
        <v>36</v>
      </c>
      <c r="H734" s="15">
        <v>675514</v>
      </c>
      <c r="I734" s="1">
        <v>46084</v>
      </c>
      <c r="J734" s="1">
        <v>46114</v>
      </c>
      <c r="K734" s="18" t="s">
        <v>17</v>
      </c>
      <c r="L734" s="18" t="s">
        <v>32</v>
      </c>
      <c r="M734" s="18" t="s">
        <v>19</v>
      </c>
      <c r="N734" s="18" t="s">
        <v>100</v>
      </c>
      <c r="O734">
        <v>30</v>
      </c>
    </row>
    <row r="735" spans="1:15" x14ac:dyDescent="0.25">
      <c r="A735" s="18" t="s">
        <v>7276</v>
      </c>
      <c r="B735" s="18" t="s">
        <v>98</v>
      </c>
      <c r="C735" s="18" t="s">
        <v>99</v>
      </c>
      <c r="D735" s="18" t="s">
        <v>15</v>
      </c>
      <c r="E735" s="18" t="s">
        <v>5519</v>
      </c>
      <c r="F735" s="2">
        <f>+J735-I735</f>
        <v>30</v>
      </c>
      <c r="G735" s="2">
        <f ca="1">+TODAY()-I735</f>
        <v>33</v>
      </c>
      <c r="H735" s="15">
        <v>734742</v>
      </c>
      <c r="I735" s="1">
        <v>46087</v>
      </c>
      <c r="J735" s="1">
        <v>46117</v>
      </c>
      <c r="K735" s="18" t="s">
        <v>17</v>
      </c>
      <c r="L735" s="18" t="s">
        <v>32</v>
      </c>
      <c r="M735" s="18" t="s">
        <v>19</v>
      </c>
      <c r="N735" s="18" t="s">
        <v>100</v>
      </c>
      <c r="O735">
        <v>30</v>
      </c>
    </row>
    <row r="736" spans="1:15" x14ac:dyDescent="0.25">
      <c r="A736" s="18" t="s">
        <v>7276</v>
      </c>
      <c r="B736" s="18" t="s">
        <v>98</v>
      </c>
      <c r="C736" s="18" t="s">
        <v>99</v>
      </c>
      <c r="D736" s="18" t="s">
        <v>15</v>
      </c>
      <c r="E736" s="18" t="s">
        <v>5609</v>
      </c>
      <c r="F736" s="2">
        <f>+J736-I736</f>
        <v>30</v>
      </c>
      <c r="G736" s="2">
        <f ca="1">+TODAY()-I736</f>
        <v>32</v>
      </c>
      <c r="H736" s="15">
        <v>2763629</v>
      </c>
      <c r="I736" s="1">
        <v>46088</v>
      </c>
      <c r="J736" s="1">
        <v>46118</v>
      </c>
      <c r="K736" s="18" t="s">
        <v>17</v>
      </c>
      <c r="L736" s="18" t="s">
        <v>32</v>
      </c>
      <c r="M736" s="18" t="s">
        <v>19</v>
      </c>
      <c r="N736" s="18" t="s">
        <v>100</v>
      </c>
      <c r="O736">
        <v>30</v>
      </c>
    </row>
    <row r="737" spans="1:15" x14ac:dyDescent="0.25">
      <c r="A737" s="18" t="s">
        <v>7276</v>
      </c>
      <c r="B737" s="18" t="s">
        <v>98</v>
      </c>
      <c r="C737" s="18" t="s">
        <v>99</v>
      </c>
      <c r="D737" s="18" t="s">
        <v>15</v>
      </c>
      <c r="E737" s="18" t="s">
        <v>5614</v>
      </c>
      <c r="F737" s="2">
        <f>+J737-I737</f>
        <v>30</v>
      </c>
      <c r="G737" s="2">
        <f ca="1">+TODAY()-I737</f>
        <v>32</v>
      </c>
      <c r="H737" s="15">
        <v>3953571</v>
      </c>
      <c r="I737" s="1">
        <v>46088</v>
      </c>
      <c r="J737" s="1">
        <v>46118</v>
      </c>
      <c r="K737" s="18" t="s">
        <v>17</v>
      </c>
      <c r="L737" s="18" t="s">
        <v>32</v>
      </c>
      <c r="M737" s="18" t="s">
        <v>19</v>
      </c>
      <c r="N737" s="18" t="s">
        <v>100</v>
      </c>
      <c r="O737">
        <v>30</v>
      </c>
    </row>
    <row r="738" spans="1:15" x14ac:dyDescent="0.25">
      <c r="A738" s="18" t="s">
        <v>7276</v>
      </c>
      <c r="B738" s="18" t="s">
        <v>98</v>
      </c>
      <c r="C738" s="18" t="s">
        <v>99</v>
      </c>
      <c r="D738" s="18" t="s">
        <v>15</v>
      </c>
      <c r="E738" s="18" t="s">
        <v>5624</v>
      </c>
      <c r="F738" s="2">
        <f>+J738-I738</f>
        <v>30</v>
      </c>
      <c r="G738" s="2">
        <f ca="1">+TODAY()-I738</f>
        <v>29</v>
      </c>
      <c r="H738" s="15">
        <v>8400000</v>
      </c>
      <c r="I738" s="1">
        <v>46091</v>
      </c>
      <c r="J738" s="1">
        <v>46121</v>
      </c>
      <c r="K738" s="18" t="s">
        <v>17</v>
      </c>
      <c r="L738" s="18" t="s">
        <v>32</v>
      </c>
      <c r="M738" s="18" t="s">
        <v>19</v>
      </c>
      <c r="N738" s="18" t="s">
        <v>100</v>
      </c>
      <c r="O738">
        <v>30</v>
      </c>
    </row>
    <row r="739" spans="1:15" x14ac:dyDescent="0.25">
      <c r="A739" s="18" t="s">
        <v>7276</v>
      </c>
      <c r="B739" s="18" t="s">
        <v>98</v>
      </c>
      <c r="C739" s="18" t="s">
        <v>99</v>
      </c>
      <c r="D739" s="18" t="s">
        <v>15</v>
      </c>
      <c r="E739" s="18" t="s">
        <v>5868</v>
      </c>
      <c r="F739" s="2">
        <f>+J739-I739</f>
        <v>30</v>
      </c>
      <c r="G739" s="2">
        <f ca="1">+TODAY()-I739</f>
        <v>27</v>
      </c>
      <c r="H739" s="15">
        <v>641448</v>
      </c>
      <c r="I739" s="1">
        <v>46093</v>
      </c>
      <c r="J739" s="1">
        <v>46123</v>
      </c>
      <c r="K739" s="18" t="s">
        <v>17</v>
      </c>
      <c r="L739" s="18" t="s">
        <v>32</v>
      </c>
      <c r="M739" s="18" t="s">
        <v>19</v>
      </c>
      <c r="N739" s="18" t="s">
        <v>100</v>
      </c>
      <c r="O739">
        <v>30</v>
      </c>
    </row>
    <row r="740" spans="1:15" x14ac:dyDescent="0.25">
      <c r="A740" s="18" t="s">
        <v>7276</v>
      </c>
      <c r="B740" s="18" t="s">
        <v>98</v>
      </c>
      <c r="C740" s="18" t="s">
        <v>99</v>
      </c>
      <c r="D740" s="18" t="s">
        <v>15</v>
      </c>
      <c r="E740" s="18" t="s">
        <v>5882</v>
      </c>
      <c r="F740" s="2">
        <f>+J740-I740</f>
        <v>30</v>
      </c>
      <c r="G740" s="2">
        <f ca="1">+TODAY()-I740</f>
        <v>26</v>
      </c>
      <c r="H740" s="15">
        <v>297605</v>
      </c>
      <c r="I740" s="1">
        <v>46094</v>
      </c>
      <c r="J740" s="1">
        <v>46124</v>
      </c>
      <c r="K740" s="18" t="s">
        <v>17</v>
      </c>
      <c r="L740" s="18" t="s">
        <v>32</v>
      </c>
      <c r="M740" s="18" t="s">
        <v>19</v>
      </c>
      <c r="N740" s="18" t="s">
        <v>100</v>
      </c>
      <c r="O740">
        <v>30</v>
      </c>
    </row>
    <row r="741" spans="1:15" x14ac:dyDescent="0.25">
      <c r="A741" s="18" t="s">
        <v>7276</v>
      </c>
      <c r="B741" s="18" t="s">
        <v>98</v>
      </c>
      <c r="C741" s="18" t="s">
        <v>99</v>
      </c>
      <c r="D741" s="18" t="s">
        <v>15</v>
      </c>
      <c r="E741" s="18" t="s">
        <v>6153</v>
      </c>
      <c r="F741" s="2">
        <f>+J741-I741</f>
        <v>30</v>
      </c>
      <c r="G741" s="2">
        <f ca="1">+TODAY()-I741</f>
        <v>22</v>
      </c>
      <c r="H741" s="15">
        <v>8400000</v>
      </c>
      <c r="I741" s="1">
        <v>46098</v>
      </c>
      <c r="J741" s="1">
        <v>46128</v>
      </c>
      <c r="K741" s="18" t="s">
        <v>17</v>
      </c>
      <c r="L741" s="18" t="s">
        <v>32</v>
      </c>
      <c r="M741" s="18" t="s">
        <v>19</v>
      </c>
      <c r="N741" s="18" t="s">
        <v>100</v>
      </c>
      <c r="O741">
        <v>30</v>
      </c>
    </row>
    <row r="742" spans="1:15" x14ac:dyDescent="0.25">
      <c r="A742" s="18" t="s">
        <v>7276</v>
      </c>
      <c r="B742" s="18" t="s">
        <v>98</v>
      </c>
      <c r="C742" s="18" t="s">
        <v>99</v>
      </c>
      <c r="D742" s="18" t="s">
        <v>15</v>
      </c>
      <c r="E742" s="18" t="s">
        <v>6167</v>
      </c>
      <c r="F742" s="2">
        <f>+J742-I742</f>
        <v>30</v>
      </c>
      <c r="G742" s="2">
        <f ca="1">+TODAY()-I742</f>
        <v>20</v>
      </c>
      <c r="H742" s="15">
        <v>1398653</v>
      </c>
      <c r="I742" s="1">
        <v>46100</v>
      </c>
      <c r="J742" s="1">
        <v>46130</v>
      </c>
      <c r="K742" s="18" t="s">
        <v>17</v>
      </c>
      <c r="L742" s="18" t="s">
        <v>32</v>
      </c>
      <c r="M742" s="18" t="s">
        <v>19</v>
      </c>
      <c r="N742" s="18" t="s">
        <v>100</v>
      </c>
      <c r="O742">
        <v>30</v>
      </c>
    </row>
    <row r="743" spans="1:15" x14ac:dyDescent="0.25">
      <c r="A743" s="18" t="s">
        <v>7276</v>
      </c>
      <c r="B743" s="18" t="s">
        <v>98</v>
      </c>
      <c r="C743" s="18" t="s">
        <v>99</v>
      </c>
      <c r="D743" s="18" t="s">
        <v>15</v>
      </c>
      <c r="E743" s="18" t="s">
        <v>6411</v>
      </c>
      <c r="F743" s="2">
        <f>+J743-I743</f>
        <v>30</v>
      </c>
      <c r="G743" s="2">
        <f ca="1">+TODAY()-I743</f>
        <v>14</v>
      </c>
      <c r="H743" s="15">
        <v>2713797</v>
      </c>
      <c r="I743" s="1">
        <v>46106</v>
      </c>
      <c r="J743" s="1">
        <v>46136</v>
      </c>
      <c r="K743" s="18" t="s">
        <v>17</v>
      </c>
      <c r="L743" s="18" t="s">
        <v>32</v>
      </c>
      <c r="M743" s="18" t="s">
        <v>19</v>
      </c>
      <c r="N743" s="18" t="s">
        <v>100</v>
      </c>
      <c r="O743">
        <v>30</v>
      </c>
    </row>
    <row r="744" spans="1:15" x14ac:dyDescent="0.25">
      <c r="A744" s="18" t="s">
        <v>7276</v>
      </c>
      <c r="B744" s="18" t="s">
        <v>98</v>
      </c>
      <c r="C744" s="18" t="s">
        <v>99</v>
      </c>
      <c r="D744" s="18" t="s">
        <v>15</v>
      </c>
      <c r="E744" s="18" t="s">
        <v>6415</v>
      </c>
      <c r="F744" s="2">
        <f>+J744-I744</f>
        <v>30</v>
      </c>
      <c r="G744" s="2">
        <f ca="1">+TODAY()-I744</f>
        <v>13</v>
      </c>
      <c r="H744" s="15">
        <v>3778011</v>
      </c>
      <c r="I744" s="1">
        <v>46107</v>
      </c>
      <c r="J744" s="1">
        <v>46137</v>
      </c>
      <c r="K744" s="18" t="s">
        <v>17</v>
      </c>
      <c r="L744" s="18" t="s">
        <v>32</v>
      </c>
      <c r="M744" s="18" t="s">
        <v>19</v>
      </c>
      <c r="N744" s="18" t="s">
        <v>100</v>
      </c>
      <c r="O744">
        <v>30</v>
      </c>
    </row>
    <row r="745" spans="1:15" x14ac:dyDescent="0.25">
      <c r="A745" s="18" t="s">
        <v>7276</v>
      </c>
      <c r="B745" s="18" t="s">
        <v>98</v>
      </c>
      <c r="C745" s="18" t="s">
        <v>99</v>
      </c>
      <c r="D745" s="18" t="s">
        <v>15</v>
      </c>
      <c r="E745" s="18" t="s">
        <v>6791</v>
      </c>
      <c r="F745" s="2">
        <f>+J745-I745</f>
        <v>30</v>
      </c>
      <c r="G745" s="2">
        <f ca="1">+TODAY()-I745</f>
        <v>8</v>
      </c>
      <c r="H745" s="15">
        <v>2900000</v>
      </c>
      <c r="I745" s="1">
        <v>46112</v>
      </c>
      <c r="J745" s="1">
        <v>46142</v>
      </c>
      <c r="K745" s="18" t="s">
        <v>17</v>
      </c>
      <c r="L745" s="18" t="s">
        <v>32</v>
      </c>
      <c r="M745" s="18" t="s">
        <v>19</v>
      </c>
      <c r="N745" s="18" t="s">
        <v>100</v>
      </c>
      <c r="O745">
        <v>30</v>
      </c>
    </row>
    <row r="746" spans="1:15" x14ac:dyDescent="0.25">
      <c r="A746" s="18" t="s">
        <v>7276</v>
      </c>
      <c r="B746" s="18" t="s">
        <v>2044</v>
      </c>
      <c r="C746" s="18" t="s">
        <v>2045</v>
      </c>
      <c r="D746" s="18" t="s">
        <v>341</v>
      </c>
      <c r="E746" s="18" t="s">
        <v>3544</v>
      </c>
      <c r="F746" s="2">
        <f>+J746-I746</f>
        <v>30</v>
      </c>
      <c r="G746" s="2">
        <f ca="1">+TODAY()-I746</f>
        <v>82</v>
      </c>
      <c r="H746" s="15">
        <v>2963506</v>
      </c>
      <c r="I746" s="1">
        <v>46038</v>
      </c>
      <c r="J746" s="1">
        <v>46068</v>
      </c>
      <c r="K746" s="18" t="s">
        <v>980</v>
      </c>
      <c r="L746" s="18" t="s">
        <v>981</v>
      </c>
      <c r="M746" s="18" t="s">
        <v>19</v>
      </c>
      <c r="N746" s="18" t="s">
        <v>2046</v>
      </c>
      <c r="O746">
        <v>30</v>
      </c>
    </row>
    <row r="747" spans="1:15" x14ac:dyDescent="0.25">
      <c r="A747" s="18" t="s">
        <v>7276</v>
      </c>
      <c r="B747" s="18" t="s">
        <v>1549</v>
      </c>
      <c r="C747" s="18" t="s">
        <v>1550</v>
      </c>
      <c r="D747" s="18" t="s">
        <v>1532</v>
      </c>
      <c r="E747" s="18" t="s">
        <v>6060</v>
      </c>
      <c r="F747" s="2">
        <f>+J747-I747</f>
        <v>30</v>
      </c>
      <c r="G747" s="2">
        <f ca="1">+TODAY()-I747</f>
        <v>27</v>
      </c>
      <c r="H747" s="15">
        <v>275455</v>
      </c>
      <c r="I747" s="1">
        <v>46093</v>
      </c>
      <c r="J747" s="1">
        <v>46123</v>
      </c>
      <c r="K747" s="18" t="s">
        <v>1528</v>
      </c>
      <c r="L747" s="18" t="s">
        <v>207</v>
      </c>
      <c r="M747" s="18" t="s">
        <v>19</v>
      </c>
      <c r="N747" s="18" t="s">
        <v>1551</v>
      </c>
      <c r="O747">
        <v>30</v>
      </c>
    </row>
    <row r="748" spans="1:15" x14ac:dyDescent="0.25">
      <c r="A748" s="18" t="s">
        <v>7276</v>
      </c>
      <c r="B748" s="18" t="s">
        <v>1549</v>
      </c>
      <c r="C748" s="18" t="s">
        <v>1550</v>
      </c>
      <c r="D748" s="18" t="s">
        <v>1532</v>
      </c>
      <c r="E748" s="18" t="s">
        <v>6610</v>
      </c>
      <c r="F748" s="2">
        <f>+J748-I748</f>
        <v>30</v>
      </c>
      <c r="G748" s="2">
        <f ca="1">+TODAY()-I748</f>
        <v>13</v>
      </c>
      <c r="H748" s="15">
        <v>325547</v>
      </c>
      <c r="I748" s="1">
        <v>46107</v>
      </c>
      <c r="J748" s="1">
        <v>46137</v>
      </c>
      <c r="K748" s="18" t="s">
        <v>1528</v>
      </c>
      <c r="L748" s="18" t="s">
        <v>207</v>
      </c>
      <c r="M748" s="18" t="s">
        <v>19</v>
      </c>
      <c r="N748" s="18" t="s">
        <v>1551</v>
      </c>
      <c r="O748">
        <v>30</v>
      </c>
    </row>
    <row r="749" spans="1:15" x14ac:dyDescent="0.25">
      <c r="A749" s="18" t="s">
        <v>7276</v>
      </c>
      <c r="B749" s="18" t="s">
        <v>3983</v>
      </c>
      <c r="C749" s="18" t="s">
        <v>3984</v>
      </c>
      <c r="D749" s="18" t="s">
        <v>2310</v>
      </c>
      <c r="E749" s="18" t="s">
        <v>6982</v>
      </c>
      <c r="F749" s="2">
        <f>+J749-I749</f>
        <v>1</v>
      </c>
      <c r="G749" s="2">
        <f ca="1">+TODAY()-I749</f>
        <v>9</v>
      </c>
      <c r="H749" s="15">
        <v>155500</v>
      </c>
      <c r="I749" s="1">
        <v>46111</v>
      </c>
      <c r="J749" s="1">
        <v>46112</v>
      </c>
      <c r="K749" s="18" t="s">
        <v>839</v>
      </c>
      <c r="L749" s="18" t="s">
        <v>18</v>
      </c>
      <c r="M749" s="18" t="s">
        <v>19</v>
      </c>
      <c r="N749" s="18" t="s">
        <v>3986</v>
      </c>
      <c r="O749">
        <v>30</v>
      </c>
    </row>
    <row r="750" spans="1:15" x14ac:dyDescent="0.25">
      <c r="A750" s="18" t="s">
        <v>7276</v>
      </c>
      <c r="B750" s="18" t="s">
        <v>3441</v>
      </c>
      <c r="C750" s="18" t="s">
        <v>3442</v>
      </c>
      <c r="D750" s="18" t="s">
        <v>46</v>
      </c>
      <c r="E750" s="18" t="s">
        <v>6194</v>
      </c>
      <c r="F750" s="2">
        <f>+J750-I750</f>
        <v>15</v>
      </c>
      <c r="G750" s="2">
        <f ca="1">+TODAY()-I750</f>
        <v>20</v>
      </c>
      <c r="H750" s="15">
        <v>474298</v>
      </c>
      <c r="I750" s="1">
        <v>46100</v>
      </c>
      <c r="J750" s="1">
        <v>46115</v>
      </c>
      <c r="K750" s="18" t="s">
        <v>17</v>
      </c>
      <c r="L750" s="18" t="s">
        <v>317</v>
      </c>
      <c r="M750" s="18" t="s">
        <v>19</v>
      </c>
      <c r="N750" s="18" t="s">
        <v>3444</v>
      </c>
      <c r="O750">
        <v>15</v>
      </c>
    </row>
    <row r="751" spans="1:15" x14ac:dyDescent="0.25">
      <c r="A751" s="18" t="s">
        <v>7276</v>
      </c>
      <c r="B751" s="18" t="s">
        <v>3441</v>
      </c>
      <c r="C751" s="18" t="s">
        <v>3442</v>
      </c>
      <c r="D751" s="18" t="s">
        <v>46</v>
      </c>
      <c r="E751" s="18" t="s">
        <v>6865</v>
      </c>
      <c r="F751" s="2">
        <f>+J751-I751</f>
        <v>15</v>
      </c>
      <c r="G751" s="2">
        <f ca="1">+TODAY()-I751</f>
        <v>8</v>
      </c>
      <c r="H751" s="15">
        <v>1298884</v>
      </c>
      <c r="I751" s="1">
        <v>46112</v>
      </c>
      <c r="J751" s="1">
        <v>46127</v>
      </c>
      <c r="K751" s="18" t="s">
        <v>17</v>
      </c>
      <c r="L751" s="18" t="s">
        <v>317</v>
      </c>
      <c r="M751" s="18" t="s">
        <v>19</v>
      </c>
      <c r="N751" s="18" t="s">
        <v>3444</v>
      </c>
      <c r="O751">
        <v>15</v>
      </c>
    </row>
    <row r="752" spans="1:15" x14ac:dyDescent="0.25">
      <c r="A752" s="18" t="s">
        <v>7276</v>
      </c>
      <c r="B752" s="18" t="s">
        <v>5086</v>
      </c>
      <c r="C752" s="18" t="s">
        <v>5087</v>
      </c>
      <c r="D752" s="18" t="s">
        <v>1201</v>
      </c>
      <c r="E752" s="18" t="s">
        <v>7124</v>
      </c>
      <c r="F752" s="2">
        <f>+J752-I752</f>
        <v>1</v>
      </c>
      <c r="G752" s="2">
        <f ca="1">+TODAY()-I752</f>
        <v>8</v>
      </c>
      <c r="H752" s="15">
        <v>369585</v>
      </c>
      <c r="I752" s="1">
        <v>46112</v>
      </c>
      <c r="J752" s="1">
        <v>46113</v>
      </c>
      <c r="K752" s="18" t="s">
        <v>1202</v>
      </c>
      <c r="L752" s="18" t="s">
        <v>321</v>
      </c>
      <c r="M752" s="18" t="s">
        <v>19</v>
      </c>
      <c r="N752" s="18" t="s">
        <v>5088</v>
      </c>
      <c r="O752">
        <v>1</v>
      </c>
    </row>
    <row r="753" spans="1:15" x14ac:dyDescent="0.25">
      <c r="A753" s="18" t="s">
        <v>7276</v>
      </c>
      <c r="B753" s="18" t="s">
        <v>1872</v>
      </c>
      <c r="C753" s="18" t="s">
        <v>1873</v>
      </c>
      <c r="D753" s="18" t="s">
        <v>1190</v>
      </c>
      <c r="E753" s="18" t="s">
        <v>5183</v>
      </c>
      <c r="F753" s="2">
        <f>+J753-I753</f>
        <v>30</v>
      </c>
      <c r="G753" s="2">
        <f ca="1">+TODAY()-I753</f>
        <v>51</v>
      </c>
      <c r="H753" s="15">
        <v>4578282</v>
      </c>
      <c r="I753" s="1">
        <v>46069</v>
      </c>
      <c r="J753" s="1">
        <v>46099</v>
      </c>
      <c r="K753" s="18" t="s">
        <v>1863</v>
      </c>
      <c r="L753" s="18" t="s">
        <v>984</v>
      </c>
      <c r="M753" s="18" t="s">
        <v>19</v>
      </c>
      <c r="N753" s="18" t="s">
        <v>1874</v>
      </c>
      <c r="O753">
        <v>1</v>
      </c>
    </row>
    <row r="754" spans="1:15" x14ac:dyDescent="0.25">
      <c r="A754" s="18" t="s">
        <v>7276</v>
      </c>
      <c r="B754" s="18" t="s">
        <v>1872</v>
      </c>
      <c r="C754" s="18" t="s">
        <v>1873</v>
      </c>
      <c r="D754" s="18" t="s">
        <v>1190</v>
      </c>
      <c r="E754" s="18" t="s">
        <v>5185</v>
      </c>
      <c r="F754" s="2">
        <f>+J754-I754</f>
        <v>30</v>
      </c>
      <c r="G754" s="2">
        <f ca="1">+TODAY()-I754</f>
        <v>49</v>
      </c>
      <c r="H754" s="15">
        <v>2120001</v>
      </c>
      <c r="I754" s="1">
        <v>46071</v>
      </c>
      <c r="J754" s="1">
        <v>46101</v>
      </c>
      <c r="K754" s="18" t="s">
        <v>1863</v>
      </c>
      <c r="L754" s="18" t="s">
        <v>984</v>
      </c>
      <c r="M754" s="18" t="s">
        <v>19</v>
      </c>
      <c r="N754" s="18" t="s">
        <v>1874</v>
      </c>
      <c r="O754">
        <v>1</v>
      </c>
    </row>
    <row r="755" spans="1:15" x14ac:dyDescent="0.25">
      <c r="A755" s="18" t="s">
        <v>7276</v>
      </c>
      <c r="B755" s="18" t="s">
        <v>1872</v>
      </c>
      <c r="C755" s="18" t="s">
        <v>1873</v>
      </c>
      <c r="D755" s="18" t="s">
        <v>1190</v>
      </c>
      <c r="E755" s="18" t="s">
        <v>5186</v>
      </c>
      <c r="F755" s="2">
        <f>+J755-I755</f>
        <v>30</v>
      </c>
      <c r="G755" s="2">
        <f ca="1">+TODAY()-I755</f>
        <v>49</v>
      </c>
      <c r="H755" s="15">
        <v>3019964</v>
      </c>
      <c r="I755" s="1">
        <v>46071</v>
      </c>
      <c r="J755" s="1">
        <v>46101</v>
      </c>
      <c r="K755" s="18" t="s">
        <v>1863</v>
      </c>
      <c r="L755" s="18" t="s">
        <v>984</v>
      </c>
      <c r="M755" s="18" t="s">
        <v>19</v>
      </c>
      <c r="N755" s="18" t="s">
        <v>1874</v>
      </c>
      <c r="O755">
        <v>1</v>
      </c>
    </row>
    <row r="756" spans="1:15" x14ac:dyDescent="0.25">
      <c r="A756" s="18" t="s">
        <v>7276</v>
      </c>
      <c r="B756" s="18" t="s">
        <v>1872</v>
      </c>
      <c r="C756" s="18" t="s">
        <v>1873</v>
      </c>
      <c r="D756" s="18" t="s">
        <v>1190</v>
      </c>
      <c r="E756" s="18" t="s">
        <v>5504</v>
      </c>
      <c r="F756" s="2">
        <f>+J756-I756</f>
        <v>30</v>
      </c>
      <c r="G756" s="2">
        <f ca="1">+TODAY()-I756</f>
        <v>35</v>
      </c>
      <c r="H756" s="15">
        <v>3125613</v>
      </c>
      <c r="I756" s="1">
        <v>46085</v>
      </c>
      <c r="J756" s="1">
        <v>46115</v>
      </c>
      <c r="K756" s="18" t="s">
        <v>1863</v>
      </c>
      <c r="L756" s="18" t="s">
        <v>984</v>
      </c>
      <c r="M756" s="18" t="s">
        <v>19</v>
      </c>
      <c r="N756" s="18" t="s">
        <v>1874</v>
      </c>
      <c r="O756">
        <v>1</v>
      </c>
    </row>
    <row r="757" spans="1:15" x14ac:dyDescent="0.25">
      <c r="A757" s="18" t="s">
        <v>7276</v>
      </c>
      <c r="B757" s="18" t="s">
        <v>1872</v>
      </c>
      <c r="C757" s="18" t="s">
        <v>1873</v>
      </c>
      <c r="D757" s="18" t="s">
        <v>1190</v>
      </c>
      <c r="E757" s="18" t="s">
        <v>5505</v>
      </c>
      <c r="F757" s="2">
        <f>+J757-I757</f>
        <v>30</v>
      </c>
      <c r="G757" s="2">
        <f ca="1">+TODAY()-I757</f>
        <v>35</v>
      </c>
      <c r="H757" s="15">
        <v>2042379</v>
      </c>
      <c r="I757" s="1">
        <v>46085</v>
      </c>
      <c r="J757" s="1">
        <v>46115</v>
      </c>
      <c r="K757" s="18" t="s">
        <v>1863</v>
      </c>
      <c r="L757" s="18" t="s">
        <v>984</v>
      </c>
      <c r="M757" s="18" t="s">
        <v>19</v>
      </c>
      <c r="N757" s="18" t="s">
        <v>1874</v>
      </c>
      <c r="O757">
        <v>1</v>
      </c>
    </row>
    <row r="758" spans="1:15" x14ac:dyDescent="0.25">
      <c r="A758" s="18" t="s">
        <v>7276</v>
      </c>
      <c r="B758" s="18" t="s">
        <v>1872</v>
      </c>
      <c r="C758" s="18" t="s">
        <v>1873</v>
      </c>
      <c r="D758" s="18" t="s">
        <v>1190</v>
      </c>
      <c r="E758" s="18" t="s">
        <v>5506</v>
      </c>
      <c r="F758" s="2">
        <f>+J758-I758</f>
        <v>30</v>
      </c>
      <c r="G758" s="2">
        <f ca="1">+TODAY()-I758</f>
        <v>35</v>
      </c>
      <c r="H758" s="15">
        <v>5700000</v>
      </c>
      <c r="I758" s="1">
        <v>46085</v>
      </c>
      <c r="J758" s="1">
        <v>46115</v>
      </c>
      <c r="K758" s="18" t="s">
        <v>1863</v>
      </c>
      <c r="L758" s="18" t="s">
        <v>984</v>
      </c>
      <c r="M758" s="18" t="s">
        <v>19</v>
      </c>
      <c r="N758" s="18" t="s">
        <v>1874</v>
      </c>
      <c r="O758">
        <v>1</v>
      </c>
    </row>
    <row r="759" spans="1:15" x14ac:dyDescent="0.25">
      <c r="A759" s="18" t="s">
        <v>7276</v>
      </c>
      <c r="B759" s="18" t="s">
        <v>1872</v>
      </c>
      <c r="C759" s="18" t="s">
        <v>1873</v>
      </c>
      <c r="D759" s="18" t="s">
        <v>1190</v>
      </c>
      <c r="E759" s="18" t="s">
        <v>6126</v>
      </c>
      <c r="F759" s="2">
        <f>+J759-I759</f>
        <v>30</v>
      </c>
      <c r="G759" s="2">
        <f ca="1">+TODAY()-I759</f>
        <v>23</v>
      </c>
      <c r="H759" s="15">
        <v>560396</v>
      </c>
      <c r="I759" s="1">
        <v>46097</v>
      </c>
      <c r="J759" s="1">
        <v>46127</v>
      </c>
      <c r="K759" s="18" t="s">
        <v>1863</v>
      </c>
      <c r="L759" s="18" t="s">
        <v>984</v>
      </c>
      <c r="M759" s="18" t="s">
        <v>19</v>
      </c>
      <c r="N759" s="18" t="s">
        <v>1874</v>
      </c>
      <c r="O759">
        <v>1</v>
      </c>
    </row>
    <row r="760" spans="1:15" x14ac:dyDescent="0.25">
      <c r="A760" s="18" t="s">
        <v>7276</v>
      </c>
      <c r="B760" s="18" t="s">
        <v>1872</v>
      </c>
      <c r="C760" s="18" t="s">
        <v>1873</v>
      </c>
      <c r="D760" s="18" t="s">
        <v>1190</v>
      </c>
      <c r="E760" s="18" t="s">
        <v>6127</v>
      </c>
      <c r="F760" s="2">
        <f>+J760-I760</f>
        <v>30</v>
      </c>
      <c r="G760" s="2">
        <f ca="1">+TODAY()-I760</f>
        <v>23</v>
      </c>
      <c r="H760" s="15">
        <v>3959884</v>
      </c>
      <c r="I760" s="1">
        <v>46097</v>
      </c>
      <c r="J760" s="1">
        <v>46127</v>
      </c>
      <c r="K760" s="18" t="s">
        <v>1863</v>
      </c>
      <c r="L760" s="18" t="s">
        <v>984</v>
      </c>
      <c r="M760" s="18" t="s">
        <v>19</v>
      </c>
      <c r="N760" s="18" t="s">
        <v>1874</v>
      </c>
      <c r="O760">
        <v>1</v>
      </c>
    </row>
    <row r="761" spans="1:15" x14ac:dyDescent="0.25">
      <c r="A761" s="18" t="s">
        <v>7276</v>
      </c>
      <c r="B761" s="18" t="s">
        <v>1872</v>
      </c>
      <c r="C761" s="18" t="s">
        <v>1873</v>
      </c>
      <c r="D761" s="18" t="s">
        <v>1190</v>
      </c>
      <c r="E761" s="18" t="s">
        <v>6128</v>
      </c>
      <c r="F761" s="2">
        <f>+J761-I761</f>
        <v>30</v>
      </c>
      <c r="G761" s="2">
        <f ca="1">+TODAY()-I761</f>
        <v>23</v>
      </c>
      <c r="H761" s="15">
        <v>5700400</v>
      </c>
      <c r="I761" s="1">
        <v>46097</v>
      </c>
      <c r="J761" s="1">
        <v>46127</v>
      </c>
      <c r="K761" s="18" t="s">
        <v>1863</v>
      </c>
      <c r="L761" s="18" t="s">
        <v>984</v>
      </c>
      <c r="M761" s="18" t="s">
        <v>19</v>
      </c>
      <c r="N761" s="18" t="s">
        <v>1874</v>
      </c>
      <c r="O761">
        <v>1</v>
      </c>
    </row>
    <row r="762" spans="1:15" x14ac:dyDescent="0.25">
      <c r="A762" s="18" t="s">
        <v>7276</v>
      </c>
      <c r="B762" s="18" t="s">
        <v>1872</v>
      </c>
      <c r="C762" s="18" t="s">
        <v>1873</v>
      </c>
      <c r="D762" s="18" t="s">
        <v>1190</v>
      </c>
      <c r="E762" s="18" t="s">
        <v>6129</v>
      </c>
      <c r="F762" s="2">
        <f>+J762-I762</f>
        <v>30</v>
      </c>
      <c r="G762" s="2">
        <f ca="1">+TODAY()-I762</f>
        <v>23</v>
      </c>
      <c r="H762" s="15">
        <v>2526017</v>
      </c>
      <c r="I762" s="1">
        <v>46097</v>
      </c>
      <c r="J762" s="1">
        <v>46127</v>
      </c>
      <c r="K762" s="18" t="s">
        <v>1863</v>
      </c>
      <c r="L762" s="18" t="s">
        <v>984</v>
      </c>
      <c r="M762" s="18" t="s">
        <v>19</v>
      </c>
      <c r="N762" s="18" t="s">
        <v>1874</v>
      </c>
      <c r="O762">
        <v>1</v>
      </c>
    </row>
    <row r="763" spans="1:15" x14ac:dyDescent="0.25">
      <c r="A763" s="18" t="s">
        <v>7276</v>
      </c>
      <c r="B763" s="18" t="s">
        <v>1872</v>
      </c>
      <c r="C763" s="18" t="s">
        <v>1873</v>
      </c>
      <c r="D763" s="18" t="s">
        <v>1190</v>
      </c>
      <c r="E763" s="18" t="s">
        <v>7269</v>
      </c>
      <c r="F763" s="2">
        <f>+J763-I763</f>
        <v>30</v>
      </c>
      <c r="G763" s="2">
        <f ca="1">+TODAY()-I763</f>
        <v>9</v>
      </c>
      <c r="H763" s="15">
        <v>5700000</v>
      </c>
      <c r="I763" s="1">
        <v>46111</v>
      </c>
      <c r="J763" s="1">
        <v>46141</v>
      </c>
      <c r="K763" s="18" t="s">
        <v>1863</v>
      </c>
      <c r="L763" s="18" t="s">
        <v>984</v>
      </c>
      <c r="M763" s="18" t="s">
        <v>19</v>
      </c>
      <c r="N763" s="18" t="s">
        <v>1874</v>
      </c>
      <c r="O763">
        <v>1</v>
      </c>
    </row>
    <row r="764" spans="1:15" x14ac:dyDescent="0.25">
      <c r="A764" s="18" t="s">
        <v>7276</v>
      </c>
      <c r="B764" s="18" t="s">
        <v>1872</v>
      </c>
      <c r="C764" s="18" t="s">
        <v>1873</v>
      </c>
      <c r="D764" s="18" t="s">
        <v>1190</v>
      </c>
      <c r="E764" s="18" t="s">
        <v>7270</v>
      </c>
      <c r="F764" s="2">
        <f>+J764-I764</f>
        <v>30</v>
      </c>
      <c r="G764" s="2">
        <f ca="1">+TODAY()-I764</f>
        <v>9</v>
      </c>
      <c r="H764" s="15">
        <v>1464181</v>
      </c>
      <c r="I764" s="1">
        <v>46111</v>
      </c>
      <c r="J764" s="1">
        <v>46141</v>
      </c>
      <c r="K764" s="18" t="s">
        <v>1863</v>
      </c>
      <c r="L764" s="18" t="s">
        <v>984</v>
      </c>
      <c r="M764" s="18" t="s">
        <v>19</v>
      </c>
      <c r="N764" s="18" t="s">
        <v>1874</v>
      </c>
      <c r="O764">
        <v>1</v>
      </c>
    </row>
    <row r="765" spans="1:15" x14ac:dyDescent="0.25">
      <c r="A765" s="18" t="s">
        <v>7276</v>
      </c>
      <c r="B765" s="18" t="s">
        <v>5117</v>
      </c>
      <c r="C765" s="18" t="s">
        <v>5118</v>
      </c>
      <c r="D765" s="18" t="s">
        <v>1282</v>
      </c>
      <c r="E765" s="18" t="s">
        <v>5119</v>
      </c>
      <c r="F765" s="2">
        <f>+J765-I765</f>
        <v>30</v>
      </c>
      <c r="G765" s="2">
        <f ca="1">+TODAY()-I765</f>
        <v>51</v>
      </c>
      <c r="H765" s="15">
        <v>253889</v>
      </c>
      <c r="I765" s="1">
        <v>46069</v>
      </c>
      <c r="J765" s="1">
        <v>46099</v>
      </c>
      <c r="K765" s="18" t="s">
        <v>1260</v>
      </c>
      <c r="L765" s="18" t="s">
        <v>981</v>
      </c>
      <c r="M765" s="18" t="s">
        <v>19</v>
      </c>
      <c r="N765" s="18" t="s">
        <v>1285</v>
      </c>
      <c r="O765">
        <v>30</v>
      </c>
    </row>
    <row r="766" spans="1:15" x14ac:dyDescent="0.25">
      <c r="A766" s="18" t="s">
        <v>7276</v>
      </c>
      <c r="B766" s="18" t="s">
        <v>5117</v>
      </c>
      <c r="C766" s="18" t="s">
        <v>5118</v>
      </c>
      <c r="D766" s="18" t="s">
        <v>1282</v>
      </c>
      <c r="E766" s="18" t="s">
        <v>5120</v>
      </c>
      <c r="F766" s="2">
        <f>+J766-I766</f>
        <v>30</v>
      </c>
      <c r="G766" s="2">
        <f ca="1">+TODAY()-I766</f>
        <v>51</v>
      </c>
      <c r="H766" s="15">
        <v>1474893</v>
      </c>
      <c r="I766" s="1">
        <v>46069</v>
      </c>
      <c r="J766" s="1">
        <v>46099</v>
      </c>
      <c r="K766" s="18" t="s">
        <v>1260</v>
      </c>
      <c r="L766" s="18" t="s">
        <v>981</v>
      </c>
      <c r="M766" s="18" t="s">
        <v>19</v>
      </c>
      <c r="N766" s="18" t="s">
        <v>1285</v>
      </c>
      <c r="O766">
        <v>30</v>
      </c>
    </row>
    <row r="767" spans="1:15" x14ac:dyDescent="0.25">
      <c r="A767" s="18" t="s">
        <v>7276</v>
      </c>
      <c r="B767" s="18" t="s">
        <v>4900</v>
      </c>
      <c r="C767" s="18" t="s">
        <v>4901</v>
      </c>
      <c r="D767" s="18" t="s">
        <v>930</v>
      </c>
      <c r="E767" s="18" t="s">
        <v>7738</v>
      </c>
      <c r="F767" s="2">
        <f>+J767-I767</f>
        <v>1</v>
      </c>
      <c r="G767" s="2">
        <f ca="1">+TODAY()-I767</f>
        <v>1</v>
      </c>
      <c r="H767" s="15">
        <v>472876</v>
      </c>
      <c r="I767" s="1">
        <v>46119</v>
      </c>
      <c r="J767" s="1">
        <v>46120</v>
      </c>
      <c r="K767" s="18" t="s">
        <v>918</v>
      </c>
      <c r="L767" s="18" t="s">
        <v>312</v>
      </c>
      <c r="M767" s="18" t="s">
        <v>19</v>
      </c>
      <c r="N767" s="18" t="s">
        <v>4903</v>
      </c>
      <c r="O767">
        <v>1</v>
      </c>
    </row>
    <row r="768" spans="1:15" x14ac:dyDescent="0.25">
      <c r="A768" s="18" t="s">
        <v>7276</v>
      </c>
      <c r="B768" s="18" t="s">
        <v>4900</v>
      </c>
      <c r="C768" s="18" t="s">
        <v>4901</v>
      </c>
      <c r="D768" s="18" t="s">
        <v>930</v>
      </c>
      <c r="E768" s="18" t="s">
        <v>7739</v>
      </c>
      <c r="F768" s="2">
        <f>+J768-I768</f>
        <v>1</v>
      </c>
      <c r="G768" s="2">
        <f ca="1">+TODAY()-I768</f>
        <v>1</v>
      </c>
      <c r="H768" s="15">
        <v>213600</v>
      </c>
      <c r="I768" s="1">
        <v>46119</v>
      </c>
      <c r="J768" s="1">
        <v>46120</v>
      </c>
      <c r="K768" s="18" t="s">
        <v>918</v>
      </c>
      <c r="L768" s="18" t="s">
        <v>312</v>
      </c>
      <c r="M768" s="18" t="s">
        <v>19</v>
      </c>
      <c r="N768" s="18" t="s">
        <v>4903</v>
      </c>
      <c r="O768">
        <v>1</v>
      </c>
    </row>
    <row r="769" spans="1:15" x14ac:dyDescent="0.25">
      <c r="A769" s="18" t="s">
        <v>7276</v>
      </c>
      <c r="B769" s="18" t="s">
        <v>139</v>
      </c>
      <c r="C769" s="18" t="s">
        <v>140</v>
      </c>
      <c r="D769" s="18" t="s">
        <v>46</v>
      </c>
      <c r="E769" s="18" t="s">
        <v>6416</v>
      </c>
      <c r="F769" s="2">
        <f>+J769-I769</f>
        <v>10</v>
      </c>
      <c r="G769" s="2">
        <f ca="1">+TODAY()-I769</f>
        <v>13</v>
      </c>
      <c r="H769" s="15">
        <v>420000</v>
      </c>
      <c r="I769" s="1">
        <v>46107</v>
      </c>
      <c r="J769" s="1">
        <v>46117</v>
      </c>
      <c r="K769" s="18" t="s">
        <v>17</v>
      </c>
      <c r="L769" s="18" t="s">
        <v>32</v>
      </c>
      <c r="M769" s="18" t="s">
        <v>19</v>
      </c>
      <c r="N769" s="18" t="s">
        <v>141</v>
      </c>
      <c r="O769">
        <v>30</v>
      </c>
    </row>
    <row r="770" spans="1:15" x14ac:dyDescent="0.25">
      <c r="A770" s="18" t="s">
        <v>7276</v>
      </c>
      <c r="B770" s="18" t="s">
        <v>139</v>
      </c>
      <c r="C770" s="18" t="s">
        <v>140</v>
      </c>
      <c r="D770" s="18" t="s">
        <v>46</v>
      </c>
      <c r="E770" s="18" t="s">
        <v>6813</v>
      </c>
      <c r="F770" s="2">
        <f>+J770-I770</f>
        <v>30</v>
      </c>
      <c r="G770" s="2">
        <f ca="1">+TODAY()-I770</f>
        <v>8</v>
      </c>
      <c r="H770" s="15">
        <v>335182</v>
      </c>
      <c r="I770" s="1">
        <v>46112</v>
      </c>
      <c r="J770" s="1">
        <v>46142</v>
      </c>
      <c r="K770" s="18" t="s">
        <v>17</v>
      </c>
      <c r="L770" s="18" t="s">
        <v>32</v>
      </c>
      <c r="M770" s="18" t="s">
        <v>19</v>
      </c>
      <c r="N770" s="18" t="s">
        <v>141</v>
      </c>
      <c r="O770">
        <v>30</v>
      </c>
    </row>
    <row r="771" spans="1:15" x14ac:dyDescent="0.25">
      <c r="A771" s="18" t="s">
        <v>7276</v>
      </c>
      <c r="B771" s="18" t="s">
        <v>139</v>
      </c>
      <c r="C771" s="18" t="s">
        <v>140</v>
      </c>
      <c r="D771" s="18" t="s">
        <v>46</v>
      </c>
      <c r="E771" s="18" t="s">
        <v>7407</v>
      </c>
      <c r="F771" s="2">
        <f>+J771-I771</f>
        <v>10</v>
      </c>
      <c r="G771" s="2">
        <f ca="1">+TODAY()-I771</f>
        <v>2</v>
      </c>
      <c r="H771" s="15">
        <v>420000</v>
      </c>
      <c r="I771" s="1">
        <v>46118</v>
      </c>
      <c r="J771" s="1">
        <v>46128</v>
      </c>
      <c r="K771" s="18" t="s">
        <v>17</v>
      </c>
      <c r="L771" s="18" t="s">
        <v>32</v>
      </c>
      <c r="M771" s="18" t="s">
        <v>19</v>
      </c>
      <c r="N771" s="18" t="s">
        <v>141</v>
      </c>
      <c r="O771">
        <v>30</v>
      </c>
    </row>
    <row r="772" spans="1:15" x14ac:dyDescent="0.25">
      <c r="A772" s="18" t="s">
        <v>7276</v>
      </c>
      <c r="B772" s="18" t="s">
        <v>1155</v>
      </c>
      <c r="C772" s="18" t="s">
        <v>1156</v>
      </c>
      <c r="D772" s="18" t="s">
        <v>1118</v>
      </c>
      <c r="E772" s="18" t="s">
        <v>5465</v>
      </c>
      <c r="F772" s="2">
        <f>+J772-I772</f>
        <v>30</v>
      </c>
      <c r="G772" s="2">
        <f ca="1">+TODAY()-I772</f>
        <v>37</v>
      </c>
      <c r="H772" s="15">
        <v>3276952</v>
      </c>
      <c r="I772" s="1">
        <v>46083</v>
      </c>
      <c r="J772" s="1">
        <v>46113</v>
      </c>
      <c r="K772" s="18" t="s">
        <v>1144</v>
      </c>
      <c r="L772" s="18" t="s">
        <v>207</v>
      </c>
      <c r="M772" s="18" t="s">
        <v>19</v>
      </c>
      <c r="N772" s="18" t="s">
        <v>1157</v>
      </c>
      <c r="O772">
        <v>30</v>
      </c>
    </row>
    <row r="773" spans="1:15" x14ac:dyDescent="0.25">
      <c r="A773" s="18" t="s">
        <v>7276</v>
      </c>
      <c r="B773" s="18" t="s">
        <v>1155</v>
      </c>
      <c r="C773" s="18" t="s">
        <v>1156</v>
      </c>
      <c r="D773" s="18" t="s">
        <v>1118</v>
      </c>
      <c r="E773" s="18" t="s">
        <v>5466</v>
      </c>
      <c r="F773" s="2">
        <f>+J773-I773</f>
        <v>30</v>
      </c>
      <c r="G773" s="2">
        <f ca="1">+TODAY()-I773</f>
        <v>37</v>
      </c>
      <c r="H773" s="15">
        <v>1109600</v>
      </c>
      <c r="I773" s="1">
        <v>46083</v>
      </c>
      <c r="J773" s="1">
        <v>46113</v>
      </c>
      <c r="K773" s="18" t="s">
        <v>1144</v>
      </c>
      <c r="L773" s="18" t="s">
        <v>207</v>
      </c>
      <c r="M773" s="18" t="s">
        <v>19</v>
      </c>
      <c r="N773" s="18" t="s">
        <v>1157</v>
      </c>
      <c r="O773">
        <v>30</v>
      </c>
    </row>
    <row r="774" spans="1:15" x14ac:dyDescent="0.25">
      <c r="A774" s="18" t="s">
        <v>7276</v>
      </c>
      <c r="B774" s="18" t="s">
        <v>1155</v>
      </c>
      <c r="C774" s="18" t="s">
        <v>1156</v>
      </c>
      <c r="D774" s="18" t="s">
        <v>1118</v>
      </c>
      <c r="E774" s="18" t="s">
        <v>5736</v>
      </c>
      <c r="F774" s="2">
        <f>+J774-I774</f>
        <v>30</v>
      </c>
      <c r="G774" s="2">
        <f ca="1">+TODAY()-I774</f>
        <v>30</v>
      </c>
      <c r="H774" s="15">
        <v>3434762</v>
      </c>
      <c r="I774" s="1">
        <v>46090</v>
      </c>
      <c r="J774" s="1">
        <v>46120</v>
      </c>
      <c r="K774" s="18" t="s">
        <v>1144</v>
      </c>
      <c r="L774" s="18" t="s">
        <v>207</v>
      </c>
      <c r="M774" s="18" t="s">
        <v>19</v>
      </c>
      <c r="N774" s="18" t="s">
        <v>1157</v>
      </c>
      <c r="O774">
        <v>30</v>
      </c>
    </row>
    <row r="775" spans="1:15" x14ac:dyDescent="0.25">
      <c r="A775" s="18" t="s">
        <v>7276</v>
      </c>
      <c r="B775" s="18" t="s">
        <v>1155</v>
      </c>
      <c r="C775" s="18" t="s">
        <v>1156</v>
      </c>
      <c r="D775" s="18" t="s">
        <v>1118</v>
      </c>
      <c r="E775" s="18" t="s">
        <v>5737</v>
      </c>
      <c r="F775" s="2">
        <f>+J775-I775</f>
        <v>30</v>
      </c>
      <c r="G775" s="2">
        <f ca="1">+TODAY()-I775</f>
        <v>30</v>
      </c>
      <c r="H775" s="15">
        <v>4188572</v>
      </c>
      <c r="I775" s="1">
        <v>46090</v>
      </c>
      <c r="J775" s="1">
        <v>46120</v>
      </c>
      <c r="K775" s="18" t="s">
        <v>1144</v>
      </c>
      <c r="L775" s="18" t="s">
        <v>207</v>
      </c>
      <c r="M775" s="18" t="s">
        <v>19</v>
      </c>
      <c r="N775" s="18" t="s">
        <v>1157</v>
      </c>
      <c r="O775">
        <v>30</v>
      </c>
    </row>
    <row r="776" spans="1:15" x14ac:dyDescent="0.25">
      <c r="A776" s="18" t="s">
        <v>7276</v>
      </c>
      <c r="B776" s="18" t="s">
        <v>1155</v>
      </c>
      <c r="C776" s="18" t="s">
        <v>1156</v>
      </c>
      <c r="D776" s="18" t="s">
        <v>1118</v>
      </c>
      <c r="E776" s="18" t="s">
        <v>5754</v>
      </c>
      <c r="F776" s="2">
        <f>+J776-I776</f>
        <v>30</v>
      </c>
      <c r="G776" s="2">
        <f ca="1">+TODAY()-I776</f>
        <v>29</v>
      </c>
      <c r="H776" s="15">
        <v>15371748</v>
      </c>
      <c r="I776" s="1">
        <v>46091</v>
      </c>
      <c r="J776" s="1">
        <v>46121</v>
      </c>
      <c r="K776" s="18" t="s">
        <v>1144</v>
      </c>
      <c r="L776" s="18" t="s">
        <v>207</v>
      </c>
      <c r="M776" s="18" t="s">
        <v>19</v>
      </c>
      <c r="N776" s="18" t="s">
        <v>1157</v>
      </c>
      <c r="O776">
        <v>30</v>
      </c>
    </row>
    <row r="777" spans="1:15" x14ac:dyDescent="0.25">
      <c r="A777" s="18" t="s">
        <v>7276</v>
      </c>
      <c r="B777" s="18" t="s">
        <v>1155</v>
      </c>
      <c r="C777" s="18" t="s">
        <v>1156</v>
      </c>
      <c r="D777" s="18" t="s">
        <v>1118</v>
      </c>
      <c r="E777" s="18" t="s">
        <v>6000</v>
      </c>
      <c r="F777" s="2">
        <f>+J777-I777</f>
        <v>30</v>
      </c>
      <c r="G777" s="2">
        <f ca="1">+TODAY()-I777</f>
        <v>25</v>
      </c>
      <c r="H777" s="15">
        <v>3473116</v>
      </c>
      <c r="I777" s="1">
        <v>46095</v>
      </c>
      <c r="J777" s="1">
        <v>46125</v>
      </c>
      <c r="K777" s="18" t="s">
        <v>1144</v>
      </c>
      <c r="L777" s="18" t="s">
        <v>207</v>
      </c>
      <c r="M777" s="18" t="s">
        <v>19</v>
      </c>
      <c r="N777" s="18" t="s">
        <v>1157</v>
      </c>
      <c r="O777">
        <v>30</v>
      </c>
    </row>
    <row r="778" spans="1:15" x14ac:dyDescent="0.25">
      <c r="A778" s="18" t="s">
        <v>7276</v>
      </c>
      <c r="B778" s="18" t="s">
        <v>1155</v>
      </c>
      <c r="C778" s="18" t="s">
        <v>1156</v>
      </c>
      <c r="D778" s="18" t="s">
        <v>1118</v>
      </c>
      <c r="E778" s="18" t="s">
        <v>6001</v>
      </c>
      <c r="F778" s="2">
        <f>+J778-I778</f>
        <v>30</v>
      </c>
      <c r="G778" s="2">
        <f ca="1">+TODAY()-I778</f>
        <v>25</v>
      </c>
      <c r="H778" s="15">
        <v>1655915</v>
      </c>
      <c r="I778" s="1">
        <v>46095</v>
      </c>
      <c r="J778" s="1">
        <v>46125</v>
      </c>
      <c r="K778" s="18" t="s">
        <v>1144</v>
      </c>
      <c r="L778" s="18" t="s">
        <v>207</v>
      </c>
      <c r="M778" s="18" t="s">
        <v>19</v>
      </c>
      <c r="N778" s="18" t="s">
        <v>1157</v>
      </c>
      <c r="O778">
        <v>30</v>
      </c>
    </row>
    <row r="779" spans="1:15" x14ac:dyDescent="0.25">
      <c r="A779" s="18" t="s">
        <v>7276</v>
      </c>
      <c r="B779" s="18" t="s">
        <v>1155</v>
      </c>
      <c r="C779" s="18" t="s">
        <v>1156</v>
      </c>
      <c r="D779" s="18" t="s">
        <v>1118</v>
      </c>
      <c r="E779" s="18" t="s">
        <v>5901</v>
      </c>
      <c r="F779" s="2">
        <f>+J779-I779</f>
        <v>30</v>
      </c>
      <c r="G779" s="2">
        <f ca="1">+TODAY()-I779</f>
        <v>25</v>
      </c>
      <c r="H779" s="15">
        <v>3083871</v>
      </c>
      <c r="I779" s="1">
        <v>46095</v>
      </c>
      <c r="J779" s="1">
        <v>46125</v>
      </c>
      <c r="K779" s="18" t="s">
        <v>1144</v>
      </c>
      <c r="L779" s="18" t="s">
        <v>117</v>
      </c>
      <c r="M779" s="18" t="s">
        <v>19</v>
      </c>
      <c r="N779" s="18" t="s">
        <v>1157</v>
      </c>
      <c r="O779">
        <v>30</v>
      </c>
    </row>
    <row r="780" spans="1:15" x14ac:dyDescent="0.25">
      <c r="A780" s="18" t="s">
        <v>7276</v>
      </c>
      <c r="B780" s="18" t="s">
        <v>1155</v>
      </c>
      <c r="C780" s="18" t="s">
        <v>1156</v>
      </c>
      <c r="D780" s="18" t="s">
        <v>1118</v>
      </c>
      <c r="E780" s="18" t="s">
        <v>6510</v>
      </c>
      <c r="F780" s="2">
        <f>+J780-I780</f>
        <v>30</v>
      </c>
      <c r="G780" s="2">
        <f ca="1">+TODAY()-I780</f>
        <v>15</v>
      </c>
      <c r="H780" s="15">
        <v>2654805</v>
      </c>
      <c r="I780" s="1">
        <v>46105</v>
      </c>
      <c r="J780" s="1">
        <v>46135</v>
      </c>
      <c r="K780" s="18" t="s">
        <v>1144</v>
      </c>
      <c r="L780" s="18" t="s">
        <v>207</v>
      </c>
      <c r="M780" s="18" t="s">
        <v>19</v>
      </c>
      <c r="N780" s="18" t="s">
        <v>1157</v>
      </c>
      <c r="O780">
        <v>30</v>
      </c>
    </row>
    <row r="781" spans="1:15" x14ac:dyDescent="0.25">
      <c r="A781" s="18" t="s">
        <v>7276</v>
      </c>
      <c r="B781" s="18" t="s">
        <v>1155</v>
      </c>
      <c r="C781" s="18" t="s">
        <v>1156</v>
      </c>
      <c r="D781" s="18" t="s">
        <v>1118</v>
      </c>
      <c r="E781" s="18" t="s">
        <v>6511</v>
      </c>
      <c r="F781" s="2">
        <f>+J781-I781</f>
        <v>30</v>
      </c>
      <c r="G781" s="2">
        <f ca="1">+TODAY()-I781</f>
        <v>15</v>
      </c>
      <c r="H781" s="15">
        <v>7397714</v>
      </c>
      <c r="I781" s="1">
        <v>46105</v>
      </c>
      <c r="J781" s="1">
        <v>46135</v>
      </c>
      <c r="K781" s="18" t="s">
        <v>1144</v>
      </c>
      <c r="L781" s="18" t="s">
        <v>207</v>
      </c>
      <c r="M781" s="18" t="s">
        <v>19</v>
      </c>
      <c r="N781" s="18" t="s">
        <v>1157</v>
      </c>
      <c r="O781">
        <v>30</v>
      </c>
    </row>
    <row r="782" spans="1:15" x14ac:dyDescent="0.25">
      <c r="A782" s="18" t="s">
        <v>7276</v>
      </c>
      <c r="B782" s="18" t="s">
        <v>1155</v>
      </c>
      <c r="C782" s="18" t="s">
        <v>1156</v>
      </c>
      <c r="D782" s="18" t="s">
        <v>1118</v>
      </c>
      <c r="E782" s="18" t="s">
        <v>6512</v>
      </c>
      <c r="F782" s="2">
        <f>+J782-I782</f>
        <v>30</v>
      </c>
      <c r="G782" s="2">
        <f ca="1">+TODAY()-I782</f>
        <v>15</v>
      </c>
      <c r="H782" s="15">
        <v>45</v>
      </c>
      <c r="I782" s="1">
        <v>46105</v>
      </c>
      <c r="J782" s="1">
        <v>46135</v>
      </c>
      <c r="K782" s="18" t="s">
        <v>1144</v>
      </c>
      <c r="L782" s="18" t="s">
        <v>207</v>
      </c>
      <c r="M782" s="18" t="s">
        <v>19</v>
      </c>
      <c r="N782" s="18" t="s">
        <v>1157</v>
      </c>
      <c r="O782">
        <v>30</v>
      </c>
    </row>
    <row r="783" spans="1:15" x14ac:dyDescent="0.25">
      <c r="A783" s="18" t="s">
        <v>7276</v>
      </c>
      <c r="B783" s="18" t="s">
        <v>1155</v>
      </c>
      <c r="C783" s="18" t="s">
        <v>1156</v>
      </c>
      <c r="D783" s="18" t="s">
        <v>1118</v>
      </c>
      <c r="E783" s="18" t="s">
        <v>6513</v>
      </c>
      <c r="F783" s="2">
        <f>+J783-I783</f>
        <v>30</v>
      </c>
      <c r="G783" s="2">
        <f ca="1">+TODAY()-I783</f>
        <v>15</v>
      </c>
      <c r="H783" s="15">
        <v>14036519</v>
      </c>
      <c r="I783" s="1">
        <v>46105</v>
      </c>
      <c r="J783" s="1">
        <v>46135</v>
      </c>
      <c r="K783" s="18" t="s">
        <v>1144</v>
      </c>
      <c r="L783" s="18" t="s">
        <v>207</v>
      </c>
      <c r="M783" s="18" t="s">
        <v>19</v>
      </c>
      <c r="N783" s="18" t="s">
        <v>1157</v>
      </c>
      <c r="O783">
        <v>30</v>
      </c>
    </row>
    <row r="784" spans="1:15" x14ac:dyDescent="0.25">
      <c r="A784" s="18" t="s">
        <v>7276</v>
      </c>
      <c r="B784" s="18" t="s">
        <v>1155</v>
      </c>
      <c r="C784" s="18" t="s">
        <v>1156</v>
      </c>
      <c r="D784" s="18" t="s">
        <v>1118</v>
      </c>
      <c r="E784" s="18" t="s">
        <v>6522</v>
      </c>
      <c r="F784" s="2">
        <f>+J784-I784</f>
        <v>30</v>
      </c>
      <c r="G784" s="2">
        <f ca="1">+TODAY()-I784</f>
        <v>15</v>
      </c>
      <c r="H784" s="15">
        <v>1843438</v>
      </c>
      <c r="I784" s="1">
        <v>46105</v>
      </c>
      <c r="J784" s="1">
        <v>46135</v>
      </c>
      <c r="K784" s="18" t="s">
        <v>1144</v>
      </c>
      <c r="L784" s="18" t="s">
        <v>117</v>
      </c>
      <c r="M784" s="18" t="s">
        <v>19</v>
      </c>
      <c r="N784" s="18" t="s">
        <v>1157</v>
      </c>
      <c r="O784">
        <v>30</v>
      </c>
    </row>
    <row r="785" spans="1:15" x14ac:dyDescent="0.25">
      <c r="A785" s="18" t="s">
        <v>7276</v>
      </c>
      <c r="B785" s="18" t="s">
        <v>1155</v>
      </c>
      <c r="C785" s="18" t="s">
        <v>1156</v>
      </c>
      <c r="D785" s="18" t="s">
        <v>1118</v>
      </c>
      <c r="E785" s="18" t="s">
        <v>7077</v>
      </c>
      <c r="F785" s="2">
        <f>+J785-I785</f>
        <v>30</v>
      </c>
      <c r="G785" s="2">
        <f ca="1">+TODAY()-I785</f>
        <v>9</v>
      </c>
      <c r="H785" s="15">
        <v>3551267</v>
      </c>
      <c r="I785" s="1">
        <v>46111</v>
      </c>
      <c r="J785" s="1">
        <v>46141</v>
      </c>
      <c r="K785" s="18" t="s">
        <v>1144</v>
      </c>
      <c r="L785" s="18" t="s">
        <v>207</v>
      </c>
      <c r="M785" s="18" t="s">
        <v>19</v>
      </c>
      <c r="N785" s="18" t="s">
        <v>1157</v>
      </c>
      <c r="O785">
        <v>30</v>
      </c>
    </row>
    <row r="786" spans="1:15" x14ac:dyDescent="0.25">
      <c r="A786" s="18" t="s">
        <v>7276</v>
      </c>
      <c r="B786" s="18" t="s">
        <v>1155</v>
      </c>
      <c r="C786" s="18" t="s">
        <v>1156</v>
      </c>
      <c r="D786" s="18" t="s">
        <v>1118</v>
      </c>
      <c r="E786" s="18" t="s">
        <v>7078</v>
      </c>
      <c r="F786" s="2">
        <f>+J786-I786</f>
        <v>30</v>
      </c>
      <c r="G786" s="2">
        <f ca="1">+TODAY()-I786</f>
        <v>9</v>
      </c>
      <c r="H786" s="15">
        <v>17419373</v>
      </c>
      <c r="I786" s="1">
        <v>46111</v>
      </c>
      <c r="J786" s="1">
        <v>46141</v>
      </c>
      <c r="K786" s="18" t="s">
        <v>1144</v>
      </c>
      <c r="L786" s="18" t="s">
        <v>207</v>
      </c>
      <c r="M786" s="18" t="s">
        <v>19</v>
      </c>
      <c r="N786" s="18" t="s">
        <v>1157</v>
      </c>
      <c r="O786">
        <v>30</v>
      </c>
    </row>
    <row r="787" spans="1:15" x14ac:dyDescent="0.25">
      <c r="A787" s="18" t="s">
        <v>7276</v>
      </c>
      <c r="B787" s="18" t="s">
        <v>1155</v>
      </c>
      <c r="C787" s="18" t="s">
        <v>1156</v>
      </c>
      <c r="D787" s="18" t="s">
        <v>1118</v>
      </c>
      <c r="E787" s="18" t="s">
        <v>7079</v>
      </c>
      <c r="F787" s="2">
        <f>+J787-I787</f>
        <v>30</v>
      </c>
      <c r="G787" s="2">
        <f ca="1">+TODAY()-I787</f>
        <v>9</v>
      </c>
      <c r="H787" s="15">
        <v>653679</v>
      </c>
      <c r="I787" s="1">
        <v>46111</v>
      </c>
      <c r="J787" s="1">
        <v>46141</v>
      </c>
      <c r="K787" s="18" t="s">
        <v>1144</v>
      </c>
      <c r="L787" s="18" t="s">
        <v>207</v>
      </c>
      <c r="M787" s="18" t="s">
        <v>19</v>
      </c>
      <c r="N787" s="18" t="s">
        <v>1157</v>
      </c>
      <c r="O787">
        <v>30</v>
      </c>
    </row>
    <row r="788" spans="1:15" x14ac:dyDescent="0.25">
      <c r="A788" s="18" t="s">
        <v>7276</v>
      </c>
      <c r="B788" s="18" t="s">
        <v>1155</v>
      </c>
      <c r="C788" s="18" t="s">
        <v>1156</v>
      </c>
      <c r="D788" s="18" t="s">
        <v>1118</v>
      </c>
      <c r="E788" s="18" t="s">
        <v>7551</v>
      </c>
      <c r="F788" s="2">
        <f>+J788-I788</f>
        <v>30</v>
      </c>
      <c r="G788" s="2">
        <f ca="1">+TODAY()-I788</f>
        <v>2</v>
      </c>
      <c r="H788" s="15">
        <v>1341792</v>
      </c>
      <c r="I788" s="1">
        <v>46118</v>
      </c>
      <c r="J788" s="1">
        <v>46148</v>
      </c>
      <c r="K788" s="18" t="s">
        <v>1144</v>
      </c>
      <c r="L788" s="18" t="s">
        <v>207</v>
      </c>
      <c r="M788" s="18" t="s">
        <v>19</v>
      </c>
      <c r="N788" s="18" t="s">
        <v>1157</v>
      </c>
      <c r="O788">
        <v>30</v>
      </c>
    </row>
    <row r="789" spans="1:15" x14ac:dyDescent="0.25">
      <c r="A789" s="18" t="s">
        <v>7276</v>
      </c>
      <c r="B789" s="18" t="s">
        <v>1155</v>
      </c>
      <c r="C789" s="18" t="s">
        <v>1156</v>
      </c>
      <c r="D789" s="18" t="s">
        <v>1118</v>
      </c>
      <c r="E789" s="18" t="s">
        <v>7552</v>
      </c>
      <c r="F789" s="2">
        <f>+J789-I789</f>
        <v>30</v>
      </c>
      <c r="G789" s="2">
        <f ca="1">+TODAY()-I789</f>
        <v>2</v>
      </c>
      <c r="H789" s="15">
        <v>8399232</v>
      </c>
      <c r="I789" s="1">
        <v>46118</v>
      </c>
      <c r="J789" s="1">
        <v>46148</v>
      </c>
      <c r="K789" s="18" t="s">
        <v>1144</v>
      </c>
      <c r="L789" s="18" t="s">
        <v>207</v>
      </c>
      <c r="M789" s="18" t="s">
        <v>19</v>
      </c>
      <c r="N789" s="18" t="s">
        <v>1157</v>
      </c>
      <c r="O789">
        <v>30</v>
      </c>
    </row>
    <row r="790" spans="1:15" x14ac:dyDescent="0.25">
      <c r="A790" s="18" t="s">
        <v>7276</v>
      </c>
      <c r="B790" s="18" t="s">
        <v>2594</v>
      </c>
      <c r="C790" s="18" t="s">
        <v>2595</v>
      </c>
      <c r="D790" s="18" t="s">
        <v>46</v>
      </c>
      <c r="E790" s="18" t="s">
        <v>7422</v>
      </c>
      <c r="F790" s="2">
        <f>+J790-I790</f>
        <v>15</v>
      </c>
      <c r="G790" s="2">
        <f ca="1">+TODAY()-I790</f>
        <v>2</v>
      </c>
      <c r="H790" s="15">
        <v>221763</v>
      </c>
      <c r="I790" s="1">
        <v>46118</v>
      </c>
      <c r="J790" s="1">
        <v>46133</v>
      </c>
      <c r="K790" s="18" t="s">
        <v>17</v>
      </c>
      <c r="L790" s="18" t="s">
        <v>317</v>
      </c>
      <c r="M790" s="18" t="s">
        <v>19</v>
      </c>
      <c r="N790" s="18" t="s">
        <v>2596</v>
      </c>
      <c r="O790">
        <v>15</v>
      </c>
    </row>
    <row r="791" spans="1:15" x14ac:dyDescent="0.25">
      <c r="A791" s="18" t="s">
        <v>7276</v>
      </c>
      <c r="B791" s="18" t="s">
        <v>380</v>
      </c>
      <c r="C791" s="18" t="s">
        <v>381</v>
      </c>
      <c r="D791" s="18" t="s">
        <v>382</v>
      </c>
      <c r="E791" s="18" t="s">
        <v>5009</v>
      </c>
      <c r="F791" s="2">
        <f>+J791-I791</f>
        <v>30</v>
      </c>
      <c r="G791" s="2">
        <f ca="1">+TODAY()-I791</f>
        <v>56</v>
      </c>
      <c r="H791" s="15">
        <v>5893</v>
      </c>
      <c r="I791" s="1">
        <v>46064</v>
      </c>
      <c r="J791" s="1">
        <v>46094</v>
      </c>
      <c r="K791" s="18" t="s">
        <v>343</v>
      </c>
      <c r="L791" s="18" t="s">
        <v>18</v>
      </c>
      <c r="M791" s="18" t="s">
        <v>19</v>
      </c>
      <c r="N791" s="18" t="s">
        <v>383</v>
      </c>
      <c r="O791">
        <v>30</v>
      </c>
    </row>
    <row r="792" spans="1:15" x14ac:dyDescent="0.25">
      <c r="A792" s="18" t="s">
        <v>7276</v>
      </c>
      <c r="B792" s="18" t="s">
        <v>380</v>
      </c>
      <c r="C792" s="18" t="s">
        <v>381</v>
      </c>
      <c r="D792" s="18" t="s">
        <v>382</v>
      </c>
      <c r="E792" s="18" t="s">
        <v>5691</v>
      </c>
      <c r="F792" s="2">
        <f>+J792-I792</f>
        <v>30</v>
      </c>
      <c r="G792" s="2">
        <f ca="1">+TODAY()-I792</f>
        <v>28</v>
      </c>
      <c r="H792" s="15">
        <v>2012844</v>
      </c>
      <c r="I792" s="1">
        <v>46092</v>
      </c>
      <c r="J792" s="1">
        <v>46122</v>
      </c>
      <c r="K792" s="18" t="s">
        <v>343</v>
      </c>
      <c r="L792" s="18" t="s">
        <v>18</v>
      </c>
      <c r="M792" s="18" t="s">
        <v>19</v>
      </c>
      <c r="N792" s="18" t="s">
        <v>383</v>
      </c>
      <c r="O792">
        <v>30</v>
      </c>
    </row>
    <row r="793" spans="1:15" x14ac:dyDescent="0.25">
      <c r="A793" s="18" t="s">
        <v>7276</v>
      </c>
      <c r="B793" s="18" t="s">
        <v>380</v>
      </c>
      <c r="C793" s="18" t="s">
        <v>381</v>
      </c>
      <c r="D793" s="18" t="s">
        <v>382</v>
      </c>
      <c r="E793" s="18" t="s">
        <v>6933</v>
      </c>
      <c r="F793" s="2">
        <f>+J793-I793</f>
        <v>30</v>
      </c>
      <c r="G793" s="2">
        <f ca="1">+TODAY()-I793</f>
        <v>9</v>
      </c>
      <c r="H793" s="15">
        <v>1614508</v>
      </c>
      <c r="I793" s="1">
        <v>46111</v>
      </c>
      <c r="J793" s="1">
        <v>46141</v>
      </c>
      <c r="K793" s="18" t="s">
        <v>343</v>
      </c>
      <c r="L793" s="18" t="s">
        <v>18</v>
      </c>
      <c r="M793" s="18" t="s">
        <v>19</v>
      </c>
      <c r="N793" s="18" t="s">
        <v>383</v>
      </c>
      <c r="O793">
        <v>30</v>
      </c>
    </row>
    <row r="794" spans="1:15" x14ac:dyDescent="0.25">
      <c r="A794" s="18" t="s">
        <v>7276</v>
      </c>
      <c r="B794" s="18" t="s">
        <v>380</v>
      </c>
      <c r="C794" s="18" t="s">
        <v>381</v>
      </c>
      <c r="D794" s="18" t="s">
        <v>382</v>
      </c>
      <c r="E794" s="18" t="s">
        <v>6934</v>
      </c>
      <c r="F794" s="2">
        <f>+J794-I794</f>
        <v>30</v>
      </c>
      <c r="G794" s="2">
        <f ca="1">+TODAY()-I794</f>
        <v>9</v>
      </c>
      <c r="H794" s="15">
        <v>1285240</v>
      </c>
      <c r="I794" s="1">
        <v>46111</v>
      </c>
      <c r="J794" s="1">
        <v>46141</v>
      </c>
      <c r="K794" s="18" t="s">
        <v>343</v>
      </c>
      <c r="L794" s="18" t="s">
        <v>18</v>
      </c>
      <c r="M794" s="18" t="s">
        <v>19</v>
      </c>
      <c r="N794" s="18" t="s">
        <v>383</v>
      </c>
      <c r="O794">
        <v>30</v>
      </c>
    </row>
    <row r="795" spans="1:15" x14ac:dyDescent="0.25">
      <c r="A795" s="18" t="s">
        <v>7276</v>
      </c>
      <c r="B795" s="18" t="s">
        <v>380</v>
      </c>
      <c r="C795" s="18" t="s">
        <v>381</v>
      </c>
      <c r="D795" s="18" t="s">
        <v>382</v>
      </c>
      <c r="E795" s="18" t="s">
        <v>5128</v>
      </c>
      <c r="F795" s="2">
        <f>+J795-I795</f>
        <v>30</v>
      </c>
      <c r="G795" s="2">
        <f ca="1">+TODAY()-I795</f>
        <v>47</v>
      </c>
      <c r="H795" s="15">
        <v>780480</v>
      </c>
      <c r="I795" s="1">
        <v>46073</v>
      </c>
      <c r="J795" s="1">
        <v>46103</v>
      </c>
      <c r="K795" s="18" t="s">
        <v>1325</v>
      </c>
      <c r="L795" s="18" t="s">
        <v>90</v>
      </c>
      <c r="M795" s="18" t="s">
        <v>19</v>
      </c>
      <c r="N795" s="18" t="s">
        <v>383</v>
      </c>
      <c r="O795">
        <v>30</v>
      </c>
    </row>
    <row r="796" spans="1:15" x14ac:dyDescent="0.25">
      <c r="A796" s="18" t="s">
        <v>7276</v>
      </c>
      <c r="B796" s="18" t="s">
        <v>380</v>
      </c>
      <c r="C796" s="18" t="s">
        <v>381</v>
      </c>
      <c r="D796" s="18" t="s">
        <v>382</v>
      </c>
      <c r="E796" s="18" t="s">
        <v>5287</v>
      </c>
      <c r="F796" s="2">
        <f>+J796-I796</f>
        <v>30</v>
      </c>
      <c r="G796" s="2">
        <f ca="1">+TODAY()-I796</f>
        <v>41</v>
      </c>
      <c r="H796" s="15">
        <v>2950000</v>
      </c>
      <c r="I796" s="1">
        <v>46079</v>
      </c>
      <c r="J796" s="1">
        <v>46109</v>
      </c>
      <c r="K796" s="18" t="s">
        <v>1325</v>
      </c>
      <c r="L796" s="18" t="s">
        <v>117</v>
      </c>
      <c r="M796" s="18" t="s">
        <v>19</v>
      </c>
      <c r="N796" s="18" t="s">
        <v>383</v>
      </c>
      <c r="O796">
        <v>30</v>
      </c>
    </row>
    <row r="797" spans="1:15" x14ac:dyDescent="0.25">
      <c r="A797" s="18" t="s">
        <v>7276</v>
      </c>
      <c r="B797" s="18" t="s">
        <v>380</v>
      </c>
      <c r="C797" s="18" t="s">
        <v>381</v>
      </c>
      <c r="D797" s="18" t="s">
        <v>382</v>
      </c>
      <c r="E797" s="18" t="s">
        <v>6037</v>
      </c>
      <c r="F797" s="2">
        <f>+J797-I797</f>
        <v>30</v>
      </c>
      <c r="G797" s="2">
        <f ca="1">+TODAY()-I797</f>
        <v>27</v>
      </c>
      <c r="H797" s="15">
        <v>2804339</v>
      </c>
      <c r="I797" s="1">
        <v>46093</v>
      </c>
      <c r="J797" s="1">
        <v>46123</v>
      </c>
      <c r="K797" s="18" t="s">
        <v>1325</v>
      </c>
      <c r="L797" s="18" t="s">
        <v>90</v>
      </c>
      <c r="M797" s="18" t="s">
        <v>19</v>
      </c>
      <c r="N797" s="18" t="s">
        <v>383</v>
      </c>
      <c r="O797">
        <v>30</v>
      </c>
    </row>
    <row r="798" spans="1:15" x14ac:dyDescent="0.25">
      <c r="A798" s="18" t="s">
        <v>7276</v>
      </c>
      <c r="B798" s="18" t="s">
        <v>380</v>
      </c>
      <c r="C798" s="18" t="s">
        <v>381</v>
      </c>
      <c r="D798" s="18" t="s">
        <v>382</v>
      </c>
      <c r="E798" s="18" t="s">
        <v>6038</v>
      </c>
      <c r="F798" s="2">
        <f>+J798-I798</f>
        <v>30</v>
      </c>
      <c r="G798" s="2">
        <f ca="1">+TODAY()-I798</f>
        <v>27</v>
      </c>
      <c r="H798" s="15">
        <v>24284847</v>
      </c>
      <c r="I798" s="1">
        <v>46093</v>
      </c>
      <c r="J798" s="1">
        <v>46123</v>
      </c>
      <c r="K798" s="18" t="s">
        <v>1325</v>
      </c>
      <c r="L798" s="18" t="s">
        <v>90</v>
      </c>
      <c r="M798" s="18" t="s">
        <v>19</v>
      </c>
      <c r="N798" s="18" t="s">
        <v>383</v>
      </c>
      <c r="O798">
        <v>30</v>
      </c>
    </row>
    <row r="799" spans="1:15" x14ac:dyDescent="0.25">
      <c r="A799" s="18" t="s">
        <v>7276</v>
      </c>
      <c r="B799" s="18" t="s">
        <v>380</v>
      </c>
      <c r="C799" s="18" t="s">
        <v>381</v>
      </c>
      <c r="D799" s="18" t="s">
        <v>382</v>
      </c>
      <c r="E799" s="18" t="s">
        <v>6553</v>
      </c>
      <c r="F799" s="2">
        <f>+J799-I799</f>
        <v>30</v>
      </c>
      <c r="G799" s="2">
        <f ca="1">+TODAY()-I799</f>
        <v>14</v>
      </c>
      <c r="H799" s="15">
        <v>2950000</v>
      </c>
      <c r="I799" s="1">
        <v>46106</v>
      </c>
      <c r="J799" s="1">
        <v>46136</v>
      </c>
      <c r="K799" s="18" t="s">
        <v>1325</v>
      </c>
      <c r="L799" s="18" t="s">
        <v>90</v>
      </c>
      <c r="M799" s="18" t="s">
        <v>19</v>
      </c>
      <c r="N799" s="18" t="s">
        <v>383</v>
      </c>
      <c r="O799">
        <v>30</v>
      </c>
    </row>
    <row r="800" spans="1:15" x14ac:dyDescent="0.25">
      <c r="A800" s="18" t="s">
        <v>7276</v>
      </c>
      <c r="B800" s="18" t="s">
        <v>380</v>
      </c>
      <c r="C800" s="18" t="s">
        <v>381</v>
      </c>
      <c r="D800" s="18" t="s">
        <v>382</v>
      </c>
      <c r="E800" s="18" t="s">
        <v>6582</v>
      </c>
      <c r="F800" s="2">
        <f>+J800-I800</f>
        <v>30</v>
      </c>
      <c r="G800" s="2">
        <f ca="1">+TODAY()-I800</f>
        <v>13</v>
      </c>
      <c r="H800" s="15">
        <v>4231424</v>
      </c>
      <c r="I800" s="1">
        <v>46107</v>
      </c>
      <c r="J800" s="1">
        <v>46137</v>
      </c>
      <c r="K800" s="18" t="s">
        <v>1325</v>
      </c>
      <c r="L800" s="18" t="s">
        <v>90</v>
      </c>
      <c r="M800" s="18" t="s">
        <v>19</v>
      </c>
      <c r="N800" s="18" t="s">
        <v>383</v>
      </c>
      <c r="O800">
        <v>30</v>
      </c>
    </row>
    <row r="801" spans="1:15" x14ac:dyDescent="0.25">
      <c r="A801" s="18" t="s">
        <v>7276</v>
      </c>
      <c r="B801" s="18" t="s">
        <v>380</v>
      </c>
      <c r="C801" s="18" t="s">
        <v>381</v>
      </c>
      <c r="D801" s="18" t="s">
        <v>382</v>
      </c>
      <c r="E801" s="18" t="s">
        <v>6583</v>
      </c>
      <c r="F801" s="2">
        <f>+J801-I801</f>
        <v>30</v>
      </c>
      <c r="G801" s="2">
        <f ca="1">+TODAY()-I801</f>
        <v>13</v>
      </c>
      <c r="H801" s="15">
        <v>14597322</v>
      </c>
      <c r="I801" s="1">
        <v>46107</v>
      </c>
      <c r="J801" s="1">
        <v>46137</v>
      </c>
      <c r="K801" s="18" t="s">
        <v>1325</v>
      </c>
      <c r="L801" s="18" t="s">
        <v>90</v>
      </c>
      <c r="M801" s="18" t="s">
        <v>19</v>
      </c>
      <c r="N801" s="18" t="s">
        <v>383</v>
      </c>
      <c r="O801">
        <v>30</v>
      </c>
    </row>
    <row r="802" spans="1:15" x14ac:dyDescent="0.25">
      <c r="A802" s="18" t="s">
        <v>7276</v>
      </c>
      <c r="B802" s="18" t="s">
        <v>380</v>
      </c>
      <c r="C802" s="18" t="s">
        <v>381</v>
      </c>
      <c r="D802" s="18" t="s">
        <v>382</v>
      </c>
      <c r="E802" s="18" t="s">
        <v>7183</v>
      </c>
      <c r="F802" s="2">
        <f>+J802-I802</f>
        <v>30</v>
      </c>
      <c r="G802" s="2">
        <f ca="1">+TODAY()-I802</f>
        <v>11</v>
      </c>
      <c r="H802" s="15">
        <v>7822076</v>
      </c>
      <c r="I802" s="1">
        <v>46109</v>
      </c>
      <c r="J802" s="1">
        <v>46139</v>
      </c>
      <c r="K802" s="18" t="s">
        <v>1325</v>
      </c>
      <c r="L802" s="18" t="s">
        <v>90</v>
      </c>
      <c r="M802" s="18" t="s">
        <v>19</v>
      </c>
      <c r="N802" s="18" t="s">
        <v>383</v>
      </c>
      <c r="O802">
        <v>30</v>
      </c>
    </row>
    <row r="803" spans="1:15" x14ac:dyDescent="0.25">
      <c r="A803" s="18" t="s">
        <v>7276</v>
      </c>
      <c r="B803" s="18" t="s">
        <v>380</v>
      </c>
      <c r="C803" s="18" t="s">
        <v>381</v>
      </c>
      <c r="D803" s="18" t="s">
        <v>382</v>
      </c>
      <c r="E803" s="18" t="s">
        <v>7184</v>
      </c>
      <c r="F803" s="2">
        <f>+J803-I803</f>
        <v>30</v>
      </c>
      <c r="G803" s="2">
        <f ca="1">+TODAY()-I803</f>
        <v>11</v>
      </c>
      <c r="H803" s="15">
        <v>7194660</v>
      </c>
      <c r="I803" s="1">
        <v>46109</v>
      </c>
      <c r="J803" s="1">
        <v>46139</v>
      </c>
      <c r="K803" s="18" t="s">
        <v>1325</v>
      </c>
      <c r="L803" s="18" t="s">
        <v>90</v>
      </c>
      <c r="M803" s="18" t="s">
        <v>19</v>
      </c>
      <c r="N803" s="18" t="s">
        <v>383</v>
      </c>
      <c r="O803">
        <v>30</v>
      </c>
    </row>
    <row r="804" spans="1:15" x14ac:dyDescent="0.25">
      <c r="A804" s="18" t="s">
        <v>7276</v>
      </c>
      <c r="B804" s="18" t="s">
        <v>380</v>
      </c>
      <c r="C804" s="18" t="s">
        <v>381</v>
      </c>
      <c r="D804" s="18" t="s">
        <v>382</v>
      </c>
      <c r="E804" s="18" t="s">
        <v>7186</v>
      </c>
      <c r="F804" s="2">
        <f>+J804-I804</f>
        <v>30</v>
      </c>
      <c r="G804" s="2">
        <f ca="1">+TODAY()-I804</f>
        <v>11</v>
      </c>
      <c r="H804" s="15">
        <v>2707500</v>
      </c>
      <c r="I804" s="1">
        <v>46109</v>
      </c>
      <c r="J804" s="1">
        <v>46139</v>
      </c>
      <c r="K804" s="18" t="s">
        <v>1325</v>
      </c>
      <c r="L804" s="18" t="s">
        <v>90</v>
      </c>
      <c r="M804" s="18" t="s">
        <v>19</v>
      </c>
      <c r="N804" s="18" t="s">
        <v>383</v>
      </c>
      <c r="O804">
        <v>30</v>
      </c>
    </row>
    <row r="805" spans="1:15" x14ac:dyDescent="0.25">
      <c r="A805" s="18" t="s">
        <v>7276</v>
      </c>
      <c r="B805" s="18" t="s">
        <v>5245</v>
      </c>
      <c r="C805" s="18" t="s">
        <v>5246</v>
      </c>
      <c r="D805" s="18" t="s">
        <v>983</v>
      </c>
      <c r="E805" s="18" t="s">
        <v>5247</v>
      </c>
      <c r="F805" s="2">
        <f>+J805-I805</f>
        <v>30</v>
      </c>
      <c r="G805" s="2">
        <f ca="1">+TODAY()-I805</f>
        <v>40</v>
      </c>
      <c r="H805" s="15">
        <v>194083</v>
      </c>
      <c r="I805" s="1">
        <v>46080</v>
      </c>
      <c r="J805" s="1">
        <v>46110</v>
      </c>
      <c r="K805" s="18" t="s">
        <v>980</v>
      </c>
      <c r="L805" s="18" t="s">
        <v>981</v>
      </c>
      <c r="M805" s="18" t="s">
        <v>19</v>
      </c>
      <c r="N805" s="18" t="s">
        <v>5248</v>
      </c>
      <c r="O805">
        <v>30</v>
      </c>
    </row>
    <row r="806" spans="1:15" x14ac:dyDescent="0.25">
      <c r="A806" s="18" t="s">
        <v>7276</v>
      </c>
      <c r="B806" s="18" t="s">
        <v>2108</v>
      </c>
      <c r="C806" s="18" t="s">
        <v>2109</v>
      </c>
      <c r="D806" s="18" t="s">
        <v>2110</v>
      </c>
      <c r="E806" s="18" t="s">
        <v>6936</v>
      </c>
      <c r="F806" s="2">
        <f>+J806-I806</f>
        <v>30</v>
      </c>
      <c r="G806" s="2">
        <f ca="1">+TODAY()-I806</f>
        <v>9</v>
      </c>
      <c r="H806" s="15">
        <v>7990012</v>
      </c>
      <c r="I806" s="1">
        <v>46111</v>
      </c>
      <c r="J806" s="1">
        <v>46141</v>
      </c>
      <c r="K806" s="18" t="s">
        <v>343</v>
      </c>
      <c r="L806" s="18" t="s">
        <v>18</v>
      </c>
      <c r="M806" s="18" t="s">
        <v>19</v>
      </c>
      <c r="N806" s="18" t="s">
        <v>2112</v>
      </c>
      <c r="O806">
        <v>30</v>
      </c>
    </row>
    <row r="807" spans="1:15" x14ac:dyDescent="0.25">
      <c r="A807" s="18" t="s">
        <v>7276</v>
      </c>
      <c r="B807" s="18" t="s">
        <v>1345</v>
      </c>
      <c r="C807" s="18" t="s">
        <v>1346</v>
      </c>
      <c r="D807" s="18" t="s">
        <v>382</v>
      </c>
      <c r="E807" s="18" t="s">
        <v>5292</v>
      </c>
      <c r="F807" s="2">
        <f>+J807-I807</f>
        <v>30</v>
      </c>
      <c r="G807" s="2">
        <f ca="1">+TODAY()-I807</f>
        <v>41</v>
      </c>
      <c r="H807" s="15">
        <v>7255209</v>
      </c>
      <c r="I807" s="1">
        <v>46079</v>
      </c>
      <c r="J807" s="1">
        <v>46109</v>
      </c>
      <c r="K807" s="18" t="s">
        <v>1325</v>
      </c>
      <c r="L807" s="18" t="s">
        <v>90</v>
      </c>
      <c r="M807" s="18" t="s">
        <v>19</v>
      </c>
      <c r="N807" s="18" t="s">
        <v>1347</v>
      </c>
      <c r="O807">
        <v>30</v>
      </c>
    </row>
    <row r="808" spans="1:15" x14ac:dyDescent="0.25">
      <c r="A808" s="18" t="s">
        <v>7276</v>
      </c>
      <c r="B808" s="18" t="s">
        <v>1345</v>
      </c>
      <c r="C808" s="18" t="s">
        <v>1346</v>
      </c>
      <c r="D808" s="18" t="s">
        <v>382</v>
      </c>
      <c r="E808" s="18" t="s">
        <v>5293</v>
      </c>
      <c r="F808" s="2">
        <f>+J808-I808</f>
        <v>30</v>
      </c>
      <c r="G808" s="2">
        <f ca="1">+TODAY()-I808</f>
        <v>40</v>
      </c>
      <c r="H808" s="15">
        <v>8214104</v>
      </c>
      <c r="I808" s="1">
        <v>46080</v>
      </c>
      <c r="J808" s="1">
        <v>46110</v>
      </c>
      <c r="K808" s="18" t="s">
        <v>1325</v>
      </c>
      <c r="L808" s="18" t="s">
        <v>90</v>
      </c>
      <c r="M808" s="18" t="s">
        <v>19</v>
      </c>
      <c r="N808" s="18" t="s">
        <v>1347</v>
      </c>
      <c r="O808">
        <v>30</v>
      </c>
    </row>
    <row r="809" spans="1:15" x14ac:dyDescent="0.25">
      <c r="A809" s="18" t="s">
        <v>7276</v>
      </c>
      <c r="B809" s="18" t="s">
        <v>1345</v>
      </c>
      <c r="C809" s="18" t="s">
        <v>1346</v>
      </c>
      <c r="D809" s="18" t="s">
        <v>382</v>
      </c>
      <c r="E809" s="18" t="s">
        <v>5294</v>
      </c>
      <c r="F809" s="2">
        <f>+J809-I809</f>
        <v>30</v>
      </c>
      <c r="G809" s="2">
        <f ca="1">+TODAY()-I809</f>
        <v>40</v>
      </c>
      <c r="H809" s="15">
        <v>2058305</v>
      </c>
      <c r="I809" s="1">
        <v>46080</v>
      </c>
      <c r="J809" s="1">
        <v>46110</v>
      </c>
      <c r="K809" s="18" t="s">
        <v>1325</v>
      </c>
      <c r="L809" s="18" t="s">
        <v>90</v>
      </c>
      <c r="M809" s="18" t="s">
        <v>19</v>
      </c>
      <c r="N809" s="18" t="s">
        <v>1347</v>
      </c>
      <c r="O809">
        <v>30</v>
      </c>
    </row>
    <row r="810" spans="1:15" x14ac:dyDescent="0.25">
      <c r="A810" s="18" t="s">
        <v>7276</v>
      </c>
      <c r="B810" s="18" t="s">
        <v>1345</v>
      </c>
      <c r="C810" s="18" t="s">
        <v>1346</v>
      </c>
      <c r="D810" s="18" t="s">
        <v>382</v>
      </c>
      <c r="E810" s="18" t="s">
        <v>5295</v>
      </c>
      <c r="F810" s="2">
        <f>+J810-I810</f>
        <v>30</v>
      </c>
      <c r="G810" s="2">
        <f ca="1">+TODAY()-I810</f>
        <v>40</v>
      </c>
      <c r="H810" s="15">
        <v>1212412</v>
      </c>
      <c r="I810" s="1">
        <v>46080</v>
      </c>
      <c r="J810" s="1">
        <v>46110</v>
      </c>
      <c r="K810" s="18" t="s">
        <v>1325</v>
      </c>
      <c r="L810" s="18" t="s">
        <v>90</v>
      </c>
      <c r="M810" s="18" t="s">
        <v>19</v>
      </c>
      <c r="N810" s="18" t="s">
        <v>1347</v>
      </c>
      <c r="O810">
        <v>30</v>
      </c>
    </row>
    <row r="811" spans="1:15" x14ac:dyDescent="0.25">
      <c r="A811" s="18" t="s">
        <v>7276</v>
      </c>
      <c r="B811" s="18" t="s">
        <v>1345</v>
      </c>
      <c r="C811" s="18" t="s">
        <v>1346</v>
      </c>
      <c r="D811" s="18" t="s">
        <v>382</v>
      </c>
      <c r="E811" s="18" t="s">
        <v>5480</v>
      </c>
      <c r="F811" s="2">
        <f>+J811-I811</f>
        <v>30</v>
      </c>
      <c r="G811" s="2">
        <f ca="1">+TODAY()-I811</f>
        <v>36</v>
      </c>
      <c r="H811" s="15">
        <v>2100000</v>
      </c>
      <c r="I811" s="1">
        <v>46084</v>
      </c>
      <c r="J811" s="1">
        <v>46114</v>
      </c>
      <c r="K811" s="18" t="s">
        <v>1325</v>
      </c>
      <c r="L811" s="18" t="s">
        <v>90</v>
      </c>
      <c r="M811" s="18" t="s">
        <v>19</v>
      </c>
      <c r="N811" s="18" t="s">
        <v>1347</v>
      </c>
      <c r="O811">
        <v>30</v>
      </c>
    </row>
    <row r="812" spans="1:15" x14ac:dyDescent="0.25">
      <c r="A812" s="18" t="s">
        <v>7276</v>
      </c>
      <c r="B812" s="18" t="s">
        <v>1345</v>
      </c>
      <c r="C812" s="18" t="s">
        <v>1346</v>
      </c>
      <c r="D812" s="18" t="s">
        <v>382</v>
      </c>
      <c r="E812" s="18" t="s">
        <v>5793</v>
      </c>
      <c r="F812" s="2">
        <f>+J812-I812</f>
        <v>30</v>
      </c>
      <c r="G812" s="2">
        <f ca="1">+TODAY()-I812</f>
        <v>28</v>
      </c>
      <c r="H812" s="15">
        <v>797294</v>
      </c>
      <c r="I812" s="1">
        <v>46092</v>
      </c>
      <c r="J812" s="1">
        <v>46122</v>
      </c>
      <c r="K812" s="18" t="s">
        <v>1325</v>
      </c>
      <c r="L812" s="18" t="s">
        <v>90</v>
      </c>
      <c r="M812" s="18" t="s">
        <v>19</v>
      </c>
      <c r="N812" s="18" t="s">
        <v>1347</v>
      </c>
      <c r="O812">
        <v>30</v>
      </c>
    </row>
    <row r="813" spans="1:15" x14ac:dyDescent="0.25">
      <c r="A813" s="18" t="s">
        <v>7276</v>
      </c>
      <c r="B813" s="18" t="s">
        <v>1345</v>
      </c>
      <c r="C813" s="18" t="s">
        <v>1346</v>
      </c>
      <c r="D813" s="18" t="s">
        <v>382</v>
      </c>
      <c r="E813" s="18" t="s">
        <v>5794</v>
      </c>
      <c r="F813" s="2">
        <f>+J813-I813</f>
        <v>30</v>
      </c>
      <c r="G813" s="2">
        <f ca="1">+TODAY()-I813</f>
        <v>28</v>
      </c>
      <c r="H813" s="15">
        <v>2589300</v>
      </c>
      <c r="I813" s="1">
        <v>46092</v>
      </c>
      <c r="J813" s="1">
        <v>46122</v>
      </c>
      <c r="K813" s="18" t="s">
        <v>1325</v>
      </c>
      <c r="L813" s="18" t="s">
        <v>90</v>
      </c>
      <c r="M813" s="18" t="s">
        <v>19</v>
      </c>
      <c r="N813" s="18" t="s">
        <v>1347</v>
      </c>
      <c r="O813">
        <v>30</v>
      </c>
    </row>
    <row r="814" spans="1:15" x14ac:dyDescent="0.25">
      <c r="A814" s="18" t="s">
        <v>7276</v>
      </c>
      <c r="B814" s="18" t="s">
        <v>1345</v>
      </c>
      <c r="C814" s="18" t="s">
        <v>1346</v>
      </c>
      <c r="D814" s="18" t="s">
        <v>382</v>
      </c>
      <c r="E814" s="18" t="s">
        <v>6043</v>
      </c>
      <c r="F814" s="2">
        <f>+J814-I814</f>
        <v>30</v>
      </c>
      <c r="G814" s="2">
        <f ca="1">+TODAY()-I814</f>
        <v>27</v>
      </c>
      <c r="H814" s="15">
        <v>7638095</v>
      </c>
      <c r="I814" s="1">
        <v>46093</v>
      </c>
      <c r="J814" s="1">
        <v>46123</v>
      </c>
      <c r="K814" s="18" t="s">
        <v>1325</v>
      </c>
      <c r="L814" s="18" t="s">
        <v>90</v>
      </c>
      <c r="M814" s="18" t="s">
        <v>19</v>
      </c>
      <c r="N814" s="18" t="s">
        <v>1347</v>
      </c>
      <c r="O814">
        <v>30</v>
      </c>
    </row>
    <row r="815" spans="1:15" x14ac:dyDescent="0.25">
      <c r="A815" s="18" t="s">
        <v>7276</v>
      </c>
      <c r="B815" s="18" t="s">
        <v>1345</v>
      </c>
      <c r="C815" s="18" t="s">
        <v>1346</v>
      </c>
      <c r="D815" s="18" t="s">
        <v>382</v>
      </c>
      <c r="E815" s="18" t="s">
        <v>6044</v>
      </c>
      <c r="F815" s="2">
        <f>+J815-I815</f>
        <v>30</v>
      </c>
      <c r="G815" s="2">
        <f ca="1">+TODAY()-I815</f>
        <v>27</v>
      </c>
      <c r="H815" s="15">
        <v>16815539</v>
      </c>
      <c r="I815" s="1">
        <v>46093</v>
      </c>
      <c r="J815" s="1">
        <v>46123</v>
      </c>
      <c r="K815" s="18" t="s">
        <v>1325</v>
      </c>
      <c r="L815" s="18" t="s">
        <v>90</v>
      </c>
      <c r="M815" s="18" t="s">
        <v>19</v>
      </c>
      <c r="N815" s="18" t="s">
        <v>1347</v>
      </c>
      <c r="O815">
        <v>30</v>
      </c>
    </row>
    <row r="816" spans="1:15" x14ac:dyDescent="0.25">
      <c r="A816" s="18" t="s">
        <v>7276</v>
      </c>
      <c r="B816" s="18" t="s">
        <v>1345</v>
      </c>
      <c r="C816" s="18" t="s">
        <v>1346</v>
      </c>
      <c r="D816" s="18" t="s">
        <v>382</v>
      </c>
      <c r="E816" s="18" t="s">
        <v>6055</v>
      </c>
      <c r="F816" s="2">
        <f>+J816-I816</f>
        <v>30</v>
      </c>
      <c r="G816" s="2">
        <f ca="1">+TODAY()-I816</f>
        <v>26</v>
      </c>
      <c r="H816" s="15">
        <v>1935000</v>
      </c>
      <c r="I816" s="1">
        <v>46094</v>
      </c>
      <c r="J816" s="1">
        <v>46124</v>
      </c>
      <c r="K816" s="18" t="s">
        <v>1325</v>
      </c>
      <c r="L816" s="18" t="s">
        <v>90</v>
      </c>
      <c r="M816" s="18" t="s">
        <v>19</v>
      </c>
      <c r="N816" s="18" t="s">
        <v>1347</v>
      </c>
      <c r="O816">
        <v>30</v>
      </c>
    </row>
    <row r="817" spans="1:15" x14ac:dyDescent="0.25">
      <c r="A817" s="18" t="s">
        <v>7276</v>
      </c>
      <c r="B817" s="18" t="s">
        <v>1345</v>
      </c>
      <c r="C817" s="18" t="s">
        <v>1346</v>
      </c>
      <c r="D817" s="18" t="s">
        <v>382</v>
      </c>
      <c r="E817" s="18" t="s">
        <v>6555</v>
      </c>
      <c r="F817" s="2">
        <f>+J817-I817</f>
        <v>30</v>
      </c>
      <c r="G817" s="2">
        <f ca="1">+TODAY()-I817</f>
        <v>14</v>
      </c>
      <c r="H817" s="15">
        <v>1475000</v>
      </c>
      <c r="I817" s="1">
        <v>46106</v>
      </c>
      <c r="J817" s="1">
        <v>46136</v>
      </c>
      <c r="K817" s="18" t="s">
        <v>1325</v>
      </c>
      <c r="L817" s="18" t="s">
        <v>90</v>
      </c>
      <c r="M817" s="18" t="s">
        <v>19</v>
      </c>
      <c r="N817" s="18" t="s">
        <v>1347</v>
      </c>
      <c r="O817">
        <v>30</v>
      </c>
    </row>
    <row r="818" spans="1:15" x14ac:dyDescent="0.25">
      <c r="A818" s="18" t="s">
        <v>7276</v>
      </c>
      <c r="B818" s="18" t="s">
        <v>1345</v>
      </c>
      <c r="C818" s="18" t="s">
        <v>1346</v>
      </c>
      <c r="D818" s="18" t="s">
        <v>382</v>
      </c>
      <c r="E818" s="18" t="s">
        <v>6565</v>
      </c>
      <c r="F818" s="2">
        <f>+J818-I818</f>
        <v>30</v>
      </c>
      <c r="G818" s="2">
        <f ca="1">+TODAY()-I818</f>
        <v>14</v>
      </c>
      <c r="H818" s="15">
        <v>2939939</v>
      </c>
      <c r="I818" s="1">
        <v>46106</v>
      </c>
      <c r="J818" s="1">
        <v>46136</v>
      </c>
      <c r="K818" s="18" t="s">
        <v>1325</v>
      </c>
      <c r="L818" s="18" t="s">
        <v>90</v>
      </c>
      <c r="M818" s="18" t="s">
        <v>19</v>
      </c>
      <c r="N818" s="18" t="s">
        <v>1347</v>
      </c>
      <c r="O818">
        <v>30</v>
      </c>
    </row>
    <row r="819" spans="1:15" x14ac:dyDescent="0.25">
      <c r="A819" s="18" t="s">
        <v>7276</v>
      </c>
      <c r="B819" s="18" t="s">
        <v>1345</v>
      </c>
      <c r="C819" s="18" t="s">
        <v>1346</v>
      </c>
      <c r="D819" s="18" t="s">
        <v>382</v>
      </c>
      <c r="E819" s="18" t="s">
        <v>6566</v>
      </c>
      <c r="F819" s="2">
        <f>+J819-I819</f>
        <v>30</v>
      </c>
      <c r="G819" s="2">
        <f ca="1">+TODAY()-I819</f>
        <v>14</v>
      </c>
      <c r="H819" s="15">
        <v>4649688</v>
      </c>
      <c r="I819" s="1">
        <v>46106</v>
      </c>
      <c r="J819" s="1">
        <v>46136</v>
      </c>
      <c r="K819" s="18" t="s">
        <v>1325</v>
      </c>
      <c r="L819" s="18" t="s">
        <v>90</v>
      </c>
      <c r="M819" s="18" t="s">
        <v>19</v>
      </c>
      <c r="N819" s="18" t="s">
        <v>1347</v>
      </c>
      <c r="O819">
        <v>30</v>
      </c>
    </row>
    <row r="820" spans="1:15" x14ac:dyDescent="0.25">
      <c r="A820" s="18" t="s">
        <v>7276</v>
      </c>
      <c r="B820" s="18" t="s">
        <v>1345</v>
      </c>
      <c r="C820" s="18" t="s">
        <v>1346</v>
      </c>
      <c r="D820" s="18" t="s">
        <v>382</v>
      </c>
      <c r="E820" s="18" t="s">
        <v>6573</v>
      </c>
      <c r="F820" s="2">
        <f>+J820-I820</f>
        <v>30</v>
      </c>
      <c r="G820" s="2">
        <f ca="1">+TODAY()-I820</f>
        <v>13</v>
      </c>
      <c r="H820" s="15">
        <v>1315200</v>
      </c>
      <c r="I820" s="1">
        <v>46107</v>
      </c>
      <c r="J820" s="1">
        <v>46137</v>
      </c>
      <c r="K820" s="18" t="s">
        <v>1325</v>
      </c>
      <c r="L820" s="18" t="s">
        <v>90</v>
      </c>
      <c r="M820" s="18" t="s">
        <v>19</v>
      </c>
      <c r="N820" s="18" t="s">
        <v>1347</v>
      </c>
      <c r="O820">
        <v>30</v>
      </c>
    </row>
    <row r="821" spans="1:15" x14ac:dyDescent="0.25">
      <c r="A821" s="18" t="s">
        <v>7276</v>
      </c>
      <c r="B821" s="18" t="s">
        <v>1345</v>
      </c>
      <c r="C821" s="18" t="s">
        <v>1346</v>
      </c>
      <c r="D821" s="18" t="s">
        <v>382</v>
      </c>
      <c r="E821" s="18" t="s">
        <v>6590</v>
      </c>
      <c r="F821" s="2">
        <f>+J821-I821</f>
        <v>30</v>
      </c>
      <c r="G821" s="2">
        <f ca="1">+TODAY()-I821</f>
        <v>13</v>
      </c>
      <c r="H821" s="15">
        <v>1157635</v>
      </c>
      <c r="I821" s="1">
        <v>46107</v>
      </c>
      <c r="J821" s="1">
        <v>46137</v>
      </c>
      <c r="K821" s="18" t="s">
        <v>1325</v>
      </c>
      <c r="L821" s="18" t="s">
        <v>90</v>
      </c>
      <c r="M821" s="18" t="s">
        <v>19</v>
      </c>
      <c r="N821" s="18" t="s">
        <v>1347</v>
      </c>
      <c r="O821">
        <v>30</v>
      </c>
    </row>
    <row r="822" spans="1:15" x14ac:dyDescent="0.25">
      <c r="A822" s="18" t="s">
        <v>7276</v>
      </c>
      <c r="B822" s="18" t="s">
        <v>1345</v>
      </c>
      <c r="C822" s="18" t="s">
        <v>1346</v>
      </c>
      <c r="D822" s="18" t="s">
        <v>382</v>
      </c>
      <c r="E822" s="18" t="s">
        <v>6591</v>
      </c>
      <c r="F822" s="2">
        <f>+J822-I822</f>
        <v>30</v>
      </c>
      <c r="G822" s="2">
        <f ca="1">+TODAY()-I822</f>
        <v>13</v>
      </c>
      <c r="H822" s="15">
        <v>5895024</v>
      </c>
      <c r="I822" s="1">
        <v>46107</v>
      </c>
      <c r="J822" s="1">
        <v>46137</v>
      </c>
      <c r="K822" s="18" t="s">
        <v>1325</v>
      </c>
      <c r="L822" s="18" t="s">
        <v>90</v>
      </c>
      <c r="M822" s="18" t="s">
        <v>19</v>
      </c>
      <c r="N822" s="18" t="s">
        <v>1347</v>
      </c>
      <c r="O822">
        <v>30</v>
      </c>
    </row>
    <row r="823" spans="1:15" x14ac:dyDescent="0.25">
      <c r="A823" s="18" t="s">
        <v>7276</v>
      </c>
      <c r="B823" s="18" t="s">
        <v>1345</v>
      </c>
      <c r="C823" s="18" t="s">
        <v>1346</v>
      </c>
      <c r="D823" s="18" t="s">
        <v>382</v>
      </c>
      <c r="E823" s="18" t="s">
        <v>7180</v>
      </c>
      <c r="F823" s="2">
        <f>+J823-I823</f>
        <v>30</v>
      </c>
      <c r="G823" s="2">
        <f ca="1">+TODAY()-I823</f>
        <v>12</v>
      </c>
      <c r="H823" s="15">
        <v>3678281</v>
      </c>
      <c r="I823" s="1">
        <v>46108</v>
      </c>
      <c r="J823" s="1">
        <v>46138</v>
      </c>
      <c r="K823" s="18" t="s">
        <v>1325</v>
      </c>
      <c r="L823" s="18" t="s">
        <v>90</v>
      </c>
      <c r="M823" s="18" t="s">
        <v>19</v>
      </c>
      <c r="N823" s="18" t="s">
        <v>1347</v>
      </c>
      <c r="O823">
        <v>30</v>
      </c>
    </row>
    <row r="824" spans="1:15" x14ac:dyDescent="0.25">
      <c r="A824" s="18" t="s">
        <v>7276</v>
      </c>
      <c r="B824" s="18" t="s">
        <v>1345</v>
      </c>
      <c r="C824" s="18" t="s">
        <v>1346</v>
      </c>
      <c r="D824" s="18" t="s">
        <v>382</v>
      </c>
      <c r="E824" s="18" t="s">
        <v>7181</v>
      </c>
      <c r="F824" s="2">
        <f>+J824-I824</f>
        <v>30</v>
      </c>
      <c r="G824" s="2">
        <f ca="1">+TODAY()-I824</f>
        <v>12</v>
      </c>
      <c r="H824" s="15">
        <v>4338909</v>
      </c>
      <c r="I824" s="1">
        <v>46108</v>
      </c>
      <c r="J824" s="1">
        <v>46138</v>
      </c>
      <c r="K824" s="18" t="s">
        <v>1325</v>
      </c>
      <c r="L824" s="18" t="s">
        <v>90</v>
      </c>
      <c r="M824" s="18" t="s">
        <v>19</v>
      </c>
      <c r="N824" s="18" t="s">
        <v>1347</v>
      </c>
      <c r="O824">
        <v>30</v>
      </c>
    </row>
    <row r="825" spans="1:15" x14ac:dyDescent="0.25">
      <c r="A825" s="18" t="s">
        <v>7276</v>
      </c>
      <c r="B825" s="18" t="s">
        <v>6908</v>
      </c>
      <c r="C825" s="18" t="s">
        <v>6909</v>
      </c>
      <c r="D825" s="18" t="s">
        <v>46</v>
      </c>
      <c r="E825" s="18" t="s">
        <v>6910</v>
      </c>
      <c r="F825" s="2">
        <f>+J825-I825</f>
        <v>1</v>
      </c>
      <c r="G825" s="2">
        <f ca="1">+TODAY()-I825</f>
        <v>8</v>
      </c>
      <c r="H825" s="15">
        <v>124608</v>
      </c>
      <c r="I825" s="1">
        <v>46112</v>
      </c>
      <c r="J825" s="1">
        <v>46113</v>
      </c>
      <c r="K825" s="18" t="s">
        <v>17</v>
      </c>
      <c r="L825" s="18" t="s">
        <v>317</v>
      </c>
      <c r="M825" s="18" t="s">
        <v>19</v>
      </c>
      <c r="N825" s="18" t="s">
        <v>6911</v>
      </c>
      <c r="O825">
        <v>1</v>
      </c>
    </row>
    <row r="826" spans="1:15" x14ac:dyDescent="0.25">
      <c r="A826" s="18" t="s">
        <v>7276</v>
      </c>
      <c r="B826" s="18" t="s">
        <v>2556</v>
      </c>
      <c r="C826" s="18" t="s">
        <v>2557</v>
      </c>
      <c r="D826" s="18" t="s">
        <v>15</v>
      </c>
      <c r="E826" s="18" t="s">
        <v>6763</v>
      </c>
      <c r="F826" s="2">
        <f>+J826-I826</f>
        <v>30</v>
      </c>
      <c r="G826" s="2">
        <f ca="1">+TODAY()-I826</f>
        <v>9</v>
      </c>
      <c r="H826" s="15">
        <v>84000</v>
      </c>
      <c r="I826" s="1">
        <v>46111</v>
      </c>
      <c r="J826" s="1">
        <v>46141</v>
      </c>
      <c r="K826" s="18" t="s">
        <v>17</v>
      </c>
      <c r="L826" s="18" t="s">
        <v>109</v>
      </c>
      <c r="M826" s="18" t="s">
        <v>19</v>
      </c>
      <c r="N826" s="18" t="s">
        <v>20</v>
      </c>
      <c r="O826">
        <v>30</v>
      </c>
    </row>
    <row r="827" spans="1:15" x14ac:dyDescent="0.25">
      <c r="A827" s="18" t="s">
        <v>7276</v>
      </c>
      <c r="B827" s="18" t="s">
        <v>2556</v>
      </c>
      <c r="C827" s="18" t="s">
        <v>2557</v>
      </c>
      <c r="D827" s="18" t="s">
        <v>15</v>
      </c>
      <c r="E827" s="18" t="s">
        <v>7287</v>
      </c>
      <c r="F827" s="2">
        <f>+J827-I827</f>
        <v>30</v>
      </c>
      <c r="G827" s="2">
        <f ca="1">+TODAY()-I827</f>
        <v>7</v>
      </c>
      <c r="H827" s="15">
        <v>423570</v>
      </c>
      <c r="I827" s="1">
        <v>46113</v>
      </c>
      <c r="J827" s="1">
        <v>46143</v>
      </c>
      <c r="K827" s="18" t="s">
        <v>17</v>
      </c>
      <c r="L827" s="18" t="s">
        <v>109</v>
      </c>
      <c r="M827" s="18" t="s">
        <v>19</v>
      </c>
      <c r="N827" s="18" t="s">
        <v>20</v>
      </c>
      <c r="O827">
        <v>30</v>
      </c>
    </row>
    <row r="828" spans="1:15" x14ac:dyDescent="0.25">
      <c r="A828" s="18" t="s">
        <v>7276</v>
      </c>
      <c r="B828" s="18" t="s">
        <v>2556</v>
      </c>
      <c r="C828" s="18" t="s">
        <v>2557</v>
      </c>
      <c r="D828" s="18" t="s">
        <v>15</v>
      </c>
      <c r="E828" s="18" t="s">
        <v>7321</v>
      </c>
      <c r="F828" s="2">
        <f>+J828-I828</f>
        <v>30</v>
      </c>
      <c r="G828" s="2">
        <f ca="1">+TODAY()-I828</f>
        <v>7</v>
      </c>
      <c r="H828" s="15">
        <v>42000</v>
      </c>
      <c r="I828" s="1">
        <v>46113</v>
      </c>
      <c r="J828" s="1">
        <v>46143</v>
      </c>
      <c r="K828" s="18" t="s">
        <v>17</v>
      </c>
      <c r="L828" s="18" t="s">
        <v>109</v>
      </c>
      <c r="M828" s="18" t="s">
        <v>19</v>
      </c>
      <c r="N828" s="18" t="s">
        <v>20</v>
      </c>
      <c r="O828">
        <v>30</v>
      </c>
    </row>
    <row r="829" spans="1:15" x14ac:dyDescent="0.25">
      <c r="A829" s="18" t="s">
        <v>7276</v>
      </c>
      <c r="B829" s="18" t="s">
        <v>4257</v>
      </c>
      <c r="C829" s="18" t="s">
        <v>4258</v>
      </c>
      <c r="D829" s="18" t="s">
        <v>46</v>
      </c>
      <c r="E829" s="18" t="s">
        <v>5379</v>
      </c>
      <c r="F829" s="2">
        <f>+J829-I829</f>
        <v>30</v>
      </c>
      <c r="G829" s="2">
        <f ca="1">+TODAY()-I829</f>
        <v>36</v>
      </c>
      <c r="H829" s="15">
        <v>529265</v>
      </c>
      <c r="I829" s="1">
        <v>46084</v>
      </c>
      <c r="J829" s="1">
        <v>46114</v>
      </c>
      <c r="K829" s="18" t="s">
        <v>17</v>
      </c>
      <c r="L829" s="18" t="s">
        <v>109</v>
      </c>
      <c r="M829" s="18" t="s">
        <v>19</v>
      </c>
      <c r="N829" s="18" t="s">
        <v>4260</v>
      </c>
      <c r="O829">
        <v>30</v>
      </c>
    </row>
    <row r="830" spans="1:15" x14ac:dyDescent="0.25">
      <c r="A830" s="18" t="s">
        <v>7276</v>
      </c>
      <c r="B830" s="18" t="s">
        <v>4257</v>
      </c>
      <c r="C830" s="18" t="s">
        <v>4258</v>
      </c>
      <c r="D830" s="18" t="s">
        <v>46</v>
      </c>
      <c r="E830" s="18" t="s">
        <v>6844</v>
      </c>
      <c r="F830" s="2">
        <f>+J830-I830</f>
        <v>30</v>
      </c>
      <c r="G830" s="2">
        <f ca="1">+TODAY()-I830</f>
        <v>8</v>
      </c>
      <c r="H830" s="15">
        <v>762310</v>
      </c>
      <c r="I830" s="1">
        <v>46112</v>
      </c>
      <c r="J830" s="1">
        <v>46142</v>
      </c>
      <c r="K830" s="18" t="s">
        <v>17</v>
      </c>
      <c r="L830" s="18" t="s">
        <v>109</v>
      </c>
      <c r="M830" s="18" t="s">
        <v>19</v>
      </c>
      <c r="N830" s="18" t="s">
        <v>4260</v>
      </c>
      <c r="O830">
        <v>30</v>
      </c>
    </row>
    <row r="831" spans="1:15" x14ac:dyDescent="0.25">
      <c r="A831" s="18" t="s">
        <v>7276</v>
      </c>
      <c r="B831" s="18" t="s">
        <v>7112</v>
      </c>
      <c r="C831" s="18" t="s">
        <v>7113</v>
      </c>
      <c r="D831" s="18" t="s">
        <v>1201</v>
      </c>
      <c r="E831" s="18" t="s">
        <v>7114</v>
      </c>
      <c r="F831" s="2">
        <f>+J831-I831</f>
        <v>1</v>
      </c>
      <c r="G831" s="2">
        <f ca="1">+TODAY()-I831</f>
        <v>8</v>
      </c>
      <c r="H831" s="15">
        <v>47999</v>
      </c>
      <c r="I831" s="1">
        <v>46112</v>
      </c>
      <c r="J831" s="1">
        <v>46113</v>
      </c>
      <c r="K831" s="18" t="s">
        <v>1202</v>
      </c>
      <c r="L831" s="18" t="s">
        <v>321</v>
      </c>
      <c r="M831" s="18" t="s">
        <v>19</v>
      </c>
      <c r="N831" s="18" t="s">
        <v>7115</v>
      </c>
      <c r="O831">
        <v>30</v>
      </c>
    </row>
    <row r="832" spans="1:15" x14ac:dyDescent="0.25">
      <c r="A832" s="18" t="s">
        <v>7276</v>
      </c>
      <c r="B832" s="18" t="s">
        <v>3737</v>
      </c>
      <c r="C832" s="18" t="s">
        <v>3738</v>
      </c>
      <c r="D832" s="18" t="s">
        <v>1527</v>
      </c>
      <c r="E832" s="18" t="s">
        <v>6061</v>
      </c>
      <c r="F832" s="2">
        <f>+J832-I832</f>
        <v>30</v>
      </c>
      <c r="G832" s="2">
        <f ca="1">+TODAY()-I832</f>
        <v>27</v>
      </c>
      <c r="H832" s="15">
        <v>798663</v>
      </c>
      <c r="I832" s="1">
        <v>46093</v>
      </c>
      <c r="J832" s="1">
        <v>46123</v>
      </c>
      <c r="K832" s="18" t="s">
        <v>1528</v>
      </c>
      <c r="L832" s="18" t="s">
        <v>207</v>
      </c>
      <c r="M832" s="18" t="s">
        <v>19</v>
      </c>
      <c r="N832" s="18" t="s">
        <v>6351</v>
      </c>
      <c r="O832">
        <v>1</v>
      </c>
    </row>
    <row r="833" spans="1:15" x14ac:dyDescent="0.25">
      <c r="A833" s="18" t="s">
        <v>7276</v>
      </c>
      <c r="B833" s="18" t="s">
        <v>663</v>
      </c>
      <c r="C833" s="18" t="s">
        <v>664</v>
      </c>
      <c r="D833" s="18" t="s">
        <v>642</v>
      </c>
      <c r="E833" s="18" t="s">
        <v>6967</v>
      </c>
      <c r="F833" s="2">
        <f>+J833-I833</f>
        <v>30</v>
      </c>
      <c r="G833" s="2">
        <f ca="1">+TODAY()-I833</f>
        <v>8</v>
      </c>
      <c r="H833" s="15">
        <v>1344391</v>
      </c>
      <c r="I833" s="1">
        <v>46112</v>
      </c>
      <c r="J833" s="1">
        <v>46142</v>
      </c>
      <c r="K833" s="18" t="s">
        <v>638</v>
      </c>
      <c r="L833" s="18" t="s">
        <v>47</v>
      </c>
      <c r="M833" s="18" t="s">
        <v>19</v>
      </c>
      <c r="N833" s="18" t="s">
        <v>665</v>
      </c>
      <c r="O833">
        <v>30</v>
      </c>
    </row>
    <row r="834" spans="1:15" x14ac:dyDescent="0.25">
      <c r="A834" s="18" t="s">
        <v>7276</v>
      </c>
      <c r="B834" s="18" t="s">
        <v>1554</v>
      </c>
      <c r="C834" s="18" t="s">
        <v>1555</v>
      </c>
      <c r="D834" s="18" t="s">
        <v>1532</v>
      </c>
      <c r="E834" s="18" t="s">
        <v>6062</v>
      </c>
      <c r="F834" s="2">
        <f>+J834-I834</f>
        <v>30</v>
      </c>
      <c r="G834" s="2">
        <f ca="1">+TODAY()-I834</f>
        <v>27</v>
      </c>
      <c r="H834" s="15">
        <v>260200</v>
      </c>
      <c r="I834" s="1">
        <v>46093</v>
      </c>
      <c r="J834" s="1">
        <v>46123</v>
      </c>
      <c r="K834" s="18" t="s">
        <v>1528</v>
      </c>
      <c r="L834" s="18" t="s">
        <v>207</v>
      </c>
      <c r="M834" s="18" t="s">
        <v>19</v>
      </c>
      <c r="N834" s="18" t="s">
        <v>1556</v>
      </c>
      <c r="O834">
        <v>30</v>
      </c>
    </row>
    <row r="835" spans="1:15" x14ac:dyDescent="0.25">
      <c r="A835" s="18" t="s">
        <v>7276</v>
      </c>
      <c r="B835" s="18" t="s">
        <v>1554</v>
      </c>
      <c r="C835" s="18" t="s">
        <v>1555</v>
      </c>
      <c r="D835" s="18" t="s">
        <v>1532</v>
      </c>
      <c r="E835" s="18" t="s">
        <v>6616</v>
      </c>
      <c r="F835" s="2">
        <f>+J835-I835</f>
        <v>30</v>
      </c>
      <c r="G835" s="2">
        <f ca="1">+TODAY()-I835</f>
        <v>13</v>
      </c>
      <c r="H835" s="15">
        <v>736000</v>
      </c>
      <c r="I835" s="1">
        <v>46107</v>
      </c>
      <c r="J835" s="1">
        <v>46137</v>
      </c>
      <c r="K835" s="18" t="s">
        <v>1528</v>
      </c>
      <c r="L835" s="18" t="s">
        <v>207</v>
      </c>
      <c r="M835" s="18" t="s">
        <v>19</v>
      </c>
      <c r="N835" s="18" t="s">
        <v>1556</v>
      </c>
      <c r="O835">
        <v>30</v>
      </c>
    </row>
    <row r="836" spans="1:15" x14ac:dyDescent="0.25">
      <c r="A836" s="18" t="s">
        <v>7276</v>
      </c>
      <c r="B836" s="18" t="s">
        <v>2206</v>
      </c>
      <c r="C836" s="18" t="s">
        <v>2207</v>
      </c>
      <c r="D836" s="18" t="s">
        <v>15</v>
      </c>
      <c r="E836" s="18" t="s">
        <v>6867</v>
      </c>
      <c r="F836" s="2">
        <f>+J836-I836</f>
        <v>10</v>
      </c>
      <c r="G836" s="2">
        <f ca="1">+TODAY()-I836</f>
        <v>8</v>
      </c>
      <c r="H836" s="15">
        <v>840000</v>
      </c>
      <c r="I836" s="1">
        <v>46112</v>
      </c>
      <c r="J836" s="1">
        <v>46122</v>
      </c>
      <c r="K836" s="18" t="s">
        <v>17</v>
      </c>
      <c r="L836" s="18" t="s">
        <v>312</v>
      </c>
      <c r="M836" s="18" t="s">
        <v>19</v>
      </c>
      <c r="N836" s="18" t="s">
        <v>2208</v>
      </c>
      <c r="O836">
        <v>15</v>
      </c>
    </row>
    <row r="837" spans="1:15" x14ac:dyDescent="0.25">
      <c r="A837" s="18" t="s">
        <v>7276</v>
      </c>
      <c r="B837" s="18" t="s">
        <v>1631</v>
      </c>
      <c r="C837" s="18" t="s">
        <v>1632</v>
      </c>
      <c r="D837" s="18" t="s">
        <v>1587</v>
      </c>
      <c r="E837" s="18" t="s">
        <v>5158</v>
      </c>
      <c r="F837" s="2">
        <f>+J837-I837</f>
        <v>30</v>
      </c>
      <c r="G837" s="2">
        <f ca="1">+TODAY()-I837</f>
        <v>53</v>
      </c>
      <c r="H837" s="15">
        <v>117200</v>
      </c>
      <c r="I837" s="1">
        <v>46067</v>
      </c>
      <c r="J837" s="1">
        <v>46097</v>
      </c>
      <c r="K837" s="18" t="s">
        <v>1589</v>
      </c>
      <c r="L837" s="18" t="s">
        <v>984</v>
      </c>
      <c r="M837" s="18" t="s">
        <v>19</v>
      </c>
      <c r="N837" s="18" t="s">
        <v>1633</v>
      </c>
      <c r="O837">
        <v>30</v>
      </c>
    </row>
    <row r="838" spans="1:15" x14ac:dyDescent="0.25">
      <c r="A838" s="18" t="s">
        <v>7276</v>
      </c>
      <c r="B838" s="18" t="s">
        <v>1631</v>
      </c>
      <c r="C838" s="18" t="s">
        <v>1632</v>
      </c>
      <c r="D838" s="18" t="s">
        <v>1587</v>
      </c>
      <c r="E838" s="18" t="s">
        <v>5843</v>
      </c>
      <c r="F838" s="2">
        <f>+J838-I838</f>
        <v>30</v>
      </c>
      <c r="G838" s="2">
        <f ca="1">+TODAY()-I838</f>
        <v>28</v>
      </c>
      <c r="H838" s="15">
        <v>539000</v>
      </c>
      <c r="I838" s="1">
        <v>46092</v>
      </c>
      <c r="J838" s="1">
        <v>46122</v>
      </c>
      <c r="K838" s="18" t="s">
        <v>1589</v>
      </c>
      <c r="L838" s="18" t="s">
        <v>984</v>
      </c>
      <c r="M838" s="18" t="s">
        <v>19</v>
      </c>
      <c r="N838" s="18" t="s">
        <v>1633</v>
      </c>
      <c r="O838">
        <v>30</v>
      </c>
    </row>
    <row r="839" spans="1:15" x14ac:dyDescent="0.25">
      <c r="A839" s="18" t="s">
        <v>7276</v>
      </c>
      <c r="B839" s="18" t="s">
        <v>1631</v>
      </c>
      <c r="C839" s="18" t="s">
        <v>1632</v>
      </c>
      <c r="D839" s="18" t="s">
        <v>1587</v>
      </c>
      <c r="E839" s="18" t="s">
        <v>5844</v>
      </c>
      <c r="F839" s="2">
        <f>+J839-I839</f>
        <v>30</v>
      </c>
      <c r="G839" s="2">
        <f ca="1">+TODAY()-I839</f>
        <v>28</v>
      </c>
      <c r="H839" s="15">
        <v>803472</v>
      </c>
      <c r="I839" s="1">
        <v>46092</v>
      </c>
      <c r="J839" s="1">
        <v>46122</v>
      </c>
      <c r="K839" s="18" t="s">
        <v>1589</v>
      </c>
      <c r="L839" s="18" t="s">
        <v>984</v>
      </c>
      <c r="M839" s="18" t="s">
        <v>19</v>
      </c>
      <c r="N839" s="18" t="s">
        <v>1633</v>
      </c>
      <c r="O839">
        <v>30</v>
      </c>
    </row>
    <row r="840" spans="1:15" x14ac:dyDescent="0.25">
      <c r="A840" s="18" t="s">
        <v>7276</v>
      </c>
      <c r="B840" s="18" t="s">
        <v>1631</v>
      </c>
      <c r="C840" s="18" t="s">
        <v>1632</v>
      </c>
      <c r="D840" s="18" t="s">
        <v>1587</v>
      </c>
      <c r="E840" s="18" t="s">
        <v>6087</v>
      </c>
      <c r="F840" s="2">
        <f>+J840-I840</f>
        <v>30</v>
      </c>
      <c r="G840" s="2">
        <f ca="1">+TODAY()-I840</f>
        <v>27</v>
      </c>
      <c r="H840" s="15">
        <v>490831</v>
      </c>
      <c r="I840" s="1">
        <v>46093</v>
      </c>
      <c r="J840" s="1">
        <v>46123</v>
      </c>
      <c r="K840" s="18" t="s">
        <v>1589</v>
      </c>
      <c r="L840" s="18" t="s">
        <v>984</v>
      </c>
      <c r="M840" s="18" t="s">
        <v>19</v>
      </c>
      <c r="N840" s="18" t="s">
        <v>1633</v>
      </c>
      <c r="O840">
        <v>30</v>
      </c>
    </row>
    <row r="841" spans="1:15" x14ac:dyDescent="0.25">
      <c r="A841" s="18" t="s">
        <v>7276</v>
      </c>
      <c r="B841" s="18" t="s">
        <v>1631</v>
      </c>
      <c r="C841" s="18" t="s">
        <v>1632</v>
      </c>
      <c r="D841" s="18" t="s">
        <v>1587</v>
      </c>
      <c r="E841" s="18" t="s">
        <v>6660</v>
      </c>
      <c r="F841" s="2">
        <f>+J841-I841</f>
        <v>30</v>
      </c>
      <c r="G841" s="2">
        <f ca="1">+TODAY()-I841</f>
        <v>14</v>
      </c>
      <c r="H841" s="15">
        <v>569200</v>
      </c>
      <c r="I841" s="1">
        <v>46106</v>
      </c>
      <c r="J841" s="1">
        <v>46136</v>
      </c>
      <c r="K841" s="18" t="s">
        <v>1589</v>
      </c>
      <c r="L841" s="18" t="s">
        <v>984</v>
      </c>
      <c r="M841" s="18" t="s">
        <v>19</v>
      </c>
      <c r="N841" s="18" t="s">
        <v>1633</v>
      </c>
      <c r="O841">
        <v>30</v>
      </c>
    </row>
    <row r="842" spans="1:15" x14ac:dyDescent="0.25">
      <c r="A842" s="18" t="s">
        <v>7276</v>
      </c>
      <c r="B842" s="18" t="s">
        <v>1631</v>
      </c>
      <c r="C842" s="18" t="s">
        <v>1632</v>
      </c>
      <c r="D842" s="18" t="s">
        <v>1587</v>
      </c>
      <c r="E842" s="18" t="s">
        <v>6661</v>
      </c>
      <c r="F842" s="2">
        <f>+J842-I842</f>
        <v>30</v>
      </c>
      <c r="G842" s="2">
        <f ca="1">+TODAY()-I842</f>
        <v>14</v>
      </c>
      <c r="H842" s="15">
        <v>827327</v>
      </c>
      <c r="I842" s="1">
        <v>46106</v>
      </c>
      <c r="J842" s="1">
        <v>46136</v>
      </c>
      <c r="K842" s="18" t="s">
        <v>1589</v>
      </c>
      <c r="L842" s="18" t="s">
        <v>984</v>
      </c>
      <c r="M842" s="18" t="s">
        <v>19</v>
      </c>
      <c r="N842" s="18" t="s">
        <v>1633</v>
      </c>
      <c r="O842">
        <v>30</v>
      </c>
    </row>
    <row r="843" spans="1:15" x14ac:dyDescent="0.25">
      <c r="A843" s="18" t="s">
        <v>7276</v>
      </c>
      <c r="B843" s="18" t="s">
        <v>1199</v>
      </c>
      <c r="C843" s="18" t="s">
        <v>1200</v>
      </c>
      <c r="D843" s="18" t="s">
        <v>1201</v>
      </c>
      <c r="E843" s="18" t="s">
        <v>5110</v>
      </c>
      <c r="F843" s="2">
        <f>+J843-I843</f>
        <v>30</v>
      </c>
      <c r="G843" s="2">
        <f ca="1">+TODAY()-I843</f>
        <v>47</v>
      </c>
      <c r="H843" s="15">
        <v>2000000</v>
      </c>
      <c r="I843" s="1">
        <v>46073</v>
      </c>
      <c r="J843" s="1">
        <v>46103</v>
      </c>
      <c r="K843" s="18" t="s">
        <v>1202</v>
      </c>
      <c r="L843" s="18" t="s">
        <v>207</v>
      </c>
      <c r="M843" s="18" t="s">
        <v>19</v>
      </c>
      <c r="N843" s="18" t="s">
        <v>1203</v>
      </c>
      <c r="O843">
        <v>30</v>
      </c>
    </row>
    <row r="844" spans="1:15" x14ac:dyDescent="0.25">
      <c r="A844" s="18" t="s">
        <v>7276</v>
      </c>
      <c r="B844" s="18" t="s">
        <v>1199</v>
      </c>
      <c r="C844" s="18" t="s">
        <v>1200</v>
      </c>
      <c r="D844" s="18" t="s">
        <v>1201</v>
      </c>
      <c r="E844" s="18" t="s">
        <v>5111</v>
      </c>
      <c r="F844" s="2">
        <f>+J844-I844</f>
        <v>30</v>
      </c>
      <c r="G844" s="2">
        <f ca="1">+TODAY()-I844</f>
        <v>47</v>
      </c>
      <c r="H844" s="15">
        <v>2254576</v>
      </c>
      <c r="I844" s="1">
        <v>46073</v>
      </c>
      <c r="J844" s="1">
        <v>46103</v>
      </c>
      <c r="K844" s="18" t="s">
        <v>1202</v>
      </c>
      <c r="L844" s="18" t="s">
        <v>207</v>
      </c>
      <c r="M844" s="18" t="s">
        <v>19</v>
      </c>
      <c r="N844" s="18" t="s">
        <v>1203</v>
      </c>
      <c r="O844">
        <v>30</v>
      </c>
    </row>
    <row r="845" spans="1:15" x14ac:dyDescent="0.25">
      <c r="A845" s="18" t="s">
        <v>7276</v>
      </c>
      <c r="B845" s="18" t="s">
        <v>1199</v>
      </c>
      <c r="C845" s="18" t="s">
        <v>1200</v>
      </c>
      <c r="D845" s="18" t="s">
        <v>1201</v>
      </c>
      <c r="E845" s="18" t="s">
        <v>5544</v>
      </c>
      <c r="F845" s="2">
        <f>+J845-I845</f>
        <v>30</v>
      </c>
      <c r="G845" s="2">
        <f ca="1">+TODAY()-I845</f>
        <v>34</v>
      </c>
      <c r="H845" s="15">
        <v>448961</v>
      </c>
      <c r="I845" s="1">
        <v>46086</v>
      </c>
      <c r="J845" s="1">
        <v>46116</v>
      </c>
      <c r="K845" s="18" t="s">
        <v>1202</v>
      </c>
      <c r="L845" s="18" t="s">
        <v>207</v>
      </c>
      <c r="M845" s="18" t="s">
        <v>19</v>
      </c>
      <c r="N845" s="18" t="s">
        <v>1203</v>
      </c>
      <c r="O845">
        <v>30</v>
      </c>
    </row>
    <row r="846" spans="1:15" x14ac:dyDescent="0.25">
      <c r="A846" s="18" t="s">
        <v>7276</v>
      </c>
      <c r="B846" s="18" t="s">
        <v>1199</v>
      </c>
      <c r="C846" s="18" t="s">
        <v>1200</v>
      </c>
      <c r="D846" s="18" t="s">
        <v>1201</v>
      </c>
      <c r="E846" s="18" t="s">
        <v>5545</v>
      </c>
      <c r="F846" s="2">
        <f>+J846-I846</f>
        <v>30</v>
      </c>
      <c r="G846" s="2">
        <f ca="1">+TODAY()-I846</f>
        <v>34</v>
      </c>
      <c r="H846" s="15">
        <v>1291765</v>
      </c>
      <c r="I846" s="1">
        <v>46086</v>
      </c>
      <c r="J846" s="1">
        <v>46116</v>
      </c>
      <c r="K846" s="18" t="s">
        <v>1202</v>
      </c>
      <c r="L846" s="18" t="s">
        <v>207</v>
      </c>
      <c r="M846" s="18" t="s">
        <v>19</v>
      </c>
      <c r="N846" s="18" t="s">
        <v>1203</v>
      </c>
      <c r="O846">
        <v>30</v>
      </c>
    </row>
    <row r="847" spans="1:15" x14ac:dyDescent="0.25">
      <c r="A847" s="18" t="s">
        <v>7276</v>
      </c>
      <c r="B847" s="18" t="s">
        <v>1199</v>
      </c>
      <c r="C847" s="18" t="s">
        <v>1200</v>
      </c>
      <c r="D847" s="18" t="s">
        <v>1201</v>
      </c>
      <c r="E847" s="18" t="s">
        <v>5546</v>
      </c>
      <c r="F847" s="2">
        <f>+J847-I847</f>
        <v>30</v>
      </c>
      <c r="G847" s="2">
        <f ca="1">+TODAY()-I847</f>
        <v>34</v>
      </c>
      <c r="H847" s="15">
        <v>1571862</v>
      </c>
      <c r="I847" s="1">
        <v>46086</v>
      </c>
      <c r="J847" s="1">
        <v>46116</v>
      </c>
      <c r="K847" s="18" t="s">
        <v>1202</v>
      </c>
      <c r="L847" s="18" t="s">
        <v>207</v>
      </c>
      <c r="M847" s="18" t="s">
        <v>19</v>
      </c>
      <c r="N847" s="18" t="s">
        <v>1203</v>
      </c>
      <c r="O847">
        <v>30</v>
      </c>
    </row>
    <row r="848" spans="1:15" x14ac:dyDescent="0.25">
      <c r="A848" s="18" t="s">
        <v>7276</v>
      </c>
      <c r="B848" s="18" t="s">
        <v>1199</v>
      </c>
      <c r="C848" s="18" t="s">
        <v>1200</v>
      </c>
      <c r="D848" s="18" t="s">
        <v>1201</v>
      </c>
      <c r="E848" s="18" t="s">
        <v>5547</v>
      </c>
      <c r="F848" s="2">
        <f>+J848-I848</f>
        <v>30</v>
      </c>
      <c r="G848" s="2">
        <f ca="1">+TODAY()-I848</f>
        <v>34</v>
      </c>
      <c r="H848" s="15">
        <v>2847086</v>
      </c>
      <c r="I848" s="1">
        <v>46086</v>
      </c>
      <c r="J848" s="1">
        <v>46116</v>
      </c>
      <c r="K848" s="18" t="s">
        <v>1202</v>
      </c>
      <c r="L848" s="18" t="s">
        <v>207</v>
      </c>
      <c r="M848" s="18" t="s">
        <v>19</v>
      </c>
      <c r="N848" s="18" t="s">
        <v>1203</v>
      </c>
      <c r="O848">
        <v>30</v>
      </c>
    </row>
    <row r="849" spans="1:15" x14ac:dyDescent="0.25">
      <c r="A849" s="18" t="s">
        <v>7276</v>
      </c>
      <c r="B849" s="18" t="s">
        <v>1199</v>
      </c>
      <c r="C849" s="18" t="s">
        <v>1200</v>
      </c>
      <c r="D849" s="18" t="s">
        <v>1201</v>
      </c>
      <c r="E849" s="18" t="s">
        <v>6280</v>
      </c>
      <c r="F849" s="2">
        <f>+J849-I849</f>
        <v>30</v>
      </c>
      <c r="G849" s="2">
        <f ca="1">+TODAY()-I849</f>
        <v>20</v>
      </c>
      <c r="H849" s="15">
        <v>4061561</v>
      </c>
      <c r="I849" s="1">
        <v>46100</v>
      </c>
      <c r="J849" s="1">
        <v>46130</v>
      </c>
      <c r="K849" s="18" t="s">
        <v>1202</v>
      </c>
      <c r="L849" s="18" t="s">
        <v>207</v>
      </c>
      <c r="M849" s="18" t="s">
        <v>19</v>
      </c>
      <c r="N849" s="18" t="s">
        <v>1203</v>
      </c>
      <c r="O849">
        <v>30</v>
      </c>
    </row>
    <row r="850" spans="1:15" x14ac:dyDescent="0.25">
      <c r="A850" s="18" t="s">
        <v>7276</v>
      </c>
      <c r="B850" s="18" t="s">
        <v>1707</v>
      </c>
      <c r="C850" s="18" t="s">
        <v>1708</v>
      </c>
      <c r="D850" s="18" t="s">
        <v>1705</v>
      </c>
      <c r="E850" s="18" t="s">
        <v>7246</v>
      </c>
      <c r="F850" s="2">
        <f>+J850-I850</f>
        <v>30</v>
      </c>
      <c r="G850" s="2">
        <f ca="1">+TODAY()-I850</f>
        <v>9</v>
      </c>
      <c r="H850" s="15">
        <v>676716</v>
      </c>
      <c r="I850" s="1">
        <v>46111</v>
      </c>
      <c r="J850" s="1">
        <v>46141</v>
      </c>
      <c r="K850" s="18" t="s">
        <v>1706</v>
      </c>
      <c r="L850" s="18" t="s">
        <v>90</v>
      </c>
      <c r="M850" s="18" t="s">
        <v>19</v>
      </c>
      <c r="N850" s="18" t="s">
        <v>1709</v>
      </c>
      <c r="O850">
        <v>30</v>
      </c>
    </row>
    <row r="851" spans="1:15" x14ac:dyDescent="0.25">
      <c r="A851" s="18" t="s">
        <v>7276</v>
      </c>
      <c r="B851" s="18" t="s">
        <v>1807</v>
      </c>
      <c r="C851" s="18" t="s">
        <v>1808</v>
      </c>
      <c r="D851" s="18" t="s">
        <v>211</v>
      </c>
      <c r="E851" s="18" t="s">
        <v>1809</v>
      </c>
      <c r="F851" s="2">
        <f>+J851-I851</f>
        <v>25</v>
      </c>
      <c r="G851" s="2">
        <f ca="1">+TODAY()-I851</f>
        <v>2518</v>
      </c>
      <c r="H851" s="15">
        <v>176860</v>
      </c>
      <c r="I851" s="1">
        <v>43602</v>
      </c>
      <c r="J851" s="1">
        <v>43627</v>
      </c>
      <c r="K851" s="18" t="s">
        <v>1810</v>
      </c>
      <c r="L851" s="18" t="s">
        <v>1069</v>
      </c>
      <c r="M851" s="18" t="s">
        <v>19</v>
      </c>
      <c r="N851" s="18" t="s">
        <v>1811</v>
      </c>
      <c r="O851">
        <v>30</v>
      </c>
    </row>
    <row r="852" spans="1:15" x14ac:dyDescent="0.25">
      <c r="A852" s="18" t="s">
        <v>7276</v>
      </c>
      <c r="B852" s="18" t="s">
        <v>1807</v>
      </c>
      <c r="C852" s="18" t="s">
        <v>1808</v>
      </c>
      <c r="D852" s="18" t="s">
        <v>211</v>
      </c>
      <c r="E852" s="18" t="s">
        <v>1812</v>
      </c>
      <c r="F852" s="2">
        <f>+J852-I852</f>
        <v>26</v>
      </c>
      <c r="G852" s="2">
        <f ca="1">+TODAY()-I852</f>
        <v>2548</v>
      </c>
      <c r="H852" s="15">
        <v>175863</v>
      </c>
      <c r="I852" s="1">
        <v>43572</v>
      </c>
      <c r="J852" s="1">
        <v>43598</v>
      </c>
      <c r="K852" s="18" t="s">
        <v>1810</v>
      </c>
      <c r="L852" s="18" t="s">
        <v>1069</v>
      </c>
      <c r="M852" s="18" t="s">
        <v>19</v>
      </c>
      <c r="N852" s="18" t="s">
        <v>1811</v>
      </c>
      <c r="O852">
        <v>30</v>
      </c>
    </row>
    <row r="853" spans="1:15" x14ac:dyDescent="0.25">
      <c r="A853" s="18" t="s">
        <v>7276</v>
      </c>
      <c r="B853" s="18" t="s">
        <v>7425</v>
      </c>
      <c r="C853" s="18" t="s">
        <v>7426</v>
      </c>
      <c r="D853" s="18" t="s">
        <v>15</v>
      </c>
      <c r="E853" s="18" t="s">
        <v>7427</v>
      </c>
      <c r="F853" s="2">
        <f>+J853-I853</f>
        <v>1</v>
      </c>
      <c r="G853" s="2">
        <f ca="1">+TODAY()-I853</f>
        <v>2</v>
      </c>
      <c r="H853" s="15">
        <v>67011</v>
      </c>
      <c r="I853" s="1">
        <v>46118</v>
      </c>
      <c r="J853" s="1">
        <v>46119</v>
      </c>
      <c r="K853" s="18" t="s">
        <v>17</v>
      </c>
      <c r="L853" s="18" t="s">
        <v>317</v>
      </c>
      <c r="M853" s="18" t="s">
        <v>19</v>
      </c>
      <c r="N853" s="18" t="s">
        <v>7428</v>
      </c>
      <c r="O853">
        <v>1</v>
      </c>
    </row>
    <row r="854" spans="1:15" x14ac:dyDescent="0.25">
      <c r="A854" s="18" t="s">
        <v>7276</v>
      </c>
      <c r="B854" s="18" t="s">
        <v>1351</v>
      </c>
      <c r="C854" s="18" t="s">
        <v>1352</v>
      </c>
      <c r="D854" s="18" t="s">
        <v>1323</v>
      </c>
      <c r="E854" s="18" t="s">
        <v>6039</v>
      </c>
      <c r="F854" s="2">
        <f>+J854-I854</f>
        <v>30</v>
      </c>
      <c r="G854" s="2">
        <f ca="1">+TODAY()-I854</f>
        <v>27</v>
      </c>
      <c r="H854" s="15">
        <v>560969</v>
      </c>
      <c r="I854" s="1">
        <v>46093</v>
      </c>
      <c r="J854" s="1">
        <v>46123</v>
      </c>
      <c r="K854" s="18" t="s">
        <v>1325</v>
      </c>
      <c r="L854" s="18" t="s">
        <v>90</v>
      </c>
      <c r="M854" s="18" t="s">
        <v>19</v>
      </c>
      <c r="N854" s="18" t="s">
        <v>6306</v>
      </c>
      <c r="O854">
        <v>30</v>
      </c>
    </row>
    <row r="855" spans="1:15" x14ac:dyDescent="0.25">
      <c r="A855" s="18" t="s">
        <v>7276</v>
      </c>
      <c r="B855" s="18" t="s">
        <v>1351</v>
      </c>
      <c r="C855" s="18" t="s">
        <v>1352</v>
      </c>
      <c r="D855" s="18" t="s">
        <v>1323</v>
      </c>
      <c r="E855" s="18" t="s">
        <v>6040</v>
      </c>
      <c r="F855" s="2">
        <f>+J855-I855</f>
        <v>30</v>
      </c>
      <c r="G855" s="2">
        <f ca="1">+TODAY()-I855</f>
        <v>27</v>
      </c>
      <c r="H855" s="15">
        <v>410620</v>
      </c>
      <c r="I855" s="1">
        <v>46093</v>
      </c>
      <c r="J855" s="1">
        <v>46123</v>
      </c>
      <c r="K855" s="18" t="s">
        <v>1325</v>
      </c>
      <c r="L855" s="18" t="s">
        <v>90</v>
      </c>
      <c r="M855" s="18" t="s">
        <v>19</v>
      </c>
      <c r="N855" s="18" t="s">
        <v>6306</v>
      </c>
      <c r="O855">
        <v>30</v>
      </c>
    </row>
    <row r="856" spans="1:15" x14ac:dyDescent="0.25">
      <c r="A856" s="18" t="s">
        <v>7276</v>
      </c>
      <c r="B856" s="18" t="s">
        <v>1351</v>
      </c>
      <c r="C856" s="18" t="s">
        <v>1352</v>
      </c>
      <c r="D856" s="18" t="s">
        <v>1323</v>
      </c>
      <c r="E856" s="18" t="s">
        <v>6584</v>
      </c>
      <c r="F856" s="2">
        <f>+J856-I856</f>
        <v>30</v>
      </c>
      <c r="G856" s="2">
        <f ca="1">+TODAY()-I856</f>
        <v>13</v>
      </c>
      <c r="H856" s="15">
        <v>1832749</v>
      </c>
      <c r="I856" s="1">
        <v>46107</v>
      </c>
      <c r="J856" s="1">
        <v>46137</v>
      </c>
      <c r="K856" s="18" t="s">
        <v>1325</v>
      </c>
      <c r="L856" s="18" t="s">
        <v>90</v>
      </c>
      <c r="M856" s="18" t="s">
        <v>19</v>
      </c>
      <c r="N856" s="18" t="s">
        <v>6306</v>
      </c>
      <c r="O856">
        <v>30</v>
      </c>
    </row>
    <row r="857" spans="1:15" x14ac:dyDescent="0.25">
      <c r="A857" s="18" t="s">
        <v>7276</v>
      </c>
      <c r="B857" s="18" t="s">
        <v>1640</v>
      </c>
      <c r="C857" s="18" t="s">
        <v>1641</v>
      </c>
      <c r="D857" s="18" t="s">
        <v>1587</v>
      </c>
      <c r="E857" s="18" t="s">
        <v>5054</v>
      </c>
      <c r="F857" s="2">
        <f>+J857-I857</f>
        <v>30</v>
      </c>
      <c r="G857" s="2">
        <f ca="1">+TODAY()-I857</f>
        <v>57</v>
      </c>
      <c r="H857" s="15">
        <v>1501920</v>
      </c>
      <c r="I857" s="1">
        <v>46063</v>
      </c>
      <c r="J857" s="1">
        <v>46093</v>
      </c>
      <c r="K857" s="18" t="s">
        <v>1589</v>
      </c>
      <c r="L857" s="18" t="s">
        <v>984</v>
      </c>
      <c r="M857" s="18" t="s">
        <v>391</v>
      </c>
      <c r="N857" s="18" t="s">
        <v>1642</v>
      </c>
      <c r="O857">
        <v>30</v>
      </c>
    </row>
    <row r="858" spans="1:15" x14ac:dyDescent="0.25">
      <c r="A858" s="18" t="s">
        <v>7276</v>
      </c>
      <c r="B858" s="18" t="s">
        <v>1640</v>
      </c>
      <c r="C858" s="18" t="s">
        <v>1641</v>
      </c>
      <c r="D858" s="18" t="s">
        <v>1587</v>
      </c>
      <c r="E858" s="18" t="s">
        <v>5326</v>
      </c>
      <c r="F858" s="2">
        <f>+J858-I858</f>
        <v>30</v>
      </c>
      <c r="G858" s="2">
        <f ca="1">+TODAY()-I858</f>
        <v>43</v>
      </c>
      <c r="H858" s="15">
        <v>757908</v>
      </c>
      <c r="I858" s="1">
        <v>46077</v>
      </c>
      <c r="J858" s="1">
        <v>46107</v>
      </c>
      <c r="K858" s="18" t="s">
        <v>1589</v>
      </c>
      <c r="L858" s="18" t="s">
        <v>984</v>
      </c>
      <c r="M858" s="18" t="s">
        <v>391</v>
      </c>
      <c r="N858" s="18" t="s">
        <v>1642</v>
      </c>
      <c r="O858">
        <v>30</v>
      </c>
    </row>
    <row r="859" spans="1:15" x14ac:dyDescent="0.25">
      <c r="A859" s="18" t="s">
        <v>7276</v>
      </c>
      <c r="B859" s="18" t="s">
        <v>1640</v>
      </c>
      <c r="C859" s="18" t="s">
        <v>1641</v>
      </c>
      <c r="D859" s="18" t="s">
        <v>1587</v>
      </c>
      <c r="E859" s="18" t="s">
        <v>5829</v>
      </c>
      <c r="F859" s="2">
        <f>+J859-I859</f>
        <v>30</v>
      </c>
      <c r="G859" s="2">
        <f ca="1">+TODAY()-I859</f>
        <v>30</v>
      </c>
      <c r="H859" s="15">
        <v>399710</v>
      </c>
      <c r="I859" s="1">
        <v>46090</v>
      </c>
      <c r="J859" s="1">
        <v>46120</v>
      </c>
      <c r="K859" s="18" t="s">
        <v>1589</v>
      </c>
      <c r="L859" s="18" t="s">
        <v>984</v>
      </c>
      <c r="M859" s="18" t="s">
        <v>391</v>
      </c>
      <c r="N859" s="18" t="s">
        <v>1642</v>
      </c>
      <c r="O859">
        <v>30</v>
      </c>
    </row>
    <row r="860" spans="1:15" x14ac:dyDescent="0.25">
      <c r="A860" s="18" t="s">
        <v>7276</v>
      </c>
      <c r="B860" s="18" t="s">
        <v>1640</v>
      </c>
      <c r="C860" s="18" t="s">
        <v>1641</v>
      </c>
      <c r="D860" s="18" t="s">
        <v>1587</v>
      </c>
      <c r="E860" s="18" t="s">
        <v>5830</v>
      </c>
      <c r="F860" s="2">
        <f>+J860-I860</f>
        <v>30</v>
      </c>
      <c r="G860" s="2">
        <f ca="1">+TODAY()-I860</f>
        <v>30</v>
      </c>
      <c r="H860" s="15">
        <v>601800</v>
      </c>
      <c r="I860" s="1">
        <v>46090</v>
      </c>
      <c r="J860" s="1">
        <v>46120</v>
      </c>
      <c r="K860" s="18" t="s">
        <v>1589</v>
      </c>
      <c r="L860" s="18" t="s">
        <v>984</v>
      </c>
      <c r="M860" s="18" t="s">
        <v>391</v>
      </c>
      <c r="N860" s="18" t="s">
        <v>1642</v>
      </c>
      <c r="O860">
        <v>30</v>
      </c>
    </row>
    <row r="861" spans="1:15" x14ac:dyDescent="0.25">
      <c r="A861" s="18" t="s">
        <v>7276</v>
      </c>
      <c r="B861" s="18" t="s">
        <v>1640</v>
      </c>
      <c r="C861" s="18" t="s">
        <v>1641</v>
      </c>
      <c r="D861" s="18" t="s">
        <v>1587</v>
      </c>
      <c r="E861" s="18" t="s">
        <v>5838</v>
      </c>
      <c r="F861" s="2">
        <f>+J861-I861</f>
        <v>30</v>
      </c>
      <c r="G861" s="2">
        <f ca="1">+TODAY()-I861</f>
        <v>29</v>
      </c>
      <c r="H861" s="15">
        <v>384455</v>
      </c>
      <c r="I861" s="1">
        <v>46091</v>
      </c>
      <c r="J861" s="1">
        <v>46121</v>
      </c>
      <c r="K861" s="18" t="s">
        <v>1589</v>
      </c>
      <c r="L861" s="18" t="s">
        <v>984</v>
      </c>
      <c r="M861" s="18" t="s">
        <v>391</v>
      </c>
      <c r="N861" s="18" t="s">
        <v>1642</v>
      </c>
      <c r="O861">
        <v>30</v>
      </c>
    </row>
    <row r="862" spans="1:15" x14ac:dyDescent="0.25">
      <c r="A862" s="18" t="s">
        <v>7276</v>
      </c>
      <c r="B862" s="18" t="s">
        <v>1640</v>
      </c>
      <c r="C862" s="18" t="s">
        <v>1641</v>
      </c>
      <c r="D862" s="18" t="s">
        <v>1587</v>
      </c>
      <c r="E862" s="18" t="s">
        <v>6086</v>
      </c>
      <c r="F862" s="2">
        <f>+J862-I862</f>
        <v>30</v>
      </c>
      <c r="G862" s="2">
        <f ca="1">+TODAY()-I862</f>
        <v>27</v>
      </c>
      <c r="H862" s="15">
        <v>502724</v>
      </c>
      <c r="I862" s="1">
        <v>46093</v>
      </c>
      <c r="J862" s="1">
        <v>46123</v>
      </c>
      <c r="K862" s="18" t="s">
        <v>1589</v>
      </c>
      <c r="L862" s="18" t="s">
        <v>984</v>
      </c>
      <c r="M862" s="18" t="s">
        <v>391</v>
      </c>
      <c r="N862" s="18" t="s">
        <v>1642</v>
      </c>
      <c r="O862">
        <v>30</v>
      </c>
    </row>
    <row r="863" spans="1:15" x14ac:dyDescent="0.25">
      <c r="A863" s="18" t="s">
        <v>7276</v>
      </c>
      <c r="B863" s="18" t="s">
        <v>1640</v>
      </c>
      <c r="C863" s="18" t="s">
        <v>1641</v>
      </c>
      <c r="D863" s="18" t="s">
        <v>1587</v>
      </c>
      <c r="E863" s="18" t="s">
        <v>6672</v>
      </c>
      <c r="F863" s="2">
        <f>+J863-I863</f>
        <v>30</v>
      </c>
      <c r="G863" s="2">
        <f ca="1">+TODAY()-I863</f>
        <v>14</v>
      </c>
      <c r="H863" s="15">
        <v>2057400</v>
      </c>
      <c r="I863" s="1">
        <v>46106</v>
      </c>
      <c r="J863" s="1">
        <v>46136</v>
      </c>
      <c r="K863" s="18" t="s">
        <v>1589</v>
      </c>
      <c r="L863" s="18" t="s">
        <v>984</v>
      </c>
      <c r="M863" s="18" t="s">
        <v>391</v>
      </c>
      <c r="N863" s="18" t="s">
        <v>1642</v>
      </c>
      <c r="O863">
        <v>30</v>
      </c>
    </row>
    <row r="864" spans="1:15" x14ac:dyDescent="0.25">
      <c r="A864" s="18" t="s">
        <v>7276</v>
      </c>
      <c r="B864" s="18" t="s">
        <v>1640</v>
      </c>
      <c r="C864" s="18" t="s">
        <v>1641</v>
      </c>
      <c r="D864" s="18" t="s">
        <v>1587</v>
      </c>
      <c r="E864" s="18" t="s">
        <v>6673</v>
      </c>
      <c r="F864" s="2">
        <f>+J864-I864</f>
        <v>30</v>
      </c>
      <c r="G864" s="2">
        <f ca="1">+TODAY()-I864</f>
        <v>14</v>
      </c>
      <c r="H864" s="15">
        <v>1024495</v>
      </c>
      <c r="I864" s="1">
        <v>46106</v>
      </c>
      <c r="J864" s="1">
        <v>46136</v>
      </c>
      <c r="K864" s="18" t="s">
        <v>1589</v>
      </c>
      <c r="L864" s="18" t="s">
        <v>984</v>
      </c>
      <c r="M864" s="18" t="s">
        <v>391</v>
      </c>
      <c r="N864" s="18" t="s">
        <v>1642</v>
      </c>
      <c r="O864">
        <v>30</v>
      </c>
    </row>
    <row r="865" spans="1:15" x14ac:dyDescent="0.25">
      <c r="A865" s="18" t="s">
        <v>7276</v>
      </c>
      <c r="B865" s="18" t="s">
        <v>1640</v>
      </c>
      <c r="C865" s="18" t="s">
        <v>1641</v>
      </c>
      <c r="D865" s="18" t="s">
        <v>1587</v>
      </c>
      <c r="E865" s="18" t="s">
        <v>6698</v>
      </c>
      <c r="F865" s="2">
        <f>+J865-I865</f>
        <v>30</v>
      </c>
      <c r="G865" s="2">
        <f ca="1">+TODAY()-I865</f>
        <v>13</v>
      </c>
      <c r="H865" s="15">
        <v>525320</v>
      </c>
      <c r="I865" s="1">
        <v>46107</v>
      </c>
      <c r="J865" s="1">
        <v>46137</v>
      </c>
      <c r="K865" s="18" t="s">
        <v>1589</v>
      </c>
      <c r="L865" s="18" t="s">
        <v>984</v>
      </c>
      <c r="M865" s="18" t="s">
        <v>391</v>
      </c>
      <c r="N865" s="18" t="s">
        <v>1642</v>
      </c>
      <c r="O865">
        <v>30</v>
      </c>
    </row>
    <row r="866" spans="1:15" x14ac:dyDescent="0.25">
      <c r="A866" s="18" t="s">
        <v>7276</v>
      </c>
      <c r="B866" s="18" t="s">
        <v>1640</v>
      </c>
      <c r="C866" s="18" t="s">
        <v>1641</v>
      </c>
      <c r="D866" s="18" t="s">
        <v>1587</v>
      </c>
      <c r="E866" s="18" t="s">
        <v>7595</v>
      </c>
      <c r="F866" s="2">
        <f>+J866-I866</f>
        <v>30</v>
      </c>
      <c r="G866" s="2">
        <f ca="1">+TODAY()-I866</f>
        <v>2</v>
      </c>
      <c r="H866" s="15">
        <v>1718327</v>
      </c>
      <c r="I866" s="1">
        <v>46118</v>
      </c>
      <c r="J866" s="1">
        <v>46148</v>
      </c>
      <c r="K866" s="18" t="s">
        <v>1589</v>
      </c>
      <c r="L866" s="18" t="s">
        <v>984</v>
      </c>
      <c r="M866" s="18" t="s">
        <v>391</v>
      </c>
      <c r="N866" s="18" t="s">
        <v>1642</v>
      </c>
      <c r="O866">
        <v>30</v>
      </c>
    </row>
    <row r="867" spans="1:15" x14ac:dyDescent="0.25">
      <c r="A867" s="18" t="s">
        <v>7276</v>
      </c>
      <c r="B867" s="18" t="s">
        <v>1640</v>
      </c>
      <c r="C867" s="18" t="s">
        <v>1641</v>
      </c>
      <c r="D867" s="18" t="s">
        <v>1587</v>
      </c>
      <c r="E867" s="18" t="s">
        <v>7596</v>
      </c>
      <c r="F867" s="2">
        <f>+J867-I867</f>
        <v>30</v>
      </c>
      <c r="G867" s="2">
        <f ca="1">+TODAY()-I867</f>
        <v>2</v>
      </c>
      <c r="H867" s="15">
        <v>56000</v>
      </c>
      <c r="I867" s="1">
        <v>46118</v>
      </c>
      <c r="J867" s="1">
        <v>46148</v>
      </c>
      <c r="K867" s="18" t="s">
        <v>1589</v>
      </c>
      <c r="L867" s="18" t="s">
        <v>984</v>
      </c>
      <c r="M867" s="18" t="s">
        <v>391</v>
      </c>
      <c r="N867" s="18" t="s">
        <v>1642</v>
      </c>
      <c r="O867">
        <v>30</v>
      </c>
    </row>
    <row r="868" spans="1:15" x14ac:dyDescent="0.25">
      <c r="A868" s="18" t="s">
        <v>7276</v>
      </c>
      <c r="B868" s="18" t="s">
        <v>171</v>
      </c>
      <c r="C868" s="18" t="s">
        <v>172</v>
      </c>
      <c r="D868" s="18" t="s">
        <v>15</v>
      </c>
      <c r="E868" s="18" t="s">
        <v>6188</v>
      </c>
      <c r="F868" s="2">
        <f>+J868-I868</f>
        <v>30</v>
      </c>
      <c r="G868" s="2">
        <f ca="1">+TODAY()-I868</f>
        <v>19</v>
      </c>
      <c r="H868" s="15">
        <v>814454</v>
      </c>
      <c r="I868" s="1">
        <v>46101</v>
      </c>
      <c r="J868" s="1">
        <v>46131</v>
      </c>
      <c r="K868" s="18" t="s">
        <v>17</v>
      </c>
      <c r="L868" s="18" t="s">
        <v>18</v>
      </c>
      <c r="M868" s="18" t="s">
        <v>19</v>
      </c>
      <c r="N868" s="18" t="s">
        <v>6147</v>
      </c>
      <c r="O868">
        <v>30</v>
      </c>
    </row>
    <row r="869" spans="1:15" x14ac:dyDescent="0.25">
      <c r="A869" s="18" t="s">
        <v>7276</v>
      </c>
      <c r="B869" s="18" t="s">
        <v>171</v>
      </c>
      <c r="C869" s="18" t="s">
        <v>172</v>
      </c>
      <c r="D869" s="18" t="s">
        <v>15</v>
      </c>
      <c r="E869" s="18" t="s">
        <v>5658</v>
      </c>
      <c r="F869" s="2">
        <f>+J869-I869</f>
        <v>30</v>
      </c>
      <c r="G869" s="2">
        <f ca="1">+TODAY()-I869</f>
        <v>32</v>
      </c>
      <c r="H869" s="15">
        <v>761968</v>
      </c>
      <c r="I869" s="1">
        <v>46088</v>
      </c>
      <c r="J869" s="1">
        <v>46118</v>
      </c>
      <c r="K869" s="18" t="s">
        <v>17</v>
      </c>
      <c r="L869" s="18" t="s">
        <v>18</v>
      </c>
      <c r="M869" s="18" t="s">
        <v>19</v>
      </c>
      <c r="N869" s="18" t="s">
        <v>6147</v>
      </c>
      <c r="O869">
        <v>30</v>
      </c>
    </row>
    <row r="870" spans="1:15" x14ac:dyDescent="0.25">
      <c r="A870" s="18" t="s">
        <v>7276</v>
      </c>
      <c r="B870" s="18" t="s">
        <v>5741</v>
      </c>
      <c r="C870" s="18" t="s">
        <v>5742</v>
      </c>
      <c r="D870" s="18" t="s">
        <v>1118</v>
      </c>
      <c r="E870" s="18" t="s">
        <v>5743</v>
      </c>
      <c r="F870" s="2">
        <f>+J870-I870</f>
        <v>30</v>
      </c>
      <c r="G870" s="2">
        <f ca="1">+TODAY()-I870</f>
        <v>30</v>
      </c>
      <c r="H870" s="15">
        <v>685321</v>
      </c>
      <c r="I870" s="1">
        <v>46090</v>
      </c>
      <c r="J870" s="1">
        <v>46120</v>
      </c>
      <c r="K870" s="18" t="s">
        <v>1144</v>
      </c>
      <c r="L870" s="18" t="s">
        <v>207</v>
      </c>
      <c r="M870" s="18" t="s">
        <v>19</v>
      </c>
      <c r="N870" s="18" t="s">
        <v>5744</v>
      </c>
      <c r="O870">
        <v>30</v>
      </c>
    </row>
    <row r="871" spans="1:15" x14ac:dyDescent="0.25">
      <c r="A871" s="18" t="s">
        <v>7276</v>
      </c>
      <c r="B871" s="18" t="s">
        <v>1164</v>
      </c>
      <c r="C871" s="18" t="s">
        <v>1165</v>
      </c>
      <c r="D871" s="18" t="s">
        <v>1118</v>
      </c>
      <c r="E871" s="18" t="s">
        <v>5263</v>
      </c>
      <c r="F871" s="2">
        <f>+J871-I871</f>
        <v>30</v>
      </c>
      <c r="G871" s="2">
        <f ca="1">+TODAY()-I871</f>
        <v>44</v>
      </c>
      <c r="H871" s="15">
        <v>768466</v>
      </c>
      <c r="I871" s="1">
        <v>46076</v>
      </c>
      <c r="J871" s="1">
        <v>46106</v>
      </c>
      <c r="K871" s="18" t="s">
        <v>1144</v>
      </c>
      <c r="L871" s="18" t="s">
        <v>207</v>
      </c>
      <c r="M871" s="18" t="s">
        <v>19</v>
      </c>
      <c r="N871" s="18" t="s">
        <v>1166</v>
      </c>
      <c r="O871">
        <v>30</v>
      </c>
    </row>
    <row r="872" spans="1:15" x14ac:dyDescent="0.25">
      <c r="A872" s="18" t="s">
        <v>7276</v>
      </c>
      <c r="B872" s="18" t="s">
        <v>1164</v>
      </c>
      <c r="C872" s="18" t="s">
        <v>1165</v>
      </c>
      <c r="D872" s="18" t="s">
        <v>1118</v>
      </c>
      <c r="E872" s="18" t="s">
        <v>7550</v>
      </c>
      <c r="F872" s="2">
        <f>+J872-I872</f>
        <v>30</v>
      </c>
      <c r="G872" s="2">
        <f ca="1">+TODAY()-I872</f>
        <v>2</v>
      </c>
      <c r="H872" s="15">
        <v>1595304</v>
      </c>
      <c r="I872" s="1">
        <v>46118</v>
      </c>
      <c r="J872" s="1">
        <v>46148</v>
      </c>
      <c r="K872" s="18" t="s">
        <v>1144</v>
      </c>
      <c r="L872" s="18" t="s">
        <v>207</v>
      </c>
      <c r="M872" s="18" t="s">
        <v>19</v>
      </c>
      <c r="N872" s="18" t="s">
        <v>1166</v>
      </c>
      <c r="O872">
        <v>30</v>
      </c>
    </row>
    <row r="873" spans="1:15" x14ac:dyDescent="0.25">
      <c r="A873" s="18" t="s">
        <v>7276</v>
      </c>
      <c r="B873" s="18" t="s">
        <v>7542</v>
      </c>
      <c r="C873" s="18" t="s">
        <v>7543</v>
      </c>
      <c r="D873" s="18" t="s">
        <v>1118</v>
      </c>
      <c r="E873" s="18" t="s">
        <v>7544</v>
      </c>
      <c r="F873" s="2">
        <f>+J873-I873</f>
        <v>30</v>
      </c>
      <c r="G873" s="2">
        <f ca="1">+TODAY()-I873</f>
        <v>2</v>
      </c>
      <c r="H873" s="15">
        <v>1203963</v>
      </c>
      <c r="I873" s="1">
        <v>46118</v>
      </c>
      <c r="J873" s="1">
        <v>46148</v>
      </c>
      <c r="K873" s="18" t="s">
        <v>1144</v>
      </c>
      <c r="L873" s="18" t="s">
        <v>207</v>
      </c>
      <c r="M873" s="18" t="s">
        <v>19</v>
      </c>
      <c r="N873" s="18" t="s">
        <v>7545</v>
      </c>
      <c r="O873">
        <v>30</v>
      </c>
    </row>
    <row r="874" spans="1:15" x14ac:dyDescent="0.25">
      <c r="A874" s="18" t="s">
        <v>7276</v>
      </c>
      <c r="B874" s="18" t="s">
        <v>1729</v>
      </c>
      <c r="C874" s="18" t="s">
        <v>1730</v>
      </c>
      <c r="D874" s="18" t="s">
        <v>1705</v>
      </c>
      <c r="E874" s="18" t="s">
        <v>1731</v>
      </c>
      <c r="F874" s="2">
        <f>+J874-I874</f>
        <v>30</v>
      </c>
      <c r="G874" s="2">
        <f ca="1">+TODAY()-I874</f>
        <v>1392</v>
      </c>
      <c r="H874" s="15">
        <v>1904346</v>
      </c>
      <c r="I874" s="1">
        <v>44728</v>
      </c>
      <c r="J874" s="1">
        <v>44758</v>
      </c>
      <c r="K874" s="18" t="s">
        <v>1706</v>
      </c>
      <c r="L874" s="18" t="s">
        <v>90</v>
      </c>
      <c r="M874" s="18" t="s">
        <v>19</v>
      </c>
      <c r="N874" s="18" t="s">
        <v>1732</v>
      </c>
      <c r="O874">
        <v>1</v>
      </c>
    </row>
    <row r="875" spans="1:15" x14ac:dyDescent="0.25">
      <c r="A875" s="18" t="s">
        <v>7276</v>
      </c>
      <c r="B875" s="18" t="s">
        <v>1729</v>
      </c>
      <c r="C875" s="18" t="s">
        <v>1730</v>
      </c>
      <c r="D875" s="18" t="s">
        <v>1705</v>
      </c>
      <c r="E875" s="18" t="s">
        <v>1733</v>
      </c>
      <c r="F875" s="2">
        <f>+J875-I875</f>
        <v>30</v>
      </c>
      <c r="G875" s="2">
        <f ca="1">+TODAY()-I875</f>
        <v>1392</v>
      </c>
      <c r="H875" s="15">
        <v>414437</v>
      </c>
      <c r="I875" s="1">
        <v>44728</v>
      </c>
      <c r="J875" s="1">
        <v>44758</v>
      </c>
      <c r="K875" s="18" t="s">
        <v>1706</v>
      </c>
      <c r="L875" s="18" t="s">
        <v>90</v>
      </c>
      <c r="M875" s="18" t="s">
        <v>19</v>
      </c>
      <c r="N875" s="18" t="s">
        <v>1732</v>
      </c>
      <c r="O875">
        <v>1</v>
      </c>
    </row>
    <row r="876" spans="1:15" x14ac:dyDescent="0.25">
      <c r="A876" s="18" t="s">
        <v>7276</v>
      </c>
      <c r="B876" s="18" t="s">
        <v>2303</v>
      </c>
      <c r="C876" s="18" t="s">
        <v>2304</v>
      </c>
      <c r="D876" s="18" t="s">
        <v>46</v>
      </c>
      <c r="E876" s="18" t="s">
        <v>6901</v>
      </c>
      <c r="F876" s="2">
        <f>+J876-I876</f>
        <v>1</v>
      </c>
      <c r="G876" s="2">
        <f ca="1">+TODAY()-I876</f>
        <v>8</v>
      </c>
      <c r="H876" s="15">
        <v>91169</v>
      </c>
      <c r="I876" s="1">
        <v>46112</v>
      </c>
      <c r="J876" s="1">
        <v>46113</v>
      </c>
      <c r="K876" s="18" t="s">
        <v>17</v>
      </c>
      <c r="L876" s="18" t="s">
        <v>317</v>
      </c>
      <c r="M876" s="18" t="s">
        <v>19</v>
      </c>
      <c r="N876" s="18" t="s">
        <v>2305</v>
      </c>
      <c r="O876">
        <v>30</v>
      </c>
    </row>
    <row r="877" spans="1:15" x14ac:dyDescent="0.25">
      <c r="A877" s="18" t="s">
        <v>7276</v>
      </c>
      <c r="B877" s="18" t="s">
        <v>165</v>
      </c>
      <c r="C877" s="18" t="s">
        <v>166</v>
      </c>
      <c r="D877" s="18" t="s">
        <v>15</v>
      </c>
      <c r="E877" s="18" t="s">
        <v>5899</v>
      </c>
      <c r="F877" s="2">
        <f>+J877-I877</f>
        <v>30</v>
      </c>
      <c r="G877" s="2">
        <f ca="1">+TODAY()-I877</f>
        <v>25</v>
      </c>
      <c r="H877" s="15">
        <v>563709</v>
      </c>
      <c r="I877" s="1">
        <v>46095</v>
      </c>
      <c r="J877" s="1">
        <v>46125</v>
      </c>
      <c r="K877" s="18" t="s">
        <v>17</v>
      </c>
      <c r="L877" s="18" t="s">
        <v>32</v>
      </c>
      <c r="M877" s="18" t="s">
        <v>19</v>
      </c>
      <c r="N877" s="18" t="s">
        <v>167</v>
      </c>
      <c r="O877">
        <v>30</v>
      </c>
    </row>
    <row r="878" spans="1:15" x14ac:dyDescent="0.25">
      <c r="A878" s="18" t="s">
        <v>7276</v>
      </c>
      <c r="B878" s="18" t="s">
        <v>165</v>
      </c>
      <c r="C878" s="18" t="s">
        <v>166</v>
      </c>
      <c r="D878" s="18" t="s">
        <v>15</v>
      </c>
      <c r="E878" s="18" t="s">
        <v>6398</v>
      </c>
      <c r="F878" s="2">
        <f>+J878-I878</f>
        <v>10</v>
      </c>
      <c r="G878" s="2">
        <f ca="1">+TODAY()-I878</f>
        <v>14</v>
      </c>
      <c r="H878" s="15">
        <v>420000</v>
      </c>
      <c r="I878" s="1">
        <v>46106</v>
      </c>
      <c r="J878" s="1">
        <v>46116</v>
      </c>
      <c r="K878" s="18" t="s">
        <v>17</v>
      </c>
      <c r="L878" s="18" t="s">
        <v>32</v>
      </c>
      <c r="M878" s="18" t="s">
        <v>19</v>
      </c>
      <c r="N878" s="18" t="s">
        <v>167</v>
      </c>
      <c r="O878">
        <v>30</v>
      </c>
    </row>
    <row r="879" spans="1:15" x14ac:dyDescent="0.25">
      <c r="A879" s="18" t="s">
        <v>7276</v>
      </c>
      <c r="B879" s="18" t="s">
        <v>654</v>
      </c>
      <c r="C879" s="18" t="s">
        <v>655</v>
      </c>
      <c r="D879" s="18" t="s">
        <v>642</v>
      </c>
      <c r="E879" s="18" t="s">
        <v>5511</v>
      </c>
      <c r="F879" s="2">
        <f>+J879-I879</f>
        <v>30</v>
      </c>
      <c r="G879" s="2">
        <f ca="1">+TODAY()-I879</f>
        <v>34</v>
      </c>
      <c r="H879" s="15">
        <v>1681091</v>
      </c>
      <c r="I879" s="1">
        <v>46086</v>
      </c>
      <c r="J879" s="1">
        <v>46116</v>
      </c>
      <c r="K879" s="18" t="s">
        <v>17</v>
      </c>
      <c r="L879" s="18" t="s">
        <v>18</v>
      </c>
      <c r="M879" s="18" t="s">
        <v>19</v>
      </c>
      <c r="N879" s="18" t="s">
        <v>656</v>
      </c>
      <c r="O879">
        <v>30</v>
      </c>
    </row>
    <row r="880" spans="1:15" x14ac:dyDescent="0.25">
      <c r="A880" s="18" t="s">
        <v>7276</v>
      </c>
      <c r="B880" s="18" t="s">
        <v>654</v>
      </c>
      <c r="C880" s="18" t="s">
        <v>655</v>
      </c>
      <c r="D880" s="18" t="s">
        <v>642</v>
      </c>
      <c r="E880" s="18" t="s">
        <v>5536</v>
      </c>
      <c r="F880" s="2">
        <f>+J880-I880</f>
        <v>30</v>
      </c>
      <c r="G880" s="2">
        <f ca="1">+TODAY()-I880</f>
        <v>34</v>
      </c>
      <c r="H880" s="15">
        <v>2919000</v>
      </c>
      <c r="I880" s="1">
        <v>46086</v>
      </c>
      <c r="J880" s="1">
        <v>46116</v>
      </c>
      <c r="K880" s="18" t="s">
        <v>638</v>
      </c>
      <c r="L880" s="18" t="s">
        <v>18</v>
      </c>
      <c r="M880" s="18" t="s">
        <v>19</v>
      </c>
      <c r="N880" s="18" t="s">
        <v>656</v>
      </c>
      <c r="O880">
        <v>30</v>
      </c>
    </row>
    <row r="881" spans="1:15" x14ac:dyDescent="0.25">
      <c r="A881" s="18" t="s">
        <v>7276</v>
      </c>
      <c r="B881" s="18" t="s">
        <v>654</v>
      </c>
      <c r="C881" s="18" t="s">
        <v>655</v>
      </c>
      <c r="D881" s="18" t="s">
        <v>642</v>
      </c>
      <c r="E881" s="18" t="s">
        <v>6215</v>
      </c>
      <c r="F881" s="2">
        <f>+J881-I881</f>
        <v>30</v>
      </c>
      <c r="G881" s="2">
        <f ca="1">+TODAY()-I881</f>
        <v>21</v>
      </c>
      <c r="H881" s="15">
        <v>718502</v>
      </c>
      <c r="I881" s="1">
        <v>46099</v>
      </c>
      <c r="J881" s="1">
        <v>46129</v>
      </c>
      <c r="K881" s="18" t="s">
        <v>638</v>
      </c>
      <c r="L881" s="18" t="s">
        <v>18</v>
      </c>
      <c r="M881" s="18" t="s">
        <v>19</v>
      </c>
      <c r="N881" s="18" t="s">
        <v>656</v>
      </c>
      <c r="O881">
        <v>30</v>
      </c>
    </row>
    <row r="882" spans="1:15" x14ac:dyDescent="0.25">
      <c r="A882" s="18" t="s">
        <v>7276</v>
      </c>
      <c r="B882" s="18" t="s">
        <v>654</v>
      </c>
      <c r="C882" s="18" t="s">
        <v>655</v>
      </c>
      <c r="D882" s="18" t="s">
        <v>642</v>
      </c>
      <c r="E882" s="18" t="s">
        <v>6216</v>
      </c>
      <c r="F882" s="2">
        <f>+J882-I882</f>
        <v>30</v>
      </c>
      <c r="G882" s="2">
        <f ca="1">+TODAY()-I882</f>
        <v>21</v>
      </c>
      <c r="H882" s="15">
        <v>2100000</v>
      </c>
      <c r="I882" s="1">
        <v>46099</v>
      </c>
      <c r="J882" s="1">
        <v>46129</v>
      </c>
      <c r="K882" s="18" t="s">
        <v>638</v>
      </c>
      <c r="L882" s="18" t="s">
        <v>18</v>
      </c>
      <c r="M882" s="18" t="s">
        <v>19</v>
      </c>
      <c r="N882" s="18" t="s">
        <v>656</v>
      </c>
      <c r="O882">
        <v>30</v>
      </c>
    </row>
    <row r="883" spans="1:15" x14ac:dyDescent="0.25">
      <c r="A883" s="18" t="s">
        <v>7276</v>
      </c>
      <c r="B883" s="18" t="s">
        <v>654</v>
      </c>
      <c r="C883" s="18" t="s">
        <v>655</v>
      </c>
      <c r="D883" s="18" t="s">
        <v>642</v>
      </c>
      <c r="E883" s="18" t="s">
        <v>6954</v>
      </c>
      <c r="F883" s="2">
        <f>+J883-I883</f>
        <v>30</v>
      </c>
      <c r="G883" s="2">
        <f ca="1">+TODAY()-I883</f>
        <v>9</v>
      </c>
      <c r="H883" s="15">
        <v>1720309</v>
      </c>
      <c r="I883" s="1">
        <v>46111</v>
      </c>
      <c r="J883" s="1">
        <v>46141</v>
      </c>
      <c r="K883" s="18" t="s">
        <v>638</v>
      </c>
      <c r="L883" s="18" t="s">
        <v>18</v>
      </c>
      <c r="M883" s="18" t="s">
        <v>19</v>
      </c>
      <c r="N883" s="18" t="s">
        <v>656</v>
      </c>
      <c r="O883">
        <v>30</v>
      </c>
    </row>
    <row r="884" spans="1:15" x14ac:dyDescent="0.25">
      <c r="A884" s="18" t="s">
        <v>7276</v>
      </c>
      <c r="B884" s="18" t="s">
        <v>654</v>
      </c>
      <c r="C884" s="18" t="s">
        <v>655</v>
      </c>
      <c r="D884" s="18" t="s">
        <v>642</v>
      </c>
      <c r="E884" s="18" t="s">
        <v>6955</v>
      </c>
      <c r="F884" s="2">
        <f>+J884-I884</f>
        <v>30</v>
      </c>
      <c r="G884" s="2">
        <f ca="1">+TODAY()-I884</f>
        <v>9</v>
      </c>
      <c r="H884" s="15">
        <v>3912559</v>
      </c>
      <c r="I884" s="1">
        <v>46111</v>
      </c>
      <c r="J884" s="1">
        <v>46141</v>
      </c>
      <c r="K884" s="18" t="s">
        <v>638</v>
      </c>
      <c r="L884" s="18" t="s">
        <v>18</v>
      </c>
      <c r="M884" s="18" t="s">
        <v>19</v>
      </c>
      <c r="N884" s="18" t="s">
        <v>656</v>
      </c>
      <c r="O884">
        <v>30</v>
      </c>
    </row>
    <row r="885" spans="1:15" x14ac:dyDescent="0.25">
      <c r="A885" s="18" t="s">
        <v>7276</v>
      </c>
      <c r="B885" s="18" t="s">
        <v>720</v>
      </c>
      <c r="C885" s="18" t="s">
        <v>721</v>
      </c>
      <c r="D885" s="18" t="s">
        <v>666</v>
      </c>
      <c r="E885" s="18" t="s">
        <v>6224</v>
      </c>
      <c r="F885" s="2">
        <f>+J885-I885</f>
        <v>30</v>
      </c>
      <c r="G885" s="2">
        <f ca="1">+TODAY()-I885</f>
        <v>22</v>
      </c>
      <c r="H885" s="15">
        <v>6800000</v>
      </c>
      <c r="I885" s="1">
        <v>46098</v>
      </c>
      <c r="J885" s="1">
        <v>46128</v>
      </c>
      <c r="K885" s="18" t="s">
        <v>716</v>
      </c>
      <c r="L885" s="18" t="s">
        <v>18</v>
      </c>
      <c r="M885" s="18" t="s">
        <v>19</v>
      </c>
      <c r="N885" s="18" t="s">
        <v>6221</v>
      </c>
      <c r="O885">
        <v>30</v>
      </c>
    </row>
    <row r="886" spans="1:15" x14ac:dyDescent="0.25">
      <c r="A886" s="18" t="s">
        <v>7276</v>
      </c>
      <c r="B886" s="18" t="s">
        <v>720</v>
      </c>
      <c r="C886" s="18" t="s">
        <v>721</v>
      </c>
      <c r="D886" s="18" t="s">
        <v>666</v>
      </c>
      <c r="E886" s="18" t="s">
        <v>6225</v>
      </c>
      <c r="F886" s="2">
        <f>+J886-I886</f>
        <v>30</v>
      </c>
      <c r="G886" s="2">
        <f ca="1">+TODAY()-I886</f>
        <v>22</v>
      </c>
      <c r="H886" s="15">
        <v>3699999</v>
      </c>
      <c r="I886" s="1">
        <v>46098</v>
      </c>
      <c r="J886" s="1">
        <v>46128</v>
      </c>
      <c r="K886" s="18" t="s">
        <v>716</v>
      </c>
      <c r="L886" s="18" t="s">
        <v>18</v>
      </c>
      <c r="M886" s="18" t="s">
        <v>19</v>
      </c>
      <c r="N886" s="18" t="s">
        <v>6221</v>
      </c>
      <c r="O886">
        <v>30</v>
      </c>
    </row>
    <row r="887" spans="1:15" x14ac:dyDescent="0.25">
      <c r="A887" s="18" t="s">
        <v>7276</v>
      </c>
      <c r="B887" s="18" t="s">
        <v>720</v>
      </c>
      <c r="C887" s="18" t="s">
        <v>721</v>
      </c>
      <c r="D887" s="18" t="s">
        <v>666</v>
      </c>
      <c r="E887" s="18" t="s">
        <v>6226</v>
      </c>
      <c r="F887" s="2">
        <f>+J887-I887</f>
        <v>30</v>
      </c>
      <c r="G887" s="2">
        <f ca="1">+TODAY()-I887</f>
        <v>22</v>
      </c>
      <c r="H887" s="15">
        <v>4093164</v>
      </c>
      <c r="I887" s="1">
        <v>46098</v>
      </c>
      <c r="J887" s="1">
        <v>46128</v>
      </c>
      <c r="K887" s="18" t="s">
        <v>716</v>
      </c>
      <c r="L887" s="18" t="s">
        <v>18</v>
      </c>
      <c r="M887" s="18" t="s">
        <v>19</v>
      </c>
      <c r="N887" s="18" t="s">
        <v>6221</v>
      </c>
      <c r="O887">
        <v>30</v>
      </c>
    </row>
    <row r="888" spans="1:15" x14ac:dyDescent="0.25">
      <c r="A888" s="18" t="s">
        <v>7276</v>
      </c>
      <c r="B888" s="18" t="s">
        <v>720</v>
      </c>
      <c r="C888" s="18" t="s">
        <v>721</v>
      </c>
      <c r="D888" s="18" t="s">
        <v>666</v>
      </c>
      <c r="E888" s="18" t="s">
        <v>6969</v>
      </c>
      <c r="F888" s="2">
        <f>+J888-I888</f>
        <v>30</v>
      </c>
      <c r="G888" s="2">
        <f ca="1">+TODAY()-I888</f>
        <v>9</v>
      </c>
      <c r="H888" s="15">
        <v>1045998</v>
      </c>
      <c r="I888" s="1">
        <v>46111</v>
      </c>
      <c r="J888" s="1">
        <v>46141</v>
      </c>
      <c r="K888" s="18" t="s">
        <v>716</v>
      </c>
      <c r="L888" s="18" t="s">
        <v>18</v>
      </c>
      <c r="M888" s="18" t="s">
        <v>19</v>
      </c>
      <c r="N888" s="18" t="s">
        <v>6221</v>
      </c>
      <c r="O888">
        <v>30</v>
      </c>
    </row>
    <row r="889" spans="1:15" x14ac:dyDescent="0.25">
      <c r="A889" s="18" t="s">
        <v>7276</v>
      </c>
      <c r="B889" s="18" t="s">
        <v>720</v>
      </c>
      <c r="C889" s="18" t="s">
        <v>721</v>
      </c>
      <c r="D889" s="18" t="s">
        <v>666</v>
      </c>
      <c r="E889" s="18" t="s">
        <v>6970</v>
      </c>
      <c r="F889" s="2">
        <f>+J889-I889</f>
        <v>30</v>
      </c>
      <c r="G889" s="2">
        <f ca="1">+TODAY()-I889</f>
        <v>9</v>
      </c>
      <c r="H889" s="15">
        <v>453302</v>
      </c>
      <c r="I889" s="1">
        <v>46111</v>
      </c>
      <c r="J889" s="1">
        <v>46141</v>
      </c>
      <c r="K889" s="18" t="s">
        <v>716</v>
      </c>
      <c r="L889" s="18" t="s">
        <v>117</v>
      </c>
      <c r="M889" s="18" t="s">
        <v>19</v>
      </c>
      <c r="N889" s="18" t="s">
        <v>6221</v>
      </c>
      <c r="O889">
        <v>30</v>
      </c>
    </row>
    <row r="890" spans="1:15" x14ac:dyDescent="0.25">
      <c r="A890" s="18" t="s">
        <v>7276</v>
      </c>
      <c r="B890" s="18" t="s">
        <v>5164</v>
      </c>
      <c r="C890" s="18" t="s">
        <v>5165</v>
      </c>
      <c r="D890" s="18" t="s">
        <v>1705</v>
      </c>
      <c r="E890" s="18" t="s">
        <v>6118</v>
      </c>
      <c r="F890" s="2">
        <f>+J890-I890</f>
        <v>15</v>
      </c>
      <c r="G890" s="2">
        <f ca="1">+TODAY()-I890</f>
        <v>26</v>
      </c>
      <c r="H890" s="15">
        <v>213786</v>
      </c>
      <c r="I890" s="1">
        <v>46094</v>
      </c>
      <c r="J890" s="1">
        <v>46109</v>
      </c>
      <c r="K890" s="18" t="s">
        <v>1706</v>
      </c>
      <c r="L890" s="18" t="s">
        <v>90</v>
      </c>
      <c r="M890" s="18" t="s">
        <v>19</v>
      </c>
      <c r="N890" s="18" t="s">
        <v>5166</v>
      </c>
      <c r="O890">
        <v>1</v>
      </c>
    </row>
    <row r="891" spans="1:15" x14ac:dyDescent="0.25">
      <c r="A891" s="18" t="s">
        <v>7276</v>
      </c>
      <c r="B891" s="18" t="s">
        <v>5164</v>
      </c>
      <c r="C891" s="18" t="s">
        <v>5165</v>
      </c>
      <c r="D891" s="18" t="s">
        <v>1705</v>
      </c>
      <c r="E891" s="18" t="s">
        <v>6119</v>
      </c>
      <c r="F891" s="2">
        <f>+J891-I891</f>
        <v>15</v>
      </c>
      <c r="G891" s="2">
        <f ca="1">+TODAY()-I891</f>
        <v>26</v>
      </c>
      <c r="H891" s="15">
        <v>8596040</v>
      </c>
      <c r="I891" s="1">
        <v>46094</v>
      </c>
      <c r="J891" s="1">
        <v>46109</v>
      </c>
      <c r="K891" s="18" t="s">
        <v>1706</v>
      </c>
      <c r="L891" s="18" t="s">
        <v>90</v>
      </c>
      <c r="M891" s="18" t="s">
        <v>19</v>
      </c>
      <c r="N891" s="18" t="s">
        <v>5166</v>
      </c>
      <c r="O891">
        <v>1</v>
      </c>
    </row>
    <row r="892" spans="1:15" x14ac:dyDescent="0.25">
      <c r="A892" s="18" t="s">
        <v>7276</v>
      </c>
      <c r="B892" s="18" t="s">
        <v>1534</v>
      </c>
      <c r="C892" s="18" t="s">
        <v>1535</v>
      </c>
      <c r="D892" s="18" t="s">
        <v>1527</v>
      </c>
      <c r="E892" s="18" t="s">
        <v>5142</v>
      </c>
      <c r="F892" s="2">
        <f>+J892-I892</f>
        <v>30</v>
      </c>
      <c r="G892" s="2">
        <f ca="1">+TODAY()-I892</f>
        <v>55</v>
      </c>
      <c r="H892" s="15">
        <v>6000000</v>
      </c>
      <c r="I892" s="1">
        <v>46065</v>
      </c>
      <c r="J892" s="1">
        <v>46095</v>
      </c>
      <c r="K892" s="18" t="s">
        <v>1528</v>
      </c>
      <c r="L892" s="18" t="s">
        <v>207</v>
      </c>
      <c r="M892" s="18" t="s">
        <v>19</v>
      </c>
      <c r="N892" s="18" t="s">
        <v>1536</v>
      </c>
      <c r="O892">
        <v>30</v>
      </c>
    </row>
    <row r="893" spans="1:15" x14ac:dyDescent="0.25">
      <c r="A893" s="18" t="s">
        <v>7276</v>
      </c>
      <c r="B893" s="18" t="s">
        <v>1534</v>
      </c>
      <c r="C893" s="18" t="s">
        <v>1535</v>
      </c>
      <c r="D893" s="18" t="s">
        <v>1527</v>
      </c>
      <c r="E893" s="18" t="s">
        <v>5307</v>
      </c>
      <c r="F893" s="2">
        <f>+J893-I893</f>
        <v>30</v>
      </c>
      <c r="G893" s="2">
        <f ca="1">+TODAY()-I893</f>
        <v>41</v>
      </c>
      <c r="H893" s="15">
        <v>725307</v>
      </c>
      <c r="I893" s="1">
        <v>46079</v>
      </c>
      <c r="J893" s="1">
        <v>46109</v>
      </c>
      <c r="K893" s="18" t="s">
        <v>1528</v>
      </c>
      <c r="L893" s="18" t="s">
        <v>207</v>
      </c>
      <c r="M893" s="18" t="s">
        <v>19</v>
      </c>
      <c r="N893" s="18" t="s">
        <v>1536</v>
      </c>
      <c r="O893">
        <v>30</v>
      </c>
    </row>
    <row r="894" spans="1:15" x14ac:dyDescent="0.25">
      <c r="A894" s="18" t="s">
        <v>7276</v>
      </c>
      <c r="B894" s="18" t="s">
        <v>1534</v>
      </c>
      <c r="C894" s="18" t="s">
        <v>1535</v>
      </c>
      <c r="D894" s="18" t="s">
        <v>1527</v>
      </c>
      <c r="E894" s="18" t="s">
        <v>5308</v>
      </c>
      <c r="F894" s="2">
        <f>+J894-I894</f>
        <v>30</v>
      </c>
      <c r="G894" s="2">
        <f ca="1">+TODAY()-I894</f>
        <v>41</v>
      </c>
      <c r="H894" s="15">
        <v>10460707</v>
      </c>
      <c r="I894" s="1">
        <v>46079</v>
      </c>
      <c r="J894" s="1">
        <v>46109</v>
      </c>
      <c r="K894" s="18" t="s">
        <v>1528</v>
      </c>
      <c r="L894" s="18" t="s">
        <v>207</v>
      </c>
      <c r="M894" s="18" t="s">
        <v>19</v>
      </c>
      <c r="N894" s="18" t="s">
        <v>1536</v>
      </c>
      <c r="O894">
        <v>30</v>
      </c>
    </row>
    <row r="895" spans="1:15" x14ac:dyDescent="0.25">
      <c r="A895" s="18" t="s">
        <v>7276</v>
      </c>
      <c r="B895" s="18" t="s">
        <v>1534</v>
      </c>
      <c r="C895" s="18" t="s">
        <v>1535</v>
      </c>
      <c r="D895" s="18" t="s">
        <v>1527</v>
      </c>
      <c r="E895" s="18" t="s">
        <v>6064</v>
      </c>
      <c r="F895" s="2">
        <f>+J895-I895</f>
        <v>30</v>
      </c>
      <c r="G895" s="2">
        <f ca="1">+TODAY()-I895</f>
        <v>27</v>
      </c>
      <c r="H895" s="15">
        <v>2900467</v>
      </c>
      <c r="I895" s="1">
        <v>46093</v>
      </c>
      <c r="J895" s="1">
        <v>46123</v>
      </c>
      <c r="K895" s="18" t="s">
        <v>1528</v>
      </c>
      <c r="L895" s="18" t="s">
        <v>207</v>
      </c>
      <c r="M895" s="18" t="s">
        <v>19</v>
      </c>
      <c r="N895" s="18" t="s">
        <v>1536</v>
      </c>
      <c r="O895">
        <v>30</v>
      </c>
    </row>
    <row r="896" spans="1:15" x14ac:dyDescent="0.25">
      <c r="A896" s="18" t="s">
        <v>7276</v>
      </c>
      <c r="B896" s="18" t="s">
        <v>1534</v>
      </c>
      <c r="C896" s="18" t="s">
        <v>1535</v>
      </c>
      <c r="D896" s="18" t="s">
        <v>1527</v>
      </c>
      <c r="E896" s="18" t="s">
        <v>6065</v>
      </c>
      <c r="F896" s="2">
        <f>+J896-I896</f>
        <v>30</v>
      </c>
      <c r="G896" s="2">
        <f ca="1">+TODAY()-I896</f>
        <v>27</v>
      </c>
      <c r="H896" s="15">
        <v>2021700</v>
      </c>
      <c r="I896" s="1">
        <v>46093</v>
      </c>
      <c r="J896" s="1">
        <v>46123</v>
      </c>
      <c r="K896" s="18" t="s">
        <v>1528</v>
      </c>
      <c r="L896" s="18" t="s">
        <v>207</v>
      </c>
      <c r="M896" s="18" t="s">
        <v>19</v>
      </c>
      <c r="N896" s="18" t="s">
        <v>1536</v>
      </c>
      <c r="O896">
        <v>30</v>
      </c>
    </row>
    <row r="897" spans="1:15" x14ac:dyDescent="0.25">
      <c r="A897" s="18" t="s">
        <v>7276</v>
      </c>
      <c r="B897" s="18" t="s">
        <v>1534</v>
      </c>
      <c r="C897" s="18" t="s">
        <v>1535</v>
      </c>
      <c r="D897" s="18" t="s">
        <v>1527</v>
      </c>
      <c r="E897" s="18" t="s">
        <v>6066</v>
      </c>
      <c r="F897" s="2">
        <f>+J897-I897</f>
        <v>30</v>
      </c>
      <c r="G897" s="2">
        <f ca="1">+TODAY()-I897</f>
        <v>27</v>
      </c>
      <c r="H897" s="15">
        <v>1</v>
      </c>
      <c r="I897" s="1">
        <v>46093</v>
      </c>
      <c r="J897" s="1">
        <v>46123</v>
      </c>
      <c r="K897" s="18" t="s">
        <v>1528</v>
      </c>
      <c r="L897" s="18" t="s">
        <v>207</v>
      </c>
      <c r="M897" s="18" t="s">
        <v>19</v>
      </c>
      <c r="N897" s="18" t="s">
        <v>1536</v>
      </c>
      <c r="O897">
        <v>30</v>
      </c>
    </row>
    <row r="898" spans="1:15" x14ac:dyDescent="0.25">
      <c r="A898" s="18" t="s">
        <v>7276</v>
      </c>
      <c r="B898" s="18" t="s">
        <v>1534</v>
      </c>
      <c r="C898" s="18" t="s">
        <v>1535</v>
      </c>
      <c r="D898" s="18" t="s">
        <v>1527</v>
      </c>
      <c r="E898" s="18" t="s">
        <v>6067</v>
      </c>
      <c r="F898" s="2">
        <f>+J898-I898</f>
        <v>30</v>
      </c>
      <c r="G898" s="2">
        <f ca="1">+TODAY()-I898</f>
        <v>27</v>
      </c>
      <c r="H898" s="15">
        <v>11979320</v>
      </c>
      <c r="I898" s="1">
        <v>46093</v>
      </c>
      <c r="J898" s="1">
        <v>46123</v>
      </c>
      <c r="K898" s="18" t="s">
        <v>1528</v>
      </c>
      <c r="L898" s="18" t="s">
        <v>207</v>
      </c>
      <c r="M898" s="18" t="s">
        <v>19</v>
      </c>
      <c r="N898" s="18" t="s">
        <v>1536</v>
      </c>
      <c r="O898">
        <v>30</v>
      </c>
    </row>
    <row r="899" spans="1:15" x14ac:dyDescent="0.25">
      <c r="A899" s="18" t="s">
        <v>7276</v>
      </c>
      <c r="B899" s="18" t="s">
        <v>1534</v>
      </c>
      <c r="C899" s="18" t="s">
        <v>1535</v>
      </c>
      <c r="D899" s="18" t="s">
        <v>1527</v>
      </c>
      <c r="E899" s="18" t="s">
        <v>6614</v>
      </c>
      <c r="F899" s="2">
        <f>+J899-I899</f>
        <v>30</v>
      </c>
      <c r="G899" s="2">
        <f ca="1">+TODAY()-I899</f>
        <v>13</v>
      </c>
      <c r="H899" s="15">
        <v>2365649</v>
      </c>
      <c r="I899" s="1">
        <v>46107</v>
      </c>
      <c r="J899" s="1">
        <v>46137</v>
      </c>
      <c r="K899" s="18" t="s">
        <v>1528</v>
      </c>
      <c r="L899" s="18" t="s">
        <v>207</v>
      </c>
      <c r="M899" s="18" t="s">
        <v>19</v>
      </c>
      <c r="N899" s="18" t="s">
        <v>1536</v>
      </c>
      <c r="O899">
        <v>30</v>
      </c>
    </row>
    <row r="900" spans="1:15" x14ac:dyDescent="0.25">
      <c r="A900" s="18" t="s">
        <v>7276</v>
      </c>
      <c r="B900" s="18" t="s">
        <v>1534</v>
      </c>
      <c r="C900" s="18" t="s">
        <v>1535</v>
      </c>
      <c r="D900" s="18" t="s">
        <v>1527</v>
      </c>
      <c r="E900" s="18" t="s">
        <v>6615</v>
      </c>
      <c r="F900" s="2">
        <f>+J900-I900</f>
        <v>30</v>
      </c>
      <c r="G900" s="2">
        <f ca="1">+TODAY()-I900</f>
        <v>13</v>
      </c>
      <c r="H900" s="15">
        <v>10485490</v>
      </c>
      <c r="I900" s="1">
        <v>46107</v>
      </c>
      <c r="J900" s="1">
        <v>46137</v>
      </c>
      <c r="K900" s="18" t="s">
        <v>1528</v>
      </c>
      <c r="L900" s="18" t="s">
        <v>207</v>
      </c>
      <c r="M900" s="18" t="s">
        <v>19</v>
      </c>
      <c r="N900" s="18" t="s">
        <v>1536</v>
      </c>
      <c r="O900">
        <v>30</v>
      </c>
    </row>
    <row r="901" spans="1:15" x14ac:dyDescent="0.25">
      <c r="A901" s="18" t="s">
        <v>7276</v>
      </c>
      <c r="B901" s="18" t="s">
        <v>1534</v>
      </c>
      <c r="C901" s="18" t="s">
        <v>1535</v>
      </c>
      <c r="D901" s="18" t="s">
        <v>1527</v>
      </c>
      <c r="E901" s="18" t="s">
        <v>6625</v>
      </c>
      <c r="F901" s="2">
        <f>+J901-I901</f>
        <v>15</v>
      </c>
      <c r="G901" s="2">
        <f ca="1">+TODAY()-I901</f>
        <v>13</v>
      </c>
      <c r="H901" s="15">
        <v>235481</v>
      </c>
      <c r="I901" s="1">
        <v>46107</v>
      </c>
      <c r="J901" s="1">
        <v>46122</v>
      </c>
      <c r="K901" s="18" t="s">
        <v>1528</v>
      </c>
      <c r="L901" s="18" t="s">
        <v>312</v>
      </c>
      <c r="M901" s="18" t="s">
        <v>19</v>
      </c>
      <c r="N901" s="18" t="s">
        <v>1536</v>
      </c>
      <c r="O901">
        <v>30</v>
      </c>
    </row>
    <row r="902" spans="1:15" x14ac:dyDescent="0.25">
      <c r="A902" s="18" t="s">
        <v>7276</v>
      </c>
      <c r="B902" s="18" t="s">
        <v>1534</v>
      </c>
      <c r="C902" s="18" t="s">
        <v>1535</v>
      </c>
      <c r="D902" s="18" t="s">
        <v>1527</v>
      </c>
      <c r="E902" s="18" t="s">
        <v>7223</v>
      </c>
      <c r="F902" s="2">
        <f>+J902-I902</f>
        <v>10</v>
      </c>
      <c r="G902" s="2">
        <f ca="1">+TODAY()-I902</f>
        <v>8</v>
      </c>
      <c r="H902" s="15">
        <v>240000</v>
      </c>
      <c r="I902" s="1">
        <v>46112</v>
      </c>
      <c r="J902" s="1">
        <v>46122</v>
      </c>
      <c r="K902" s="18" t="s">
        <v>1528</v>
      </c>
      <c r="L902" s="18" t="s">
        <v>312</v>
      </c>
      <c r="M902" s="18" t="s">
        <v>19</v>
      </c>
      <c r="N902" s="18" t="s">
        <v>1536</v>
      </c>
      <c r="O902">
        <v>30</v>
      </c>
    </row>
    <row r="903" spans="1:15" x14ac:dyDescent="0.25">
      <c r="A903" s="18" t="s">
        <v>7276</v>
      </c>
      <c r="B903" s="18" t="s">
        <v>6417</v>
      </c>
      <c r="C903" s="18" t="s">
        <v>6418</v>
      </c>
      <c r="D903" s="18" t="s">
        <v>15</v>
      </c>
      <c r="E903" s="18" t="s">
        <v>7314</v>
      </c>
      <c r="F903" s="2">
        <f>+J903-I903</f>
        <v>1</v>
      </c>
      <c r="G903" s="2">
        <f ca="1">+TODAY()-I903</f>
        <v>7</v>
      </c>
      <c r="H903" s="15">
        <v>361911</v>
      </c>
      <c r="I903" s="1">
        <v>46113</v>
      </c>
      <c r="J903" s="1">
        <v>46114</v>
      </c>
      <c r="K903" s="18" t="s">
        <v>17</v>
      </c>
      <c r="L903" s="18" t="s">
        <v>32</v>
      </c>
      <c r="M903" s="18" t="s">
        <v>19</v>
      </c>
      <c r="N903" s="18" t="s">
        <v>6419</v>
      </c>
      <c r="O903">
        <v>1</v>
      </c>
    </row>
    <row r="904" spans="1:15" x14ac:dyDescent="0.25">
      <c r="A904" s="18" t="s">
        <v>7276</v>
      </c>
      <c r="B904" s="18" t="s">
        <v>6417</v>
      </c>
      <c r="C904" s="18" t="s">
        <v>6418</v>
      </c>
      <c r="D904" s="18" t="s">
        <v>15</v>
      </c>
      <c r="E904" s="18" t="s">
        <v>7367</v>
      </c>
      <c r="F904" s="2">
        <f>+J904-I904</f>
        <v>1</v>
      </c>
      <c r="G904" s="2">
        <f ca="1">+TODAY()-I904</f>
        <v>1</v>
      </c>
      <c r="H904" s="15">
        <v>1844004</v>
      </c>
      <c r="I904" s="1">
        <v>46119</v>
      </c>
      <c r="J904" s="1">
        <v>46120</v>
      </c>
      <c r="K904" s="18" t="s">
        <v>17</v>
      </c>
      <c r="L904" s="18" t="s">
        <v>32</v>
      </c>
      <c r="M904" s="18" t="s">
        <v>19</v>
      </c>
      <c r="N904" s="18" t="s">
        <v>6419</v>
      </c>
      <c r="O904">
        <v>1</v>
      </c>
    </row>
    <row r="905" spans="1:15" x14ac:dyDescent="0.25">
      <c r="A905" s="18" t="s">
        <v>7276</v>
      </c>
      <c r="B905" s="18" t="s">
        <v>860</v>
      </c>
      <c r="C905" s="18" t="s">
        <v>861</v>
      </c>
      <c r="D905" s="18" t="s">
        <v>854</v>
      </c>
      <c r="E905" s="18" t="s">
        <v>5093</v>
      </c>
      <c r="F905" s="2">
        <f>+J905-I905</f>
        <v>30</v>
      </c>
      <c r="G905" s="2">
        <f ca="1">+TODAY()-I905</f>
        <v>53</v>
      </c>
      <c r="H905" s="15">
        <v>193450</v>
      </c>
      <c r="I905" s="1">
        <v>46067</v>
      </c>
      <c r="J905" s="1">
        <v>46097</v>
      </c>
      <c r="K905" s="18" t="s">
        <v>845</v>
      </c>
      <c r="L905" s="18" t="s">
        <v>18</v>
      </c>
      <c r="M905" s="18" t="s">
        <v>19</v>
      </c>
      <c r="N905" s="18" t="s">
        <v>862</v>
      </c>
      <c r="O905">
        <v>30</v>
      </c>
    </row>
    <row r="906" spans="1:15" x14ac:dyDescent="0.25">
      <c r="A906" s="18" t="s">
        <v>7276</v>
      </c>
      <c r="B906" s="18" t="s">
        <v>2063</v>
      </c>
      <c r="C906" s="18" t="s">
        <v>2064</v>
      </c>
      <c r="D906" s="18" t="s">
        <v>930</v>
      </c>
      <c r="E906" s="18" t="s">
        <v>7464</v>
      </c>
      <c r="F906" s="2">
        <f>+J906-I906</f>
        <v>30</v>
      </c>
      <c r="G906" s="2">
        <f ca="1">+TODAY()-I906</f>
        <v>2</v>
      </c>
      <c r="H906" s="15">
        <v>478241</v>
      </c>
      <c r="I906" s="1">
        <v>46118</v>
      </c>
      <c r="J906" s="1">
        <v>46148</v>
      </c>
      <c r="K906" s="18" t="s">
        <v>918</v>
      </c>
      <c r="L906" s="18" t="s">
        <v>312</v>
      </c>
      <c r="M906" s="18" t="s">
        <v>19</v>
      </c>
      <c r="N906" s="18" t="s">
        <v>2065</v>
      </c>
      <c r="O906">
        <v>30</v>
      </c>
    </row>
    <row r="907" spans="1:15" x14ac:dyDescent="0.25">
      <c r="A907" s="18" t="s">
        <v>7276</v>
      </c>
      <c r="B907" s="18" t="s">
        <v>2227</v>
      </c>
      <c r="C907" s="18" t="s">
        <v>2228</v>
      </c>
      <c r="D907" s="18" t="s">
        <v>46</v>
      </c>
      <c r="E907" s="18" t="s">
        <v>7412</v>
      </c>
      <c r="F907" s="2">
        <f>+J907-I907</f>
        <v>10</v>
      </c>
      <c r="G907" s="2">
        <f ca="1">+TODAY()-I907</f>
        <v>2</v>
      </c>
      <c r="H907" s="15">
        <v>840000</v>
      </c>
      <c r="I907" s="1">
        <v>46118</v>
      </c>
      <c r="J907" s="1">
        <v>46128</v>
      </c>
      <c r="K907" s="18" t="s">
        <v>17</v>
      </c>
      <c r="L907" s="18" t="s">
        <v>32</v>
      </c>
      <c r="M907" s="18" t="s">
        <v>19</v>
      </c>
      <c r="N907" s="18" t="s">
        <v>2229</v>
      </c>
      <c r="O907">
        <v>25</v>
      </c>
    </row>
    <row r="908" spans="1:15" x14ac:dyDescent="0.25">
      <c r="A908" s="18" t="s">
        <v>7276</v>
      </c>
      <c r="B908" s="18" t="s">
        <v>2227</v>
      </c>
      <c r="C908" s="18" t="s">
        <v>2228</v>
      </c>
      <c r="D908" s="18" t="s">
        <v>46</v>
      </c>
      <c r="E908" s="18" t="s">
        <v>7413</v>
      </c>
      <c r="F908" s="2">
        <f>+J908-I908</f>
        <v>25</v>
      </c>
      <c r="G908" s="2">
        <f ca="1">+TODAY()-I908</f>
        <v>2</v>
      </c>
      <c r="H908" s="15">
        <v>645454</v>
      </c>
      <c r="I908" s="1">
        <v>46118</v>
      </c>
      <c r="J908" s="1">
        <v>46143</v>
      </c>
      <c r="K908" s="18" t="s">
        <v>17</v>
      </c>
      <c r="L908" s="18" t="s">
        <v>32</v>
      </c>
      <c r="M908" s="18" t="s">
        <v>19</v>
      </c>
      <c r="N908" s="18" t="s">
        <v>2229</v>
      </c>
      <c r="O908">
        <v>25</v>
      </c>
    </row>
    <row r="909" spans="1:15" x14ac:dyDescent="0.25">
      <c r="A909" s="18" t="s">
        <v>7276</v>
      </c>
      <c r="B909" s="18" t="s">
        <v>1561</v>
      </c>
      <c r="C909" s="18" t="s">
        <v>1562</v>
      </c>
      <c r="D909" s="18" t="s">
        <v>1563</v>
      </c>
      <c r="E909" s="18" t="s">
        <v>5145</v>
      </c>
      <c r="F909" s="2">
        <f>+J909-I909</f>
        <v>30</v>
      </c>
      <c r="G909" s="2">
        <f ca="1">+TODAY()-I909</f>
        <v>49</v>
      </c>
      <c r="H909" s="15">
        <v>1608869</v>
      </c>
      <c r="I909" s="1">
        <v>46071</v>
      </c>
      <c r="J909" s="1">
        <v>46101</v>
      </c>
      <c r="K909" s="18" t="s">
        <v>1564</v>
      </c>
      <c r="L909" s="18" t="s">
        <v>984</v>
      </c>
      <c r="M909" s="18" t="s">
        <v>19</v>
      </c>
      <c r="N909" s="18" t="s">
        <v>1565</v>
      </c>
      <c r="O909">
        <v>30</v>
      </c>
    </row>
    <row r="910" spans="1:15" x14ac:dyDescent="0.25">
      <c r="A910" s="18" t="s">
        <v>7276</v>
      </c>
      <c r="B910" s="18" t="s">
        <v>1561</v>
      </c>
      <c r="C910" s="18" t="s">
        <v>1562</v>
      </c>
      <c r="D910" s="18" t="s">
        <v>1563</v>
      </c>
      <c r="E910" s="18" t="s">
        <v>5488</v>
      </c>
      <c r="F910" s="2">
        <f>+J910-I910</f>
        <v>30</v>
      </c>
      <c r="G910" s="2">
        <f ca="1">+TODAY()-I910</f>
        <v>35</v>
      </c>
      <c r="H910" s="15">
        <v>1633152</v>
      </c>
      <c r="I910" s="1">
        <v>46085</v>
      </c>
      <c r="J910" s="1">
        <v>46115</v>
      </c>
      <c r="K910" s="18" t="s">
        <v>1564</v>
      </c>
      <c r="L910" s="18" t="s">
        <v>984</v>
      </c>
      <c r="M910" s="18" t="s">
        <v>19</v>
      </c>
      <c r="N910" s="18" t="s">
        <v>1565</v>
      </c>
      <c r="O910">
        <v>30</v>
      </c>
    </row>
    <row r="911" spans="1:15" x14ac:dyDescent="0.25">
      <c r="A911" s="18" t="s">
        <v>7276</v>
      </c>
      <c r="B911" s="18" t="s">
        <v>1561</v>
      </c>
      <c r="C911" s="18" t="s">
        <v>1562</v>
      </c>
      <c r="D911" s="18" t="s">
        <v>1563</v>
      </c>
      <c r="E911" s="18" t="s">
        <v>6080</v>
      </c>
      <c r="F911" s="2">
        <f>+J911-I911</f>
        <v>30</v>
      </c>
      <c r="G911" s="2">
        <f ca="1">+TODAY()-I911</f>
        <v>22</v>
      </c>
      <c r="H911" s="15">
        <v>1797551</v>
      </c>
      <c r="I911" s="1">
        <v>46098</v>
      </c>
      <c r="J911" s="1">
        <v>46128</v>
      </c>
      <c r="K911" s="18" t="s">
        <v>1564</v>
      </c>
      <c r="L911" s="18" t="s">
        <v>984</v>
      </c>
      <c r="M911" s="18" t="s">
        <v>19</v>
      </c>
      <c r="N911" s="18" t="s">
        <v>1565</v>
      </c>
      <c r="O911">
        <v>30</v>
      </c>
    </row>
    <row r="912" spans="1:15" x14ac:dyDescent="0.25">
      <c r="A912" s="18" t="s">
        <v>7276</v>
      </c>
      <c r="B912" s="18" t="s">
        <v>1561</v>
      </c>
      <c r="C912" s="18" t="s">
        <v>1562</v>
      </c>
      <c r="D912" s="18" t="s">
        <v>1563</v>
      </c>
      <c r="E912" s="18" t="s">
        <v>6081</v>
      </c>
      <c r="F912" s="2">
        <f>+J912-I912</f>
        <v>30</v>
      </c>
      <c r="G912" s="2">
        <f ca="1">+TODAY()-I912</f>
        <v>22</v>
      </c>
      <c r="H912" s="15">
        <v>86936</v>
      </c>
      <c r="I912" s="1">
        <v>46098</v>
      </c>
      <c r="J912" s="1">
        <v>46128</v>
      </c>
      <c r="K912" s="18" t="s">
        <v>1564</v>
      </c>
      <c r="L912" s="18" t="s">
        <v>984</v>
      </c>
      <c r="M912" s="18" t="s">
        <v>19</v>
      </c>
      <c r="N912" s="18" t="s">
        <v>1565</v>
      </c>
      <c r="O912">
        <v>30</v>
      </c>
    </row>
    <row r="913" spans="1:15" x14ac:dyDescent="0.25">
      <c r="A913" s="18" t="s">
        <v>7276</v>
      </c>
      <c r="B913" s="18" t="s">
        <v>1561</v>
      </c>
      <c r="C913" s="18" t="s">
        <v>1562</v>
      </c>
      <c r="D913" s="18" t="s">
        <v>1563</v>
      </c>
      <c r="E913" s="18" t="s">
        <v>7224</v>
      </c>
      <c r="F913" s="2">
        <f>+J913-I913</f>
        <v>30</v>
      </c>
      <c r="G913" s="2">
        <f ca="1">+TODAY()-I913</f>
        <v>9</v>
      </c>
      <c r="H913" s="15">
        <v>1097562</v>
      </c>
      <c r="I913" s="1">
        <v>46111</v>
      </c>
      <c r="J913" s="1">
        <v>46141</v>
      </c>
      <c r="K913" s="18" t="s">
        <v>1564</v>
      </c>
      <c r="L913" s="18" t="s">
        <v>984</v>
      </c>
      <c r="M913" s="18" t="s">
        <v>19</v>
      </c>
      <c r="N913" s="18" t="s">
        <v>1565</v>
      </c>
      <c r="O913">
        <v>30</v>
      </c>
    </row>
    <row r="914" spans="1:15" x14ac:dyDescent="0.25">
      <c r="A914" s="18" t="s">
        <v>7276</v>
      </c>
      <c r="B914" s="18" t="s">
        <v>1756</v>
      </c>
      <c r="C914" s="18" t="s">
        <v>1757</v>
      </c>
      <c r="D914" s="18" t="s">
        <v>331</v>
      </c>
      <c r="E914" s="18" t="s">
        <v>5500</v>
      </c>
      <c r="F914" s="2">
        <f>+J914-I914</f>
        <v>30</v>
      </c>
      <c r="G914" s="2">
        <f ca="1">+TODAY()-I914</f>
        <v>35</v>
      </c>
      <c r="H914" s="15">
        <v>915317</v>
      </c>
      <c r="I914" s="1">
        <v>46085</v>
      </c>
      <c r="J914" s="1">
        <v>46115</v>
      </c>
      <c r="K914" s="18" t="s">
        <v>1758</v>
      </c>
      <c r="L914" s="18" t="s">
        <v>207</v>
      </c>
      <c r="M914" s="18" t="s">
        <v>19</v>
      </c>
      <c r="N914" s="18" t="s">
        <v>1759</v>
      </c>
      <c r="O914">
        <v>30</v>
      </c>
    </row>
    <row r="915" spans="1:15" x14ac:dyDescent="0.25">
      <c r="A915" s="18" t="s">
        <v>7276</v>
      </c>
      <c r="B915" s="18" t="s">
        <v>1756</v>
      </c>
      <c r="C915" s="18" t="s">
        <v>1757</v>
      </c>
      <c r="D915" s="18" t="s">
        <v>331</v>
      </c>
      <c r="E915" s="18" t="s">
        <v>5851</v>
      </c>
      <c r="F915" s="2">
        <f>+J915-I915</f>
        <v>30</v>
      </c>
      <c r="G915" s="2">
        <f ca="1">+TODAY()-I915</f>
        <v>28</v>
      </c>
      <c r="H915" s="15">
        <v>422127</v>
      </c>
      <c r="I915" s="1">
        <v>46092</v>
      </c>
      <c r="J915" s="1">
        <v>46122</v>
      </c>
      <c r="K915" s="18" t="s">
        <v>1758</v>
      </c>
      <c r="L915" s="18" t="s">
        <v>207</v>
      </c>
      <c r="M915" s="18" t="s">
        <v>19</v>
      </c>
      <c r="N915" s="18" t="s">
        <v>1759</v>
      </c>
      <c r="O915">
        <v>30</v>
      </c>
    </row>
    <row r="916" spans="1:15" x14ac:dyDescent="0.25">
      <c r="A916" s="18" t="s">
        <v>7276</v>
      </c>
      <c r="B916" s="18" t="s">
        <v>1756</v>
      </c>
      <c r="C916" s="18" t="s">
        <v>1757</v>
      </c>
      <c r="D916" s="18" t="s">
        <v>331</v>
      </c>
      <c r="E916" s="18" t="s">
        <v>5852</v>
      </c>
      <c r="F916" s="2">
        <f>+J916-I916</f>
        <v>30</v>
      </c>
      <c r="G916" s="2">
        <f ca="1">+TODAY()-I916</f>
        <v>28</v>
      </c>
      <c r="H916" s="15">
        <v>1783687</v>
      </c>
      <c r="I916" s="1">
        <v>46092</v>
      </c>
      <c r="J916" s="1">
        <v>46122</v>
      </c>
      <c r="K916" s="18" t="s">
        <v>1758</v>
      </c>
      <c r="L916" s="18" t="s">
        <v>207</v>
      </c>
      <c r="M916" s="18" t="s">
        <v>19</v>
      </c>
      <c r="N916" s="18" t="s">
        <v>1759</v>
      </c>
      <c r="O916">
        <v>30</v>
      </c>
    </row>
    <row r="917" spans="1:15" x14ac:dyDescent="0.25">
      <c r="A917" s="18" t="s">
        <v>7276</v>
      </c>
      <c r="B917" s="18" t="s">
        <v>1756</v>
      </c>
      <c r="C917" s="18" t="s">
        <v>1757</v>
      </c>
      <c r="D917" s="18" t="s">
        <v>331</v>
      </c>
      <c r="E917" s="18" t="s">
        <v>6367</v>
      </c>
      <c r="F917" s="2">
        <f>+J917-I917</f>
        <v>8</v>
      </c>
      <c r="G917" s="2">
        <f ca="1">+TODAY()-I917</f>
        <v>20</v>
      </c>
      <c r="H917" s="15">
        <v>840000</v>
      </c>
      <c r="I917" s="1">
        <v>46100</v>
      </c>
      <c r="J917" s="1">
        <v>46108</v>
      </c>
      <c r="K917" s="18" t="s">
        <v>1758</v>
      </c>
      <c r="L917" s="18" t="s">
        <v>207</v>
      </c>
      <c r="M917" s="18" t="s">
        <v>19</v>
      </c>
      <c r="N917" s="18" t="s">
        <v>1759</v>
      </c>
      <c r="O917">
        <v>30</v>
      </c>
    </row>
    <row r="918" spans="1:15" x14ac:dyDescent="0.25">
      <c r="A918" s="18" t="s">
        <v>7276</v>
      </c>
      <c r="B918" s="18" t="s">
        <v>1756</v>
      </c>
      <c r="C918" s="18" t="s">
        <v>1757</v>
      </c>
      <c r="D918" s="18" t="s">
        <v>331</v>
      </c>
      <c r="E918" s="18" t="s">
        <v>6368</v>
      </c>
      <c r="F918" s="2">
        <f>+J918-I918</f>
        <v>30</v>
      </c>
      <c r="G918" s="2">
        <f ca="1">+TODAY()-I918</f>
        <v>20</v>
      </c>
      <c r="H918" s="15">
        <v>810393</v>
      </c>
      <c r="I918" s="1">
        <v>46100</v>
      </c>
      <c r="J918" s="1">
        <v>46130</v>
      </c>
      <c r="K918" s="18" t="s">
        <v>1758</v>
      </c>
      <c r="L918" s="18" t="s">
        <v>207</v>
      </c>
      <c r="M918" s="18" t="s">
        <v>19</v>
      </c>
      <c r="N918" s="18" t="s">
        <v>1759</v>
      </c>
      <c r="O918">
        <v>30</v>
      </c>
    </row>
    <row r="919" spans="1:15" x14ac:dyDescent="0.25">
      <c r="A919" s="18" t="s">
        <v>7276</v>
      </c>
      <c r="B919" s="18" t="s">
        <v>1756</v>
      </c>
      <c r="C919" s="18" t="s">
        <v>1757</v>
      </c>
      <c r="D919" s="18" t="s">
        <v>331</v>
      </c>
      <c r="E919" s="18" t="s">
        <v>7617</v>
      </c>
      <c r="F919" s="2">
        <f>+J919-I919</f>
        <v>30</v>
      </c>
      <c r="G919" s="2">
        <f ca="1">+TODAY()-I919</f>
        <v>7</v>
      </c>
      <c r="H919" s="15">
        <v>412913</v>
      </c>
      <c r="I919" s="1">
        <v>46113</v>
      </c>
      <c r="J919" s="1">
        <v>46143</v>
      </c>
      <c r="K919" s="18" t="s">
        <v>1758</v>
      </c>
      <c r="L919" s="18" t="s">
        <v>207</v>
      </c>
      <c r="M919" s="18" t="s">
        <v>19</v>
      </c>
      <c r="N919" s="18" t="s">
        <v>1759</v>
      </c>
      <c r="O919">
        <v>30</v>
      </c>
    </row>
    <row r="920" spans="1:15" x14ac:dyDescent="0.25">
      <c r="A920" s="18" t="s">
        <v>7276</v>
      </c>
      <c r="B920" s="18" t="s">
        <v>1756</v>
      </c>
      <c r="C920" s="18" t="s">
        <v>1757</v>
      </c>
      <c r="D920" s="18" t="s">
        <v>331</v>
      </c>
      <c r="E920" s="18" t="s">
        <v>7618</v>
      </c>
      <c r="F920" s="2">
        <f>+J920-I920</f>
        <v>30</v>
      </c>
      <c r="G920" s="2">
        <f ca="1">+TODAY()-I920</f>
        <v>7</v>
      </c>
      <c r="H920" s="15">
        <v>1252123</v>
      </c>
      <c r="I920" s="1">
        <v>46113</v>
      </c>
      <c r="J920" s="1">
        <v>46143</v>
      </c>
      <c r="K920" s="18" t="s">
        <v>1758</v>
      </c>
      <c r="L920" s="18" t="s">
        <v>207</v>
      </c>
      <c r="M920" s="18" t="s">
        <v>19</v>
      </c>
      <c r="N920" s="18" t="s">
        <v>1759</v>
      </c>
      <c r="O920">
        <v>30</v>
      </c>
    </row>
    <row r="921" spans="1:15" x14ac:dyDescent="0.25">
      <c r="A921" s="18" t="s">
        <v>7276</v>
      </c>
      <c r="B921" s="18" t="s">
        <v>910</v>
      </c>
      <c r="C921" s="18" t="s">
        <v>911</v>
      </c>
      <c r="D921" s="18" t="s">
        <v>854</v>
      </c>
      <c r="E921" s="18" t="s">
        <v>912</v>
      </c>
      <c r="F921" s="2">
        <f>+J921-I921</f>
        <v>30</v>
      </c>
      <c r="G921" s="2">
        <f ca="1">+TODAY()-I921</f>
        <v>1055</v>
      </c>
      <c r="H921" s="15">
        <v>500000</v>
      </c>
      <c r="I921" s="1">
        <v>45065</v>
      </c>
      <c r="J921" s="1">
        <v>45095</v>
      </c>
      <c r="K921" s="18" t="s">
        <v>845</v>
      </c>
      <c r="L921" s="18" t="s">
        <v>18</v>
      </c>
      <c r="M921" s="18" t="s">
        <v>19</v>
      </c>
      <c r="N921" s="18" t="s">
        <v>913</v>
      </c>
      <c r="O921">
        <v>30</v>
      </c>
    </row>
    <row r="922" spans="1:15" x14ac:dyDescent="0.25">
      <c r="A922" s="18" t="s">
        <v>7276</v>
      </c>
      <c r="B922" s="18" t="s">
        <v>5273</v>
      </c>
      <c r="C922" s="18" t="s">
        <v>5274</v>
      </c>
      <c r="D922" s="18" t="s">
        <v>1250</v>
      </c>
      <c r="E922" s="18" t="s">
        <v>6537</v>
      </c>
      <c r="F922" s="2">
        <f>+J922-I922</f>
        <v>8</v>
      </c>
      <c r="G922" s="2">
        <f ca="1">+TODAY()-I922</f>
        <v>12</v>
      </c>
      <c r="H922" s="15">
        <v>1018815</v>
      </c>
      <c r="I922" s="1">
        <v>46108</v>
      </c>
      <c r="J922" s="1">
        <v>46116</v>
      </c>
      <c r="K922" s="18" t="s">
        <v>1243</v>
      </c>
      <c r="L922" s="18" t="s">
        <v>207</v>
      </c>
      <c r="M922" s="18" t="s">
        <v>19</v>
      </c>
      <c r="N922" s="18" t="s">
        <v>5275</v>
      </c>
      <c r="O922">
        <v>30</v>
      </c>
    </row>
    <row r="923" spans="1:15" x14ac:dyDescent="0.25">
      <c r="A923" s="18" t="s">
        <v>7276</v>
      </c>
      <c r="B923" s="18" t="s">
        <v>2137</v>
      </c>
      <c r="C923" s="18" t="s">
        <v>2138</v>
      </c>
      <c r="D923" s="18" t="s">
        <v>1118</v>
      </c>
      <c r="E923" s="18" t="s">
        <v>6017</v>
      </c>
      <c r="F923" s="2">
        <f>+J923-I923</f>
        <v>20</v>
      </c>
      <c r="G923" s="2">
        <f ca="1">+TODAY()-I923</f>
        <v>26</v>
      </c>
      <c r="H923" s="15">
        <v>629590</v>
      </c>
      <c r="I923" s="1">
        <v>46094</v>
      </c>
      <c r="J923" s="1">
        <v>46114</v>
      </c>
      <c r="K923" s="18" t="s">
        <v>1144</v>
      </c>
      <c r="L923" s="18" t="s">
        <v>321</v>
      </c>
      <c r="M923" s="18" t="s">
        <v>19</v>
      </c>
      <c r="N923" s="18" t="s">
        <v>2139</v>
      </c>
      <c r="O923">
        <v>30</v>
      </c>
    </row>
    <row r="924" spans="1:15" x14ac:dyDescent="0.25">
      <c r="A924" s="18" t="s">
        <v>7276</v>
      </c>
      <c r="B924" s="18" t="s">
        <v>2137</v>
      </c>
      <c r="C924" s="18" t="s">
        <v>2138</v>
      </c>
      <c r="D924" s="18" t="s">
        <v>1118</v>
      </c>
      <c r="E924" s="18" t="s">
        <v>6018</v>
      </c>
      <c r="F924" s="2">
        <f>+J924-I924</f>
        <v>15</v>
      </c>
      <c r="G924" s="2">
        <f ca="1">+TODAY()-I924</f>
        <v>26</v>
      </c>
      <c r="H924" s="15">
        <v>42800</v>
      </c>
      <c r="I924" s="1">
        <v>46094</v>
      </c>
      <c r="J924" s="1">
        <v>46109</v>
      </c>
      <c r="K924" s="18" t="s">
        <v>1144</v>
      </c>
      <c r="L924" s="18" t="s">
        <v>321</v>
      </c>
      <c r="M924" s="18" t="s">
        <v>19</v>
      </c>
      <c r="N924" s="18" t="s">
        <v>2139</v>
      </c>
      <c r="O924">
        <v>30</v>
      </c>
    </row>
    <row r="925" spans="1:15" x14ac:dyDescent="0.25">
      <c r="A925" s="18" t="s">
        <v>7276</v>
      </c>
      <c r="B925" s="18" t="s">
        <v>1643</v>
      </c>
      <c r="C925" s="18" t="s">
        <v>1644</v>
      </c>
      <c r="D925" s="18" t="s">
        <v>1587</v>
      </c>
      <c r="E925" s="18" t="s">
        <v>5845</v>
      </c>
      <c r="F925" s="2">
        <f>+J925-I925</f>
        <v>30</v>
      </c>
      <c r="G925" s="2">
        <f ca="1">+TODAY()-I925</f>
        <v>28</v>
      </c>
      <c r="H925" s="15">
        <v>525601</v>
      </c>
      <c r="I925" s="1">
        <v>46092</v>
      </c>
      <c r="J925" s="1">
        <v>46122</v>
      </c>
      <c r="K925" s="18" t="s">
        <v>1589</v>
      </c>
      <c r="L925" s="18" t="s">
        <v>984</v>
      </c>
      <c r="M925" s="18" t="s">
        <v>19</v>
      </c>
      <c r="N925" s="18" t="s">
        <v>1645</v>
      </c>
      <c r="O925">
        <v>30</v>
      </c>
    </row>
    <row r="926" spans="1:15" x14ac:dyDescent="0.25">
      <c r="A926" s="18" t="s">
        <v>7276</v>
      </c>
      <c r="B926" s="18" t="s">
        <v>1643</v>
      </c>
      <c r="C926" s="18" t="s">
        <v>1644</v>
      </c>
      <c r="D926" s="18" t="s">
        <v>1587</v>
      </c>
      <c r="E926" s="18" t="s">
        <v>6671</v>
      </c>
      <c r="F926" s="2">
        <f>+J926-I926</f>
        <v>30</v>
      </c>
      <c r="G926" s="2">
        <f ca="1">+TODAY()-I926</f>
        <v>14</v>
      </c>
      <c r="H926" s="15">
        <v>441600</v>
      </c>
      <c r="I926" s="1">
        <v>46106</v>
      </c>
      <c r="J926" s="1">
        <v>46136</v>
      </c>
      <c r="K926" s="18" t="s">
        <v>1589</v>
      </c>
      <c r="L926" s="18" t="s">
        <v>984</v>
      </c>
      <c r="M926" s="18" t="s">
        <v>19</v>
      </c>
      <c r="N926" s="18" t="s">
        <v>1645</v>
      </c>
      <c r="O926">
        <v>30</v>
      </c>
    </row>
    <row r="927" spans="1:15" x14ac:dyDescent="0.25">
      <c r="A927" s="18" t="s">
        <v>7276</v>
      </c>
      <c r="B927" s="18" t="s">
        <v>1643</v>
      </c>
      <c r="C927" s="18" t="s">
        <v>1644</v>
      </c>
      <c r="D927" s="18" t="s">
        <v>1587</v>
      </c>
      <c r="E927" s="18" t="s">
        <v>7839</v>
      </c>
      <c r="F927" s="2">
        <f>+J927-I927</f>
        <v>30</v>
      </c>
      <c r="G927" s="2">
        <f ca="1">+TODAY()-I927</f>
        <v>1</v>
      </c>
      <c r="H927" s="15">
        <v>407916</v>
      </c>
      <c r="I927" s="1">
        <v>46119</v>
      </c>
      <c r="J927" s="1">
        <v>46149</v>
      </c>
      <c r="K927" s="18" t="s">
        <v>1589</v>
      </c>
      <c r="L927" s="18" t="s">
        <v>984</v>
      </c>
      <c r="M927" s="18" t="s">
        <v>19</v>
      </c>
      <c r="N927" s="18" t="s">
        <v>1645</v>
      </c>
      <c r="O927">
        <v>30</v>
      </c>
    </row>
    <row r="928" spans="1:15" x14ac:dyDescent="0.25">
      <c r="A928" s="18" t="s">
        <v>7276</v>
      </c>
      <c r="B928" s="18" t="s">
        <v>1297</v>
      </c>
      <c r="C928" s="18" t="s">
        <v>1298</v>
      </c>
      <c r="D928" s="18" t="s">
        <v>1299</v>
      </c>
      <c r="E928" s="18" t="s">
        <v>5773</v>
      </c>
      <c r="F928" s="2">
        <f>+J928-I928</f>
        <v>30</v>
      </c>
      <c r="G928" s="2">
        <f ca="1">+TODAY()-I928</f>
        <v>30</v>
      </c>
      <c r="H928" s="15">
        <v>7537653</v>
      </c>
      <c r="I928" s="1">
        <v>46090</v>
      </c>
      <c r="J928" s="1">
        <v>46120</v>
      </c>
      <c r="K928" s="18" t="s">
        <v>1300</v>
      </c>
      <c r="L928" s="18" t="s">
        <v>90</v>
      </c>
      <c r="M928" s="18" t="s">
        <v>19</v>
      </c>
      <c r="N928" s="18" t="s">
        <v>1301</v>
      </c>
      <c r="O928">
        <v>30</v>
      </c>
    </row>
    <row r="929" spans="1:15" x14ac:dyDescent="0.25">
      <c r="A929" s="18" t="s">
        <v>7276</v>
      </c>
      <c r="B929" s="18" t="s">
        <v>1297</v>
      </c>
      <c r="C929" s="18" t="s">
        <v>1298</v>
      </c>
      <c r="D929" s="18" t="s">
        <v>1299</v>
      </c>
      <c r="E929" s="18" t="s">
        <v>5774</v>
      </c>
      <c r="F929" s="2">
        <f>+J929-I929</f>
        <v>30</v>
      </c>
      <c r="G929" s="2">
        <f ca="1">+TODAY()-I929</f>
        <v>30</v>
      </c>
      <c r="H929" s="15">
        <v>11260053</v>
      </c>
      <c r="I929" s="1">
        <v>46090</v>
      </c>
      <c r="J929" s="1">
        <v>46120</v>
      </c>
      <c r="K929" s="18" t="s">
        <v>1300</v>
      </c>
      <c r="L929" s="18" t="s">
        <v>90</v>
      </c>
      <c r="M929" s="18" t="s">
        <v>19</v>
      </c>
      <c r="N929" s="18" t="s">
        <v>1301</v>
      </c>
      <c r="O929">
        <v>30</v>
      </c>
    </row>
    <row r="930" spans="1:15" x14ac:dyDescent="0.25">
      <c r="A930" s="18" t="s">
        <v>7276</v>
      </c>
      <c r="B930" s="18" t="s">
        <v>1297</v>
      </c>
      <c r="C930" s="18" t="s">
        <v>1298</v>
      </c>
      <c r="D930" s="18" t="s">
        <v>1299</v>
      </c>
      <c r="E930" s="18" t="s">
        <v>6544</v>
      </c>
      <c r="F930" s="2">
        <f>+J930-I930</f>
        <v>30</v>
      </c>
      <c r="G930" s="2">
        <f ca="1">+TODAY()-I930</f>
        <v>15</v>
      </c>
      <c r="H930" s="15">
        <v>4652676</v>
      </c>
      <c r="I930" s="1">
        <v>46105</v>
      </c>
      <c r="J930" s="1">
        <v>46135</v>
      </c>
      <c r="K930" s="18" t="s">
        <v>1300</v>
      </c>
      <c r="L930" s="18" t="s">
        <v>90</v>
      </c>
      <c r="M930" s="18" t="s">
        <v>19</v>
      </c>
      <c r="N930" s="18" t="s">
        <v>1301</v>
      </c>
      <c r="O930">
        <v>30</v>
      </c>
    </row>
    <row r="931" spans="1:15" x14ac:dyDescent="0.25">
      <c r="A931" s="18" t="s">
        <v>7276</v>
      </c>
      <c r="B931" s="18" t="s">
        <v>1297</v>
      </c>
      <c r="C931" s="18" t="s">
        <v>1298</v>
      </c>
      <c r="D931" s="18" t="s">
        <v>1299</v>
      </c>
      <c r="E931" s="18" t="s">
        <v>6545</v>
      </c>
      <c r="F931" s="2">
        <f>+J931-I931</f>
        <v>30</v>
      </c>
      <c r="G931" s="2">
        <f ca="1">+TODAY()-I931</f>
        <v>15</v>
      </c>
      <c r="H931" s="15">
        <v>6859342</v>
      </c>
      <c r="I931" s="1">
        <v>46105</v>
      </c>
      <c r="J931" s="1">
        <v>46135</v>
      </c>
      <c r="K931" s="18" t="s">
        <v>1300</v>
      </c>
      <c r="L931" s="18" t="s">
        <v>90</v>
      </c>
      <c r="M931" s="18" t="s">
        <v>19</v>
      </c>
      <c r="N931" s="18" t="s">
        <v>1301</v>
      </c>
      <c r="O931">
        <v>30</v>
      </c>
    </row>
    <row r="932" spans="1:15" x14ac:dyDescent="0.25">
      <c r="A932" s="18" t="s">
        <v>7276</v>
      </c>
      <c r="B932" s="18" t="s">
        <v>1297</v>
      </c>
      <c r="C932" s="18" t="s">
        <v>1298</v>
      </c>
      <c r="D932" s="18" t="s">
        <v>1299</v>
      </c>
      <c r="E932" s="18" t="s">
        <v>6547</v>
      </c>
      <c r="F932" s="2">
        <f>+J932-I932</f>
        <v>30</v>
      </c>
      <c r="G932" s="2">
        <f ca="1">+TODAY()-I932</f>
        <v>15</v>
      </c>
      <c r="H932" s="15">
        <v>1857324</v>
      </c>
      <c r="I932" s="1">
        <v>46105</v>
      </c>
      <c r="J932" s="1">
        <v>46135</v>
      </c>
      <c r="K932" s="18" t="s">
        <v>1300</v>
      </c>
      <c r="L932" s="18" t="s">
        <v>90</v>
      </c>
      <c r="M932" s="18" t="s">
        <v>19</v>
      </c>
      <c r="N932" s="18" t="s">
        <v>1301</v>
      </c>
      <c r="O932">
        <v>30</v>
      </c>
    </row>
    <row r="933" spans="1:15" x14ac:dyDescent="0.25">
      <c r="A933" s="18" t="s">
        <v>7276</v>
      </c>
      <c r="B933" s="18" t="s">
        <v>1297</v>
      </c>
      <c r="C933" s="18" t="s">
        <v>1298</v>
      </c>
      <c r="D933" s="18" t="s">
        <v>1299</v>
      </c>
      <c r="E933" s="18" t="s">
        <v>6548</v>
      </c>
      <c r="F933" s="2">
        <f>+J933-I933</f>
        <v>30</v>
      </c>
      <c r="G933" s="2">
        <f ca="1">+TODAY()-I933</f>
        <v>15</v>
      </c>
      <c r="H933" s="15">
        <v>7536953</v>
      </c>
      <c r="I933" s="1">
        <v>46105</v>
      </c>
      <c r="J933" s="1">
        <v>46135</v>
      </c>
      <c r="K933" s="18" t="s">
        <v>1300</v>
      </c>
      <c r="L933" s="18" t="s">
        <v>90</v>
      </c>
      <c r="M933" s="18" t="s">
        <v>19</v>
      </c>
      <c r="N933" s="18" t="s">
        <v>1301</v>
      </c>
      <c r="O933">
        <v>30</v>
      </c>
    </row>
    <row r="934" spans="1:15" x14ac:dyDescent="0.25">
      <c r="A934" s="18" t="s">
        <v>7276</v>
      </c>
      <c r="B934" s="18" t="s">
        <v>1297</v>
      </c>
      <c r="C934" s="18" t="s">
        <v>1298</v>
      </c>
      <c r="D934" s="18" t="s">
        <v>1299</v>
      </c>
      <c r="E934" s="18" t="s">
        <v>7806</v>
      </c>
      <c r="F934" s="2">
        <f>+J934-I934</f>
        <v>30</v>
      </c>
      <c r="G934" s="2">
        <f ca="1">+TODAY()-I934</f>
        <v>1</v>
      </c>
      <c r="H934" s="15">
        <v>2571282</v>
      </c>
      <c r="I934" s="1">
        <v>46119</v>
      </c>
      <c r="J934" s="1">
        <v>46149</v>
      </c>
      <c r="K934" s="18" t="s">
        <v>1300</v>
      </c>
      <c r="L934" s="18" t="s">
        <v>90</v>
      </c>
      <c r="M934" s="18" t="s">
        <v>19</v>
      </c>
      <c r="N934" s="18" t="s">
        <v>1301</v>
      </c>
      <c r="O934">
        <v>30</v>
      </c>
    </row>
    <row r="935" spans="1:15" x14ac:dyDescent="0.25">
      <c r="A935" s="18" t="s">
        <v>7276</v>
      </c>
      <c r="B935" s="18" t="s">
        <v>1297</v>
      </c>
      <c r="C935" s="18" t="s">
        <v>1298</v>
      </c>
      <c r="D935" s="18" t="s">
        <v>1299</v>
      </c>
      <c r="E935" s="18" t="s">
        <v>7807</v>
      </c>
      <c r="F935" s="2">
        <f>+J935-I935</f>
        <v>30</v>
      </c>
      <c r="G935" s="2">
        <f ca="1">+TODAY()-I935</f>
        <v>1</v>
      </c>
      <c r="H935" s="15">
        <v>2066420</v>
      </c>
      <c r="I935" s="1">
        <v>46119</v>
      </c>
      <c r="J935" s="1">
        <v>46149</v>
      </c>
      <c r="K935" s="18" t="s">
        <v>1300</v>
      </c>
      <c r="L935" s="18" t="s">
        <v>90</v>
      </c>
      <c r="M935" s="18" t="s">
        <v>19</v>
      </c>
      <c r="N935" s="18" t="s">
        <v>1301</v>
      </c>
      <c r="O935">
        <v>30</v>
      </c>
    </row>
    <row r="936" spans="1:15" x14ac:dyDescent="0.25">
      <c r="A936" s="18" t="s">
        <v>7276</v>
      </c>
      <c r="B936" s="18" t="s">
        <v>1297</v>
      </c>
      <c r="C936" s="18" t="s">
        <v>1298</v>
      </c>
      <c r="D936" s="18" t="s">
        <v>1299</v>
      </c>
      <c r="E936" s="18" t="s">
        <v>7808</v>
      </c>
      <c r="F936" s="2">
        <f>+J936-I936</f>
        <v>30</v>
      </c>
      <c r="G936" s="2">
        <f ca="1">+TODAY()-I936</f>
        <v>1</v>
      </c>
      <c r="H936" s="15">
        <v>2638359</v>
      </c>
      <c r="I936" s="1">
        <v>46119</v>
      </c>
      <c r="J936" s="1">
        <v>46149</v>
      </c>
      <c r="K936" s="18" t="s">
        <v>1300</v>
      </c>
      <c r="L936" s="18" t="s">
        <v>90</v>
      </c>
      <c r="M936" s="18" t="s">
        <v>19</v>
      </c>
      <c r="N936" s="18" t="s">
        <v>1301</v>
      </c>
      <c r="O936">
        <v>30</v>
      </c>
    </row>
    <row r="937" spans="1:15" x14ac:dyDescent="0.25">
      <c r="A937" s="18" t="s">
        <v>7276</v>
      </c>
      <c r="B937" s="18" t="s">
        <v>1297</v>
      </c>
      <c r="C937" s="18" t="s">
        <v>1298</v>
      </c>
      <c r="D937" s="18" t="s">
        <v>1299</v>
      </c>
      <c r="E937" s="18" t="s">
        <v>7809</v>
      </c>
      <c r="F937" s="2">
        <f>+J937-I937</f>
        <v>30</v>
      </c>
      <c r="G937" s="2">
        <f ca="1">+TODAY()-I937</f>
        <v>1</v>
      </c>
      <c r="H937" s="15">
        <v>1704547</v>
      </c>
      <c r="I937" s="1">
        <v>46119</v>
      </c>
      <c r="J937" s="1">
        <v>46149</v>
      </c>
      <c r="K937" s="18" t="s">
        <v>1300</v>
      </c>
      <c r="L937" s="18" t="s">
        <v>90</v>
      </c>
      <c r="M937" s="18" t="s">
        <v>19</v>
      </c>
      <c r="N937" s="18" t="s">
        <v>1301</v>
      </c>
      <c r="O937">
        <v>30</v>
      </c>
    </row>
    <row r="938" spans="1:15" x14ac:dyDescent="0.25">
      <c r="A938" s="18" t="s">
        <v>7276</v>
      </c>
      <c r="B938" s="18" t="s">
        <v>1297</v>
      </c>
      <c r="C938" s="18" t="s">
        <v>1298</v>
      </c>
      <c r="D938" s="18" t="s">
        <v>1299</v>
      </c>
      <c r="E938" s="18" t="s">
        <v>7811</v>
      </c>
      <c r="F938" s="2">
        <f>+J938-I938</f>
        <v>30</v>
      </c>
      <c r="G938" s="2">
        <f ca="1">+TODAY()-I938</f>
        <v>1</v>
      </c>
      <c r="H938" s="15">
        <v>206403</v>
      </c>
      <c r="I938" s="1">
        <v>46119</v>
      </c>
      <c r="J938" s="1">
        <v>46149</v>
      </c>
      <c r="K938" s="18" t="s">
        <v>1300</v>
      </c>
      <c r="L938" s="18" t="s">
        <v>90</v>
      </c>
      <c r="M938" s="18" t="s">
        <v>19</v>
      </c>
      <c r="N938" s="18" t="s">
        <v>1301</v>
      </c>
      <c r="O938">
        <v>30</v>
      </c>
    </row>
    <row r="939" spans="1:15" x14ac:dyDescent="0.25">
      <c r="A939" s="18" t="s">
        <v>7276</v>
      </c>
      <c r="B939" s="18" t="s">
        <v>7623</v>
      </c>
      <c r="C939" s="18" t="s">
        <v>7624</v>
      </c>
      <c r="D939" s="18" t="s">
        <v>1299</v>
      </c>
      <c r="E939" s="18" t="s">
        <v>7625</v>
      </c>
      <c r="F939" s="2">
        <f>+J939-I939</f>
        <v>1</v>
      </c>
      <c r="G939" s="2">
        <f ca="1">+TODAY()-I939</f>
        <v>1</v>
      </c>
      <c r="H939" s="15">
        <v>2363814</v>
      </c>
      <c r="I939" s="1">
        <v>46119</v>
      </c>
      <c r="J939" s="1">
        <v>46120</v>
      </c>
      <c r="K939" s="18" t="s">
        <v>17</v>
      </c>
      <c r="L939" s="18" t="s">
        <v>90</v>
      </c>
      <c r="M939" s="18" t="s">
        <v>19</v>
      </c>
      <c r="N939" s="18" t="s">
        <v>7626</v>
      </c>
      <c r="O939">
        <v>1</v>
      </c>
    </row>
    <row r="940" spans="1:15" x14ac:dyDescent="0.25">
      <c r="A940" s="18" t="s">
        <v>7276</v>
      </c>
      <c r="B940" s="18" t="s">
        <v>7623</v>
      </c>
      <c r="C940" s="18" t="s">
        <v>7624</v>
      </c>
      <c r="D940" s="18" t="s">
        <v>1299</v>
      </c>
      <c r="E940" s="18" t="s">
        <v>7627</v>
      </c>
      <c r="F940" s="2">
        <f>+J940-I940</f>
        <v>1</v>
      </c>
      <c r="G940" s="2">
        <f ca="1">+TODAY()-I940</f>
        <v>1</v>
      </c>
      <c r="H940" s="15">
        <v>3837196</v>
      </c>
      <c r="I940" s="1">
        <v>46119</v>
      </c>
      <c r="J940" s="1">
        <v>46120</v>
      </c>
      <c r="K940" s="18" t="s">
        <v>17</v>
      </c>
      <c r="L940" s="18" t="s">
        <v>90</v>
      </c>
      <c r="M940" s="18" t="s">
        <v>19</v>
      </c>
      <c r="N940" s="18" t="s">
        <v>7626</v>
      </c>
      <c r="O940">
        <v>1</v>
      </c>
    </row>
    <row r="941" spans="1:15" x14ac:dyDescent="0.25">
      <c r="A941" s="18" t="s">
        <v>7276</v>
      </c>
      <c r="B941" s="18" t="s">
        <v>7623</v>
      </c>
      <c r="C941" s="18" t="s">
        <v>7624</v>
      </c>
      <c r="D941" s="18" t="s">
        <v>1299</v>
      </c>
      <c r="E941" s="18" t="s">
        <v>7796</v>
      </c>
      <c r="F941" s="2">
        <f>+J941-I941</f>
        <v>1</v>
      </c>
      <c r="G941" s="2">
        <f ca="1">+TODAY()-I941</f>
        <v>1</v>
      </c>
      <c r="H941" s="15">
        <v>1783294</v>
      </c>
      <c r="I941" s="1">
        <v>46119</v>
      </c>
      <c r="J941" s="1">
        <v>46120</v>
      </c>
      <c r="K941" s="18" t="s">
        <v>1300</v>
      </c>
      <c r="L941" s="18" t="s">
        <v>90</v>
      </c>
      <c r="M941" s="18" t="s">
        <v>19</v>
      </c>
      <c r="N941" s="18" t="s">
        <v>7626</v>
      </c>
      <c r="O941">
        <v>1</v>
      </c>
    </row>
    <row r="942" spans="1:15" x14ac:dyDescent="0.25">
      <c r="A942" s="18" t="s">
        <v>7276</v>
      </c>
      <c r="B942" s="18" t="s">
        <v>7623</v>
      </c>
      <c r="C942" s="18" t="s">
        <v>7624</v>
      </c>
      <c r="D942" s="18" t="s">
        <v>1299</v>
      </c>
      <c r="E942" s="18" t="s">
        <v>7797</v>
      </c>
      <c r="F942" s="2">
        <f>+J942-I942</f>
        <v>1</v>
      </c>
      <c r="G942" s="2">
        <f ca="1">+TODAY()-I942</f>
        <v>1</v>
      </c>
      <c r="H942" s="15">
        <v>307802</v>
      </c>
      <c r="I942" s="1">
        <v>46119</v>
      </c>
      <c r="J942" s="1">
        <v>46120</v>
      </c>
      <c r="K942" s="18" t="s">
        <v>1300</v>
      </c>
      <c r="L942" s="18" t="s">
        <v>90</v>
      </c>
      <c r="M942" s="18" t="s">
        <v>19</v>
      </c>
      <c r="N942" s="18" t="s">
        <v>7626</v>
      </c>
      <c r="O942">
        <v>1</v>
      </c>
    </row>
    <row r="943" spans="1:15" x14ac:dyDescent="0.25">
      <c r="A943" s="18" t="s">
        <v>7276</v>
      </c>
      <c r="B943" s="18" t="s">
        <v>1767</v>
      </c>
      <c r="C943" s="18" t="s">
        <v>1768</v>
      </c>
      <c r="D943" s="18" t="s">
        <v>331</v>
      </c>
      <c r="E943" s="18" t="s">
        <v>5853</v>
      </c>
      <c r="F943" s="2">
        <f>+J943-I943</f>
        <v>30</v>
      </c>
      <c r="G943" s="2">
        <f ca="1">+TODAY()-I943</f>
        <v>28</v>
      </c>
      <c r="H943" s="15">
        <v>722026</v>
      </c>
      <c r="I943" s="1">
        <v>46092</v>
      </c>
      <c r="J943" s="1">
        <v>46122</v>
      </c>
      <c r="K943" s="18" t="s">
        <v>1758</v>
      </c>
      <c r="L943" s="18" t="s">
        <v>207</v>
      </c>
      <c r="M943" s="18" t="s">
        <v>19</v>
      </c>
      <c r="N943" s="18" t="s">
        <v>1769</v>
      </c>
      <c r="O943">
        <v>30</v>
      </c>
    </row>
    <row r="944" spans="1:15" x14ac:dyDescent="0.25">
      <c r="A944" s="18" t="s">
        <v>7276</v>
      </c>
      <c r="B944" s="18" t="s">
        <v>1767</v>
      </c>
      <c r="C944" s="18" t="s">
        <v>1768</v>
      </c>
      <c r="D944" s="18" t="s">
        <v>331</v>
      </c>
      <c r="E944" s="18" t="s">
        <v>5854</v>
      </c>
      <c r="F944" s="2">
        <f>+J944-I944</f>
        <v>30</v>
      </c>
      <c r="G944" s="2">
        <f ca="1">+TODAY()-I944</f>
        <v>28</v>
      </c>
      <c r="H944" s="15">
        <v>1908019</v>
      </c>
      <c r="I944" s="1">
        <v>46092</v>
      </c>
      <c r="J944" s="1">
        <v>46122</v>
      </c>
      <c r="K944" s="18" t="s">
        <v>1758</v>
      </c>
      <c r="L944" s="18" t="s">
        <v>207</v>
      </c>
      <c r="M944" s="18" t="s">
        <v>19</v>
      </c>
      <c r="N944" s="18" t="s">
        <v>1769</v>
      </c>
      <c r="O944">
        <v>30</v>
      </c>
    </row>
    <row r="945" spans="1:15" x14ac:dyDescent="0.25">
      <c r="A945" s="18" t="s">
        <v>7276</v>
      </c>
      <c r="B945" s="18" t="s">
        <v>1767</v>
      </c>
      <c r="C945" s="18" t="s">
        <v>1768</v>
      </c>
      <c r="D945" s="18" t="s">
        <v>331</v>
      </c>
      <c r="E945" s="18" t="s">
        <v>6371</v>
      </c>
      <c r="F945" s="2">
        <f>+J945-I945</f>
        <v>30</v>
      </c>
      <c r="G945" s="2">
        <f ca="1">+TODAY()-I945</f>
        <v>20</v>
      </c>
      <c r="H945" s="15">
        <v>962198</v>
      </c>
      <c r="I945" s="1">
        <v>46100</v>
      </c>
      <c r="J945" s="1">
        <v>46130</v>
      </c>
      <c r="K945" s="18" t="s">
        <v>1758</v>
      </c>
      <c r="L945" s="18" t="s">
        <v>207</v>
      </c>
      <c r="M945" s="18" t="s">
        <v>19</v>
      </c>
      <c r="N945" s="18" t="s">
        <v>1769</v>
      </c>
      <c r="O945">
        <v>30</v>
      </c>
    </row>
    <row r="946" spans="1:15" x14ac:dyDescent="0.25">
      <c r="A946" s="18" t="s">
        <v>7276</v>
      </c>
      <c r="B946" s="18" t="s">
        <v>1767</v>
      </c>
      <c r="C946" s="18" t="s">
        <v>1768</v>
      </c>
      <c r="D946" s="18" t="s">
        <v>331</v>
      </c>
      <c r="E946" s="18" t="s">
        <v>7615</v>
      </c>
      <c r="F946" s="2">
        <f>+J946-I946</f>
        <v>30</v>
      </c>
      <c r="G946" s="2">
        <f ca="1">+TODAY()-I946</f>
        <v>7</v>
      </c>
      <c r="H946" s="15">
        <v>1449952</v>
      </c>
      <c r="I946" s="1">
        <v>46113</v>
      </c>
      <c r="J946" s="1">
        <v>46143</v>
      </c>
      <c r="K946" s="18" t="s">
        <v>1758</v>
      </c>
      <c r="L946" s="18" t="s">
        <v>207</v>
      </c>
      <c r="M946" s="18" t="s">
        <v>19</v>
      </c>
      <c r="N946" s="18" t="s">
        <v>1769</v>
      </c>
      <c r="O946">
        <v>30</v>
      </c>
    </row>
    <row r="947" spans="1:15" x14ac:dyDescent="0.25">
      <c r="A947" s="18" t="s">
        <v>7276</v>
      </c>
      <c r="B947" s="18" t="s">
        <v>1767</v>
      </c>
      <c r="C947" s="18" t="s">
        <v>1768</v>
      </c>
      <c r="D947" s="18" t="s">
        <v>331</v>
      </c>
      <c r="E947" s="18" t="s">
        <v>7616</v>
      </c>
      <c r="F947" s="2">
        <f>+J947-I947</f>
        <v>30</v>
      </c>
      <c r="G947" s="2">
        <f ca="1">+TODAY()-I947</f>
        <v>7</v>
      </c>
      <c r="H947" s="15">
        <v>1211348</v>
      </c>
      <c r="I947" s="1">
        <v>46113</v>
      </c>
      <c r="J947" s="1">
        <v>46143</v>
      </c>
      <c r="K947" s="18" t="s">
        <v>1758</v>
      </c>
      <c r="L947" s="18" t="s">
        <v>207</v>
      </c>
      <c r="M947" s="18" t="s">
        <v>19</v>
      </c>
      <c r="N947" s="18" t="s">
        <v>1769</v>
      </c>
      <c r="O947">
        <v>30</v>
      </c>
    </row>
    <row r="948" spans="1:15" x14ac:dyDescent="0.25">
      <c r="A948" s="18" t="s">
        <v>7276</v>
      </c>
      <c r="B948" s="18" t="s">
        <v>2558</v>
      </c>
      <c r="C948" s="18" t="s">
        <v>2559</v>
      </c>
      <c r="D948" s="18" t="s">
        <v>1323</v>
      </c>
      <c r="E948" s="18" t="s">
        <v>6407</v>
      </c>
      <c r="F948" s="2">
        <f>+J948-I948</f>
        <v>30</v>
      </c>
      <c r="G948" s="2">
        <f ca="1">+TODAY()-I948</f>
        <v>14</v>
      </c>
      <c r="H948" s="15">
        <v>4425000</v>
      </c>
      <c r="I948" s="1">
        <v>46106</v>
      </c>
      <c r="J948" s="1">
        <v>46136</v>
      </c>
      <c r="K948" s="18" t="s">
        <v>17</v>
      </c>
      <c r="L948" s="18" t="s">
        <v>90</v>
      </c>
      <c r="M948" s="18" t="s">
        <v>19</v>
      </c>
      <c r="N948" s="18" t="s">
        <v>2561</v>
      </c>
      <c r="O948">
        <v>30</v>
      </c>
    </row>
    <row r="949" spans="1:15" x14ac:dyDescent="0.25">
      <c r="A949" s="18" t="s">
        <v>7276</v>
      </c>
      <c r="B949" s="18" t="s">
        <v>2558</v>
      </c>
      <c r="C949" s="18" t="s">
        <v>2559</v>
      </c>
      <c r="D949" s="18" t="s">
        <v>1323</v>
      </c>
      <c r="E949" s="18" t="s">
        <v>5285</v>
      </c>
      <c r="F949" s="2">
        <f>+J949-I949</f>
        <v>30</v>
      </c>
      <c r="G949" s="2">
        <f ca="1">+TODAY()-I949</f>
        <v>41</v>
      </c>
      <c r="H949" s="15">
        <v>570822</v>
      </c>
      <c r="I949" s="1">
        <v>46079</v>
      </c>
      <c r="J949" s="1">
        <v>46109</v>
      </c>
      <c r="K949" s="18" t="s">
        <v>1325</v>
      </c>
      <c r="L949" s="18" t="s">
        <v>90</v>
      </c>
      <c r="M949" s="18" t="s">
        <v>19</v>
      </c>
      <c r="N949" s="18" t="s">
        <v>2561</v>
      </c>
      <c r="O949">
        <v>30</v>
      </c>
    </row>
    <row r="950" spans="1:15" x14ac:dyDescent="0.25">
      <c r="A950" s="18" t="s">
        <v>7276</v>
      </c>
      <c r="B950" s="18" t="s">
        <v>2558</v>
      </c>
      <c r="C950" s="18" t="s">
        <v>2559</v>
      </c>
      <c r="D950" s="18" t="s">
        <v>1323</v>
      </c>
      <c r="E950" s="18" t="s">
        <v>5286</v>
      </c>
      <c r="F950" s="2">
        <f>+J950-I950</f>
        <v>30</v>
      </c>
      <c r="G950" s="2">
        <f ca="1">+TODAY()-I950</f>
        <v>41</v>
      </c>
      <c r="H950" s="15">
        <v>5232002</v>
      </c>
      <c r="I950" s="1">
        <v>46079</v>
      </c>
      <c r="J950" s="1">
        <v>46109</v>
      </c>
      <c r="K950" s="18" t="s">
        <v>1325</v>
      </c>
      <c r="L950" s="18" t="s">
        <v>90</v>
      </c>
      <c r="M950" s="18" t="s">
        <v>19</v>
      </c>
      <c r="N950" s="18" t="s">
        <v>2561</v>
      </c>
      <c r="O950">
        <v>30</v>
      </c>
    </row>
    <row r="951" spans="1:15" x14ac:dyDescent="0.25">
      <c r="A951" s="18" t="s">
        <v>7276</v>
      </c>
      <c r="B951" s="18" t="s">
        <v>2558</v>
      </c>
      <c r="C951" s="18" t="s">
        <v>2559</v>
      </c>
      <c r="D951" s="18" t="s">
        <v>1323</v>
      </c>
      <c r="E951" s="18" t="s">
        <v>5787</v>
      </c>
      <c r="F951" s="2">
        <f>+J951-I951</f>
        <v>30</v>
      </c>
      <c r="G951" s="2">
        <f ca="1">+TODAY()-I951</f>
        <v>28</v>
      </c>
      <c r="H951" s="15">
        <v>3490314</v>
      </c>
      <c r="I951" s="1">
        <v>46092</v>
      </c>
      <c r="J951" s="1">
        <v>46122</v>
      </c>
      <c r="K951" s="18" t="s">
        <v>1325</v>
      </c>
      <c r="L951" s="18" t="s">
        <v>90</v>
      </c>
      <c r="M951" s="18" t="s">
        <v>19</v>
      </c>
      <c r="N951" s="18" t="s">
        <v>2561</v>
      </c>
      <c r="O951">
        <v>30</v>
      </c>
    </row>
    <row r="952" spans="1:15" x14ac:dyDescent="0.25">
      <c r="A952" s="18" t="s">
        <v>7276</v>
      </c>
      <c r="B952" s="18" t="s">
        <v>2558</v>
      </c>
      <c r="C952" s="18" t="s">
        <v>2559</v>
      </c>
      <c r="D952" s="18" t="s">
        <v>1323</v>
      </c>
      <c r="E952" s="18" t="s">
        <v>5788</v>
      </c>
      <c r="F952" s="2">
        <f>+J952-I952</f>
        <v>30</v>
      </c>
      <c r="G952" s="2">
        <f ca="1">+TODAY()-I952</f>
        <v>28</v>
      </c>
      <c r="H952" s="15">
        <v>22306520</v>
      </c>
      <c r="I952" s="1">
        <v>46092</v>
      </c>
      <c r="J952" s="1">
        <v>46122</v>
      </c>
      <c r="K952" s="18" t="s">
        <v>1325</v>
      </c>
      <c r="L952" s="18" t="s">
        <v>90</v>
      </c>
      <c r="M952" s="18" t="s">
        <v>19</v>
      </c>
      <c r="N952" s="18" t="s">
        <v>2561</v>
      </c>
      <c r="O952">
        <v>30</v>
      </c>
    </row>
    <row r="953" spans="1:15" x14ac:dyDescent="0.25">
      <c r="A953" s="18" t="s">
        <v>7276</v>
      </c>
      <c r="B953" s="18" t="s">
        <v>2558</v>
      </c>
      <c r="C953" s="18" t="s">
        <v>2559</v>
      </c>
      <c r="D953" s="18" t="s">
        <v>1323</v>
      </c>
      <c r="E953" s="18" t="s">
        <v>6595</v>
      </c>
      <c r="F953" s="2">
        <f>+J953-I953</f>
        <v>30</v>
      </c>
      <c r="G953" s="2">
        <f ca="1">+TODAY()-I953</f>
        <v>12</v>
      </c>
      <c r="H953" s="15">
        <v>7567361</v>
      </c>
      <c r="I953" s="1">
        <v>46108</v>
      </c>
      <c r="J953" s="1">
        <v>46138</v>
      </c>
      <c r="K953" s="18" t="s">
        <v>1325</v>
      </c>
      <c r="L953" s="18" t="s">
        <v>90</v>
      </c>
      <c r="M953" s="18" t="s">
        <v>19</v>
      </c>
      <c r="N953" s="18" t="s">
        <v>2561</v>
      </c>
      <c r="O953">
        <v>30</v>
      </c>
    </row>
    <row r="954" spans="1:15" x14ac:dyDescent="0.25">
      <c r="A954" s="18" t="s">
        <v>7276</v>
      </c>
      <c r="B954" s="18" t="s">
        <v>2558</v>
      </c>
      <c r="C954" s="18" t="s">
        <v>2559</v>
      </c>
      <c r="D954" s="18" t="s">
        <v>1323</v>
      </c>
      <c r="E954" s="18" t="s">
        <v>6596</v>
      </c>
      <c r="F954" s="2">
        <f>+J954-I954</f>
        <v>30</v>
      </c>
      <c r="G954" s="2">
        <f ca="1">+TODAY()-I954</f>
        <v>12</v>
      </c>
      <c r="H954" s="15">
        <v>4072043</v>
      </c>
      <c r="I954" s="1">
        <v>46108</v>
      </c>
      <c r="J954" s="1">
        <v>46138</v>
      </c>
      <c r="K954" s="18" t="s">
        <v>1325</v>
      </c>
      <c r="L954" s="18" t="s">
        <v>90</v>
      </c>
      <c r="M954" s="18" t="s">
        <v>19</v>
      </c>
      <c r="N954" s="18" t="s">
        <v>2561</v>
      </c>
      <c r="O954">
        <v>30</v>
      </c>
    </row>
    <row r="955" spans="1:15" x14ac:dyDescent="0.25">
      <c r="A955" s="18" t="s">
        <v>7276</v>
      </c>
      <c r="B955" s="18" t="s">
        <v>7175</v>
      </c>
      <c r="C955" s="18" t="s">
        <v>7176</v>
      </c>
      <c r="D955" s="18" t="s">
        <v>1250</v>
      </c>
      <c r="E955" s="18" t="s">
        <v>7177</v>
      </c>
      <c r="F955" s="2">
        <f>+J955-I955</f>
        <v>1</v>
      </c>
      <c r="G955" s="2">
        <f ca="1">+TODAY()-I955</f>
        <v>9</v>
      </c>
      <c r="H955" s="15">
        <v>212400</v>
      </c>
      <c r="I955" s="1">
        <v>46111</v>
      </c>
      <c r="J955" s="1">
        <v>46112</v>
      </c>
      <c r="K955" s="18" t="s">
        <v>1243</v>
      </c>
      <c r="L955" s="18" t="s">
        <v>312</v>
      </c>
      <c r="M955" s="18" t="s">
        <v>19</v>
      </c>
      <c r="N955" s="18" t="s">
        <v>7178</v>
      </c>
      <c r="O955">
        <v>30</v>
      </c>
    </row>
    <row r="956" spans="1:15" x14ac:dyDescent="0.25">
      <c r="A956" s="18" t="s">
        <v>7276</v>
      </c>
      <c r="B956" s="18" t="s">
        <v>329</v>
      </c>
      <c r="C956" s="18" t="s">
        <v>330</v>
      </c>
      <c r="D956" s="18" t="s">
        <v>331</v>
      </c>
      <c r="E956" s="18" t="s">
        <v>5858</v>
      </c>
      <c r="F956" s="2">
        <f>+J956-I956</f>
        <v>15</v>
      </c>
      <c r="G956" s="2">
        <f ca="1">+TODAY()-I956</f>
        <v>32</v>
      </c>
      <c r="H956" s="15">
        <v>896142</v>
      </c>
      <c r="I956" s="1">
        <v>46088</v>
      </c>
      <c r="J956" s="1">
        <v>46103</v>
      </c>
      <c r="K956" s="18" t="s">
        <v>1758</v>
      </c>
      <c r="L956" s="18" t="s">
        <v>317</v>
      </c>
      <c r="M956" s="18" t="s">
        <v>19</v>
      </c>
      <c r="N956" s="18" t="s">
        <v>332</v>
      </c>
      <c r="O956">
        <v>15</v>
      </c>
    </row>
    <row r="957" spans="1:15" x14ac:dyDescent="0.25">
      <c r="A957" s="18" t="s">
        <v>7276</v>
      </c>
      <c r="B957" s="18" t="s">
        <v>329</v>
      </c>
      <c r="C957" s="18" t="s">
        <v>330</v>
      </c>
      <c r="D957" s="18" t="s">
        <v>331</v>
      </c>
      <c r="E957" s="18" t="s">
        <v>6121</v>
      </c>
      <c r="F957" s="2">
        <f>+J957-I957</f>
        <v>15</v>
      </c>
      <c r="G957" s="2">
        <f ca="1">+TODAY()-I957</f>
        <v>25</v>
      </c>
      <c r="H957" s="15">
        <v>1956187</v>
      </c>
      <c r="I957" s="1">
        <v>46095</v>
      </c>
      <c r="J957" s="1">
        <v>46110</v>
      </c>
      <c r="K957" s="18" t="s">
        <v>1758</v>
      </c>
      <c r="L957" s="18" t="s">
        <v>317</v>
      </c>
      <c r="M957" s="18" t="s">
        <v>19</v>
      </c>
      <c r="N957" s="18" t="s">
        <v>332</v>
      </c>
      <c r="O957">
        <v>15</v>
      </c>
    </row>
    <row r="958" spans="1:15" x14ac:dyDescent="0.25">
      <c r="A958" s="18" t="s">
        <v>7276</v>
      </c>
      <c r="B958" s="18" t="s">
        <v>329</v>
      </c>
      <c r="C958" s="18" t="s">
        <v>330</v>
      </c>
      <c r="D958" s="18" t="s">
        <v>331</v>
      </c>
      <c r="E958" s="18" t="s">
        <v>6372</v>
      </c>
      <c r="F958" s="2">
        <f>+J958-I958</f>
        <v>15</v>
      </c>
      <c r="G958" s="2">
        <f ca="1">+TODAY()-I958</f>
        <v>18</v>
      </c>
      <c r="H958" s="15">
        <v>1965007</v>
      </c>
      <c r="I958" s="1">
        <v>46102</v>
      </c>
      <c r="J958" s="1">
        <v>46117</v>
      </c>
      <c r="K958" s="18" t="s">
        <v>1758</v>
      </c>
      <c r="L958" s="18" t="s">
        <v>317</v>
      </c>
      <c r="M958" s="18" t="s">
        <v>19</v>
      </c>
      <c r="N958" s="18" t="s">
        <v>332</v>
      </c>
      <c r="O958">
        <v>15</v>
      </c>
    </row>
    <row r="959" spans="1:15" x14ac:dyDescent="0.25">
      <c r="A959" s="18" t="s">
        <v>7276</v>
      </c>
      <c r="B959" s="18" t="s">
        <v>7251</v>
      </c>
      <c r="C959" s="18" t="s">
        <v>7252</v>
      </c>
      <c r="D959" s="18" t="s">
        <v>1947</v>
      </c>
      <c r="E959" s="18" t="s">
        <v>7253</v>
      </c>
      <c r="F959" s="2">
        <f>+J959-I959</f>
        <v>1</v>
      </c>
      <c r="G959" s="2">
        <f ca="1">+TODAY()-I959</f>
        <v>9</v>
      </c>
      <c r="H959" s="15">
        <v>128878</v>
      </c>
      <c r="I959" s="1">
        <v>46111</v>
      </c>
      <c r="J959" s="1">
        <v>46112</v>
      </c>
      <c r="K959" s="18" t="s">
        <v>1734</v>
      </c>
      <c r="L959" s="18" t="s">
        <v>312</v>
      </c>
      <c r="M959" s="18" t="s">
        <v>19</v>
      </c>
      <c r="N959" s="18" t="s">
        <v>7254</v>
      </c>
      <c r="O959">
        <v>30</v>
      </c>
    </row>
    <row r="960" spans="1:15" x14ac:dyDescent="0.25">
      <c r="A960" s="18" t="s">
        <v>7276</v>
      </c>
      <c r="B960" s="18" t="s">
        <v>7251</v>
      </c>
      <c r="C960" s="18" t="s">
        <v>7252</v>
      </c>
      <c r="D960" s="18" t="s">
        <v>1947</v>
      </c>
      <c r="E960" s="18" t="s">
        <v>7255</v>
      </c>
      <c r="F960" s="2">
        <f>+J960-I960</f>
        <v>1</v>
      </c>
      <c r="G960" s="2">
        <f ca="1">+TODAY()-I960</f>
        <v>9</v>
      </c>
      <c r="H960" s="15">
        <v>117596</v>
      </c>
      <c r="I960" s="1">
        <v>46111</v>
      </c>
      <c r="J960" s="1">
        <v>46112</v>
      </c>
      <c r="K960" s="18" t="s">
        <v>1734</v>
      </c>
      <c r="L960" s="18" t="s">
        <v>312</v>
      </c>
      <c r="M960" s="18" t="s">
        <v>19</v>
      </c>
      <c r="N960" s="18" t="s">
        <v>7254</v>
      </c>
      <c r="O960">
        <v>30</v>
      </c>
    </row>
    <row r="961" spans="1:15" x14ac:dyDescent="0.25">
      <c r="A961" s="18" t="s">
        <v>7276</v>
      </c>
      <c r="B961" s="18" t="s">
        <v>1861</v>
      </c>
      <c r="C961" s="18" t="s">
        <v>1862</v>
      </c>
      <c r="D961" s="18" t="s">
        <v>1190</v>
      </c>
      <c r="E961" s="18" t="s">
        <v>2178</v>
      </c>
      <c r="F961" s="2">
        <f>+J961-I961</f>
        <v>30</v>
      </c>
      <c r="G961" s="2">
        <f ca="1">+TODAY()-I961</f>
        <v>134</v>
      </c>
      <c r="H961" s="15">
        <v>1844751</v>
      </c>
      <c r="I961" s="1">
        <v>45986</v>
      </c>
      <c r="J961" s="1">
        <v>46016</v>
      </c>
      <c r="K961" s="18" t="s">
        <v>1183</v>
      </c>
      <c r="L961" s="18" t="s">
        <v>984</v>
      </c>
      <c r="M961" s="18" t="s">
        <v>19</v>
      </c>
      <c r="N961" s="18" t="s">
        <v>1864</v>
      </c>
      <c r="O961">
        <v>30</v>
      </c>
    </row>
    <row r="962" spans="1:15" x14ac:dyDescent="0.25">
      <c r="A962" s="18" t="s">
        <v>7276</v>
      </c>
      <c r="B962" s="18" t="s">
        <v>1861</v>
      </c>
      <c r="C962" s="18" t="s">
        <v>1862</v>
      </c>
      <c r="D962" s="18" t="s">
        <v>1190</v>
      </c>
      <c r="E962" s="18" t="s">
        <v>2165</v>
      </c>
      <c r="F962" s="2">
        <f>+J962-I962</f>
        <v>30</v>
      </c>
      <c r="G962" s="2">
        <f ca="1">+TODAY()-I962</f>
        <v>139</v>
      </c>
      <c r="H962" s="15">
        <v>716274</v>
      </c>
      <c r="I962" s="1">
        <v>45981</v>
      </c>
      <c r="J962" s="1">
        <v>46011</v>
      </c>
      <c r="K962" s="18" t="s">
        <v>1863</v>
      </c>
      <c r="L962" s="18" t="s">
        <v>984</v>
      </c>
      <c r="M962" s="18" t="s">
        <v>19</v>
      </c>
      <c r="N962" s="18" t="s">
        <v>1864</v>
      </c>
      <c r="O962">
        <v>30</v>
      </c>
    </row>
    <row r="963" spans="1:15" x14ac:dyDescent="0.25">
      <c r="A963" s="18" t="s">
        <v>7276</v>
      </c>
      <c r="B963" s="18" t="s">
        <v>1861</v>
      </c>
      <c r="C963" s="18" t="s">
        <v>1862</v>
      </c>
      <c r="D963" s="18" t="s">
        <v>1190</v>
      </c>
      <c r="E963" s="18" t="s">
        <v>2166</v>
      </c>
      <c r="F963" s="2">
        <f>+J963-I963</f>
        <v>30</v>
      </c>
      <c r="G963" s="2">
        <f ca="1">+TODAY()-I963</f>
        <v>139</v>
      </c>
      <c r="H963" s="15">
        <v>7679991</v>
      </c>
      <c r="I963" s="1">
        <v>45981</v>
      </c>
      <c r="J963" s="1">
        <v>46011</v>
      </c>
      <c r="K963" s="18" t="s">
        <v>1863</v>
      </c>
      <c r="L963" s="18" t="s">
        <v>984</v>
      </c>
      <c r="M963" s="18" t="s">
        <v>19</v>
      </c>
      <c r="N963" s="18" t="s">
        <v>1864</v>
      </c>
      <c r="O963">
        <v>30</v>
      </c>
    </row>
    <row r="964" spans="1:15" x14ac:dyDescent="0.25">
      <c r="A964" s="18" t="s">
        <v>7276</v>
      </c>
      <c r="B964" s="18" t="s">
        <v>1861</v>
      </c>
      <c r="C964" s="18" t="s">
        <v>1862</v>
      </c>
      <c r="D964" s="18" t="s">
        <v>1190</v>
      </c>
      <c r="E964" s="18" t="s">
        <v>2167</v>
      </c>
      <c r="F964" s="2">
        <f>+J964-I964</f>
        <v>30</v>
      </c>
      <c r="G964" s="2">
        <f ca="1">+TODAY()-I964</f>
        <v>139</v>
      </c>
      <c r="H964" s="15">
        <v>4880000</v>
      </c>
      <c r="I964" s="1">
        <v>45981</v>
      </c>
      <c r="J964" s="1">
        <v>46011</v>
      </c>
      <c r="K964" s="18" t="s">
        <v>1863</v>
      </c>
      <c r="L964" s="18" t="s">
        <v>984</v>
      </c>
      <c r="M964" s="18" t="s">
        <v>19</v>
      </c>
      <c r="N964" s="18" t="s">
        <v>1864</v>
      </c>
      <c r="O964">
        <v>30</v>
      </c>
    </row>
    <row r="965" spans="1:15" x14ac:dyDescent="0.25">
      <c r="A965" s="18" t="s">
        <v>7276</v>
      </c>
      <c r="B965" s="18" t="s">
        <v>1861</v>
      </c>
      <c r="C965" s="18" t="s">
        <v>1862</v>
      </c>
      <c r="D965" s="18" t="s">
        <v>1190</v>
      </c>
      <c r="E965" s="18" t="s">
        <v>2168</v>
      </c>
      <c r="F965" s="2">
        <f>+J965-I965</f>
        <v>30</v>
      </c>
      <c r="G965" s="2">
        <f ca="1">+TODAY()-I965</f>
        <v>139</v>
      </c>
      <c r="H965" s="15">
        <v>3586968</v>
      </c>
      <c r="I965" s="1">
        <v>45981</v>
      </c>
      <c r="J965" s="1">
        <v>46011</v>
      </c>
      <c r="K965" s="18" t="s">
        <v>1863</v>
      </c>
      <c r="L965" s="18" t="s">
        <v>984</v>
      </c>
      <c r="M965" s="18" t="s">
        <v>19</v>
      </c>
      <c r="N965" s="18" t="s">
        <v>1864</v>
      </c>
      <c r="O965">
        <v>30</v>
      </c>
    </row>
    <row r="966" spans="1:15" x14ac:dyDescent="0.25">
      <c r="A966" s="18" t="s">
        <v>7276</v>
      </c>
      <c r="B966" s="18" t="s">
        <v>1861</v>
      </c>
      <c r="C966" s="18" t="s">
        <v>1862</v>
      </c>
      <c r="D966" s="18" t="s">
        <v>1190</v>
      </c>
      <c r="E966" s="18" t="s">
        <v>2189</v>
      </c>
      <c r="F966" s="2">
        <f>+J966-I966</f>
        <v>30</v>
      </c>
      <c r="G966" s="2">
        <f ca="1">+TODAY()-I966</f>
        <v>134</v>
      </c>
      <c r="H966" s="15">
        <v>1962000</v>
      </c>
      <c r="I966" s="1">
        <v>45986</v>
      </c>
      <c r="J966" s="1">
        <v>46016</v>
      </c>
      <c r="K966" s="18" t="s">
        <v>1863</v>
      </c>
      <c r="L966" s="18" t="s">
        <v>984</v>
      </c>
      <c r="M966" s="18" t="s">
        <v>19</v>
      </c>
      <c r="N966" s="18" t="s">
        <v>1864</v>
      </c>
      <c r="O966">
        <v>30</v>
      </c>
    </row>
    <row r="967" spans="1:15" x14ac:dyDescent="0.25">
      <c r="A967" s="18" t="s">
        <v>7276</v>
      </c>
      <c r="B967" s="18" t="s">
        <v>1861</v>
      </c>
      <c r="C967" s="18" t="s">
        <v>1862</v>
      </c>
      <c r="D967" s="18" t="s">
        <v>1190</v>
      </c>
      <c r="E967" s="18" t="s">
        <v>2190</v>
      </c>
      <c r="F967" s="2">
        <f>+J967-I967</f>
        <v>30</v>
      </c>
      <c r="G967" s="2">
        <f ca="1">+TODAY()-I967</f>
        <v>134</v>
      </c>
      <c r="H967" s="15">
        <v>2907242</v>
      </c>
      <c r="I967" s="1">
        <v>45986</v>
      </c>
      <c r="J967" s="1">
        <v>46016</v>
      </c>
      <c r="K967" s="18" t="s">
        <v>1863</v>
      </c>
      <c r="L967" s="18" t="s">
        <v>984</v>
      </c>
      <c r="M967" s="18" t="s">
        <v>19</v>
      </c>
      <c r="N967" s="18" t="s">
        <v>1864</v>
      </c>
      <c r="O967">
        <v>30</v>
      </c>
    </row>
    <row r="968" spans="1:15" x14ac:dyDescent="0.25">
      <c r="A968" s="18" t="s">
        <v>7276</v>
      </c>
      <c r="B968" s="18" t="s">
        <v>1861</v>
      </c>
      <c r="C968" s="18" t="s">
        <v>1862</v>
      </c>
      <c r="D968" s="18" t="s">
        <v>1190</v>
      </c>
      <c r="E968" s="18" t="s">
        <v>2191</v>
      </c>
      <c r="F968" s="2">
        <f>+J968-I968</f>
        <v>30</v>
      </c>
      <c r="G968" s="2">
        <f ca="1">+TODAY()-I968</f>
        <v>134</v>
      </c>
      <c r="H968" s="15">
        <v>2191011</v>
      </c>
      <c r="I968" s="1">
        <v>45986</v>
      </c>
      <c r="J968" s="1">
        <v>46016</v>
      </c>
      <c r="K968" s="18" t="s">
        <v>1863</v>
      </c>
      <c r="L968" s="18" t="s">
        <v>984</v>
      </c>
      <c r="M968" s="18" t="s">
        <v>19</v>
      </c>
      <c r="N968" s="18" t="s">
        <v>1864</v>
      </c>
      <c r="O968">
        <v>30</v>
      </c>
    </row>
    <row r="969" spans="1:15" x14ac:dyDescent="0.25">
      <c r="A969" s="18" t="s">
        <v>7276</v>
      </c>
      <c r="B969" s="18" t="s">
        <v>1861</v>
      </c>
      <c r="C969" s="18" t="s">
        <v>1862</v>
      </c>
      <c r="D969" s="18" t="s">
        <v>1190</v>
      </c>
      <c r="E969" s="18" t="s">
        <v>2192</v>
      </c>
      <c r="F969" s="2">
        <f>+J969-I969</f>
        <v>30</v>
      </c>
      <c r="G969" s="2">
        <f ca="1">+TODAY()-I969</f>
        <v>134</v>
      </c>
      <c r="H969" s="15">
        <v>2431199</v>
      </c>
      <c r="I969" s="1">
        <v>45986</v>
      </c>
      <c r="J969" s="1">
        <v>46016</v>
      </c>
      <c r="K969" s="18" t="s">
        <v>1863</v>
      </c>
      <c r="L969" s="18" t="s">
        <v>984</v>
      </c>
      <c r="M969" s="18" t="s">
        <v>19</v>
      </c>
      <c r="N969" s="18" t="s">
        <v>1864</v>
      </c>
      <c r="O969">
        <v>30</v>
      </c>
    </row>
    <row r="970" spans="1:15" x14ac:dyDescent="0.25">
      <c r="A970" s="18" t="s">
        <v>7276</v>
      </c>
      <c r="B970" s="18" t="s">
        <v>1861</v>
      </c>
      <c r="C970" s="18" t="s">
        <v>1862</v>
      </c>
      <c r="D970" s="18" t="s">
        <v>1190</v>
      </c>
      <c r="E970" s="18" t="s">
        <v>2194</v>
      </c>
      <c r="F970" s="2">
        <f>+J970-I970</f>
        <v>30</v>
      </c>
      <c r="G970" s="2">
        <f ca="1">+TODAY()-I970</f>
        <v>134</v>
      </c>
      <c r="H970" s="15">
        <v>1815000</v>
      </c>
      <c r="I970" s="1">
        <v>45986</v>
      </c>
      <c r="J970" s="1">
        <v>46016</v>
      </c>
      <c r="K970" s="18" t="s">
        <v>1863</v>
      </c>
      <c r="L970" s="18" t="s">
        <v>984</v>
      </c>
      <c r="M970" s="18" t="s">
        <v>19</v>
      </c>
      <c r="N970" s="18" t="s">
        <v>1864</v>
      </c>
      <c r="O970">
        <v>30</v>
      </c>
    </row>
    <row r="971" spans="1:15" x14ac:dyDescent="0.25">
      <c r="A971" s="18" t="s">
        <v>7276</v>
      </c>
      <c r="B971" s="18" t="s">
        <v>1861</v>
      </c>
      <c r="C971" s="18" t="s">
        <v>1862</v>
      </c>
      <c r="D971" s="18" t="s">
        <v>1190</v>
      </c>
      <c r="E971" s="18" t="s">
        <v>2195</v>
      </c>
      <c r="F971" s="2">
        <f>+J971-I971</f>
        <v>30</v>
      </c>
      <c r="G971" s="2">
        <f ca="1">+TODAY()-I971</f>
        <v>134</v>
      </c>
      <c r="H971" s="15">
        <v>2332051</v>
      </c>
      <c r="I971" s="1">
        <v>45986</v>
      </c>
      <c r="J971" s="1">
        <v>46016</v>
      </c>
      <c r="K971" s="18" t="s">
        <v>1863</v>
      </c>
      <c r="L971" s="18" t="s">
        <v>984</v>
      </c>
      <c r="M971" s="18" t="s">
        <v>19</v>
      </c>
      <c r="N971" s="18" t="s">
        <v>1864</v>
      </c>
      <c r="O971">
        <v>30</v>
      </c>
    </row>
    <row r="972" spans="1:15" x14ac:dyDescent="0.25">
      <c r="A972" s="18" t="s">
        <v>7276</v>
      </c>
      <c r="B972" s="18" t="s">
        <v>1861</v>
      </c>
      <c r="C972" s="18" t="s">
        <v>1862</v>
      </c>
      <c r="D972" s="18" t="s">
        <v>1190</v>
      </c>
      <c r="E972" s="18" t="s">
        <v>5065</v>
      </c>
      <c r="F972" s="2">
        <f>+J972-I972</f>
        <v>1</v>
      </c>
      <c r="G972" s="2">
        <f ca="1">+TODAY()-I972</f>
        <v>63</v>
      </c>
      <c r="H972" s="15">
        <v>1380000</v>
      </c>
      <c r="I972" s="1">
        <v>46057</v>
      </c>
      <c r="J972" s="1">
        <v>46058</v>
      </c>
      <c r="K972" s="18" t="s">
        <v>1863</v>
      </c>
      <c r="L972" s="18" t="s">
        <v>984</v>
      </c>
      <c r="M972" s="18" t="s">
        <v>19</v>
      </c>
      <c r="N972" s="18" t="s">
        <v>1864</v>
      </c>
      <c r="O972">
        <v>30</v>
      </c>
    </row>
    <row r="973" spans="1:15" x14ac:dyDescent="0.25">
      <c r="A973" s="18" t="s">
        <v>7276</v>
      </c>
      <c r="B973" s="18" t="s">
        <v>1861</v>
      </c>
      <c r="C973" s="18" t="s">
        <v>1862</v>
      </c>
      <c r="D973" s="18" t="s">
        <v>1190</v>
      </c>
      <c r="E973" s="18" t="s">
        <v>5066</v>
      </c>
      <c r="F973" s="2">
        <f>+J973-I973</f>
        <v>1</v>
      </c>
      <c r="G973" s="2">
        <f ca="1">+TODAY()-I973</f>
        <v>63</v>
      </c>
      <c r="H973" s="15">
        <v>1380000</v>
      </c>
      <c r="I973" s="1">
        <v>46057</v>
      </c>
      <c r="J973" s="1">
        <v>46058</v>
      </c>
      <c r="K973" s="18" t="s">
        <v>1863</v>
      </c>
      <c r="L973" s="18" t="s">
        <v>984</v>
      </c>
      <c r="M973" s="18" t="s">
        <v>19</v>
      </c>
      <c r="N973" s="18" t="s">
        <v>1864</v>
      </c>
      <c r="O973">
        <v>30</v>
      </c>
    </row>
    <row r="974" spans="1:15" x14ac:dyDescent="0.25">
      <c r="A974" s="18" t="s">
        <v>7276</v>
      </c>
      <c r="B974" s="18" t="s">
        <v>1861</v>
      </c>
      <c r="C974" s="18" t="s">
        <v>1862</v>
      </c>
      <c r="D974" s="18" t="s">
        <v>1190</v>
      </c>
      <c r="E974" s="18" t="s">
        <v>5067</v>
      </c>
      <c r="F974" s="2">
        <f>+J974-I974</f>
        <v>1</v>
      </c>
      <c r="G974" s="2">
        <f ca="1">+TODAY()-I974</f>
        <v>63</v>
      </c>
      <c r="H974" s="15">
        <v>1464000</v>
      </c>
      <c r="I974" s="1">
        <v>46057</v>
      </c>
      <c r="J974" s="1">
        <v>46058</v>
      </c>
      <c r="K974" s="18" t="s">
        <v>1863</v>
      </c>
      <c r="L974" s="18" t="s">
        <v>984</v>
      </c>
      <c r="M974" s="18" t="s">
        <v>19</v>
      </c>
      <c r="N974" s="18" t="s">
        <v>1864</v>
      </c>
      <c r="O974">
        <v>30</v>
      </c>
    </row>
    <row r="975" spans="1:15" x14ac:dyDescent="0.25">
      <c r="A975" s="18" t="s">
        <v>7276</v>
      </c>
      <c r="B975" s="18" t="s">
        <v>1861</v>
      </c>
      <c r="C975" s="18" t="s">
        <v>1862</v>
      </c>
      <c r="D975" s="18" t="s">
        <v>1190</v>
      </c>
      <c r="E975" s="18" t="s">
        <v>5184</v>
      </c>
      <c r="F975" s="2">
        <f>+J975-I975</f>
        <v>1</v>
      </c>
      <c r="G975" s="2">
        <f ca="1">+TODAY()-I975</f>
        <v>49</v>
      </c>
      <c r="H975" s="15">
        <v>1135779</v>
      </c>
      <c r="I975" s="1">
        <v>46071</v>
      </c>
      <c r="J975" s="1">
        <v>46072</v>
      </c>
      <c r="K975" s="18" t="s">
        <v>1863</v>
      </c>
      <c r="L975" s="18" t="s">
        <v>984</v>
      </c>
      <c r="M975" s="18" t="s">
        <v>19</v>
      </c>
      <c r="N975" s="18" t="s">
        <v>1864</v>
      </c>
      <c r="O975">
        <v>30</v>
      </c>
    </row>
    <row r="976" spans="1:15" x14ac:dyDescent="0.25">
      <c r="A976" s="18" t="s">
        <v>7276</v>
      </c>
      <c r="B976" s="18" t="s">
        <v>1744</v>
      </c>
      <c r="C976" s="18" t="s">
        <v>1745</v>
      </c>
      <c r="D976" s="18" t="s">
        <v>1740</v>
      </c>
      <c r="E976" s="18" t="s">
        <v>5036</v>
      </c>
      <c r="F976" s="2">
        <f>+J976-I976</f>
        <v>30</v>
      </c>
      <c r="G976" s="2">
        <f ca="1">+TODAY()-I976</f>
        <v>61</v>
      </c>
      <c r="H976" s="15">
        <v>1620826</v>
      </c>
      <c r="I976" s="1">
        <v>46059</v>
      </c>
      <c r="J976" s="1">
        <v>46089</v>
      </c>
      <c r="K976" s="18" t="s">
        <v>1470</v>
      </c>
      <c r="L976" s="18" t="s">
        <v>981</v>
      </c>
      <c r="M976" s="18" t="s">
        <v>19</v>
      </c>
      <c r="N976" s="18" t="s">
        <v>1746</v>
      </c>
      <c r="O976">
        <v>30</v>
      </c>
    </row>
    <row r="977" spans="1:15" x14ac:dyDescent="0.25">
      <c r="A977" s="18" t="s">
        <v>7276</v>
      </c>
      <c r="B977" s="18" t="s">
        <v>1744</v>
      </c>
      <c r="C977" s="18" t="s">
        <v>1745</v>
      </c>
      <c r="D977" s="18" t="s">
        <v>1740</v>
      </c>
      <c r="E977" s="18" t="s">
        <v>5037</v>
      </c>
      <c r="F977" s="2">
        <f>+J977-I977</f>
        <v>30</v>
      </c>
      <c r="G977" s="2">
        <f ca="1">+TODAY()-I977</f>
        <v>61</v>
      </c>
      <c r="H977" s="15">
        <v>1635568</v>
      </c>
      <c r="I977" s="1">
        <v>46059</v>
      </c>
      <c r="J977" s="1">
        <v>46089</v>
      </c>
      <c r="K977" s="18" t="s">
        <v>1470</v>
      </c>
      <c r="L977" s="18" t="s">
        <v>981</v>
      </c>
      <c r="M977" s="18" t="s">
        <v>19</v>
      </c>
      <c r="N977" s="18" t="s">
        <v>1746</v>
      </c>
      <c r="O977">
        <v>30</v>
      </c>
    </row>
    <row r="978" spans="1:15" x14ac:dyDescent="0.25">
      <c r="A978" s="18" t="s">
        <v>7276</v>
      </c>
      <c r="B978" s="18" t="s">
        <v>7293</v>
      </c>
      <c r="C978" s="18" t="s">
        <v>7294</v>
      </c>
      <c r="D978" s="18" t="s">
        <v>46</v>
      </c>
      <c r="E978" s="18" t="s">
        <v>7295</v>
      </c>
      <c r="F978" s="2">
        <f>+J978-I978</f>
        <v>30</v>
      </c>
      <c r="G978" s="2">
        <f ca="1">+TODAY()-I978</f>
        <v>7</v>
      </c>
      <c r="H978" s="15">
        <v>19000</v>
      </c>
      <c r="I978" s="1">
        <v>46113</v>
      </c>
      <c r="J978" s="1">
        <v>46143</v>
      </c>
      <c r="K978" s="18" t="s">
        <v>17</v>
      </c>
      <c r="L978" s="18" t="s">
        <v>109</v>
      </c>
      <c r="M978" s="18" t="s">
        <v>19</v>
      </c>
      <c r="N978" s="18" t="s">
        <v>7296</v>
      </c>
      <c r="O978">
        <v>30</v>
      </c>
    </row>
    <row r="979" spans="1:15" x14ac:dyDescent="0.25">
      <c r="A979" s="18" t="s">
        <v>7276</v>
      </c>
      <c r="B979" s="18" t="s">
        <v>7293</v>
      </c>
      <c r="C979" s="18" t="s">
        <v>7294</v>
      </c>
      <c r="D979" s="18" t="s">
        <v>46</v>
      </c>
      <c r="E979" s="18" t="s">
        <v>7303</v>
      </c>
      <c r="F979" s="2">
        <f>+J979-I979</f>
        <v>30</v>
      </c>
      <c r="G979" s="2">
        <f ca="1">+TODAY()-I979</f>
        <v>7</v>
      </c>
      <c r="H979" s="15">
        <v>56000</v>
      </c>
      <c r="I979" s="1">
        <v>46113</v>
      </c>
      <c r="J979" s="1">
        <v>46143</v>
      </c>
      <c r="K979" s="18" t="s">
        <v>17</v>
      </c>
      <c r="L979" s="18" t="s">
        <v>109</v>
      </c>
      <c r="M979" s="18" t="s">
        <v>19</v>
      </c>
      <c r="N979" s="18" t="s">
        <v>7296</v>
      </c>
      <c r="O979">
        <v>30</v>
      </c>
    </row>
    <row r="980" spans="1:15" x14ac:dyDescent="0.25">
      <c r="A980" s="18" t="s">
        <v>7276</v>
      </c>
      <c r="B980" s="18" t="s">
        <v>7304</v>
      </c>
      <c r="C980" s="18" t="s">
        <v>7305</v>
      </c>
      <c r="D980" s="18" t="s">
        <v>15</v>
      </c>
      <c r="E980" s="18" t="s">
        <v>7306</v>
      </c>
      <c r="F980" s="2">
        <f>+J980-I980</f>
        <v>30</v>
      </c>
      <c r="G980" s="2">
        <f ca="1">+TODAY()-I980</f>
        <v>7</v>
      </c>
      <c r="H980" s="15">
        <v>155100</v>
      </c>
      <c r="I980" s="1">
        <v>46113</v>
      </c>
      <c r="J980" s="1">
        <v>46143</v>
      </c>
      <c r="K980" s="18" t="s">
        <v>17</v>
      </c>
      <c r="L980" s="18" t="s">
        <v>109</v>
      </c>
      <c r="M980" s="18" t="s">
        <v>19</v>
      </c>
      <c r="N980" s="18" t="s">
        <v>7307</v>
      </c>
      <c r="O980">
        <v>30</v>
      </c>
    </row>
    <row r="981" spans="1:15" x14ac:dyDescent="0.25">
      <c r="A981" s="18" t="s">
        <v>7276</v>
      </c>
      <c r="B981" s="18" t="s">
        <v>1000</v>
      </c>
      <c r="C981" s="18" t="s">
        <v>1001</v>
      </c>
      <c r="D981" s="18" t="s">
        <v>994</v>
      </c>
      <c r="E981" s="18" t="s">
        <v>6243</v>
      </c>
      <c r="F981" s="2">
        <f>+J981-I981</f>
        <v>30</v>
      </c>
      <c r="G981" s="2">
        <f ca="1">+TODAY()-I981</f>
        <v>20</v>
      </c>
      <c r="H981" s="15">
        <v>2632000</v>
      </c>
      <c r="I981" s="1">
        <v>46100</v>
      </c>
      <c r="J981" s="1">
        <v>46130</v>
      </c>
      <c r="K981" s="18" t="s">
        <v>989</v>
      </c>
      <c r="L981" s="18" t="s">
        <v>18</v>
      </c>
      <c r="M981" s="18" t="s">
        <v>19</v>
      </c>
      <c r="N981" s="18" t="s">
        <v>1002</v>
      </c>
      <c r="O981">
        <v>30</v>
      </c>
    </row>
    <row r="982" spans="1:15" x14ac:dyDescent="0.25">
      <c r="A982" s="18" t="s">
        <v>7276</v>
      </c>
      <c r="B982" s="18" t="s">
        <v>1000</v>
      </c>
      <c r="C982" s="18" t="s">
        <v>1001</v>
      </c>
      <c r="D982" s="18" t="s">
        <v>994</v>
      </c>
      <c r="E982" s="18" t="s">
        <v>6244</v>
      </c>
      <c r="F982" s="2">
        <f>+J982-I982</f>
        <v>30</v>
      </c>
      <c r="G982" s="2">
        <f ca="1">+TODAY()-I982</f>
        <v>20</v>
      </c>
      <c r="H982" s="15">
        <v>800598</v>
      </c>
      <c r="I982" s="1">
        <v>46100</v>
      </c>
      <c r="J982" s="1">
        <v>46130</v>
      </c>
      <c r="K982" s="18" t="s">
        <v>989</v>
      </c>
      <c r="L982" s="18" t="s">
        <v>18</v>
      </c>
      <c r="M982" s="18" t="s">
        <v>19</v>
      </c>
      <c r="N982" s="18" t="s">
        <v>1002</v>
      </c>
      <c r="O982">
        <v>30</v>
      </c>
    </row>
    <row r="983" spans="1:15" x14ac:dyDescent="0.25">
      <c r="A983" s="18" t="s">
        <v>7276</v>
      </c>
      <c r="B983" s="18" t="s">
        <v>1000</v>
      </c>
      <c r="C983" s="18" t="s">
        <v>1001</v>
      </c>
      <c r="D983" s="18" t="s">
        <v>994</v>
      </c>
      <c r="E983" s="18" t="s">
        <v>7038</v>
      </c>
      <c r="F983" s="2">
        <f>+J983-I983</f>
        <v>30</v>
      </c>
      <c r="G983" s="2">
        <f ca="1">+TODAY()-I983</f>
        <v>8</v>
      </c>
      <c r="H983" s="15">
        <v>833650</v>
      </c>
      <c r="I983" s="1">
        <v>46112</v>
      </c>
      <c r="J983" s="1">
        <v>46142</v>
      </c>
      <c r="K983" s="18" t="s">
        <v>989</v>
      </c>
      <c r="L983" s="18" t="s">
        <v>18</v>
      </c>
      <c r="M983" s="18" t="s">
        <v>19</v>
      </c>
      <c r="N983" s="18" t="s">
        <v>1002</v>
      </c>
      <c r="O983">
        <v>30</v>
      </c>
    </row>
    <row r="984" spans="1:15" x14ac:dyDescent="0.25">
      <c r="A984" s="18" t="s">
        <v>7276</v>
      </c>
      <c r="B984" s="18" t="s">
        <v>6878</v>
      </c>
      <c r="C984" s="18" t="s">
        <v>6879</v>
      </c>
      <c r="D984" s="18" t="s">
        <v>15</v>
      </c>
      <c r="E984" s="18" t="s">
        <v>6880</v>
      </c>
      <c r="F984" s="2">
        <f>+J984-I984</f>
        <v>1</v>
      </c>
      <c r="G984" s="2">
        <f ca="1">+TODAY()-I984</f>
        <v>8</v>
      </c>
      <c r="H984" s="15">
        <v>157732</v>
      </c>
      <c r="I984" s="1">
        <v>46112</v>
      </c>
      <c r="J984" s="1">
        <v>46113</v>
      </c>
      <c r="K984" s="18" t="s">
        <v>17</v>
      </c>
      <c r="L984" s="18" t="s">
        <v>312</v>
      </c>
      <c r="M984" s="18" t="s">
        <v>19</v>
      </c>
      <c r="N984" s="18" t="s">
        <v>6881</v>
      </c>
      <c r="O984">
        <v>1</v>
      </c>
    </row>
    <row r="985" spans="1:15" x14ac:dyDescent="0.25">
      <c r="A985" s="18" t="s">
        <v>7276</v>
      </c>
      <c r="B985" s="18" t="s">
        <v>7687</v>
      </c>
      <c r="C985" s="18" t="s">
        <v>7688</v>
      </c>
      <c r="D985" s="18" t="s">
        <v>15</v>
      </c>
      <c r="E985" s="18" t="s">
        <v>7689</v>
      </c>
      <c r="F985" s="2">
        <f>+J985-I985</f>
        <v>30</v>
      </c>
      <c r="G985" s="2">
        <f ca="1">+TODAY()-I985</f>
        <v>1</v>
      </c>
      <c r="H985" s="15">
        <v>63500</v>
      </c>
      <c r="I985" s="1">
        <v>46119</v>
      </c>
      <c r="J985" s="1">
        <v>46149</v>
      </c>
      <c r="K985" s="18" t="s">
        <v>17</v>
      </c>
      <c r="L985" s="18" t="s">
        <v>109</v>
      </c>
      <c r="M985" s="18" t="s">
        <v>19</v>
      </c>
      <c r="N985" s="18" t="s">
        <v>7690</v>
      </c>
      <c r="O985">
        <v>30</v>
      </c>
    </row>
    <row r="986" spans="1:15" x14ac:dyDescent="0.25">
      <c r="A986" s="18" t="s">
        <v>7276</v>
      </c>
      <c r="B986" s="18" t="s">
        <v>1443</v>
      </c>
      <c r="C986" s="18" t="s">
        <v>1444</v>
      </c>
      <c r="D986" s="18" t="s">
        <v>875</v>
      </c>
      <c r="E986" s="18" t="s">
        <v>5552</v>
      </c>
      <c r="F986" s="2">
        <f>+J986-I986</f>
        <v>30</v>
      </c>
      <c r="G986" s="2">
        <f ca="1">+TODAY()-I986</f>
        <v>34</v>
      </c>
      <c r="H986" s="15">
        <v>1251901</v>
      </c>
      <c r="I986" s="1">
        <v>46086</v>
      </c>
      <c r="J986" s="1">
        <v>46116</v>
      </c>
      <c r="K986" s="18" t="s">
        <v>1403</v>
      </c>
      <c r="L986" s="18" t="s">
        <v>90</v>
      </c>
      <c r="M986" s="18" t="s">
        <v>19</v>
      </c>
      <c r="N986" s="18" t="s">
        <v>1445</v>
      </c>
      <c r="O986">
        <v>30</v>
      </c>
    </row>
    <row r="987" spans="1:15" x14ac:dyDescent="0.25">
      <c r="A987" s="18" t="s">
        <v>7276</v>
      </c>
      <c r="B987" s="18" t="s">
        <v>1443</v>
      </c>
      <c r="C987" s="18" t="s">
        <v>1444</v>
      </c>
      <c r="D987" s="18" t="s">
        <v>875</v>
      </c>
      <c r="E987" s="18" t="s">
        <v>6333</v>
      </c>
      <c r="F987" s="2">
        <f>+J987-I987</f>
        <v>30</v>
      </c>
      <c r="G987" s="2">
        <f ca="1">+TODAY()-I987</f>
        <v>19</v>
      </c>
      <c r="H987" s="15">
        <v>664759</v>
      </c>
      <c r="I987" s="1">
        <v>46101</v>
      </c>
      <c r="J987" s="1">
        <v>46131</v>
      </c>
      <c r="K987" s="18" t="s">
        <v>1403</v>
      </c>
      <c r="L987" s="18" t="s">
        <v>90</v>
      </c>
      <c r="M987" s="18" t="s">
        <v>19</v>
      </c>
      <c r="N987" s="18" t="s">
        <v>1445</v>
      </c>
      <c r="O987">
        <v>30</v>
      </c>
    </row>
    <row r="988" spans="1:15" x14ac:dyDescent="0.25">
      <c r="A988" s="18" t="s">
        <v>7276</v>
      </c>
      <c r="B988" s="18" t="s">
        <v>2084</v>
      </c>
      <c r="C988" s="18" t="s">
        <v>2085</v>
      </c>
      <c r="D988" s="18" t="s">
        <v>15</v>
      </c>
      <c r="E988" s="18" t="s">
        <v>6764</v>
      </c>
      <c r="F988" s="2">
        <f>+J988-I988</f>
        <v>30</v>
      </c>
      <c r="G988" s="2">
        <f ca="1">+TODAY()-I988</f>
        <v>9</v>
      </c>
      <c r="H988" s="15">
        <v>73500</v>
      </c>
      <c r="I988" s="1">
        <v>46111</v>
      </c>
      <c r="J988" s="1">
        <v>46141</v>
      </c>
      <c r="K988" s="18" t="s">
        <v>17</v>
      </c>
      <c r="L988" s="18" t="s">
        <v>109</v>
      </c>
      <c r="M988" s="18" t="s">
        <v>19</v>
      </c>
      <c r="N988" s="18" t="s">
        <v>2086</v>
      </c>
      <c r="O988">
        <v>30</v>
      </c>
    </row>
    <row r="989" spans="1:15" x14ac:dyDescent="0.25">
      <c r="A989" s="18" t="s">
        <v>7276</v>
      </c>
      <c r="B989" s="18" t="s">
        <v>1112</v>
      </c>
      <c r="C989" s="18" t="s">
        <v>1113</v>
      </c>
      <c r="D989" s="18" t="s">
        <v>320</v>
      </c>
      <c r="E989" s="18" t="s">
        <v>5446</v>
      </c>
      <c r="F989" s="2">
        <f>+J989-I989</f>
        <v>30</v>
      </c>
      <c r="G989" s="2">
        <f ca="1">+TODAY()-I989</f>
        <v>35</v>
      </c>
      <c r="H989" s="15">
        <v>5857753</v>
      </c>
      <c r="I989" s="1">
        <v>46085</v>
      </c>
      <c r="J989" s="1">
        <v>46115</v>
      </c>
      <c r="K989" s="18" t="s">
        <v>1068</v>
      </c>
      <c r="L989" s="18" t="s">
        <v>207</v>
      </c>
      <c r="M989" s="18" t="s">
        <v>19</v>
      </c>
      <c r="N989" s="18" t="s">
        <v>6251</v>
      </c>
      <c r="O989">
        <v>30</v>
      </c>
    </row>
    <row r="990" spans="1:15" x14ac:dyDescent="0.25">
      <c r="A990" s="18" t="s">
        <v>7276</v>
      </c>
      <c r="B990" s="18" t="s">
        <v>1112</v>
      </c>
      <c r="C990" s="18" t="s">
        <v>1113</v>
      </c>
      <c r="D990" s="18" t="s">
        <v>320</v>
      </c>
      <c r="E990" s="18" t="s">
        <v>5447</v>
      </c>
      <c r="F990" s="2">
        <f>+J990-I990</f>
        <v>30</v>
      </c>
      <c r="G990" s="2">
        <f ca="1">+TODAY()-I990</f>
        <v>35</v>
      </c>
      <c r="H990" s="15">
        <v>1667823</v>
      </c>
      <c r="I990" s="1">
        <v>46085</v>
      </c>
      <c r="J990" s="1">
        <v>46115</v>
      </c>
      <c r="K990" s="18" t="s">
        <v>1068</v>
      </c>
      <c r="L990" s="18" t="s">
        <v>207</v>
      </c>
      <c r="M990" s="18" t="s">
        <v>19</v>
      </c>
      <c r="N990" s="18" t="s">
        <v>6251</v>
      </c>
      <c r="O990">
        <v>30</v>
      </c>
    </row>
    <row r="991" spans="1:15" x14ac:dyDescent="0.25">
      <c r="A991" s="18" t="s">
        <v>7276</v>
      </c>
      <c r="B991" s="18" t="s">
        <v>1112</v>
      </c>
      <c r="C991" s="18" t="s">
        <v>1113</v>
      </c>
      <c r="D991" s="18" t="s">
        <v>320</v>
      </c>
      <c r="E991" s="18" t="s">
        <v>5725</v>
      </c>
      <c r="F991" s="2">
        <f>+J991-I991</f>
        <v>30</v>
      </c>
      <c r="G991" s="2">
        <f ca="1">+TODAY()-I991</f>
        <v>28</v>
      </c>
      <c r="H991" s="15">
        <v>497077</v>
      </c>
      <c r="I991" s="1">
        <v>46092</v>
      </c>
      <c r="J991" s="1">
        <v>46122</v>
      </c>
      <c r="K991" s="18" t="s">
        <v>1068</v>
      </c>
      <c r="L991" s="18" t="s">
        <v>207</v>
      </c>
      <c r="M991" s="18" t="s">
        <v>19</v>
      </c>
      <c r="N991" s="18" t="s">
        <v>6251</v>
      </c>
      <c r="O991">
        <v>30</v>
      </c>
    </row>
    <row r="992" spans="1:15" x14ac:dyDescent="0.25">
      <c r="A992" s="18" t="s">
        <v>7276</v>
      </c>
      <c r="B992" s="18" t="s">
        <v>1112</v>
      </c>
      <c r="C992" s="18" t="s">
        <v>1113</v>
      </c>
      <c r="D992" s="18" t="s">
        <v>320</v>
      </c>
      <c r="E992" s="18" t="s">
        <v>5726</v>
      </c>
      <c r="F992" s="2">
        <f>+J992-I992</f>
        <v>30</v>
      </c>
      <c r="G992" s="2">
        <f ca="1">+TODAY()-I992</f>
        <v>28</v>
      </c>
      <c r="H992" s="15">
        <v>2114615</v>
      </c>
      <c r="I992" s="1">
        <v>46092</v>
      </c>
      <c r="J992" s="1">
        <v>46122</v>
      </c>
      <c r="K992" s="18" t="s">
        <v>1068</v>
      </c>
      <c r="L992" s="18" t="s">
        <v>207</v>
      </c>
      <c r="M992" s="18" t="s">
        <v>19</v>
      </c>
      <c r="N992" s="18" t="s">
        <v>6251</v>
      </c>
      <c r="O992">
        <v>30</v>
      </c>
    </row>
    <row r="993" spans="1:15" x14ac:dyDescent="0.25">
      <c r="A993" s="18" t="s">
        <v>7276</v>
      </c>
      <c r="B993" s="18" t="s">
        <v>1112</v>
      </c>
      <c r="C993" s="18" t="s">
        <v>1113</v>
      </c>
      <c r="D993" s="18" t="s">
        <v>320</v>
      </c>
      <c r="E993" s="18" t="s">
        <v>6257</v>
      </c>
      <c r="F993" s="2">
        <f>+J993-I993</f>
        <v>30</v>
      </c>
      <c r="G993" s="2">
        <f ca="1">+TODAY()-I993</f>
        <v>21</v>
      </c>
      <c r="H993" s="15">
        <v>999138</v>
      </c>
      <c r="I993" s="1">
        <v>46099</v>
      </c>
      <c r="J993" s="1">
        <v>46129</v>
      </c>
      <c r="K993" s="18" t="s">
        <v>1068</v>
      </c>
      <c r="L993" s="18" t="s">
        <v>207</v>
      </c>
      <c r="M993" s="18" t="s">
        <v>19</v>
      </c>
      <c r="N993" s="18" t="s">
        <v>6251</v>
      </c>
      <c r="O993">
        <v>30</v>
      </c>
    </row>
    <row r="994" spans="1:15" x14ac:dyDescent="0.25">
      <c r="A994" s="18" t="s">
        <v>7276</v>
      </c>
      <c r="B994" s="18" t="s">
        <v>1112</v>
      </c>
      <c r="C994" s="18" t="s">
        <v>1113</v>
      </c>
      <c r="D994" s="18" t="s">
        <v>320</v>
      </c>
      <c r="E994" s="18" t="s">
        <v>6258</v>
      </c>
      <c r="F994" s="2">
        <f>+J994-I994</f>
        <v>30</v>
      </c>
      <c r="G994" s="2">
        <f ca="1">+TODAY()-I994</f>
        <v>21</v>
      </c>
      <c r="H994" s="15">
        <v>5505367</v>
      </c>
      <c r="I994" s="1">
        <v>46099</v>
      </c>
      <c r="J994" s="1">
        <v>46129</v>
      </c>
      <c r="K994" s="18" t="s">
        <v>1068</v>
      </c>
      <c r="L994" s="18" t="s">
        <v>207</v>
      </c>
      <c r="M994" s="18" t="s">
        <v>19</v>
      </c>
      <c r="N994" s="18" t="s">
        <v>6251</v>
      </c>
      <c r="O994">
        <v>30</v>
      </c>
    </row>
    <row r="995" spans="1:15" x14ac:dyDescent="0.25">
      <c r="A995" s="18" t="s">
        <v>7276</v>
      </c>
      <c r="B995" s="18" t="s">
        <v>1112</v>
      </c>
      <c r="C995" s="18" t="s">
        <v>1113</v>
      </c>
      <c r="D995" s="18" t="s">
        <v>320</v>
      </c>
      <c r="E995" s="18" t="s">
        <v>7046</v>
      </c>
      <c r="F995" s="2">
        <f>+J995-I995</f>
        <v>30</v>
      </c>
      <c r="G995" s="2">
        <f ca="1">+TODAY()-I995</f>
        <v>8</v>
      </c>
      <c r="H995" s="15">
        <v>12180494</v>
      </c>
      <c r="I995" s="1">
        <v>46112</v>
      </c>
      <c r="J995" s="1">
        <v>46142</v>
      </c>
      <c r="K995" s="18" t="s">
        <v>1068</v>
      </c>
      <c r="L995" s="18" t="s">
        <v>207</v>
      </c>
      <c r="M995" s="18" t="s">
        <v>19</v>
      </c>
      <c r="N995" s="18" t="s">
        <v>6251</v>
      </c>
      <c r="O995">
        <v>30</v>
      </c>
    </row>
    <row r="996" spans="1:15" x14ac:dyDescent="0.25">
      <c r="A996" s="18" t="s">
        <v>7276</v>
      </c>
      <c r="B996" s="18" t="s">
        <v>124</v>
      </c>
      <c r="C996" s="18" t="s">
        <v>125</v>
      </c>
      <c r="D996" s="18" t="s">
        <v>15</v>
      </c>
      <c r="E996" s="18" t="s">
        <v>5207</v>
      </c>
      <c r="F996" s="2">
        <f>+J996-I996</f>
        <v>30</v>
      </c>
      <c r="G996" s="2">
        <f ca="1">+TODAY()-I996</f>
        <v>39</v>
      </c>
      <c r="H996" s="15">
        <v>1295256</v>
      </c>
      <c r="I996" s="1">
        <v>46081</v>
      </c>
      <c r="J996" s="1">
        <v>46111</v>
      </c>
      <c r="K996" s="18" t="s">
        <v>17</v>
      </c>
      <c r="L996" s="18" t="s">
        <v>32</v>
      </c>
      <c r="M996" s="18" t="s">
        <v>19</v>
      </c>
      <c r="N996" s="18" t="s">
        <v>6148</v>
      </c>
      <c r="O996">
        <v>30</v>
      </c>
    </row>
    <row r="997" spans="1:15" x14ac:dyDescent="0.25">
      <c r="A997" s="18" t="s">
        <v>7276</v>
      </c>
      <c r="B997" s="18" t="s">
        <v>124</v>
      </c>
      <c r="C997" s="18" t="s">
        <v>125</v>
      </c>
      <c r="D997" s="18" t="s">
        <v>15</v>
      </c>
      <c r="E997" s="18" t="s">
        <v>5208</v>
      </c>
      <c r="F997" s="2">
        <f>+J997-I997</f>
        <v>30</v>
      </c>
      <c r="G997" s="2">
        <f ca="1">+TODAY()-I997</f>
        <v>39</v>
      </c>
      <c r="H997" s="15">
        <v>2075283</v>
      </c>
      <c r="I997" s="1">
        <v>46081</v>
      </c>
      <c r="J997" s="1">
        <v>46111</v>
      </c>
      <c r="K997" s="18" t="s">
        <v>17</v>
      </c>
      <c r="L997" s="18" t="s">
        <v>32</v>
      </c>
      <c r="M997" s="18" t="s">
        <v>19</v>
      </c>
      <c r="N997" s="18" t="s">
        <v>6148</v>
      </c>
      <c r="O997">
        <v>30</v>
      </c>
    </row>
    <row r="998" spans="1:15" x14ac:dyDescent="0.25">
      <c r="A998" s="18" t="s">
        <v>7276</v>
      </c>
      <c r="B998" s="18" t="s">
        <v>124</v>
      </c>
      <c r="C998" s="18" t="s">
        <v>125</v>
      </c>
      <c r="D998" s="18" t="s">
        <v>15</v>
      </c>
      <c r="E998" s="18" t="s">
        <v>5616</v>
      </c>
      <c r="F998" s="2">
        <f>+J998-I998</f>
        <v>30</v>
      </c>
      <c r="G998" s="2">
        <f ca="1">+TODAY()-I998</f>
        <v>30</v>
      </c>
      <c r="H998" s="15">
        <v>163192</v>
      </c>
      <c r="I998" s="1">
        <v>46090</v>
      </c>
      <c r="J998" s="1">
        <v>46120</v>
      </c>
      <c r="K998" s="18" t="s">
        <v>17</v>
      </c>
      <c r="L998" s="18" t="s">
        <v>32</v>
      </c>
      <c r="M998" s="18" t="s">
        <v>19</v>
      </c>
      <c r="N998" s="18" t="s">
        <v>6148</v>
      </c>
      <c r="O998">
        <v>30</v>
      </c>
    </row>
    <row r="999" spans="1:15" x14ac:dyDescent="0.25">
      <c r="A999" s="18" t="s">
        <v>7276</v>
      </c>
      <c r="B999" s="18" t="s">
        <v>124</v>
      </c>
      <c r="C999" s="18" t="s">
        <v>125</v>
      </c>
      <c r="D999" s="18" t="s">
        <v>15</v>
      </c>
      <c r="E999" s="18" t="s">
        <v>5655</v>
      </c>
      <c r="F999" s="2">
        <f>+J999-I999</f>
        <v>30</v>
      </c>
      <c r="G999" s="2">
        <f ca="1">+TODAY()-I999</f>
        <v>27</v>
      </c>
      <c r="H999" s="15">
        <v>590501</v>
      </c>
      <c r="I999" s="1">
        <v>46093</v>
      </c>
      <c r="J999" s="1">
        <v>46123</v>
      </c>
      <c r="K999" s="18" t="s">
        <v>17</v>
      </c>
      <c r="L999" s="18" t="s">
        <v>32</v>
      </c>
      <c r="M999" s="18" t="s">
        <v>19</v>
      </c>
      <c r="N999" s="18" t="s">
        <v>6148</v>
      </c>
      <c r="O999">
        <v>30</v>
      </c>
    </row>
    <row r="1000" spans="1:15" x14ac:dyDescent="0.25">
      <c r="A1000" s="18" t="s">
        <v>7276</v>
      </c>
      <c r="B1000" s="18" t="s">
        <v>124</v>
      </c>
      <c r="C1000" s="18" t="s">
        <v>125</v>
      </c>
      <c r="D1000" s="18" t="s">
        <v>15</v>
      </c>
      <c r="E1000" s="18" t="s">
        <v>6162</v>
      </c>
      <c r="F1000" s="2">
        <f>+J1000-I1000</f>
        <v>30</v>
      </c>
      <c r="G1000" s="2">
        <f ca="1">+TODAY()-I1000</f>
        <v>21</v>
      </c>
      <c r="H1000" s="15">
        <v>1260110</v>
      </c>
      <c r="I1000" s="1">
        <v>46099</v>
      </c>
      <c r="J1000" s="1">
        <v>46129</v>
      </c>
      <c r="K1000" s="18" t="s">
        <v>17</v>
      </c>
      <c r="L1000" s="18" t="s">
        <v>32</v>
      </c>
      <c r="M1000" s="18" t="s">
        <v>19</v>
      </c>
      <c r="N1000" s="18" t="s">
        <v>6148</v>
      </c>
      <c r="O1000">
        <v>30</v>
      </c>
    </row>
    <row r="1001" spans="1:15" x14ac:dyDescent="0.25">
      <c r="A1001" s="18" t="s">
        <v>7276</v>
      </c>
      <c r="B1001" s="18" t="s">
        <v>124</v>
      </c>
      <c r="C1001" s="18" t="s">
        <v>125</v>
      </c>
      <c r="D1001" s="18" t="s">
        <v>15</v>
      </c>
      <c r="E1001" s="18" t="s">
        <v>6181</v>
      </c>
      <c r="F1001" s="2">
        <f>+J1001-I1001</f>
        <v>30</v>
      </c>
      <c r="G1001" s="2">
        <f ca="1">+TODAY()-I1001</f>
        <v>20</v>
      </c>
      <c r="H1001" s="15">
        <v>108000</v>
      </c>
      <c r="I1001" s="1">
        <v>46100</v>
      </c>
      <c r="J1001" s="1">
        <v>46130</v>
      </c>
      <c r="K1001" s="18" t="s">
        <v>17</v>
      </c>
      <c r="L1001" s="18" t="s">
        <v>32</v>
      </c>
      <c r="M1001" s="18" t="s">
        <v>19</v>
      </c>
      <c r="N1001" s="18" t="s">
        <v>6148</v>
      </c>
      <c r="O1001">
        <v>30</v>
      </c>
    </row>
    <row r="1002" spans="1:15" x14ac:dyDescent="0.25">
      <c r="A1002" s="18" t="s">
        <v>7276</v>
      </c>
      <c r="B1002" s="18" t="s">
        <v>124</v>
      </c>
      <c r="C1002" s="18" t="s">
        <v>125</v>
      </c>
      <c r="D1002" s="18" t="s">
        <v>15</v>
      </c>
      <c r="E1002" s="18" t="s">
        <v>6723</v>
      </c>
      <c r="F1002" s="2">
        <f>+J1002-I1002</f>
        <v>30</v>
      </c>
      <c r="G1002" s="2">
        <f ca="1">+TODAY()-I1002</f>
        <v>11</v>
      </c>
      <c r="H1002" s="15">
        <v>1150123</v>
      </c>
      <c r="I1002" s="1">
        <v>46109</v>
      </c>
      <c r="J1002" s="1">
        <v>46139</v>
      </c>
      <c r="K1002" s="18" t="s">
        <v>17</v>
      </c>
      <c r="L1002" s="18" t="s">
        <v>32</v>
      </c>
      <c r="M1002" s="18" t="s">
        <v>19</v>
      </c>
      <c r="N1002" s="18" t="s">
        <v>6148</v>
      </c>
      <c r="O1002">
        <v>30</v>
      </c>
    </row>
    <row r="1003" spans="1:15" x14ac:dyDescent="0.25">
      <c r="A1003" s="18" t="s">
        <v>7276</v>
      </c>
      <c r="B1003" s="18" t="s">
        <v>124</v>
      </c>
      <c r="C1003" s="18" t="s">
        <v>125</v>
      </c>
      <c r="D1003" s="18" t="s">
        <v>15</v>
      </c>
      <c r="E1003" s="18" t="s">
        <v>6724</v>
      </c>
      <c r="F1003" s="2">
        <f>+J1003-I1003</f>
        <v>30</v>
      </c>
      <c r="G1003" s="2">
        <f ca="1">+TODAY()-I1003</f>
        <v>11</v>
      </c>
      <c r="H1003" s="15">
        <v>120010</v>
      </c>
      <c r="I1003" s="1">
        <v>46109</v>
      </c>
      <c r="J1003" s="1">
        <v>46139</v>
      </c>
      <c r="K1003" s="18" t="s">
        <v>17</v>
      </c>
      <c r="L1003" s="18" t="s">
        <v>32</v>
      </c>
      <c r="M1003" s="18" t="s">
        <v>19</v>
      </c>
      <c r="N1003" s="18" t="s">
        <v>6148</v>
      </c>
      <c r="O1003">
        <v>30</v>
      </c>
    </row>
    <row r="1004" spans="1:15" x14ac:dyDescent="0.25">
      <c r="A1004" s="18" t="s">
        <v>7276</v>
      </c>
      <c r="B1004" s="18" t="s">
        <v>964</v>
      </c>
      <c r="C1004" s="18" t="s">
        <v>965</v>
      </c>
      <c r="D1004" s="18" t="s">
        <v>916</v>
      </c>
      <c r="E1004" s="18" t="s">
        <v>5707</v>
      </c>
      <c r="F1004" s="2">
        <f>+J1004-I1004</f>
        <v>15</v>
      </c>
      <c r="G1004" s="2">
        <f ca="1">+TODAY()-I1004</f>
        <v>29</v>
      </c>
      <c r="H1004" s="15">
        <v>335540</v>
      </c>
      <c r="I1004" s="1">
        <v>46091</v>
      </c>
      <c r="J1004" s="1">
        <v>46106</v>
      </c>
      <c r="K1004" s="18" t="s">
        <v>918</v>
      </c>
      <c r="L1004" s="18" t="s">
        <v>312</v>
      </c>
      <c r="M1004" s="18" t="s">
        <v>19</v>
      </c>
      <c r="N1004" s="18" t="s">
        <v>966</v>
      </c>
      <c r="O1004">
        <v>30</v>
      </c>
    </row>
    <row r="1005" spans="1:15" x14ac:dyDescent="0.25">
      <c r="A1005" s="18" t="s">
        <v>7276</v>
      </c>
      <c r="B1005" s="18" t="s">
        <v>964</v>
      </c>
      <c r="C1005" s="18" t="s">
        <v>965</v>
      </c>
      <c r="D1005" s="18" t="s">
        <v>916</v>
      </c>
      <c r="E1005" s="18" t="s">
        <v>5973</v>
      </c>
      <c r="F1005" s="2">
        <f>+J1005-I1005</f>
        <v>15</v>
      </c>
      <c r="G1005" s="2">
        <f ca="1">+TODAY()-I1005</f>
        <v>22</v>
      </c>
      <c r="H1005" s="15">
        <v>170578</v>
      </c>
      <c r="I1005" s="1">
        <v>46098</v>
      </c>
      <c r="J1005" s="1">
        <v>46113</v>
      </c>
      <c r="K1005" s="18" t="s">
        <v>918</v>
      </c>
      <c r="L1005" s="18" t="s">
        <v>312</v>
      </c>
      <c r="M1005" s="18" t="s">
        <v>19</v>
      </c>
      <c r="N1005" s="18" t="s">
        <v>966</v>
      </c>
      <c r="O1005">
        <v>30</v>
      </c>
    </row>
    <row r="1006" spans="1:15" x14ac:dyDescent="0.25">
      <c r="A1006" s="18" t="s">
        <v>7276</v>
      </c>
      <c r="B1006" s="18" t="s">
        <v>964</v>
      </c>
      <c r="C1006" s="18" t="s">
        <v>965</v>
      </c>
      <c r="D1006" s="18" t="s">
        <v>916</v>
      </c>
      <c r="E1006" s="18" t="s">
        <v>5974</v>
      </c>
      <c r="F1006" s="2">
        <f>+J1006-I1006</f>
        <v>15</v>
      </c>
      <c r="G1006" s="2">
        <f ca="1">+TODAY()-I1006</f>
        <v>22</v>
      </c>
      <c r="H1006" s="15">
        <v>164304</v>
      </c>
      <c r="I1006" s="1">
        <v>46098</v>
      </c>
      <c r="J1006" s="1">
        <v>46113</v>
      </c>
      <c r="K1006" s="18" t="s">
        <v>918</v>
      </c>
      <c r="L1006" s="18" t="s">
        <v>312</v>
      </c>
      <c r="M1006" s="18" t="s">
        <v>19</v>
      </c>
      <c r="N1006" s="18" t="s">
        <v>966</v>
      </c>
      <c r="O1006">
        <v>30</v>
      </c>
    </row>
    <row r="1007" spans="1:15" x14ac:dyDescent="0.25">
      <c r="A1007" s="18" t="s">
        <v>7276</v>
      </c>
      <c r="B1007" s="18" t="s">
        <v>6848</v>
      </c>
      <c r="C1007" s="18" t="s">
        <v>6849</v>
      </c>
      <c r="D1007" s="18" t="s">
        <v>15</v>
      </c>
      <c r="E1007" s="18" t="s">
        <v>7666</v>
      </c>
      <c r="F1007" s="2">
        <f>+J1007-I1007</f>
        <v>30</v>
      </c>
      <c r="G1007" s="2">
        <f ca="1">+TODAY()-I1007</f>
        <v>1</v>
      </c>
      <c r="H1007" s="15">
        <v>38100</v>
      </c>
      <c r="I1007" s="1">
        <v>46119</v>
      </c>
      <c r="J1007" s="1">
        <v>46149</v>
      </c>
      <c r="K1007" s="18" t="s">
        <v>17</v>
      </c>
      <c r="L1007" s="18" t="s">
        <v>109</v>
      </c>
      <c r="M1007" s="18" t="s">
        <v>19</v>
      </c>
      <c r="N1007" s="18" t="s">
        <v>6851</v>
      </c>
      <c r="O1007">
        <v>30</v>
      </c>
    </row>
    <row r="1008" spans="1:15" x14ac:dyDescent="0.25">
      <c r="A1008" s="18" t="s">
        <v>7276</v>
      </c>
      <c r="B1008" s="18" t="s">
        <v>6848</v>
      </c>
      <c r="C1008" s="18" t="s">
        <v>6849</v>
      </c>
      <c r="D1008" s="18" t="s">
        <v>15</v>
      </c>
      <c r="E1008" s="18" t="s">
        <v>6850</v>
      </c>
      <c r="F1008" s="2">
        <f>+J1008-I1008</f>
        <v>30</v>
      </c>
      <c r="G1008" s="2">
        <f ca="1">+TODAY()-I1008</f>
        <v>11</v>
      </c>
      <c r="H1008" s="15">
        <v>54257</v>
      </c>
      <c r="I1008" s="1">
        <v>46109</v>
      </c>
      <c r="J1008" s="1">
        <v>46139</v>
      </c>
      <c r="K1008" s="18" t="s">
        <v>17</v>
      </c>
      <c r="L1008" s="18" t="s">
        <v>109</v>
      </c>
      <c r="M1008" s="18" t="s">
        <v>19</v>
      </c>
      <c r="N1008" s="18" t="s">
        <v>6851</v>
      </c>
      <c r="O1008">
        <v>30</v>
      </c>
    </row>
    <row r="1009" spans="1:15" x14ac:dyDescent="0.25">
      <c r="A1009" s="18" t="s">
        <v>7276</v>
      </c>
      <c r="B1009" s="18" t="s">
        <v>6848</v>
      </c>
      <c r="C1009" s="18" t="s">
        <v>6849</v>
      </c>
      <c r="D1009" s="18" t="s">
        <v>15</v>
      </c>
      <c r="E1009" s="18" t="s">
        <v>7379</v>
      </c>
      <c r="F1009" s="2">
        <f>+J1009-I1009</f>
        <v>30</v>
      </c>
      <c r="G1009" s="2">
        <f ca="1">+TODAY()-I1009</f>
        <v>7</v>
      </c>
      <c r="H1009" s="15">
        <v>15000</v>
      </c>
      <c r="I1009" s="1">
        <v>46113</v>
      </c>
      <c r="J1009" s="1">
        <v>46143</v>
      </c>
      <c r="K1009" s="18" t="s">
        <v>17</v>
      </c>
      <c r="L1009" s="18" t="s">
        <v>109</v>
      </c>
      <c r="M1009" s="18" t="s">
        <v>19</v>
      </c>
      <c r="N1009" s="18" t="s">
        <v>6851</v>
      </c>
      <c r="O1009">
        <v>30</v>
      </c>
    </row>
    <row r="1010" spans="1:15" x14ac:dyDescent="0.25">
      <c r="A1010" s="18" t="s">
        <v>7276</v>
      </c>
      <c r="B1010" s="18" t="s">
        <v>6848</v>
      </c>
      <c r="C1010" s="18" t="s">
        <v>6849</v>
      </c>
      <c r="D1010" s="18" t="s">
        <v>15</v>
      </c>
      <c r="E1010" s="18" t="s">
        <v>7406</v>
      </c>
      <c r="F1010" s="2">
        <f>+J1010-I1010</f>
        <v>30</v>
      </c>
      <c r="G1010" s="2">
        <f ca="1">+TODAY()-I1010</f>
        <v>2</v>
      </c>
      <c r="H1010" s="15">
        <v>127400</v>
      </c>
      <c r="I1010" s="1">
        <v>46118</v>
      </c>
      <c r="J1010" s="1">
        <v>46148</v>
      </c>
      <c r="K1010" s="18" t="s">
        <v>17</v>
      </c>
      <c r="L1010" s="18" t="s">
        <v>109</v>
      </c>
      <c r="M1010" s="18" t="s">
        <v>19</v>
      </c>
      <c r="N1010" s="18" t="s">
        <v>6851</v>
      </c>
      <c r="O1010">
        <v>30</v>
      </c>
    </row>
    <row r="1011" spans="1:15" x14ac:dyDescent="0.25">
      <c r="A1011" s="18" t="s">
        <v>7276</v>
      </c>
      <c r="B1011" s="18" t="s">
        <v>5388</v>
      </c>
      <c r="C1011" s="18" t="s">
        <v>5389</v>
      </c>
      <c r="D1011" s="18" t="s">
        <v>46</v>
      </c>
      <c r="E1011" s="18" t="s">
        <v>5390</v>
      </c>
      <c r="F1011" s="2">
        <f>+J1011-I1011</f>
        <v>1</v>
      </c>
      <c r="G1011" s="2">
        <f ca="1">+TODAY()-I1011</f>
        <v>36</v>
      </c>
      <c r="H1011" s="15">
        <v>179533</v>
      </c>
      <c r="I1011" s="1">
        <v>46084</v>
      </c>
      <c r="J1011" s="1">
        <v>46085</v>
      </c>
      <c r="K1011" s="18" t="s">
        <v>17</v>
      </c>
      <c r="L1011" s="18" t="s">
        <v>28</v>
      </c>
      <c r="M1011" s="18" t="s">
        <v>19</v>
      </c>
      <c r="N1011" s="18" t="s">
        <v>5391</v>
      </c>
      <c r="O1011">
        <v>0</v>
      </c>
    </row>
    <row r="1012" spans="1:15" x14ac:dyDescent="0.25">
      <c r="A1012" s="18" t="s">
        <v>7276</v>
      </c>
      <c r="B1012" s="18" t="s">
        <v>5388</v>
      </c>
      <c r="C1012" s="18" t="s">
        <v>5389</v>
      </c>
      <c r="D1012" s="18" t="s">
        <v>46</v>
      </c>
      <c r="E1012" s="18" t="s">
        <v>7648</v>
      </c>
      <c r="F1012" s="2">
        <f>+J1012-I1012</f>
        <v>1</v>
      </c>
      <c r="G1012" s="2">
        <f ca="1">+TODAY()-I1012</f>
        <v>1</v>
      </c>
      <c r="H1012" s="15">
        <v>312727</v>
      </c>
      <c r="I1012" s="1">
        <v>46119</v>
      </c>
      <c r="J1012" s="1">
        <v>46120</v>
      </c>
      <c r="K1012" s="18" t="s">
        <v>17</v>
      </c>
      <c r="L1012" s="18" t="s">
        <v>28</v>
      </c>
      <c r="M1012" s="18" t="s">
        <v>19</v>
      </c>
      <c r="N1012" s="18" t="s">
        <v>5391</v>
      </c>
      <c r="O1012">
        <v>0</v>
      </c>
    </row>
    <row r="1013" spans="1:15" x14ac:dyDescent="0.25">
      <c r="A1013" s="18" t="s">
        <v>7276</v>
      </c>
      <c r="B1013" s="18" t="s">
        <v>5388</v>
      </c>
      <c r="C1013" s="18" t="s">
        <v>5389</v>
      </c>
      <c r="D1013" s="18" t="s">
        <v>46</v>
      </c>
      <c r="E1013" s="18" t="s">
        <v>5426</v>
      </c>
      <c r="F1013" s="2">
        <f>+J1013-I1013</f>
        <v>1</v>
      </c>
      <c r="G1013" s="2">
        <f ca="1">+TODAY()-I1013</f>
        <v>36</v>
      </c>
      <c r="H1013" s="15">
        <v>125871</v>
      </c>
      <c r="I1013" s="1">
        <v>46084</v>
      </c>
      <c r="J1013" s="1">
        <v>46085</v>
      </c>
      <c r="K1013" s="18" t="s">
        <v>845</v>
      </c>
      <c r="L1013" s="18" t="s">
        <v>28</v>
      </c>
      <c r="M1013" s="18" t="s">
        <v>19</v>
      </c>
      <c r="N1013" s="18" t="s">
        <v>5391</v>
      </c>
      <c r="O1013">
        <v>0</v>
      </c>
    </row>
    <row r="1014" spans="1:15" x14ac:dyDescent="0.25">
      <c r="A1014" s="18" t="s">
        <v>7276</v>
      </c>
      <c r="B1014" s="18" t="s">
        <v>6265</v>
      </c>
      <c r="C1014" s="18" t="s">
        <v>6266</v>
      </c>
      <c r="D1014" s="18" t="s">
        <v>320</v>
      </c>
      <c r="E1014" s="18" t="s">
        <v>7500</v>
      </c>
      <c r="F1014" s="2">
        <f>+J1014-I1014</f>
        <v>1</v>
      </c>
      <c r="G1014" s="2">
        <f ca="1">+TODAY()-I1014</f>
        <v>7</v>
      </c>
      <c r="H1014" s="15">
        <v>327600</v>
      </c>
      <c r="I1014" s="1">
        <v>46113</v>
      </c>
      <c r="J1014" s="1">
        <v>46114</v>
      </c>
      <c r="K1014" s="18" t="s">
        <v>1068</v>
      </c>
      <c r="L1014" s="18" t="s">
        <v>312</v>
      </c>
      <c r="M1014" s="18" t="s">
        <v>19</v>
      </c>
      <c r="N1014" s="18" t="s">
        <v>6267</v>
      </c>
      <c r="O1014">
        <v>1</v>
      </c>
    </row>
    <row r="1015" spans="1:15" x14ac:dyDescent="0.25">
      <c r="A1015" s="18" t="s">
        <v>7276</v>
      </c>
      <c r="B1015" s="18" t="s">
        <v>6265</v>
      </c>
      <c r="C1015" s="18" t="s">
        <v>6266</v>
      </c>
      <c r="D1015" s="18" t="s">
        <v>320</v>
      </c>
      <c r="E1015" s="18" t="s">
        <v>7501</v>
      </c>
      <c r="F1015" s="2">
        <f>+J1015-I1015</f>
        <v>1</v>
      </c>
      <c r="G1015" s="2">
        <f ca="1">+TODAY()-I1015</f>
        <v>7</v>
      </c>
      <c r="H1015" s="15">
        <v>151830</v>
      </c>
      <c r="I1015" s="1">
        <v>46113</v>
      </c>
      <c r="J1015" s="1">
        <v>46114</v>
      </c>
      <c r="K1015" s="18" t="s">
        <v>1068</v>
      </c>
      <c r="L1015" s="18" t="s">
        <v>312</v>
      </c>
      <c r="M1015" s="18" t="s">
        <v>19</v>
      </c>
      <c r="N1015" s="18" t="s">
        <v>6267</v>
      </c>
      <c r="O1015">
        <v>1</v>
      </c>
    </row>
    <row r="1016" spans="1:15" x14ac:dyDescent="0.25">
      <c r="A1016" s="18" t="s">
        <v>7276</v>
      </c>
      <c r="B1016" s="18" t="s">
        <v>1146</v>
      </c>
      <c r="C1016" s="18" t="s">
        <v>1147</v>
      </c>
      <c r="D1016" s="18" t="s">
        <v>1118</v>
      </c>
      <c r="E1016" s="18" t="s">
        <v>5264</v>
      </c>
      <c r="F1016" s="2">
        <f>+J1016-I1016</f>
        <v>30</v>
      </c>
      <c r="G1016" s="2">
        <f ca="1">+TODAY()-I1016</f>
        <v>44</v>
      </c>
      <c r="H1016" s="15">
        <v>7175533</v>
      </c>
      <c r="I1016" s="1">
        <v>46076</v>
      </c>
      <c r="J1016" s="1">
        <v>46106</v>
      </c>
      <c r="K1016" s="18" t="s">
        <v>1144</v>
      </c>
      <c r="L1016" s="18" t="s">
        <v>207</v>
      </c>
      <c r="M1016" s="18" t="s">
        <v>19</v>
      </c>
      <c r="N1016" s="18" t="s">
        <v>1148</v>
      </c>
      <c r="O1016">
        <v>30</v>
      </c>
    </row>
    <row r="1017" spans="1:15" x14ac:dyDescent="0.25">
      <c r="A1017" s="18" t="s">
        <v>7276</v>
      </c>
      <c r="B1017" s="18" t="s">
        <v>1146</v>
      </c>
      <c r="C1017" s="18" t="s">
        <v>1147</v>
      </c>
      <c r="D1017" s="18" t="s">
        <v>1118</v>
      </c>
      <c r="E1017" s="18" t="s">
        <v>5455</v>
      </c>
      <c r="F1017" s="2">
        <f>+J1017-I1017</f>
        <v>30</v>
      </c>
      <c r="G1017" s="2">
        <f ca="1">+TODAY()-I1017</f>
        <v>37</v>
      </c>
      <c r="H1017" s="15">
        <v>5380047</v>
      </c>
      <c r="I1017" s="1">
        <v>46083</v>
      </c>
      <c r="J1017" s="1">
        <v>46113</v>
      </c>
      <c r="K1017" s="18" t="s">
        <v>1144</v>
      </c>
      <c r="L1017" s="18" t="s">
        <v>207</v>
      </c>
      <c r="M1017" s="18" t="s">
        <v>19</v>
      </c>
      <c r="N1017" s="18" t="s">
        <v>1148</v>
      </c>
      <c r="O1017">
        <v>30</v>
      </c>
    </row>
    <row r="1018" spans="1:15" x14ac:dyDescent="0.25">
      <c r="A1018" s="18" t="s">
        <v>7276</v>
      </c>
      <c r="B1018" s="18" t="s">
        <v>1146</v>
      </c>
      <c r="C1018" s="18" t="s">
        <v>1147</v>
      </c>
      <c r="D1018" s="18" t="s">
        <v>1118</v>
      </c>
      <c r="E1018" s="18" t="s">
        <v>5456</v>
      </c>
      <c r="F1018" s="2">
        <f>+J1018-I1018</f>
        <v>30</v>
      </c>
      <c r="G1018" s="2">
        <f ca="1">+TODAY()-I1018</f>
        <v>37</v>
      </c>
      <c r="H1018" s="15">
        <v>3284009</v>
      </c>
      <c r="I1018" s="1">
        <v>46083</v>
      </c>
      <c r="J1018" s="1">
        <v>46113</v>
      </c>
      <c r="K1018" s="18" t="s">
        <v>1144</v>
      </c>
      <c r="L1018" s="18" t="s">
        <v>207</v>
      </c>
      <c r="M1018" s="18" t="s">
        <v>19</v>
      </c>
      <c r="N1018" s="18" t="s">
        <v>1148</v>
      </c>
      <c r="O1018">
        <v>30</v>
      </c>
    </row>
    <row r="1019" spans="1:15" x14ac:dyDescent="0.25">
      <c r="A1019" s="18" t="s">
        <v>7276</v>
      </c>
      <c r="B1019" s="18" t="s">
        <v>1146</v>
      </c>
      <c r="C1019" s="18" t="s">
        <v>1147</v>
      </c>
      <c r="D1019" s="18" t="s">
        <v>1118</v>
      </c>
      <c r="E1019" s="18" t="s">
        <v>5467</v>
      </c>
      <c r="F1019" s="2">
        <f>+J1019-I1019</f>
        <v>30</v>
      </c>
      <c r="G1019" s="2">
        <f ca="1">+TODAY()-I1019</f>
        <v>37</v>
      </c>
      <c r="H1019" s="15">
        <v>612561</v>
      </c>
      <c r="I1019" s="1">
        <v>46083</v>
      </c>
      <c r="J1019" s="1">
        <v>46113</v>
      </c>
      <c r="K1019" s="18" t="s">
        <v>1144</v>
      </c>
      <c r="L1019" s="18" t="s">
        <v>117</v>
      </c>
      <c r="M1019" s="18" t="s">
        <v>19</v>
      </c>
      <c r="N1019" s="18" t="s">
        <v>1148</v>
      </c>
      <c r="O1019">
        <v>30</v>
      </c>
    </row>
    <row r="1020" spans="1:15" x14ac:dyDescent="0.25">
      <c r="A1020" s="18" t="s">
        <v>7276</v>
      </c>
      <c r="B1020" s="18" t="s">
        <v>1146</v>
      </c>
      <c r="C1020" s="18" t="s">
        <v>1147</v>
      </c>
      <c r="D1020" s="18" t="s">
        <v>1118</v>
      </c>
      <c r="E1020" s="18" t="s">
        <v>5469</v>
      </c>
      <c r="F1020" s="2">
        <f>+J1020-I1020</f>
        <v>30</v>
      </c>
      <c r="G1020" s="2">
        <f ca="1">+TODAY()-I1020</f>
        <v>37</v>
      </c>
      <c r="H1020" s="15">
        <v>871510</v>
      </c>
      <c r="I1020" s="1">
        <v>46083</v>
      </c>
      <c r="J1020" s="1">
        <v>46113</v>
      </c>
      <c r="K1020" s="18" t="s">
        <v>1144</v>
      </c>
      <c r="L1020" s="18" t="s">
        <v>47</v>
      </c>
      <c r="M1020" s="18" t="s">
        <v>19</v>
      </c>
      <c r="N1020" s="18" t="s">
        <v>1148</v>
      </c>
      <c r="O1020">
        <v>30</v>
      </c>
    </row>
    <row r="1021" spans="1:15" x14ac:dyDescent="0.25">
      <c r="A1021" s="18" t="s">
        <v>7276</v>
      </c>
      <c r="B1021" s="18" t="s">
        <v>1146</v>
      </c>
      <c r="C1021" s="18" t="s">
        <v>1147</v>
      </c>
      <c r="D1021" s="18" t="s">
        <v>1118</v>
      </c>
      <c r="E1021" s="18" t="s">
        <v>5746</v>
      </c>
      <c r="F1021" s="2">
        <f>+J1021-I1021</f>
        <v>30</v>
      </c>
      <c r="G1021" s="2">
        <f ca="1">+TODAY()-I1021</f>
        <v>30</v>
      </c>
      <c r="H1021" s="15">
        <v>454020</v>
      </c>
      <c r="I1021" s="1">
        <v>46090</v>
      </c>
      <c r="J1021" s="1">
        <v>46120</v>
      </c>
      <c r="K1021" s="18" t="s">
        <v>1144</v>
      </c>
      <c r="L1021" s="18" t="s">
        <v>207</v>
      </c>
      <c r="M1021" s="18" t="s">
        <v>19</v>
      </c>
      <c r="N1021" s="18" t="s">
        <v>1148</v>
      </c>
      <c r="O1021">
        <v>30</v>
      </c>
    </row>
    <row r="1022" spans="1:15" x14ac:dyDescent="0.25">
      <c r="A1022" s="18" t="s">
        <v>7276</v>
      </c>
      <c r="B1022" s="18" t="s">
        <v>1146</v>
      </c>
      <c r="C1022" s="18" t="s">
        <v>1147</v>
      </c>
      <c r="D1022" s="18" t="s">
        <v>1118</v>
      </c>
      <c r="E1022" s="18" t="s">
        <v>5747</v>
      </c>
      <c r="F1022" s="2">
        <f>+J1022-I1022</f>
        <v>30</v>
      </c>
      <c r="G1022" s="2">
        <f ca="1">+TODAY()-I1022</f>
        <v>30</v>
      </c>
      <c r="H1022" s="15">
        <v>2466285</v>
      </c>
      <c r="I1022" s="1">
        <v>46090</v>
      </c>
      <c r="J1022" s="1">
        <v>46120</v>
      </c>
      <c r="K1022" s="18" t="s">
        <v>1144</v>
      </c>
      <c r="L1022" s="18" t="s">
        <v>207</v>
      </c>
      <c r="M1022" s="18" t="s">
        <v>19</v>
      </c>
      <c r="N1022" s="18" t="s">
        <v>1148</v>
      </c>
      <c r="O1022">
        <v>30</v>
      </c>
    </row>
    <row r="1023" spans="1:15" x14ac:dyDescent="0.25">
      <c r="A1023" s="18" t="s">
        <v>7276</v>
      </c>
      <c r="B1023" s="18" t="s">
        <v>1146</v>
      </c>
      <c r="C1023" s="18" t="s">
        <v>1147</v>
      </c>
      <c r="D1023" s="18" t="s">
        <v>1118</v>
      </c>
      <c r="E1023" s="18" t="s">
        <v>5748</v>
      </c>
      <c r="F1023" s="2">
        <f>+J1023-I1023</f>
        <v>30</v>
      </c>
      <c r="G1023" s="2">
        <f ca="1">+TODAY()-I1023</f>
        <v>30</v>
      </c>
      <c r="H1023" s="15">
        <v>1898824</v>
      </c>
      <c r="I1023" s="1">
        <v>46090</v>
      </c>
      <c r="J1023" s="1">
        <v>46120</v>
      </c>
      <c r="K1023" s="18" t="s">
        <v>1144</v>
      </c>
      <c r="L1023" s="18" t="s">
        <v>207</v>
      </c>
      <c r="M1023" s="18" t="s">
        <v>19</v>
      </c>
      <c r="N1023" s="18" t="s">
        <v>1148</v>
      </c>
      <c r="O1023">
        <v>30</v>
      </c>
    </row>
    <row r="1024" spans="1:15" x14ac:dyDescent="0.25">
      <c r="A1024" s="18" t="s">
        <v>7276</v>
      </c>
      <c r="B1024" s="18" t="s">
        <v>1146</v>
      </c>
      <c r="C1024" s="18" t="s">
        <v>1147</v>
      </c>
      <c r="D1024" s="18" t="s">
        <v>1118</v>
      </c>
      <c r="E1024" s="18" t="s">
        <v>5992</v>
      </c>
      <c r="F1024" s="2">
        <f>+J1024-I1024</f>
        <v>30</v>
      </c>
      <c r="G1024" s="2">
        <f ca="1">+TODAY()-I1024</f>
        <v>25</v>
      </c>
      <c r="H1024" s="15">
        <v>1756561</v>
      </c>
      <c r="I1024" s="1">
        <v>46095</v>
      </c>
      <c r="J1024" s="1">
        <v>46125</v>
      </c>
      <c r="K1024" s="18" t="s">
        <v>1144</v>
      </c>
      <c r="L1024" s="18" t="s">
        <v>207</v>
      </c>
      <c r="M1024" s="18" t="s">
        <v>19</v>
      </c>
      <c r="N1024" s="18" t="s">
        <v>1148</v>
      </c>
      <c r="O1024">
        <v>30</v>
      </c>
    </row>
    <row r="1025" spans="1:15" x14ac:dyDescent="0.25">
      <c r="A1025" s="18" t="s">
        <v>7276</v>
      </c>
      <c r="B1025" s="18" t="s">
        <v>1146</v>
      </c>
      <c r="C1025" s="18" t="s">
        <v>1147</v>
      </c>
      <c r="D1025" s="18" t="s">
        <v>1118</v>
      </c>
      <c r="E1025" s="18" t="s">
        <v>5993</v>
      </c>
      <c r="F1025" s="2">
        <f>+J1025-I1025</f>
        <v>30</v>
      </c>
      <c r="G1025" s="2">
        <f ca="1">+TODAY()-I1025</f>
        <v>25</v>
      </c>
      <c r="H1025" s="15">
        <v>7689731</v>
      </c>
      <c r="I1025" s="1">
        <v>46095</v>
      </c>
      <c r="J1025" s="1">
        <v>46125</v>
      </c>
      <c r="K1025" s="18" t="s">
        <v>1144</v>
      </c>
      <c r="L1025" s="18" t="s">
        <v>207</v>
      </c>
      <c r="M1025" s="18" t="s">
        <v>19</v>
      </c>
      <c r="N1025" s="18" t="s">
        <v>1148</v>
      </c>
      <c r="O1025">
        <v>30</v>
      </c>
    </row>
    <row r="1026" spans="1:15" x14ac:dyDescent="0.25">
      <c r="A1026" s="18" t="s">
        <v>7276</v>
      </c>
      <c r="B1026" s="18" t="s">
        <v>1146</v>
      </c>
      <c r="C1026" s="18" t="s">
        <v>1147</v>
      </c>
      <c r="D1026" s="18" t="s">
        <v>1118</v>
      </c>
      <c r="E1026" s="18" t="s">
        <v>6005</v>
      </c>
      <c r="F1026" s="2">
        <f>+J1026-I1026</f>
        <v>30</v>
      </c>
      <c r="G1026" s="2">
        <f ca="1">+TODAY()-I1026</f>
        <v>23</v>
      </c>
      <c r="H1026" s="15">
        <v>1462605</v>
      </c>
      <c r="I1026" s="1">
        <v>46097</v>
      </c>
      <c r="J1026" s="1">
        <v>46127</v>
      </c>
      <c r="K1026" s="18" t="s">
        <v>1144</v>
      </c>
      <c r="L1026" s="18" t="s">
        <v>207</v>
      </c>
      <c r="M1026" s="18" t="s">
        <v>19</v>
      </c>
      <c r="N1026" s="18" t="s">
        <v>1148</v>
      </c>
      <c r="O1026">
        <v>30</v>
      </c>
    </row>
    <row r="1027" spans="1:15" x14ac:dyDescent="0.25">
      <c r="A1027" s="18" t="s">
        <v>7276</v>
      </c>
      <c r="B1027" s="18" t="s">
        <v>1146</v>
      </c>
      <c r="C1027" s="18" t="s">
        <v>1147</v>
      </c>
      <c r="D1027" s="18" t="s">
        <v>1118</v>
      </c>
      <c r="E1027" s="18" t="s">
        <v>6006</v>
      </c>
      <c r="F1027" s="2">
        <f>+J1027-I1027</f>
        <v>30</v>
      </c>
      <c r="G1027" s="2">
        <f ca="1">+TODAY()-I1027</f>
        <v>23</v>
      </c>
      <c r="H1027" s="15">
        <v>5634122</v>
      </c>
      <c r="I1027" s="1">
        <v>46097</v>
      </c>
      <c r="J1027" s="1">
        <v>46127</v>
      </c>
      <c r="K1027" s="18" t="s">
        <v>1144</v>
      </c>
      <c r="L1027" s="18" t="s">
        <v>207</v>
      </c>
      <c r="M1027" s="18" t="s">
        <v>19</v>
      </c>
      <c r="N1027" s="18" t="s">
        <v>1148</v>
      </c>
      <c r="O1027">
        <v>30</v>
      </c>
    </row>
    <row r="1028" spans="1:15" x14ac:dyDescent="0.25">
      <c r="A1028" s="18" t="s">
        <v>7276</v>
      </c>
      <c r="B1028" s="18" t="s">
        <v>1146</v>
      </c>
      <c r="C1028" s="18" t="s">
        <v>1147</v>
      </c>
      <c r="D1028" s="18" t="s">
        <v>1118</v>
      </c>
      <c r="E1028" s="18" t="s">
        <v>6008</v>
      </c>
      <c r="F1028" s="2">
        <f>+J1028-I1028</f>
        <v>30</v>
      </c>
      <c r="G1028" s="2">
        <f ca="1">+TODAY()-I1028</f>
        <v>23</v>
      </c>
      <c r="H1028" s="15">
        <v>498680</v>
      </c>
      <c r="I1028" s="1">
        <v>46097</v>
      </c>
      <c r="J1028" s="1">
        <v>46127</v>
      </c>
      <c r="K1028" s="18" t="s">
        <v>1144</v>
      </c>
      <c r="L1028" s="18" t="s">
        <v>47</v>
      </c>
      <c r="M1028" s="18" t="s">
        <v>19</v>
      </c>
      <c r="N1028" s="18" t="s">
        <v>1148</v>
      </c>
      <c r="O1028">
        <v>30</v>
      </c>
    </row>
    <row r="1029" spans="1:15" x14ac:dyDescent="0.25">
      <c r="A1029" s="18" t="s">
        <v>7276</v>
      </c>
      <c r="B1029" s="18" t="s">
        <v>1146</v>
      </c>
      <c r="C1029" s="18" t="s">
        <v>1147</v>
      </c>
      <c r="D1029" s="18" t="s">
        <v>1118</v>
      </c>
      <c r="E1029" s="18" t="s">
        <v>6010</v>
      </c>
      <c r="F1029" s="2">
        <f>+J1029-I1029</f>
        <v>30</v>
      </c>
      <c r="G1029" s="2">
        <f ca="1">+TODAY()-I1029</f>
        <v>23</v>
      </c>
      <c r="H1029" s="15">
        <v>324001</v>
      </c>
      <c r="I1029" s="1">
        <v>46097</v>
      </c>
      <c r="J1029" s="1">
        <v>46127</v>
      </c>
      <c r="K1029" s="18" t="s">
        <v>1144</v>
      </c>
      <c r="L1029" s="18" t="s">
        <v>117</v>
      </c>
      <c r="M1029" s="18" t="s">
        <v>19</v>
      </c>
      <c r="N1029" s="18" t="s">
        <v>1148</v>
      </c>
      <c r="O1029">
        <v>30</v>
      </c>
    </row>
    <row r="1030" spans="1:15" x14ac:dyDescent="0.25">
      <c r="A1030" s="18" t="s">
        <v>7276</v>
      </c>
      <c r="B1030" s="18" t="s">
        <v>1146</v>
      </c>
      <c r="C1030" s="18" t="s">
        <v>1147</v>
      </c>
      <c r="D1030" s="18" t="s">
        <v>1118</v>
      </c>
      <c r="E1030" s="18" t="s">
        <v>6516</v>
      </c>
      <c r="F1030" s="2">
        <f>+J1030-I1030</f>
        <v>30</v>
      </c>
      <c r="G1030" s="2">
        <f ca="1">+TODAY()-I1030</f>
        <v>15</v>
      </c>
      <c r="H1030" s="15">
        <v>1031800</v>
      </c>
      <c r="I1030" s="1">
        <v>46105</v>
      </c>
      <c r="J1030" s="1">
        <v>46135</v>
      </c>
      <c r="K1030" s="18" t="s">
        <v>1144</v>
      </c>
      <c r="L1030" s="18" t="s">
        <v>207</v>
      </c>
      <c r="M1030" s="18" t="s">
        <v>19</v>
      </c>
      <c r="N1030" s="18" t="s">
        <v>1148</v>
      </c>
      <c r="O1030">
        <v>30</v>
      </c>
    </row>
    <row r="1031" spans="1:15" x14ac:dyDescent="0.25">
      <c r="A1031" s="18" t="s">
        <v>7276</v>
      </c>
      <c r="B1031" s="18" t="s">
        <v>1146</v>
      </c>
      <c r="C1031" s="18" t="s">
        <v>1147</v>
      </c>
      <c r="D1031" s="18" t="s">
        <v>1118</v>
      </c>
      <c r="E1031" s="18" t="s">
        <v>6518</v>
      </c>
      <c r="F1031" s="2">
        <f>+J1031-I1031</f>
        <v>30</v>
      </c>
      <c r="G1031" s="2">
        <f ca="1">+TODAY()-I1031</f>
        <v>15</v>
      </c>
      <c r="H1031" s="15">
        <v>494998</v>
      </c>
      <c r="I1031" s="1">
        <v>46105</v>
      </c>
      <c r="J1031" s="1">
        <v>46135</v>
      </c>
      <c r="K1031" s="18" t="s">
        <v>1144</v>
      </c>
      <c r="L1031" s="18" t="s">
        <v>207</v>
      </c>
      <c r="M1031" s="18" t="s">
        <v>19</v>
      </c>
      <c r="N1031" s="18" t="s">
        <v>1148</v>
      </c>
      <c r="O1031">
        <v>30</v>
      </c>
    </row>
    <row r="1032" spans="1:15" x14ac:dyDescent="0.25">
      <c r="A1032" s="18" t="s">
        <v>7276</v>
      </c>
      <c r="B1032" s="18" t="s">
        <v>1146</v>
      </c>
      <c r="C1032" s="18" t="s">
        <v>1147</v>
      </c>
      <c r="D1032" s="18" t="s">
        <v>1118</v>
      </c>
      <c r="E1032" s="18" t="s">
        <v>6519</v>
      </c>
      <c r="F1032" s="2">
        <f>+J1032-I1032</f>
        <v>30</v>
      </c>
      <c r="G1032" s="2">
        <f ca="1">+TODAY()-I1032</f>
        <v>15</v>
      </c>
      <c r="H1032" s="15">
        <v>721691</v>
      </c>
      <c r="I1032" s="1">
        <v>46105</v>
      </c>
      <c r="J1032" s="1">
        <v>46135</v>
      </c>
      <c r="K1032" s="18" t="s">
        <v>1144</v>
      </c>
      <c r="L1032" s="18" t="s">
        <v>207</v>
      </c>
      <c r="M1032" s="18" t="s">
        <v>19</v>
      </c>
      <c r="N1032" s="18" t="s">
        <v>1148</v>
      </c>
      <c r="O1032">
        <v>30</v>
      </c>
    </row>
    <row r="1033" spans="1:15" x14ac:dyDescent="0.25">
      <c r="A1033" s="18" t="s">
        <v>7276</v>
      </c>
      <c r="B1033" s="18" t="s">
        <v>1146</v>
      </c>
      <c r="C1033" s="18" t="s">
        <v>1147</v>
      </c>
      <c r="D1033" s="18" t="s">
        <v>1118</v>
      </c>
      <c r="E1033" s="18" t="s">
        <v>6520</v>
      </c>
      <c r="F1033" s="2">
        <f>+J1033-I1033</f>
        <v>30</v>
      </c>
      <c r="G1033" s="2">
        <f ca="1">+TODAY()-I1033</f>
        <v>15</v>
      </c>
      <c r="H1033" s="15">
        <v>523946</v>
      </c>
      <c r="I1033" s="1">
        <v>46105</v>
      </c>
      <c r="J1033" s="1">
        <v>46135</v>
      </c>
      <c r="K1033" s="18" t="s">
        <v>1144</v>
      </c>
      <c r="L1033" s="18" t="s">
        <v>207</v>
      </c>
      <c r="M1033" s="18" t="s">
        <v>19</v>
      </c>
      <c r="N1033" s="18" t="s">
        <v>1148</v>
      </c>
      <c r="O1033">
        <v>30</v>
      </c>
    </row>
    <row r="1034" spans="1:15" x14ac:dyDescent="0.25">
      <c r="A1034" s="18" t="s">
        <v>7276</v>
      </c>
      <c r="B1034" s="18" t="s">
        <v>1146</v>
      </c>
      <c r="C1034" s="18" t="s">
        <v>1147</v>
      </c>
      <c r="D1034" s="18" t="s">
        <v>1118</v>
      </c>
      <c r="E1034" s="18" t="s">
        <v>6523</v>
      </c>
      <c r="F1034" s="2">
        <f>+J1034-I1034</f>
        <v>30</v>
      </c>
      <c r="G1034" s="2">
        <f ca="1">+TODAY()-I1034</f>
        <v>15</v>
      </c>
      <c r="H1034" s="15">
        <v>1475000</v>
      </c>
      <c r="I1034" s="1">
        <v>46105</v>
      </c>
      <c r="J1034" s="1">
        <v>46135</v>
      </c>
      <c r="K1034" s="18" t="s">
        <v>1144</v>
      </c>
      <c r="L1034" s="18" t="s">
        <v>117</v>
      </c>
      <c r="M1034" s="18" t="s">
        <v>19</v>
      </c>
      <c r="N1034" s="18" t="s">
        <v>1148</v>
      </c>
      <c r="O1034">
        <v>30</v>
      </c>
    </row>
    <row r="1035" spans="1:15" x14ac:dyDescent="0.25">
      <c r="A1035" s="18" t="s">
        <v>7276</v>
      </c>
      <c r="B1035" s="18" t="s">
        <v>1146</v>
      </c>
      <c r="C1035" s="18" t="s">
        <v>1147</v>
      </c>
      <c r="D1035" s="18" t="s">
        <v>1118</v>
      </c>
      <c r="E1035" s="18" t="s">
        <v>6525</v>
      </c>
      <c r="F1035" s="2">
        <f>+J1035-I1035</f>
        <v>19</v>
      </c>
      <c r="G1035" s="2">
        <f ca="1">+TODAY()-I1035</f>
        <v>14</v>
      </c>
      <c r="H1035" s="15">
        <v>252000</v>
      </c>
      <c r="I1035" s="1">
        <v>46106</v>
      </c>
      <c r="J1035" s="1">
        <v>46125</v>
      </c>
      <c r="K1035" s="18" t="s">
        <v>1144</v>
      </c>
      <c r="L1035" s="18" t="s">
        <v>207</v>
      </c>
      <c r="M1035" s="18" t="s">
        <v>19</v>
      </c>
      <c r="N1035" s="18" t="s">
        <v>1148</v>
      </c>
      <c r="O1035">
        <v>30</v>
      </c>
    </row>
    <row r="1036" spans="1:15" x14ac:dyDescent="0.25">
      <c r="A1036" s="18" t="s">
        <v>7276</v>
      </c>
      <c r="B1036" s="18" t="s">
        <v>1146</v>
      </c>
      <c r="C1036" s="18" t="s">
        <v>1147</v>
      </c>
      <c r="D1036" s="18" t="s">
        <v>1118</v>
      </c>
      <c r="E1036" s="18" t="s">
        <v>7082</v>
      </c>
      <c r="F1036" s="2">
        <f>+J1036-I1036</f>
        <v>30</v>
      </c>
      <c r="G1036" s="2">
        <f ca="1">+TODAY()-I1036</f>
        <v>9</v>
      </c>
      <c r="H1036" s="15">
        <v>800059</v>
      </c>
      <c r="I1036" s="1">
        <v>46111</v>
      </c>
      <c r="J1036" s="1">
        <v>46141</v>
      </c>
      <c r="K1036" s="18" t="s">
        <v>1144</v>
      </c>
      <c r="L1036" s="18" t="s">
        <v>207</v>
      </c>
      <c r="M1036" s="18" t="s">
        <v>19</v>
      </c>
      <c r="N1036" s="18" t="s">
        <v>1148</v>
      </c>
      <c r="O1036">
        <v>30</v>
      </c>
    </row>
    <row r="1037" spans="1:15" x14ac:dyDescent="0.25">
      <c r="A1037" s="18" t="s">
        <v>7276</v>
      </c>
      <c r="B1037" s="18" t="s">
        <v>1146</v>
      </c>
      <c r="C1037" s="18" t="s">
        <v>1147</v>
      </c>
      <c r="D1037" s="18" t="s">
        <v>1118</v>
      </c>
      <c r="E1037" s="18" t="s">
        <v>7083</v>
      </c>
      <c r="F1037" s="2">
        <f>+J1037-I1037</f>
        <v>30</v>
      </c>
      <c r="G1037" s="2">
        <f ca="1">+TODAY()-I1037</f>
        <v>9</v>
      </c>
      <c r="H1037" s="15">
        <v>6880000</v>
      </c>
      <c r="I1037" s="1">
        <v>46111</v>
      </c>
      <c r="J1037" s="1">
        <v>46141</v>
      </c>
      <c r="K1037" s="18" t="s">
        <v>1144</v>
      </c>
      <c r="L1037" s="18" t="s">
        <v>207</v>
      </c>
      <c r="M1037" s="18" t="s">
        <v>19</v>
      </c>
      <c r="N1037" s="18" t="s">
        <v>1148</v>
      </c>
      <c r="O1037">
        <v>30</v>
      </c>
    </row>
    <row r="1038" spans="1:15" x14ac:dyDescent="0.25">
      <c r="A1038" s="18" t="s">
        <v>7276</v>
      </c>
      <c r="B1038" s="18" t="s">
        <v>1146</v>
      </c>
      <c r="C1038" s="18" t="s">
        <v>1147</v>
      </c>
      <c r="D1038" s="18" t="s">
        <v>1118</v>
      </c>
      <c r="E1038" s="18" t="s">
        <v>7084</v>
      </c>
      <c r="F1038" s="2">
        <f>+J1038-I1038</f>
        <v>30</v>
      </c>
      <c r="G1038" s="2">
        <f ca="1">+TODAY()-I1038</f>
        <v>9</v>
      </c>
      <c r="H1038" s="15">
        <v>7531325</v>
      </c>
      <c r="I1038" s="1">
        <v>46111</v>
      </c>
      <c r="J1038" s="1">
        <v>46141</v>
      </c>
      <c r="K1038" s="18" t="s">
        <v>1144</v>
      </c>
      <c r="L1038" s="18" t="s">
        <v>207</v>
      </c>
      <c r="M1038" s="18" t="s">
        <v>19</v>
      </c>
      <c r="N1038" s="18" t="s">
        <v>1148</v>
      </c>
      <c r="O1038">
        <v>30</v>
      </c>
    </row>
    <row r="1039" spans="1:15" x14ac:dyDescent="0.25">
      <c r="A1039" s="18" t="s">
        <v>7276</v>
      </c>
      <c r="B1039" s="18" t="s">
        <v>1146</v>
      </c>
      <c r="C1039" s="18" t="s">
        <v>1147</v>
      </c>
      <c r="D1039" s="18" t="s">
        <v>1118</v>
      </c>
      <c r="E1039" s="18" t="s">
        <v>7085</v>
      </c>
      <c r="F1039" s="2">
        <f>+J1039-I1039</f>
        <v>30</v>
      </c>
      <c r="G1039" s="2">
        <f ca="1">+TODAY()-I1039</f>
        <v>9</v>
      </c>
      <c r="H1039" s="15">
        <v>18971198</v>
      </c>
      <c r="I1039" s="1">
        <v>46111</v>
      </c>
      <c r="J1039" s="1">
        <v>46141</v>
      </c>
      <c r="K1039" s="18" t="s">
        <v>1144</v>
      </c>
      <c r="L1039" s="18" t="s">
        <v>207</v>
      </c>
      <c r="M1039" s="18" t="s">
        <v>19</v>
      </c>
      <c r="N1039" s="18" t="s">
        <v>1148</v>
      </c>
      <c r="O1039">
        <v>30</v>
      </c>
    </row>
    <row r="1040" spans="1:15" x14ac:dyDescent="0.25">
      <c r="A1040" s="18" t="s">
        <v>7276</v>
      </c>
      <c r="B1040" s="18" t="s">
        <v>1146</v>
      </c>
      <c r="C1040" s="18" t="s">
        <v>1147</v>
      </c>
      <c r="D1040" s="18" t="s">
        <v>1118</v>
      </c>
      <c r="E1040" s="18" t="s">
        <v>7086</v>
      </c>
      <c r="F1040" s="2">
        <f>+J1040-I1040</f>
        <v>30</v>
      </c>
      <c r="G1040" s="2">
        <f ca="1">+TODAY()-I1040</f>
        <v>9</v>
      </c>
      <c r="H1040" s="15">
        <v>606173</v>
      </c>
      <c r="I1040" s="1">
        <v>46111</v>
      </c>
      <c r="J1040" s="1">
        <v>46141</v>
      </c>
      <c r="K1040" s="18" t="s">
        <v>1144</v>
      </c>
      <c r="L1040" s="18" t="s">
        <v>207</v>
      </c>
      <c r="M1040" s="18" t="s">
        <v>19</v>
      </c>
      <c r="N1040" s="18" t="s">
        <v>1148</v>
      </c>
      <c r="O1040">
        <v>30</v>
      </c>
    </row>
    <row r="1041" spans="1:15" x14ac:dyDescent="0.25">
      <c r="A1041" s="18" t="s">
        <v>7276</v>
      </c>
      <c r="B1041" s="18" t="s">
        <v>1146</v>
      </c>
      <c r="C1041" s="18" t="s">
        <v>1147</v>
      </c>
      <c r="D1041" s="18" t="s">
        <v>1118</v>
      </c>
      <c r="E1041" s="18" t="s">
        <v>7091</v>
      </c>
      <c r="F1041" s="2">
        <f>+J1041-I1041</f>
        <v>30</v>
      </c>
      <c r="G1041" s="2">
        <f ca="1">+TODAY()-I1041</f>
        <v>9</v>
      </c>
      <c r="H1041" s="15">
        <v>761911</v>
      </c>
      <c r="I1041" s="1">
        <v>46111</v>
      </c>
      <c r="J1041" s="1">
        <v>46141</v>
      </c>
      <c r="K1041" s="18" t="s">
        <v>1144</v>
      </c>
      <c r="L1041" s="18" t="s">
        <v>47</v>
      </c>
      <c r="M1041" s="18" t="s">
        <v>19</v>
      </c>
      <c r="N1041" s="18" t="s">
        <v>1148</v>
      </c>
      <c r="O1041">
        <v>30</v>
      </c>
    </row>
    <row r="1042" spans="1:15" x14ac:dyDescent="0.25">
      <c r="A1042" s="18" t="s">
        <v>7276</v>
      </c>
      <c r="B1042" s="18" t="s">
        <v>1146</v>
      </c>
      <c r="C1042" s="18" t="s">
        <v>1147</v>
      </c>
      <c r="D1042" s="18" t="s">
        <v>1118</v>
      </c>
      <c r="E1042" s="18" t="s">
        <v>7092</v>
      </c>
      <c r="F1042" s="2">
        <f>+J1042-I1042</f>
        <v>30</v>
      </c>
      <c r="G1042" s="2">
        <f ca="1">+TODAY()-I1042</f>
        <v>9</v>
      </c>
      <c r="H1042" s="15">
        <v>120100</v>
      </c>
      <c r="I1042" s="1">
        <v>46111</v>
      </c>
      <c r="J1042" s="1">
        <v>46141</v>
      </c>
      <c r="K1042" s="18" t="s">
        <v>1144</v>
      </c>
      <c r="L1042" s="18" t="s">
        <v>47</v>
      </c>
      <c r="M1042" s="18" t="s">
        <v>19</v>
      </c>
      <c r="N1042" s="18" t="s">
        <v>1148</v>
      </c>
      <c r="O1042">
        <v>30</v>
      </c>
    </row>
    <row r="1043" spans="1:15" x14ac:dyDescent="0.25">
      <c r="A1043" s="18" t="s">
        <v>7276</v>
      </c>
      <c r="B1043" s="18" t="s">
        <v>1146</v>
      </c>
      <c r="C1043" s="18" t="s">
        <v>1147</v>
      </c>
      <c r="D1043" s="18" t="s">
        <v>1118</v>
      </c>
      <c r="E1043" s="18" t="s">
        <v>7546</v>
      </c>
      <c r="F1043" s="2">
        <f>+J1043-I1043</f>
        <v>30</v>
      </c>
      <c r="G1043" s="2">
        <f ca="1">+TODAY()-I1043</f>
        <v>2</v>
      </c>
      <c r="H1043" s="15">
        <v>620714</v>
      </c>
      <c r="I1043" s="1">
        <v>46118</v>
      </c>
      <c r="J1043" s="1">
        <v>46148</v>
      </c>
      <c r="K1043" s="18" t="s">
        <v>1144</v>
      </c>
      <c r="L1043" s="18" t="s">
        <v>207</v>
      </c>
      <c r="M1043" s="18" t="s">
        <v>19</v>
      </c>
      <c r="N1043" s="18" t="s">
        <v>1148</v>
      </c>
      <c r="O1043">
        <v>30</v>
      </c>
    </row>
    <row r="1044" spans="1:15" x14ac:dyDescent="0.25">
      <c r="A1044" s="18" t="s">
        <v>7276</v>
      </c>
      <c r="B1044" s="18" t="s">
        <v>1146</v>
      </c>
      <c r="C1044" s="18" t="s">
        <v>1147</v>
      </c>
      <c r="D1044" s="18" t="s">
        <v>1118</v>
      </c>
      <c r="E1044" s="18" t="s">
        <v>7547</v>
      </c>
      <c r="F1044" s="2">
        <f>+J1044-I1044</f>
        <v>30</v>
      </c>
      <c r="G1044" s="2">
        <f ca="1">+TODAY()-I1044</f>
        <v>2</v>
      </c>
      <c r="H1044" s="15">
        <v>1122411</v>
      </c>
      <c r="I1044" s="1">
        <v>46118</v>
      </c>
      <c r="J1044" s="1">
        <v>46148</v>
      </c>
      <c r="K1044" s="18" t="s">
        <v>1144</v>
      </c>
      <c r="L1044" s="18" t="s">
        <v>207</v>
      </c>
      <c r="M1044" s="18" t="s">
        <v>19</v>
      </c>
      <c r="N1044" s="18" t="s">
        <v>1148</v>
      </c>
      <c r="O1044">
        <v>30</v>
      </c>
    </row>
    <row r="1045" spans="1:15" x14ac:dyDescent="0.25">
      <c r="A1045" s="18" t="s">
        <v>7276</v>
      </c>
      <c r="B1045" s="18" t="s">
        <v>1146</v>
      </c>
      <c r="C1045" s="18" t="s">
        <v>1147</v>
      </c>
      <c r="D1045" s="18" t="s">
        <v>1118</v>
      </c>
      <c r="E1045" s="18" t="s">
        <v>7553</v>
      </c>
      <c r="F1045" s="2">
        <f>+J1045-I1045</f>
        <v>30</v>
      </c>
      <c r="G1045" s="2">
        <f ca="1">+TODAY()-I1045</f>
        <v>2</v>
      </c>
      <c r="H1045" s="15">
        <v>1008378</v>
      </c>
      <c r="I1045" s="1">
        <v>46118</v>
      </c>
      <c r="J1045" s="1">
        <v>46148</v>
      </c>
      <c r="K1045" s="18" t="s">
        <v>1144</v>
      </c>
      <c r="L1045" s="18" t="s">
        <v>207</v>
      </c>
      <c r="M1045" s="18" t="s">
        <v>19</v>
      </c>
      <c r="N1045" s="18" t="s">
        <v>1148</v>
      </c>
      <c r="O1045">
        <v>30</v>
      </c>
    </row>
    <row r="1046" spans="1:15" x14ac:dyDescent="0.25">
      <c r="A1046" s="18" t="s">
        <v>7276</v>
      </c>
      <c r="B1046" s="18" t="s">
        <v>1146</v>
      </c>
      <c r="C1046" s="18" t="s">
        <v>1147</v>
      </c>
      <c r="D1046" s="18" t="s">
        <v>1118</v>
      </c>
      <c r="E1046" s="18" t="s">
        <v>7554</v>
      </c>
      <c r="F1046" s="2">
        <f>+J1046-I1046</f>
        <v>30</v>
      </c>
      <c r="G1046" s="2">
        <f ca="1">+TODAY()-I1046</f>
        <v>2</v>
      </c>
      <c r="H1046" s="15">
        <v>9649626</v>
      </c>
      <c r="I1046" s="1">
        <v>46118</v>
      </c>
      <c r="J1046" s="1">
        <v>46148</v>
      </c>
      <c r="K1046" s="18" t="s">
        <v>1144</v>
      </c>
      <c r="L1046" s="18" t="s">
        <v>207</v>
      </c>
      <c r="M1046" s="18" t="s">
        <v>19</v>
      </c>
      <c r="N1046" s="18" t="s">
        <v>1148</v>
      </c>
      <c r="O1046">
        <v>30</v>
      </c>
    </row>
    <row r="1047" spans="1:15" x14ac:dyDescent="0.25">
      <c r="A1047" s="18" t="s">
        <v>7276</v>
      </c>
      <c r="B1047" s="18" t="s">
        <v>1146</v>
      </c>
      <c r="C1047" s="18" t="s">
        <v>1147</v>
      </c>
      <c r="D1047" s="18" t="s">
        <v>1118</v>
      </c>
      <c r="E1047" s="18" t="s">
        <v>7562</v>
      </c>
      <c r="F1047" s="2">
        <f>+J1047-I1047</f>
        <v>30</v>
      </c>
      <c r="G1047" s="2">
        <f ca="1">+TODAY()-I1047</f>
        <v>2</v>
      </c>
      <c r="H1047" s="15">
        <v>804393</v>
      </c>
      <c r="I1047" s="1">
        <v>46118</v>
      </c>
      <c r="J1047" s="1">
        <v>46148</v>
      </c>
      <c r="K1047" s="18" t="s">
        <v>1144</v>
      </c>
      <c r="L1047" s="18" t="s">
        <v>117</v>
      </c>
      <c r="M1047" s="18" t="s">
        <v>19</v>
      </c>
      <c r="N1047" s="18" t="s">
        <v>1148</v>
      </c>
      <c r="O1047">
        <v>30</v>
      </c>
    </row>
    <row r="1048" spans="1:15" x14ac:dyDescent="0.25">
      <c r="A1048" s="18" t="s">
        <v>7276</v>
      </c>
      <c r="B1048" s="18" t="s">
        <v>1146</v>
      </c>
      <c r="C1048" s="18" t="s">
        <v>1147</v>
      </c>
      <c r="D1048" s="18" t="s">
        <v>1118</v>
      </c>
      <c r="E1048" s="18" t="s">
        <v>6071</v>
      </c>
      <c r="F1048" s="2">
        <f>+J1048-I1048</f>
        <v>30</v>
      </c>
      <c r="G1048" s="2">
        <f ca="1">+TODAY()-I1048</f>
        <v>27</v>
      </c>
      <c r="H1048" s="15">
        <v>904672</v>
      </c>
      <c r="I1048" s="1">
        <v>46093</v>
      </c>
      <c r="J1048" s="1">
        <v>46123</v>
      </c>
      <c r="K1048" s="18" t="s">
        <v>1528</v>
      </c>
      <c r="L1048" s="18" t="s">
        <v>207</v>
      </c>
      <c r="M1048" s="18" t="s">
        <v>19</v>
      </c>
      <c r="N1048" s="18" t="s">
        <v>1148</v>
      </c>
      <c r="O1048">
        <v>30</v>
      </c>
    </row>
    <row r="1049" spans="1:15" x14ac:dyDescent="0.25">
      <c r="A1049" s="18" t="s">
        <v>7276</v>
      </c>
      <c r="B1049" s="18" t="s">
        <v>1146</v>
      </c>
      <c r="C1049" s="18" t="s">
        <v>1147</v>
      </c>
      <c r="D1049" s="18" t="s">
        <v>1118</v>
      </c>
      <c r="E1049" s="18" t="s">
        <v>6072</v>
      </c>
      <c r="F1049" s="2">
        <f>+J1049-I1049</f>
        <v>30</v>
      </c>
      <c r="G1049" s="2">
        <f ca="1">+TODAY()-I1049</f>
        <v>27</v>
      </c>
      <c r="H1049" s="15">
        <v>1442800</v>
      </c>
      <c r="I1049" s="1">
        <v>46093</v>
      </c>
      <c r="J1049" s="1">
        <v>46123</v>
      </c>
      <c r="K1049" s="18" t="s">
        <v>1528</v>
      </c>
      <c r="L1049" s="18" t="s">
        <v>207</v>
      </c>
      <c r="M1049" s="18" t="s">
        <v>19</v>
      </c>
      <c r="N1049" s="18" t="s">
        <v>1148</v>
      </c>
      <c r="O1049">
        <v>30</v>
      </c>
    </row>
    <row r="1050" spans="1:15" x14ac:dyDescent="0.25">
      <c r="A1050" s="18" t="s">
        <v>7276</v>
      </c>
      <c r="B1050" s="18" t="s">
        <v>1146</v>
      </c>
      <c r="C1050" s="18" t="s">
        <v>1147</v>
      </c>
      <c r="D1050" s="18" t="s">
        <v>1118</v>
      </c>
      <c r="E1050" s="18" t="s">
        <v>6617</v>
      </c>
      <c r="F1050" s="2">
        <f>+J1050-I1050</f>
        <v>30</v>
      </c>
      <c r="G1050" s="2">
        <f ca="1">+TODAY()-I1050</f>
        <v>13</v>
      </c>
      <c r="H1050" s="15">
        <v>515417</v>
      </c>
      <c r="I1050" s="1">
        <v>46107</v>
      </c>
      <c r="J1050" s="1">
        <v>46137</v>
      </c>
      <c r="K1050" s="18" t="s">
        <v>1528</v>
      </c>
      <c r="L1050" s="18" t="s">
        <v>207</v>
      </c>
      <c r="M1050" s="18" t="s">
        <v>19</v>
      </c>
      <c r="N1050" s="18" t="s">
        <v>1148</v>
      </c>
      <c r="O1050">
        <v>30</v>
      </c>
    </row>
    <row r="1051" spans="1:15" x14ac:dyDescent="0.25">
      <c r="A1051" s="18" t="s">
        <v>7276</v>
      </c>
      <c r="B1051" s="18" t="s">
        <v>1146</v>
      </c>
      <c r="C1051" s="18" t="s">
        <v>1147</v>
      </c>
      <c r="D1051" s="18" t="s">
        <v>1118</v>
      </c>
      <c r="E1051" s="18" t="s">
        <v>6618</v>
      </c>
      <c r="F1051" s="2">
        <f>+J1051-I1051</f>
        <v>30</v>
      </c>
      <c r="G1051" s="2">
        <f ca="1">+TODAY()-I1051</f>
        <v>13</v>
      </c>
      <c r="H1051" s="15">
        <v>1892827</v>
      </c>
      <c r="I1051" s="1">
        <v>46107</v>
      </c>
      <c r="J1051" s="1">
        <v>46137</v>
      </c>
      <c r="K1051" s="18" t="s">
        <v>1528</v>
      </c>
      <c r="L1051" s="18" t="s">
        <v>207</v>
      </c>
      <c r="M1051" s="18" t="s">
        <v>19</v>
      </c>
      <c r="N1051" s="18" t="s">
        <v>1148</v>
      </c>
      <c r="O1051">
        <v>30</v>
      </c>
    </row>
    <row r="1052" spans="1:15" x14ac:dyDescent="0.25">
      <c r="A1052" s="18" t="s">
        <v>7276</v>
      </c>
      <c r="B1052" s="18" t="s">
        <v>3416</v>
      </c>
      <c r="C1052" s="18" t="s">
        <v>3417</v>
      </c>
      <c r="D1052" s="18" t="s">
        <v>1201</v>
      </c>
      <c r="E1052" s="18" t="s">
        <v>6428</v>
      </c>
      <c r="F1052" s="2">
        <f>+J1052-I1052</f>
        <v>30</v>
      </c>
      <c r="G1052" s="2">
        <f ca="1">+TODAY()-I1052</f>
        <v>12</v>
      </c>
      <c r="H1052" s="15">
        <v>9424000</v>
      </c>
      <c r="I1052" s="1">
        <v>46108</v>
      </c>
      <c r="J1052" s="1">
        <v>46138</v>
      </c>
      <c r="K1052" s="18" t="s">
        <v>17</v>
      </c>
      <c r="L1052" s="18" t="s">
        <v>207</v>
      </c>
      <c r="M1052" s="18" t="s">
        <v>19</v>
      </c>
      <c r="N1052" s="18" t="s">
        <v>3419</v>
      </c>
      <c r="O1052">
        <v>30</v>
      </c>
    </row>
    <row r="1053" spans="1:15" x14ac:dyDescent="0.25">
      <c r="A1053" s="18" t="s">
        <v>7276</v>
      </c>
      <c r="B1053" s="18" t="s">
        <v>3416</v>
      </c>
      <c r="C1053" s="18" t="s">
        <v>3417</v>
      </c>
      <c r="D1053" s="18" t="s">
        <v>1201</v>
      </c>
      <c r="E1053" s="18" t="s">
        <v>5475</v>
      </c>
      <c r="F1053" s="2">
        <f>+J1053-I1053</f>
        <v>30</v>
      </c>
      <c r="G1053" s="2">
        <f ca="1">+TODAY()-I1053</f>
        <v>35</v>
      </c>
      <c r="H1053" s="15">
        <v>22800000</v>
      </c>
      <c r="I1053" s="1">
        <v>46085</v>
      </c>
      <c r="J1053" s="1">
        <v>46115</v>
      </c>
      <c r="K1053" s="18" t="s">
        <v>1202</v>
      </c>
      <c r="L1053" s="18" t="s">
        <v>207</v>
      </c>
      <c r="M1053" s="18" t="s">
        <v>19</v>
      </c>
      <c r="N1053" s="18" t="s">
        <v>3419</v>
      </c>
      <c r="O1053">
        <v>30</v>
      </c>
    </row>
    <row r="1054" spans="1:15" x14ac:dyDescent="0.25">
      <c r="A1054" s="18" t="s">
        <v>7276</v>
      </c>
      <c r="B1054" s="18" t="s">
        <v>3416</v>
      </c>
      <c r="C1054" s="18" t="s">
        <v>3417</v>
      </c>
      <c r="D1054" s="18" t="s">
        <v>1201</v>
      </c>
      <c r="E1054" s="18" t="s">
        <v>5476</v>
      </c>
      <c r="F1054" s="2">
        <f>+J1054-I1054</f>
        <v>30</v>
      </c>
      <c r="G1054" s="2">
        <f ca="1">+TODAY()-I1054</f>
        <v>35</v>
      </c>
      <c r="H1054" s="15">
        <v>16350838</v>
      </c>
      <c r="I1054" s="1">
        <v>46085</v>
      </c>
      <c r="J1054" s="1">
        <v>46115</v>
      </c>
      <c r="K1054" s="18" t="s">
        <v>1202</v>
      </c>
      <c r="L1054" s="18" t="s">
        <v>207</v>
      </c>
      <c r="M1054" s="18" t="s">
        <v>19</v>
      </c>
      <c r="N1054" s="18" t="s">
        <v>3419</v>
      </c>
      <c r="O1054">
        <v>30</v>
      </c>
    </row>
    <row r="1055" spans="1:15" x14ac:dyDescent="0.25">
      <c r="A1055" s="18" t="s">
        <v>7276</v>
      </c>
      <c r="B1055" s="18" t="s">
        <v>3416</v>
      </c>
      <c r="C1055" s="18" t="s">
        <v>3417</v>
      </c>
      <c r="D1055" s="18" t="s">
        <v>1201</v>
      </c>
      <c r="E1055" s="18" t="s">
        <v>7101</v>
      </c>
      <c r="F1055" s="2">
        <f>+J1055-I1055</f>
        <v>30</v>
      </c>
      <c r="G1055" s="2">
        <f ca="1">+TODAY()-I1055</f>
        <v>9</v>
      </c>
      <c r="H1055" s="15">
        <v>13376000</v>
      </c>
      <c r="I1055" s="1">
        <v>46111</v>
      </c>
      <c r="J1055" s="1">
        <v>46141</v>
      </c>
      <c r="K1055" s="18" t="s">
        <v>1202</v>
      </c>
      <c r="L1055" s="18" t="s">
        <v>207</v>
      </c>
      <c r="M1055" s="18" t="s">
        <v>19</v>
      </c>
      <c r="N1055" s="18" t="s">
        <v>3419</v>
      </c>
      <c r="O1055">
        <v>30</v>
      </c>
    </row>
    <row r="1056" spans="1:15" x14ac:dyDescent="0.25">
      <c r="A1056" s="18" t="s">
        <v>7276</v>
      </c>
      <c r="B1056" s="18" t="s">
        <v>1161</v>
      </c>
      <c r="C1056" s="18" t="s">
        <v>1162</v>
      </c>
      <c r="D1056" s="18" t="s">
        <v>1118</v>
      </c>
      <c r="E1056" s="18" t="s">
        <v>5463</v>
      </c>
      <c r="F1056" s="2">
        <f>+J1056-I1056</f>
        <v>30</v>
      </c>
      <c r="G1056" s="2">
        <f ca="1">+TODAY()-I1056</f>
        <v>37</v>
      </c>
      <c r="H1056" s="15">
        <v>4179098</v>
      </c>
      <c r="I1056" s="1">
        <v>46083</v>
      </c>
      <c r="J1056" s="1">
        <v>46113</v>
      </c>
      <c r="K1056" s="18" t="s">
        <v>1144</v>
      </c>
      <c r="L1056" s="18" t="s">
        <v>207</v>
      </c>
      <c r="M1056" s="18" t="s">
        <v>19</v>
      </c>
      <c r="N1056" s="18" t="s">
        <v>1163</v>
      </c>
      <c r="O1056">
        <v>30</v>
      </c>
    </row>
    <row r="1057" spans="1:15" x14ac:dyDescent="0.25">
      <c r="A1057" s="18" t="s">
        <v>7276</v>
      </c>
      <c r="B1057" s="18" t="s">
        <v>1161</v>
      </c>
      <c r="C1057" s="18" t="s">
        <v>1162</v>
      </c>
      <c r="D1057" s="18" t="s">
        <v>1118</v>
      </c>
      <c r="E1057" s="18" t="s">
        <v>5464</v>
      </c>
      <c r="F1057" s="2">
        <f>+J1057-I1057</f>
        <v>30</v>
      </c>
      <c r="G1057" s="2">
        <f ca="1">+TODAY()-I1057</f>
        <v>37</v>
      </c>
      <c r="H1057" s="15">
        <v>1873906</v>
      </c>
      <c r="I1057" s="1">
        <v>46083</v>
      </c>
      <c r="J1057" s="1">
        <v>46113</v>
      </c>
      <c r="K1057" s="18" t="s">
        <v>1144</v>
      </c>
      <c r="L1057" s="18" t="s">
        <v>207</v>
      </c>
      <c r="M1057" s="18" t="s">
        <v>19</v>
      </c>
      <c r="N1057" s="18" t="s">
        <v>1163</v>
      </c>
      <c r="O1057">
        <v>30</v>
      </c>
    </row>
    <row r="1058" spans="1:15" x14ac:dyDescent="0.25">
      <c r="A1058" s="18" t="s">
        <v>7276</v>
      </c>
      <c r="B1058" s="18" t="s">
        <v>1161</v>
      </c>
      <c r="C1058" s="18" t="s">
        <v>1162</v>
      </c>
      <c r="D1058" s="18" t="s">
        <v>1118</v>
      </c>
      <c r="E1058" s="18" t="s">
        <v>5468</v>
      </c>
      <c r="F1058" s="2">
        <f>+J1058-I1058</f>
        <v>30</v>
      </c>
      <c r="G1058" s="2">
        <f ca="1">+TODAY()-I1058</f>
        <v>37</v>
      </c>
      <c r="H1058" s="15">
        <v>151702</v>
      </c>
      <c r="I1058" s="1">
        <v>46083</v>
      </c>
      <c r="J1058" s="1">
        <v>46113</v>
      </c>
      <c r="K1058" s="18" t="s">
        <v>1144</v>
      </c>
      <c r="L1058" s="18" t="s">
        <v>47</v>
      </c>
      <c r="M1058" s="18" t="s">
        <v>19</v>
      </c>
      <c r="N1058" s="18" t="s">
        <v>1163</v>
      </c>
      <c r="O1058">
        <v>30</v>
      </c>
    </row>
    <row r="1059" spans="1:15" x14ac:dyDescent="0.25">
      <c r="A1059" s="18" t="s">
        <v>7276</v>
      </c>
      <c r="B1059" s="18" t="s">
        <v>1161</v>
      </c>
      <c r="C1059" s="18" t="s">
        <v>1162</v>
      </c>
      <c r="D1059" s="18" t="s">
        <v>1118</v>
      </c>
      <c r="E1059" s="18" t="s">
        <v>5751</v>
      </c>
      <c r="F1059" s="2">
        <f>+J1059-I1059</f>
        <v>30</v>
      </c>
      <c r="G1059" s="2">
        <f ca="1">+TODAY()-I1059</f>
        <v>29</v>
      </c>
      <c r="H1059" s="15">
        <v>1286889</v>
      </c>
      <c r="I1059" s="1">
        <v>46091</v>
      </c>
      <c r="J1059" s="1">
        <v>46121</v>
      </c>
      <c r="K1059" s="18" t="s">
        <v>1144</v>
      </c>
      <c r="L1059" s="18" t="s">
        <v>207</v>
      </c>
      <c r="M1059" s="18" t="s">
        <v>19</v>
      </c>
      <c r="N1059" s="18" t="s">
        <v>1163</v>
      </c>
      <c r="O1059">
        <v>30</v>
      </c>
    </row>
    <row r="1060" spans="1:15" x14ac:dyDescent="0.25">
      <c r="A1060" s="18" t="s">
        <v>7276</v>
      </c>
      <c r="B1060" s="18" t="s">
        <v>1161</v>
      </c>
      <c r="C1060" s="18" t="s">
        <v>1162</v>
      </c>
      <c r="D1060" s="18" t="s">
        <v>1118</v>
      </c>
      <c r="E1060" s="18" t="s">
        <v>5752</v>
      </c>
      <c r="F1060" s="2">
        <f>+J1060-I1060</f>
        <v>30</v>
      </c>
      <c r="G1060" s="2">
        <f ca="1">+TODAY()-I1060</f>
        <v>29</v>
      </c>
      <c r="H1060" s="15">
        <v>1834009</v>
      </c>
      <c r="I1060" s="1">
        <v>46091</v>
      </c>
      <c r="J1060" s="1">
        <v>46121</v>
      </c>
      <c r="K1060" s="18" t="s">
        <v>1144</v>
      </c>
      <c r="L1060" s="18" t="s">
        <v>207</v>
      </c>
      <c r="M1060" s="18" t="s">
        <v>19</v>
      </c>
      <c r="N1060" s="18" t="s">
        <v>1163</v>
      </c>
      <c r="O1060">
        <v>30</v>
      </c>
    </row>
    <row r="1061" spans="1:15" x14ac:dyDescent="0.25">
      <c r="A1061" s="18" t="s">
        <v>7276</v>
      </c>
      <c r="B1061" s="18" t="s">
        <v>1161</v>
      </c>
      <c r="C1061" s="18" t="s">
        <v>1162</v>
      </c>
      <c r="D1061" s="18" t="s">
        <v>1118</v>
      </c>
      <c r="E1061" s="18" t="s">
        <v>5996</v>
      </c>
      <c r="F1061" s="2">
        <f>+J1061-I1061</f>
        <v>30</v>
      </c>
      <c r="G1061" s="2">
        <f ca="1">+TODAY()-I1061</f>
        <v>25</v>
      </c>
      <c r="H1061" s="15">
        <v>1813490</v>
      </c>
      <c r="I1061" s="1">
        <v>46095</v>
      </c>
      <c r="J1061" s="1">
        <v>46125</v>
      </c>
      <c r="K1061" s="18" t="s">
        <v>1144</v>
      </c>
      <c r="L1061" s="18" t="s">
        <v>207</v>
      </c>
      <c r="M1061" s="18" t="s">
        <v>19</v>
      </c>
      <c r="N1061" s="18" t="s">
        <v>1163</v>
      </c>
      <c r="O1061">
        <v>30</v>
      </c>
    </row>
    <row r="1062" spans="1:15" x14ac:dyDescent="0.25">
      <c r="A1062" s="18" t="s">
        <v>7276</v>
      </c>
      <c r="B1062" s="18" t="s">
        <v>1161</v>
      </c>
      <c r="C1062" s="18" t="s">
        <v>1162</v>
      </c>
      <c r="D1062" s="18" t="s">
        <v>1118</v>
      </c>
      <c r="E1062" s="18" t="s">
        <v>6007</v>
      </c>
      <c r="F1062" s="2">
        <f>+J1062-I1062</f>
        <v>30</v>
      </c>
      <c r="G1062" s="2">
        <f ca="1">+TODAY()-I1062</f>
        <v>23</v>
      </c>
      <c r="H1062" s="15">
        <v>381764</v>
      </c>
      <c r="I1062" s="1">
        <v>46097</v>
      </c>
      <c r="J1062" s="1">
        <v>46127</v>
      </c>
      <c r="K1062" s="18" t="s">
        <v>1144</v>
      </c>
      <c r="L1062" s="18" t="s">
        <v>47</v>
      </c>
      <c r="M1062" s="18" t="s">
        <v>19</v>
      </c>
      <c r="N1062" s="18" t="s">
        <v>1163</v>
      </c>
      <c r="O1062">
        <v>30</v>
      </c>
    </row>
    <row r="1063" spans="1:15" x14ac:dyDescent="0.25">
      <c r="A1063" s="18" t="s">
        <v>7276</v>
      </c>
      <c r="B1063" s="18" t="s">
        <v>1161</v>
      </c>
      <c r="C1063" s="18" t="s">
        <v>1162</v>
      </c>
      <c r="D1063" s="18" t="s">
        <v>1118</v>
      </c>
      <c r="E1063" s="18" t="s">
        <v>6009</v>
      </c>
      <c r="F1063" s="2">
        <f>+J1063-I1063</f>
        <v>30</v>
      </c>
      <c r="G1063" s="2">
        <f ca="1">+TODAY()-I1063</f>
        <v>23</v>
      </c>
      <c r="H1063" s="15">
        <v>1721381</v>
      </c>
      <c r="I1063" s="1">
        <v>46097</v>
      </c>
      <c r="J1063" s="1">
        <v>46127</v>
      </c>
      <c r="K1063" s="18" t="s">
        <v>1144</v>
      </c>
      <c r="L1063" s="18" t="s">
        <v>117</v>
      </c>
      <c r="M1063" s="18" t="s">
        <v>19</v>
      </c>
      <c r="N1063" s="18" t="s">
        <v>1163</v>
      </c>
      <c r="O1063">
        <v>30</v>
      </c>
    </row>
    <row r="1064" spans="1:15" x14ac:dyDescent="0.25">
      <c r="A1064" s="18" t="s">
        <v>7276</v>
      </c>
      <c r="B1064" s="18" t="s">
        <v>1161</v>
      </c>
      <c r="C1064" s="18" t="s">
        <v>1162</v>
      </c>
      <c r="D1064" s="18" t="s">
        <v>1118</v>
      </c>
      <c r="E1064" s="18" t="s">
        <v>7081</v>
      </c>
      <c r="F1064" s="2">
        <f>+J1064-I1064</f>
        <v>30</v>
      </c>
      <c r="G1064" s="2">
        <f ca="1">+TODAY()-I1064</f>
        <v>9</v>
      </c>
      <c r="H1064" s="15">
        <v>1959618</v>
      </c>
      <c r="I1064" s="1">
        <v>46111</v>
      </c>
      <c r="J1064" s="1">
        <v>46141</v>
      </c>
      <c r="K1064" s="18" t="s">
        <v>1144</v>
      </c>
      <c r="L1064" s="18" t="s">
        <v>207</v>
      </c>
      <c r="M1064" s="18" t="s">
        <v>19</v>
      </c>
      <c r="N1064" s="18" t="s">
        <v>1163</v>
      </c>
      <c r="O1064">
        <v>30</v>
      </c>
    </row>
    <row r="1065" spans="1:15" x14ac:dyDescent="0.25">
      <c r="A1065" s="18" t="s">
        <v>7276</v>
      </c>
      <c r="B1065" s="18" t="s">
        <v>1161</v>
      </c>
      <c r="C1065" s="18" t="s">
        <v>1162</v>
      </c>
      <c r="D1065" s="18" t="s">
        <v>1118</v>
      </c>
      <c r="E1065" s="18" t="s">
        <v>7090</v>
      </c>
      <c r="F1065" s="2">
        <f>+J1065-I1065</f>
        <v>30</v>
      </c>
      <c r="G1065" s="2">
        <f ca="1">+TODAY()-I1065</f>
        <v>9</v>
      </c>
      <c r="H1065" s="15">
        <v>986830</v>
      </c>
      <c r="I1065" s="1">
        <v>46111</v>
      </c>
      <c r="J1065" s="1">
        <v>46141</v>
      </c>
      <c r="K1065" s="18" t="s">
        <v>1144</v>
      </c>
      <c r="L1065" s="18" t="s">
        <v>117</v>
      </c>
      <c r="M1065" s="18" t="s">
        <v>19</v>
      </c>
      <c r="N1065" s="18" t="s">
        <v>1163</v>
      </c>
      <c r="O1065">
        <v>30</v>
      </c>
    </row>
    <row r="1066" spans="1:15" x14ac:dyDescent="0.25">
      <c r="A1066" s="18" t="s">
        <v>7276</v>
      </c>
      <c r="B1066" s="18" t="s">
        <v>1161</v>
      </c>
      <c r="C1066" s="18" t="s">
        <v>1162</v>
      </c>
      <c r="D1066" s="18" t="s">
        <v>1118</v>
      </c>
      <c r="E1066" s="18" t="s">
        <v>6022</v>
      </c>
      <c r="F1066" s="2">
        <f>+J1066-I1066</f>
        <v>30</v>
      </c>
      <c r="G1066" s="2">
        <f ca="1">+TODAY()-I1066</f>
        <v>23</v>
      </c>
      <c r="H1066" s="15">
        <v>1449382</v>
      </c>
      <c r="I1066" s="1">
        <v>46097</v>
      </c>
      <c r="J1066" s="1">
        <v>46127</v>
      </c>
      <c r="K1066" s="18" t="s">
        <v>1144</v>
      </c>
      <c r="L1066" s="18" t="s">
        <v>207</v>
      </c>
      <c r="M1066" s="18" t="s">
        <v>19</v>
      </c>
      <c r="N1066" s="18" t="s">
        <v>1163</v>
      </c>
      <c r="O1066">
        <v>30</v>
      </c>
    </row>
    <row r="1067" spans="1:15" x14ac:dyDescent="0.25">
      <c r="A1067" s="18" t="s">
        <v>7276</v>
      </c>
      <c r="B1067" s="18" t="s">
        <v>1161</v>
      </c>
      <c r="C1067" s="18" t="s">
        <v>1162</v>
      </c>
      <c r="D1067" s="18" t="s">
        <v>1118</v>
      </c>
      <c r="E1067" s="18" t="s">
        <v>6023</v>
      </c>
      <c r="F1067" s="2">
        <f>+J1067-I1067</f>
        <v>30</v>
      </c>
      <c r="G1067" s="2">
        <f ca="1">+TODAY()-I1067</f>
        <v>23</v>
      </c>
      <c r="H1067" s="15">
        <v>3288988</v>
      </c>
      <c r="I1067" s="1">
        <v>46097</v>
      </c>
      <c r="J1067" s="1">
        <v>46127</v>
      </c>
      <c r="K1067" s="18" t="s">
        <v>1144</v>
      </c>
      <c r="L1067" s="18" t="s">
        <v>207</v>
      </c>
      <c r="M1067" s="18" t="s">
        <v>19</v>
      </c>
      <c r="N1067" s="18" t="s">
        <v>1163</v>
      </c>
      <c r="O1067">
        <v>30</v>
      </c>
    </row>
    <row r="1068" spans="1:15" x14ac:dyDescent="0.25">
      <c r="A1068" s="18" t="s">
        <v>7276</v>
      </c>
      <c r="B1068" s="18" t="s">
        <v>1158</v>
      </c>
      <c r="C1068" s="18" t="s">
        <v>1159</v>
      </c>
      <c r="D1068" s="18" t="s">
        <v>1118</v>
      </c>
      <c r="E1068" s="18" t="s">
        <v>3583</v>
      </c>
      <c r="F1068" s="2">
        <f>+J1068-I1068</f>
        <v>30</v>
      </c>
      <c r="G1068" s="2">
        <f ca="1">+TODAY()-I1068</f>
        <v>85</v>
      </c>
      <c r="H1068" s="15">
        <v>87685</v>
      </c>
      <c r="I1068" s="1">
        <v>46035</v>
      </c>
      <c r="J1068" s="1">
        <v>46065</v>
      </c>
      <c r="K1068" s="18" t="s">
        <v>1144</v>
      </c>
      <c r="L1068" s="18" t="s">
        <v>207</v>
      </c>
      <c r="M1068" s="18" t="s">
        <v>19</v>
      </c>
      <c r="N1068" s="18" t="s">
        <v>1160</v>
      </c>
      <c r="O1068">
        <v>30</v>
      </c>
    </row>
    <row r="1069" spans="1:15" x14ac:dyDescent="0.25">
      <c r="A1069" s="18" t="s">
        <v>7276</v>
      </c>
      <c r="B1069" s="18" t="s">
        <v>1158</v>
      </c>
      <c r="C1069" s="18" t="s">
        <v>1159</v>
      </c>
      <c r="D1069" s="18" t="s">
        <v>1118</v>
      </c>
      <c r="E1069" s="18" t="s">
        <v>5749</v>
      </c>
      <c r="F1069" s="2">
        <f>+J1069-I1069</f>
        <v>30</v>
      </c>
      <c r="G1069" s="2">
        <f ca="1">+TODAY()-I1069</f>
        <v>30</v>
      </c>
      <c r="H1069" s="15">
        <v>960958</v>
      </c>
      <c r="I1069" s="1">
        <v>46090</v>
      </c>
      <c r="J1069" s="1">
        <v>46120</v>
      </c>
      <c r="K1069" s="18" t="s">
        <v>1144</v>
      </c>
      <c r="L1069" s="18" t="s">
        <v>207</v>
      </c>
      <c r="M1069" s="18" t="s">
        <v>19</v>
      </c>
      <c r="N1069" s="18" t="s">
        <v>1160</v>
      </c>
      <c r="O1069">
        <v>30</v>
      </c>
    </row>
    <row r="1070" spans="1:15" x14ac:dyDescent="0.25">
      <c r="A1070" s="18" t="s">
        <v>7276</v>
      </c>
      <c r="B1070" s="18" t="s">
        <v>1158</v>
      </c>
      <c r="C1070" s="18" t="s">
        <v>1159</v>
      </c>
      <c r="D1070" s="18" t="s">
        <v>1118</v>
      </c>
      <c r="E1070" s="18" t="s">
        <v>5750</v>
      </c>
      <c r="F1070" s="2">
        <f>+J1070-I1070</f>
        <v>30</v>
      </c>
      <c r="G1070" s="2">
        <f ca="1">+TODAY()-I1070</f>
        <v>30</v>
      </c>
      <c r="H1070" s="15">
        <v>1197521</v>
      </c>
      <c r="I1070" s="1">
        <v>46090</v>
      </c>
      <c r="J1070" s="1">
        <v>46120</v>
      </c>
      <c r="K1070" s="18" t="s">
        <v>1144</v>
      </c>
      <c r="L1070" s="18" t="s">
        <v>207</v>
      </c>
      <c r="M1070" s="18" t="s">
        <v>19</v>
      </c>
      <c r="N1070" s="18" t="s">
        <v>1160</v>
      </c>
      <c r="O1070">
        <v>30</v>
      </c>
    </row>
    <row r="1071" spans="1:15" x14ac:dyDescent="0.25">
      <c r="A1071" s="18" t="s">
        <v>7276</v>
      </c>
      <c r="B1071" s="18" t="s">
        <v>1158</v>
      </c>
      <c r="C1071" s="18" t="s">
        <v>1159</v>
      </c>
      <c r="D1071" s="18" t="s">
        <v>1118</v>
      </c>
      <c r="E1071" s="18" t="s">
        <v>5994</v>
      </c>
      <c r="F1071" s="2">
        <f>+J1071-I1071</f>
        <v>30</v>
      </c>
      <c r="G1071" s="2">
        <f ca="1">+TODAY()-I1071</f>
        <v>25</v>
      </c>
      <c r="H1071" s="15">
        <v>3</v>
      </c>
      <c r="I1071" s="1">
        <v>46095</v>
      </c>
      <c r="J1071" s="1">
        <v>46125</v>
      </c>
      <c r="K1071" s="18" t="s">
        <v>1144</v>
      </c>
      <c r="L1071" s="18" t="s">
        <v>207</v>
      </c>
      <c r="M1071" s="18" t="s">
        <v>19</v>
      </c>
      <c r="N1071" s="18" t="s">
        <v>1160</v>
      </c>
      <c r="O1071">
        <v>30</v>
      </c>
    </row>
    <row r="1072" spans="1:15" x14ac:dyDescent="0.25">
      <c r="A1072" s="18" t="s">
        <v>7276</v>
      </c>
      <c r="B1072" s="18" t="s">
        <v>1158</v>
      </c>
      <c r="C1072" s="18" t="s">
        <v>1159</v>
      </c>
      <c r="D1072" s="18" t="s">
        <v>1118</v>
      </c>
      <c r="E1072" s="18" t="s">
        <v>5995</v>
      </c>
      <c r="F1072" s="2">
        <f>+J1072-I1072</f>
        <v>30</v>
      </c>
      <c r="G1072" s="2">
        <f ca="1">+TODAY()-I1072</f>
        <v>25</v>
      </c>
      <c r="H1072" s="15">
        <v>3198000</v>
      </c>
      <c r="I1072" s="1">
        <v>46095</v>
      </c>
      <c r="J1072" s="1">
        <v>46125</v>
      </c>
      <c r="K1072" s="18" t="s">
        <v>1144</v>
      </c>
      <c r="L1072" s="18" t="s">
        <v>207</v>
      </c>
      <c r="M1072" s="18" t="s">
        <v>19</v>
      </c>
      <c r="N1072" s="18" t="s">
        <v>1160</v>
      </c>
      <c r="O1072">
        <v>30</v>
      </c>
    </row>
    <row r="1073" spans="1:15" x14ac:dyDescent="0.25">
      <c r="A1073" s="18" t="s">
        <v>7276</v>
      </c>
      <c r="B1073" s="18" t="s">
        <v>1158</v>
      </c>
      <c r="C1073" s="18" t="s">
        <v>1159</v>
      </c>
      <c r="D1073" s="18" t="s">
        <v>1118</v>
      </c>
      <c r="E1073" s="18" t="s">
        <v>6508</v>
      </c>
      <c r="F1073" s="2">
        <f>+J1073-I1073</f>
        <v>30</v>
      </c>
      <c r="G1073" s="2">
        <f ca="1">+TODAY()-I1073</f>
        <v>15</v>
      </c>
      <c r="H1073" s="15">
        <v>97000</v>
      </c>
      <c r="I1073" s="1">
        <v>46105</v>
      </c>
      <c r="J1073" s="1">
        <v>46135</v>
      </c>
      <c r="K1073" s="18" t="s">
        <v>1144</v>
      </c>
      <c r="L1073" s="18" t="s">
        <v>207</v>
      </c>
      <c r="M1073" s="18" t="s">
        <v>19</v>
      </c>
      <c r="N1073" s="18" t="s">
        <v>1160</v>
      </c>
      <c r="O1073">
        <v>30</v>
      </c>
    </row>
    <row r="1074" spans="1:15" x14ac:dyDescent="0.25">
      <c r="A1074" s="18" t="s">
        <v>7276</v>
      </c>
      <c r="B1074" s="18" t="s">
        <v>1158</v>
      </c>
      <c r="C1074" s="18" t="s">
        <v>1159</v>
      </c>
      <c r="D1074" s="18" t="s">
        <v>1118</v>
      </c>
      <c r="E1074" s="18" t="s">
        <v>6509</v>
      </c>
      <c r="F1074" s="2">
        <f>+J1074-I1074</f>
        <v>30</v>
      </c>
      <c r="G1074" s="2">
        <f ca="1">+TODAY()-I1074</f>
        <v>15</v>
      </c>
      <c r="H1074" s="15">
        <v>1806990</v>
      </c>
      <c r="I1074" s="1">
        <v>46105</v>
      </c>
      <c r="J1074" s="1">
        <v>46135</v>
      </c>
      <c r="K1074" s="18" t="s">
        <v>1144</v>
      </c>
      <c r="L1074" s="18" t="s">
        <v>207</v>
      </c>
      <c r="M1074" s="18" t="s">
        <v>19</v>
      </c>
      <c r="N1074" s="18" t="s">
        <v>1160</v>
      </c>
      <c r="O1074">
        <v>30</v>
      </c>
    </row>
    <row r="1075" spans="1:15" x14ac:dyDescent="0.25">
      <c r="A1075" s="18" t="s">
        <v>7276</v>
      </c>
      <c r="B1075" s="18" t="s">
        <v>1158</v>
      </c>
      <c r="C1075" s="18" t="s">
        <v>1159</v>
      </c>
      <c r="D1075" s="18" t="s">
        <v>1118</v>
      </c>
      <c r="E1075" s="18" t="s">
        <v>7559</v>
      </c>
      <c r="F1075" s="2">
        <f>+J1075-I1075</f>
        <v>30</v>
      </c>
      <c r="G1075" s="2">
        <f ca="1">+TODAY()-I1075</f>
        <v>2</v>
      </c>
      <c r="H1075" s="15">
        <v>1411318</v>
      </c>
      <c r="I1075" s="1">
        <v>46118</v>
      </c>
      <c r="J1075" s="1">
        <v>46148</v>
      </c>
      <c r="K1075" s="18" t="s">
        <v>1144</v>
      </c>
      <c r="L1075" s="18" t="s">
        <v>207</v>
      </c>
      <c r="M1075" s="18" t="s">
        <v>19</v>
      </c>
      <c r="N1075" s="18" t="s">
        <v>1160</v>
      </c>
      <c r="O1075">
        <v>30</v>
      </c>
    </row>
    <row r="1076" spans="1:15" x14ac:dyDescent="0.25">
      <c r="A1076" s="18" t="s">
        <v>7276</v>
      </c>
      <c r="B1076" s="18" t="s">
        <v>1158</v>
      </c>
      <c r="C1076" s="18" t="s">
        <v>1159</v>
      </c>
      <c r="D1076" s="18" t="s">
        <v>1118</v>
      </c>
      <c r="E1076" s="18" t="s">
        <v>7560</v>
      </c>
      <c r="F1076" s="2">
        <f>+J1076-I1076</f>
        <v>30</v>
      </c>
      <c r="G1076" s="2">
        <f ca="1">+TODAY()-I1076</f>
        <v>2</v>
      </c>
      <c r="H1076" s="15">
        <v>2121088</v>
      </c>
      <c r="I1076" s="1">
        <v>46118</v>
      </c>
      <c r="J1076" s="1">
        <v>46148</v>
      </c>
      <c r="K1076" s="18" t="s">
        <v>1144</v>
      </c>
      <c r="L1076" s="18" t="s">
        <v>207</v>
      </c>
      <c r="M1076" s="18" t="s">
        <v>19</v>
      </c>
      <c r="N1076" s="18" t="s">
        <v>1160</v>
      </c>
      <c r="O1076">
        <v>30</v>
      </c>
    </row>
    <row r="1077" spans="1:15" x14ac:dyDescent="0.25">
      <c r="A1077" s="18" t="s">
        <v>7276</v>
      </c>
      <c r="B1077" s="18" t="s">
        <v>361</v>
      </c>
      <c r="C1077" s="18" t="s">
        <v>362</v>
      </c>
      <c r="D1077" s="18" t="s">
        <v>204</v>
      </c>
      <c r="E1077" s="18" t="s">
        <v>5222</v>
      </c>
      <c r="F1077" s="2">
        <f>+J1077-I1077</f>
        <v>30</v>
      </c>
      <c r="G1077" s="2">
        <f ca="1">+TODAY()-I1077</f>
        <v>43</v>
      </c>
      <c r="H1077" s="15">
        <v>4335000</v>
      </c>
      <c r="I1077" s="1">
        <v>46077</v>
      </c>
      <c r="J1077" s="1">
        <v>46107</v>
      </c>
      <c r="K1077" s="18" t="s">
        <v>343</v>
      </c>
      <c r="L1077" s="18" t="s">
        <v>117</v>
      </c>
      <c r="M1077" s="18" t="s">
        <v>19</v>
      </c>
      <c r="N1077" s="18" t="s">
        <v>363</v>
      </c>
      <c r="O1077">
        <v>30</v>
      </c>
    </row>
    <row r="1078" spans="1:15" x14ac:dyDescent="0.25">
      <c r="A1078" s="18" t="s">
        <v>7276</v>
      </c>
      <c r="B1078" s="18" t="s">
        <v>361</v>
      </c>
      <c r="C1078" s="18" t="s">
        <v>362</v>
      </c>
      <c r="D1078" s="18" t="s">
        <v>204</v>
      </c>
      <c r="E1078" s="18" t="s">
        <v>5229</v>
      </c>
      <c r="F1078" s="2">
        <f>+J1078-I1078</f>
        <v>30</v>
      </c>
      <c r="G1078" s="2">
        <f ca="1">+TODAY()-I1078</f>
        <v>42</v>
      </c>
      <c r="H1078" s="15">
        <v>2119001</v>
      </c>
      <c r="I1078" s="1">
        <v>46078</v>
      </c>
      <c r="J1078" s="1">
        <v>46108</v>
      </c>
      <c r="K1078" s="18" t="s">
        <v>343</v>
      </c>
      <c r="L1078" s="18" t="s">
        <v>18</v>
      </c>
      <c r="M1078" s="18" t="s">
        <v>19</v>
      </c>
      <c r="N1078" s="18" t="s">
        <v>363</v>
      </c>
      <c r="O1078">
        <v>30</v>
      </c>
    </row>
    <row r="1079" spans="1:15" x14ac:dyDescent="0.25">
      <c r="A1079" s="18" t="s">
        <v>7276</v>
      </c>
      <c r="B1079" s="18" t="s">
        <v>361</v>
      </c>
      <c r="C1079" s="18" t="s">
        <v>362</v>
      </c>
      <c r="D1079" s="18" t="s">
        <v>204</v>
      </c>
      <c r="E1079" s="18" t="s">
        <v>5230</v>
      </c>
      <c r="F1079" s="2">
        <f>+J1079-I1079</f>
        <v>30</v>
      </c>
      <c r="G1079" s="2">
        <f ca="1">+TODAY()-I1079</f>
        <v>41</v>
      </c>
      <c r="H1079" s="15">
        <v>848000</v>
      </c>
      <c r="I1079" s="1">
        <v>46079</v>
      </c>
      <c r="J1079" s="1">
        <v>46109</v>
      </c>
      <c r="K1079" s="18" t="s">
        <v>343</v>
      </c>
      <c r="L1079" s="18" t="s">
        <v>18</v>
      </c>
      <c r="M1079" s="18" t="s">
        <v>19</v>
      </c>
      <c r="N1079" s="18" t="s">
        <v>363</v>
      </c>
      <c r="O1079">
        <v>30</v>
      </c>
    </row>
    <row r="1080" spans="1:15" x14ac:dyDescent="0.25">
      <c r="A1080" s="18" t="s">
        <v>7276</v>
      </c>
      <c r="B1080" s="18" t="s">
        <v>361</v>
      </c>
      <c r="C1080" s="18" t="s">
        <v>362</v>
      </c>
      <c r="D1080" s="18" t="s">
        <v>204</v>
      </c>
      <c r="E1080" s="18" t="s">
        <v>5531</v>
      </c>
      <c r="F1080" s="2">
        <f>+J1080-I1080</f>
        <v>30</v>
      </c>
      <c r="G1080" s="2">
        <f ca="1">+TODAY()-I1080</f>
        <v>34</v>
      </c>
      <c r="H1080" s="15">
        <v>35</v>
      </c>
      <c r="I1080" s="1">
        <v>46086</v>
      </c>
      <c r="J1080" s="1">
        <v>46116</v>
      </c>
      <c r="K1080" s="18" t="s">
        <v>343</v>
      </c>
      <c r="L1080" s="18" t="s">
        <v>18</v>
      </c>
      <c r="M1080" s="18" t="s">
        <v>19</v>
      </c>
      <c r="N1080" s="18" t="s">
        <v>363</v>
      </c>
      <c r="O1080">
        <v>30</v>
      </c>
    </row>
    <row r="1081" spans="1:15" x14ac:dyDescent="0.25">
      <c r="A1081" s="18" t="s">
        <v>7276</v>
      </c>
      <c r="B1081" s="18" t="s">
        <v>361</v>
      </c>
      <c r="C1081" s="18" t="s">
        <v>362</v>
      </c>
      <c r="D1081" s="18" t="s">
        <v>204</v>
      </c>
      <c r="E1081" s="18" t="s">
        <v>5532</v>
      </c>
      <c r="F1081" s="2">
        <f>+J1081-I1081</f>
        <v>30</v>
      </c>
      <c r="G1081" s="2">
        <f ca="1">+TODAY()-I1081</f>
        <v>34</v>
      </c>
      <c r="H1081" s="15">
        <v>10233000</v>
      </c>
      <c r="I1081" s="1">
        <v>46086</v>
      </c>
      <c r="J1081" s="1">
        <v>46116</v>
      </c>
      <c r="K1081" s="18" t="s">
        <v>343</v>
      </c>
      <c r="L1081" s="18" t="s">
        <v>18</v>
      </c>
      <c r="M1081" s="18" t="s">
        <v>19</v>
      </c>
      <c r="N1081" s="18" t="s">
        <v>363</v>
      </c>
      <c r="O1081">
        <v>30</v>
      </c>
    </row>
    <row r="1082" spans="1:15" x14ac:dyDescent="0.25">
      <c r="A1082" s="18" t="s">
        <v>7276</v>
      </c>
      <c r="B1082" s="18" t="s">
        <v>361</v>
      </c>
      <c r="C1082" s="18" t="s">
        <v>362</v>
      </c>
      <c r="D1082" s="18" t="s">
        <v>204</v>
      </c>
      <c r="E1082" s="18" t="s">
        <v>5533</v>
      </c>
      <c r="F1082" s="2">
        <f>+J1082-I1082</f>
        <v>30</v>
      </c>
      <c r="G1082" s="2">
        <f ca="1">+TODAY()-I1082</f>
        <v>34</v>
      </c>
      <c r="H1082" s="15">
        <v>1168350</v>
      </c>
      <c r="I1082" s="1">
        <v>46086</v>
      </c>
      <c r="J1082" s="1">
        <v>46116</v>
      </c>
      <c r="K1082" s="18" t="s">
        <v>343</v>
      </c>
      <c r="L1082" s="18" t="s">
        <v>18</v>
      </c>
      <c r="M1082" s="18" t="s">
        <v>19</v>
      </c>
      <c r="N1082" s="18" t="s">
        <v>363</v>
      </c>
      <c r="O1082">
        <v>30</v>
      </c>
    </row>
    <row r="1083" spans="1:15" x14ac:dyDescent="0.25">
      <c r="A1083" s="18" t="s">
        <v>7276</v>
      </c>
      <c r="B1083" s="18" t="s">
        <v>361</v>
      </c>
      <c r="C1083" s="18" t="s">
        <v>362</v>
      </c>
      <c r="D1083" s="18" t="s">
        <v>204</v>
      </c>
      <c r="E1083" s="18" t="s">
        <v>5534</v>
      </c>
      <c r="F1083" s="2">
        <f>+J1083-I1083</f>
        <v>30</v>
      </c>
      <c r="G1083" s="2">
        <f ca="1">+TODAY()-I1083</f>
        <v>34</v>
      </c>
      <c r="H1083" s="15">
        <v>1289984</v>
      </c>
      <c r="I1083" s="1">
        <v>46086</v>
      </c>
      <c r="J1083" s="1">
        <v>46116</v>
      </c>
      <c r="K1083" s="18" t="s">
        <v>343</v>
      </c>
      <c r="L1083" s="18" t="s">
        <v>18</v>
      </c>
      <c r="M1083" s="18" t="s">
        <v>19</v>
      </c>
      <c r="N1083" s="18" t="s">
        <v>363</v>
      </c>
      <c r="O1083">
        <v>30</v>
      </c>
    </row>
    <row r="1084" spans="1:15" x14ac:dyDescent="0.25">
      <c r="A1084" s="18" t="s">
        <v>7276</v>
      </c>
      <c r="B1084" s="18" t="s">
        <v>361</v>
      </c>
      <c r="C1084" s="18" t="s">
        <v>362</v>
      </c>
      <c r="D1084" s="18" t="s">
        <v>204</v>
      </c>
      <c r="E1084" s="18" t="s">
        <v>6454</v>
      </c>
      <c r="F1084" s="2">
        <f>+J1084-I1084</f>
        <v>30</v>
      </c>
      <c r="G1084" s="2">
        <f ca="1">+TODAY()-I1084</f>
        <v>15</v>
      </c>
      <c r="H1084" s="15">
        <v>8433358</v>
      </c>
      <c r="I1084" s="1">
        <v>46105</v>
      </c>
      <c r="J1084" s="1">
        <v>46135</v>
      </c>
      <c r="K1084" s="18" t="s">
        <v>343</v>
      </c>
      <c r="L1084" s="18" t="s">
        <v>18</v>
      </c>
      <c r="M1084" s="18" t="s">
        <v>19</v>
      </c>
      <c r="N1084" s="18" t="s">
        <v>363</v>
      </c>
      <c r="O1084">
        <v>30</v>
      </c>
    </row>
    <row r="1085" spans="1:15" x14ac:dyDescent="0.25">
      <c r="A1085" s="18" t="s">
        <v>7276</v>
      </c>
      <c r="B1085" s="18" t="s">
        <v>361</v>
      </c>
      <c r="C1085" s="18" t="s">
        <v>362</v>
      </c>
      <c r="D1085" s="18" t="s">
        <v>204</v>
      </c>
      <c r="E1085" s="18" t="s">
        <v>6455</v>
      </c>
      <c r="F1085" s="2">
        <f>+J1085-I1085</f>
        <v>30</v>
      </c>
      <c r="G1085" s="2">
        <f ca="1">+TODAY()-I1085</f>
        <v>15</v>
      </c>
      <c r="H1085" s="15">
        <v>1280025</v>
      </c>
      <c r="I1085" s="1">
        <v>46105</v>
      </c>
      <c r="J1085" s="1">
        <v>46135</v>
      </c>
      <c r="K1085" s="18" t="s">
        <v>343</v>
      </c>
      <c r="L1085" s="18" t="s">
        <v>18</v>
      </c>
      <c r="M1085" s="18" t="s">
        <v>19</v>
      </c>
      <c r="N1085" s="18" t="s">
        <v>363</v>
      </c>
      <c r="O1085">
        <v>30</v>
      </c>
    </row>
    <row r="1086" spans="1:15" x14ac:dyDescent="0.25">
      <c r="A1086" s="18" t="s">
        <v>7276</v>
      </c>
      <c r="B1086" s="18" t="s">
        <v>361</v>
      </c>
      <c r="C1086" s="18" t="s">
        <v>362</v>
      </c>
      <c r="D1086" s="18" t="s">
        <v>204</v>
      </c>
      <c r="E1086" s="18" t="s">
        <v>6942</v>
      </c>
      <c r="F1086" s="2">
        <f>+J1086-I1086</f>
        <v>30</v>
      </c>
      <c r="G1086" s="2">
        <f ca="1">+TODAY()-I1086</f>
        <v>9</v>
      </c>
      <c r="H1086" s="15">
        <v>102002</v>
      </c>
      <c r="I1086" s="1">
        <v>46111</v>
      </c>
      <c r="J1086" s="1">
        <v>46141</v>
      </c>
      <c r="K1086" s="18" t="s">
        <v>343</v>
      </c>
      <c r="L1086" s="18" t="s">
        <v>117</v>
      </c>
      <c r="M1086" s="18" t="s">
        <v>19</v>
      </c>
      <c r="N1086" s="18" t="s">
        <v>363</v>
      </c>
      <c r="O1086">
        <v>30</v>
      </c>
    </row>
    <row r="1087" spans="1:15" x14ac:dyDescent="0.25">
      <c r="A1087" s="18" t="s">
        <v>7276</v>
      </c>
      <c r="B1087" s="18" t="s">
        <v>361</v>
      </c>
      <c r="C1087" s="18" t="s">
        <v>362</v>
      </c>
      <c r="D1087" s="18" t="s">
        <v>204</v>
      </c>
      <c r="E1087" s="18" t="s">
        <v>6943</v>
      </c>
      <c r="F1087" s="2">
        <f>+J1087-I1087</f>
        <v>30</v>
      </c>
      <c r="G1087" s="2">
        <f ca="1">+TODAY()-I1087</f>
        <v>9</v>
      </c>
      <c r="H1087" s="15">
        <v>25656</v>
      </c>
      <c r="I1087" s="1">
        <v>46111</v>
      </c>
      <c r="J1087" s="1">
        <v>46141</v>
      </c>
      <c r="K1087" s="18" t="s">
        <v>343</v>
      </c>
      <c r="L1087" s="18" t="s">
        <v>18</v>
      </c>
      <c r="M1087" s="18" t="s">
        <v>19</v>
      </c>
      <c r="N1087" s="18" t="s">
        <v>363</v>
      </c>
      <c r="O1087">
        <v>30</v>
      </c>
    </row>
    <row r="1088" spans="1:15" x14ac:dyDescent="0.25">
      <c r="A1088" s="18" t="s">
        <v>7276</v>
      </c>
      <c r="B1088" s="18" t="s">
        <v>361</v>
      </c>
      <c r="C1088" s="18" t="s">
        <v>362</v>
      </c>
      <c r="D1088" s="18" t="s">
        <v>204</v>
      </c>
      <c r="E1088" s="18" t="s">
        <v>6944</v>
      </c>
      <c r="F1088" s="2">
        <f>+J1088-I1088</f>
        <v>30</v>
      </c>
      <c r="G1088" s="2">
        <f ca="1">+TODAY()-I1088</f>
        <v>9</v>
      </c>
      <c r="H1088" s="15">
        <v>2950000</v>
      </c>
      <c r="I1088" s="1">
        <v>46111</v>
      </c>
      <c r="J1088" s="1">
        <v>46141</v>
      </c>
      <c r="K1088" s="18" t="s">
        <v>343</v>
      </c>
      <c r="L1088" s="18" t="s">
        <v>18</v>
      </c>
      <c r="M1088" s="18" t="s">
        <v>19</v>
      </c>
      <c r="N1088" s="18" t="s">
        <v>363</v>
      </c>
      <c r="O1088">
        <v>30</v>
      </c>
    </row>
    <row r="1089" spans="1:15" x14ac:dyDescent="0.25">
      <c r="A1089" s="18" t="s">
        <v>7276</v>
      </c>
      <c r="B1089" s="18" t="s">
        <v>361</v>
      </c>
      <c r="C1089" s="18" t="s">
        <v>362</v>
      </c>
      <c r="D1089" s="18" t="s">
        <v>204</v>
      </c>
      <c r="E1089" s="18" t="s">
        <v>7692</v>
      </c>
      <c r="F1089" s="2">
        <f>+J1089-I1089</f>
        <v>30</v>
      </c>
      <c r="G1089" s="2">
        <f ca="1">+TODAY()-I1089</f>
        <v>1</v>
      </c>
      <c r="H1089" s="15">
        <v>1483531</v>
      </c>
      <c r="I1089" s="1">
        <v>46119</v>
      </c>
      <c r="J1089" s="1">
        <v>46149</v>
      </c>
      <c r="K1089" s="18" t="s">
        <v>343</v>
      </c>
      <c r="L1089" s="18" t="s">
        <v>18</v>
      </c>
      <c r="M1089" s="18" t="s">
        <v>19</v>
      </c>
      <c r="N1089" s="18" t="s">
        <v>363</v>
      </c>
      <c r="O1089">
        <v>30</v>
      </c>
    </row>
    <row r="1090" spans="1:15" x14ac:dyDescent="0.25">
      <c r="A1090" s="18" t="s">
        <v>7276</v>
      </c>
      <c r="B1090" s="18" t="s">
        <v>361</v>
      </c>
      <c r="C1090" s="18" t="s">
        <v>362</v>
      </c>
      <c r="D1090" s="18" t="s">
        <v>204</v>
      </c>
      <c r="E1090" s="18" t="s">
        <v>7693</v>
      </c>
      <c r="F1090" s="2">
        <f>+J1090-I1090</f>
        <v>30</v>
      </c>
      <c r="G1090" s="2">
        <f ca="1">+TODAY()-I1090</f>
        <v>1</v>
      </c>
      <c r="H1090" s="15">
        <v>1950386</v>
      </c>
      <c r="I1090" s="1">
        <v>46119</v>
      </c>
      <c r="J1090" s="1">
        <v>46149</v>
      </c>
      <c r="K1090" s="18" t="s">
        <v>343</v>
      </c>
      <c r="L1090" s="18" t="s">
        <v>18</v>
      </c>
      <c r="M1090" s="18" t="s">
        <v>19</v>
      </c>
      <c r="N1090" s="18" t="s">
        <v>363</v>
      </c>
      <c r="O1090">
        <v>30</v>
      </c>
    </row>
    <row r="1091" spans="1:15" x14ac:dyDescent="0.25">
      <c r="A1091" s="18" t="s">
        <v>7276</v>
      </c>
      <c r="B1091" s="18" t="s">
        <v>361</v>
      </c>
      <c r="C1091" s="18" t="s">
        <v>362</v>
      </c>
      <c r="D1091" s="18" t="s">
        <v>204</v>
      </c>
      <c r="E1091" s="18" t="s">
        <v>7694</v>
      </c>
      <c r="F1091" s="2">
        <f>+J1091-I1091</f>
        <v>30</v>
      </c>
      <c r="G1091" s="2">
        <f ca="1">+TODAY()-I1091</f>
        <v>1</v>
      </c>
      <c r="H1091" s="15">
        <v>634500</v>
      </c>
      <c r="I1091" s="1">
        <v>46119</v>
      </c>
      <c r="J1091" s="1">
        <v>46149</v>
      </c>
      <c r="K1091" s="18" t="s">
        <v>343</v>
      </c>
      <c r="L1091" s="18" t="s">
        <v>18</v>
      </c>
      <c r="M1091" s="18" t="s">
        <v>19</v>
      </c>
      <c r="N1091" s="18" t="s">
        <v>363</v>
      </c>
      <c r="O1091">
        <v>30</v>
      </c>
    </row>
    <row r="1092" spans="1:15" x14ac:dyDescent="0.25">
      <c r="A1092" s="18" t="s">
        <v>7276</v>
      </c>
      <c r="B1092" s="18" t="s">
        <v>3369</v>
      </c>
      <c r="C1092" s="18" t="s">
        <v>3370</v>
      </c>
      <c r="D1092" s="18" t="s">
        <v>15</v>
      </c>
      <c r="E1092" s="18" t="s">
        <v>5204</v>
      </c>
      <c r="F1092" s="2">
        <f>+J1092-I1092</f>
        <v>30</v>
      </c>
      <c r="G1092" s="2">
        <f ca="1">+TODAY()-I1092</f>
        <v>40</v>
      </c>
      <c r="H1092" s="15">
        <v>1000</v>
      </c>
      <c r="I1092" s="1">
        <v>46080</v>
      </c>
      <c r="J1092" s="1">
        <v>46110</v>
      </c>
      <c r="K1092" s="18" t="s">
        <v>17</v>
      </c>
      <c r="L1092" s="18" t="s">
        <v>109</v>
      </c>
      <c r="M1092" s="18" t="s">
        <v>19</v>
      </c>
      <c r="N1092" s="18" t="s">
        <v>3372</v>
      </c>
      <c r="O1092">
        <v>30</v>
      </c>
    </row>
    <row r="1093" spans="1:15" x14ac:dyDescent="0.25">
      <c r="A1093" s="18" t="s">
        <v>7276</v>
      </c>
      <c r="B1093" s="18" t="s">
        <v>3369</v>
      </c>
      <c r="C1093" s="18" t="s">
        <v>3370</v>
      </c>
      <c r="D1093" s="18" t="s">
        <v>15</v>
      </c>
      <c r="E1093" s="18" t="s">
        <v>5872</v>
      </c>
      <c r="F1093" s="2">
        <f>+J1093-I1093</f>
        <v>30</v>
      </c>
      <c r="G1093" s="2">
        <f ca="1">+TODAY()-I1093</f>
        <v>26</v>
      </c>
      <c r="H1093" s="15">
        <v>190000</v>
      </c>
      <c r="I1093" s="1">
        <v>46094</v>
      </c>
      <c r="J1093" s="1">
        <v>46124</v>
      </c>
      <c r="K1093" s="18" t="s">
        <v>17</v>
      </c>
      <c r="L1093" s="18" t="s">
        <v>109</v>
      </c>
      <c r="M1093" s="18" t="s">
        <v>19</v>
      </c>
      <c r="N1093" s="18" t="s">
        <v>3372</v>
      </c>
      <c r="O1093">
        <v>30</v>
      </c>
    </row>
    <row r="1094" spans="1:15" x14ac:dyDescent="0.25">
      <c r="A1094" s="18" t="s">
        <v>7276</v>
      </c>
      <c r="B1094" s="18" t="s">
        <v>3369</v>
      </c>
      <c r="C1094" s="18" t="s">
        <v>3370</v>
      </c>
      <c r="D1094" s="18" t="s">
        <v>15</v>
      </c>
      <c r="E1094" s="18" t="s">
        <v>6186</v>
      </c>
      <c r="F1094" s="2">
        <f>+J1094-I1094</f>
        <v>30</v>
      </c>
      <c r="G1094" s="2">
        <f ca="1">+TODAY()-I1094</f>
        <v>19</v>
      </c>
      <c r="H1094" s="15">
        <v>75600</v>
      </c>
      <c r="I1094" s="1">
        <v>46101</v>
      </c>
      <c r="J1094" s="1">
        <v>46131</v>
      </c>
      <c r="K1094" s="18" t="s">
        <v>17</v>
      </c>
      <c r="L1094" s="18" t="s">
        <v>109</v>
      </c>
      <c r="M1094" s="18" t="s">
        <v>19</v>
      </c>
      <c r="N1094" s="18" t="s">
        <v>3372</v>
      </c>
      <c r="O1094">
        <v>30</v>
      </c>
    </row>
    <row r="1095" spans="1:15" x14ac:dyDescent="0.25">
      <c r="A1095" s="18" t="s">
        <v>7276</v>
      </c>
      <c r="B1095" s="18" t="s">
        <v>3369</v>
      </c>
      <c r="C1095" s="18" t="s">
        <v>3370</v>
      </c>
      <c r="D1095" s="18" t="s">
        <v>15</v>
      </c>
      <c r="E1095" s="18" t="s">
        <v>7650</v>
      </c>
      <c r="F1095" s="2">
        <f>+J1095-I1095</f>
        <v>30</v>
      </c>
      <c r="G1095" s="2">
        <f ca="1">+TODAY()-I1095</f>
        <v>1</v>
      </c>
      <c r="H1095" s="15">
        <v>410800</v>
      </c>
      <c r="I1095" s="1">
        <v>46119</v>
      </c>
      <c r="J1095" s="1">
        <v>46149</v>
      </c>
      <c r="K1095" s="18" t="s">
        <v>17</v>
      </c>
      <c r="L1095" s="18" t="s">
        <v>109</v>
      </c>
      <c r="M1095" s="18" t="s">
        <v>19</v>
      </c>
      <c r="N1095" s="18" t="s">
        <v>3372</v>
      </c>
      <c r="O1095">
        <v>30</v>
      </c>
    </row>
    <row r="1096" spans="1:15" x14ac:dyDescent="0.25">
      <c r="A1096" s="18" t="s">
        <v>7276</v>
      </c>
      <c r="B1096" s="18" t="s">
        <v>4613</v>
      </c>
      <c r="C1096" s="18" t="s">
        <v>4614</v>
      </c>
      <c r="D1096" s="18" t="s">
        <v>1401</v>
      </c>
      <c r="E1096" s="18" t="s">
        <v>6806</v>
      </c>
      <c r="F1096" s="2">
        <f>+J1096-I1096</f>
        <v>1</v>
      </c>
      <c r="G1096" s="2">
        <f ca="1">+TODAY()-I1096</f>
        <v>8</v>
      </c>
      <c r="H1096" s="15">
        <v>340060</v>
      </c>
      <c r="I1096" s="1">
        <v>46112</v>
      </c>
      <c r="J1096" s="1">
        <v>46113</v>
      </c>
      <c r="K1096" s="18" t="s">
        <v>17</v>
      </c>
      <c r="L1096" s="18" t="s">
        <v>90</v>
      </c>
      <c r="M1096" s="18" t="s">
        <v>19</v>
      </c>
      <c r="N1096" s="18" t="s">
        <v>4616</v>
      </c>
      <c r="O1096">
        <v>1</v>
      </c>
    </row>
    <row r="1097" spans="1:15" x14ac:dyDescent="0.25">
      <c r="A1097" s="18" t="s">
        <v>7276</v>
      </c>
      <c r="B1097" s="18" t="s">
        <v>7354</v>
      </c>
      <c r="C1097" s="18" t="s">
        <v>7355</v>
      </c>
      <c r="D1097" s="18" t="s">
        <v>46</v>
      </c>
      <c r="E1097" s="18" t="s">
        <v>7356</v>
      </c>
      <c r="F1097" s="2">
        <f>+J1097-I1097</f>
        <v>30</v>
      </c>
      <c r="G1097" s="2">
        <f ca="1">+TODAY()-I1097</f>
        <v>2</v>
      </c>
      <c r="H1097" s="15">
        <v>42000</v>
      </c>
      <c r="I1097" s="1">
        <v>46118</v>
      </c>
      <c r="J1097" s="1">
        <v>46148</v>
      </c>
      <c r="K1097" s="18" t="s">
        <v>17</v>
      </c>
      <c r="L1097" s="18" t="s">
        <v>109</v>
      </c>
      <c r="M1097" s="18" t="s">
        <v>19</v>
      </c>
      <c r="N1097" s="18" t="s">
        <v>7357</v>
      </c>
      <c r="O1097">
        <v>30</v>
      </c>
    </row>
    <row r="1098" spans="1:15" x14ac:dyDescent="0.25">
      <c r="A1098" s="18" t="s">
        <v>7276</v>
      </c>
      <c r="B1098" s="18" t="s">
        <v>5041</v>
      </c>
      <c r="C1098" s="18" t="s">
        <v>5042</v>
      </c>
      <c r="D1098" s="18" t="s">
        <v>1514</v>
      </c>
      <c r="E1098" s="18" t="s">
        <v>5485</v>
      </c>
      <c r="F1098" s="2">
        <f>+J1098-I1098</f>
        <v>30</v>
      </c>
      <c r="G1098" s="2">
        <f ca="1">+TODAY()-I1098</f>
        <v>35</v>
      </c>
      <c r="H1098" s="15">
        <v>3977019</v>
      </c>
      <c r="I1098" s="1">
        <v>46085</v>
      </c>
      <c r="J1098" s="1">
        <v>46115</v>
      </c>
      <c r="K1098" s="18" t="s">
        <v>1515</v>
      </c>
      <c r="L1098" s="18" t="s">
        <v>984</v>
      </c>
      <c r="M1098" s="18" t="s">
        <v>19</v>
      </c>
      <c r="N1098" s="18" t="s">
        <v>5043</v>
      </c>
      <c r="O1098">
        <v>30</v>
      </c>
    </row>
    <row r="1099" spans="1:15" x14ac:dyDescent="0.25">
      <c r="A1099" s="18" t="s">
        <v>7276</v>
      </c>
      <c r="B1099" s="18" t="s">
        <v>5041</v>
      </c>
      <c r="C1099" s="18" t="s">
        <v>5042</v>
      </c>
      <c r="D1099" s="18" t="s">
        <v>1514</v>
      </c>
      <c r="E1099" s="18" t="s">
        <v>6348</v>
      </c>
      <c r="F1099" s="2">
        <f>+J1099-I1099</f>
        <v>30</v>
      </c>
      <c r="G1099" s="2">
        <f ca="1">+TODAY()-I1099</f>
        <v>21</v>
      </c>
      <c r="H1099" s="15">
        <v>15066595</v>
      </c>
      <c r="I1099" s="1">
        <v>46099</v>
      </c>
      <c r="J1099" s="1">
        <v>46129</v>
      </c>
      <c r="K1099" s="18" t="s">
        <v>1515</v>
      </c>
      <c r="L1099" s="18" t="s">
        <v>984</v>
      </c>
      <c r="M1099" s="18" t="s">
        <v>19</v>
      </c>
      <c r="N1099" s="18" t="s">
        <v>5043</v>
      </c>
      <c r="O1099">
        <v>30</v>
      </c>
    </row>
    <row r="1100" spans="1:15" x14ac:dyDescent="0.25">
      <c r="A1100" s="18" t="s">
        <v>7276</v>
      </c>
      <c r="B1100" s="18" t="s">
        <v>4893</v>
      </c>
      <c r="C1100" s="18" t="s">
        <v>4894</v>
      </c>
      <c r="D1100" s="18" t="s">
        <v>916</v>
      </c>
      <c r="E1100" s="18" t="s">
        <v>7493</v>
      </c>
      <c r="F1100" s="2">
        <f>+J1100-I1100</f>
        <v>1</v>
      </c>
      <c r="G1100" s="2">
        <f ca="1">+TODAY()-I1100</f>
        <v>2</v>
      </c>
      <c r="H1100" s="15">
        <v>272199</v>
      </c>
      <c r="I1100" s="1">
        <v>46118</v>
      </c>
      <c r="J1100" s="1">
        <v>46119</v>
      </c>
      <c r="K1100" s="18" t="s">
        <v>918</v>
      </c>
      <c r="L1100" s="18" t="s">
        <v>312</v>
      </c>
      <c r="M1100" s="18" t="s">
        <v>19</v>
      </c>
      <c r="N1100" s="18" t="s">
        <v>4896</v>
      </c>
      <c r="O1100">
        <v>1</v>
      </c>
    </row>
    <row r="1101" spans="1:15" x14ac:dyDescent="0.25">
      <c r="A1101" s="18" t="s">
        <v>7276</v>
      </c>
      <c r="B1101" s="18" t="s">
        <v>1856</v>
      </c>
      <c r="C1101" s="18" t="s">
        <v>1857</v>
      </c>
      <c r="D1101" s="18" t="s">
        <v>1858</v>
      </c>
      <c r="E1101" s="18" t="s">
        <v>2158</v>
      </c>
      <c r="F1101" s="2">
        <f>+J1101-I1101</f>
        <v>30</v>
      </c>
      <c r="G1101" s="2">
        <f ca="1">+TODAY()-I1101</f>
        <v>145</v>
      </c>
      <c r="H1101" s="15">
        <v>50000</v>
      </c>
      <c r="I1101" s="1">
        <v>45975</v>
      </c>
      <c r="J1101" s="1">
        <v>46005</v>
      </c>
      <c r="K1101" s="18" t="s">
        <v>1859</v>
      </c>
      <c r="L1101" s="18" t="s">
        <v>984</v>
      </c>
      <c r="M1101" s="18" t="s">
        <v>19</v>
      </c>
      <c r="N1101" s="18" t="s">
        <v>1860</v>
      </c>
      <c r="O1101">
        <v>30</v>
      </c>
    </row>
    <row r="1102" spans="1:15" x14ac:dyDescent="0.25">
      <c r="A1102" s="18" t="s">
        <v>7276</v>
      </c>
      <c r="B1102" s="18" t="s">
        <v>1856</v>
      </c>
      <c r="C1102" s="18" t="s">
        <v>1857</v>
      </c>
      <c r="D1102" s="18" t="s">
        <v>1858</v>
      </c>
      <c r="E1102" s="18" t="s">
        <v>5063</v>
      </c>
      <c r="F1102" s="2">
        <f>+J1102-I1102</f>
        <v>30</v>
      </c>
      <c r="G1102" s="2">
        <f ca="1">+TODAY()-I1102</f>
        <v>61</v>
      </c>
      <c r="H1102" s="15">
        <v>205353</v>
      </c>
      <c r="I1102" s="1">
        <v>46059</v>
      </c>
      <c r="J1102" s="1">
        <v>46089</v>
      </c>
      <c r="K1102" s="18" t="s">
        <v>1859</v>
      </c>
      <c r="L1102" s="18" t="s">
        <v>984</v>
      </c>
      <c r="M1102" s="18" t="s">
        <v>19</v>
      </c>
      <c r="N1102" s="18" t="s">
        <v>1860</v>
      </c>
      <c r="O1102">
        <v>30</v>
      </c>
    </row>
    <row r="1103" spans="1:15" x14ac:dyDescent="0.25">
      <c r="A1103" s="18" t="s">
        <v>7276</v>
      </c>
      <c r="B1103" s="18" t="s">
        <v>1856</v>
      </c>
      <c r="C1103" s="18" t="s">
        <v>1857</v>
      </c>
      <c r="D1103" s="18" t="s">
        <v>1858</v>
      </c>
      <c r="E1103" s="18" t="s">
        <v>5064</v>
      </c>
      <c r="F1103" s="2">
        <f>+J1103-I1103</f>
        <v>30</v>
      </c>
      <c r="G1103" s="2">
        <f ca="1">+TODAY()-I1103</f>
        <v>61</v>
      </c>
      <c r="H1103" s="15">
        <v>990027</v>
      </c>
      <c r="I1103" s="1">
        <v>46059</v>
      </c>
      <c r="J1103" s="1">
        <v>46089</v>
      </c>
      <c r="K1103" s="18" t="s">
        <v>1859</v>
      </c>
      <c r="L1103" s="18" t="s">
        <v>984</v>
      </c>
      <c r="M1103" s="18" t="s">
        <v>19</v>
      </c>
      <c r="N1103" s="18" t="s">
        <v>1860</v>
      </c>
      <c r="O1103">
        <v>30</v>
      </c>
    </row>
    <row r="1104" spans="1:15" x14ac:dyDescent="0.25">
      <c r="A1104" s="18" t="s">
        <v>7276</v>
      </c>
      <c r="B1104" s="18" t="s">
        <v>1856</v>
      </c>
      <c r="C1104" s="18" t="s">
        <v>1857</v>
      </c>
      <c r="D1104" s="18" t="s">
        <v>1858</v>
      </c>
      <c r="E1104" s="18" t="s">
        <v>5172</v>
      </c>
      <c r="F1104" s="2">
        <f>+J1104-I1104</f>
        <v>30</v>
      </c>
      <c r="G1104" s="2">
        <f ca="1">+TODAY()-I1104</f>
        <v>47</v>
      </c>
      <c r="H1104" s="15">
        <v>575699</v>
      </c>
      <c r="I1104" s="1">
        <v>46073</v>
      </c>
      <c r="J1104" s="1">
        <v>46103</v>
      </c>
      <c r="K1104" s="18" t="s">
        <v>1859</v>
      </c>
      <c r="L1104" s="18" t="s">
        <v>984</v>
      </c>
      <c r="M1104" s="18" t="s">
        <v>19</v>
      </c>
      <c r="N1104" s="18" t="s">
        <v>1860</v>
      </c>
      <c r="O1104">
        <v>30</v>
      </c>
    </row>
    <row r="1105" spans="1:15" x14ac:dyDescent="0.25">
      <c r="A1105" s="18" t="s">
        <v>7276</v>
      </c>
      <c r="B1105" s="18" t="s">
        <v>1856</v>
      </c>
      <c r="C1105" s="18" t="s">
        <v>1857</v>
      </c>
      <c r="D1105" s="18" t="s">
        <v>1858</v>
      </c>
      <c r="E1105" s="18" t="s">
        <v>5173</v>
      </c>
      <c r="F1105" s="2">
        <f>+J1105-I1105</f>
        <v>30</v>
      </c>
      <c r="G1105" s="2">
        <f ca="1">+TODAY()-I1105</f>
        <v>47</v>
      </c>
      <c r="H1105" s="15">
        <v>1252673</v>
      </c>
      <c r="I1105" s="1">
        <v>46073</v>
      </c>
      <c r="J1105" s="1">
        <v>46103</v>
      </c>
      <c r="K1105" s="18" t="s">
        <v>1859</v>
      </c>
      <c r="L1105" s="18" t="s">
        <v>984</v>
      </c>
      <c r="M1105" s="18" t="s">
        <v>19</v>
      </c>
      <c r="N1105" s="18" t="s">
        <v>1860</v>
      </c>
      <c r="O1105">
        <v>30</v>
      </c>
    </row>
    <row r="1106" spans="1:15" x14ac:dyDescent="0.25">
      <c r="A1106" s="18" t="s">
        <v>7276</v>
      </c>
      <c r="B1106" s="18" t="s">
        <v>1856</v>
      </c>
      <c r="C1106" s="18" t="s">
        <v>1857</v>
      </c>
      <c r="D1106" s="18" t="s">
        <v>1858</v>
      </c>
      <c r="E1106" s="18" t="s">
        <v>5174</v>
      </c>
      <c r="F1106" s="2">
        <f>+J1106-I1106</f>
        <v>30</v>
      </c>
      <c r="G1106" s="2">
        <f ca="1">+TODAY()-I1106</f>
        <v>47</v>
      </c>
      <c r="H1106" s="15">
        <v>509976</v>
      </c>
      <c r="I1106" s="1">
        <v>46073</v>
      </c>
      <c r="J1106" s="1">
        <v>46103</v>
      </c>
      <c r="K1106" s="18" t="s">
        <v>1859</v>
      </c>
      <c r="L1106" s="18" t="s">
        <v>984</v>
      </c>
      <c r="M1106" s="18" t="s">
        <v>19</v>
      </c>
      <c r="N1106" s="18" t="s">
        <v>1860</v>
      </c>
      <c r="O1106">
        <v>30</v>
      </c>
    </row>
    <row r="1107" spans="1:15" x14ac:dyDescent="0.25">
      <c r="A1107" s="18" t="s">
        <v>7276</v>
      </c>
      <c r="B1107" s="18" t="s">
        <v>1856</v>
      </c>
      <c r="C1107" s="18" t="s">
        <v>1857</v>
      </c>
      <c r="D1107" s="18" t="s">
        <v>1858</v>
      </c>
      <c r="E1107" s="18" t="s">
        <v>5175</v>
      </c>
      <c r="F1107" s="2">
        <f>+J1107-I1107</f>
        <v>30</v>
      </c>
      <c r="G1107" s="2">
        <f ca="1">+TODAY()-I1107</f>
        <v>47</v>
      </c>
      <c r="H1107" s="15">
        <v>2151568</v>
      </c>
      <c r="I1107" s="1">
        <v>46073</v>
      </c>
      <c r="J1107" s="1">
        <v>46103</v>
      </c>
      <c r="K1107" s="18" t="s">
        <v>1859</v>
      </c>
      <c r="L1107" s="18" t="s">
        <v>984</v>
      </c>
      <c r="M1107" s="18" t="s">
        <v>19</v>
      </c>
      <c r="N1107" s="18" t="s">
        <v>1860</v>
      </c>
      <c r="O1107">
        <v>30</v>
      </c>
    </row>
    <row r="1108" spans="1:15" x14ac:dyDescent="0.25">
      <c r="A1108" s="18" t="s">
        <v>7276</v>
      </c>
      <c r="B1108" s="18" t="s">
        <v>1856</v>
      </c>
      <c r="C1108" s="18" t="s">
        <v>1857</v>
      </c>
      <c r="D1108" s="18" t="s">
        <v>1858</v>
      </c>
      <c r="E1108" s="18" t="s">
        <v>5176</v>
      </c>
      <c r="F1108" s="2">
        <f>+J1108-I1108</f>
        <v>30</v>
      </c>
      <c r="G1108" s="2">
        <f ca="1">+TODAY()-I1108</f>
        <v>47</v>
      </c>
      <c r="H1108" s="15">
        <v>1266943</v>
      </c>
      <c r="I1108" s="1">
        <v>46073</v>
      </c>
      <c r="J1108" s="1">
        <v>46103</v>
      </c>
      <c r="K1108" s="18" t="s">
        <v>1859</v>
      </c>
      <c r="L1108" s="18" t="s">
        <v>984</v>
      </c>
      <c r="M1108" s="18" t="s">
        <v>19</v>
      </c>
      <c r="N1108" s="18" t="s">
        <v>1860</v>
      </c>
      <c r="O1108">
        <v>30</v>
      </c>
    </row>
    <row r="1109" spans="1:15" x14ac:dyDescent="0.25">
      <c r="A1109" s="18" t="s">
        <v>7276</v>
      </c>
      <c r="B1109" s="18" t="s">
        <v>1856</v>
      </c>
      <c r="C1109" s="18" t="s">
        <v>1857</v>
      </c>
      <c r="D1109" s="18" t="s">
        <v>1858</v>
      </c>
      <c r="E1109" s="18" t="s">
        <v>5579</v>
      </c>
      <c r="F1109" s="2">
        <f>+J1109-I1109</f>
        <v>30</v>
      </c>
      <c r="G1109" s="2">
        <f ca="1">+TODAY()-I1109</f>
        <v>33</v>
      </c>
      <c r="H1109" s="15">
        <v>904102</v>
      </c>
      <c r="I1109" s="1">
        <v>46087</v>
      </c>
      <c r="J1109" s="1">
        <v>46117</v>
      </c>
      <c r="K1109" s="18" t="s">
        <v>1859</v>
      </c>
      <c r="L1109" s="18" t="s">
        <v>984</v>
      </c>
      <c r="M1109" s="18" t="s">
        <v>19</v>
      </c>
      <c r="N1109" s="18" t="s">
        <v>1860</v>
      </c>
      <c r="O1109">
        <v>30</v>
      </c>
    </row>
    <row r="1110" spans="1:15" x14ac:dyDescent="0.25">
      <c r="A1110" s="18" t="s">
        <v>7276</v>
      </c>
      <c r="B1110" s="18" t="s">
        <v>1856</v>
      </c>
      <c r="C1110" s="18" t="s">
        <v>1857</v>
      </c>
      <c r="D1110" s="18" t="s">
        <v>1858</v>
      </c>
      <c r="E1110" s="18" t="s">
        <v>5580</v>
      </c>
      <c r="F1110" s="2">
        <f>+J1110-I1110</f>
        <v>30</v>
      </c>
      <c r="G1110" s="2">
        <f ca="1">+TODAY()-I1110</f>
        <v>33</v>
      </c>
      <c r="H1110" s="15">
        <v>818800</v>
      </c>
      <c r="I1110" s="1">
        <v>46087</v>
      </c>
      <c r="J1110" s="1">
        <v>46117</v>
      </c>
      <c r="K1110" s="18" t="s">
        <v>1859</v>
      </c>
      <c r="L1110" s="18" t="s">
        <v>984</v>
      </c>
      <c r="M1110" s="18" t="s">
        <v>19</v>
      </c>
      <c r="N1110" s="18" t="s">
        <v>1860</v>
      </c>
      <c r="O1110">
        <v>30</v>
      </c>
    </row>
    <row r="1111" spans="1:15" x14ac:dyDescent="0.25">
      <c r="A1111" s="18" t="s">
        <v>7276</v>
      </c>
      <c r="B1111" s="18" t="s">
        <v>1856</v>
      </c>
      <c r="C1111" s="18" t="s">
        <v>1857</v>
      </c>
      <c r="D1111" s="18" t="s">
        <v>1858</v>
      </c>
      <c r="E1111" s="18" t="s">
        <v>5581</v>
      </c>
      <c r="F1111" s="2">
        <f>+J1111-I1111</f>
        <v>30</v>
      </c>
      <c r="G1111" s="2">
        <f ca="1">+TODAY()-I1111</f>
        <v>33</v>
      </c>
      <c r="H1111" s="15">
        <v>534782</v>
      </c>
      <c r="I1111" s="1">
        <v>46087</v>
      </c>
      <c r="J1111" s="1">
        <v>46117</v>
      </c>
      <c r="K1111" s="18" t="s">
        <v>1859</v>
      </c>
      <c r="L1111" s="18" t="s">
        <v>984</v>
      </c>
      <c r="M1111" s="18" t="s">
        <v>19</v>
      </c>
      <c r="N1111" s="18" t="s">
        <v>1860</v>
      </c>
      <c r="O1111">
        <v>30</v>
      </c>
    </row>
    <row r="1112" spans="1:15" x14ac:dyDescent="0.25">
      <c r="A1112" s="18" t="s">
        <v>7276</v>
      </c>
      <c r="B1112" s="18" t="s">
        <v>1856</v>
      </c>
      <c r="C1112" s="18" t="s">
        <v>1857</v>
      </c>
      <c r="D1112" s="18" t="s">
        <v>1858</v>
      </c>
      <c r="E1112" s="18" t="s">
        <v>6375</v>
      </c>
      <c r="F1112" s="2">
        <f>+J1112-I1112</f>
        <v>30</v>
      </c>
      <c r="G1112" s="2">
        <f ca="1">+TODAY()-I1112</f>
        <v>20</v>
      </c>
      <c r="H1112" s="15">
        <v>822203</v>
      </c>
      <c r="I1112" s="1">
        <v>46100</v>
      </c>
      <c r="J1112" s="1">
        <v>46130</v>
      </c>
      <c r="K1112" s="18" t="s">
        <v>1859</v>
      </c>
      <c r="L1112" s="18" t="s">
        <v>984</v>
      </c>
      <c r="M1112" s="18" t="s">
        <v>19</v>
      </c>
      <c r="N1112" s="18" t="s">
        <v>1860</v>
      </c>
      <c r="O1112">
        <v>30</v>
      </c>
    </row>
    <row r="1113" spans="1:15" x14ac:dyDescent="0.25">
      <c r="A1113" s="18" t="s">
        <v>7276</v>
      </c>
      <c r="B1113" s="18" t="s">
        <v>1856</v>
      </c>
      <c r="C1113" s="18" t="s">
        <v>1857</v>
      </c>
      <c r="D1113" s="18" t="s">
        <v>1858</v>
      </c>
      <c r="E1113" s="18" t="s">
        <v>6376</v>
      </c>
      <c r="F1113" s="2">
        <f>+J1113-I1113</f>
        <v>30</v>
      </c>
      <c r="G1113" s="2">
        <f ca="1">+TODAY()-I1113</f>
        <v>20</v>
      </c>
      <c r="H1113" s="15">
        <v>994105</v>
      </c>
      <c r="I1113" s="1">
        <v>46100</v>
      </c>
      <c r="J1113" s="1">
        <v>46130</v>
      </c>
      <c r="K1113" s="18" t="s">
        <v>1859</v>
      </c>
      <c r="L1113" s="18" t="s">
        <v>984</v>
      </c>
      <c r="M1113" s="18" t="s">
        <v>19</v>
      </c>
      <c r="N1113" s="18" t="s">
        <v>1860</v>
      </c>
      <c r="O1113">
        <v>30</v>
      </c>
    </row>
    <row r="1114" spans="1:15" x14ac:dyDescent="0.25">
      <c r="A1114" s="18" t="s">
        <v>7276</v>
      </c>
      <c r="B1114" s="18" t="s">
        <v>640</v>
      </c>
      <c r="C1114" s="18" t="s">
        <v>641</v>
      </c>
      <c r="D1114" s="18" t="s">
        <v>642</v>
      </c>
      <c r="E1114" s="18" t="s">
        <v>643</v>
      </c>
      <c r="F1114" s="2">
        <f>+J1114-I1114</f>
        <v>30</v>
      </c>
      <c r="G1114" s="2">
        <f ca="1">+TODAY()-I1114</f>
        <v>692</v>
      </c>
      <c r="H1114" s="15">
        <v>1200000</v>
      </c>
      <c r="I1114" s="1">
        <v>45428</v>
      </c>
      <c r="J1114" s="1">
        <v>45458</v>
      </c>
      <c r="K1114" s="18" t="s">
        <v>638</v>
      </c>
      <c r="L1114" s="18" t="s">
        <v>18</v>
      </c>
      <c r="M1114" s="18" t="s">
        <v>19</v>
      </c>
      <c r="N1114" s="18" t="s">
        <v>644</v>
      </c>
      <c r="O1114">
        <v>15</v>
      </c>
    </row>
    <row r="1115" spans="1:15" x14ac:dyDescent="0.25">
      <c r="A1115" s="18" t="s">
        <v>7276</v>
      </c>
      <c r="B1115" s="18" t="s">
        <v>1409</v>
      </c>
      <c r="C1115" s="18" t="s">
        <v>1410</v>
      </c>
      <c r="D1115" s="18" t="s">
        <v>875</v>
      </c>
      <c r="E1115" s="18" t="s">
        <v>7568</v>
      </c>
      <c r="F1115" s="2">
        <f>+J1115-I1115</f>
        <v>30</v>
      </c>
      <c r="G1115" s="2">
        <f ca="1">+TODAY()-I1115</f>
        <v>7</v>
      </c>
      <c r="H1115" s="15">
        <v>1944279</v>
      </c>
      <c r="I1115" s="1">
        <v>46113</v>
      </c>
      <c r="J1115" s="1">
        <v>46143</v>
      </c>
      <c r="K1115" s="18" t="s">
        <v>1325</v>
      </c>
      <c r="L1115" s="18" t="s">
        <v>90</v>
      </c>
      <c r="M1115" s="18" t="s">
        <v>19</v>
      </c>
      <c r="N1115" s="18" t="s">
        <v>1411</v>
      </c>
      <c r="O1115">
        <v>30</v>
      </c>
    </row>
    <row r="1116" spans="1:15" x14ac:dyDescent="0.25">
      <c r="A1116" s="18" t="s">
        <v>7276</v>
      </c>
      <c r="B1116" s="18" t="s">
        <v>1409</v>
      </c>
      <c r="C1116" s="18" t="s">
        <v>1410</v>
      </c>
      <c r="D1116" s="18" t="s">
        <v>875</v>
      </c>
      <c r="E1116" s="18" t="s">
        <v>7569</v>
      </c>
      <c r="F1116" s="2">
        <f>+J1116-I1116</f>
        <v>30</v>
      </c>
      <c r="G1116" s="2">
        <f ca="1">+TODAY()-I1116</f>
        <v>7</v>
      </c>
      <c r="H1116" s="15">
        <v>1834001</v>
      </c>
      <c r="I1116" s="1">
        <v>46113</v>
      </c>
      <c r="J1116" s="1">
        <v>46143</v>
      </c>
      <c r="K1116" s="18" t="s">
        <v>1325</v>
      </c>
      <c r="L1116" s="18" t="s">
        <v>90</v>
      </c>
      <c r="M1116" s="18" t="s">
        <v>19</v>
      </c>
      <c r="N1116" s="18" t="s">
        <v>1411</v>
      </c>
      <c r="O1116">
        <v>30</v>
      </c>
    </row>
    <row r="1117" spans="1:15" x14ac:dyDescent="0.25">
      <c r="A1117" s="18" t="s">
        <v>7276</v>
      </c>
      <c r="B1117" s="18" t="s">
        <v>1409</v>
      </c>
      <c r="C1117" s="18" t="s">
        <v>1410</v>
      </c>
      <c r="D1117" s="18" t="s">
        <v>875</v>
      </c>
      <c r="E1117" s="18" t="s">
        <v>5562</v>
      </c>
      <c r="F1117" s="2">
        <f>+J1117-I1117</f>
        <v>30</v>
      </c>
      <c r="G1117" s="2">
        <f ca="1">+TODAY()-I1117</f>
        <v>34</v>
      </c>
      <c r="H1117" s="15">
        <v>227400</v>
      </c>
      <c r="I1117" s="1">
        <v>46086</v>
      </c>
      <c r="J1117" s="1">
        <v>46116</v>
      </c>
      <c r="K1117" s="18" t="s">
        <v>1403</v>
      </c>
      <c r="L1117" s="18" t="s">
        <v>90</v>
      </c>
      <c r="M1117" s="18" t="s">
        <v>19</v>
      </c>
      <c r="N1117" s="18" t="s">
        <v>1411</v>
      </c>
      <c r="O1117">
        <v>30</v>
      </c>
    </row>
    <row r="1118" spans="1:15" x14ac:dyDescent="0.25">
      <c r="A1118" s="18" t="s">
        <v>7276</v>
      </c>
      <c r="B1118" s="18" t="s">
        <v>1409</v>
      </c>
      <c r="C1118" s="18" t="s">
        <v>1410</v>
      </c>
      <c r="D1118" s="18" t="s">
        <v>875</v>
      </c>
      <c r="E1118" s="18" t="s">
        <v>5563</v>
      </c>
      <c r="F1118" s="2">
        <f>+J1118-I1118</f>
        <v>30</v>
      </c>
      <c r="G1118" s="2">
        <f ca="1">+TODAY()-I1118</f>
        <v>34</v>
      </c>
      <c r="H1118" s="15">
        <v>2776210</v>
      </c>
      <c r="I1118" s="1">
        <v>46086</v>
      </c>
      <c r="J1118" s="1">
        <v>46116</v>
      </c>
      <c r="K1118" s="18" t="s">
        <v>1403</v>
      </c>
      <c r="L1118" s="18" t="s">
        <v>90</v>
      </c>
      <c r="M1118" s="18" t="s">
        <v>19</v>
      </c>
      <c r="N1118" s="18" t="s">
        <v>1411</v>
      </c>
      <c r="O1118">
        <v>30</v>
      </c>
    </row>
    <row r="1119" spans="1:15" x14ac:dyDescent="0.25">
      <c r="A1119" s="18" t="s">
        <v>7276</v>
      </c>
      <c r="B1119" s="18" t="s">
        <v>318</v>
      </c>
      <c r="C1119" s="18" t="s">
        <v>319</v>
      </c>
      <c r="D1119" s="18" t="s">
        <v>320</v>
      </c>
      <c r="E1119" s="18" t="s">
        <v>7499</v>
      </c>
      <c r="F1119" s="2">
        <f>+J1119-I1119</f>
        <v>15</v>
      </c>
      <c r="G1119" s="2">
        <f ca="1">+TODAY()-I1119</f>
        <v>7</v>
      </c>
      <c r="H1119" s="15">
        <v>942491</v>
      </c>
      <c r="I1119" s="1">
        <v>46113</v>
      </c>
      <c r="J1119" s="1">
        <v>46128</v>
      </c>
      <c r="K1119" s="18" t="s">
        <v>1068</v>
      </c>
      <c r="L1119" s="18" t="s">
        <v>321</v>
      </c>
      <c r="M1119" s="18" t="s">
        <v>19</v>
      </c>
      <c r="N1119" s="18" t="s">
        <v>322</v>
      </c>
      <c r="O1119">
        <v>15</v>
      </c>
    </row>
    <row r="1120" spans="1:15" x14ac:dyDescent="0.25">
      <c r="A1120" s="18" t="s">
        <v>7276</v>
      </c>
      <c r="B1120" s="18" t="s">
        <v>318</v>
      </c>
      <c r="C1120" s="18" t="s">
        <v>319</v>
      </c>
      <c r="D1120" s="18" t="s">
        <v>320</v>
      </c>
      <c r="E1120" s="18" t="s">
        <v>5542</v>
      </c>
      <c r="F1120" s="2">
        <f>+J1120-I1120</f>
        <v>15</v>
      </c>
      <c r="G1120" s="2">
        <f ca="1">+TODAY()-I1120</f>
        <v>34</v>
      </c>
      <c r="H1120" s="15">
        <v>500000</v>
      </c>
      <c r="I1120" s="1">
        <v>46086</v>
      </c>
      <c r="J1120" s="1">
        <v>46101</v>
      </c>
      <c r="K1120" s="18" t="s">
        <v>1068</v>
      </c>
      <c r="L1120" s="18" t="s">
        <v>321</v>
      </c>
      <c r="M1120" s="18" t="s">
        <v>19</v>
      </c>
      <c r="N1120" s="18" t="s">
        <v>322</v>
      </c>
      <c r="O1120">
        <v>15</v>
      </c>
    </row>
    <row r="1121" spans="1:15" x14ac:dyDescent="0.25">
      <c r="A1121" s="18" t="s">
        <v>7276</v>
      </c>
      <c r="B1121" s="18" t="s">
        <v>318</v>
      </c>
      <c r="C1121" s="18" t="s">
        <v>319</v>
      </c>
      <c r="D1121" s="18" t="s">
        <v>320</v>
      </c>
      <c r="E1121" s="18" t="s">
        <v>6272</v>
      </c>
      <c r="F1121" s="2">
        <f>+J1121-I1121</f>
        <v>15</v>
      </c>
      <c r="G1121" s="2">
        <f ca="1">+TODAY()-I1121</f>
        <v>19</v>
      </c>
      <c r="H1121" s="15">
        <v>122731</v>
      </c>
      <c r="I1121" s="1">
        <v>46101</v>
      </c>
      <c r="J1121" s="1">
        <v>46116</v>
      </c>
      <c r="K1121" s="18" t="s">
        <v>1068</v>
      </c>
      <c r="L1121" s="18" t="s">
        <v>321</v>
      </c>
      <c r="M1121" s="18" t="s">
        <v>19</v>
      </c>
      <c r="N1121" s="18" t="s">
        <v>322</v>
      </c>
      <c r="O1121">
        <v>15</v>
      </c>
    </row>
    <row r="1122" spans="1:15" x14ac:dyDescent="0.25">
      <c r="A1122" s="18" t="s">
        <v>7276</v>
      </c>
      <c r="B1122" s="18" t="s">
        <v>4048</v>
      </c>
      <c r="C1122" s="18" t="s">
        <v>4049</v>
      </c>
      <c r="D1122" s="18" t="s">
        <v>1066</v>
      </c>
      <c r="E1122" s="18" t="s">
        <v>7069</v>
      </c>
      <c r="F1122" s="2">
        <f>+J1122-I1122</f>
        <v>1</v>
      </c>
      <c r="G1122" s="2">
        <f ca="1">+TODAY()-I1122</f>
        <v>9</v>
      </c>
      <c r="H1122" s="15">
        <v>40051</v>
      </c>
      <c r="I1122" s="1">
        <v>46111</v>
      </c>
      <c r="J1122" s="1">
        <v>46112</v>
      </c>
      <c r="K1122" s="18" t="s">
        <v>1068</v>
      </c>
      <c r="L1122" s="18" t="s">
        <v>321</v>
      </c>
      <c r="M1122" s="18" t="s">
        <v>19</v>
      </c>
      <c r="N1122" s="18" t="s">
        <v>4050</v>
      </c>
      <c r="O1122">
        <v>30</v>
      </c>
    </row>
    <row r="1123" spans="1:15" x14ac:dyDescent="0.25">
      <c r="A1123" s="18" t="s">
        <v>7276</v>
      </c>
      <c r="B1123" s="18" t="s">
        <v>4048</v>
      </c>
      <c r="C1123" s="18" t="s">
        <v>4049</v>
      </c>
      <c r="D1123" s="18" t="s">
        <v>1066</v>
      </c>
      <c r="E1123" s="18" t="s">
        <v>7070</v>
      </c>
      <c r="F1123" s="2">
        <f>+J1123-I1123</f>
        <v>1</v>
      </c>
      <c r="G1123" s="2">
        <f ca="1">+TODAY()-I1123</f>
        <v>9</v>
      </c>
      <c r="H1123" s="15">
        <v>27997</v>
      </c>
      <c r="I1123" s="1">
        <v>46111</v>
      </c>
      <c r="J1123" s="1">
        <v>46112</v>
      </c>
      <c r="K1123" s="18" t="s">
        <v>1068</v>
      </c>
      <c r="L1123" s="18" t="s">
        <v>321</v>
      </c>
      <c r="M1123" s="18" t="s">
        <v>19</v>
      </c>
      <c r="N1123" s="18" t="s">
        <v>4050</v>
      </c>
      <c r="O1123">
        <v>30</v>
      </c>
    </row>
    <row r="1124" spans="1:15" x14ac:dyDescent="0.25">
      <c r="A1124" s="18" t="s">
        <v>7276</v>
      </c>
      <c r="B1124" s="18" t="s">
        <v>177</v>
      </c>
      <c r="C1124" s="18" t="s">
        <v>178</v>
      </c>
      <c r="D1124" s="18" t="s">
        <v>46</v>
      </c>
      <c r="E1124" s="18" t="s">
        <v>5076</v>
      </c>
      <c r="F1124" s="2">
        <f>+J1124-I1124</f>
        <v>1</v>
      </c>
      <c r="G1124" s="2">
        <f ca="1">+TODAY()-I1124</f>
        <v>55</v>
      </c>
      <c r="H1124" s="15">
        <v>4601969</v>
      </c>
      <c r="I1124" s="1">
        <v>46065</v>
      </c>
      <c r="J1124" s="1">
        <v>46066</v>
      </c>
      <c r="K1124" s="18" t="s">
        <v>17</v>
      </c>
      <c r="L1124" s="18" t="s">
        <v>28</v>
      </c>
      <c r="M1124" s="18" t="s">
        <v>19</v>
      </c>
      <c r="N1124" s="18" t="s">
        <v>179</v>
      </c>
      <c r="O1124">
        <v>0</v>
      </c>
    </row>
    <row r="1125" spans="1:15" x14ac:dyDescent="0.25">
      <c r="A1125" s="18" t="s">
        <v>7276</v>
      </c>
      <c r="B1125" s="18" t="s">
        <v>177</v>
      </c>
      <c r="C1125" s="18" t="s">
        <v>178</v>
      </c>
      <c r="D1125" s="18" t="s">
        <v>46</v>
      </c>
      <c r="E1125" s="18" t="s">
        <v>5077</v>
      </c>
      <c r="F1125" s="2">
        <f>+J1125-I1125</f>
        <v>1</v>
      </c>
      <c r="G1125" s="2">
        <f ca="1">+TODAY()-I1125</f>
        <v>55</v>
      </c>
      <c r="H1125" s="15">
        <v>4601969</v>
      </c>
      <c r="I1125" s="1">
        <v>46065</v>
      </c>
      <c r="J1125" s="1">
        <v>46066</v>
      </c>
      <c r="K1125" s="18" t="s">
        <v>17</v>
      </c>
      <c r="L1125" s="18" t="s">
        <v>28</v>
      </c>
      <c r="M1125" s="18" t="s">
        <v>19</v>
      </c>
      <c r="N1125" s="18" t="s">
        <v>179</v>
      </c>
      <c r="O1125">
        <v>0</v>
      </c>
    </row>
    <row r="1126" spans="1:15" x14ac:dyDescent="0.25">
      <c r="A1126" s="18" t="s">
        <v>7276</v>
      </c>
      <c r="B1126" s="18" t="s">
        <v>177</v>
      </c>
      <c r="C1126" s="18" t="s">
        <v>178</v>
      </c>
      <c r="D1126" s="18" t="s">
        <v>46</v>
      </c>
      <c r="E1126" s="18" t="s">
        <v>5080</v>
      </c>
      <c r="F1126" s="2">
        <f>+J1126-I1126</f>
        <v>1</v>
      </c>
      <c r="G1126" s="2">
        <f ca="1">+TODAY()-I1126</f>
        <v>53</v>
      </c>
      <c r="H1126" s="15">
        <v>3238228</v>
      </c>
      <c r="I1126" s="1">
        <v>46067</v>
      </c>
      <c r="J1126" s="1">
        <v>46068</v>
      </c>
      <c r="K1126" s="18" t="s">
        <v>17</v>
      </c>
      <c r="L1126" s="18" t="s">
        <v>28</v>
      </c>
      <c r="M1126" s="18" t="s">
        <v>19</v>
      </c>
      <c r="N1126" s="18" t="s">
        <v>179</v>
      </c>
      <c r="O1126">
        <v>0</v>
      </c>
    </row>
    <row r="1127" spans="1:15" x14ac:dyDescent="0.25">
      <c r="A1127" s="18" t="s">
        <v>7276</v>
      </c>
      <c r="B1127" s="18" t="s">
        <v>177</v>
      </c>
      <c r="C1127" s="18" t="s">
        <v>178</v>
      </c>
      <c r="D1127" s="18" t="s">
        <v>46</v>
      </c>
      <c r="E1127" s="18" t="s">
        <v>5649</v>
      </c>
      <c r="F1127" s="2">
        <f>+J1127-I1127</f>
        <v>1</v>
      </c>
      <c r="G1127" s="2">
        <f ca="1">+TODAY()-I1127</f>
        <v>27</v>
      </c>
      <c r="H1127" s="15">
        <v>3570000</v>
      </c>
      <c r="I1127" s="1">
        <v>46093</v>
      </c>
      <c r="J1127" s="1">
        <v>46094</v>
      </c>
      <c r="K1127" s="18" t="s">
        <v>17</v>
      </c>
      <c r="L1127" s="18" t="s">
        <v>28</v>
      </c>
      <c r="M1127" s="18" t="s">
        <v>19</v>
      </c>
      <c r="N1127" s="18" t="s">
        <v>179</v>
      </c>
      <c r="O1127">
        <v>0</v>
      </c>
    </row>
    <row r="1128" spans="1:15" x14ac:dyDescent="0.25">
      <c r="A1128" s="18" t="s">
        <v>7276</v>
      </c>
      <c r="B1128" s="18" t="s">
        <v>177</v>
      </c>
      <c r="C1128" s="18" t="s">
        <v>178</v>
      </c>
      <c r="D1128" s="18" t="s">
        <v>46</v>
      </c>
      <c r="E1128" s="18" t="s">
        <v>5873</v>
      </c>
      <c r="F1128" s="2">
        <f>+J1128-I1128</f>
        <v>1</v>
      </c>
      <c r="G1128" s="2">
        <f ca="1">+TODAY()-I1128</f>
        <v>26</v>
      </c>
      <c r="H1128" s="15">
        <v>4836667</v>
      </c>
      <c r="I1128" s="1">
        <v>46094</v>
      </c>
      <c r="J1128" s="1">
        <v>46095</v>
      </c>
      <c r="K1128" s="18" t="s">
        <v>17</v>
      </c>
      <c r="L1128" s="18" t="s">
        <v>28</v>
      </c>
      <c r="M1128" s="18" t="s">
        <v>19</v>
      </c>
      <c r="N1128" s="18" t="s">
        <v>179</v>
      </c>
      <c r="O1128">
        <v>0</v>
      </c>
    </row>
    <row r="1129" spans="1:15" x14ac:dyDescent="0.25">
      <c r="A1129" s="18" t="s">
        <v>7276</v>
      </c>
      <c r="B1129" s="18" t="s">
        <v>177</v>
      </c>
      <c r="C1129" s="18" t="s">
        <v>178</v>
      </c>
      <c r="D1129" s="18" t="s">
        <v>46</v>
      </c>
      <c r="E1129" s="18" t="s">
        <v>7649</v>
      </c>
      <c r="F1129" s="2">
        <f>+J1129-I1129</f>
        <v>1</v>
      </c>
      <c r="G1129" s="2">
        <f ca="1">+TODAY()-I1129</f>
        <v>1</v>
      </c>
      <c r="H1129" s="15">
        <v>3238228</v>
      </c>
      <c r="I1129" s="1">
        <v>46119</v>
      </c>
      <c r="J1129" s="1">
        <v>46120</v>
      </c>
      <c r="K1129" s="18" t="s">
        <v>17</v>
      </c>
      <c r="L1129" s="18" t="s">
        <v>28</v>
      </c>
      <c r="M1129" s="18" t="s">
        <v>19</v>
      </c>
      <c r="N1129" s="18" t="s">
        <v>179</v>
      </c>
      <c r="O1129">
        <v>0</v>
      </c>
    </row>
    <row r="1130" spans="1:15" x14ac:dyDescent="0.25">
      <c r="A1130" s="18" t="s">
        <v>7276</v>
      </c>
      <c r="B1130" s="18" t="s">
        <v>177</v>
      </c>
      <c r="C1130" s="18" t="s">
        <v>178</v>
      </c>
      <c r="D1130" s="18" t="s">
        <v>46</v>
      </c>
      <c r="E1130" s="18" t="s">
        <v>5922</v>
      </c>
      <c r="F1130" s="2">
        <f>+J1130-I1130</f>
        <v>1</v>
      </c>
      <c r="G1130" s="2">
        <f ca="1">+TODAY()-I1130</f>
        <v>27</v>
      </c>
      <c r="H1130" s="15">
        <v>3238228</v>
      </c>
      <c r="I1130" s="1">
        <v>46093</v>
      </c>
      <c r="J1130" s="1">
        <v>46094</v>
      </c>
      <c r="K1130" s="18" t="s">
        <v>17</v>
      </c>
      <c r="L1130" s="18" t="s">
        <v>28</v>
      </c>
      <c r="M1130" s="18" t="s">
        <v>19</v>
      </c>
      <c r="N1130" s="18" t="s">
        <v>179</v>
      </c>
      <c r="O1130">
        <v>0</v>
      </c>
    </row>
    <row r="1131" spans="1:15" x14ac:dyDescent="0.25">
      <c r="A1131" s="18" t="s">
        <v>7276</v>
      </c>
      <c r="B1131" s="18" t="s">
        <v>177</v>
      </c>
      <c r="C1131" s="18" t="s">
        <v>178</v>
      </c>
      <c r="D1131" s="18" t="s">
        <v>46</v>
      </c>
      <c r="E1131" s="18" t="s">
        <v>5923</v>
      </c>
      <c r="F1131" s="2">
        <f>+J1131-I1131</f>
        <v>1</v>
      </c>
      <c r="G1131" s="2">
        <f ca="1">+TODAY()-I1131</f>
        <v>27</v>
      </c>
      <c r="H1131" s="15">
        <v>4836668</v>
      </c>
      <c r="I1131" s="1">
        <v>46093</v>
      </c>
      <c r="J1131" s="1">
        <v>46094</v>
      </c>
      <c r="K1131" s="18" t="s">
        <v>17</v>
      </c>
      <c r="L1131" s="18" t="s">
        <v>28</v>
      </c>
      <c r="M1131" s="18" t="s">
        <v>19</v>
      </c>
      <c r="N1131" s="18" t="s">
        <v>179</v>
      </c>
      <c r="O1131">
        <v>0</v>
      </c>
    </row>
    <row r="1132" spans="1:15" x14ac:dyDescent="0.25">
      <c r="A1132" s="18" t="s">
        <v>7276</v>
      </c>
      <c r="B1132" s="18" t="s">
        <v>40</v>
      </c>
      <c r="C1132" s="18" t="s">
        <v>41</v>
      </c>
      <c r="D1132" s="18" t="s">
        <v>42</v>
      </c>
      <c r="E1132" s="18" t="s">
        <v>5603</v>
      </c>
      <c r="F1132" s="2">
        <f>+J1132-I1132</f>
        <v>1</v>
      </c>
      <c r="G1132" s="2">
        <f ca="1">+TODAY()-I1132</f>
        <v>33</v>
      </c>
      <c r="H1132" s="15">
        <v>357000</v>
      </c>
      <c r="I1132" s="1">
        <v>46087</v>
      </c>
      <c r="J1132" s="1">
        <v>46088</v>
      </c>
      <c r="K1132" s="18" t="s">
        <v>17</v>
      </c>
      <c r="L1132" s="18" t="s">
        <v>28</v>
      </c>
      <c r="M1132" s="18" t="s">
        <v>19</v>
      </c>
      <c r="N1132" s="18" t="s">
        <v>43</v>
      </c>
      <c r="O1132">
        <v>30</v>
      </c>
    </row>
    <row r="1133" spans="1:15" x14ac:dyDescent="0.25">
      <c r="A1133" s="18" t="s">
        <v>7276</v>
      </c>
      <c r="B1133" s="18" t="s">
        <v>40</v>
      </c>
      <c r="C1133" s="18" t="s">
        <v>41</v>
      </c>
      <c r="D1133" s="18" t="s">
        <v>42</v>
      </c>
      <c r="E1133" s="18" t="s">
        <v>5604</v>
      </c>
      <c r="F1133" s="2">
        <f>+J1133-I1133</f>
        <v>1</v>
      </c>
      <c r="G1133" s="2">
        <f ca="1">+TODAY()-I1133</f>
        <v>33</v>
      </c>
      <c r="H1133" s="15">
        <v>714000</v>
      </c>
      <c r="I1133" s="1">
        <v>46087</v>
      </c>
      <c r="J1133" s="1">
        <v>46088</v>
      </c>
      <c r="K1133" s="18" t="s">
        <v>17</v>
      </c>
      <c r="L1133" s="18" t="s">
        <v>28</v>
      </c>
      <c r="M1133" s="18" t="s">
        <v>19</v>
      </c>
      <c r="N1133" s="18" t="s">
        <v>43</v>
      </c>
      <c r="O1133">
        <v>30</v>
      </c>
    </row>
    <row r="1134" spans="1:15" x14ac:dyDescent="0.25">
      <c r="A1134" s="18" t="s">
        <v>7276</v>
      </c>
      <c r="B1134" s="18" t="s">
        <v>40</v>
      </c>
      <c r="C1134" s="18" t="s">
        <v>41</v>
      </c>
      <c r="D1134" s="18" t="s">
        <v>42</v>
      </c>
      <c r="E1134" s="18" t="s">
        <v>5004</v>
      </c>
      <c r="F1134" s="2">
        <f>+J1134-I1134</f>
        <v>1</v>
      </c>
      <c r="G1134" s="2">
        <f ca="1">+TODAY()-I1134</f>
        <v>63</v>
      </c>
      <c r="H1134" s="15">
        <v>714000</v>
      </c>
      <c r="I1134" s="1">
        <v>46057</v>
      </c>
      <c r="J1134" s="1">
        <v>46058</v>
      </c>
      <c r="K1134" s="18" t="s">
        <v>17</v>
      </c>
      <c r="L1134" s="18" t="s">
        <v>28</v>
      </c>
      <c r="M1134" s="18" t="s">
        <v>19</v>
      </c>
      <c r="N1134" s="18" t="s">
        <v>43</v>
      </c>
      <c r="O1134">
        <v>30</v>
      </c>
    </row>
    <row r="1135" spans="1:15" x14ac:dyDescent="0.25">
      <c r="A1135" s="18" t="s">
        <v>7276</v>
      </c>
      <c r="B1135" s="18" t="s">
        <v>1342</v>
      </c>
      <c r="C1135" s="18" t="s">
        <v>1343</v>
      </c>
      <c r="D1135" s="18" t="s">
        <v>1323</v>
      </c>
      <c r="E1135" s="18" t="s">
        <v>5291</v>
      </c>
      <c r="F1135" s="2">
        <f>+J1135-I1135</f>
        <v>30</v>
      </c>
      <c r="G1135" s="2">
        <f ca="1">+TODAY()-I1135</f>
        <v>41</v>
      </c>
      <c r="H1135" s="15">
        <v>1635267</v>
      </c>
      <c r="I1135" s="1">
        <v>46079</v>
      </c>
      <c r="J1135" s="1">
        <v>46109</v>
      </c>
      <c r="K1135" s="18" t="s">
        <v>1325</v>
      </c>
      <c r="L1135" s="18" t="s">
        <v>90</v>
      </c>
      <c r="M1135" s="18" t="s">
        <v>19</v>
      </c>
      <c r="N1135" s="18" t="s">
        <v>1344</v>
      </c>
      <c r="O1135">
        <v>30</v>
      </c>
    </row>
    <row r="1136" spans="1:15" x14ac:dyDescent="0.25">
      <c r="A1136" s="18" t="s">
        <v>7276</v>
      </c>
      <c r="B1136" s="18" t="s">
        <v>1342</v>
      </c>
      <c r="C1136" s="18" t="s">
        <v>1343</v>
      </c>
      <c r="D1136" s="18" t="s">
        <v>1323</v>
      </c>
      <c r="E1136" s="18" t="s">
        <v>6049</v>
      </c>
      <c r="F1136" s="2">
        <f>+J1136-I1136</f>
        <v>30</v>
      </c>
      <c r="G1136" s="2">
        <f ca="1">+TODAY()-I1136</f>
        <v>26</v>
      </c>
      <c r="H1136" s="15">
        <v>690478</v>
      </c>
      <c r="I1136" s="1">
        <v>46094</v>
      </c>
      <c r="J1136" s="1">
        <v>46124</v>
      </c>
      <c r="K1136" s="18" t="s">
        <v>1325</v>
      </c>
      <c r="L1136" s="18" t="s">
        <v>90</v>
      </c>
      <c r="M1136" s="18" t="s">
        <v>19</v>
      </c>
      <c r="N1136" s="18" t="s">
        <v>1344</v>
      </c>
      <c r="O1136">
        <v>30</v>
      </c>
    </row>
    <row r="1137" spans="1:15" x14ac:dyDescent="0.25">
      <c r="A1137" s="18" t="s">
        <v>7276</v>
      </c>
      <c r="B1137" s="18" t="s">
        <v>1342</v>
      </c>
      <c r="C1137" s="18" t="s">
        <v>1343</v>
      </c>
      <c r="D1137" s="18" t="s">
        <v>1323</v>
      </c>
      <c r="E1137" s="18" t="s">
        <v>6050</v>
      </c>
      <c r="F1137" s="2">
        <f>+J1137-I1137</f>
        <v>30</v>
      </c>
      <c r="G1137" s="2">
        <f ca="1">+TODAY()-I1137</f>
        <v>26</v>
      </c>
      <c r="H1137" s="15">
        <v>1766467</v>
      </c>
      <c r="I1137" s="1">
        <v>46094</v>
      </c>
      <c r="J1137" s="1">
        <v>46124</v>
      </c>
      <c r="K1137" s="18" t="s">
        <v>1325</v>
      </c>
      <c r="L1137" s="18" t="s">
        <v>90</v>
      </c>
      <c r="M1137" s="18" t="s">
        <v>19</v>
      </c>
      <c r="N1137" s="18" t="s">
        <v>1344</v>
      </c>
      <c r="O1137">
        <v>30</v>
      </c>
    </row>
    <row r="1138" spans="1:15" x14ac:dyDescent="0.25">
      <c r="A1138" s="18" t="s">
        <v>7276</v>
      </c>
      <c r="B1138" s="18" t="s">
        <v>1342</v>
      </c>
      <c r="C1138" s="18" t="s">
        <v>1343</v>
      </c>
      <c r="D1138" s="18" t="s">
        <v>1323</v>
      </c>
      <c r="E1138" s="18" t="s">
        <v>6561</v>
      </c>
      <c r="F1138" s="2">
        <f>+J1138-I1138</f>
        <v>30</v>
      </c>
      <c r="G1138" s="2">
        <f ca="1">+TODAY()-I1138</f>
        <v>14</v>
      </c>
      <c r="H1138" s="15">
        <v>1216389</v>
      </c>
      <c r="I1138" s="1">
        <v>46106</v>
      </c>
      <c r="J1138" s="1">
        <v>46136</v>
      </c>
      <c r="K1138" s="18" t="s">
        <v>1325</v>
      </c>
      <c r="L1138" s="18" t="s">
        <v>90</v>
      </c>
      <c r="M1138" s="18" t="s">
        <v>19</v>
      </c>
      <c r="N1138" s="18" t="s">
        <v>1344</v>
      </c>
      <c r="O1138">
        <v>30</v>
      </c>
    </row>
    <row r="1139" spans="1:15" x14ac:dyDescent="0.25">
      <c r="A1139" s="18" t="s">
        <v>7276</v>
      </c>
      <c r="B1139" s="18" t="s">
        <v>1342</v>
      </c>
      <c r="C1139" s="18" t="s">
        <v>1343</v>
      </c>
      <c r="D1139" s="18" t="s">
        <v>1323</v>
      </c>
      <c r="E1139" s="18" t="s">
        <v>6562</v>
      </c>
      <c r="F1139" s="2">
        <f>+J1139-I1139</f>
        <v>30</v>
      </c>
      <c r="G1139" s="2">
        <f ca="1">+TODAY()-I1139</f>
        <v>14</v>
      </c>
      <c r="H1139" s="15">
        <v>1920742</v>
      </c>
      <c r="I1139" s="1">
        <v>46106</v>
      </c>
      <c r="J1139" s="1">
        <v>46136</v>
      </c>
      <c r="K1139" s="18" t="s">
        <v>1325</v>
      </c>
      <c r="L1139" s="18" t="s">
        <v>90</v>
      </c>
      <c r="M1139" s="18" t="s">
        <v>19</v>
      </c>
      <c r="N1139" s="18" t="s">
        <v>1344</v>
      </c>
      <c r="O1139">
        <v>30</v>
      </c>
    </row>
    <row r="1140" spans="1:15" x14ac:dyDescent="0.25">
      <c r="A1140" s="18" t="s">
        <v>7276</v>
      </c>
      <c r="B1140" s="18" t="s">
        <v>3401</v>
      </c>
      <c r="C1140" s="18" t="s">
        <v>3402</v>
      </c>
      <c r="D1140" s="18" t="s">
        <v>46</v>
      </c>
      <c r="E1140" s="18" t="s">
        <v>5926</v>
      </c>
      <c r="F1140" s="2">
        <f>+J1140-I1140</f>
        <v>15</v>
      </c>
      <c r="G1140" s="2">
        <f ca="1">+TODAY()-I1140</f>
        <v>22</v>
      </c>
      <c r="H1140" s="15">
        <v>42800</v>
      </c>
      <c r="I1140" s="1">
        <v>46098</v>
      </c>
      <c r="J1140" s="1">
        <v>46113</v>
      </c>
      <c r="K1140" s="18" t="s">
        <v>17</v>
      </c>
      <c r="L1140" s="18" t="s">
        <v>317</v>
      </c>
      <c r="M1140" s="18" t="s">
        <v>19</v>
      </c>
      <c r="N1140" s="18" t="s">
        <v>3404</v>
      </c>
      <c r="O1140">
        <v>15</v>
      </c>
    </row>
    <row r="1141" spans="1:15" x14ac:dyDescent="0.25">
      <c r="A1141" s="18" t="s">
        <v>7276</v>
      </c>
      <c r="B1141" s="18" t="s">
        <v>3401</v>
      </c>
      <c r="C1141" s="18" t="s">
        <v>3402</v>
      </c>
      <c r="D1141" s="18" t="s">
        <v>46</v>
      </c>
      <c r="E1141" s="18" t="s">
        <v>5927</v>
      </c>
      <c r="F1141" s="2">
        <f>+J1141-I1141</f>
        <v>15</v>
      </c>
      <c r="G1141" s="2">
        <f ca="1">+TODAY()-I1141</f>
        <v>22</v>
      </c>
      <c r="H1141" s="15">
        <v>449752</v>
      </c>
      <c r="I1141" s="1">
        <v>46098</v>
      </c>
      <c r="J1141" s="1">
        <v>46113</v>
      </c>
      <c r="K1141" s="18" t="s">
        <v>17</v>
      </c>
      <c r="L1141" s="18" t="s">
        <v>317</v>
      </c>
      <c r="M1141" s="18" t="s">
        <v>19</v>
      </c>
      <c r="N1141" s="18" t="s">
        <v>3404</v>
      </c>
      <c r="O1141">
        <v>15</v>
      </c>
    </row>
    <row r="1142" spans="1:15" x14ac:dyDescent="0.25">
      <c r="A1142" s="18" t="s">
        <v>7276</v>
      </c>
      <c r="B1142" s="18" t="s">
        <v>3401</v>
      </c>
      <c r="C1142" s="18" t="s">
        <v>3402</v>
      </c>
      <c r="D1142" s="18" t="s">
        <v>46</v>
      </c>
      <c r="E1142" s="18" t="s">
        <v>7685</v>
      </c>
      <c r="F1142" s="2">
        <f>+J1142-I1142</f>
        <v>15</v>
      </c>
      <c r="G1142" s="2">
        <f ca="1">+TODAY()-I1142</f>
        <v>1</v>
      </c>
      <c r="H1142" s="15">
        <v>355824</v>
      </c>
      <c r="I1142" s="1">
        <v>46119</v>
      </c>
      <c r="J1142" s="1">
        <v>46134</v>
      </c>
      <c r="K1142" s="18" t="s">
        <v>17</v>
      </c>
      <c r="L1142" s="18" t="s">
        <v>317</v>
      </c>
      <c r="M1142" s="18" t="s">
        <v>19</v>
      </c>
      <c r="N1142" s="18" t="s">
        <v>3404</v>
      </c>
      <c r="O1142">
        <v>15</v>
      </c>
    </row>
    <row r="1143" spans="1:15" x14ac:dyDescent="0.25">
      <c r="A1143" s="18" t="s">
        <v>7276</v>
      </c>
      <c r="B1143" s="18" t="s">
        <v>3401</v>
      </c>
      <c r="C1143" s="18" t="s">
        <v>3402</v>
      </c>
      <c r="D1143" s="18" t="s">
        <v>46</v>
      </c>
      <c r="E1143" s="18" t="s">
        <v>7812</v>
      </c>
      <c r="F1143" s="2">
        <f>+J1143-I1143</f>
        <v>15</v>
      </c>
      <c r="G1143" s="2">
        <f ca="1">+TODAY()-I1143</f>
        <v>1</v>
      </c>
      <c r="H1143" s="15">
        <v>1072704</v>
      </c>
      <c r="I1143" s="1">
        <v>46119</v>
      </c>
      <c r="J1143" s="1">
        <v>46134</v>
      </c>
      <c r="K1143" s="18" t="s">
        <v>1300</v>
      </c>
      <c r="L1143" s="18" t="s">
        <v>317</v>
      </c>
      <c r="M1143" s="18" t="s">
        <v>19</v>
      </c>
      <c r="N1143" s="18" t="s">
        <v>3404</v>
      </c>
      <c r="O1143">
        <v>15</v>
      </c>
    </row>
    <row r="1144" spans="1:15" x14ac:dyDescent="0.25">
      <c r="A1144" s="18" t="s">
        <v>7276</v>
      </c>
      <c r="B1144" s="18" t="s">
        <v>3401</v>
      </c>
      <c r="C1144" s="18" t="s">
        <v>3402</v>
      </c>
      <c r="D1144" s="18" t="s">
        <v>46</v>
      </c>
      <c r="E1144" s="18" t="s">
        <v>7813</v>
      </c>
      <c r="F1144" s="2">
        <f>+J1144-I1144</f>
        <v>15</v>
      </c>
      <c r="G1144" s="2">
        <f ca="1">+TODAY()-I1144</f>
        <v>1</v>
      </c>
      <c r="H1144" s="15">
        <v>311611</v>
      </c>
      <c r="I1144" s="1">
        <v>46119</v>
      </c>
      <c r="J1144" s="1">
        <v>46134</v>
      </c>
      <c r="K1144" s="18" t="s">
        <v>1300</v>
      </c>
      <c r="L1144" s="18" t="s">
        <v>317</v>
      </c>
      <c r="M1144" s="18" t="s">
        <v>19</v>
      </c>
      <c r="N1144" s="18" t="s">
        <v>3404</v>
      </c>
      <c r="O1144">
        <v>15</v>
      </c>
    </row>
    <row r="1145" spans="1:15" x14ac:dyDescent="0.25">
      <c r="A1145" s="18" t="s">
        <v>7276</v>
      </c>
      <c r="B1145" s="18" t="s">
        <v>1723</v>
      </c>
      <c r="C1145" s="18" t="s">
        <v>1724</v>
      </c>
      <c r="D1145" s="18" t="s">
        <v>1705</v>
      </c>
      <c r="E1145" s="18" t="s">
        <v>5162</v>
      </c>
      <c r="F1145" s="2">
        <f>+J1145-I1145</f>
        <v>30</v>
      </c>
      <c r="G1145" s="2">
        <f ca="1">+TODAY()-I1145</f>
        <v>50</v>
      </c>
      <c r="H1145" s="15">
        <v>449596</v>
      </c>
      <c r="I1145" s="1">
        <v>46070</v>
      </c>
      <c r="J1145" s="1">
        <v>46100</v>
      </c>
      <c r="K1145" s="18" t="s">
        <v>1706</v>
      </c>
      <c r="L1145" s="18" t="s">
        <v>90</v>
      </c>
      <c r="M1145" s="18" t="s">
        <v>19</v>
      </c>
      <c r="N1145" s="18" t="s">
        <v>1725</v>
      </c>
      <c r="O1145">
        <v>30</v>
      </c>
    </row>
    <row r="1146" spans="1:15" x14ac:dyDescent="0.25">
      <c r="A1146" s="18" t="s">
        <v>7276</v>
      </c>
      <c r="B1146" s="18" t="s">
        <v>1723</v>
      </c>
      <c r="C1146" s="18" t="s">
        <v>1724</v>
      </c>
      <c r="D1146" s="18" t="s">
        <v>1705</v>
      </c>
      <c r="E1146" s="18" t="s">
        <v>5163</v>
      </c>
      <c r="F1146" s="2">
        <f>+J1146-I1146</f>
        <v>30</v>
      </c>
      <c r="G1146" s="2">
        <f ca="1">+TODAY()-I1146</f>
        <v>50</v>
      </c>
      <c r="H1146" s="15">
        <v>1619575</v>
      </c>
      <c r="I1146" s="1">
        <v>46070</v>
      </c>
      <c r="J1146" s="1">
        <v>46100</v>
      </c>
      <c r="K1146" s="18" t="s">
        <v>1706</v>
      </c>
      <c r="L1146" s="18" t="s">
        <v>90</v>
      </c>
      <c r="M1146" s="18" t="s">
        <v>19</v>
      </c>
      <c r="N1146" s="18" t="s">
        <v>1725</v>
      </c>
      <c r="O1146">
        <v>30</v>
      </c>
    </row>
    <row r="1147" spans="1:15" x14ac:dyDescent="0.25">
      <c r="A1147" s="18" t="s">
        <v>7276</v>
      </c>
      <c r="B1147" s="18" t="s">
        <v>1723</v>
      </c>
      <c r="C1147" s="18" t="s">
        <v>1724</v>
      </c>
      <c r="D1147" s="18" t="s">
        <v>1705</v>
      </c>
      <c r="E1147" s="18" t="s">
        <v>5496</v>
      </c>
      <c r="F1147" s="2">
        <f>+J1147-I1147</f>
        <v>30</v>
      </c>
      <c r="G1147" s="2">
        <f ca="1">+TODAY()-I1147</f>
        <v>36</v>
      </c>
      <c r="H1147" s="15">
        <v>1059015</v>
      </c>
      <c r="I1147" s="1">
        <v>46084</v>
      </c>
      <c r="J1147" s="1">
        <v>46114</v>
      </c>
      <c r="K1147" s="18" t="s">
        <v>1706</v>
      </c>
      <c r="L1147" s="18" t="s">
        <v>90</v>
      </c>
      <c r="M1147" s="18" t="s">
        <v>19</v>
      </c>
      <c r="N1147" s="18" t="s">
        <v>1725</v>
      </c>
      <c r="O1147">
        <v>30</v>
      </c>
    </row>
    <row r="1148" spans="1:15" x14ac:dyDescent="0.25">
      <c r="A1148" s="18" t="s">
        <v>7276</v>
      </c>
      <c r="B1148" s="18" t="s">
        <v>1723</v>
      </c>
      <c r="C1148" s="18" t="s">
        <v>1724</v>
      </c>
      <c r="D1148" s="18" t="s">
        <v>1705</v>
      </c>
      <c r="E1148" s="18" t="s">
        <v>5497</v>
      </c>
      <c r="F1148" s="2">
        <f>+J1148-I1148</f>
        <v>30</v>
      </c>
      <c r="G1148" s="2">
        <f ca="1">+TODAY()-I1148</f>
        <v>36</v>
      </c>
      <c r="H1148" s="15">
        <v>1522000</v>
      </c>
      <c r="I1148" s="1">
        <v>46084</v>
      </c>
      <c r="J1148" s="1">
        <v>46114</v>
      </c>
      <c r="K1148" s="18" t="s">
        <v>1706</v>
      </c>
      <c r="L1148" s="18" t="s">
        <v>90</v>
      </c>
      <c r="M1148" s="18" t="s">
        <v>19</v>
      </c>
      <c r="N1148" s="18" t="s">
        <v>1725</v>
      </c>
      <c r="O1148">
        <v>30</v>
      </c>
    </row>
    <row r="1149" spans="1:15" x14ac:dyDescent="0.25">
      <c r="A1149" s="18" t="s">
        <v>7276</v>
      </c>
      <c r="B1149" s="18" t="s">
        <v>1723</v>
      </c>
      <c r="C1149" s="18" t="s">
        <v>1724</v>
      </c>
      <c r="D1149" s="18" t="s">
        <v>1705</v>
      </c>
      <c r="E1149" s="18" t="s">
        <v>6114</v>
      </c>
      <c r="F1149" s="2">
        <f>+J1149-I1149</f>
        <v>30</v>
      </c>
      <c r="G1149" s="2">
        <f ca="1">+TODAY()-I1149</f>
        <v>26</v>
      </c>
      <c r="H1149" s="15">
        <v>115542</v>
      </c>
      <c r="I1149" s="1">
        <v>46094</v>
      </c>
      <c r="J1149" s="1">
        <v>46124</v>
      </c>
      <c r="K1149" s="18" t="s">
        <v>1706</v>
      </c>
      <c r="L1149" s="18" t="s">
        <v>90</v>
      </c>
      <c r="M1149" s="18" t="s">
        <v>19</v>
      </c>
      <c r="N1149" s="18" t="s">
        <v>1725</v>
      </c>
      <c r="O1149">
        <v>30</v>
      </c>
    </row>
    <row r="1150" spans="1:15" x14ac:dyDescent="0.25">
      <c r="A1150" s="18" t="s">
        <v>7276</v>
      </c>
      <c r="B1150" s="18" t="s">
        <v>1723</v>
      </c>
      <c r="C1150" s="18" t="s">
        <v>1724</v>
      </c>
      <c r="D1150" s="18" t="s">
        <v>1705</v>
      </c>
      <c r="E1150" s="18" t="s">
        <v>6115</v>
      </c>
      <c r="F1150" s="2">
        <f>+J1150-I1150</f>
        <v>30</v>
      </c>
      <c r="G1150" s="2">
        <f ca="1">+TODAY()-I1150</f>
        <v>26</v>
      </c>
      <c r="H1150" s="15">
        <v>1611200</v>
      </c>
      <c r="I1150" s="1">
        <v>46094</v>
      </c>
      <c r="J1150" s="1">
        <v>46124</v>
      </c>
      <c r="K1150" s="18" t="s">
        <v>1706</v>
      </c>
      <c r="L1150" s="18" t="s">
        <v>90</v>
      </c>
      <c r="M1150" s="18" t="s">
        <v>19</v>
      </c>
      <c r="N1150" s="18" t="s">
        <v>1725</v>
      </c>
      <c r="O1150">
        <v>30</v>
      </c>
    </row>
    <row r="1151" spans="1:15" x14ac:dyDescent="0.25">
      <c r="A1151" s="18" t="s">
        <v>7276</v>
      </c>
      <c r="B1151" s="18" t="s">
        <v>4802</v>
      </c>
      <c r="C1151" s="18" t="s">
        <v>4803</v>
      </c>
      <c r="D1151" s="18" t="s">
        <v>916</v>
      </c>
      <c r="E1151" s="18" t="s">
        <v>7012</v>
      </c>
      <c r="F1151" s="2">
        <f>+J1151-I1151</f>
        <v>1</v>
      </c>
      <c r="G1151" s="2">
        <f ca="1">+TODAY()-I1151</f>
        <v>9</v>
      </c>
      <c r="H1151" s="15">
        <v>559430</v>
      </c>
      <c r="I1151" s="1">
        <v>46111</v>
      </c>
      <c r="J1151" s="1">
        <v>46112</v>
      </c>
      <c r="K1151" s="18" t="s">
        <v>918</v>
      </c>
      <c r="L1151" s="18" t="s">
        <v>312</v>
      </c>
      <c r="M1151" s="18" t="s">
        <v>19</v>
      </c>
      <c r="N1151" s="18" t="s">
        <v>4805</v>
      </c>
      <c r="O1151">
        <v>1</v>
      </c>
    </row>
    <row r="1152" spans="1:15" x14ac:dyDescent="0.25">
      <c r="A1152" s="18" t="s">
        <v>7276</v>
      </c>
      <c r="B1152" s="18" t="s">
        <v>4802</v>
      </c>
      <c r="C1152" s="18" t="s">
        <v>4803</v>
      </c>
      <c r="D1152" s="18" t="s">
        <v>916</v>
      </c>
      <c r="E1152" s="18" t="s">
        <v>7013</v>
      </c>
      <c r="F1152" s="2">
        <f>+J1152-I1152</f>
        <v>1</v>
      </c>
      <c r="G1152" s="2">
        <f ca="1">+TODAY()-I1152</f>
        <v>9</v>
      </c>
      <c r="H1152" s="15">
        <v>171123</v>
      </c>
      <c r="I1152" s="1">
        <v>46111</v>
      </c>
      <c r="J1152" s="1">
        <v>46112</v>
      </c>
      <c r="K1152" s="18" t="s">
        <v>918</v>
      </c>
      <c r="L1152" s="18" t="s">
        <v>312</v>
      </c>
      <c r="M1152" s="18" t="s">
        <v>19</v>
      </c>
      <c r="N1152" s="18" t="s">
        <v>4805</v>
      </c>
      <c r="O1152">
        <v>1</v>
      </c>
    </row>
    <row r="1153" spans="1:15" x14ac:dyDescent="0.25">
      <c r="A1153" s="18" t="s">
        <v>7276</v>
      </c>
      <c r="B1153" s="18" t="s">
        <v>4802</v>
      </c>
      <c r="C1153" s="18" t="s">
        <v>4803</v>
      </c>
      <c r="D1153" s="18" t="s">
        <v>916</v>
      </c>
      <c r="E1153" s="18" t="s">
        <v>7751</v>
      </c>
      <c r="F1153" s="2">
        <f>+J1153-I1153</f>
        <v>1</v>
      </c>
      <c r="G1153" s="2">
        <f ca="1">+TODAY()-I1153</f>
        <v>1</v>
      </c>
      <c r="H1153" s="15">
        <v>193832</v>
      </c>
      <c r="I1153" s="1">
        <v>46119</v>
      </c>
      <c r="J1153" s="1">
        <v>46120</v>
      </c>
      <c r="K1153" s="18" t="s">
        <v>918</v>
      </c>
      <c r="L1153" s="18" t="s">
        <v>312</v>
      </c>
      <c r="M1153" s="18" t="s">
        <v>19</v>
      </c>
      <c r="N1153" s="18" t="s">
        <v>4805</v>
      </c>
      <c r="O1153">
        <v>1</v>
      </c>
    </row>
    <row r="1154" spans="1:15" x14ac:dyDescent="0.25">
      <c r="A1154" s="18" t="s">
        <v>7276</v>
      </c>
      <c r="B1154" s="18" t="s">
        <v>4802</v>
      </c>
      <c r="C1154" s="18" t="s">
        <v>4803</v>
      </c>
      <c r="D1154" s="18" t="s">
        <v>916</v>
      </c>
      <c r="E1154" s="18" t="s">
        <v>7752</v>
      </c>
      <c r="F1154" s="2">
        <f>+J1154-I1154</f>
        <v>1</v>
      </c>
      <c r="G1154" s="2">
        <f ca="1">+TODAY()-I1154</f>
        <v>1</v>
      </c>
      <c r="H1154" s="15">
        <v>474527</v>
      </c>
      <c r="I1154" s="1">
        <v>46119</v>
      </c>
      <c r="J1154" s="1">
        <v>46120</v>
      </c>
      <c r="K1154" s="18" t="s">
        <v>918</v>
      </c>
      <c r="L1154" s="18" t="s">
        <v>312</v>
      </c>
      <c r="M1154" s="18" t="s">
        <v>19</v>
      </c>
      <c r="N1154" s="18" t="s">
        <v>4805</v>
      </c>
      <c r="O1154">
        <v>1</v>
      </c>
    </row>
    <row r="1155" spans="1:15" x14ac:dyDescent="0.25">
      <c r="A1155" s="18" t="s">
        <v>7276</v>
      </c>
      <c r="B1155" s="18" t="s">
        <v>7712</v>
      </c>
      <c r="C1155" s="18" t="s">
        <v>7713</v>
      </c>
      <c r="D1155" s="18" t="s">
        <v>204</v>
      </c>
      <c r="E1155" s="18" t="s">
        <v>7714</v>
      </c>
      <c r="F1155" s="2">
        <f>+J1155-I1155</f>
        <v>1</v>
      </c>
      <c r="G1155" s="2">
        <f ca="1">+TODAY()-I1155</f>
        <v>1</v>
      </c>
      <c r="H1155" s="15">
        <v>817875</v>
      </c>
      <c r="I1155" s="1">
        <v>46119</v>
      </c>
      <c r="J1155" s="1">
        <v>46120</v>
      </c>
      <c r="K1155" s="18" t="s">
        <v>343</v>
      </c>
      <c r="L1155" s="18" t="s">
        <v>18</v>
      </c>
      <c r="M1155" s="18" t="s">
        <v>19</v>
      </c>
      <c r="N1155" s="18" t="s">
        <v>7715</v>
      </c>
      <c r="O1155">
        <v>1</v>
      </c>
    </row>
    <row r="1156" spans="1:15" x14ac:dyDescent="0.25">
      <c r="A1156" s="18" t="s">
        <v>7276</v>
      </c>
      <c r="B1156" s="18" t="s">
        <v>4774</v>
      </c>
      <c r="C1156" s="18" t="s">
        <v>4775</v>
      </c>
      <c r="D1156" s="18" t="s">
        <v>1962</v>
      </c>
      <c r="E1156" s="18" t="s">
        <v>5671</v>
      </c>
      <c r="F1156" s="2">
        <f>+J1156-I1156</f>
        <v>30</v>
      </c>
      <c r="G1156" s="2">
        <f ca="1">+TODAY()-I1156</f>
        <v>30</v>
      </c>
      <c r="H1156" s="15">
        <v>632111</v>
      </c>
      <c r="I1156" s="1">
        <v>46090</v>
      </c>
      <c r="J1156" s="1">
        <v>46120</v>
      </c>
      <c r="K1156" s="18" t="s">
        <v>343</v>
      </c>
      <c r="L1156" s="18" t="s">
        <v>18</v>
      </c>
      <c r="M1156" s="18" t="s">
        <v>19</v>
      </c>
      <c r="N1156" s="18" t="s">
        <v>4777</v>
      </c>
      <c r="O1156">
        <v>30</v>
      </c>
    </row>
    <row r="1157" spans="1:15" x14ac:dyDescent="0.25">
      <c r="A1157" s="18" t="s">
        <v>7276</v>
      </c>
      <c r="B1157" s="18" t="s">
        <v>4774</v>
      </c>
      <c r="C1157" s="18" t="s">
        <v>4775</v>
      </c>
      <c r="D1157" s="18" t="s">
        <v>1962</v>
      </c>
      <c r="E1157" s="18" t="s">
        <v>7691</v>
      </c>
      <c r="F1157" s="2">
        <f>+J1157-I1157</f>
        <v>30</v>
      </c>
      <c r="G1157" s="2">
        <f ca="1">+TODAY()-I1157</f>
        <v>1</v>
      </c>
      <c r="H1157" s="15">
        <v>639134</v>
      </c>
      <c r="I1157" s="1">
        <v>46119</v>
      </c>
      <c r="J1157" s="1">
        <v>46149</v>
      </c>
      <c r="K1157" s="18" t="s">
        <v>343</v>
      </c>
      <c r="L1157" s="18" t="s">
        <v>18</v>
      </c>
      <c r="M1157" s="18" t="s">
        <v>19</v>
      </c>
      <c r="N1157" s="18" t="s">
        <v>4777</v>
      </c>
      <c r="O1157">
        <v>30</v>
      </c>
    </row>
    <row r="1158" spans="1:15" x14ac:dyDescent="0.25">
      <c r="A1158" s="18" t="s">
        <v>7276</v>
      </c>
      <c r="B1158" s="18" t="s">
        <v>869</v>
      </c>
      <c r="C1158" s="18" t="s">
        <v>870</v>
      </c>
      <c r="D1158" s="18" t="s">
        <v>854</v>
      </c>
      <c r="E1158" s="18" t="s">
        <v>5237</v>
      </c>
      <c r="F1158" s="2">
        <f>+J1158-I1158</f>
        <v>30</v>
      </c>
      <c r="G1158" s="2">
        <f ca="1">+TODAY()-I1158</f>
        <v>39</v>
      </c>
      <c r="H1158" s="15">
        <v>2039876</v>
      </c>
      <c r="I1158" s="1">
        <v>46081</v>
      </c>
      <c r="J1158" s="1">
        <v>46111</v>
      </c>
      <c r="K1158" s="18" t="s">
        <v>845</v>
      </c>
      <c r="L1158" s="18" t="s">
        <v>18</v>
      </c>
      <c r="M1158" s="18" t="s">
        <v>19</v>
      </c>
      <c r="N1158" s="18" t="s">
        <v>871</v>
      </c>
      <c r="O1158">
        <v>30</v>
      </c>
    </row>
    <row r="1159" spans="1:15" x14ac:dyDescent="0.25">
      <c r="A1159" s="18" t="s">
        <v>7276</v>
      </c>
      <c r="B1159" s="18" t="s">
        <v>5429</v>
      </c>
      <c r="C1159" s="18" t="s">
        <v>5430</v>
      </c>
      <c r="D1159" s="18" t="s">
        <v>916</v>
      </c>
      <c r="E1159" s="18" t="s">
        <v>7469</v>
      </c>
      <c r="F1159" s="2">
        <f>+J1159-I1159</f>
        <v>1</v>
      </c>
      <c r="G1159" s="2">
        <f ca="1">+TODAY()-I1159</f>
        <v>2</v>
      </c>
      <c r="H1159" s="15">
        <v>158671</v>
      </c>
      <c r="I1159" s="1">
        <v>46118</v>
      </c>
      <c r="J1159" s="1">
        <v>46119</v>
      </c>
      <c r="K1159" s="18" t="s">
        <v>918</v>
      </c>
      <c r="L1159" s="18" t="s">
        <v>312</v>
      </c>
      <c r="M1159" s="18" t="s">
        <v>19</v>
      </c>
      <c r="N1159" s="18" t="s">
        <v>5431</v>
      </c>
      <c r="O1159">
        <v>1</v>
      </c>
    </row>
    <row r="1160" spans="1:15" x14ac:dyDescent="0.25">
      <c r="A1160" s="18" t="s">
        <v>7276</v>
      </c>
      <c r="B1160" s="18" t="s">
        <v>5429</v>
      </c>
      <c r="C1160" s="18" t="s">
        <v>5430</v>
      </c>
      <c r="D1160" s="18" t="s">
        <v>916</v>
      </c>
      <c r="E1160" s="18" t="s">
        <v>7470</v>
      </c>
      <c r="F1160" s="2">
        <f>+J1160-I1160</f>
        <v>1</v>
      </c>
      <c r="G1160" s="2">
        <f ca="1">+TODAY()-I1160</f>
        <v>2</v>
      </c>
      <c r="H1160" s="15">
        <v>118400</v>
      </c>
      <c r="I1160" s="1">
        <v>46118</v>
      </c>
      <c r="J1160" s="1">
        <v>46119</v>
      </c>
      <c r="K1160" s="18" t="s">
        <v>918</v>
      </c>
      <c r="L1160" s="18" t="s">
        <v>312</v>
      </c>
      <c r="M1160" s="18" t="s">
        <v>19</v>
      </c>
      <c r="N1160" s="18" t="s">
        <v>5431</v>
      </c>
      <c r="O1160">
        <v>1</v>
      </c>
    </row>
    <row r="1161" spans="1:15" x14ac:dyDescent="0.25">
      <c r="A1161" s="18" t="s">
        <v>7276</v>
      </c>
      <c r="B1161" s="18" t="s">
        <v>5429</v>
      </c>
      <c r="C1161" s="18" t="s">
        <v>5430</v>
      </c>
      <c r="D1161" s="18" t="s">
        <v>916</v>
      </c>
      <c r="E1161" s="18" t="s">
        <v>7775</v>
      </c>
      <c r="F1161" s="2">
        <f>+J1161-I1161</f>
        <v>1</v>
      </c>
      <c r="G1161" s="2">
        <f ca="1">+TODAY()-I1161</f>
        <v>1</v>
      </c>
      <c r="H1161" s="15">
        <v>286372</v>
      </c>
      <c r="I1161" s="1">
        <v>46119</v>
      </c>
      <c r="J1161" s="1">
        <v>46120</v>
      </c>
      <c r="K1161" s="18" t="s">
        <v>918</v>
      </c>
      <c r="L1161" s="18" t="s">
        <v>312</v>
      </c>
      <c r="M1161" s="18" t="s">
        <v>19</v>
      </c>
      <c r="N1161" s="18" t="s">
        <v>5431</v>
      </c>
      <c r="O1161">
        <v>1</v>
      </c>
    </row>
    <row r="1162" spans="1:15" x14ac:dyDescent="0.25">
      <c r="A1162" s="18" t="s">
        <v>7276</v>
      </c>
      <c r="B1162" s="18" t="s">
        <v>58</v>
      </c>
      <c r="C1162" s="18" t="s">
        <v>59</v>
      </c>
      <c r="D1162" s="18" t="s">
        <v>46</v>
      </c>
      <c r="E1162" s="18" t="s">
        <v>1989</v>
      </c>
      <c r="F1162" s="2">
        <f>+J1162-I1162</f>
        <v>30</v>
      </c>
      <c r="G1162" s="2">
        <f ca="1">+TODAY()-I1162</f>
        <v>208</v>
      </c>
      <c r="H1162" s="15">
        <v>90000</v>
      </c>
      <c r="I1162" s="1">
        <v>45912</v>
      </c>
      <c r="J1162" s="1">
        <v>45942</v>
      </c>
      <c r="K1162" s="18" t="s">
        <v>17</v>
      </c>
      <c r="L1162" s="18" t="s">
        <v>212</v>
      </c>
      <c r="M1162" s="18" t="s">
        <v>19</v>
      </c>
      <c r="N1162" s="18" t="s">
        <v>60</v>
      </c>
      <c r="O1162">
        <v>15</v>
      </c>
    </row>
    <row r="1163" spans="1:15" x14ac:dyDescent="0.25">
      <c r="A1163" s="18" t="s">
        <v>7276</v>
      </c>
      <c r="B1163" s="18" t="s">
        <v>1760</v>
      </c>
      <c r="C1163" s="18" t="s">
        <v>1761</v>
      </c>
      <c r="D1163" s="18" t="s">
        <v>1762</v>
      </c>
      <c r="E1163" s="18" t="s">
        <v>5357</v>
      </c>
      <c r="F1163" s="2">
        <f>+J1163-I1163</f>
        <v>30</v>
      </c>
      <c r="G1163" s="2">
        <f ca="1">+TODAY()-I1163</f>
        <v>42</v>
      </c>
      <c r="H1163" s="15">
        <v>485770</v>
      </c>
      <c r="I1163" s="1">
        <v>46078</v>
      </c>
      <c r="J1163" s="1">
        <v>46108</v>
      </c>
      <c r="K1163" s="18" t="s">
        <v>1758</v>
      </c>
      <c r="L1163" s="18" t="s">
        <v>207</v>
      </c>
      <c r="M1163" s="18" t="s">
        <v>19</v>
      </c>
      <c r="N1163" s="18" t="s">
        <v>1763</v>
      </c>
      <c r="O1163">
        <v>30</v>
      </c>
    </row>
    <row r="1164" spans="1:15" x14ac:dyDescent="0.25">
      <c r="A1164" s="18" t="s">
        <v>7276</v>
      </c>
      <c r="B1164" s="18" t="s">
        <v>1760</v>
      </c>
      <c r="C1164" s="18" t="s">
        <v>1761</v>
      </c>
      <c r="D1164" s="18" t="s">
        <v>1762</v>
      </c>
      <c r="E1164" s="18" t="s">
        <v>5499</v>
      </c>
      <c r="F1164" s="2">
        <f>+J1164-I1164</f>
        <v>30</v>
      </c>
      <c r="G1164" s="2">
        <f ca="1">+TODAY()-I1164</f>
        <v>35</v>
      </c>
      <c r="H1164" s="15">
        <v>603451</v>
      </c>
      <c r="I1164" s="1">
        <v>46085</v>
      </c>
      <c r="J1164" s="1">
        <v>46115</v>
      </c>
      <c r="K1164" s="18" t="s">
        <v>1758</v>
      </c>
      <c r="L1164" s="18" t="s">
        <v>207</v>
      </c>
      <c r="M1164" s="18" t="s">
        <v>19</v>
      </c>
      <c r="N1164" s="18" t="s">
        <v>1763</v>
      </c>
      <c r="O1164">
        <v>30</v>
      </c>
    </row>
    <row r="1165" spans="1:15" x14ac:dyDescent="0.25">
      <c r="A1165" s="18" t="s">
        <v>7276</v>
      </c>
      <c r="B1165" s="18" t="s">
        <v>1760</v>
      </c>
      <c r="C1165" s="18" t="s">
        <v>1761</v>
      </c>
      <c r="D1165" s="18" t="s">
        <v>1762</v>
      </c>
      <c r="E1165" s="18" t="s">
        <v>5850</v>
      </c>
      <c r="F1165" s="2">
        <f>+J1165-I1165</f>
        <v>30</v>
      </c>
      <c r="G1165" s="2">
        <f ca="1">+TODAY()-I1165</f>
        <v>28</v>
      </c>
      <c r="H1165" s="15">
        <v>60225</v>
      </c>
      <c r="I1165" s="1">
        <v>46092</v>
      </c>
      <c r="J1165" s="1">
        <v>46122</v>
      </c>
      <c r="K1165" s="18" t="s">
        <v>1758</v>
      </c>
      <c r="L1165" s="18" t="s">
        <v>207</v>
      </c>
      <c r="M1165" s="18" t="s">
        <v>19</v>
      </c>
      <c r="N1165" s="18" t="s">
        <v>1763</v>
      </c>
      <c r="O1165">
        <v>30</v>
      </c>
    </row>
    <row r="1166" spans="1:15" x14ac:dyDescent="0.25">
      <c r="A1166" s="18" t="s">
        <v>7276</v>
      </c>
      <c r="B1166" s="18" t="s">
        <v>1760</v>
      </c>
      <c r="C1166" s="18" t="s">
        <v>1761</v>
      </c>
      <c r="D1166" s="18" t="s">
        <v>1762</v>
      </c>
      <c r="E1166" s="18" t="s">
        <v>6369</v>
      </c>
      <c r="F1166" s="2">
        <f>+J1166-I1166</f>
        <v>30</v>
      </c>
      <c r="G1166" s="2">
        <f ca="1">+TODAY()-I1166</f>
        <v>20</v>
      </c>
      <c r="H1166" s="15">
        <v>381593</v>
      </c>
      <c r="I1166" s="1">
        <v>46100</v>
      </c>
      <c r="J1166" s="1">
        <v>46130</v>
      </c>
      <c r="K1166" s="18" t="s">
        <v>1758</v>
      </c>
      <c r="L1166" s="18" t="s">
        <v>207</v>
      </c>
      <c r="M1166" s="18" t="s">
        <v>19</v>
      </c>
      <c r="N1166" s="18" t="s">
        <v>1763</v>
      </c>
      <c r="O1166">
        <v>30</v>
      </c>
    </row>
    <row r="1167" spans="1:15" x14ac:dyDescent="0.25">
      <c r="A1167" s="18" t="s">
        <v>7276</v>
      </c>
      <c r="B1167" s="18" t="s">
        <v>1760</v>
      </c>
      <c r="C1167" s="18" t="s">
        <v>1761</v>
      </c>
      <c r="D1167" s="18" t="s">
        <v>1762</v>
      </c>
      <c r="E1167" s="18" t="s">
        <v>7613</v>
      </c>
      <c r="F1167" s="2">
        <f>+J1167-I1167</f>
        <v>30</v>
      </c>
      <c r="G1167" s="2">
        <f ca="1">+TODAY()-I1167</f>
        <v>7</v>
      </c>
      <c r="H1167" s="15">
        <v>999879</v>
      </c>
      <c r="I1167" s="1">
        <v>46113</v>
      </c>
      <c r="J1167" s="1">
        <v>46143</v>
      </c>
      <c r="K1167" s="18" t="s">
        <v>1758</v>
      </c>
      <c r="L1167" s="18" t="s">
        <v>207</v>
      </c>
      <c r="M1167" s="18" t="s">
        <v>19</v>
      </c>
      <c r="N1167" s="18" t="s">
        <v>1763</v>
      </c>
      <c r="O1167">
        <v>30</v>
      </c>
    </row>
    <row r="1168" spans="1:15" x14ac:dyDescent="0.25">
      <c r="A1168" s="18" t="s">
        <v>7276</v>
      </c>
      <c r="B1168" s="18" t="s">
        <v>852</v>
      </c>
      <c r="C1168" s="18" t="s">
        <v>853</v>
      </c>
      <c r="D1168" s="18" t="s">
        <v>854</v>
      </c>
      <c r="E1168" s="18" t="s">
        <v>855</v>
      </c>
      <c r="F1168" s="2">
        <f>+J1168-I1168</f>
        <v>30</v>
      </c>
      <c r="G1168" s="2">
        <f ca="1">+TODAY()-I1168</f>
        <v>636</v>
      </c>
      <c r="H1168" s="15">
        <v>100000</v>
      </c>
      <c r="I1168" s="1">
        <v>45484</v>
      </c>
      <c r="J1168" s="1">
        <v>45514</v>
      </c>
      <c r="K1168" s="18" t="s">
        <v>845</v>
      </c>
      <c r="L1168" s="18" t="s">
        <v>18</v>
      </c>
      <c r="M1168" s="18" t="s">
        <v>19</v>
      </c>
      <c r="N1168" s="18" t="s">
        <v>856</v>
      </c>
      <c r="O1168">
        <v>1</v>
      </c>
    </row>
    <row r="1169" spans="1:15" x14ac:dyDescent="0.25">
      <c r="A1169" s="18" t="s">
        <v>7276</v>
      </c>
      <c r="B1169" s="18" t="s">
        <v>4939</v>
      </c>
      <c r="C1169" s="18" t="s">
        <v>4940</v>
      </c>
      <c r="D1169" s="18" t="s">
        <v>1066</v>
      </c>
      <c r="E1169" s="18" t="s">
        <v>7510</v>
      </c>
      <c r="F1169" s="2">
        <f>+J1169-I1169</f>
        <v>1</v>
      </c>
      <c r="G1169" s="2">
        <f ca="1">+TODAY()-I1169</f>
        <v>2</v>
      </c>
      <c r="H1169" s="15">
        <v>44578</v>
      </c>
      <c r="I1169" s="1">
        <v>46118</v>
      </c>
      <c r="J1169" s="1">
        <v>46119</v>
      </c>
      <c r="K1169" s="18" t="s">
        <v>1068</v>
      </c>
      <c r="L1169" s="18" t="s">
        <v>321</v>
      </c>
      <c r="M1169" s="18" t="s">
        <v>19</v>
      </c>
      <c r="N1169" s="18" t="s">
        <v>4942</v>
      </c>
      <c r="O1169">
        <v>1</v>
      </c>
    </row>
    <row r="1170" spans="1:15" x14ac:dyDescent="0.25">
      <c r="A1170" s="18" t="s">
        <v>7276</v>
      </c>
      <c r="B1170" s="18" t="s">
        <v>7445</v>
      </c>
      <c r="C1170" s="18" t="s">
        <v>7446</v>
      </c>
      <c r="D1170" s="18" t="s">
        <v>15</v>
      </c>
      <c r="E1170" s="18" t="s">
        <v>7447</v>
      </c>
      <c r="F1170" s="2">
        <f>+J1170-I1170</f>
        <v>1</v>
      </c>
      <c r="G1170" s="2">
        <f ca="1">+TODAY()-I1170</f>
        <v>1</v>
      </c>
      <c r="H1170" s="15">
        <v>189561</v>
      </c>
      <c r="I1170" s="1">
        <v>46119</v>
      </c>
      <c r="J1170" s="1">
        <v>46120</v>
      </c>
      <c r="K1170" s="18" t="s">
        <v>17</v>
      </c>
      <c r="L1170" s="18" t="s">
        <v>317</v>
      </c>
      <c r="M1170" s="18" t="s">
        <v>19</v>
      </c>
      <c r="N1170" s="18" t="s">
        <v>7448</v>
      </c>
      <c r="O1170">
        <v>30</v>
      </c>
    </row>
    <row r="1171" spans="1:15" x14ac:dyDescent="0.25">
      <c r="A1171" s="18" t="s">
        <v>7276</v>
      </c>
      <c r="B1171" s="18" t="s">
        <v>7441</v>
      </c>
      <c r="C1171" s="18" t="s">
        <v>7442</v>
      </c>
      <c r="D1171" s="18" t="s">
        <v>15</v>
      </c>
      <c r="E1171" s="18" t="s">
        <v>7443</v>
      </c>
      <c r="F1171" s="2">
        <f>+J1171-I1171</f>
        <v>15</v>
      </c>
      <c r="G1171" s="2">
        <f ca="1">+TODAY()-I1171</f>
        <v>1</v>
      </c>
      <c r="H1171" s="15">
        <v>469402</v>
      </c>
      <c r="I1171" s="1">
        <v>46119</v>
      </c>
      <c r="J1171" s="1">
        <v>46134</v>
      </c>
      <c r="K1171" s="18" t="s">
        <v>17</v>
      </c>
      <c r="L1171" s="18" t="s">
        <v>317</v>
      </c>
      <c r="M1171" s="18" t="s">
        <v>19</v>
      </c>
      <c r="N1171" s="18" t="s">
        <v>7444</v>
      </c>
      <c r="O1171">
        <v>30</v>
      </c>
    </row>
    <row r="1172" spans="1:15" x14ac:dyDescent="0.25">
      <c r="A1172" s="18" t="s">
        <v>7276</v>
      </c>
      <c r="B1172" s="18" t="s">
        <v>949</v>
      </c>
      <c r="C1172" s="18" t="s">
        <v>950</v>
      </c>
      <c r="D1172" s="18" t="s">
        <v>916</v>
      </c>
      <c r="E1172" s="18" t="s">
        <v>6479</v>
      </c>
      <c r="F1172" s="2">
        <f>+J1172-I1172</f>
        <v>15</v>
      </c>
      <c r="G1172" s="2">
        <f ca="1">+TODAY()-I1172</f>
        <v>15</v>
      </c>
      <c r="H1172" s="15">
        <v>282897</v>
      </c>
      <c r="I1172" s="1">
        <v>46105</v>
      </c>
      <c r="J1172" s="1">
        <v>46120</v>
      </c>
      <c r="K1172" s="18" t="s">
        <v>918</v>
      </c>
      <c r="L1172" s="18" t="s">
        <v>312</v>
      </c>
      <c r="M1172" s="18" t="s">
        <v>19</v>
      </c>
      <c r="N1172" s="18" t="s">
        <v>951</v>
      </c>
      <c r="O1172">
        <v>30</v>
      </c>
    </row>
    <row r="1173" spans="1:15" x14ac:dyDescent="0.25">
      <c r="A1173" s="18" t="s">
        <v>7276</v>
      </c>
      <c r="B1173" s="18" t="s">
        <v>949</v>
      </c>
      <c r="C1173" s="18" t="s">
        <v>950</v>
      </c>
      <c r="D1173" s="18" t="s">
        <v>916</v>
      </c>
      <c r="E1173" s="18" t="s">
        <v>7754</v>
      </c>
      <c r="F1173" s="2">
        <f>+J1173-I1173</f>
        <v>15</v>
      </c>
      <c r="G1173" s="2">
        <f ca="1">+TODAY()-I1173</f>
        <v>1</v>
      </c>
      <c r="H1173" s="15">
        <v>67058</v>
      </c>
      <c r="I1173" s="1">
        <v>46119</v>
      </c>
      <c r="J1173" s="1">
        <v>46134</v>
      </c>
      <c r="K1173" s="18" t="s">
        <v>918</v>
      </c>
      <c r="L1173" s="18" t="s">
        <v>312</v>
      </c>
      <c r="M1173" s="18" t="s">
        <v>19</v>
      </c>
      <c r="N1173" s="18" t="s">
        <v>951</v>
      </c>
      <c r="O1173">
        <v>30</v>
      </c>
    </row>
    <row r="1174" spans="1:15" x14ac:dyDescent="0.25">
      <c r="A1174" s="18" t="s">
        <v>7276</v>
      </c>
      <c r="B1174" s="18" t="s">
        <v>949</v>
      </c>
      <c r="C1174" s="18" t="s">
        <v>950</v>
      </c>
      <c r="D1174" s="18" t="s">
        <v>916</v>
      </c>
      <c r="E1174" s="18" t="s">
        <v>7763</v>
      </c>
      <c r="F1174" s="2">
        <f>+J1174-I1174</f>
        <v>15</v>
      </c>
      <c r="G1174" s="2">
        <f ca="1">+TODAY()-I1174</f>
        <v>1</v>
      </c>
      <c r="H1174" s="15">
        <v>93000</v>
      </c>
      <c r="I1174" s="1">
        <v>46119</v>
      </c>
      <c r="J1174" s="1">
        <v>46134</v>
      </c>
      <c r="K1174" s="18" t="s">
        <v>918</v>
      </c>
      <c r="L1174" s="18" t="s">
        <v>312</v>
      </c>
      <c r="M1174" s="18" t="s">
        <v>19</v>
      </c>
      <c r="N1174" s="18" t="s">
        <v>951</v>
      </c>
      <c r="O1174">
        <v>30</v>
      </c>
    </row>
    <row r="1175" spans="1:15" x14ac:dyDescent="0.25">
      <c r="A1175" s="18" t="s">
        <v>7276</v>
      </c>
      <c r="B1175" s="18" t="s">
        <v>949</v>
      </c>
      <c r="C1175" s="18" t="s">
        <v>950</v>
      </c>
      <c r="D1175" s="18" t="s">
        <v>916</v>
      </c>
      <c r="E1175" s="18" t="s">
        <v>7781</v>
      </c>
      <c r="F1175" s="2">
        <f>+J1175-I1175</f>
        <v>15</v>
      </c>
      <c r="G1175" s="2">
        <f ca="1">+TODAY()-I1175</f>
        <v>1</v>
      </c>
      <c r="H1175" s="15">
        <v>412000</v>
      </c>
      <c r="I1175" s="1">
        <v>46119</v>
      </c>
      <c r="J1175" s="1">
        <v>46134</v>
      </c>
      <c r="K1175" s="18" t="s">
        <v>918</v>
      </c>
      <c r="L1175" s="18" t="s">
        <v>312</v>
      </c>
      <c r="M1175" s="18" t="s">
        <v>19</v>
      </c>
      <c r="N1175" s="18" t="s">
        <v>951</v>
      </c>
      <c r="O1175">
        <v>30</v>
      </c>
    </row>
    <row r="1176" spans="1:15" x14ac:dyDescent="0.25">
      <c r="A1176" s="18" t="s">
        <v>7276</v>
      </c>
      <c r="B1176" s="18" t="s">
        <v>4877</v>
      </c>
      <c r="C1176" s="18" t="s">
        <v>4878</v>
      </c>
      <c r="D1176" s="18" t="s">
        <v>916</v>
      </c>
      <c r="E1176" s="18" t="s">
        <v>7782</v>
      </c>
      <c r="F1176" s="2">
        <f>+J1176-I1176</f>
        <v>1</v>
      </c>
      <c r="G1176" s="2">
        <f ca="1">+TODAY()-I1176</f>
        <v>1</v>
      </c>
      <c r="H1176" s="15">
        <v>40460</v>
      </c>
      <c r="I1176" s="1">
        <v>46119</v>
      </c>
      <c r="J1176" s="1">
        <v>46120</v>
      </c>
      <c r="K1176" s="18" t="s">
        <v>918</v>
      </c>
      <c r="L1176" s="18" t="s">
        <v>312</v>
      </c>
      <c r="M1176" s="18" t="s">
        <v>19</v>
      </c>
      <c r="N1176" s="18" t="s">
        <v>4880</v>
      </c>
      <c r="O1176">
        <v>1</v>
      </c>
    </row>
    <row r="1177" spans="1:15" x14ac:dyDescent="0.25">
      <c r="A1177" s="18" t="s">
        <v>7276</v>
      </c>
      <c r="B1177" s="18" t="s">
        <v>4648</v>
      </c>
      <c r="C1177" s="18" t="s">
        <v>4649</v>
      </c>
      <c r="D1177" s="18" t="s">
        <v>1514</v>
      </c>
      <c r="E1177" s="18" t="s">
        <v>5138</v>
      </c>
      <c r="F1177" s="2">
        <f>+J1177-I1177</f>
        <v>30</v>
      </c>
      <c r="G1177" s="2">
        <f ca="1">+TODAY()-I1177</f>
        <v>48</v>
      </c>
      <c r="H1177" s="15">
        <v>515995</v>
      </c>
      <c r="I1177" s="1">
        <v>46072</v>
      </c>
      <c r="J1177" s="1">
        <v>46102</v>
      </c>
      <c r="K1177" s="18" t="s">
        <v>1515</v>
      </c>
      <c r="L1177" s="18" t="s">
        <v>984</v>
      </c>
      <c r="M1177" s="18" t="s">
        <v>19</v>
      </c>
      <c r="N1177" s="18" t="s">
        <v>4651</v>
      </c>
      <c r="O1177">
        <v>30</v>
      </c>
    </row>
    <row r="1178" spans="1:15" x14ac:dyDescent="0.25">
      <c r="A1178" s="18" t="s">
        <v>7276</v>
      </c>
      <c r="B1178" s="18" t="s">
        <v>4648</v>
      </c>
      <c r="C1178" s="18" t="s">
        <v>4649</v>
      </c>
      <c r="D1178" s="18" t="s">
        <v>1514</v>
      </c>
      <c r="E1178" s="18" t="s">
        <v>5577</v>
      </c>
      <c r="F1178" s="2">
        <f>+J1178-I1178</f>
        <v>30</v>
      </c>
      <c r="G1178" s="2">
        <f ca="1">+TODAY()-I1178</f>
        <v>33</v>
      </c>
      <c r="H1178" s="15">
        <v>985557</v>
      </c>
      <c r="I1178" s="1">
        <v>46087</v>
      </c>
      <c r="J1178" s="1">
        <v>46117</v>
      </c>
      <c r="K1178" s="18" t="s">
        <v>1515</v>
      </c>
      <c r="L1178" s="18" t="s">
        <v>984</v>
      </c>
      <c r="M1178" s="18" t="s">
        <v>19</v>
      </c>
      <c r="N1178" s="18" t="s">
        <v>4651</v>
      </c>
      <c r="O1178">
        <v>30</v>
      </c>
    </row>
    <row r="1179" spans="1:15" x14ac:dyDescent="0.25">
      <c r="A1179" s="18" t="s">
        <v>7276</v>
      </c>
      <c r="B1179" s="18" t="s">
        <v>4648</v>
      </c>
      <c r="C1179" s="18" t="s">
        <v>4649</v>
      </c>
      <c r="D1179" s="18" t="s">
        <v>1514</v>
      </c>
      <c r="E1179" s="18" t="s">
        <v>6347</v>
      </c>
      <c r="F1179" s="2">
        <f>+J1179-I1179</f>
        <v>30</v>
      </c>
      <c r="G1179" s="2">
        <f ca="1">+TODAY()-I1179</f>
        <v>21</v>
      </c>
      <c r="H1179" s="15">
        <v>701715</v>
      </c>
      <c r="I1179" s="1">
        <v>46099</v>
      </c>
      <c r="J1179" s="1">
        <v>46129</v>
      </c>
      <c r="K1179" s="18" t="s">
        <v>1515</v>
      </c>
      <c r="L1179" s="18" t="s">
        <v>984</v>
      </c>
      <c r="M1179" s="18" t="s">
        <v>19</v>
      </c>
      <c r="N1179" s="18" t="s">
        <v>4651</v>
      </c>
      <c r="O1179">
        <v>30</v>
      </c>
    </row>
    <row r="1180" spans="1:15" x14ac:dyDescent="0.25">
      <c r="A1180" s="18" t="s">
        <v>7276</v>
      </c>
      <c r="B1180" s="18" t="s">
        <v>4648</v>
      </c>
      <c r="C1180" s="18" t="s">
        <v>4649</v>
      </c>
      <c r="D1180" s="18" t="s">
        <v>1514</v>
      </c>
      <c r="E1180" s="18" t="s">
        <v>7220</v>
      </c>
      <c r="F1180" s="2">
        <f>+J1180-I1180</f>
        <v>30</v>
      </c>
      <c r="G1180" s="2">
        <f ca="1">+TODAY()-I1180</f>
        <v>8</v>
      </c>
      <c r="H1180" s="15">
        <v>40900</v>
      </c>
      <c r="I1180" s="1">
        <v>46112</v>
      </c>
      <c r="J1180" s="1">
        <v>46142</v>
      </c>
      <c r="K1180" s="18" t="s">
        <v>1515</v>
      </c>
      <c r="L1180" s="18" t="s">
        <v>984</v>
      </c>
      <c r="M1180" s="18" t="s">
        <v>19</v>
      </c>
      <c r="N1180" s="18" t="s">
        <v>4651</v>
      </c>
      <c r="O1180">
        <v>30</v>
      </c>
    </row>
    <row r="1181" spans="1:15" x14ac:dyDescent="0.25">
      <c r="A1181" s="18" t="s">
        <v>7276</v>
      </c>
      <c r="B1181" s="18" t="s">
        <v>2213</v>
      </c>
      <c r="C1181" s="18" t="s">
        <v>2214</v>
      </c>
      <c r="D1181" s="18" t="s">
        <v>1401</v>
      </c>
      <c r="E1181" s="18" t="s">
        <v>6179</v>
      </c>
      <c r="F1181" s="2">
        <f>+J1181-I1181</f>
        <v>30</v>
      </c>
      <c r="G1181" s="2">
        <f ca="1">+TODAY()-I1181</f>
        <v>20</v>
      </c>
      <c r="H1181" s="15">
        <v>1099557</v>
      </c>
      <c r="I1181" s="1">
        <v>46100</v>
      </c>
      <c r="J1181" s="1">
        <v>46130</v>
      </c>
      <c r="K1181" s="18" t="s">
        <v>17</v>
      </c>
      <c r="L1181" s="18" t="s">
        <v>90</v>
      </c>
      <c r="M1181" s="18" t="s">
        <v>19</v>
      </c>
      <c r="N1181" s="18" t="s">
        <v>2215</v>
      </c>
      <c r="O1181">
        <v>30</v>
      </c>
    </row>
    <row r="1182" spans="1:15" x14ac:dyDescent="0.25">
      <c r="A1182" s="18" t="s">
        <v>7276</v>
      </c>
      <c r="B1182" s="18" t="s">
        <v>2133</v>
      </c>
      <c r="C1182" s="18" t="s">
        <v>2134</v>
      </c>
      <c r="D1182" s="18" t="s">
        <v>994</v>
      </c>
      <c r="E1182" s="18" t="s">
        <v>5102</v>
      </c>
      <c r="F1182" s="2">
        <f>+J1182-I1182</f>
        <v>30</v>
      </c>
      <c r="G1182" s="2">
        <f ca="1">+TODAY()-I1182</f>
        <v>48</v>
      </c>
      <c r="H1182" s="15">
        <v>241699</v>
      </c>
      <c r="I1182" s="1">
        <v>46072</v>
      </c>
      <c r="J1182" s="1">
        <v>46102</v>
      </c>
      <c r="K1182" s="18" t="s">
        <v>989</v>
      </c>
      <c r="L1182" s="18" t="s">
        <v>18</v>
      </c>
      <c r="M1182" s="18" t="s">
        <v>19</v>
      </c>
      <c r="N1182" s="18" t="s">
        <v>2135</v>
      </c>
      <c r="O1182">
        <v>30</v>
      </c>
    </row>
    <row r="1183" spans="1:15" x14ac:dyDescent="0.25">
      <c r="A1183" s="18" t="s">
        <v>7276</v>
      </c>
      <c r="B1183" s="18" t="s">
        <v>842</v>
      </c>
      <c r="C1183" s="18" t="s">
        <v>843</v>
      </c>
      <c r="D1183" s="18" t="s">
        <v>844</v>
      </c>
      <c r="E1183" s="18" t="s">
        <v>848</v>
      </c>
      <c r="F1183" s="2">
        <f>+J1183-I1183</f>
        <v>30</v>
      </c>
      <c r="G1183" s="2">
        <f ca="1">+TODAY()-I1183</f>
        <v>817</v>
      </c>
      <c r="H1183" s="15">
        <v>536254</v>
      </c>
      <c r="I1183" s="1">
        <v>45303</v>
      </c>
      <c r="J1183" s="1">
        <v>45333</v>
      </c>
      <c r="K1183" s="18" t="s">
        <v>845</v>
      </c>
      <c r="L1183" s="18" t="s">
        <v>18</v>
      </c>
      <c r="M1183" s="18" t="s">
        <v>19</v>
      </c>
      <c r="N1183" s="18" t="s">
        <v>846</v>
      </c>
      <c r="O1183">
        <v>30</v>
      </c>
    </row>
    <row r="1184" spans="1:15" x14ac:dyDescent="0.25">
      <c r="A1184" s="18" t="s">
        <v>7276</v>
      </c>
      <c r="B1184" s="18" t="s">
        <v>842</v>
      </c>
      <c r="C1184" s="18" t="s">
        <v>843</v>
      </c>
      <c r="D1184" s="18" t="s">
        <v>844</v>
      </c>
      <c r="E1184" s="18" t="s">
        <v>849</v>
      </c>
      <c r="F1184" s="2">
        <f>+J1184-I1184</f>
        <v>30</v>
      </c>
      <c r="G1184" s="2">
        <f ca="1">+TODAY()-I1184</f>
        <v>817</v>
      </c>
      <c r="H1184" s="15">
        <v>994782</v>
      </c>
      <c r="I1184" s="1">
        <v>45303</v>
      </c>
      <c r="J1184" s="1">
        <v>45333</v>
      </c>
      <c r="K1184" s="18" t="s">
        <v>845</v>
      </c>
      <c r="L1184" s="18" t="s">
        <v>18</v>
      </c>
      <c r="M1184" s="18" t="s">
        <v>19</v>
      </c>
      <c r="N1184" s="18" t="s">
        <v>846</v>
      </c>
      <c r="O1184">
        <v>30</v>
      </c>
    </row>
    <row r="1185" spans="1:15" x14ac:dyDescent="0.25">
      <c r="A1185" s="18" t="s">
        <v>7276</v>
      </c>
      <c r="B1185" s="18" t="s">
        <v>842</v>
      </c>
      <c r="C1185" s="18" t="s">
        <v>843</v>
      </c>
      <c r="D1185" s="18" t="s">
        <v>844</v>
      </c>
      <c r="E1185" s="18" t="s">
        <v>850</v>
      </c>
      <c r="F1185" s="2">
        <f>+J1185-I1185</f>
        <v>15</v>
      </c>
      <c r="G1185" s="2">
        <f ca="1">+TODAY()-I1185</f>
        <v>803</v>
      </c>
      <c r="H1185" s="15">
        <v>840999</v>
      </c>
      <c r="I1185" s="1">
        <v>45317</v>
      </c>
      <c r="J1185" s="1">
        <v>45332</v>
      </c>
      <c r="K1185" s="18" t="s">
        <v>845</v>
      </c>
      <c r="L1185" s="18" t="s">
        <v>18</v>
      </c>
      <c r="M1185" s="18" t="s">
        <v>19</v>
      </c>
      <c r="N1185" s="18" t="s">
        <v>846</v>
      </c>
      <c r="O1185">
        <v>30</v>
      </c>
    </row>
    <row r="1186" spans="1:15" x14ac:dyDescent="0.25">
      <c r="A1186" s="18" t="s">
        <v>7276</v>
      </c>
      <c r="B1186" s="18" t="s">
        <v>842</v>
      </c>
      <c r="C1186" s="18" t="s">
        <v>843</v>
      </c>
      <c r="D1186" s="18" t="s">
        <v>844</v>
      </c>
      <c r="E1186" s="18" t="s">
        <v>851</v>
      </c>
      <c r="F1186" s="2">
        <f>+J1186-I1186</f>
        <v>30</v>
      </c>
      <c r="G1186" s="2">
        <f ca="1">+TODAY()-I1186</f>
        <v>803</v>
      </c>
      <c r="H1186" s="15">
        <v>4437369</v>
      </c>
      <c r="I1186" s="1">
        <v>45317</v>
      </c>
      <c r="J1186" s="1">
        <v>45347</v>
      </c>
      <c r="K1186" s="18" t="s">
        <v>845</v>
      </c>
      <c r="L1186" s="18" t="s">
        <v>18</v>
      </c>
      <c r="M1186" s="18" t="s">
        <v>19</v>
      </c>
      <c r="N1186" s="18" t="s">
        <v>846</v>
      </c>
      <c r="O1186">
        <v>30</v>
      </c>
    </row>
    <row r="1187" spans="1:15" x14ac:dyDescent="0.25">
      <c r="A1187" s="18" t="s">
        <v>7276</v>
      </c>
      <c r="B1187" s="18" t="s">
        <v>153</v>
      </c>
      <c r="C1187" s="18" t="s">
        <v>154</v>
      </c>
      <c r="D1187" s="18" t="s">
        <v>15</v>
      </c>
      <c r="E1187" s="18" t="s">
        <v>5395</v>
      </c>
      <c r="F1187" s="2">
        <f>+J1187-I1187</f>
        <v>30</v>
      </c>
      <c r="G1187" s="2">
        <f ca="1">+TODAY()-I1187</f>
        <v>35</v>
      </c>
      <c r="H1187" s="15">
        <v>542051</v>
      </c>
      <c r="I1187" s="1">
        <v>46085</v>
      </c>
      <c r="J1187" s="1">
        <v>46115</v>
      </c>
      <c r="K1187" s="18" t="s">
        <v>17</v>
      </c>
      <c r="L1187" s="18" t="s">
        <v>32</v>
      </c>
      <c r="M1187" s="18" t="s">
        <v>19</v>
      </c>
      <c r="N1187" s="18" t="s">
        <v>155</v>
      </c>
      <c r="O1187">
        <v>30</v>
      </c>
    </row>
    <row r="1188" spans="1:15" x14ac:dyDescent="0.25">
      <c r="A1188" s="18" t="s">
        <v>7276</v>
      </c>
      <c r="B1188" s="18" t="s">
        <v>153</v>
      </c>
      <c r="C1188" s="18" t="s">
        <v>154</v>
      </c>
      <c r="D1188" s="18" t="s">
        <v>15</v>
      </c>
      <c r="E1188" s="18" t="s">
        <v>5871</v>
      </c>
      <c r="F1188" s="2">
        <f>+J1188-I1188</f>
        <v>30</v>
      </c>
      <c r="G1188" s="2">
        <f ca="1">+TODAY()-I1188</f>
        <v>26</v>
      </c>
      <c r="H1188" s="15">
        <v>839912</v>
      </c>
      <c r="I1188" s="1">
        <v>46094</v>
      </c>
      <c r="J1188" s="1">
        <v>46124</v>
      </c>
      <c r="K1188" s="18" t="s">
        <v>17</v>
      </c>
      <c r="L1188" s="18" t="s">
        <v>32</v>
      </c>
      <c r="M1188" s="18" t="s">
        <v>19</v>
      </c>
      <c r="N1188" s="18" t="s">
        <v>155</v>
      </c>
      <c r="O1188">
        <v>30</v>
      </c>
    </row>
    <row r="1189" spans="1:15" x14ac:dyDescent="0.25">
      <c r="A1189" s="18" t="s">
        <v>7276</v>
      </c>
      <c r="B1189" s="18" t="s">
        <v>1530</v>
      </c>
      <c r="C1189" s="18" t="s">
        <v>1531</v>
      </c>
      <c r="D1189" s="18" t="s">
        <v>1532</v>
      </c>
      <c r="E1189" s="18" t="s">
        <v>5309</v>
      </c>
      <c r="F1189" s="2">
        <f>+J1189-I1189</f>
        <v>30</v>
      </c>
      <c r="G1189" s="2">
        <f ca="1">+TODAY()-I1189</f>
        <v>41</v>
      </c>
      <c r="H1189" s="15">
        <v>304540</v>
      </c>
      <c r="I1189" s="1">
        <v>46079</v>
      </c>
      <c r="J1189" s="1">
        <v>46109</v>
      </c>
      <c r="K1189" s="18" t="s">
        <v>1528</v>
      </c>
      <c r="L1189" s="18" t="s">
        <v>207</v>
      </c>
      <c r="M1189" s="18" t="s">
        <v>19</v>
      </c>
      <c r="N1189" s="18" t="s">
        <v>1533</v>
      </c>
      <c r="O1189">
        <v>0</v>
      </c>
    </row>
    <row r="1190" spans="1:15" x14ac:dyDescent="0.25">
      <c r="A1190" s="18" t="s">
        <v>7276</v>
      </c>
      <c r="B1190" s="18" t="s">
        <v>1530</v>
      </c>
      <c r="C1190" s="18" t="s">
        <v>1531</v>
      </c>
      <c r="D1190" s="18" t="s">
        <v>1532</v>
      </c>
      <c r="E1190" s="18" t="s">
        <v>5310</v>
      </c>
      <c r="F1190" s="2">
        <f>+J1190-I1190</f>
        <v>30</v>
      </c>
      <c r="G1190" s="2">
        <f ca="1">+TODAY()-I1190</f>
        <v>41</v>
      </c>
      <c r="H1190" s="15">
        <v>1400485</v>
      </c>
      <c r="I1190" s="1">
        <v>46079</v>
      </c>
      <c r="J1190" s="1">
        <v>46109</v>
      </c>
      <c r="K1190" s="18" t="s">
        <v>1528</v>
      </c>
      <c r="L1190" s="18" t="s">
        <v>207</v>
      </c>
      <c r="M1190" s="18" t="s">
        <v>19</v>
      </c>
      <c r="N1190" s="18" t="s">
        <v>1533</v>
      </c>
      <c r="O1190">
        <v>0</v>
      </c>
    </row>
    <row r="1191" spans="1:15" x14ac:dyDescent="0.25">
      <c r="A1191" s="18" t="s">
        <v>7276</v>
      </c>
      <c r="B1191" s="18" t="s">
        <v>1530</v>
      </c>
      <c r="C1191" s="18" t="s">
        <v>1531</v>
      </c>
      <c r="D1191" s="18" t="s">
        <v>1532</v>
      </c>
      <c r="E1191" s="18" t="s">
        <v>6073</v>
      </c>
      <c r="F1191" s="2">
        <f>+J1191-I1191</f>
        <v>30</v>
      </c>
      <c r="G1191" s="2">
        <f ca="1">+TODAY()-I1191</f>
        <v>27</v>
      </c>
      <c r="H1191" s="15">
        <v>135720</v>
      </c>
      <c r="I1191" s="1">
        <v>46093</v>
      </c>
      <c r="J1191" s="1">
        <v>46123</v>
      </c>
      <c r="K1191" s="18" t="s">
        <v>1528</v>
      </c>
      <c r="L1191" s="18" t="s">
        <v>207</v>
      </c>
      <c r="M1191" s="18" t="s">
        <v>19</v>
      </c>
      <c r="N1191" s="18" t="s">
        <v>1533</v>
      </c>
      <c r="O1191">
        <v>0</v>
      </c>
    </row>
    <row r="1192" spans="1:15" x14ac:dyDescent="0.25">
      <c r="A1192" s="18" t="s">
        <v>7276</v>
      </c>
      <c r="B1192" s="18" t="s">
        <v>1530</v>
      </c>
      <c r="C1192" s="18" t="s">
        <v>1531</v>
      </c>
      <c r="D1192" s="18" t="s">
        <v>1532</v>
      </c>
      <c r="E1192" s="18" t="s">
        <v>6074</v>
      </c>
      <c r="F1192" s="2">
        <f>+J1192-I1192</f>
        <v>30</v>
      </c>
      <c r="G1192" s="2">
        <f ca="1">+TODAY()-I1192</f>
        <v>27</v>
      </c>
      <c r="H1192" s="15">
        <v>1701895</v>
      </c>
      <c r="I1192" s="1">
        <v>46093</v>
      </c>
      <c r="J1192" s="1">
        <v>46123</v>
      </c>
      <c r="K1192" s="18" t="s">
        <v>1528</v>
      </c>
      <c r="L1192" s="18" t="s">
        <v>207</v>
      </c>
      <c r="M1192" s="18" t="s">
        <v>19</v>
      </c>
      <c r="N1192" s="18" t="s">
        <v>1533</v>
      </c>
      <c r="O1192">
        <v>0</v>
      </c>
    </row>
    <row r="1193" spans="1:15" x14ac:dyDescent="0.25">
      <c r="A1193" s="18" t="s">
        <v>7276</v>
      </c>
      <c r="B1193" s="18" t="s">
        <v>1530</v>
      </c>
      <c r="C1193" s="18" t="s">
        <v>1531</v>
      </c>
      <c r="D1193" s="18" t="s">
        <v>1532</v>
      </c>
      <c r="E1193" s="18" t="s">
        <v>6612</v>
      </c>
      <c r="F1193" s="2">
        <f>+J1193-I1193</f>
        <v>30</v>
      </c>
      <c r="G1193" s="2">
        <f ca="1">+TODAY()-I1193</f>
        <v>13</v>
      </c>
      <c r="H1193" s="15">
        <v>100801</v>
      </c>
      <c r="I1193" s="1">
        <v>46107</v>
      </c>
      <c r="J1193" s="1">
        <v>46137</v>
      </c>
      <c r="K1193" s="18" t="s">
        <v>1528</v>
      </c>
      <c r="L1193" s="18" t="s">
        <v>207</v>
      </c>
      <c r="M1193" s="18" t="s">
        <v>19</v>
      </c>
      <c r="N1193" s="18" t="s">
        <v>1533</v>
      </c>
      <c r="O1193">
        <v>0</v>
      </c>
    </row>
    <row r="1194" spans="1:15" x14ac:dyDescent="0.25">
      <c r="A1194" s="18" t="s">
        <v>7276</v>
      </c>
      <c r="B1194" s="18" t="s">
        <v>1530</v>
      </c>
      <c r="C1194" s="18" t="s">
        <v>1531</v>
      </c>
      <c r="D1194" s="18" t="s">
        <v>1532</v>
      </c>
      <c r="E1194" s="18" t="s">
        <v>6613</v>
      </c>
      <c r="F1194" s="2">
        <f>+J1194-I1194</f>
        <v>30</v>
      </c>
      <c r="G1194" s="2">
        <f ca="1">+TODAY()-I1194</f>
        <v>13</v>
      </c>
      <c r="H1194" s="15">
        <v>1579004</v>
      </c>
      <c r="I1194" s="1">
        <v>46107</v>
      </c>
      <c r="J1194" s="1">
        <v>46137</v>
      </c>
      <c r="K1194" s="18" t="s">
        <v>1528</v>
      </c>
      <c r="L1194" s="18" t="s">
        <v>207</v>
      </c>
      <c r="M1194" s="18" t="s">
        <v>19</v>
      </c>
      <c r="N1194" s="18" t="s">
        <v>1533</v>
      </c>
      <c r="O1194">
        <v>0</v>
      </c>
    </row>
    <row r="1195" spans="1:15" x14ac:dyDescent="0.25">
      <c r="A1195" s="18" t="s">
        <v>7276</v>
      </c>
      <c r="B1195" s="18" t="s">
        <v>1530</v>
      </c>
      <c r="C1195" s="18" t="s">
        <v>1531</v>
      </c>
      <c r="D1195" s="18" t="s">
        <v>1532</v>
      </c>
      <c r="E1195" s="18" t="s">
        <v>6079</v>
      </c>
      <c r="F1195" s="2">
        <f>+J1195-I1195</f>
        <v>15</v>
      </c>
      <c r="G1195" s="2">
        <f ca="1">+TODAY()-I1195</f>
        <v>27</v>
      </c>
      <c r="H1195" s="15">
        <v>80010</v>
      </c>
      <c r="I1195" s="1">
        <v>46093</v>
      </c>
      <c r="J1195" s="1">
        <v>46108</v>
      </c>
      <c r="K1195" s="18" t="s">
        <v>1528</v>
      </c>
      <c r="L1195" s="18" t="s">
        <v>312</v>
      </c>
      <c r="M1195" s="18" t="s">
        <v>19</v>
      </c>
      <c r="N1195" s="18" t="s">
        <v>1533</v>
      </c>
      <c r="O1195">
        <v>0</v>
      </c>
    </row>
    <row r="1196" spans="1:15" x14ac:dyDescent="0.25">
      <c r="A1196" s="18" t="s">
        <v>7276</v>
      </c>
      <c r="B1196" s="18" t="s">
        <v>1530</v>
      </c>
      <c r="C1196" s="18" t="s">
        <v>1531</v>
      </c>
      <c r="D1196" s="18" t="s">
        <v>1532</v>
      </c>
      <c r="E1196" s="18" t="s">
        <v>6628</v>
      </c>
      <c r="F1196" s="2">
        <f>+J1196-I1196</f>
        <v>15</v>
      </c>
      <c r="G1196" s="2">
        <f ca="1">+TODAY()-I1196</f>
        <v>13</v>
      </c>
      <c r="H1196" s="15">
        <v>350676</v>
      </c>
      <c r="I1196" s="1">
        <v>46107</v>
      </c>
      <c r="J1196" s="1">
        <v>46122</v>
      </c>
      <c r="K1196" s="18" t="s">
        <v>1528</v>
      </c>
      <c r="L1196" s="18" t="s">
        <v>312</v>
      </c>
      <c r="M1196" s="18" t="s">
        <v>19</v>
      </c>
      <c r="N1196" s="18" t="s">
        <v>1533</v>
      </c>
      <c r="O1196">
        <v>0</v>
      </c>
    </row>
    <row r="1197" spans="1:15" x14ac:dyDescent="0.25">
      <c r="A1197" s="18" t="s">
        <v>7276</v>
      </c>
      <c r="B1197" s="18" t="s">
        <v>1530</v>
      </c>
      <c r="C1197" s="18" t="s">
        <v>1531</v>
      </c>
      <c r="D1197" s="18" t="s">
        <v>1532</v>
      </c>
      <c r="E1197" s="18" t="s">
        <v>6629</v>
      </c>
      <c r="F1197" s="2">
        <f>+J1197-I1197</f>
        <v>15</v>
      </c>
      <c r="G1197" s="2">
        <f ca="1">+TODAY()-I1197</f>
        <v>13</v>
      </c>
      <c r="H1197" s="15">
        <v>404406</v>
      </c>
      <c r="I1197" s="1">
        <v>46107</v>
      </c>
      <c r="J1197" s="1">
        <v>46122</v>
      </c>
      <c r="K1197" s="18" t="s">
        <v>1528</v>
      </c>
      <c r="L1197" s="18" t="s">
        <v>312</v>
      </c>
      <c r="M1197" s="18" t="s">
        <v>19</v>
      </c>
      <c r="N1197" s="18" t="s">
        <v>1533</v>
      </c>
      <c r="O1197">
        <v>0</v>
      </c>
    </row>
    <row r="1198" spans="1:15" x14ac:dyDescent="0.25">
      <c r="A1198" s="18" t="s">
        <v>7276</v>
      </c>
      <c r="B1198" s="18" t="s">
        <v>1336</v>
      </c>
      <c r="C1198" s="18" t="s">
        <v>1337</v>
      </c>
      <c r="D1198" s="18" t="s">
        <v>1323</v>
      </c>
      <c r="E1198" s="18" t="s">
        <v>6568</v>
      </c>
      <c r="F1198" s="2">
        <f>+J1198-I1198</f>
        <v>30</v>
      </c>
      <c r="G1198" s="2">
        <f ca="1">+TODAY()-I1198</f>
        <v>14</v>
      </c>
      <c r="H1198" s="15">
        <v>4542396</v>
      </c>
      <c r="I1198" s="1">
        <v>46106</v>
      </c>
      <c r="J1198" s="1">
        <v>46136</v>
      </c>
      <c r="K1198" s="18" t="s">
        <v>1325</v>
      </c>
      <c r="L1198" s="18" t="s">
        <v>90</v>
      </c>
      <c r="M1198" s="18" t="s">
        <v>19</v>
      </c>
      <c r="N1198" s="18" t="s">
        <v>1338</v>
      </c>
      <c r="O1198">
        <v>30</v>
      </c>
    </row>
    <row r="1199" spans="1:15" x14ac:dyDescent="0.25">
      <c r="A1199" s="18" t="s">
        <v>7276</v>
      </c>
      <c r="B1199" s="18" t="s">
        <v>1336</v>
      </c>
      <c r="C1199" s="18" t="s">
        <v>1337</v>
      </c>
      <c r="D1199" s="18" t="s">
        <v>1323</v>
      </c>
      <c r="E1199" s="18" t="s">
        <v>6569</v>
      </c>
      <c r="F1199" s="2">
        <f>+J1199-I1199</f>
        <v>30</v>
      </c>
      <c r="G1199" s="2">
        <f ca="1">+TODAY()-I1199</f>
        <v>14</v>
      </c>
      <c r="H1199" s="15">
        <v>2072767</v>
      </c>
      <c r="I1199" s="1">
        <v>46106</v>
      </c>
      <c r="J1199" s="1">
        <v>46136</v>
      </c>
      <c r="K1199" s="18" t="s">
        <v>1325</v>
      </c>
      <c r="L1199" s="18" t="s">
        <v>90</v>
      </c>
      <c r="M1199" s="18" t="s">
        <v>19</v>
      </c>
      <c r="N1199" s="18" t="s">
        <v>1338</v>
      </c>
      <c r="O1199">
        <v>30</v>
      </c>
    </row>
    <row r="1200" spans="1:15" x14ac:dyDescent="0.25">
      <c r="A1200" s="18" t="s">
        <v>7276</v>
      </c>
      <c r="B1200" s="18" t="s">
        <v>1336</v>
      </c>
      <c r="C1200" s="18" t="s">
        <v>1337</v>
      </c>
      <c r="D1200" s="18" t="s">
        <v>1323</v>
      </c>
      <c r="E1200" s="18" t="s">
        <v>6570</v>
      </c>
      <c r="F1200" s="2">
        <f>+J1200-I1200</f>
        <v>30</v>
      </c>
      <c r="G1200" s="2">
        <f ca="1">+TODAY()-I1200</f>
        <v>14</v>
      </c>
      <c r="H1200" s="15">
        <v>2233828</v>
      </c>
      <c r="I1200" s="1">
        <v>46106</v>
      </c>
      <c r="J1200" s="1">
        <v>46136</v>
      </c>
      <c r="K1200" s="18" t="s">
        <v>1325</v>
      </c>
      <c r="L1200" s="18" t="s">
        <v>90</v>
      </c>
      <c r="M1200" s="18" t="s">
        <v>19</v>
      </c>
      <c r="N1200" s="18" t="s">
        <v>1338</v>
      </c>
      <c r="O1200">
        <v>30</v>
      </c>
    </row>
    <row r="1201" spans="1:15" x14ac:dyDescent="0.25">
      <c r="A1201" s="18" t="s">
        <v>7276</v>
      </c>
      <c r="B1201" s="18" t="s">
        <v>4576</v>
      </c>
      <c r="C1201" s="18" t="s">
        <v>4577</v>
      </c>
      <c r="D1201" s="18" t="s">
        <v>340</v>
      </c>
      <c r="E1201" s="18" t="s">
        <v>6294</v>
      </c>
      <c r="F1201" s="2">
        <f>+J1201-I1201</f>
        <v>15</v>
      </c>
      <c r="G1201" s="2">
        <f ca="1">+TODAY()-I1201</f>
        <v>19</v>
      </c>
      <c r="H1201" s="15">
        <v>381202</v>
      </c>
      <c r="I1201" s="1">
        <v>46101</v>
      </c>
      <c r="J1201" s="1">
        <v>46116</v>
      </c>
      <c r="K1201" s="18" t="s">
        <v>1233</v>
      </c>
      <c r="L1201" s="18" t="s">
        <v>317</v>
      </c>
      <c r="M1201" s="18" t="s">
        <v>19</v>
      </c>
      <c r="N1201" s="18" t="s">
        <v>4579</v>
      </c>
      <c r="O1201">
        <v>30</v>
      </c>
    </row>
    <row r="1202" spans="1:15" x14ac:dyDescent="0.25">
      <c r="A1202" s="18" t="s">
        <v>7276</v>
      </c>
      <c r="B1202" s="18" t="s">
        <v>1935</v>
      </c>
      <c r="C1202" s="18" t="s">
        <v>1936</v>
      </c>
      <c r="D1202" s="18" t="s">
        <v>1937</v>
      </c>
      <c r="E1202" s="18" t="s">
        <v>5678</v>
      </c>
      <c r="F1202" s="2">
        <f>+J1202-I1202</f>
        <v>30</v>
      </c>
      <c r="G1202" s="2">
        <f ca="1">+TODAY()-I1202</f>
        <v>28</v>
      </c>
      <c r="H1202" s="15">
        <v>2163501</v>
      </c>
      <c r="I1202" s="1">
        <v>46092</v>
      </c>
      <c r="J1202" s="1">
        <v>46122</v>
      </c>
      <c r="K1202" s="18" t="s">
        <v>343</v>
      </c>
      <c r="L1202" s="18" t="s">
        <v>18</v>
      </c>
      <c r="M1202" s="18" t="s">
        <v>19</v>
      </c>
      <c r="N1202" s="18" t="s">
        <v>1938</v>
      </c>
      <c r="O1202">
        <v>30</v>
      </c>
    </row>
    <row r="1203" spans="1:15" x14ac:dyDescent="0.25">
      <c r="A1203" s="18" t="s">
        <v>7276</v>
      </c>
      <c r="B1203" s="18" t="s">
        <v>1935</v>
      </c>
      <c r="C1203" s="18" t="s">
        <v>1936</v>
      </c>
      <c r="D1203" s="18" t="s">
        <v>1937</v>
      </c>
      <c r="E1203" s="18" t="s">
        <v>5679</v>
      </c>
      <c r="F1203" s="2">
        <f>+J1203-I1203</f>
        <v>30</v>
      </c>
      <c r="G1203" s="2">
        <f ca="1">+TODAY()-I1203</f>
        <v>28</v>
      </c>
      <c r="H1203" s="15">
        <v>2616012</v>
      </c>
      <c r="I1203" s="1">
        <v>46092</v>
      </c>
      <c r="J1203" s="1">
        <v>46122</v>
      </c>
      <c r="K1203" s="18" t="s">
        <v>343</v>
      </c>
      <c r="L1203" s="18" t="s">
        <v>18</v>
      </c>
      <c r="M1203" s="18" t="s">
        <v>19</v>
      </c>
      <c r="N1203" s="18" t="s">
        <v>1938</v>
      </c>
      <c r="O1203">
        <v>30</v>
      </c>
    </row>
    <row r="1204" spans="1:15" x14ac:dyDescent="0.25">
      <c r="A1204" s="18" t="s">
        <v>7276</v>
      </c>
      <c r="B1204" s="18" t="s">
        <v>2118</v>
      </c>
      <c r="C1204" s="18" t="s">
        <v>2119</v>
      </c>
      <c r="D1204" s="18" t="s">
        <v>46</v>
      </c>
      <c r="E1204" s="18" t="s">
        <v>5521</v>
      </c>
      <c r="F1204" s="2">
        <f>+J1204-I1204</f>
        <v>30</v>
      </c>
      <c r="G1204" s="2">
        <f ca="1">+TODAY()-I1204</f>
        <v>33</v>
      </c>
      <c r="H1204" s="15">
        <v>397588</v>
      </c>
      <c r="I1204" s="1">
        <v>46087</v>
      </c>
      <c r="J1204" s="1">
        <v>46117</v>
      </c>
      <c r="K1204" s="18" t="s">
        <v>17</v>
      </c>
      <c r="L1204" s="18" t="s">
        <v>32</v>
      </c>
      <c r="M1204" s="18" t="s">
        <v>19</v>
      </c>
      <c r="N1204" s="18" t="s">
        <v>149</v>
      </c>
      <c r="O1204">
        <v>30</v>
      </c>
    </row>
    <row r="1205" spans="1:15" x14ac:dyDescent="0.25">
      <c r="A1205" s="18" t="s">
        <v>7276</v>
      </c>
      <c r="B1205" s="18" t="s">
        <v>180</v>
      </c>
      <c r="C1205" s="18" t="s">
        <v>181</v>
      </c>
      <c r="D1205" s="18" t="s">
        <v>46</v>
      </c>
      <c r="E1205" s="18" t="s">
        <v>6726</v>
      </c>
      <c r="F1205" s="2">
        <f>+J1205-I1205</f>
        <v>30</v>
      </c>
      <c r="G1205" s="2">
        <f ca="1">+TODAY()-I1205</f>
        <v>11</v>
      </c>
      <c r="H1205" s="15">
        <v>227500</v>
      </c>
      <c r="I1205" s="1">
        <v>46109</v>
      </c>
      <c r="J1205" s="1">
        <v>46139</v>
      </c>
      <c r="K1205" s="18" t="s">
        <v>17</v>
      </c>
      <c r="L1205" s="18" t="s">
        <v>32</v>
      </c>
      <c r="M1205" s="18" t="s">
        <v>19</v>
      </c>
      <c r="N1205" s="18" t="s">
        <v>182</v>
      </c>
      <c r="O1205">
        <v>30</v>
      </c>
    </row>
    <row r="1206" spans="1:15" x14ac:dyDescent="0.25">
      <c r="A1206" s="18" t="s">
        <v>7276</v>
      </c>
      <c r="B1206" s="18" t="s">
        <v>180</v>
      </c>
      <c r="C1206" s="18" t="s">
        <v>181</v>
      </c>
      <c r="D1206" s="18" t="s">
        <v>46</v>
      </c>
      <c r="E1206" s="18" t="s">
        <v>6795</v>
      </c>
      <c r="F1206" s="2">
        <f>+J1206-I1206</f>
        <v>30</v>
      </c>
      <c r="G1206" s="2">
        <f ca="1">+TODAY()-I1206</f>
        <v>8</v>
      </c>
      <c r="H1206" s="15">
        <v>671401</v>
      </c>
      <c r="I1206" s="1">
        <v>46112</v>
      </c>
      <c r="J1206" s="1">
        <v>46142</v>
      </c>
      <c r="K1206" s="18" t="s">
        <v>17</v>
      </c>
      <c r="L1206" s="18" t="s">
        <v>32</v>
      </c>
      <c r="M1206" s="18" t="s">
        <v>19</v>
      </c>
      <c r="N1206" s="18" t="s">
        <v>182</v>
      </c>
      <c r="O1206">
        <v>30</v>
      </c>
    </row>
    <row r="1207" spans="1:15" x14ac:dyDescent="0.25">
      <c r="A1207" s="18" t="s">
        <v>7276</v>
      </c>
      <c r="B1207" s="18" t="s">
        <v>180</v>
      </c>
      <c r="C1207" s="18" t="s">
        <v>181</v>
      </c>
      <c r="D1207" s="18" t="s">
        <v>46</v>
      </c>
      <c r="E1207" s="18" t="s">
        <v>6860</v>
      </c>
      <c r="F1207" s="2">
        <f>+J1207-I1207</f>
        <v>30</v>
      </c>
      <c r="G1207" s="2">
        <f ca="1">+TODAY()-I1207</f>
        <v>9</v>
      </c>
      <c r="H1207" s="15">
        <v>467602</v>
      </c>
      <c r="I1207" s="1">
        <v>46111</v>
      </c>
      <c r="J1207" s="1">
        <v>46141</v>
      </c>
      <c r="K1207" s="18" t="s">
        <v>17</v>
      </c>
      <c r="L1207" s="18" t="s">
        <v>32</v>
      </c>
      <c r="M1207" s="18" t="s">
        <v>19</v>
      </c>
      <c r="N1207" s="18" t="s">
        <v>182</v>
      </c>
      <c r="O1207">
        <v>30</v>
      </c>
    </row>
    <row r="1208" spans="1:15" x14ac:dyDescent="0.25">
      <c r="A1208" s="18" t="s">
        <v>7276</v>
      </c>
      <c r="B1208" s="18" t="s">
        <v>4303</v>
      </c>
      <c r="C1208" s="18" t="s">
        <v>4304</v>
      </c>
      <c r="D1208" s="18" t="s">
        <v>46</v>
      </c>
      <c r="E1208" s="18" t="s">
        <v>7361</v>
      </c>
      <c r="F1208" s="2">
        <f>+J1208-I1208</f>
        <v>1</v>
      </c>
      <c r="G1208" s="2">
        <f ca="1">+TODAY()-I1208</f>
        <v>1</v>
      </c>
      <c r="H1208" s="15">
        <v>87000</v>
      </c>
      <c r="I1208" s="1">
        <v>46119</v>
      </c>
      <c r="J1208" s="1">
        <v>46120</v>
      </c>
      <c r="K1208" s="18" t="s">
        <v>17</v>
      </c>
      <c r="L1208" s="18" t="s">
        <v>32</v>
      </c>
      <c r="M1208" s="18" t="s">
        <v>19</v>
      </c>
      <c r="N1208" s="18" t="s">
        <v>4306</v>
      </c>
      <c r="O1208">
        <v>30</v>
      </c>
    </row>
    <row r="1209" spans="1:15" x14ac:dyDescent="0.25">
      <c r="A1209" s="18" t="s">
        <v>7276</v>
      </c>
      <c r="B1209" s="18" t="s">
        <v>645</v>
      </c>
      <c r="C1209" s="18" t="s">
        <v>646</v>
      </c>
      <c r="D1209" s="18" t="s">
        <v>642</v>
      </c>
      <c r="E1209" s="18" t="s">
        <v>5413</v>
      </c>
      <c r="F1209" s="2">
        <f>+J1209-I1209</f>
        <v>30</v>
      </c>
      <c r="G1209" s="2">
        <f ca="1">+TODAY()-I1209</f>
        <v>35</v>
      </c>
      <c r="H1209" s="15">
        <v>301799</v>
      </c>
      <c r="I1209" s="1">
        <v>46085</v>
      </c>
      <c r="J1209" s="1">
        <v>46115</v>
      </c>
      <c r="K1209" s="18" t="s">
        <v>638</v>
      </c>
      <c r="L1209" s="18" t="s">
        <v>47</v>
      </c>
      <c r="M1209" s="18" t="s">
        <v>19</v>
      </c>
      <c r="N1209" s="18" t="s">
        <v>647</v>
      </c>
      <c r="O1209">
        <v>30</v>
      </c>
    </row>
    <row r="1210" spans="1:15" x14ac:dyDescent="0.25">
      <c r="A1210" s="18" t="s">
        <v>7276</v>
      </c>
      <c r="B1210" s="18" t="s">
        <v>645</v>
      </c>
      <c r="C1210" s="18" t="s">
        <v>646</v>
      </c>
      <c r="D1210" s="18" t="s">
        <v>642</v>
      </c>
      <c r="E1210" s="18" t="s">
        <v>6213</v>
      </c>
      <c r="F1210" s="2">
        <f>+J1210-I1210</f>
        <v>30</v>
      </c>
      <c r="G1210" s="2">
        <f ca="1">+TODAY()-I1210</f>
        <v>21</v>
      </c>
      <c r="H1210" s="15">
        <v>808975</v>
      </c>
      <c r="I1210" s="1">
        <v>46099</v>
      </c>
      <c r="J1210" s="1">
        <v>46129</v>
      </c>
      <c r="K1210" s="18" t="s">
        <v>638</v>
      </c>
      <c r="L1210" s="18" t="s">
        <v>18</v>
      </c>
      <c r="M1210" s="18" t="s">
        <v>19</v>
      </c>
      <c r="N1210" s="18" t="s">
        <v>647</v>
      </c>
      <c r="O1210">
        <v>30</v>
      </c>
    </row>
    <row r="1211" spans="1:15" x14ac:dyDescent="0.25">
      <c r="A1211" s="18" t="s">
        <v>7276</v>
      </c>
      <c r="B1211" s="18" t="s">
        <v>1628</v>
      </c>
      <c r="C1211" s="18" t="s">
        <v>1629</v>
      </c>
      <c r="D1211" s="18" t="s">
        <v>1593</v>
      </c>
      <c r="E1211" s="18" t="s">
        <v>5319</v>
      </c>
      <c r="F1211" s="2">
        <f>+J1211-I1211</f>
        <v>30</v>
      </c>
      <c r="G1211" s="2">
        <f ca="1">+TODAY()-I1211</f>
        <v>43</v>
      </c>
      <c r="H1211" s="15">
        <v>351700</v>
      </c>
      <c r="I1211" s="1">
        <v>46077</v>
      </c>
      <c r="J1211" s="1">
        <v>46107</v>
      </c>
      <c r="K1211" s="18" t="s">
        <v>1589</v>
      </c>
      <c r="L1211" s="18" t="s">
        <v>984</v>
      </c>
      <c r="M1211" s="18" t="s">
        <v>19</v>
      </c>
      <c r="N1211" s="18" t="s">
        <v>1630</v>
      </c>
      <c r="O1211">
        <v>30</v>
      </c>
    </row>
    <row r="1212" spans="1:15" x14ac:dyDescent="0.25">
      <c r="A1212" s="18" t="s">
        <v>7276</v>
      </c>
      <c r="B1212" s="18" t="s">
        <v>1628</v>
      </c>
      <c r="C1212" s="18" t="s">
        <v>1629</v>
      </c>
      <c r="D1212" s="18" t="s">
        <v>1593</v>
      </c>
      <c r="E1212" s="18" t="s">
        <v>5833</v>
      </c>
      <c r="F1212" s="2">
        <f>+J1212-I1212</f>
        <v>30</v>
      </c>
      <c r="G1212" s="2">
        <f ca="1">+TODAY()-I1212</f>
        <v>30</v>
      </c>
      <c r="H1212" s="15">
        <v>398316</v>
      </c>
      <c r="I1212" s="1">
        <v>46090</v>
      </c>
      <c r="J1212" s="1">
        <v>46120</v>
      </c>
      <c r="K1212" s="18" t="s">
        <v>1589</v>
      </c>
      <c r="L1212" s="18" t="s">
        <v>984</v>
      </c>
      <c r="M1212" s="18" t="s">
        <v>19</v>
      </c>
      <c r="N1212" s="18" t="s">
        <v>1630</v>
      </c>
      <c r="O1212">
        <v>30</v>
      </c>
    </row>
    <row r="1213" spans="1:15" x14ac:dyDescent="0.25">
      <c r="A1213" s="18" t="s">
        <v>7276</v>
      </c>
      <c r="B1213" s="18" t="s">
        <v>1628</v>
      </c>
      <c r="C1213" s="18" t="s">
        <v>1629</v>
      </c>
      <c r="D1213" s="18" t="s">
        <v>1593</v>
      </c>
      <c r="E1213" s="18" t="s">
        <v>6669</v>
      </c>
      <c r="F1213" s="2">
        <f>+J1213-I1213</f>
        <v>30</v>
      </c>
      <c r="G1213" s="2">
        <f ca="1">+TODAY()-I1213</f>
        <v>14</v>
      </c>
      <c r="H1213" s="15">
        <v>309377</v>
      </c>
      <c r="I1213" s="1">
        <v>46106</v>
      </c>
      <c r="J1213" s="1">
        <v>46136</v>
      </c>
      <c r="K1213" s="18" t="s">
        <v>1589</v>
      </c>
      <c r="L1213" s="18" t="s">
        <v>984</v>
      </c>
      <c r="M1213" s="18" t="s">
        <v>19</v>
      </c>
      <c r="N1213" s="18" t="s">
        <v>1630</v>
      </c>
      <c r="O1213">
        <v>30</v>
      </c>
    </row>
    <row r="1214" spans="1:15" x14ac:dyDescent="0.25">
      <c r="A1214" s="18" t="s">
        <v>7276</v>
      </c>
      <c r="B1214" s="18" t="s">
        <v>1628</v>
      </c>
      <c r="C1214" s="18" t="s">
        <v>1629</v>
      </c>
      <c r="D1214" s="18" t="s">
        <v>1593</v>
      </c>
      <c r="E1214" s="18" t="s">
        <v>7841</v>
      </c>
      <c r="F1214" s="2">
        <f>+J1214-I1214</f>
        <v>30</v>
      </c>
      <c r="G1214" s="2">
        <f ca="1">+TODAY()-I1214</f>
        <v>1</v>
      </c>
      <c r="H1214" s="15">
        <v>419910</v>
      </c>
      <c r="I1214" s="1">
        <v>46119</v>
      </c>
      <c r="J1214" s="1">
        <v>46149</v>
      </c>
      <c r="K1214" s="18" t="s">
        <v>1589</v>
      </c>
      <c r="L1214" s="18" t="s">
        <v>984</v>
      </c>
      <c r="M1214" s="18" t="s">
        <v>19</v>
      </c>
      <c r="N1214" s="18" t="s">
        <v>1630</v>
      </c>
      <c r="O1214">
        <v>30</v>
      </c>
    </row>
    <row r="1215" spans="1:15" x14ac:dyDescent="0.25">
      <c r="A1215" s="18" t="s">
        <v>7276</v>
      </c>
      <c r="B1215" s="18" t="s">
        <v>2128</v>
      </c>
      <c r="C1215" s="18" t="s">
        <v>2129</v>
      </c>
      <c r="D1215" s="18" t="s">
        <v>46</v>
      </c>
      <c r="E1215" s="18" t="s">
        <v>6887</v>
      </c>
      <c r="F1215" s="2">
        <f>+J1215-I1215</f>
        <v>1</v>
      </c>
      <c r="G1215" s="2">
        <f ca="1">+TODAY()-I1215</f>
        <v>8</v>
      </c>
      <c r="H1215" s="15">
        <v>132753</v>
      </c>
      <c r="I1215" s="1">
        <v>46112</v>
      </c>
      <c r="J1215" s="1">
        <v>46113</v>
      </c>
      <c r="K1215" s="18" t="s">
        <v>17</v>
      </c>
      <c r="L1215" s="18" t="s">
        <v>317</v>
      </c>
      <c r="M1215" s="18" t="s">
        <v>19</v>
      </c>
      <c r="N1215" s="18" t="s">
        <v>2130</v>
      </c>
      <c r="O1215">
        <v>30</v>
      </c>
    </row>
    <row r="1216" spans="1:15" x14ac:dyDescent="0.25">
      <c r="A1216" s="18" t="s">
        <v>7276</v>
      </c>
      <c r="B1216" s="18" t="s">
        <v>2128</v>
      </c>
      <c r="C1216" s="18" t="s">
        <v>2129</v>
      </c>
      <c r="D1216" s="18" t="s">
        <v>46</v>
      </c>
      <c r="E1216" s="18" t="s">
        <v>7440</v>
      </c>
      <c r="F1216" s="2">
        <f>+J1216-I1216</f>
        <v>10</v>
      </c>
      <c r="G1216" s="2">
        <f ca="1">+TODAY()-I1216</f>
        <v>1</v>
      </c>
      <c r="H1216" s="15">
        <v>420000</v>
      </c>
      <c r="I1216" s="1">
        <v>46119</v>
      </c>
      <c r="J1216" s="1">
        <v>46129</v>
      </c>
      <c r="K1216" s="18" t="s">
        <v>17</v>
      </c>
      <c r="L1216" s="18" t="s">
        <v>317</v>
      </c>
      <c r="M1216" s="18" t="s">
        <v>19</v>
      </c>
      <c r="N1216" s="18" t="s">
        <v>2130</v>
      </c>
      <c r="O1216">
        <v>30</v>
      </c>
    </row>
    <row r="1217" spans="1:15" x14ac:dyDescent="0.25">
      <c r="A1217" s="18" t="s">
        <v>7276</v>
      </c>
      <c r="B1217" s="18" t="s">
        <v>1770</v>
      </c>
      <c r="C1217" s="18" t="s">
        <v>1771</v>
      </c>
      <c r="D1217" s="18" t="s">
        <v>331</v>
      </c>
      <c r="E1217" s="18" t="s">
        <v>5767</v>
      </c>
      <c r="F1217" s="2">
        <f>+J1217-I1217</f>
        <v>15</v>
      </c>
      <c r="G1217" s="2">
        <f ca="1">+TODAY()-I1217</f>
        <v>32</v>
      </c>
      <c r="H1217" s="15">
        <v>298174</v>
      </c>
      <c r="I1217" s="1">
        <v>46088</v>
      </c>
      <c r="J1217" s="1">
        <v>46103</v>
      </c>
      <c r="K1217" s="18" t="s">
        <v>1233</v>
      </c>
      <c r="L1217" s="18" t="s">
        <v>317</v>
      </c>
      <c r="M1217" s="18" t="s">
        <v>19</v>
      </c>
      <c r="N1217" s="18" t="s">
        <v>1772</v>
      </c>
      <c r="O1217">
        <v>30</v>
      </c>
    </row>
    <row r="1218" spans="1:15" x14ac:dyDescent="0.25">
      <c r="A1218" s="18" t="s">
        <v>7276</v>
      </c>
      <c r="B1218" s="18" t="s">
        <v>1770</v>
      </c>
      <c r="C1218" s="18" t="s">
        <v>1771</v>
      </c>
      <c r="D1218" s="18" t="s">
        <v>331</v>
      </c>
      <c r="E1218" s="18" t="s">
        <v>5059</v>
      </c>
      <c r="F1218" s="2">
        <f>+J1218-I1218</f>
        <v>30</v>
      </c>
      <c r="G1218" s="2">
        <f ca="1">+TODAY()-I1218</f>
        <v>60</v>
      </c>
      <c r="H1218" s="15">
        <v>1268586</v>
      </c>
      <c r="I1218" s="1">
        <v>46060</v>
      </c>
      <c r="J1218" s="1">
        <v>46090</v>
      </c>
      <c r="K1218" s="18" t="s">
        <v>1758</v>
      </c>
      <c r="L1218" s="18" t="s">
        <v>317</v>
      </c>
      <c r="M1218" s="18" t="s">
        <v>19</v>
      </c>
      <c r="N1218" s="18" t="s">
        <v>1772</v>
      </c>
      <c r="O1218">
        <v>30</v>
      </c>
    </row>
    <row r="1219" spans="1:15" x14ac:dyDescent="0.25">
      <c r="A1219" s="18" t="s">
        <v>7276</v>
      </c>
      <c r="B1219" s="18" t="s">
        <v>1770</v>
      </c>
      <c r="C1219" s="18" t="s">
        <v>1771</v>
      </c>
      <c r="D1219" s="18" t="s">
        <v>331</v>
      </c>
      <c r="E1219" s="18" t="s">
        <v>6120</v>
      </c>
      <c r="F1219" s="2">
        <f>+J1219-I1219</f>
        <v>10</v>
      </c>
      <c r="G1219" s="2">
        <f ca="1">+TODAY()-I1219</f>
        <v>27</v>
      </c>
      <c r="H1219" s="15">
        <v>821000</v>
      </c>
      <c r="I1219" s="1">
        <v>46093</v>
      </c>
      <c r="J1219" s="1">
        <v>46103</v>
      </c>
      <c r="K1219" s="18" t="s">
        <v>1758</v>
      </c>
      <c r="L1219" s="18" t="s">
        <v>317</v>
      </c>
      <c r="M1219" s="18" t="s">
        <v>19</v>
      </c>
      <c r="N1219" s="18" t="s">
        <v>1772</v>
      </c>
      <c r="O1219">
        <v>30</v>
      </c>
    </row>
    <row r="1220" spans="1:15" x14ac:dyDescent="0.25">
      <c r="A1220" s="18" t="s">
        <v>7276</v>
      </c>
      <c r="B1220" s="18" t="s">
        <v>4514</v>
      </c>
      <c r="C1220" s="18" t="s">
        <v>4515</v>
      </c>
      <c r="D1220" s="18" t="s">
        <v>1138</v>
      </c>
      <c r="E1220" s="18" t="s">
        <v>7520</v>
      </c>
      <c r="F1220" s="2">
        <f>+J1220-I1220</f>
        <v>1</v>
      </c>
      <c r="G1220" s="2">
        <f ca="1">+TODAY()-I1220</f>
        <v>7</v>
      </c>
      <c r="H1220" s="15">
        <v>82400</v>
      </c>
      <c r="I1220" s="1">
        <v>46113</v>
      </c>
      <c r="J1220" s="1">
        <v>46114</v>
      </c>
      <c r="K1220" s="18" t="s">
        <v>1144</v>
      </c>
      <c r="L1220" s="18" t="s">
        <v>321</v>
      </c>
      <c r="M1220" s="18" t="s">
        <v>19</v>
      </c>
      <c r="N1220" s="18" t="s">
        <v>4517</v>
      </c>
      <c r="O1220">
        <v>0</v>
      </c>
    </row>
    <row r="1221" spans="1:15" x14ac:dyDescent="0.25">
      <c r="A1221" s="18" t="s">
        <v>7276</v>
      </c>
      <c r="B1221" s="18" t="s">
        <v>1086</v>
      </c>
      <c r="C1221" s="18" t="s">
        <v>1087</v>
      </c>
      <c r="D1221" s="18" t="s">
        <v>320</v>
      </c>
      <c r="E1221" s="18" t="s">
        <v>1088</v>
      </c>
      <c r="F1221" s="2">
        <f>+J1221-I1221</f>
        <v>25</v>
      </c>
      <c r="G1221" s="2">
        <f ca="1">+TODAY()-I1221</f>
        <v>3199</v>
      </c>
      <c r="H1221" s="15">
        <v>2290968</v>
      </c>
      <c r="I1221" s="1">
        <v>42921</v>
      </c>
      <c r="J1221" s="1">
        <v>42946</v>
      </c>
      <c r="K1221" s="18" t="s">
        <v>1068</v>
      </c>
      <c r="L1221" s="18" t="s">
        <v>1069</v>
      </c>
      <c r="M1221" s="18" t="s">
        <v>19</v>
      </c>
      <c r="N1221" s="18" t="s">
        <v>1089</v>
      </c>
      <c r="O1221">
        <v>1</v>
      </c>
    </row>
    <row r="1222" spans="1:15" x14ac:dyDescent="0.25">
      <c r="A1222" s="18" t="s">
        <v>7276</v>
      </c>
      <c r="B1222" s="18" t="s">
        <v>1086</v>
      </c>
      <c r="C1222" s="18" t="s">
        <v>1087</v>
      </c>
      <c r="D1222" s="18" t="s">
        <v>320</v>
      </c>
      <c r="E1222" s="18" t="s">
        <v>1090</v>
      </c>
      <c r="F1222" s="2">
        <f>+J1222-I1222</f>
        <v>25</v>
      </c>
      <c r="G1222" s="2">
        <f ca="1">+TODAY()-I1222</f>
        <v>3178</v>
      </c>
      <c r="H1222" s="15">
        <v>2409032</v>
      </c>
      <c r="I1222" s="1">
        <v>42942</v>
      </c>
      <c r="J1222" s="1">
        <v>42967</v>
      </c>
      <c r="K1222" s="18" t="s">
        <v>1068</v>
      </c>
      <c r="L1222" s="18" t="s">
        <v>1069</v>
      </c>
      <c r="M1222" s="18" t="s">
        <v>19</v>
      </c>
      <c r="N1222" s="18" t="s">
        <v>1089</v>
      </c>
      <c r="O1222">
        <v>1</v>
      </c>
    </row>
    <row r="1223" spans="1:15" x14ac:dyDescent="0.25">
      <c r="A1223" s="18" t="s">
        <v>7276</v>
      </c>
      <c r="B1223" s="18" t="s">
        <v>4494</v>
      </c>
      <c r="C1223" s="18" t="s">
        <v>4495</v>
      </c>
      <c r="D1223" s="18" t="s">
        <v>1138</v>
      </c>
      <c r="E1223" s="18" t="s">
        <v>5266</v>
      </c>
      <c r="F1223" s="2">
        <f>+J1223-I1223</f>
        <v>8</v>
      </c>
      <c r="G1223" s="2">
        <f ca="1">+TODAY()-I1223</f>
        <v>47</v>
      </c>
      <c r="H1223" s="15">
        <v>300000</v>
      </c>
      <c r="I1223" s="1">
        <v>46073</v>
      </c>
      <c r="J1223" s="1">
        <v>46081</v>
      </c>
      <c r="K1223" s="18" t="s">
        <v>1144</v>
      </c>
      <c r="L1223" s="18" t="s">
        <v>321</v>
      </c>
      <c r="M1223" s="18" t="s">
        <v>19</v>
      </c>
      <c r="N1223" s="18" t="s">
        <v>4497</v>
      </c>
      <c r="O1223">
        <v>8</v>
      </c>
    </row>
    <row r="1224" spans="1:15" x14ac:dyDescent="0.25">
      <c r="A1224" s="18" t="s">
        <v>7276</v>
      </c>
      <c r="B1224" s="18" t="s">
        <v>4494</v>
      </c>
      <c r="C1224" s="18" t="s">
        <v>4495</v>
      </c>
      <c r="D1224" s="18" t="s">
        <v>1138</v>
      </c>
      <c r="E1224" s="18" t="s">
        <v>6275</v>
      </c>
      <c r="F1224" s="2">
        <f>+J1224-I1224</f>
        <v>8</v>
      </c>
      <c r="G1224" s="2">
        <f ca="1">+TODAY()-I1224</f>
        <v>19</v>
      </c>
      <c r="H1224" s="15">
        <v>295356</v>
      </c>
      <c r="I1224" s="1">
        <v>46101</v>
      </c>
      <c r="J1224" s="1">
        <v>46109</v>
      </c>
      <c r="K1224" s="18" t="s">
        <v>1144</v>
      </c>
      <c r="L1224" s="18" t="s">
        <v>321</v>
      </c>
      <c r="M1224" s="18" t="s">
        <v>19</v>
      </c>
      <c r="N1224" s="18" t="s">
        <v>4497</v>
      </c>
      <c r="O1224">
        <v>8</v>
      </c>
    </row>
    <row r="1225" spans="1:15" x14ac:dyDescent="0.25">
      <c r="A1225" s="18" t="s">
        <v>7276</v>
      </c>
      <c r="B1225" s="18" t="s">
        <v>1480</v>
      </c>
      <c r="C1225" s="18" t="s">
        <v>1481</v>
      </c>
      <c r="D1225" s="18" t="s">
        <v>341</v>
      </c>
      <c r="E1225" s="18" t="s">
        <v>4980</v>
      </c>
      <c r="F1225" s="2">
        <f>+J1225-I1225</f>
        <v>30</v>
      </c>
      <c r="G1225" s="2">
        <f ca="1">+TODAY()-I1225</f>
        <v>69</v>
      </c>
      <c r="H1225" s="15">
        <v>3071973</v>
      </c>
      <c r="I1225" s="1">
        <v>46051</v>
      </c>
      <c r="J1225" s="1">
        <v>46081</v>
      </c>
      <c r="K1225" s="18" t="s">
        <v>1470</v>
      </c>
      <c r="L1225" s="18" t="s">
        <v>981</v>
      </c>
      <c r="M1225" s="18" t="s">
        <v>19</v>
      </c>
      <c r="N1225" s="18" t="s">
        <v>6340</v>
      </c>
      <c r="O1225">
        <v>30</v>
      </c>
    </row>
    <row r="1226" spans="1:15" x14ac:dyDescent="0.25">
      <c r="A1226" s="18" t="s">
        <v>7276</v>
      </c>
      <c r="B1226" s="18" t="s">
        <v>1480</v>
      </c>
      <c r="C1226" s="18" t="s">
        <v>1481</v>
      </c>
      <c r="D1226" s="18" t="s">
        <v>341</v>
      </c>
      <c r="E1226" s="18" t="s">
        <v>5369</v>
      </c>
      <c r="F1226" s="2">
        <f>+J1226-I1226</f>
        <v>30</v>
      </c>
      <c r="G1226" s="2">
        <f ca="1">+TODAY()-I1226</f>
        <v>44</v>
      </c>
      <c r="H1226" s="15">
        <v>4315948</v>
      </c>
      <c r="I1226" s="1">
        <v>46076</v>
      </c>
      <c r="J1226" s="1">
        <v>46106</v>
      </c>
      <c r="K1226" s="18" t="s">
        <v>2814</v>
      </c>
      <c r="L1226" s="18" t="s">
        <v>981</v>
      </c>
      <c r="M1226" s="18" t="s">
        <v>19</v>
      </c>
      <c r="N1226" s="18" t="s">
        <v>6340</v>
      </c>
      <c r="O1226">
        <v>30</v>
      </c>
    </row>
    <row r="1227" spans="1:15" x14ac:dyDescent="0.25">
      <c r="A1227" s="18" t="s">
        <v>7276</v>
      </c>
      <c r="B1227" s="18" t="s">
        <v>1305</v>
      </c>
      <c r="C1227" s="18" t="s">
        <v>1306</v>
      </c>
      <c r="D1227" s="18" t="s">
        <v>1299</v>
      </c>
      <c r="E1227" s="18" t="s">
        <v>5772</v>
      </c>
      <c r="F1227" s="2">
        <f>+J1227-I1227</f>
        <v>30</v>
      </c>
      <c r="G1227" s="2">
        <f ca="1">+TODAY()-I1227</f>
        <v>30</v>
      </c>
      <c r="H1227" s="15">
        <v>2166493</v>
      </c>
      <c r="I1227" s="1">
        <v>46090</v>
      </c>
      <c r="J1227" s="1">
        <v>46120</v>
      </c>
      <c r="K1227" s="18" t="s">
        <v>1300</v>
      </c>
      <c r="L1227" s="18" t="s">
        <v>90</v>
      </c>
      <c r="M1227" s="18" t="s">
        <v>19</v>
      </c>
      <c r="N1227" s="18" t="s">
        <v>1307</v>
      </c>
      <c r="O1227">
        <v>30</v>
      </c>
    </row>
    <row r="1228" spans="1:15" x14ac:dyDescent="0.25">
      <c r="A1228" s="18" t="s">
        <v>7276</v>
      </c>
      <c r="B1228" s="18" t="s">
        <v>1305</v>
      </c>
      <c r="C1228" s="18" t="s">
        <v>1306</v>
      </c>
      <c r="D1228" s="18" t="s">
        <v>1299</v>
      </c>
      <c r="E1228" s="18" t="s">
        <v>5775</v>
      </c>
      <c r="F1228" s="2">
        <f>+J1228-I1228</f>
        <v>30</v>
      </c>
      <c r="G1228" s="2">
        <f ca="1">+TODAY()-I1228</f>
        <v>29</v>
      </c>
      <c r="H1228" s="15">
        <v>184402</v>
      </c>
      <c r="I1228" s="1">
        <v>46091</v>
      </c>
      <c r="J1228" s="1">
        <v>46121</v>
      </c>
      <c r="K1228" s="18" t="s">
        <v>1300</v>
      </c>
      <c r="L1228" s="18" t="s">
        <v>90</v>
      </c>
      <c r="M1228" s="18" t="s">
        <v>19</v>
      </c>
      <c r="N1228" s="18" t="s">
        <v>1307</v>
      </c>
      <c r="O1228">
        <v>30</v>
      </c>
    </row>
    <row r="1229" spans="1:15" x14ac:dyDescent="0.25">
      <c r="A1229" s="18" t="s">
        <v>7276</v>
      </c>
      <c r="B1229" s="18" t="s">
        <v>1305</v>
      </c>
      <c r="C1229" s="18" t="s">
        <v>1306</v>
      </c>
      <c r="D1229" s="18" t="s">
        <v>1299</v>
      </c>
      <c r="E1229" s="18" t="s">
        <v>6551</v>
      </c>
      <c r="F1229" s="2">
        <f>+J1229-I1229</f>
        <v>30</v>
      </c>
      <c r="G1229" s="2">
        <f ca="1">+TODAY()-I1229</f>
        <v>14</v>
      </c>
      <c r="H1229" s="15">
        <v>1836211</v>
      </c>
      <c r="I1229" s="1">
        <v>46106</v>
      </c>
      <c r="J1229" s="1">
        <v>46136</v>
      </c>
      <c r="K1229" s="18" t="s">
        <v>1300</v>
      </c>
      <c r="L1229" s="18" t="s">
        <v>90</v>
      </c>
      <c r="M1229" s="18" t="s">
        <v>19</v>
      </c>
      <c r="N1229" s="18" t="s">
        <v>1307</v>
      </c>
      <c r="O1229">
        <v>30</v>
      </c>
    </row>
    <row r="1230" spans="1:15" x14ac:dyDescent="0.25">
      <c r="A1230" s="18" t="s">
        <v>7276</v>
      </c>
      <c r="B1230" s="18" t="s">
        <v>1305</v>
      </c>
      <c r="C1230" s="18" t="s">
        <v>1306</v>
      </c>
      <c r="D1230" s="18" t="s">
        <v>1299</v>
      </c>
      <c r="E1230" s="18" t="s">
        <v>7803</v>
      </c>
      <c r="F1230" s="2">
        <f>+J1230-I1230</f>
        <v>30</v>
      </c>
      <c r="G1230" s="2">
        <f ca="1">+TODAY()-I1230</f>
        <v>1</v>
      </c>
      <c r="H1230" s="15">
        <v>2184370</v>
      </c>
      <c r="I1230" s="1">
        <v>46119</v>
      </c>
      <c r="J1230" s="1">
        <v>46149</v>
      </c>
      <c r="K1230" s="18" t="s">
        <v>1300</v>
      </c>
      <c r="L1230" s="18" t="s">
        <v>90</v>
      </c>
      <c r="M1230" s="18" t="s">
        <v>19</v>
      </c>
      <c r="N1230" s="18" t="s">
        <v>1307</v>
      </c>
      <c r="O1230">
        <v>30</v>
      </c>
    </row>
    <row r="1231" spans="1:15" x14ac:dyDescent="0.25">
      <c r="A1231" s="18" t="s">
        <v>7276</v>
      </c>
      <c r="B1231" s="18" t="s">
        <v>876</v>
      </c>
      <c r="C1231" s="18" t="s">
        <v>877</v>
      </c>
      <c r="D1231" s="18" t="s">
        <v>844</v>
      </c>
      <c r="E1231" s="18" t="s">
        <v>6992</v>
      </c>
      <c r="F1231" s="2">
        <f>+J1231-I1231</f>
        <v>30</v>
      </c>
      <c r="G1231" s="2">
        <f ca="1">+TODAY()-I1231</f>
        <v>11</v>
      </c>
      <c r="H1231" s="15">
        <v>1423861</v>
      </c>
      <c r="I1231" s="1">
        <v>46109</v>
      </c>
      <c r="J1231" s="1">
        <v>46139</v>
      </c>
      <c r="K1231" s="18" t="s">
        <v>845</v>
      </c>
      <c r="L1231" s="18" t="s">
        <v>18</v>
      </c>
      <c r="M1231" s="18" t="s">
        <v>19</v>
      </c>
      <c r="N1231" s="18" t="s">
        <v>878</v>
      </c>
      <c r="O1231">
        <v>30</v>
      </c>
    </row>
    <row r="1232" spans="1:15" x14ac:dyDescent="0.25">
      <c r="A1232" s="18" t="s">
        <v>7276</v>
      </c>
      <c r="B1232" s="18" t="s">
        <v>876</v>
      </c>
      <c r="C1232" s="18" t="s">
        <v>877</v>
      </c>
      <c r="D1232" s="18" t="s">
        <v>844</v>
      </c>
      <c r="E1232" s="18" t="s">
        <v>6993</v>
      </c>
      <c r="F1232" s="2">
        <f>+J1232-I1232</f>
        <v>30</v>
      </c>
      <c r="G1232" s="2">
        <f ca="1">+TODAY()-I1232</f>
        <v>11</v>
      </c>
      <c r="H1232" s="15">
        <v>561863</v>
      </c>
      <c r="I1232" s="1">
        <v>46109</v>
      </c>
      <c r="J1232" s="1">
        <v>46139</v>
      </c>
      <c r="K1232" s="18" t="s">
        <v>845</v>
      </c>
      <c r="L1232" s="18" t="s">
        <v>18</v>
      </c>
      <c r="M1232" s="18" t="s">
        <v>19</v>
      </c>
      <c r="N1232" s="18" t="s">
        <v>878</v>
      </c>
      <c r="O1232">
        <v>30</v>
      </c>
    </row>
    <row r="1233" spans="1:15" x14ac:dyDescent="0.25">
      <c r="A1233" s="18" t="s">
        <v>7276</v>
      </c>
      <c r="B1233" s="18" t="s">
        <v>2200</v>
      </c>
      <c r="C1233" s="18" t="s">
        <v>2201</v>
      </c>
      <c r="D1233" s="18" t="s">
        <v>15</v>
      </c>
      <c r="E1233" s="18" t="s">
        <v>6866</v>
      </c>
      <c r="F1233" s="2">
        <f>+J1233-I1233</f>
        <v>1</v>
      </c>
      <c r="G1233" s="2">
        <f ca="1">+TODAY()-I1233</f>
        <v>8</v>
      </c>
      <c r="H1233" s="15">
        <v>140228</v>
      </c>
      <c r="I1233" s="1">
        <v>46112</v>
      </c>
      <c r="J1233" s="1">
        <v>46113</v>
      </c>
      <c r="K1233" s="18" t="s">
        <v>17</v>
      </c>
      <c r="L1233" s="18" t="s">
        <v>317</v>
      </c>
      <c r="M1233" s="18" t="s">
        <v>19</v>
      </c>
      <c r="N1233" s="18" t="s">
        <v>2202</v>
      </c>
      <c r="O1233">
        <v>30</v>
      </c>
    </row>
    <row r="1234" spans="1:15" x14ac:dyDescent="0.25">
      <c r="A1234" s="18" t="s">
        <v>7276</v>
      </c>
      <c r="B1234" s="18" t="s">
        <v>1673</v>
      </c>
      <c r="C1234" s="18" t="s">
        <v>1674</v>
      </c>
      <c r="D1234" s="18" t="s">
        <v>1587</v>
      </c>
      <c r="E1234" s="18" t="s">
        <v>6681</v>
      </c>
      <c r="F1234" s="2">
        <f>+J1234-I1234</f>
        <v>30</v>
      </c>
      <c r="G1234" s="2">
        <f ca="1">+TODAY()-I1234</f>
        <v>14</v>
      </c>
      <c r="H1234" s="15">
        <v>520741</v>
      </c>
      <c r="I1234" s="1">
        <v>46106</v>
      </c>
      <c r="J1234" s="1">
        <v>46136</v>
      </c>
      <c r="K1234" s="18" t="s">
        <v>1589</v>
      </c>
      <c r="L1234" s="18" t="s">
        <v>984</v>
      </c>
      <c r="M1234" s="18" t="s">
        <v>19</v>
      </c>
      <c r="N1234" s="18" t="s">
        <v>1675</v>
      </c>
      <c r="O1234">
        <v>30</v>
      </c>
    </row>
    <row r="1235" spans="1:15" x14ac:dyDescent="0.25">
      <c r="A1235" s="18" t="s">
        <v>7276</v>
      </c>
      <c r="B1235" s="18" t="s">
        <v>4769</v>
      </c>
      <c r="C1235" s="18" t="s">
        <v>4770</v>
      </c>
      <c r="D1235" s="18" t="s">
        <v>347</v>
      </c>
      <c r="E1235" s="18" t="s">
        <v>7720</v>
      </c>
      <c r="F1235" s="2">
        <f>+J1235-I1235</f>
        <v>1</v>
      </c>
      <c r="G1235" s="2">
        <f ca="1">+TODAY()-I1235</f>
        <v>1</v>
      </c>
      <c r="H1235" s="15">
        <v>434365</v>
      </c>
      <c r="I1235" s="1">
        <v>46119</v>
      </c>
      <c r="J1235" s="1">
        <v>46120</v>
      </c>
      <c r="K1235" s="18" t="s">
        <v>343</v>
      </c>
      <c r="L1235" s="18" t="s">
        <v>18</v>
      </c>
      <c r="M1235" s="18" t="s">
        <v>19</v>
      </c>
      <c r="N1235" s="18" t="s">
        <v>4772</v>
      </c>
      <c r="O1235">
        <v>1</v>
      </c>
    </row>
    <row r="1236" spans="1:15" x14ac:dyDescent="0.25">
      <c r="A1236" s="18" t="s">
        <v>7276</v>
      </c>
      <c r="B1236" s="18" t="s">
        <v>1211</v>
      </c>
      <c r="C1236" s="18" t="s">
        <v>1212</v>
      </c>
      <c r="D1236" s="18" t="s">
        <v>1209</v>
      </c>
      <c r="E1236" s="18" t="s">
        <v>5271</v>
      </c>
      <c r="F1236" s="2">
        <f>+J1236-I1236</f>
        <v>30</v>
      </c>
      <c r="G1236" s="2">
        <f ca="1">+TODAY()-I1236</f>
        <v>42</v>
      </c>
      <c r="H1236" s="15">
        <v>607993</v>
      </c>
      <c r="I1236" s="1">
        <v>46078</v>
      </c>
      <c r="J1236" s="1">
        <v>46108</v>
      </c>
      <c r="K1236" s="18" t="s">
        <v>1202</v>
      </c>
      <c r="L1236" s="18" t="s">
        <v>321</v>
      </c>
      <c r="M1236" s="18" t="s">
        <v>19</v>
      </c>
      <c r="N1236" s="18" t="s">
        <v>1213</v>
      </c>
      <c r="O1236">
        <v>30</v>
      </c>
    </row>
    <row r="1237" spans="1:15" x14ac:dyDescent="0.25">
      <c r="A1237" s="18" t="s">
        <v>7276</v>
      </c>
      <c r="B1237" s="18" t="s">
        <v>1211</v>
      </c>
      <c r="C1237" s="18" t="s">
        <v>1212</v>
      </c>
      <c r="D1237" s="18" t="s">
        <v>1209</v>
      </c>
      <c r="E1237" s="18" t="s">
        <v>5477</v>
      </c>
      <c r="F1237" s="2">
        <f>+J1237-I1237</f>
        <v>30</v>
      </c>
      <c r="G1237" s="2">
        <f ca="1">+TODAY()-I1237</f>
        <v>35</v>
      </c>
      <c r="H1237" s="15">
        <v>1094434</v>
      </c>
      <c r="I1237" s="1">
        <v>46085</v>
      </c>
      <c r="J1237" s="1">
        <v>46115</v>
      </c>
      <c r="K1237" s="18" t="s">
        <v>1202</v>
      </c>
      <c r="L1237" s="18" t="s">
        <v>321</v>
      </c>
      <c r="M1237" s="18" t="s">
        <v>19</v>
      </c>
      <c r="N1237" s="18" t="s">
        <v>1213</v>
      </c>
      <c r="O1237">
        <v>30</v>
      </c>
    </row>
    <row r="1238" spans="1:15" x14ac:dyDescent="0.25">
      <c r="A1238" s="18" t="s">
        <v>7276</v>
      </c>
      <c r="B1238" s="18" t="s">
        <v>1211</v>
      </c>
      <c r="C1238" s="18" t="s">
        <v>1212</v>
      </c>
      <c r="D1238" s="18" t="s">
        <v>1209</v>
      </c>
      <c r="E1238" s="18" t="s">
        <v>5764</v>
      </c>
      <c r="F1238" s="2">
        <f>+J1238-I1238</f>
        <v>30</v>
      </c>
      <c r="G1238" s="2">
        <f ca="1">+TODAY()-I1238</f>
        <v>28</v>
      </c>
      <c r="H1238" s="15">
        <v>890248</v>
      </c>
      <c r="I1238" s="1">
        <v>46092</v>
      </c>
      <c r="J1238" s="1">
        <v>46122</v>
      </c>
      <c r="K1238" s="18" t="s">
        <v>1202</v>
      </c>
      <c r="L1238" s="18" t="s">
        <v>321</v>
      </c>
      <c r="M1238" s="18" t="s">
        <v>19</v>
      </c>
      <c r="N1238" s="18" t="s">
        <v>1213</v>
      </c>
      <c r="O1238">
        <v>30</v>
      </c>
    </row>
    <row r="1239" spans="1:15" x14ac:dyDescent="0.25">
      <c r="A1239" s="18" t="s">
        <v>7276</v>
      </c>
      <c r="B1239" s="18" t="s">
        <v>1211</v>
      </c>
      <c r="C1239" s="18" t="s">
        <v>1212</v>
      </c>
      <c r="D1239" s="18" t="s">
        <v>1209</v>
      </c>
      <c r="E1239" s="18" t="s">
        <v>5765</v>
      </c>
      <c r="F1239" s="2">
        <f>+J1239-I1239</f>
        <v>15</v>
      </c>
      <c r="G1239" s="2">
        <f ca="1">+TODAY()-I1239</f>
        <v>28</v>
      </c>
      <c r="H1239" s="17">
        <v>107995</v>
      </c>
      <c r="I1239" s="1">
        <v>46092</v>
      </c>
      <c r="J1239" s="1">
        <v>46107</v>
      </c>
      <c r="K1239" s="18" t="s">
        <v>1202</v>
      </c>
      <c r="L1239" s="18" t="s">
        <v>321</v>
      </c>
      <c r="M1239" s="18" t="s">
        <v>19</v>
      </c>
      <c r="N1239" s="18" t="s">
        <v>1213</v>
      </c>
      <c r="O1239">
        <v>30</v>
      </c>
    </row>
    <row r="1240" spans="1:15" x14ac:dyDescent="0.25">
      <c r="A1240" s="18" t="s">
        <v>7276</v>
      </c>
      <c r="B1240" s="18" t="s">
        <v>1211</v>
      </c>
      <c r="C1240" s="18" t="s">
        <v>1212</v>
      </c>
      <c r="D1240" s="18" t="s">
        <v>1209</v>
      </c>
      <c r="E1240" s="18" t="s">
        <v>6289</v>
      </c>
      <c r="F1240" s="2">
        <f>+J1240-I1240</f>
        <v>30</v>
      </c>
      <c r="G1240" s="2">
        <f ca="1">+TODAY()-I1240</f>
        <v>21</v>
      </c>
      <c r="H1240" s="15">
        <v>839991</v>
      </c>
      <c r="I1240" s="1">
        <v>46099</v>
      </c>
      <c r="J1240" s="1">
        <v>46129</v>
      </c>
      <c r="K1240" s="18" t="s">
        <v>1202</v>
      </c>
      <c r="L1240" s="18" t="s">
        <v>321</v>
      </c>
      <c r="M1240" s="18" t="s">
        <v>19</v>
      </c>
      <c r="N1240" s="18" t="s">
        <v>1213</v>
      </c>
      <c r="O1240">
        <v>30</v>
      </c>
    </row>
    <row r="1241" spans="1:15" x14ac:dyDescent="0.25">
      <c r="A1241" s="18" t="s">
        <v>7276</v>
      </c>
      <c r="B1241" s="18" t="s">
        <v>1211</v>
      </c>
      <c r="C1241" s="18" t="s">
        <v>1212</v>
      </c>
      <c r="D1241" s="18" t="s">
        <v>1209</v>
      </c>
      <c r="E1241" s="18" t="s">
        <v>6535</v>
      </c>
      <c r="F1241" s="2">
        <f>+J1241-I1241</f>
        <v>15</v>
      </c>
      <c r="G1241" s="2">
        <f ca="1">+TODAY()-I1241</f>
        <v>14</v>
      </c>
      <c r="H1241" s="17">
        <v>342799</v>
      </c>
      <c r="I1241" s="1">
        <v>46106</v>
      </c>
      <c r="J1241" s="1">
        <v>46121</v>
      </c>
      <c r="K1241" s="18" t="s">
        <v>1202</v>
      </c>
      <c r="L1241" s="18" t="s">
        <v>321</v>
      </c>
      <c r="M1241" s="18" t="s">
        <v>19</v>
      </c>
      <c r="N1241" s="18" t="s">
        <v>1213</v>
      </c>
      <c r="O1241">
        <v>30</v>
      </c>
    </row>
    <row r="1242" spans="1:15" x14ac:dyDescent="0.25">
      <c r="A1242" s="18" t="s">
        <v>7276</v>
      </c>
      <c r="B1242" s="18" t="s">
        <v>1211</v>
      </c>
      <c r="C1242" s="18" t="s">
        <v>1212</v>
      </c>
      <c r="D1242" s="18" t="s">
        <v>1209</v>
      </c>
      <c r="E1242" s="18" t="s">
        <v>6536</v>
      </c>
      <c r="F1242" s="2">
        <f>+J1242-I1242</f>
        <v>30</v>
      </c>
      <c r="G1242" s="2">
        <f ca="1">+TODAY()-I1242</f>
        <v>14</v>
      </c>
      <c r="H1242" s="17">
        <v>1126596</v>
      </c>
      <c r="I1242" s="1">
        <v>46106</v>
      </c>
      <c r="J1242" s="1">
        <v>46136</v>
      </c>
      <c r="K1242" s="18" t="s">
        <v>1202</v>
      </c>
      <c r="L1242" s="18" t="s">
        <v>321</v>
      </c>
      <c r="M1242" s="18" t="s">
        <v>19</v>
      </c>
      <c r="N1242" s="18" t="s">
        <v>1213</v>
      </c>
      <c r="O1242">
        <v>30</v>
      </c>
    </row>
    <row r="1243" spans="1:15" x14ac:dyDescent="0.25">
      <c r="A1243" s="18" t="s">
        <v>7276</v>
      </c>
      <c r="B1243" s="18" t="s">
        <v>1211</v>
      </c>
      <c r="C1243" s="18" t="s">
        <v>1212</v>
      </c>
      <c r="D1243" s="18" t="s">
        <v>1209</v>
      </c>
      <c r="E1243" s="18" t="s">
        <v>7116</v>
      </c>
      <c r="F1243" s="2">
        <f>+J1243-I1243</f>
        <v>30</v>
      </c>
      <c r="G1243" s="2">
        <f ca="1">+TODAY()-I1243</f>
        <v>8</v>
      </c>
      <c r="H1243" s="17">
        <v>1199234</v>
      </c>
      <c r="I1243" s="1">
        <v>46112</v>
      </c>
      <c r="J1243" s="1">
        <v>46142</v>
      </c>
      <c r="K1243" s="18" t="s">
        <v>1202</v>
      </c>
      <c r="L1243" s="18" t="s">
        <v>321</v>
      </c>
      <c r="M1243" s="18" t="s">
        <v>19</v>
      </c>
      <c r="N1243" s="18" t="s">
        <v>1213</v>
      </c>
      <c r="O1243">
        <v>30</v>
      </c>
    </row>
    <row r="1244" spans="1:15" x14ac:dyDescent="0.25">
      <c r="A1244" s="18" t="s">
        <v>7276</v>
      </c>
      <c r="B1244" s="18" t="s">
        <v>2906</v>
      </c>
      <c r="C1244" s="18" t="s">
        <v>2907</v>
      </c>
      <c r="D1244" s="18" t="s">
        <v>15</v>
      </c>
      <c r="E1244" s="18" t="s">
        <v>6912</v>
      </c>
      <c r="F1244" s="2">
        <f>+J1244-I1244</f>
        <v>1</v>
      </c>
      <c r="G1244" s="2">
        <f ca="1">+TODAY()-I1244</f>
        <v>8</v>
      </c>
      <c r="H1244" s="15">
        <v>117916</v>
      </c>
      <c r="I1244" s="1">
        <v>46112</v>
      </c>
      <c r="J1244" s="1">
        <v>46113</v>
      </c>
      <c r="K1244" s="18" t="s">
        <v>17</v>
      </c>
      <c r="L1244" s="18" t="s">
        <v>317</v>
      </c>
      <c r="M1244" s="18" t="s">
        <v>19</v>
      </c>
      <c r="N1244" s="18" t="s">
        <v>2908</v>
      </c>
      <c r="O1244">
        <v>30</v>
      </c>
    </row>
    <row r="1245" spans="1:15" x14ac:dyDescent="0.25">
      <c r="A1245" s="18" t="s">
        <v>7276</v>
      </c>
      <c r="B1245" s="18" t="s">
        <v>1637</v>
      </c>
      <c r="C1245" s="18" t="s">
        <v>1638</v>
      </c>
      <c r="D1245" s="18" t="s">
        <v>1593</v>
      </c>
      <c r="E1245" s="18" t="s">
        <v>5053</v>
      </c>
      <c r="F1245" s="2">
        <f>+J1245-I1245</f>
        <v>30</v>
      </c>
      <c r="G1245" s="2">
        <f ca="1">+TODAY()-I1245</f>
        <v>57</v>
      </c>
      <c r="H1245" s="15">
        <v>3736314</v>
      </c>
      <c r="I1245" s="1">
        <v>46063</v>
      </c>
      <c r="J1245" s="1">
        <v>46093</v>
      </c>
      <c r="K1245" s="18" t="s">
        <v>1589</v>
      </c>
      <c r="L1245" s="18" t="s">
        <v>984</v>
      </c>
      <c r="M1245" s="18" t="s">
        <v>19</v>
      </c>
      <c r="N1245" s="18" t="s">
        <v>6352</v>
      </c>
      <c r="O1245">
        <v>30</v>
      </c>
    </row>
    <row r="1246" spans="1:15" x14ac:dyDescent="0.25">
      <c r="A1246" s="18" t="s">
        <v>7276</v>
      </c>
      <c r="B1246" s="18" t="s">
        <v>1637</v>
      </c>
      <c r="C1246" s="18" t="s">
        <v>1638</v>
      </c>
      <c r="D1246" s="18" t="s">
        <v>1593</v>
      </c>
      <c r="E1246" s="18" t="s">
        <v>5812</v>
      </c>
      <c r="F1246" s="2">
        <f>+J1246-I1246</f>
        <v>30</v>
      </c>
      <c r="G1246" s="2">
        <f ca="1">+TODAY()-I1246</f>
        <v>33</v>
      </c>
      <c r="H1246" s="15">
        <v>8120000</v>
      </c>
      <c r="I1246" s="1">
        <v>46087</v>
      </c>
      <c r="J1246" s="1">
        <v>46117</v>
      </c>
      <c r="K1246" s="18" t="s">
        <v>1589</v>
      </c>
      <c r="L1246" s="18" t="s">
        <v>984</v>
      </c>
      <c r="M1246" s="18" t="s">
        <v>19</v>
      </c>
      <c r="N1246" s="18" t="s">
        <v>6352</v>
      </c>
      <c r="O1246">
        <v>30</v>
      </c>
    </row>
    <row r="1247" spans="1:15" x14ac:dyDescent="0.25">
      <c r="A1247" s="18" t="s">
        <v>7276</v>
      </c>
      <c r="B1247" s="18" t="s">
        <v>1637</v>
      </c>
      <c r="C1247" s="18" t="s">
        <v>1638</v>
      </c>
      <c r="D1247" s="18" t="s">
        <v>1593</v>
      </c>
      <c r="E1247" s="18" t="s">
        <v>5817</v>
      </c>
      <c r="F1247" s="2">
        <f>+J1247-I1247</f>
        <v>30</v>
      </c>
      <c r="G1247" s="2">
        <f ca="1">+TODAY()-I1247</f>
        <v>30</v>
      </c>
      <c r="H1247" s="15">
        <v>1</v>
      </c>
      <c r="I1247" s="1">
        <v>46090</v>
      </c>
      <c r="J1247" s="1">
        <v>46120</v>
      </c>
      <c r="K1247" s="18" t="s">
        <v>1589</v>
      </c>
      <c r="L1247" s="18" t="s">
        <v>984</v>
      </c>
      <c r="M1247" s="18" t="s">
        <v>19</v>
      </c>
      <c r="N1247" s="18" t="s">
        <v>6352</v>
      </c>
      <c r="O1247">
        <v>30</v>
      </c>
    </row>
    <row r="1248" spans="1:15" x14ac:dyDescent="0.25">
      <c r="A1248" s="18" t="s">
        <v>7276</v>
      </c>
      <c r="B1248" s="18" t="s">
        <v>1637</v>
      </c>
      <c r="C1248" s="18" t="s">
        <v>1638</v>
      </c>
      <c r="D1248" s="18" t="s">
        <v>1593</v>
      </c>
      <c r="E1248" s="18" t="s">
        <v>5818</v>
      </c>
      <c r="F1248" s="2">
        <f>+J1248-I1248</f>
        <v>30</v>
      </c>
      <c r="G1248" s="2">
        <f ca="1">+TODAY()-I1248</f>
        <v>30</v>
      </c>
      <c r="H1248" s="15">
        <v>3050000</v>
      </c>
      <c r="I1248" s="1">
        <v>46090</v>
      </c>
      <c r="J1248" s="1">
        <v>46120</v>
      </c>
      <c r="K1248" s="18" t="s">
        <v>1589</v>
      </c>
      <c r="L1248" s="18" t="s">
        <v>984</v>
      </c>
      <c r="M1248" s="18" t="s">
        <v>19</v>
      </c>
      <c r="N1248" s="18" t="s">
        <v>6352</v>
      </c>
      <c r="O1248">
        <v>30</v>
      </c>
    </row>
    <row r="1249" spans="1:15" x14ac:dyDescent="0.25">
      <c r="A1249" s="18" t="s">
        <v>7276</v>
      </c>
      <c r="B1249" s="18" t="s">
        <v>1637</v>
      </c>
      <c r="C1249" s="18" t="s">
        <v>1638</v>
      </c>
      <c r="D1249" s="18" t="s">
        <v>1593</v>
      </c>
      <c r="E1249" s="18" t="s">
        <v>5819</v>
      </c>
      <c r="F1249" s="2">
        <f>+J1249-I1249</f>
        <v>30</v>
      </c>
      <c r="G1249" s="2">
        <f ca="1">+TODAY()-I1249</f>
        <v>30</v>
      </c>
      <c r="H1249" s="15">
        <v>2926573</v>
      </c>
      <c r="I1249" s="1">
        <v>46090</v>
      </c>
      <c r="J1249" s="1">
        <v>46120</v>
      </c>
      <c r="K1249" s="18" t="s">
        <v>1589</v>
      </c>
      <c r="L1249" s="18" t="s">
        <v>984</v>
      </c>
      <c r="M1249" s="18" t="s">
        <v>19</v>
      </c>
      <c r="N1249" s="18" t="s">
        <v>6352</v>
      </c>
      <c r="O1249">
        <v>30</v>
      </c>
    </row>
    <row r="1250" spans="1:15" x14ac:dyDescent="0.25">
      <c r="A1250" s="18" t="s">
        <v>7276</v>
      </c>
      <c r="B1250" s="18" t="s">
        <v>1637</v>
      </c>
      <c r="C1250" s="18" t="s">
        <v>1638</v>
      </c>
      <c r="D1250" s="18" t="s">
        <v>1593</v>
      </c>
      <c r="E1250" s="18" t="s">
        <v>5820</v>
      </c>
      <c r="F1250" s="2">
        <f>+J1250-I1250</f>
        <v>30</v>
      </c>
      <c r="G1250" s="2">
        <f ca="1">+TODAY()-I1250</f>
        <v>30</v>
      </c>
      <c r="H1250" s="15">
        <v>1950827</v>
      </c>
      <c r="I1250" s="1">
        <v>46090</v>
      </c>
      <c r="J1250" s="1">
        <v>46120</v>
      </c>
      <c r="K1250" s="18" t="s">
        <v>1589</v>
      </c>
      <c r="L1250" s="18" t="s">
        <v>984</v>
      </c>
      <c r="M1250" s="18" t="s">
        <v>19</v>
      </c>
      <c r="N1250" s="18" t="s">
        <v>6352</v>
      </c>
      <c r="O1250">
        <v>30</v>
      </c>
    </row>
    <row r="1251" spans="1:15" x14ac:dyDescent="0.25">
      <c r="A1251" s="18" t="s">
        <v>7276</v>
      </c>
      <c r="B1251" s="18" t="s">
        <v>1637</v>
      </c>
      <c r="C1251" s="18" t="s">
        <v>1638</v>
      </c>
      <c r="D1251" s="18" t="s">
        <v>1593</v>
      </c>
      <c r="E1251" s="18" t="s">
        <v>5821</v>
      </c>
      <c r="F1251" s="2">
        <f>+J1251-I1251</f>
        <v>30</v>
      </c>
      <c r="G1251" s="2">
        <f ca="1">+TODAY()-I1251</f>
        <v>30</v>
      </c>
      <c r="H1251" s="15">
        <v>176415</v>
      </c>
      <c r="I1251" s="1">
        <v>46090</v>
      </c>
      <c r="J1251" s="1">
        <v>46120</v>
      </c>
      <c r="K1251" s="18" t="s">
        <v>1589</v>
      </c>
      <c r="L1251" s="18" t="s">
        <v>984</v>
      </c>
      <c r="M1251" s="18" t="s">
        <v>19</v>
      </c>
      <c r="N1251" s="18" t="s">
        <v>6352</v>
      </c>
      <c r="O1251">
        <v>30</v>
      </c>
    </row>
    <row r="1252" spans="1:15" x14ac:dyDescent="0.25">
      <c r="A1252" s="18" t="s">
        <v>7276</v>
      </c>
      <c r="B1252" s="18" t="s">
        <v>1637</v>
      </c>
      <c r="C1252" s="18" t="s">
        <v>1638</v>
      </c>
      <c r="D1252" s="18" t="s">
        <v>1593</v>
      </c>
      <c r="E1252" s="18" t="s">
        <v>5834</v>
      </c>
      <c r="F1252" s="2">
        <f>+J1252-I1252</f>
        <v>1</v>
      </c>
      <c r="G1252" s="2">
        <f ca="1">+TODAY()-I1252</f>
        <v>29</v>
      </c>
      <c r="H1252" s="15">
        <v>70080</v>
      </c>
      <c r="I1252" s="1">
        <v>46091</v>
      </c>
      <c r="J1252" s="1">
        <v>46092</v>
      </c>
      <c r="K1252" s="18" t="s">
        <v>1589</v>
      </c>
      <c r="L1252" s="18" t="s">
        <v>984</v>
      </c>
      <c r="M1252" s="18" t="s">
        <v>19</v>
      </c>
      <c r="N1252" s="18" t="s">
        <v>6352</v>
      </c>
      <c r="O1252">
        <v>30</v>
      </c>
    </row>
    <row r="1253" spans="1:15" x14ac:dyDescent="0.25">
      <c r="A1253" s="18" t="s">
        <v>7276</v>
      </c>
      <c r="B1253" s="18" t="s">
        <v>1637</v>
      </c>
      <c r="C1253" s="18" t="s">
        <v>1638</v>
      </c>
      <c r="D1253" s="18" t="s">
        <v>1593</v>
      </c>
      <c r="E1253" s="18" t="s">
        <v>6636</v>
      </c>
      <c r="F1253" s="2">
        <f>+J1253-I1253</f>
        <v>30</v>
      </c>
      <c r="G1253" s="2">
        <f ca="1">+TODAY()-I1253</f>
        <v>15</v>
      </c>
      <c r="H1253" s="15">
        <v>1368000</v>
      </c>
      <c r="I1253" s="1">
        <v>46105</v>
      </c>
      <c r="J1253" s="1">
        <v>46135</v>
      </c>
      <c r="K1253" s="18" t="s">
        <v>1589</v>
      </c>
      <c r="L1253" s="18" t="s">
        <v>984</v>
      </c>
      <c r="M1253" s="18" t="s">
        <v>19</v>
      </c>
      <c r="N1253" s="18" t="s">
        <v>6352</v>
      </c>
      <c r="O1253">
        <v>30</v>
      </c>
    </row>
    <row r="1254" spans="1:15" x14ac:dyDescent="0.25">
      <c r="A1254" s="18" t="s">
        <v>7276</v>
      </c>
      <c r="B1254" s="18" t="s">
        <v>1637</v>
      </c>
      <c r="C1254" s="18" t="s">
        <v>1638</v>
      </c>
      <c r="D1254" s="18" t="s">
        <v>1593</v>
      </c>
      <c r="E1254" s="18" t="s">
        <v>6637</v>
      </c>
      <c r="F1254" s="2">
        <f>+J1254-I1254</f>
        <v>30</v>
      </c>
      <c r="G1254" s="2">
        <f ca="1">+TODAY()-I1254</f>
        <v>15</v>
      </c>
      <c r="H1254" s="15">
        <v>1443419</v>
      </c>
      <c r="I1254" s="1">
        <v>46105</v>
      </c>
      <c r="J1254" s="1">
        <v>46135</v>
      </c>
      <c r="K1254" s="18" t="s">
        <v>1589</v>
      </c>
      <c r="L1254" s="18" t="s">
        <v>984</v>
      </c>
      <c r="M1254" s="18" t="s">
        <v>19</v>
      </c>
      <c r="N1254" s="18" t="s">
        <v>6352</v>
      </c>
      <c r="O1254">
        <v>30</v>
      </c>
    </row>
    <row r="1255" spans="1:15" x14ac:dyDescent="0.25">
      <c r="A1255" s="18" t="s">
        <v>7276</v>
      </c>
      <c r="B1255" s="18" t="s">
        <v>1637</v>
      </c>
      <c r="C1255" s="18" t="s">
        <v>1638</v>
      </c>
      <c r="D1255" s="18" t="s">
        <v>1593</v>
      </c>
      <c r="E1255" s="18" t="s">
        <v>6638</v>
      </c>
      <c r="F1255" s="2">
        <f>+J1255-I1255</f>
        <v>30</v>
      </c>
      <c r="G1255" s="2">
        <f ca="1">+TODAY()-I1255</f>
        <v>15</v>
      </c>
      <c r="H1255" s="15">
        <v>1255182</v>
      </c>
      <c r="I1255" s="1">
        <v>46105</v>
      </c>
      <c r="J1255" s="1">
        <v>46135</v>
      </c>
      <c r="K1255" s="18" t="s">
        <v>1589</v>
      </c>
      <c r="L1255" s="18" t="s">
        <v>984</v>
      </c>
      <c r="M1255" s="18" t="s">
        <v>19</v>
      </c>
      <c r="N1255" s="18" t="s">
        <v>6352</v>
      </c>
      <c r="O1255">
        <v>30</v>
      </c>
    </row>
    <row r="1256" spans="1:15" x14ac:dyDescent="0.25">
      <c r="A1256" s="18" t="s">
        <v>7276</v>
      </c>
      <c r="B1256" s="18" t="s">
        <v>1637</v>
      </c>
      <c r="C1256" s="18" t="s">
        <v>1638</v>
      </c>
      <c r="D1256" s="18" t="s">
        <v>1593</v>
      </c>
      <c r="E1256" s="18" t="s">
        <v>7590</v>
      </c>
      <c r="F1256" s="2">
        <f>+J1256-I1256</f>
        <v>30</v>
      </c>
      <c r="G1256" s="2">
        <f ca="1">+TODAY()-I1256</f>
        <v>2</v>
      </c>
      <c r="H1256" s="15">
        <v>7999200</v>
      </c>
      <c r="I1256" s="1">
        <v>46118</v>
      </c>
      <c r="J1256" s="1">
        <v>46148</v>
      </c>
      <c r="K1256" s="18" t="s">
        <v>1589</v>
      </c>
      <c r="L1256" s="18" t="s">
        <v>984</v>
      </c>
      <c r="M1256" s="18" t="s">
        <v>19</v>
      </c>
      <c r="N1256" s="18" t="s">
        <v>6352</v>
      </c>
      <c r="O1256">
        <v>30</v>
      </c>
    </row>
    <row r="1257" spans="1:15" x14ac:dyDescent="0.25">
      <c r="A1257" s="18" t="s">
        <v>7276</v>
      </c>
      <c r="B1257" s="18" t="s">
        <v>1637</v>
      </c>
      <c r="C1257" s="18" t="s">
        <v>1638</v>
      </c>
      <c r="D1257" s="18" t="s">
        <v>1593</v>
      </c>
      <c r="E1257" s="18" t="s">
        <v>7591</v>
      </c>
      <c r="F1257" s="2">
        <f>+J1257-I1257</f>
        <v>30</v>
      </c>
      <c r="G1257" s="2">
        <f ca="1">+TODAY()-I1257</f>
        <v>2</v>
      </c>
      <c r="H1257" s="15">
        <v>2113016</v>
      </c>
      <c r="I1257" s="1">
        <v>46118</v>
      </c>
      <c r="J1257" s="1">
        <v>46148</v>
      </c>
      <c r="K1257" s="18" t="s">
        <v>1589</v>
      </c>
      <c r="L1257" s="18" t="s">
        <v>984</v>
      </c>
      <c r="M1257" s="18" t="s">
        <v>19</v>
      </c>
      <c r="N1257" s="18" t="s">
        <v>6352</v>
      </c>
      <c r="O1257">
        <v>30</v>
      </c>
    </row>
    <row r="1258" spans="1:15" x14ac:dyDescent="0.25">
      <c r="A1258" s="18" t="s">
        <v>7276</v>
      </c>
      <c r="B1258" s="18" t="s">
        <v>1637</v>
      </c>
      <c r="C1258" s="18" t="s">
        <v>1638</v>
      </c>
      <c r="D1258" s="18" t="s">
        <v>1593</v>
      </c>
      <c r="E1258" s="18" t="s">
        <v>7592</v>
      </c>
      <c r="F1258" s="2">
        <f>+J1258-I1258</f>
        <v>30</v>
      </c>
      <c r="G1258" s="2">
        <f ca="1">+TODAY()-I1258</f>
        <v>2</v>
      </c>
      <c r="H1258" s="15">
        <v>2108552</v>
      </c>
      <c r="I1258" s="1">
        <v>46118</v>
      </c>
      <c r="J1258" s="1">
        <v>46148</v>
      </c>
      <c r="K1258" s="18" t="s">
        <v>1589</v>
      </c>
      <c r="L1258" s="18" t="s">
        <v>984</v>
      </c>
      <c r="M1258" s="18" t="s">
        <v>19</v>
      </c>
      <c r="N1258" s="18" t="s">
        <v>6352</v>
      </c>
      <c r="O1258">
        <v>30</v>
      </c>
    </row>
    <row r="1259" spans="1:15" x14ac:dyDescent="0.25">
      <c r="A1259" s="18" t="s">
        <v>7276</v>
      </c>
      <c r="B1259" s="18" t="s">
        <v>1637</v>
      </c>
      <c r="C1259" s="18" t="s">
        <v>1638</v>
      </c>
      <c r="D1259" s="18" t="s">
        <v>1593</v>
      </c>
      <c r="E1259" s="18" t="s">
        <v>7606</v>
      </c>
      <c r="F1259" s="2">
        <f>+J1259-I1259</f>
        <v>30</v>
      </c>
      <c r="G1259" s="2">
        <f ca="1">+TODAY()-I1259</f>
        <v>2</v>
      </c>
      <c r="H1259" s="15">
        <v>2</v>
      </c>
      <c r="I1259" s="1">
        <v>46118</v>
      </c>
      <c r="J1259" s="1">
        <v>46148</v>
      </c>
      <c r="K1259" s="18" t="s">
        <v>1589</v>
      </c>
      <c r="L1259" s="18" t="s">
        <v>984</v>
      </c>
      <c r="M1259" s="18" t="s">
        <v>19</v>
      </c>
      <c r="N1259" s="18" t="s">
        <v>6352</v>
      </c>
      <c r="O1259">
        <v>30</v>
      </c>
    </row>
    <row r="1260" spans="1:15" x14ac:dyDescent="0.25">
      <c r="A1260" s="18" t="s">
        <v>7276</v>
      </c>
      <c r="B1260" s="18" t="s">
        <v>1637</v>
      </c>
      <c r="C1260" s="18" t="s">
        <v>1638</v>
      </c>
      <c r="D1260" s="18" t="s">
        <v>1593</v>
      </c>
      <c r="E1260" s="18" t="s">
        <v>7823</v>
      </c>
      <c r="F1260" s="2">
        <f>+J1260-I1260</f>
        <v>30</v>
      </c>
      <c r="G1260" s="2">
        <f ca="1">+TODAY()-I1260</f>
        <v>1</v>
      </c>
      <c r="H1260" s="15">
        <v>4190013</v>
      </c>
      <c r="I1260" s="1">
        <v>46119</v>
      </c>
      <c r="J1260" s="1">
        <v>46149</v>
      </c>
      <c r="K1260" s="18" t="s">
        <v>1589</v>
      </c>
      <c r="L1260" s="18" t="s">
        <v>984</v>
      </c>
      <c r="M1260" s="18" t="s">
        <v>19</v>
      </c>
      <c r="N1260" s="18" t="s">
        <v>6352</v>
      </c>
      <c r="O1260">
        <v>30</v>
      </c>
    </row>
    <row r="1261" spans="1:15" x14ac:dyDescent="0.25">
      <c r="A1261" s="18" t="s">
        <v>7276</v>
      </c>
      <c r="B1261" s="18" t="s">
        <v>1925</v>
      </c>
      <c r="C1261" s="18" t="s">
        <v>1926</v>
      </c>
      <c r="D1261" s="18" t="s">
        <v>1242</v>
      </c>
      <c r="E1261" s="18" t="s">
        <v>6028</v>
      </c>
      <c r="F1261" s="2">
        <f>+J1261-I1261</f>
        <v>30</v>
      </c>
      <c r="G1261" s="2">
        <f ca="1">+TODAY()-I1261</f>
        <v>26</v>
      </c>
      <c r="H1261" s="15">
        <v>1327124</v>
      </c>
      <c r="I1261" s="1">
        <v>46094</v>
      </c>
      <c r="J1261" s="1">
        <v>46124</v>
      </c>
      <c r="K1261" s="18" t="s">
        <v>1243</v>
      </c>
      <c r="L1261" s="18" t="s">
        <v>207</v>
      </c>
      <c r="M1261" s="18" t="s">
        <v>19</v>
      </c>
      <c r="N1261" s="18" t="s">
        <v>1927</v>
      </c>
      <c r="O1261">
        <v>30</v>
      </c>
    </row>
    <row r="1262" spans="1:15" x14ac:dyDescent="0.25">
      <c r="A1262" s="18" t="s">
        <v>7276</v>
      </c>
      <c r="B1262" s="18" t="s">
        <v>1925</v>
      </c>
      <c r="C1262" s="18" t="s">
        <v>1926</v>
      </c>
      <c r="D1262" s="18" t="s">
        <v>1242</v>
      </c>
      <c r="E1262" s="18" t="s">
        <v>6303</v>
      </c>
      <c r="F1262" s="2">
        <f>+J1262-I1262</f>
        <v>30</v>
      </c>
      <c r="G1262" s="2">
        <f ca="1">+TODAY()-I1262</f>
        <v>19</v>
      </c>
      <c r="H1262" s="15">
        <v>1164951</v>
      </c>
      <c r="I1262" s="1">
        <v>46101</v>
      </c>
      <c r="J1262" s="1">
        <v>46131</v>
      </c>
      <c r="K1262" s="18" t="s">
        <v>1243</v>
      </c>
      <c r="L1262" s="18" t="s">
        <v>207</v>
      </c>
      <c r="M1262" s="18" t="s">
        <v>19</v>
      </c>
      <c r="N1262" s="18" t="s">
        <v>1927</v>
      </c>
      <c r="O1262">
        <v>30</v>
      </c>
    </row>
    <row r="1263" spans="1:15" x14ac:dyDescent="0.25">
      <c r="A1263" s="18" t="s">
        <v>7276</v>
      </c>
      <c r="B1263" s="18" t="s">
        <v>3409</v>
      </c>
      <c r="C1263" s="18" t="s">
        <v>3410</v>
      </c>
      <c r="D1263" s="18" t="s">
        <v>15</v>
      </c>
      <c r="E1263" s="18" t="s">
        <v>6193</v>
      </c>
      <c r="F1263" s="2">
        <f>+J1263-I1263</f>
        <v>15</v>
      </c>
      <c r="G1263" s="2">
        <f ca="1">+TODAY()-I1263</f>
        <v>21</v>
      </c>
      <c r="H1263" s="15">
        <v>600623</v>
      </c>
      <c r="I1263" s="1">
        <v>46099</v>
      </c>
      <c r="J1263" s="1">
        <v>46114</v>
      </c>
      <c r="K1263" s="18" t="s">
        <v>17</v>
      </c>
      <c r="L1263" s="18" t="s">
        <v>317</v>
      </c>
      <c r="M1263" s="18" t="s">
        <v>19</v>
      </c>
      <c r="N1263" s="18" t="s">
        <v>3412</v>
      </c>
      <c r="O1263">
        <v>30</v>
      </c>
    </row>
    <row r="1264" spans="1:15" x14ac:dyDescent="0.25">
      <c r="A1264" s="18" t="s">
        <v>7276</v>
      </c>
      <c r="B1264" s="18" t="s">
        <v>961</v>
      </c>
      <c r="C1264" s="18" t="s">
        <v>962</v>
      </c>
      <c r="D1264" s="18" t="s">
        <v>916</v>
      </c>
      <c r="E1264" s="18" t="s">
        <v>6481</v>
      </c>
      <c r="F1264" s="2">
        <f>+J1264-I1264</f>
        <v>30</v>
      </c>
      <c r="G1264" s="2">
        <f ca="1">+TODAY()-I1264</f>
        <v>15</v>
      </c>
      <c r="H1264" s="15">
        <v>908127</v>
      </c>
      <c r="I1264" s="1">
        <v>46105</v>
      </c>
      <c r="J1264" s="1">
        <v>46135</v>
      </c>
      <c r="K1264" s="18" t="s">
        <v>918</v>
      </c>
      <c r="L1264" s="18" t="s">
        <v>312</v>
      </c>
      <c r="M1264" s="18" t="s">
        <v>19</v>
      </c>
      <c r="N1264" s="18" t="s">
        <v>6238</v>
      </c>
      <c r="O1264">
        <v>30</v>
      </c>
    </row>
    <row r="1265" spans="1:15" x14ac:dyDescent="0.25">
      <c r="A1265" s="18" t="s">
        <v>7276</v>
      </c>
      <c r="B1265" s="18" t="s">
        <v>961</v>
      </c>
      <c r="C1265" s="18" t="s">
        <v>962</v>
      </c>
      <c r="D1265" s="18" t="s">
        <v>916</v>
      </c>
      <c r="E1265" s="18" t="s">
        <v>6482</v>
      </c>
      <c r="F1265" s="2">
        <f>+J1265-I1265</f>
        <v>15</v>
      </c>
      <c r="G1265" s="2">
        <f ca="1">+TODAY()-I1265</f>
        <v>15</v>
      </c>
      <c r="H1265" s="15">
        <v>334989</v>
      </c>
      <c r="I1265" s="1">
        <v>46105</v>
      </c>
      <c r="J1265" s="1">
        <v>46120</v>
      </c>
      <c r="K1265" s="18" t="s">
        <v>918</v>
      </c>
      <c r="L1265" s="18" t="s">
        <v>312</v>
      </c>
      <c r="M1265" s="18" t="s">
        <v>19</v>
      </c>
      <c r="N1265" s="18" t="s">
        <v>6238</v>
      </c>
      <c r="O1265">
        <v>30</v>
      </c>
    </row>
    <row r="1266" spans="1:15" x14ac:dyDescent="0.25">
      <c r="A1266" s="18" t="s">
        <v>7276</v>
      </c>
      <c r="B1266" s="18" t="s">
        <v>961</v>
      </c>
      <c r="C1266" s="18" t="s">
        <v>962</v>
      </c>
      <c r="D1266" s="18" t="s">
        <v>916</v>
      </c>
      <c r="E1266" s="18" t="s">
        <v>6491</v>
      </c>
      <c r="F1266" s="2">
        <f>+J1266-I1266</f>
        <v>30</v>
      </c>
      <c r="G1266" s="2">
        <f ca="1">+TODAY()-I1266</f>
        <v>15</v>
      </c>
      <c r="H1266" s="15">
        <v>954633</v>
      </c>
      <c r="I1266" s="1">
        <v>46105</v>
      </c>
      <c r="J1266" s="1">
        <v>46135</v>
      </c>
      <c r="K1266" s="18" t="s">
        <v>918</v>
      </c>
      <c r="L1266" s="18" t="s">
        <v>312</v>
      </c>
      <c r="M1266" s="18" t="s">
        <v>19</v>
      </c>
      <c r="N1266" s="18" t="s">
        <v>6238</v>
      </c>
      <c r="O1266">
        <v>30</v>
      </c>
    </row>
    <row r="1267" spans="1:15" x14ac:dyDescent="0.25">
      <c r="A1267" s="18" t="s">
        <v>7276</v>
      </c>
      <c r="B1267" s="18" t="s">
        <v>1195</v>
      </c>
      <c r="C1267" s="18" t="s">
        <v>1196</v>
      </c>
      <c r="D1267" s="18" t="s">
        <v>1181</v>
      </c>
      <c r="E1267" s="18" t="s">
        <v>1197</v>
      </c>
      <c r="F1267" s="2">
        <f>+J1267-I1267</f>
        <v>30</v>
      </c>
      <c r="G1267" s="2">
        <f ca="1">+TODAY()-I1267</f>
        <v>1652</v>
      </c>
      <c r="H1267" s="15">
        <v>5991700</v>
      </c>
      <c r="I1267" s="1">
        <v>44468</v>
      </c>
      <c r="J1267" s="1">
        <v>44498</v>
      </c>
      <c r="K1267" s="18" t="s">
        <v>1183</v>
      </c>
      <c r="L1267" s="18" t="s">
        <v>984</v>
      </c>
      <c r="M1267" s="18" t="s">
        <v>19</v>
      </c>
      <c r="N1267" s="18" t="s">
        <v>1198</v>
      </c>
      <c r="O1267">
        <v>1</v>
      </c>
    </row>
    <row r="1268" spans="1:15" x14ac:dyDescent="0.25">
      <c r="A1268" s="18" t="s">
        <v>7276</v>
      </c>
      <c r="B1268" s="18" t="s">
        <v>1954</v>
      </c>
      <c r="C1268" s="18" t="s">
        <v>1955</v>
      </c>
      <c r="D1268" s="18" t="s">
        <v>46</v>
      </c>
      <c r="E1268" s="18" t="s">
        <v>6883</v>
      </c>
      <c r="F1268" s="2">
        <f>+J1268-I1268</f>
        <v>10</v>
      </c>
      <c r="G1268" s="2">
        <f ca="1">+TODAY()-I1268</f>
        <v>8</v>
      </c>
      <c r="H1268" s="15">
        <v>420000</v>
      </c>
      <c r="I1268" s="1">
        <v>46112</v>
      </c>
      <c r="J1268" s="1">
        <v>46122</v>
      </c>
      <c r="K1268" s="18" t="s">
        <v>17</v>
      </c>
      <c r="L1268" s="18" t="s">
        <v>312</v>
      </c>
      <c r="M1268" s="18" t="s">
        <v>19</v>
      </c>
      <c r="N1268" s="18" t="s">
        <v>1956</v>
      </c>
      <c r="O1268">
        <v>30</v>
      </c>
    </row>
    <row r="1269" spans="1:15" x14ac:dyDescent="0.25">
      <c r="A1269" s="18" t="s">
        <v>7276</v>
      </c>
      <c r="B1269" s="18" t="s">
        <v>1954</v>
      </c>
      <c r="C1269" s="18" t="s">
        <v>1955</v>
      </c>
      <c r="D1269" s="18" t="s">
        <v>46</v>
      </c>
      <c r="E1269" s="18" t="s">
        <v>6884</v>
      </c>
      <c r="F1269" s="2">
        <f>+J1269-I1269</f>
        <v>15</v>
      </c>
      <c r="G1269" s="2">
        <f ca="1">+TODAY()-I1269</f>
        <v>8</v>
      </c>
      <c r="H1269" s="15">
        <v>396300</v>
      </c>
      <c r="I1269" s="1">
        <v>46112</v>
      </c>
      <c r="J1269" s="1">
        <v>46127</v>
      </c>
      <c r="K1269" s="18" t="s">
        <v>17</v>
      </c>
      <c r="L1269" s="18" t="s">
        <v>312</v>
      </c>
      <c r="M1269" s="18" t="s">
        <v>19</v>
      </c>
      <c r="N1269" s="18" t="s">
        <v>1956</v>
      </c>
      <c r="O1269">
        <v>30</v>
      </c>
    </row>
    <row r="1270" spans="1:15" x14ac:dyDescent="0.25">
      <c r="A1270" s="18" t="s">
        <v>7276</v>
      </c>
      <c r="B1270" s="18" t="s">
        <v>1328</v>
      </c>
      <c r="C1270" s="18" t="s">
        <v>1329</v>
      </c>
      <c r="D1270" s="18" t="s">
        <v>1323</v>
      </c>
      <c r="E1270" s="18" t="s">
        <v>1330</v>
      </c>
      <c r="F1270" s="2">
        <f>+J1270-I1270</f>
        <v>30</v>
      </c>
      <c r="G1270" s="2">
        <f ca="1">+TODAY()-I1270</f>
        <v>600</v>
      </c>
      <c r="H1270" s="15">
        <v>429892</v>
      </c>
      <c r="I1270" s="1">
        <v>45520</v>
      </c>
      <c r="J1270" s="1">
        <v>45550</v>
      </c>
      <c r="K1270" s="18" t="s">
        <v>1325</v>
      </c>
      <c r="L1270" s="18" t="s">
        <v>90</v>
      </c>
      <c r="M1270" s="18" t="s">
        <v>19</v>
      </c>
      <c r="N1270" s="18" t="s">
        <v>1331</v>
      </c>
      <c r="O1270">
        <v>30</v>
      </c>
    </row>
    <row r="1271" spans="1:15" x14ac:dyDescent="0.25">
      <c r="A1271" s="18" t="s">
        <v>7276</v>
      </c>
      <c r="B1271" s="18" t="s">
        <v>7152</v>
      </c>
      <c r="C1271" s="18" t="s">
        <v>7153</v>
      </c>
      <c r="D1271" s="18" t="s">
        <v>7154</v>
      </c>
      <c r="E1271" s="18" t="s">
        <v>7155</v>
      </c>
      <c r="F1271" s="2">
        <f>+J1271-I1271</f>
        <v>1</v>
      </c>
      <c r="G1271" s="2">
        <f ca="1">+TODAY()-I1271</f>
        <v>9</v>
      </c>
      <c r="H1271" s="15">
        <v>247900</v>
      </c>
      <c r="I1271" s="1">
        <v>46111</v>
      </c>
      <c r="J1271" s="1">
        <v>46112</v>
      </c>
      <c r="K1271" s="18" t="s">
        <v>1243</v>
      </c>
      <c r="L1271" s="18" t="s">
        <v>312</v>
      </c>
      <c r="M1271" s="18" t="s">
        <v>19</v>
      </c>
      <c r="N1271" s="18" t="s">
        <v>7156</v>
      </c>
      <c r="O1271">
        <v>30</v>
      </c>
    </row>
    <row r="1272" spans="1:15" x14ac:dyDescent="0.25">
      <c r="A1272" s="18" t="s">
        <v>7276</v>
      </c>
      <c r="B1272" s="18" t="s">
        <v>5296</v>
      </c>
      <c r="C1272" s="18" t="s">
        <v>5297</v>
      </c>
      <c r="D1272" s="18" t="s">
        <v>1323</v>
      </c>
      <c r="E1272" s="18" t="s">
        <v>5298</v>
      </c>
      <c r="F1272" s="2">
        <f>+J1272-I1272</f>
        <v>30</v>
      </c>
      <c r="G1272" s="2">
        <f ca="1">+TODAY()-I1272</f>
        <v>40</v>
      </c>
      <c r="H1272" s="15">
        <v>1146424</v>
      </c>
      <c r="I1272" s="1">
        <v>46080</v>
      </c>
      <c r="J1272" s="1">
        <v>46110</v>
      </c>
      <c r="K1272" s="18" t="s">
        <v>1325</v>
      </c>
      <c r="L1272" s="18" t="s">
        <v>90</v>
      </c>
      <c r="M1272" s="18" t="s">
        <v>19</v>
      </c>
      <c r="N1272" s="18" t="s">
        <v>5299</v>
      </c>
      <c r="O1272">
        <v>30</v>
      </c>
    </row>
    <row r="1273" spans="1:15" x14ac:dyDescent="0.25">
      <c r="A1273" s="18" t="s">
        <v>7276</v>
      </c>
      <c r="B1273" s="18" t="s">
        <v>198</v>
      </c>
      <c r="C1273" s="18" t="s">
        <v>199</v>
      </c>
      <c r="D1273" s="18" t="s">
        <v>15</v>
      </c>
      <c r="E1273" s="18" t="s">
        <v>5205</v>
      </c>
      <c r="F1273" s="2">
        <f>+J1273-I1273</f>
        <v>30</v>
      </c>
      <c r="G1273" s="2">
        <f ca="1">+TODAY()-I1273</f>
        <v>40</v>
      </c>
      <c r="H1273" s="15">
        <v>1998600</v>
      </c>
      <c r="I1273" s="1">
        <v>46080</v>
      </c>
      <c r="J1273" s="1">
        <v>46110</v>
      </c>
      <c r="K1273" s="18" t="s">
        <v>17</v>
      </c>
      <c r="L1273" s="18" t="s">
        <v>109</v>
      </c>
      <c r="M1273" s="18" t="s">
        <v>19</v>
      </c>
      <c r="N1273" s="18" t="s">
        <v>200</v>
      </c>
      <c r="O1273">
        <v>30</v>
      </c>
    </row>
    <row r="1274" spans="1:15" x14ac:dyDescent="0.25">
      <c r="A1274" s="18" t="s">
        <v>7276</v>
      </c>
      <c r="B1274" s="18" t="s">
        <v>198</v>
      </c>
      <c r="C1274" s="18" t="s">
        <v>199</v>
      </c>
      <c r="D1274" s="18" t="s">
        <v>15</v>
      </c>
      <c r="E1274" s="18" t="s">
        <v>6397</v>
      </c>
      <c r="F1274" s="2">
        <f>+J1274-I1274</f>
        <v>8</v>
      </c>
      <c r="G1274" s="2">
        <f ca="1">+TODAY()-I1274</f>
        <v>15</v>
      </c>
      <c r="H1274" s="15">
        <v>2880000</v>
      </c>
      <c r="I1274" s="1">
        <v>46105</v>
      </c>
      <c r="J1274" s="1">
        <v>46113</v>
      </c>
      <c r="K1274" s="18" t="s">
        <v>17</v>
      </c>
      <c r="L1274" s="18" t="s">
        <v>109</v>
      </c>
      <c r="M1274" s="18" t="s">
        <v>19</v>
      </c>
      <c r="N1274" s="18" t="s">
        <v>200</v>
      </c>
      <c r="O1274">
        <v>30</v>
      </c>
    </row>
    <row r="1275" spans="1:15" x14ac:dyDescent="0.25">
      <c r="A1275" s="18" t="s">
        <v>7276</v>
      </c>
      <c r="B1275" s="18" t="s">
        <v>198</v>
      </c>
      <c r="C1275" s="18" t="s">
        <v>199</v>
      </c>
      <c r="D1275" s="18" t="s">
        <v>15</v>
      </c>
      <c r="E1275" s="18" t="s">
        <v>6716</v>
      </c>
      <c r="F1275" s="2">
        <f>+J1275-I1275</f>
        <v>8</v>
      </c>
      <c r="G1275" s="2">
        <f ca="1">+TODAY()-I1275</f>
        <v>12</v>
      </c>
      <c r="H1275" s="15">
        <v>160000</v>
      </c>
      <c r="I1275" s="1">
        <v>46108</v>
      </c>
      <c r="J1275" s="1">
        <v>46116</v>
      </c>
      <c r="K1275" s="18" t="s">
        <v>17</v>
      </c>
      <c r="L1275" s="18" t="s">
        <v>109</v>
      </c>
      <c r="M1275" s="18" t="s">
        <v>19</v>
      </c>
      <c r="N1275" s="18" t="s">
        <v>200</v>
      </c>
      <c r="O1275">
        <v>30</v>
      </c>
    </row>
    <row r="1276" spans="1:15" x14ac:dyDescent="0.25">
      <c r="A1276" s="18" t="s">
        <v>7276</v>
      </c>
      <c r="B1276" s="18" t="s">
        <v>198</v>
      </c>
      <c r="C1276" s="18" t="s">
        <v>199</v>
      </c>
      <c r="D1276" s="18" t="s">
        <v>15</v>
      </c>
      <c r="E1276" s="18" t="s">
        <v>6717</v>
      </c>
      <c r="F1276" s="2">
        <f>+J1276-I1276</f>
        <v>8</v>
      </c>
      <c r="G1276" s="2">
        <f ca="1">+TODAY()-I1276</f>
        <v>12</v>
      </c>
      <c r="H1276" s="15">
        <v>2880000</v>
      </c>
      <c r="I1276" s="1">
        <v>46108</v>
      </c>
      <c r="J1276" s="1">
        <v>46116</v>
      </c>
      <c r="K1276" s="18" t="s">
        <v>17</v>
      </c>
      <c r="L1276" s="18" t="s">
        <v>109</v>
      </c>
      <c r="M1276" s="18" t="s">
        <v>19</v>
      </c>
      <c r="N1276" s="18" t="s">
        <v>200</v>
      </c>
      <c r="O1276">
        <v>30</v>
      </c>
    </row>
    <row r="1277" spans="1:15" x14ac:dyDescent="0.25">
      <c r="A1277" s="18" t="s">
        <v>7276</v>
      </c>
      <c r="B1277" s="18" t="s">
        <v>198</v>
      </c>
      <c r="C1277" s="18" t="s">
        <v>199</v>
      </c>
      <c r="D1277" s="18" t="s">
        <v>15</v>
      </c>
      <c r="E1277" s="18" t="s">
        <v>6741</v>
      </c>
      <c r="F1277" s="2">
        <f>+J1277-I1277</f>
        <v>8</v>
      </c>
      <c r="G1277" s="2">
        <f ca="1">+TODAY()-I1277</f>
        <v>11</v>
      </c>
      <c r="H1277" s="15">
        <v>174400</v>
      </c>
      <c r="I1277" s="1">
        <v>46109</v>
      </c>
      <c r="J1277" s="1">
        <v>46117</v>
      </c>
      <c r="K1277" s="18" t="s">
        <v>17</v>
      </c>
      <c r="L1277" s="18" t="s">
        <v>109</v>
      </c>
      <c r="M1277" s="18" t="s">
        <v>19</v>
      </c>
      <c r="N1277" s="18" t="s">
        <v>200</v>
      </c>
      <c r="O1277">
        <v>30</v>
      </c>
    </row>
    <row r="1278" spans="1:15" x14ac:dyDescent="0.25">
      <c r="A1278" s="18" t="s">
        <v>7276</v>
      </c>
      <c r="B1278" s="18" t="s">
        <v>198</v>
      </c>
      <c r="C1278" s="18" t="s">
        <v>199</v>
      </c>
      <c r="D1278" s="18" t="s">
        <v>15</v>
      </c>
      <c r="E1278" s="18" t="s">
        <v>6784</v>
      </c>
      <c r="F1278" s="2">
        <f>+J1278-I1278</f>
        <v>30</v>
      </c>
      <c r="G1278" s="2">
        <f ca="1">+TODAY()-I1278</f>
        <v>8</v>
      </c>
      <c r="H1278" s="15">
        <v>3994433</v>
      </c>
      <c r="I1278" s="1">
        <v>46112</v>
      </c>
      <c r="J1278" s="1">
        <v>46142</v>
      </c>
      <c r="K1278" s="18" t="s">
        <v>17</v>
      </c>
      <c r="L1278" s="18" t="s">
        <v>109</v>
      </c>
      <c r="M1278" s="18" t="s">
        <v>19</v>
      </c>
      <c r="N1278" s="18" t="s">
        <v>200</v>
      </c>
      <c r="O1278">
        <v>30</v>
      </c>
    </row>
    <row r="1279" spans="1:15" x14ac:dyDescent="0.25">
      <c r="A1279" s="18" t="s">
        <v>7276</v>
      </c>
      <c r="B1279" s="18" t="s">
        <v>198</v>
      </c>
      <c r="C1279" s="18" t="s">
        <v>199</v>
      </c>
      <c r="D1279" s="18" t="s">
        <v>15</v>
      </c>
      <c r="E1279" s="18" t="s">
        <v>7292</v>
      </c>
      <c r="F1279" s="2">
        <f>+J1279-I1279</f>
        <v>30</v>
      </c>
      <c r="G1279" s="2">
        <f ca="1">+TODAY()-I1279</f>
        <v>7</v>
      </c>
      <c r="H1279" s="15">
        <v>3577100</v>
      </c>
      <c r="I1279" s="1">
        <v>46113</v>
      </c>
      <c r="J1279" s="1">
        <v>46143</v>
      </c>
      <c r="K1279" s="18" t="s">
        <v>17</v>
      </c>
      <c r="L1279" s="18" t="s">
        <v>109</v>
      </c>
      <c r="M1279" s="18" t="s">
        <v>19</v>
      </c>
      <c r="N1279" s="18" t="s">
        <v>200</v>
      </c>
      <c r="O1279">
        <v>30</v>
      </c>
    </row>
    <row r="1280" spans="1:15" x14ac:dyDescent="0.25">
      <c r="A1280" s="18" t="s">
        <v>7276</v>
      </c>
      <c r="B1280" s="18" t="s">
        <v>2020</v>
      </c>
      <c r="C1280" s="18" t="s">
        <v>2021</v>
      </c>
      <c r="D1280" s="18" t="s">
        <v>844</v>
      </c>
      <c r="E1280" s="18" t="s">
        <v>5960</v>
      </c>
      <c r="F1280" s="2">
        <f>+J1280-I1280</f>
        <v>30</v>
      </c>
      <c r="G1280" s="2">
        <f ca="1">+TODAY()-I1280</f>
        <v>26</v>
      </c>
      <c r="H1280" s="15">
        <v>200896</v>
      </c>
      <c r="I1280" s="1">
        <v>46094</v>
      </c>
      <c r="J1280" s="1">
        <v>46124</v>
      </c>
      <c r="K1280" s="18" t="s">
        <v>845</v>
      </c>
      <c r="L1280" s="18" t="s">
        <v>18</v>
      </c>
      <c r="M1280" s="18" t="s">
        <v>19</v>
      </c>
      <c r="N1280" s="18" t="s">
        <v>2022</v>
      </c>
      <c r="O1280">
        <v>30</v>
      </c>
    </row>
    <row r="1281" spans="1:15" x14ac:dyDescent="0.25">
      <c r="A1281" s="18" t="s">
        <v>7276</v>
      </c>
      <c r="B1281" s="18" t="s">
        <v>1373</v>
      </c>
      <c r="C1281" s="18" t="s">
        <v>1374</v>
      </c>
      <c r="D1281" s="18" t="s">
        <v>382</v>
      </c>
      <c r="E1281" s="18" t="s">
        <v>6045</v>
      </c>
      <c r="F1281" s="2">
        <f>+J1281-I1281</f>
        <v>30</v>
      </c>
      <c r="G1281" s="2">
        <f ca="1">+TODAY()-I1281</f>
        <v>27</v>
      </c>
      <c r="H1281" s="15">
        <v>454758</v>
      </c>
      <c r="I1281" s="1">
        <v>46093</v>
      </c>
      <c r="J1281" s="1">
        <v>46123</v>
      </c>
      <c r="K1281" s="18" t="s">
        <v>1325</v>
      </c>
      <c r="L1281" s="18" t="s">
        <v>90</v>
      </c>
      <c r="M1281" s="18" t="s">
        <v>19</v>
      </c>
      <c r="N1281" s="18" t="s">
        <v>1375</v>
      </c>
      <c r="O1281">
        <v>30</v>
      </c>
    </row>
    <row r="1282" spans="1:15" x14ac:dyDescent="0.25">
      <c r="A1282" s="18" t="s">
        <v>7276</v>
      </c>
      <c r="B1282" s="18" t="s">
        <v>7380</v>
      </c>
      <c r="C1282" s="18" t="s">
        <v>7381</v>
      </c>
      <c r="D1282" s="18" t="s">
        <v>15</v>
      </c>
      <c r="E1282" s="18" t="s">
        <v>7382</v>
      </c>
      <c r="F1282" s="2">
        <f>+J1282-I1282</f>
        <v>30</v>
      </c>
      <c r="G1282" s="2">
        <f ca="1">+TODAY()-I1282</f>
        <v>7</v>
      </c>
      <c r="H1282" s="15">
        <v>165900</v>
      </c>
      <c r="I1282" s="1">
        <v>46113</v>
      </c>
      <c r="J1282" s="1">
        <v>46143</v>
      </c>
      <c r="K1282" s="18" t="s">
        <v>17</v>
      </c>
      <c r="L1282" s="18" t="s">
        <v>109</v>
      </c>
      <c r="M1282" s="18" t="s">
        <v>19</v>
      </c>
      <c r="N1282" s="18" t="s">
        <v>7383</v>
      </c>
      <c r="O1282">
        <v>30</v>
      </c>
    </row>
    <row r="1283" spans="1:15" x14ac:dyDescent="0.25">
      <c r="A1283" s="18" t="s">
        <v>7276</v>
      </c>
      <c r="B1283" s="18" t="s">
        <v>5260</v>
      </c>
      <c r="C1283" s="18" t="s">
        <v>5261</v>
      </c>
      <c r="D1283" s="18" t="s">
        <v>1066</v>
      </c>
      <c r="E1283" s="18" t="s">
        <v>7074</v>
      </c>
      <c r="F1283" s="2">
        <f>+J1283-I1283</f>
        <v>1</v>
      </c>
      <c r="G1283" s="2">
        <f ca="1">+TODAY()-I1283</f>
        <v>9</v>
      </c>
      <c r="H1283" s="15">
        <v>76820</v>
      </c>
      <c r="I1283" s="1">
        <v>46111</v>
      </c>
      <c r="J1283" s="1">
        <v>46112</v>
      </c>
      <c r="K1283" s="18" t="s">
        <v>1068</v>
      </c>
      <c r="L1283" s="18" t="s">
        <v>321</v>
      </c>
      <c r="M1283" s="18" t="s">
        <v>19</v>
      </c>
      <c r="N1283" s="18" t="s">
        <v>5262</v>
      </c>
      <c r="O1283">
        <v>1</v>
      </c>
    </row>
    <row r="1284" spans="1:15" x14ac:dyDescent="0.25">
      <c r="A1284" s="18" t="s">
        <v>7276</v>
      </c>
      <c r="B1284" s="18" t="s">
        <v>1302</v>
      </c>
      <c r="C1284" s="18" t="s">
        <v>1303</v>
      </c>
      <c r="D1284" s="18" t="s">
        <v>1299</v>
      </c>
      <c r="E1284" s="18" t="s">
        <v>5284</v>
      </c>
      <c r="F1284" s="2">
        <f>+J1284-I1284</f>
        <v>30</v>
      </c>
      <c r="G1284" s="2">
        <f ca="1">+TODAY()-I1284</f>
        <v>43</v>
      </c>
      <c r="H1284" s="15">
        <v>715300</v>
      </c>
      <c r="I1284" s="1">
        <v>46077</v>
      </c>
      <c r="J1284" s="1">
        <v>46107</v>
      </c>
      <c r="K1284" s="18" t="s">
        <v>1300</v>
      </c>
      <c r="L1284" s="18" t="s">
        <v>90</v>
      </c>
      <c r="M1284" s="18" t="s">
        <v>19</v>
      </c>
      <c r="N1284" s="18" t="s">
        <v>1304</v>
      </c>
      <c r="O1284">
        <v>30</v>
      </c>
    </row>
    <row r="1285" spans="1:15" x14ac:dyDescent="0.25">
      <c r="A1285" s="18" t="s">
        <v>7276</v>
      </c>
      <c r="B1285" s="18" t="s">
        <v>1302</v>
      </c>
      <c r="C1285" s="18" t="s">
        <v>1303</v>
      </c>
      <c r="D1285" s="18" t="s">
        <v>1299</v>
      </c>
      <c r="E1285" s="18" t="s">
        <v>6538</v>
      </c>
      <c r="F1285" s="2">
        <f>+J1285-I1285</f>
        <v>30</v>
      </c>
      <c r="G1285" s="2">
        <f ca="1">+TODAY()-I1285</f>
        <v>15</v>
      </c>
      <c r="H1285" s="15">
        <v>332421</v>
      </c>
      <c r="I1285" s="1">
        <v>46105</v>
      </c>
      <c r="J1285" s="1">
        <v>46135</v>
      </c>
      <c r="K1285" s="18" t="s">
        <v>1300</v>
      </c>
      <c r="L1285" s="18" t="s">
        <v>90</v>
      </c>
      <c r="M1285" s="18" t="s">
        <v>19</v>
      </c>
      <c r="N1285" s="18" t="s">
        <v>1304</v>
      </c>
      <c r="O1285">
        <v>30</v>
      </c>
    </row>
    <row r="1286" spans="1:15" x14ac:dyDescent="0.25">
      <c r="A1286" s="18" t="s">
        <v>7276</v>
      </c>
      <c r="B1286" s="18" t="s">
        <v>1302</v>
      </c>
      <c r="C1286" s="18" t="s">
        <v>1303</v>
      </c>
      <c r="D1286" s="18" t="s">
        <v>1299</v>
      </c>
      <c r="E1286" s="18" t="s">
        <v>6550</v>
      </c>
      <c r="F1286" s="2">
        <f>+J1286-I1286</f>
        <v>30</v>
      </c>
      <c r="G1286" s="2">
        <f ca="1">+TODAY()-I1286</f>
        <v>14</v>
      </c>
      <c r="H1286" s="15">
        <v>301847</v>
      </c>
      <c r="I1286" s="1">
        <v>46106</v>
      </c>
      <c r="J1286" s="1">
        <v>46136</v>
      </c>
      <c r="K1286" s="18" t="s">
        <v>1300</v>
      </c>
      <c r="L1286" s="18" t="s">
        <v>90</v>
      </c>
      <c r="M1286" s="18" t="s">
        <v>19</v>
      </c>
      <c r="N1286" s="18" t="s">
        <v>1304</v>
      </c>
      <c r="O1286">
        <v>30</v>
      </c>
    </row>
    <row r="1287" spans="1:15" x14ac:dyDescent="0.25">
      <c r="A1287" s="18" t="s">
        <v>7276</v>
      </c>
      <c r="B1287" s="18" t="s">
        <v>1302</v>
      </c>
      <c r="C1287" s="18" t="s">
        <v>1303</v>
      </c>
      <c r="D1287" s="18" t="s">
        <v>1299</v>
      </c>
      <c r="E1287" s="18" t="s">
        <v>7795</v>
      </c>
      <c r="F1287" s="2">
        <f>+J1287-I1287</f>
        <v>30</v>
      </c>
      <c r="G1287" s="2">
        <f ca="1">+TODAY()-I1287</f>
        <v>1</v>
      </c>
      <c r="H1287" s="15">
        <v>648917</v>
      </c>
      <c r="I1287" s="1">
        <v>46119</v>
      </c>
      <c r="J1287" s="1">
        <v>46149</v>
      </c>
      <c r="K1287" s="18" t="s">
        <v>1300</v>
      </c>
      <c r="L1287" s="18" t="s">
        <v>90</v>
      </c>
      <c r="M1287" s="18" t="s">
        <v>19</v>
      </c>
      <c r="N1287" s="18" t="s">
        <v>1304</v>
      </c>
      <c r="O1287">
        <v>30</v>
      </c>
    </row>
    <row r="1288" spans="1:15" x14ac:dyDescent="0.25">
      <c r="A1288" s="18" t="s">
        <v>7276</v>
      </c>
      <c r="B1288" s="18" t="s">
        <v>5267</v>
      </c>
      <c r="C1288" s="18" t="s">
        <v>5268</v>
      </c>
      <c r="D1288" s="18" t="s">
        <v>1181</v>
      </c>
      <c r="E1288" s="18" t="s">
        <v>5269</v>
      </c>
      <c r="F1288" s="2">
        <f>+J1288-I1288</f>
        <v>30</v>
      </c>
      <c r="G1288" s="2">
        <f ca="1">+TODAY()-I1288</f>
        <v>37</v>
      </c>
      <c r="H1288" s="15">
        <v>3945449</v>
      </c>
      <c r="I1288" s="1">
        <v>46083</v>
      </c>
      <c r="J1288" s="1">
        <v>46113</v>
      </c>
      <c r="K1288" s="18" t="s">
        <v>1183</v>
      </c>
      <c r="L1288" s="18" t="s">
        <v>984</v>
      </c>
      <c r="M1288" s="18" t="s">
        <v>19</v>
      </c>
      <c r="N1288" s="18" t="s">
        <v>5270</v>
      </c>
      <c r="O1288">
        <v>30</v>
      </c>
    </row>
    <row r="1289" spans="1:15" x14ac:dyDescent="0.25">
      <c r="A1289" s="18" t="s">
        <v>7276</v>
      </c>
      <c r="B1289" s="18" t="s">
        <v>2384</v>
      </c>
      <c r="C1289" s="18" t="s">
        <v>2385</v>
      </c>
      <c r="D1289" s="18" t="s">
        <v>15</v>
      </c>
      <c r="E1289" s="18" t="s">
        <v>5928</v>
      </c>
      <c r="F1289" s="2">
        <f>+J1289-I1289</f>
        <v>15</v>
      </c>
      <c r="G1289" s="2">
        <f ca="1">+TODAY()-I1289</f>
        <v>22</v>
      </c>
      <c r="H1289" s="15">
        <v>195245</v>
      </c>
      <c r="I1289" s="1">
        <v>46098</v>
      </c>
      <c r="J1289" s="1">
        <v>46113</v>
      </c>
      <c r="K1289" s="18" t="s">
        <v>17</v>
      </c>
      <c r="L1289" s="18" t="s">
        <v>317</v>
      </c>
      <c r="M1289" s="18" t="s">
        <v>19</v>
      </c>
      <c r="N1289" s="18" t="s">
        <v>2386</v>
      </c>
      <c r="O1289">
        <v>15</v>
      </c>
    </row>
    <row r="1290" spans="1:15" x14ac:dyDescent="0.25">
      <c r="A1290" s="18" t="s">
        <v>7276</v>
      </c>
      <c r="B1290" s="18" t="s">
        <v>2384</v>
      </c>
      <c r="C1290" s="18" t="s">
        <v>2385</v>
      </c>
      <c r="D1290" s="18" t="s">
        <v>15</v>
      </c>
      <c r="E1290" s="18" t="s">
        <v>6432</v>
      </c>
      <c r="F1290" s="2">
        <f>+J1290-I1290</f>
        <v>10</v>
      </c>
      <c r="G1290" s="2">
        <f ca="1">+TODAY()-I1290</f>
        <v>15</v>
      </c>
      <c r="H1290" s="15">
        <v>624400</v>
      </c>
      <c r="I1290" s="1">
        <v>46105</v>
      </c>
      <c r="J1290" s="1">
        <v>46115</v>
      </c>
      <c r="K1290" s="18" t="s">
        <v>17</v>
      </c>
      <c r="L1290" s="18" t="s">
        <v>317</v>
      </c>
      <c r="M1290" s="18" t="s">
        <v>19</v>
      </c>
      <c r="N1290" s="18" t="s">
        <v>2386</v>
      </c>
      <c r="O1290">
        <v>15</v>
      </c>
    </row>
    <row r="1291" spans="1:15" x14ac:dyDescent="0.25">
      <c r="A1291" s="18" t="s">
        <v>7276</v>
      </c>
      <c r="B1291" s="18" t="s">
        <v>2883</v>
      </c>
      <c r="C1291" s="18" t="s">
        <v>2884</v>
      </c>
      <c r="D1291" s="18" t="s">
        <v>15</v>
      </c>
      <c r="E1291" s="18" t="s">
        <v>6758</v>
      </c>
      <c r="F1291" s="2">
        <f>+J1291-I1291</f>
        <v>30</v>
      </c>
      <c r="G1291" s="2">
        <f ca="1">+TODAY()-I1291</f>
        <v>9</v>
      </c>
      <c r="H1291" s="15">
        <v>806537</v>
      </c>
      <c r="I1291" s="1">
        <v>46111</v>
      </c>
      <c r="J1291" s="1">
        <v>46141</v>
      </c>
      <c r="K1291" s="18" t="s">
        <v>17</v>
      </c>
      <c r="L1291" s="18" t="s">
        <v>32</v>
      </c>
      <c r="M1291" s="18" t="s">
        <v>19</v>
      </c>
      <c r="N1291" s="18" t="s">
        <v>2886</v>
      </c>
      <c r="O1291">
        <v>30</v>
      </c>
    </row>
    <row r="1292" spans="1:15" x14ac:dyDescent="0.25">
      <c r="A1292" s="18" t="s">
        <v>7276</v>
      </c>
      <c r="B1292" s="18" t="s">
        <v>3219</v>
      </c>
      <c r="C1292" s="18" t="s">
        <v>3220</v>
      </c>
      <c r="D1292" s="18" t="s">
        <v>331</v>
      </c>
      <c r="E1292" s="18" t="s">
        <v>6373</v>
      </c>
      <c r="F1292" s="2">
        <f>+J1292-I1292</f>
        <v>8</v>
      </c>
      <c r="G1292" s="2">
        <f ca="1">+TODAY()-I1292</f>
        <v>18</v>
      </c>
      <c r="H1292" s="15">
        <v>496400</v>
      </c>
      <c r="I1292" s="1">
        <v>46102</v>
      </c>
      <c r="J1292" s="1">
        <v>46110</v>
      </c>
      <c r="K1292" s="18" t="s">
        <v>1758</v>
      </c>
      <c r="L1292" s="18" t="s">
        <v>317</v>
      </c>
      <c r="M1292" s="18" t="s">
        <v>19</v>
      </c>
      <c r="N1292" s="18" t="s">
        <v>6374</v>
      </c>
      <c r="O1292">
        <v>8</v>
      </c>
    </row>
    <row r="1293" spans="1:15" x14ac:dyDescent="0.25">
      <c r="A1293" s="18" t="s">
        <v>7276</v>
      </c>
      <c r="B1293" s="18" t="s">
        <v>4486</v>
      </c>
      <c r="C1293" s="18" t="s">
        <v>4487</v>
      </c>
      <c r="D1293" s="18" t="s">
        <v>1118</v>
      </c>
      <c r="E1293" s="18" t="s">
        <v>7530</v>
      </c>
      <c r="F1293" s="2">
        <f>+J1293-I1293</f>
        <v>1</v>
      </c>
      <c r="G1293" s="2">
        <f ca="1">+TODAY()-I1293</f>
        <v>7</v>
      </c>
      <c r="H1293" s="15">
        <v>103251</v>
      </c>
      <c r="I1293" s="1">
        <v>46113</v>
      </c>
      <c r="J1293" s="1">
        <v>46114</v>
      </c>
      <c r="K1293" s="18" t="s">
        <v>1144</v>
      </c>
      <c r="L1293" s="18" t="s">
        <v>321</v>
      </c>
      <c r="M1293" s="18" t="s">
        <v>19</v>
      </c>
      <c r="N1293" s="18" t="s">
        <v>4489</v>
      </c>
      <c r="O1293">
        <v>30</v>
      </c>
    </row>
    <row r="1294" spans="1:15" x14ac:dyDescent="0.25">
      <c r="A1294" s="18" t="s">
        <v>7276</v>
      </c>
      <c r="B1294" s="18" t="s">
        <v>651</v>
      </c>
      <c r="C1294" s="18" t="s">
        <v>652</v>
      </c>
      <c r="D1294" s="18" t="s">
        <v>642</v>
      </c>
      <c r="E1294" s="18" t="s">
        <v>6206</v>
      </c>
      <c r="F1294" s="2">
        <f>+J1294-I1294</f>
        <v>30</v>
      </c>
      <c r="G1294" s="2">
        <f ca="1">+TODAY()-I1294</f>
        <v>21</v>
      </c>
      <c r="H1294" s="15">
        <v>1571896</v>
      </c>
      <c r="I1294" s="1">
        <v>46099</v>
      </c>
      <c r="J1294" s="1">
        <v>46129</v>
      </c>
      <c r="K1294" s="18" t="s">
        <v>638</v>
      </c>
      <c r="L1294" s="18" t="s">
        <v>18</v>
      </c>
      <c r="M1294" s="18" t="s">
        <v>19</v>
      </c>
      <c r="N1294" s="18" t="s">
        <v>653</v>
      </c>
      <c r="O1294">
        <v>30</v>
      </c>
    </row>
    <row r="1295" spans="1:15" x14ac:dyDescent="0.25">
      <c r="A1295" s="18" t="s">
        <v>7276</v>
      </c>
      <c r="B1295" s="18" t="s">
        <v>651</v>
      </c>
      <c r="C1295" s="18" t="s">
        <v>652</v>
      </c>
      <c r="D1295" s="18" t="s">
        <v>642</v>
      </c>
      <c r="E1295" s="18" t="s">
        <v>6207</v>
      </c>
      <c r="F1295" s="2">
        <f>+J1295-I1295</f>
        <v>30</v>
      </c>
      <c r="G1295" s="2">
        <f ca="1">+TODAY()-I1295</f>
        <v>21</v>
      </c>
      <c r="H1295" s="15">
        <v>1343700</v>
      </c>
      <c r="I1295" s="1">
        <v>46099</v>
      </c>
      <c r="J1295" s="1">
        <v>46129</v>
      </c>
      <c r="K1295" s="18" t="s">
        <v>638</v>
      </c>
      <c r="L1295" s="18" t="s">
        <v>18</v>
      </c>
      <c r="M1295" s="18" t="s">
        <v>19</v>
      </c>
      <c r="N1295" s="18" t="s">
        <v>653</v>
      </c>
      <c r="O1295">
        <v>30</v>
      </c>
    </row>
    <row r="1296" spans="1:15" x14ac:dyDescent="0.25">
      <c r="A1296" s="18" t="s">
        <v>7276</v>
      </c>
      <c r="B1296" s="18" t="s">
        <v>651</v>
      </c>
      <c r="C1296" s="18" t="s">
        <v>652</v>
      </c>
      <c r="D1296" s="18" t="s">
        <v>642</v>
      </c>
      <c r="E1296" s="18" t="s">
        <v>6947</v>
      </c>
      <c r="F1296" s="2">
        <f>+J1296-I1296</f>
        <v>30</v>
      </c>
      <c r="G1296" s="2">
        <f ca="1">+TODAY()-I1296</f>
        <v>9</v>
      </c>
      <c r="H1296" s="15">
        <v>2313141</v>
      </c>
      <c r="I1296" s="1">
        <v>46111</v>
      </c>
      <c r="J1296" s="1">
        <v>46141</v>
      </c>
      <c r="K1296" s="18" t="s">
        <v>638</v>
      </c>
      <c r="L1296" s="18" t="s">
        <v>18</v>
      </c>
      <c r="M1296" s="18" t="s">
        <v>19</v>
      </c>
      <c r="N1296" s="18" t="s">
        <v>653</v>
      </c>
      <c r="O1296">
        <v>30</v>
      </c>
    </row>
    <row r="1297" spans="1:15" x14ac:dyDescent="0.25">
      <c r="A1297" s="18" t="s">
        <v>7276</v>
      </c>
      <c r="B1297" s="18" t="s">
        <v>651</v>
      </c>
      <c r="C1297" s="18" t="s">
        <v>652</v>
      </c>
      <c r="D1297" s="18" t="s">
        <v>642</v>
      </c>
      <c r="E1297" s="18" t="s">
        <v>6948</v>
      </c>
      <c r="F1297" s="2">
        <f>+J1297-I1297</f>
        <v>30</v>
      </c>
      <c r="G1297" s="2">
        <f ca="1">+TODAY()-I1297</f>
        <v>9</v>
      </c>
      <c r="H1297" s="15">
        <v>1617253</v>
      </c>
      <c r="I1297" s="1">
        <v>46111</v>
      </c>
      <c r="J1297" s="1">
        <v>46141</v>
      </c>
      <c r="K1297" s="18" t="s">
        <v>638</v>
      </c>
      <c r="L1297" s="18" t="s">
        <v>18</v>
      </c>
      <c r="M1297" s="18" t="s">
        <v>19</v>
      </c>
      <c r="N1297" s="18" t="s">
        <v>653</v>
      </c>
      <c r="O1297">
        <v>30</v>
      </c>
    </row>
    <row r="1298" spans="1:15" x14ac:dyDescent="0.25">
      <c r="A1298" s="18" t="s">
        <v>7276</v>
      </c>
      <c r="B1298" s="18" t="s">
        <v>651</v>
      </c>
      <c r="C1298" s="18" t="s">
        <v>652</v>
      </c>
      <c r="D1298" s="18" t="s">
        <v>642</v>
      </c>
      <c r="E1298" s="18" t="s">
        <v>6960</v>
      </c>
      <c r="F1298" s="2">
        <f>+J1298-I1298</f>
        <v>30</v>
      </c>
      <c r="G1298" s="2">
        <f ca="1">+TODAY()-I1298</f>
        <v>8</v>
      </c>
      <c r="H1298" s="15">
        <v>217361</v>
      </c>
      <c r="I1298" s="1">
        <v>46112</v>
      </c>
      <c r="J1298" s="1">
        <v>46142</v>
      </c>
      <c r="K1298" s="18" t="s">
        <v>638</v>
      </c>
      <c r="L1298" s="18" t="s">
        <v>18</v>
      </c>
      <c r="M1298" s="18" t="s">
        <v>19</v>
      </c>
      <c r="N1298" s="18" t="s">
        <v>653</v>
      </c>
      <c r="O1298">
        <v>30</v>
      </c>
    </row>
    <row r="1299" spans="1:15" x14ac:dyDescent="0.25">
      <c r="A1299" s="18" t="s">
        <v>7276</v>
      </c>
      <c r="B1299" s="18" t="s">
        <v>1354</v>
      </c>
      <c r="C1299" s="18" t="s">
        <v>1355</v>
      </c>
      <c r="D1299" s="18" t="s">
        <v>382</v>
      </c>
      <c r="E1299" s="18" t="s">
        <v>6041</v>
      </c>
      <c r="F1299" s="2">
        <f>+J1299-I1299</f>
        <v>30</v>
      </c>
      <c r="G1299" s="2">
        <f ca="1">+TODAY()-I1299</f>
        <v>27</v>
      </c>
      <c r="H1299" s="15">
        <v>1574565</v>
      </c>
      <c r="I1299" s="1">
        <v>46093</v>
      </c>
      <c r="J1299" s="1">
        <v>46123</v>
      </c>
      <c r="K1299" s="18" t="s">
        <v>1325</v>
      </c>
      <c r="L1299" s="18" t="s">
        <v>90</v>
      </c>
      <c r="M1299" s="18" t="s">
        <v>19</v>
      </c>
      <c r="N1299" s="18" t="s">
        <v>1356</v>
      </c>
      <c r="O1299">
        <v>30</v>
      </c>
    </row>
    <row r="1300" spans="1:15" x14ac:dyDescent="0.25">
      <c r="A1300" s="18" t="s">
        <v>7276</v>
      </c>
      <c r="B1300" s="18" t="s">
        <v>1354</v>
      </c>
      <c r="C1300" s="18" t="s">
        <v>1355</v>
      </c>
      <c r="D1300" s="18" t="s">
        <v>382</v>
      </c>
      <c r="E1300" s="18" t="s">
        <v>6042</v>
      </c>
      <c r="F1300" s="2">
        <f>+J1300-I1300</f>
        <v>30</v>
      </c>
      <c r="G1300" s="2">
        <f ca="1">+TODAY()-I1300</f>
        <v>27</v>
      </c>
      <c r="H1300" s="15">
        <v>586377</v>
      </c>
      <c r="I1300" s="1">
        <v>46093</v>
      </c>
      <c r="J1300" s="1">
        <v>46123</v>
      </c>
      <c r="K1300" s="18" t="s">
        <v>1325</v>
      </c>
      <c r="L1300" s="18" t="s">
        <v>90</v>
      </c>
      <c r="M1300" s="18" t="s">
        <v>19</v>
      </c>
      <c r="N1300" s="18" t="s">
        <v>1356</v>
      </c>
      <c r="O1300">
        <v>30</v>
      </c>
    </row>
    <row r="1301" spans="1:15" x14ac:dyDescent="0.25">
      <c r="A1301" s="18" t="s">
        <v>7276</v>
      </c>
      <c r="B1301" s="18" t="s">
        <v>1354</v>
      </c>
      <c r="C1301" s="18" t="s">
        <v>1355</v>
      </c>
      <c r="D1301" s="18" t="s">
        <v>382</v>
      </c>
      <c r="E1301" s="18" t="s">
        <v>6585</v>
      </c>
      <c r="F1301" s="2">
        <f>+J1301-I1301</f>
        <v>30</v>
      </c>
      <c r="G1301" s="2">
        <f ca="1">+TODAY()-I1301</f>
        <v>13</v>
      </c>
      <c r="H1301" s="15">
        <v>1264192</v>
      </c>
      <c r="I1301" s="1">
        <v>46107</v>
      </c>
      <c r="J1301" s="1">
        <v>46137</v>
      </c>
      <c r="K1301" s="18" t="s">
        <v>1325</v>
      </c>
      <c r="L1301" s="18" t="s">
        <v>90</v>
      </c>
      <c r="M1301" s="18" t="s">
        <v>19</v>
      </c>
      <c r="N1301" s="18" t="s">
        <v>1356</v>
      </c>
      <c r="O1301">
        <v>30</v>
      </c>
    </row>
    <row r="1302" spans="1:15" x14ac:dyDescent="0.25">
      <c r="A1302" s="18" t="s">
        <v>7276</v>
      </c>
      <c r="B1302" s="18" t="s">
        <v>1354</v>
      </c>
      <c r="C1302" s="18" t="s">
        <v>1355</v>
      </c>
      <c r="D1302" s="18" t="s">
        <v>382</v>
      </c>
      <c r="E1302" s="18" t="s">
        <v>6586</v>
      </c>
      <c r="F1302" s="2">
        <f>+J1302-I1302</f>
        <v>30</v>
      </c>
      <c r="G1302" s="2">
        <f ca="1">+TODAY()-I1302</f>
        <v>13</v>
      </c>
      <c r="H1302" s="15">
        <v>1609627</v>
      </c>
      <c r="I1302" s="1">
        <v>46107</v>
      </c>
      <c r="J1302" s="1">
        <v>46137</v>
      </c>
      <c r="K1302" s="18" t="s">
        <v>1325</v>
      </c>
      <c r="L1302" s="18" t="s">
        <v>90</v>
      </c>
      <c r="M1302" s="18" t="s">
        <v>19</v>
      </c>
      <c r="N1302" s="18" t="s">
        <v>1356</v>
      </c>
      <c r="O1302">
        <v>30</v>
      </c>
    </row>
    <row r="1303" spans="1:15" x14ac:dyDescent="0.25">
      <c r="A1303" s="18" t="s">
        <v>7276</v>
      </c>
      <c r="B1303" s="18" t="s">
        <v>2031</v>
      </c>
      <c r="C1303" s="18" t="s">
        <v>2032</v>
      </c>
      <c r="D1303" s="18" t="s">
        <v>1266</v>
      </c>
      <c r="E1303" s="18" t="s">
        <v>3848</v>
      </c>
      <c r="F1303" s="2">
        <f>+J1303-I1303</f>
        <v>30</v>
      </c>
      <c r="G1303" s="2">
        <f ca="1">+TODAY()-I1303</f>
        <v>84</v>
      </c>
      <c r="H1303" s="15">
        <v>2686494</v>
      </c>
      <c r="I1303" s="1">
        <v>46036</v>
      </c>
      <c r="J1303" s="1">
        <v>46066</v>
      </c>
      <c r="K1303" s="18" t="s">
        <v>1854</v>
      </c>
      <c r="L1303" s="18" t="s">
        <v>981</v>
      </c>
      <c r="M1303" s="18" t="s">
        <v>19</v>
      </c>
      <c r="N1303" s="18" t="s">
        <v>2033</v>
      </c>
      <c r="O1303">
        <v>1</v>
      </c>
    </row>
    <row r="1304" spans="1:15" x14ac:dyDescent="0.25">
      <c r="A1304" s="18" t="s">
        <v>7276</v>
      </c>
      <c r="B1304" s="18" t="s">
        <v>1649</v>
      </c>
      <c r="C1304" s="18" t="s">
        <v>1650</v>
      </c>
      <c r="D1304" s="18" t="s">
        <v>1593</v>
      </c>
      <c r="E1304" s="18" t="s">
        <v>5841</v>
      </c>
      <c r="F1304" s="2">
        <f>+J1304-I1304</f>
        <v>30</v>
      </c>
      <c r="G1304" s="2">
        <f ca="1">+TODAY()-I1304</f>
        <v>29</v>
      </c>
      <c r="H1304" s="15">
        <v>445607</v>
      </c>
      <c r="I1304" s="1">
        <v>46091</v>
      </c>
      <c r="J1304" s="1">
        <v>46121</v>
      </c>
      <c r="K1304" s="18" t="s">
        <v>1589</v>
      </c>
      <c r="L1304" s="18" t="s">
        <v>984</v>
      </c>
      <c r="M1304" s="18" t="s">
        <v>19</v>
      </c>
      <c r="N1304" s="18" t="s">
        <v>1651</v>
      </c>
      <c r="O1304">
        <v>30</v>
      </c>
    </row>
    <row r="1305" spans="1:15" x14ac:dyDescent="0.25">
      <c r="A1305" s="18" t="s">
        <v>7276</v>
      </c>
      <c r="B1305" s="18" t="s">
        <v>1649</v>
      </c>
      <c r="C1305" s="18" t="s">
        <v>1650</v>
      </c>
      <c r="D1305" s="18" t="s">
        <v>1593</v>
      </c>
      <c r="E1305" s="18" t="s">
        <v>6670</v>
      </c>
      <c r="F1305" s="2">
        <f>+J1305-I1305</f>
        <v>30</v>
      </c>
      <c r="G1305" s="2">
        <f ca="1">+TODAY()-I1305</f>
        <v>14</v>
      </c>
      <c r="H1305" s="15">
        <v>420154</v>
      </c>
      <c r="I1305" s="1">
        <v>46106</v>
      </c>
      <c r="J1305" s="1">
        <v>46136</v>
      </c>
      <c r="K1305" s="18" t="s">
        <v>1589</v>
      </c>
      <c r="L1305" s="18" t="s">
        <v>984</v>
      </c>
      <c r="M1305" s="18" t="s">
        <v>19</v>
      </c>
      <c r="N1305" s="18" t="s">
        <v>1651</v>
      </c>
      <c r="O1305">
        <v>30</v>
      </c>
    </row>
    <row r="1306" spans="1:15" x14ac:dyDescent="0.25">
      <c r="A1306" s="18" t="s">
        <v>7276</v>
      </c>
      <c r="B1306" s="18" t="s">
        <v>1649</v>
      </c>
      <c r="C1306" s="18" t="s">
        <v>1650</v>
      </c>
      <c r="D1306" s="18" t="s">
        <v>1593</v>
      </c>
      <c r="E1306" s="18" t="s">
        <v>7836</v>
      </c>
      <c r="F1306" s="2">
        <f>+J1306-I1306</f>
        <v>30</v>
      </c>
      <c r="G1306" s="2">
        <f ca="1">+TODAY()-I1306</f>
        <v>1</v>
      </c>
      <c r="H1306" s="15">
        <v>263198</v>
      </c>
      <c r="I1306" s="1">
        <v>46119</v>
      </c>
      <c r="J1306" s="1">
        <v>46149</v>
      </c>
      <c r="K1306" s="18" t="s">
        <v>1589</v>
      </c>
      <c r="L1306" s="18" t="s">
        <v>984</v>
      </c>
      <c r="M1306" s="18" t="s">
        <v>19</v>
      </c>
      <c r="N1306" s="18" t="s">
        <v>1651</v>
      </c>
      <c r="O1306">
        <v>30</v>
      </c>
    </row>
    <row r="1307" spans="1:15" x14ac:dyDescent="0.25">
      <c r="A1307" s="18" t="s">
        <v>7276</v>
      </c>
      <c r="B1307" s="18" t="s">
        <v>4062</v>
      </c>
      <c r="C1307" s="18" t="s">
        <v>4063</v>
      </c>
      <c r="D1307" s="18" t="s">
        <v>320</v>
      </c>
      <c r="E1307" s="18" t="s">
        <v>7062</v>
      </c>
      <c r="F1307" s="2">
        <f>+J1307-I1307</f>
        <v>1</v>
      </c>
      <c r="G1307" s="2">
        <f ca="1">+TODAY()-I1307</f>
        <v>9</v>
      </c>
      <c r="H1307" s="15">
        <v>28000</v>
      </c>
      <c r="I1307" s="1">
        <v>46111</v>
      </c>
      <c r="J1307" s="1">
        <v>46112</v>
      </c>
      <c r="K1307" s="18" t="s">
        <v>1068</v>
      </c>
      <c r="L1307" s="18" t="s">
        <v>321</v>
      </c>
      <c r="M1307" s="18" t="s">
        <v>19</v>
      </c>
      <c r="N1307" s="18" t="s">
        <v>4064</v>
      </c>
      <c r="O1307">
        <v>30</v>
      </c>
    </row>
    <row r="1308" spans="1:15" x14ac:dyDescent="0.25">
      <c r="A1308" s="18" t="s">
        <v>7276</v>
      </c>
      <c r="B1308" s="18" t="s">
        <v>1845</v>
      </c>
      <c r="C1308" s="18" t="s">
        <v>1846</v>
      </c>
      <c r="D1308" s="18" t="s">
        <v>1847</v>
      </c>
      <c r="E1308" s="18" t="s">
        <v>6701</v>
      </c>
      <c r="F1308" s="2">
        <f>+J1308-I1308</f>
        <v>30</v>
      </c>
      <c r="G1308" s="2">
        <f ca="1">+TODAY()-I1308</f>
        <v>14</v>
      </c>
      <c r="H1308" s="15">
        <v>2839548</v>
      </c>
      <c r="I1308" s="1">
        <v>46106</v>
      </c>
      <c r="J1308" s="1">
        <v>46136</v>
      </c>
      <c r="K1308" s="18" t="s">
        <v>2156</v>
      </c>
      <c r="L1308" s="18" t="s">
        <v>981</v>
      </c>
      <c r="M1308" s="18" t="s">
        <v>19</v>
      </c>
      <c r="N1308" s="18" t="s">
        <v>1848</v>
      </c>
      <c r="O1308">
        <v>30</v>
      </c>
    </row>
    <row r="1309" spans="1:15" x14ac:dyDescent="0.25">
      <c r="A1309" s="18" t="s">
        <v>7276</v>
      </c>
      <c r="B1309" s="18" t="s">
        <v>1845</v>
      </c>
      <c r="C1309" s="18" t="s">
        <v>1846</v>
      </c>
      <c r="D1309" s="18" t="s">
        <v>1847</v>
      </c>
      <c r="E1309" s="18" t="s">
        <v>6702</v>
      </c>
      <c r="F1309" s="2">
        <f>+J1309-I1309</f>
        <v>30</v>
      </c>
      <c r="G1309" s="2">
        <f ca="1">+TODAY()-I1309</f>
        <v>14</v>
      </c>
      <c r="H1309" s="15">
        <v>1464705</v>
      </c>
      <c r="I1309" s="1">
        <v>46106</v>
      </c>
      <c r="J1309" s="1">
        <v>46136</v>
      </c>
      <c r="K1309" s="18" t="s">
        <v>2156</v>
      </c>
      <c r="L1309" s="18" t="s">
        <v>981</v>
      </c>
      <c r="M1309" s="18" t="s">
        <v>19</v>
      </c>
      <c r="N1309" s="18" t="s">
        <v>1848</v>
      </c>
      <c r="O1309">
        <v>30</v>
      </c>
    </row>
    <row r="1310" spans="1:15" x14ac:dyDescent="0.25">
      <c r="A1310" s="18" t="s">
        <v>7276</v>
      </c>
      <c r="B1310" s="18" t="s">
        <v>1845</v>
      </c>
      <c r="C1310" s="18" t="s">
        <v>1846</v>
      </c>
      <c r="D1310" s="18" t="s">
        <v>1847</v>
      </c>
      <c r="E1310" s="18" t="s">
        <v>4717</v>
      </c>
      <c r="F1310" s="2">
        <f>+J1310-I1310</f>
        <v>30</v>
      </c>
      <c r="G1310" s="2">
        <f ca="1">+TODAY()-I1310</f>
        <v>74</v>
      </c>
      <c r="H1310" s="15">
        <v>1791421</v>
      </c>
      <c r="I1310" s="1">
        <v>46046</v>
      </c>
      <c r="J1310" s="1">
        <v>46076</v>
      </c>
      <c r="K1310" s="18" t="s">
        <v>1859</v>
      </c>
      <c r="L1310" s="18" t="s">
        <v>981</v>
      </c>
      <c r="M1310" s="18" t="s">
        <v>19</v>
      </c>
      <c r="N1310" s="18" t="s">
        <v>1848</v>
      </c>
      <c r="O1310">
        <v>30</v>
      </c>
    </row>
    <row r="1311" spans="1:15" x14ac:dyDescent="0.25">
      <c r="A1311" s="18" t="s">
        <v>7276</v>
      </c>
      <c r="B1311" s="18" t="s">
        <v>1845</v>
      </c>
      <c r="C1311" s="18" t="s">
        <v>1846</v>
      </c>
      <c r="D1311" s="18" t="s">
        <v>1847</v>
      </c>
      <c r="E1311" s="18" t="s">
        <v>2531</v>
      </c>
      <c r="F1311" s="2">
        <f>+J1311-I1311</f>
        <v>30</v>
      </c>
      <c r="G1311" s="2">
        <f ca="1">+TODAY()-I1311</f>
        <v>113</v>
      </c>
      <c r="H1311" s="15">
        <v>229575</v>
      </c>
      <c r="I1311" s="1">
        <v>46007</v>
      </c>
      <c r="J1311" s="1">
        <v>46037</v>
      </c>
      <c r="K1311" s="18" t="s">
        <v>1875</v>
      </c>
      <c r="L1311" s="18" t="s">
        <v>981</v>
      </c>
      <c r="M1311" s="18" t="s">
        <v>19</v>
      </c>
      <c r="N1311" s="18" t="s">
        <v>1848</v>
      </c>
      <c r="O1311">
        <v>30</v>
      </c>
    </row>
    <row r="1312" spans="1:15" x14ac:dyDescent="0.25">
      <c r="A1312" s="18" t="s">
        <v>7276</v>
      </c>
      <c r="B1312" s="18" t="s">
        <v>1845</v>
      </c>
      <c r="C1312" s="18" t="s">
        <v>1846</v>
      </c>
      <c r="D1312" s="18" t="s">
        <v>1847</v>
      </c>
      <c r="E1312" s="18" t="s">
        <v>4719</v>
      </c>
      <c r="F1312" s="2">
        <f>+J1312-I1312</f>
        <v>30</v>
      </c>
      <c r="G1312" s="2">
        <f ca="1">+TODAY()-I1312</f>
        <v>75</v>
      </c>
      <c r="H1312" s="15">
        <v>7497398</v>
      </c>
      <c r="I1312" s="1">
        <v>46045</v>
      </c>
      <c r="J1312" s="1">
        <v>46075</v>
      </c>
      <c r="K1312" s="18" t="s">
        <v>1875</v>
      </c>
      <c r="L1312" s="18" t="s">
        <v>981</v>
      </c>
      <c r="M1312" s="18" t="s">
        <v>19</v>
      </c>
      <c r="N1312" s="18" t="s">
        <v>1848</v>
      </c>
      <c r="O1312">
        <v>30</v>
      </c>
    </row>
    <row r="1313" spans="1:15" x14ac:dyDescent="0.25">
      <c r="A1313" s="18" t="s">
        <v>7276</v>
      </c>
      <c r="B1313" s="18" t="s">
        <v>1845</v>
      </c>
      <c r="C1313" s="18" t="s">
        <v>1846</v>
      </c>
      <c r="D1313" s="18" t="s">
        <v>1847</v>
      </c>
      <c r="E1313" s="18" t="s">
        <v>4720</v>
      </c>
      <c r="F1313" s="2">
        <f>+J1313-I1313</f>
        <v>30</v>
      </c>
      <c r="G1313" s="2">
        <f ca="1">+TODAY()-I1313</f>
        <v>75</v>
      </c>
      <c r="H1313" s="15">
        <v>2059042</v>
      </c>
      <c r="I1313" s="1">
        <v>46045</v>
      </c>
      <c r="J1313" s="1">
        <v>46075</v>
      </c>
      <c r="K1313" s="18" t="s">
        <v>1875</v>
      </c>
      <c r="L1313" s="18" t="s">
        <v>981</v>
      </c>
      <c r="M1313" s="18" t="s">
        <v>19</v>
      </c>
      <c r="N1313" s="18" t="s">
        <v>1848</v>
      </c>
      <c r="O1313">
        <v>30</v>
      </c>
    </row>
    <row r="1314" spans="1:15" x14ac:dyDescent="0.25">
      <c r="A1314" s="18" t="s">
        <v>7276</v>
      </c>
      <c r="B1314" s="18" t="s">
        <v>1845</v>
      </c>
      <c r="C1314" s="18" t="s">
        <v>1846</v>
      </c>
      <c r="D1314" s="18" t="s">
        <v>1847</v>
      </c>
      <c r="E1314" s="18" t="s">
        <v>4721</v>
      </c>
      <c r="F1314" s="2">
        <f>+J1314-I1314</f>
        <v>30</v>
      </c>
      <c r="G1314" s="2">
        <f ca="1">+TODAY()-I1314</f>
        <v>74</v>
      </c>
      <c r="H1314" s="15">
        <v>3345381</v>
      </c>
      <c r="I1314" s="1">
        <v>46046</v>
      </c>
      <c r="J1314" s="1">
        <v>46076</v>
      </c>
      <c r="K1314" s="18" t="s">
        <v>1875</v>
      </c>
      <c r="L1314" s="18" t="s">
        <v>981</v>
      </c>
      <c r="M1314" s="18" t="s">
        <v>19</v>
      </c>
      <c r="N1314" s="18" t="s">
        <v>1848</v>
      </c>
      <c r="O1314">
        <v>30</v>
      </c>
    </row>
    <row r="1315" spans="1:15" x14ac:dyDescent="0.25">
      <c r="A1315" s="18" t="s">
        <v>7276</v>
      </c>
      <c r="B1315" s="18" t="s">
        <v>1845</v>
      </c>
      <c r="C1315" s="18" t="s">
        <v>1846</v>
      </c>
      <c r="D1315" s="18" t="s">
        <v>1847</v>
      </c>
      <c r="E1315" s="18" t="s">
        <v>4722</v>
      </c>
      <c r="F1315" s="2">
        <f>+J1315-I1315</f>
        <v>30</v>
      </c>
      <c r="G1315" s="2">
        <f ca="1">+TODAY()-I1315</f>
        <v>74</v>
      </c>
      <c r="H1315" s="15">
        <v>6456340</v>
      </c>
      <c r="I1315" s="1">
        <v>46046</v>
      </c>
      <c r="J1315" s="1">
        <v>46076</v>
      </c>
      <c r="K1315" s="18" t="s">
        <v>1875</v>
      </c>
      <c r="L1315" s="18" t="s">
        <v>981</v>
      </c>
      <c r="M1315" s="18" t="s">
        <v>19</v>
      </c>
      <c r="N1315" s="18" t="s">
        <v>1848</v>
      </c>
      <c r="O1315">
        <v>30</v>
      </c>
    </row>
    <row r="1316" spans="1:15" x14ac:dyDescent="0.25">
      <c r="A1316" s="18" t="s">
        <v>7276</v>
      </c>
      <c r="B1316" s="18" t="s">
        <v>1845</v>
      </c>
      <c r="C1316" s="18" t="s">
        <v>1846</v>
      </c>
      <c r="D1316" s="18" t="s">
        <v>1847</v>
      </c>
      <c r="E1316" s="18" t="s">
        <v>4723</v>
      </c>
      <c r="F1316" s="2">
        <f>+J1316-I1316</f>
        <v>30</v>
      </c>
      <c r="G1316" s="2">
        <f ca="1">+TODAY()-I1316</f>
        <v>74</v>
      </c>
      <c r="H1316" s="15">
        <v>2578296</v>
      </c>
      <c r="I1316" s="1">
        <v>46046</v>
      </c>
      <c r="J1316" s="1">
        <v>46076</v>
      </c>
      <c r="K1316" s="18" t="s">
        <v>1875</v>
      </c>
      <c r="L1316" s="18" t="s">
        <v>981</v>
      </c>
      <c r="M1316" s="18" t="s">
        <v>19</v>
      </c>
      <c r="N1316" s="18" t="s">
        <v>1848</v>
      </c>
      <c r="O1316">
        <v>30</v>
      </c>
    </row>
    <row r="1317" spans="1:15" x14ac:dyDescent="0.25">
      <c r="A1317" s="18" t="s">
        <v>7276</v>
      </c>
      <c r="B1317" s="18" t="s">
        <v>1845</v>
      </c>
      <c r="C1317" s="18" t="s">
        <v>1846</v>
      </c>
      <c r="D1317" s="18" t="s">
        <v>1847</v>
      </c>
      <c r="E1317" s="18" t="s">
        <v>4724</v>
      </c>
      <c r="F1317" s="2">
        <f>+J1317-I1317</f>
        <v>30</v>
      </c>
      <c r="G1317" s="2">
        <f ca="1">+TODAY()-I1317</f>
        <v>74</v>
      </c>
      <c r="H1317" s="15">
        <v>345774</v>
      </c>
      <c r="I1317" s="1">
        <v>46046</v>
      </c>
      <c r="J1317" s="1">
        <v>46076</v>
      </c>
      <c r="K1317" s="18" t="s">
        <v>1875</v>
      </c>
      <c r="L1317" s="18" t="s">
        <v>981</v>
      </c>
      <c r="M1317" s="18" t="s">
        <v>19</v>
      </c>
      <c r="N1317" s="18" t="s">
        <v>1848</v>
      </c>
      <c r="O1317">
        <v>30</v>
      </c>
    </row>
    <row r="1318" spans="1:15" x14ac:dyDescent="0.25">
      <c r="A1318" s="18" t="s">
        <v>7276</v>
      </c>
      <c r="B1318" s="18" t="s">
        <v>1845</v>
      </c>
      <c r="C1318" s="18" t="s">
        <v>1846</v>
      </c>
      <c r="D1318" s="18" t="s">
        <v>1847</v>
      </c>
      <c r="E1318" s="18" t="s">
        <v>5068</v>
      </c>
      <c r="F1318" s="2">
        <f>+J1318-I1318</f>
        <v>19</v>
      </c>
      <c r="G1318" s="2">
        <f ca="1">+TODAY()-I1318</f>
        <v>63</v>
      </c>
      <c r="H1318" s="15">
        <v>213409</v>
      </c>
      <c r="I1318" s="1">
        <v>46057</v>
      </c>
      <c r="J1318" s="1">
        <v>46076</v>
      </c>
      <c r="K1318" s="18" t="s">
        <v>1875</v>
      </c>
      <c r="L1318" s="18" t="s">
        <v>981</v>
      </c>
      <c r="M1318" s="18" t="s">
        <v>19</v>
      </c>
      <c r="N1318" s="18" t="s">
        <v>1848</v>
      </c>
      <c r="O1318">
        <v>30</v>
      </c>
    </row>
    <row r="1319" spans="1:15" x14ac:dyDescent="0.25">
      <c r="A1319" s="18" t="s">
        <v>7276</v>
      </c>
      <c r="B1319" s="18" t="s">
        <v>1845</v>
      </c>
      <c r="C1319" s="18" t="s">
        <v>1846</v>
      </c>
      <c r="D1319" s="18" t="s">
        <v>1847</v>
      </c>
      <c r="E1319" s="18" t="s">
        <v>5370</v>
      </c>
      <c r="F1319" s="2">
        <f>+J1319-I1319</f>
        <v>30</v>
      </c>
      <c r="G1319" s="2">
        <f ca="1">+TODAY()-I1319</f>
        <v>44</v>
      </c>
      <c r="H1319" s="15">
        <v>1067526</v>
      </c>
      <c r="I1319" s="1">
        <v>46076</v>
      </c>
      <c r="J1319" s="1">
        <v>46106</v>
      </c>
      <c r="K1319" s="18" t="s">
        <v>1875</v>
      </c>
      <c r="L1319" s="18" t="s">
        <v>981</v>
      </c>
      <c r="M1319" s="18" t="s">
        <v>19</v>
      </c>
      <c r="N1319" s="18" t="s">
        <v>1848</v>
      </c>
      <c r="O1319">
        <v>30</v>
      </c>
    </row>
    <row r="1320" spans="1:15" x14ac:dyDescent="0.25">
      <c r="A1320" s="18" t="s">
        <v>7276</v>
      </c>
      <c r="B1320" s="18" t="s">
        <v>1845</v>
      </c>
      <c r="C1320" s="18" t="s">
        <v>1846</v>
      </c>
      <c r="D1320" s="18" t="s">
        <v>1847</v>
      </c>
      <c r="E1320" s="18" t="s">
        <v>5371</v>
      </c>
      <c r="F1320" s="2">
        <f>+J1320-I1320</f>
        <v>30</v>
      </c>
      <c r="G1320" s="2">
        <f ca="1">+TODAY()-I1320</f>
        <v>44</v>
      </c>
      <c r="H1320" s="15">
        <v>126497</v>
      </c>
      <c r="I1320" s="1">
        <v>46076</v>
      </c>
      <c r="J1320" s="1">
        <v>46106</v>
      </c>
      <c r="K1320" s="18" t="s">
        <v>1875</v>
      </c>
      <c r="L1320" s="18" t="s">
        <v>981</v>
      </c>
      <c r="M1320" s="18" t="s">
        <v>19</v>
      </c>
      <c r="N1320" s="18" t="s">
        <v>1848</v>
      </c>
      <c r="O1320">
        <v>30</v>
      </c>
    </row>
    <row r="1321" spans="1:15" x14ac:dyDescent="0.25">
      <c r="A1321" s="18" t="s">
        <v>7276</v>
      </c>
      <c r="B1321" s="18" t="s">
        <v>1845</v>
      </c>
      <c r="C1321" s="18" t="s">
        <v>1846</v>
      </c>
      <c r="D1321" s="18" t="s">
        <v>1847</v>
      </c>
      <c r="E1321" s="18" t="s">
        <v>6377</v>
      </c>
      <c r="F1321" s="2">
        <f>+J1321-I1321</f>
        <v>30</v>
      </c>
      <c r="G1321" s="2">
        <f ca="1">+TODAY()-I1321</f>
        <v>19</v>
      </c>
      <c r="H1321" s="15">
        <v>-19928</v>
      </c>
      <c r="I1321" s="1">
        <v>46101</v>
      </c>
      <c r="J1321" s="1">
        <v>46131</v>
      </c>
      <c r="K1321" s="18" t="s">
        <v>1875</v>
      </c>
      <c r="L1321" s="18" t="s">
        <v>981</v>
      </c>
      <c r="M1321" s="18" t="s">
        <v>19</v>
      </c>
      <c r="N1321" s="18" t="s">
        <v>1848</v>
      </c>
      <c r="O1321">
        <v>30</v>
      </c>
    </row>
    <row r="1322" spans="1:15" x14ac:dyDescent="0.25">
      <c r="A1322" s="18" t="s">
        <v>7276</v>
      </c>
      <c r="B1322" s="18" t="s">
        <v>1845</v>
      </c>
      <c r="C1322" s="18" t="s">
        <v>1846</v>
      </c>
      <c r="D1322" s="18" t="s">
        <v>1847</v>
      </c>
      <c r="E1322" s="18" t="s">
        <v>6703</v>
      </c>
      <c r="F1322" s="2">
        <f>+J1322-I1322</f>
        <v>30</v>
      </c>
      <c r="G1322" s="2">
        <f ca="1">+TODAY()-I1322</f>
        <v>14</v>
      </c>
      <c r="H1322" s="15">
        <v>4212336</v>
      </c>
      <c r="I1322" s="1">
        <v>46106</v>
      </c>
      <c r="J1322" s="1">
        <v>46136</v>
      </c>
      <c r="K1322" s="18" t="s">
        <v>1875</v>
      </c>
      <c r="L1322" s="18" t="s">
        <v>981</v>
      </c>
      <c r="M1322" s="18" t="s">
        <v>19</v>
      </c>
      <c r="N1322" s="18" t="s">
        <v>1848</v>
      </c>
      <c r="O1322">
        <v>30</v>
      </c>
    </row>
    <row r="1323" spans="1:15" x14ac:dyDescent="0.25">
      <c r="A1323" s="18" t="s">
        <v>7276</v>
      </c>
      <c r="B1323" s="18" t="s">
        <v>1845</v>
      </c>
      <c r="C1323" s="18" t="s">
        <v>1846</v>
      </c>
      <c r="D1323" s="18" t="s">
        <v>1847</v>
      </c>
      <c r="E1323" s="18" t="s">
        <v>6704</v>
      </c>
      <c r="F1323" s="2">
        <f>+J1323-I1323</f>
        <v>30</v>
      </c>
      <c r="G1323" s="2">
        <f ca="1">+TODAY()-I1323</f>
        <v>14</v>
      </c>
      <c r="H1323" s="15">
        <v>1356392</v>
      </c>
      <c r="I1323" s="1">
        <v>46106</v>
      </c>
      <c r="J1323" s="1">
        <v>46136</v>
      </c>
      <c r="K1323" s="18" t="s">
        <v>1875</v>
      </c>
      <c r="L1323" s="18" t="s">
        <v>981</v>
      </c>
      <c r="M1323" s="18" t="s">
        <v>19</v>
      </c>
      <c r="N1323" s="18" t="s">
        <v>1848</v>
      </c>
      <c r="O1323">
        <v>30</v>
      </c>
    </row>
    <row r="1324" spans="1:15" x14ac:dyDescent="0.25">
      <c r="A1324" s="18" t="s">
        <v>7276</v>
      </c>
      <c r="B1324" s="18" t="s">
        <v>1845</v>
      </c>
      <c r="C1324" s="18" t="s">
        <v>1846</v>
      </c>
      <c r="D1324" s="18" t="s">
        <v>1847</v>
      </c>
      <c r="E1324" s="18" t="s">
        <v>6705</v>
      </c>
      <c r="F1324" s="2">
        <f>+J1324-I1324</f>
        <v>30</v>
      </c>
      <c r="G1324" s="2">
        <f ca="1">+TODAY()-I1324</f>
        <v>14</v>
      </c>
      <c r="H1324" s="15">
        <v>3011688</v>
      </c>
      <c r="I1324" s="1">
        <v>46106</v>
      </c>
      <c r="J1324" s="1">
        <v>46136</v>
      </c>
      <c r="K1324" s="18" t="s">
        <v>1875</v>
      </c>
      <c r="L1324" s="18" t="s">
        <v>981</v>
      </c>
      <c r="M1324" s="18" t="s">
        <v>19</v>
      </c>
      <c r="N1324" s="18" t="s">
        <v>1848</v>
      </c>
      <c r="O1324">
        <v>30</v>
      </c>
    </row>
    <row r="1325" spans="1:15" x14ac:dyDescent="0.25">
      <c r="A1325" s="18" t="s">
        <v>7276</v>
      </c>
      <c r="B1325" s="18" t="s">
        <v>1845</v>
      </c>
      <c r="C1325" s="18" t="s">
        <v>1846</v>
      </c>
      <c r="D1325" s="18" t="s">
        <v>1847</v>
      </c>
      <c r="E1325" s="18" t="s">
        <v>6706</v>
      </c>
      <c r="F1325" s="2">
        <f>+J1325-I1325</f>
        <v>30</v>
      </c>
      <c r="G1325" s="2">
        <f ca="1">+TODAY()-I1325</f>
        <v>14</v>
      </c>
      <c r="H1325" s="15">
        <v>6015312</v>
      </c>
      <c r="I1325" s="1">
        <v>46106</v>
      </c>
      <c r="J1325" s="1">
        <v>46136</v>
      </c>
      <c r="K1325" s="18" t="s">
        <v>1875</v>
      </c>
      <c r="L1325" s="18" t="s">
        <v>981</v>
      </c>
      <c r="M1325" s="18" t="s">
        <v>19</v>
      </c>
      <c r="N1325" s="18" t="s">
        <v>1848</v>
      </c>
      <c r="O1325">
        <v>30</v>
      </c>
    </row>
    <row r="1326" spans="1:15" x14ac:dyDescent="0.25">
      <c r="A1326" s="18" t="s">
        <v>7276</v>
      </c>
      <c r="B1326" s="18" t="s">
        <v>1845</v>
      </c>
      <c r="C1326" s="18" t="s">
        <v>1846</v>
      </c>
      <c r="D1326" s="18" t="s">
        <v>1847</v>
      </c>
      <c r="E1326" s="18" t="s">
        <v>6707</v>
      </c>
      <c r="F1326" s="2">
        <f>+J1326-I1326</f>
        <v>30</v>
      </c>
      <c r="G1326" s="2">
        <f ca="1">+TODAY()-I1326</f>
        <v>14</v>
      </c>
      <c r="H1326" s="15">
        <v>4853992</v>
      </c>
      <c r="I1326" s="1">
        <v>46106</v>
      </c>
      <c r="J1326" s="1">
        <v>46136</v>
      </c>
      <c r="K1326" s="18" t="s">
        <v>1875</v>
      </c>
      <c r="L1326" s="18" t="s">
        <v>981</v>
      </c>
      <c r="M1326" s="18" t="s">
        <v>19</v>
      </c>
      <c r="N1326" s="18" t="s">
        <v>1848</v>
      </c>
      <c r="O1326">
        <v>30</v>
      </c>
    </row>
    <row r="1327" spans="1:15" x14ac:dyDescent="0.25">
      <c r="A1327" s="18" t="s">
        <v>7276</v>
      </c>
      <c r="B1327" s="18" t="s">
        <v>1845</v>
      </c>
      <c r="C1327" s="18" t="s">
        <v>1846</v>
      </c>
      <c r="D1327" s="18" t="s">
        <v>1847</v>
      </c>
      <c r="E1327" s="18" t="s">
        <v>6708</v>
      </c>
      <c r="F1327" s="2">
        <f>+J1327-I1327</f>
        <v>30</v>
      </c>
      <c r="G1327" s="2">
        <f ca="1">+TODAY()-I1327</f>
        <v>14</v>
      </c>
      <c r="H1327" s="15">
        <v>1062315</v>
      </c>
      <c r="I1327" s="1">
        <v>46106</v>
      </c>
      <c r="J1327" s="1">
        <v>46136</v>
      </c>
      <c r="K1327" s="18" t="s">
        <v>1875</v>
      </c>
      <c r="L1327" s="18" t="s">
        <v>981</v>
      </c>
      <c r="M1327" s="18" t="s">
        <v>19</v>
      </c>
      <c r="N1327" s="18" t="s">
        <v>1848</v>
      </c>
      <c r="O1327">
        <v>30</v>
      </c>
    </row>
    <row r="1328" spans="1:15" x14ac:dyDescent="0.25">
      <c r="A1328" s="18" t="s">
        <v>7276</v>
      </c>
      <c r="B1328" s="18" t="s">
        <v>1845</v>
      </c>
      <c r="C1328" s="18" t="s">
        <v>1846</v>
      </c>
      <c r="D1328" s="18" t="s">
        <v>1847</v>
      </c>
      <c r="E1328" s="18" t="s">
        <v>6709</v>
      </c>
      <c r="F1328" s="2">
        <f>+J1328-I1328</f>
        <v>30</v>
      </c>
      <c r="G1328" s="2">
        <f ca="1">+TODAY()-I1328</f>
        <v>14</v>
      </c>
      <c r="H1328" s="15">
        <v>3761692</v>
      </c>
      <c r="I1328" s="1">
        <v>46106</v>
      </c>
      <c r="J1328" s="1">
        <v>46136</v>
      </c>
      <c r="K1328" s="18" t="s">
        <v>1875</v>
      </c>
      <c r="L1328" s="18" t="s">
        <v>981</v>
      </c>
      <c r="M1328" s="18" t="s">
        <v>19</v>
      </c>
      <c r="N1328" s="18" t="s">
        <v>1848</v>
      </c>
      <c r="O1328">
        <v>30</v>
      </c>
    </row>
    <row r="1329" spans="1:15" x14ac:dyDescent="0.25">
      <c r="A1329" s="18" t="s">
        <v>7276</v>
      </c>
      <c r="B1329" s="18" t="s">
        <v>1845</v>
      </c>
      <c r="C1329" s="18" t="s">
        <v>1846</v>
      </c>
      <c r="D1329" s="18" t="s">
        <v>1847</v>
      </c>
      <c r="E1329" s="18" t="s">
        <v>6710</v>
      </c>
      <c r="F1329" s="2">
        <f>+J1329-I1329</f>
        <v>30</v>
      </c>
      <c r="G1329" s="2">
        <f ca="1">+TODAY()-I1329</f>
        <v>14</v>
      </c>
      <c r="H1329" s="15">
        <v>432598</v>
      </c>
      <c r="I1329" s="1">
        <v>46106</v>
      </c>
      <c r="J1329" s="1">
        <v>46136</v>
      </c>
      <c r="K1329" s="18" t="s">
        <v>1875</v>
      </c>
      <c r="L1329" s="18" t="s">
        <v>981</v>
      </c>
      <c r="M1329" s="18" t="s">
        <v>19</v>
      </c>
      <c r="N1329" s="18" t="s">
        <v>1848</v>
      </c>
      <c r="O1329">
        <v>30</v>
      </c>
    </row>
    <row r="1330" spans="1:15" x14ac:dyDescent="0.25">
      <c r="A1330" s="18" t="s">
        <v>7276</v>
      </c>
      <c r="B1330" s="18" t="s">
        <v>156</v>
      </c>
      <c r="C1330" s="18" t="s">
        <v>157</v>
      </c>
      <c r="D1330" s="18" t="s">
        <v>1066</v>
      </c>
      <c r="E1330" s="18" t="s">
        <v>4034</v>
      </c>
      <c r="F1330" s="2">
        <f>+J1330-I1330</f>
        <v>30</v>
      </c>
      <c r="G1330" s="2">
        <f ca="1">+TODAY()-I1330</f>
        <v>77</v>
      </c>
      <c r="H1330" s="15">
        <v>40336</v>
      </c>
      <c r="I1330" s="1">
        <v>46043</v>
      </c>
      <c r="J1330" s="1">
        <v>46073</v>
      </c>
      <c r="K1330" s="18" t="s">
        <v>1068</v>
      </c>
      <c r="L1330" s="18" t="s">
        <v>47</v>
      </c>
      <c r="M1330" s="18" t="s">
        <v>19</v>
      </c>
      <c r="N1330" s="18" t="s">
        <v>158</v>
      </c>
      <c r="O1330">
        <v>30</v>
      </c>
    </row>
    <row r="1331" spans="1:15" x14ac:dyDescent="0.25">
      <c r="A1331" s="18" t="s">
        <v>7276</v>
      </c>
      <c r="B1331" s="18" t="s">
        <v>156</v>
      </c>
      <c r="C1331" s="18" t="s">
        <v>157</v>
      </c>
      <c r="D1331" s="18" t="s">
        <v>1066</v>
      </c>
      <c r="E1331" s="18" t="s">
        <v>5254</v>
      </c>
      <c r="F1331" s="2">
        <f>+J1331-I1331</f>
        <v>30</v>
      </c>
      <c r="G1331" s="2">
        <f ca="1">+TODAY()-I1331</f>
        <v>42</v>
      </c>
      <c r="H1331" s="15">
        <v>738060</v>
      </c>
      <c r="I1331" s="1">
        <v>46078</v>
      </c>
      <c r="J1331" s="1">
        <v>46108</v>
      </c>
      <c r="K1331" s="18" t="s">
        <v>1068</v>
      </c>
      <c r="L1331" s="18" t="s">
        <v>207</v>
      </c>
      <c r="M1331" s="18" t="s">
        <v>19</v>
      </c>
      <c r="N1331" s="18" t="s">
        <v>158</v>
      </c>
      <c r="O1331">
        <v>30</v>
      </c>
    </row>
    <row r="1332" spans="1:15" x14ac:dyDescent="0.25">
      <c r="A1332" s="18" t="s">
        <v>7276</v>
      </c>
      <c r="B1332" s="18" t="s">
        <v>156</v>
      </c>
      <c r="C1332" s="18" t="s">
        <v>157</v>
      </c>
      <c r="D1332" s="18" t="s">
        <v>1066</v>
      </c>
      <c r="E1332" s="18" t="s">
        <v>5543</v>
      </c>
      <c r="F1332" s="2">
        <f>+J1332-I1332</f>
        <v>30</v>
      </c>
      <c r="G1332" s="2">
        <f ca="1">+TODAY()-I1332</f>
        <v>34</v>
      </c>
      <c r="H1332" s="15">
        <v>1726905</v>
      </c>
      <c r="I1332" s="1">
        <v>46086</v>
      </c>
      <c r="J1332" s="1">
        <v>46116</v>
      </c>
      <c r="K1332" s="18" t="s">
        <v>1202</v>
      </c>
      <c r="L1332" s="18" t="s">
        <v>207</v>
      </c>
      <c r="M1332" s="18" t="s">
        <v>19</v>
      </c>
      <c r="N1332" s="18" t="s">
        <v>158</v>
      </c>
      <c r="O1332">
        <v>30</v>
      </c>
    </row>
    <row r="1333" spans="1:15" x14ac:dyDescent="0.25">
      <c r="A1333" s="18" t="s">
        <v>7276</v>
      </c>
      <c r="B1333" s="18" t="s">
        <v>156</v>
      </c>
      <c r="C1333" s="18" t="s">
        <v>157</v>
      </c>
      <c r="D1333" s="18" t="s">
        <v>1066</v>
      </c>
      <c r="E1333" s="18" t="s">
        <v>5806</v>
      </c>
      <c r="F1333" s="2">
        <f>+J1333-I1333</f>
        <v>1</v>
      </c>
      <c r="G1333" s="2">
        <f ca="1">+TODAY()-I1333</f>
        <v>32</v>
      </c>
      <c r="H1333" s="15">
        <v>1512342</v>
      </c>
      <c r="I1333" s="1">
        <v>46088</v>
      </c>
      <c r="J1333" s="1">
        <v>46089</v>
      </c>
      <c r="K1333" s="18" t="s">
        <v>1466</v>
      </c>
      <c r="L1333" s="18" t="s">
        <v>981</v>
      </c>
      <c r="M1333" s="18" t="s">
        <v>19</v>
      </c>
      <c r="N1333" s="18" t="s">
        <v>158</v>
      </c>
      <c r="O1333">
        <v>30</v>
      </c>
    </row>
    <row r="1334" spans="1:15" x14ac:dyDescent="0.25">
      <c r="A1334" s="18" t="s">
        <v>7276</v>
      </c>
      <c r="B1334" s="18" t="s">
        <v>156</v>
      </c>
      <c r="C1334" s="18" t="s">
        <v>157</v>
      </c>
      <c r="D1334" s="18" t="s">
        <v>1066</v>
      </c>
      <c r="E1334" s="18" t="s">
        <v>5807</v>
      </c>
      <c r="F1334" s="2">
        <f>+J1334-I1334</f>
        <v>30</v>
      </c>
      <c r="G1334" s="2">
        <f ca="1">+TODAY()-I1334</f>
        <v>32</v>
      </c>
      <c r="H1334" s="15">
        <v>1264021</v>
      </c>
      <c r="I1334" s="1">
        <v>46088</v>
      </c>
      <c r="J1334" s="1">
        <v>46118</v>
      </c>
      <c r="K1334" s="18" t="s">
        <v>1466</v>
      </c>
      <c r="L1334" s="18" t="s">
        <v>981</v>
      </c>
      <c r="M1334" s="18" t="s">
        <v>19</v>
      </c>
      <c r="N1334" s="18" t="s">
        <v>158</v>
      </c>
      <c r="O1334">
        <v>30</v>
      </c>
    </row>
    <row r="1335" spans="1:15" x14ac:dyDescent="0.25">
      <c r="A1335" s="18" t="s">
        <v>7276</v>
      </c>
      <c r="B1335" s="18" t="s">
        <v>156</v>
      </c>
      <c r="C1335" s="18" t="s">
        <v>157</v>
      </c>
      <c r="D1335" s="18" t="s">
        <v>1066</v>
      </c>
      <c r="E1335" s="18" t="s">
        <v>6607</v>
      </c>
      <c r="F1335" s="2">
        <f>+J1335-I1335</f>
        <v>30</v>
      </c>
      <c r="G1335" s="2">
        <f ca="1">+TODAY()-I1335</f>
        <v>13</v>
      </c>
      <c r="H1335" s="15">
        <v>3178754</v>
      </c>
      <c r="I1335" s="1">
        <v>46107</v>
      </c>
      <c r="J1335" s="1">
        <v>46137</v>
      </c>
      <c r="K1335" s="18" t="s">
        <v>1466</v>
      </c>
      <c r="L1335" s="18" t="s">
        <v>207</v>
      </c>
      <c r="M1335" s="18" t="s">
        <v>19</v>
      </c>
      <c r="N1335" s="18" t="s">
        <v>158</v>
      </c>
      <c r="O1335">
        <v>30</v>
      </c>
    </row>
    <row r="1336" spans="1:15" x14ac:dyDescent="0.25">
      <c r="A1336" s="18" t="s">
        <v>7276</v>
      </c>
      <c r="B1336" s="18" t="s">
        <v>156</v>
      </c>
      <c r="C1336" s="18" t="s">
        <v>157</v>
      </c>
      <c r="D1336" s="18" t="s">
        <v>1066</v>
      </c>
      <c r="E1336" s="18" t="s">
        <v>7211</v>
      </c>
      <c r="F1336" s="2">
        <f>+J1336-I1336</f>
        <v>30</v>
      </c>
      <c r="G1336" s="2">
        <f ca="1">+TODAY()-I1336</f>
        <v>8</v>
      </c>
      <c r="H1336" s="15">
        <v>2151591</v>
      </c>
      <c r="I1336" s="1">
        <v>46112</v>
      </c>
      <c r="J1336" s="1">
        <v>46142</v>
      </c>
      <c r="K1336" s="18" t="s">
        <v>1466</v>
      </c>
      <c r="L1336" s="18" t="s">
        <v>981</v>
      </c>
      <c r="M1336" s="18" t="s">
        <v>19</v>
      </c>
      <c r="N1336" s="18" t="s">
        <v>158</v>
      </c>
      <c r="O1336">
        <v>30</v>
      </c>
    </row>
    <row r="1337" spans="1:15" x14ac:dyDescent="0.25">
      <c r="A1337" s="18" t="s">
        <v>7276</v>
      </c>
      <c r="B1337" s="18" t="s">
        <v>156</v>
      </c>
      <c r="C1337" s="18" t="s">
        <v>157</v>
      </c>
      <c r="D1337" s="18" t="s">
        <v>1066</v>
      </c>
      <c r="E1337" s="18" t="s">
        <v>7212</v>
      </c>
      <c r="F1337" s="2">
        <f>+J1337-I1337</f>
        <v>30</v>
      </c>
      <c r="G1337" s="2">
        <f ca="1">+TODAY()-I1337</f>
        <v>8</v>
      </c>
      <c r="H1337" s="15">
        <v>10561331</v>
      </c>
      <c r="I1337" s="1">
        <v>46112</v>
      </c>
      <c r="J1337" s="1">
        <v>46142</v>
      </c>
      <c r="K1337" s="18" t="s">
        <v>1466</v>
      </c>
      <c r="L1337" s="18" t="s">
        <v>981</v>
      </c>
      <c r="M1337" s="18" t="s">
        <v>19</v>
      </c>
      <c r="N1337" s="18" t="s">
        <v>158</v>
      </c>
      <c r="O1337">
        <v>30</v>
      </c>
    </row>
    <row r="1338" spans="1:15" x14ac:dyDescent="0.25">
      <c r="A1338" s="18" t="s">
        <v>7276</v>
      </c>
      <c r="B1338" s="18" t="s">
        <v>1713</v>
      </c>
      <c r="C1338" s="18" t="s">
        <v>1714</v>
      </c>
      <c r="D1338" s="18" t="s">
        <v>1705</v>
      </c>
      <c r="E1338" s="18" t="s">
        <v>6757</v>
      </c>
      <c r="F1338" s="2">
        <f>+J1338-I1338</f>
        <v>30</v>
      </c>
      <c r="G1338" s="2">
        <f ca="1">+TODAY()-I1338</f>
        <v>9</v>
      </c>
      <c r="H1338" s="15">
        <v>891817</v>
      </c>
      <c r="I1338" s="1">
        <v>46111</v>
      </c>
      <c r="J1338" s="1">
        <v>46141</v>
      </c>
      <c r="K1338" s="18" t="s">
        <v>17</v>
      </c>
      <c r="L1338" s="18" t="s">
        <v>90</v>
      </c>
      <c r="M1338" s="18" t="s">
        <v>19</v>
      </c>
      <c r="N1338" s="18" t="s">
        <v>1715</v>
      </c>
      <c r="O1338">
        <v>30</v>
      </c>
    </row>
    <row r="1339" spans="1:15" x14ac:dyDescent="0.25">
      <c r="A1339" s="18" t="s">
        <v>7276</v>
      </c>
      <c r="B1339" s="18" t="s">
        <v>1713</v>
      </c>
      <c r="C1339" s="18" t="s">
        <v>1714</v>
      </c>
      <c r="D1339" s="18" t="s">
        <v>1705</v>
      </c>
      <c r="E1339" s="18" t="s">
        <v>5498</v>
      </c>
      <c r="F1339" s="2">
        <f>+J1339-I1339</f>
        <v>30</v>
      </c>
      <c r="G1339" s="2">
        <f ca="1">+TODAY()-I1339</f>
        <v>36</v>
      </c>
      <c r="H1339" s="15">
        <v>766948</v>
      </c>
      <c r="I1339" s="1">
        <v>46084</v>
      </c>
      <c r="J1339" s="1">
        <v>46114</v>
      </c>
      <c r="K1339" s="18" t="s">
        <v>1706</v>
      </c>
      <c r="L1339" s="18" t="s">
        <v>90</v>
      </c>
      <c r="M1339" s="18" t="s">
        <v>19</v>
      </c>
      <c r="N1339" s="18" t="s">
        <v>1715</v>
      </c>
      <c r="O1339">
        <v>30</v>
      </c>
    </row>
    <row r="1340" spans="1:15" x14ac:dyDescent="0.25">
      <c r="A1340" s="18" t="s">
        <v>7276</v>
      </c>
      <c r="B1340" s="18" t="s">
        <v>1713</v>
      </c>
      <c r="C1340" s="18" t="s">
        <v>1714</v>
      </c>
      <c r="D1340" s="18" t="s">
        <v>1705</v>
      </c>
      <c r="E1340" s="18" t="s">
        <v>6117</v>
      </c>
      <c r="F1340" s="2">
        <f>+J1340-I1340</f>
        <v>30</v>
      </c>
      <c r="G1340" s="2">
        <f ca="1">+TODAY()-I1340</f>
        <v>26</v>
      </c>
      <c r="H1340" s="15">
        <v>1367051</v>
      </c>
      <c r="I1340" s="1">
        <v>46094</v>
      </c>
      <c r="J1340" s="1">
        <v>46124</v>
      </c>
      <c r="K1340" s="18" t="s">
        <v>1706</v>
      </c>
      <c r="L1340" s="18" t="s">
        <v>90</v>
      </c>
      <c r="M1340" s="18" t="s">
        <v>19</v>
      </c>
      <c r="N1340" s="18" t="s">
        <v>1715</v>
      </c>
      <c r="O1340">
        <v>30</v>
      </c>
    </row>
    <row r="1341" spans="1:15" x14ac:dyDescent="0.25">
      <c r="A1341" s="18" t="s">
        <v>7276</v>
      </c>
      <c r="B1341" s="18" t="s">
        <v>1376</v>
      </c>
      <c r="C1341" s="18" t="s">
        <v>1377</v>
      </c>
      <c r="D1341" s="18" t="s">
        <v>1323</v>
      </c>
      <c r="E1341" s="18" t="s">
        <v>6554</v>
      </c>
      <c r="F1341" s="2">
        <f>+J1341-I1341</f>
        <v>30</v>
      </c>
      <c r="G1341" s="2">
        <f ca="1">+TODAY()-I1341</f>
        <v>14</v>
      </c>
      <c r="H1341" s="15">
        <v>622000</v>
      </c>
      <c r="I1341" s="1">
        <v>46106</v>
      </c>
      <c r="J1341" s="1">
        <v>46136</v>
      </c>
      <c r="K1341" s="18" t="s">
        <v>1325</v>
      </c>
      <c r="L1341" s="18" t="s">
        <v>90</v>
      </c>
      <c r="M1341" s="18" t="s">
        <v>19</v>
      </c>
      <c r="N1341" s="18" t="s">
        <v>1378</v>
      </c>
      <c r="O1341">
        <v>30</v>
      </c>
    </row>
    <row r="1342" spans="1:15" x14ac:dyDescent="0.25">
      <c r="A1342" s="18" t="s">
        <v>7276</v>
      </c>
      <c r="B1342" s="18" t="s">
        <v>1376</v>
      </c>
      <c r="C1342" s="18" t="s">
        <v>1377</v>
      </c>
      <c r="D1342" s="18" t="s">
        <v>1323</v>
      </c>
      <c r="E1342" s="18" t="s">
        <v>6588</v>
      </c>
      <c r="F1342" s="2">
        <f>+J1342-I1342</f>
        <v>30</v>
      </c>
      <c r="G1342" s="2">
        <f ca="1">+TODAY()-I1342</f>
        <v>13</v>
      </c>
      <c r="H1342" s="15">
        <v>2602304</v>
      </c>
      <c r="I1342" s="1">
        <v>46107</v>
      </c>
      <c r="J1342" s="1">
        <v>46137</v>
      </c>
      <c r="K1342" s="18" t="s">
        <v>1325</v>
      </c>
      <c r="L1342" s="18" t="s">
        <v>90</v>
      </c>
      <c r="M1342" s="18" t="s">
        <v>19</v>
      </c>
      <c r="N1342" s="18" t="s">
        <v>1378</v>
      </c>
      <c r="O1342">
        <v>30</v>
      </c>
    </row>
    <row r="1343" spans="1:15" x14ac:dyDescent="0.25">
      <c r="A1343" s="18" t="s">
        <v>7276</v>
      </c>
      <c r="B1343" s="18" t="s">
        <v>1376</v>
      </c>
      <c r="C1343" s="18" t="s">
        <v>1377</v>
      </c>
      <c r="D1343" s="18" t="s">
        <v>1323</v>
      </c>
      <c r="E1343" s="18" t="s">
        <v>6589</v>
      </c>
      <c r="F1343" s="2">
        <f>+J1343-I1343</f>
        <v>30</v>
      </c>
      <c r="G1343" s="2">
        <f ca="1">+TODAY()-I1343</f>
        <v>13</v>
      </c>
      <c r="H1343" s="15">
        <v>2055214</v>
      </c>
      <c r="I1343" s="1">
        <v>46107</v>
      </c>
      <c r="J1343" s="1">
        <v>46137</v>
      </c>
      <c r="K1343" s="18" t="s">
        <v>1325</v>
      </c>
      <c r="L1343" s="18" t="s">
        <v>90</v>
      </c>
      <c r="M1343" s="18" t="s">
        <v>19</v>
      </c>
      <c r="N1343" s="18" t="s">
        <v>1378</v>
      </c>
      <c r="O1343">
        <v>30</v>
      </c>
    </row>
    <row r="1344" spans="1:15" x14ac:dyDescent="0.25">
      <c r="A1344" s="18" t="s">
        <v>7276</v>
      </c>
      <c r="B1344" s="18" t="s">
        <v>4191</v>
      </c>
      <c r="C1344" s="18" t="s">
        <v>4192</v>
      </c>
      <c r="D1344" s="18" t="s">
        <v>15</v>
      </c>
      <c r="E1344" s="18" t="s">
        <v>6725</v>
      </c>
      <c r="F1344" s="2">
        <f>+J1344-I1344</f>
        <v>30</v>
      </c>
      <c r="G1344" s="2">
        <f ca="1">+TODAY()-I1344</f>
        <v>11</v>
      </c>
      <c r="H1344" s="15">
        <v>227500</v>
      </c>
      <c r="I1344" s="1">
        <v>46109</v>
      </c>
      <c r="J1344" s="1">
        <v>46139</v>
      </c>
      <c r="K1344" s="18" t="s">
        <v>17</v>
      </c>
      <c r="L1344" s="18" t="s">
        <v>32</v>
      </c>
      <c r="M1344" s="18" t="s">
        <v>19</v>
      </c>
      <c r="N1344" s="18" t="s">
        <v>4194</v>
      </c>
      <c r="O1344">
        <v>30</v>
      </c>
    </row>
    <row r="1345" spans="1:15" x14ac:dyDescent="0.25">
      <c r="A1345" s="18" t="s">
        <v>7276</v>
      </c>
      <c r="B1345" s="18" t="s">
        <v>4191</v>
      </c>
      <c r="C1345" s="18" t="s">
        <v>4192</v>
      </c>
      <c r="D1345" s="18" t="s">
        <v>15</v>
      </c>
      <c r="E1345" s="18" t="s">
        <v>7418</v>
      </c>
      <c r="F1345" s="2">
        <f>+J1345-I1345</f>
        <v>10</v>
      </c>
      <c r="G1345" s="2">
        <f ca="1">+TODAY()-I1345</f>
        <v>2</v>
      </c>
      <c r="H1345" s="15">
        <v>955600</v>
      </c>
      <c r="I1345" s="1">
        <v>46118</v>
      </c>
      <c r="J1345" s="1">
        <v>46128</v>
      </c>
      <c r="K1345" s="18" t="s">
        <v>17</v>
      </c>
      <c r="L1345" s="18" t="s">
        <v>32</v>
      </c>
      <c r="M1345" s="18" t="s">
        <v>19</v>
      </c>
      <c r="N1345" s="18" t="s">
        <v>4194</v>
      </c>
      <c r="O1345">
        <v>30</v>
      </c>
    </row>
    <row r="1346" spans="1:15" x14ac:dyDescent="0.25">
      <c r="A1346" s="18" t="s">
        <v>7276</v>
      </c>
      <c r="B1346" s="18" t="s">
        <v>4191</v>
      </c>
      <c r="C1346" s="18" t="s">
        <v>4192</v>
      </c>
      <c r="D1346" s="18" t="s">
        <v>15</v>
      </c>
      <c r="E1346" s="18" t="s">
        <v>7419</v>
      </c>
      <c r="F1346" s="2">
        <f>+J1346-I1346</f>
        <v>30</v>
      </c>
      <c r="G1346" s="2">
        <f ca="1">+TODAY()-I1346</f>
        <v>2</v>
      </c>
      <c r="H1346" s="15">
        <v>156101</v>
      </c>
      <c r="I1346" s="1">
        <v>46118</v>
      </c>
      <c r="J1346" s="1">
        <v>46148</v>
      </c>
      <c r="K1346" s="18" t="s">
        <v>17</v>
      </c>
      <c r="L1346" s="18" t="s">
        <v>32</v>
      </c>
      <c r="M1346" s="18" t="s">
        <v>19</v>
      </c>
      <c r="N1346" s="18" t="s">
        <v>4194</v>
      </c>
      <c r="O1346">
        <v>30</v>
      </c>
    </row>
    <row r="1347" spans="1:15" x14ac:dyDescent="0.25">
      <c r="A1347" s="18" t="s">
        <v>7276</v>
      </c>
      <c r="B1347" s="18" t="s">
        <v>1598</v>
      </c>
      <c r="C1347" s="18" t="s">
        <v>1599</v>
      </c>
      <c r="D1347" s="18" t="s">
        <v>1593</v>
      </c>
      <c r="E1347" s="18" t="s">
        <v>5057</v>
      </c>
      <c r="F1347" s="2">
        <f>+J1347-I1347</f>
        <v>30</v>
      </c>
      <c r="G1347" s="2">
        <f ca="1">+TODAY()-I1347</f>
        <v>56</v>
      </c>
      <c r="H1347" s="15">
        <v>684553</v>
      </c>
      <c r="I1347" s="1">
        <v>46064</v>
      </c>
      <c r="J1347" s="1">
        <v>46094</v>
      </c>
      <c r="K1347" s="18" t="s">
        <v>1589</v>
      </c>
      <c r="L1347" s="18" t="s">
        <v>984</v>
      </c>
      <c r="M1347" s="18" t="s">
        <v>19</v>
      </c>
      <c r="N1347" s="18" t="s">
        <v>1600</v>
      </c>
      <c r="O1347">
        <v>30</v>
      </c>
    </row>
    <row r="1348" spans="1:15" x14ac:dyDescent="0.25">
      <c r="A1348" s="18" t="s">
        <v>7276</v>
      </c>
      <c r="B1348" s="18" t="s">
        <v>1598</v>
      </c>
      <c r="C1348" s="18" t="s">
        <v>1599</v>
      </c>
      <c r="D1348" s="18" t="s">
        <v>1593</v>
      </c>
      <c r="E1348" s="18" t="s">
        <v>6095</v>
      </c>
      <c r="F1348" s="2">
        <f>+J1348-I1348</f>
        <v>30</v>
      </c>
      <c r="G1348" s="2">
        <f ca="1">+TODAY()-I1348</f>
        <v>27</v>
      </c>
      <c r="H1348" s="15">
        <v>269102</v>
      </c>
      <c r="I1348" s="1">
        <v>46093</v>
      </c>
      <c r="J1348" s="1">
        <v>46123</v>
      </c>
      <c r="K1348" s="18" t="s">
        <v>1589</v>
      </c>
      <c r="L1348" s="18" t="s">
        <v>984</v>
      </c>
      <c r="M1348" s="18" t="s">
        <v>19</v>
      </c>
      <c r="N1348" s="18" t="s">
        <v>1600</v>
      </c>
      <c r="O1348">
        <v>30</v>
      </c>
    </row>
    <row r="1349" spans="1:15" x14ac:dyDescent="0.25">
      <c r="A1349" s="18" t="s">
        <v>7276</v>
      </c>
      <c r="B1349" s="18" t="s">
        <v>1598</v>
      </c>
      <c r="C1349" s="18" t="s">
        <v>1599</v>
      </c>
      <c r="D1349" s="18" t="s">
        <v>1593</v>
      </c>
      <c r="E1349" s="18" t="s">
        <v>6096</v>
      </c>
      <c r="F1349" s="2">
        <f>+J1349-I1349</f>
        <v>30</v>
      </c>
      <c r="G1349" s="2">
        <f ca="1">+TODAY()-I1349</f>
        <v>27</v>
      </c>
      <c r="H1349" s="15">
        <v>428600</v>
      </c>
      <c r="I1349" s="1">
        <v>46093</v>
      </c>
      <c r="J1349" s="1">
        <v>46123</v>
      </c>
      <c r="K1349" s="18" t="s">
        <v>1589</v>
      </c>
      <c r="L1349" s="18" t="s">
        <v>984</v>
      </c>
      <c r="M1349" s="18" t="s">
        <v>19</v>
      </c>
      <c r="N1349" s="18" t="s">
        <v>1600</v>
      </c>
      <c r="O1349">
        <v>30</v>
      </c>
    </row>
    <row r="1350" spans="1:15" x14ac:dyDescent="0.25">
      <c r="A1350" s="18" t="s">
        <v>7276</v>
      </c>
      <c r="B1350" s="18" t="s">
        <v>7162</v>
      </c>
      <c r="C1350" s="18" t="s">
        <v>7163</v>
      </c>
      <c r="D1350" s="18" t="s">
        <v>1250</v>
      </c>
      <c r="E1350" s="18" t="s">
        <v>7164</v>
      </c>
      <c r="F1350" s="2">
        <f>+J1350-I1350</f>
        <v>1</v>
      </c>
      <c r="G1350" s="2">
        <f ca="1">+TODAY()-I1350</f>
        <v>9</v>
      </c>
      <c r="H1350" s="15">
        <v>256800</v>
      </c>
      <c r="I1350" s="1">
        <v>46111</v>
      </c>
      <c r="J1350" s="1">
        <v>46112</v>
      </c>
      <c r="K1350" s="18" t="s">
        <v>1243</v>
      </c>
      <c r="L1350" s="18" t="s">
        <v>312</v>
      </c>
      <c r="M1350" s="18" t="s">
        <v>19</v>
      </c>
      <c r="N1350" s="18" t="s">
        <v>7165</v>
      </c>
      <c r="O1350">
        <v>1</v>
      </c>
    </row>
    <row r="1351" spans="1:15" x14ac:dyDescent="0.25">
      <c r="A1351" s="18" t="s">
        <v>7276</v>
      </c>
      <c r="B1351" s="18" t="s">
        <v>7119</v>
      </c>
      <c r="C1351" s="18" t="s">
        <v>7120</v>
      </c>
      <c r="D1351" s="18" t="s">
        <v>1201</v>
      </c>
      <c r="E1351" s="18" t="s">
        <v>7121</v>
      </c>
      <c r="F1351" s="2">
        <f>+J1351-I1351</f>
        <v>1</v>
      </c>
      <c r="G1351" s="2">
        <f ca="1">+TODAY()-I1351</f>
        <v>8</v>
      </c>
      <c r="H1351" s="15">
        <v>30597</v>
      </c>
      <c r="I1351" s="1">
        <v>46112</v>
      </c>
      <c r="J1351" s="1">
        <v>46113</v>
      </c>
      <c r="K1351" s="18" t="s">
        <v>1202</v>
      </c>
      <c r="L1351" s="18" t="s">
        <v>321</v>
      </c>
      <c r="M1351" s="18" t="s">
        <v>19</v>
      </c>
      <c r="N1351" s="18" t="s">
        <v>7122</v>
      </c>
      <c r="O1351">
        <v>30</v>
      </c>
    </row>
    <row r="1352" spans="1:15" x14ac:dyDescent="0.25">
      <c r="A1352" s="18" t="s">
        <v>7276</v>
      </c>
      <c r="B1352" s="18" t="s">
        <v>886</v>
      </c>
      <c r="C1352" s="18" t="s">
        <v>887</v>
      </c>
      <c r="D1352" s="18" t="s">
        <v>844</v>
      </c>
      <c r="E1352" s="18" t="s">
        <v>5944</v>
      </c>
      <c r="F1352" s="2">
        <f>+J1352-I1352</f>
        <v>25</v>
      </c>
      <c r="G1352" s="2">
        <f ca="1">+TODAY()-I1352</f>
        <v>26</v>
      </c>
      <c r="H1352" s="15">
        <v>451004</v>
      </c>
      <c r="I1352" s="1">
        <v>46094</v>
      </c>
      <c r="J1352" s="1">
        <v>46119</v>
      </c>
      <c r="K1352" s="18" t="s">
        <v>845</v>
      </c>
      <c r="L1352" s="18" t="s">
        <v>18</v>
      </c>
      <c r="M1352" s="18" t="s">
        <v>19</v>
      </c>
      <c r="N1352" s="18" t="s">
        <v>888</v>
      </c>
      <c r="O1352">
        <v>25</v>
      </c>
    </row>
    <row r="1353" spans="1:15" x14ac:dyDescent="0.25">
      <c r="A1353" s="18" t="s">
        <v>7276</v>
      </c>
      <c r="B1353" s="18" t="s">
        <v>1505</v>
      </c>
      <c r="C1353" s="18" t="s">
        <v>1506</v>
      </c>
      <c r="D1353" s="18" t="s">
        <v>1507</v>
      </c>
      <c r="E1353" s="18" t="s">
        <v>1508</v>
      </c>
      <c r="F1353" s="2">
        <f>+J1353-I1353</f>
        <v>30</v>
      </c>
      <c r="G1353" s="2">
        <f ca="1">+TODAY()-I1353</f>
        <v>286</v>
      </c>
      <c r="H1353" s="15">
        <v>202110</v>
      </c>
      <c r="I1353" s="1">
        <v>45834</v>
      </c>
      <c r="J1353" s="1">
        <v>45864</v>
      </c>
      <c r="K1353" s="18" t="s">
        <v>1509</v>
      </c>
      <c r="L1353" s="18" t="s">
        <v>984</v>
      </c>
      <c r="M1353" s="18" t="s">
        <v>19</v>
      </c>
      <c r="N1353" s="18" t="s">
        <v>1510</v>
      </c>
      <c r="O1353">
        <v>30</v>
      </c>
    </row>
    <row r="1354" spans="1:15" x14ac:dyDescent="0.25">
      <c r="A1354" s="18" t="s">
        <v>7276</v>
      </c>
      <c r="B1354" s="18" t="s">
        <v>872</v>
      </c>
      <c r="C1354" s="18" t="s">
        <v>873</v>
      </c>
      <c r="D1354" s="18" t="s">
        <v>854</v>
      </c>
      <c r="E1354" s="18" t="s">
        <v>5238</v>
      </c>
      <c r="F1354" s="2">
        <f>+J1354-I1354</f>
        <v>30</v>
      </c>
      <c r="G1354" s="2">
        <f ca="1">+TODAY()-I1354</f>
        <v>39</v>
      </c>
      <c r="H1354" s="15">
        <v>2182404</v>
      </c>
      <c r="I1354" s="1">
        <v>46081</v>
      </c>
      <c r="J1354" s="1">
        <v>46111</v>
      </c>
      <c r="K1354" s="18" t="s">
        <v>845</v>
      </c>
      <c r="L1354" s="18" t="s">
        <v>18</v>
      </c>
      <c r="M1354" s="18" t="s">
        <v>19</v>
      </c>
      <c r="N1354" s="18" t="s">
        <v>874</v>
      </c>
      <c r="O1354">
        <v>30</v>
      </c>
    </row>
    <row r="1355" spans="1:15" x14ac:dyDescent="0.25">
      <c r="A1355" s="18" t="s">
        <v>7276</v>
      </c>
      <c r="B1355" s="18" t="s">
        <v>872</v>
      </c>
      <c r="C1355" s="18" t="s">
        <v>873</v>
      </c>
      <c r="D1355" s="18" t="s">
        <v>854</v>
      </c>
      <c r="E1355" s="18" t="s">
        <v>5239</v>
      </c>
      <c r="F1355" s="2">
        <f>+J1355-I1355</f>
        <v>30</v>
      </c>
      <c r="G1355" s="2">
        <f ca="1">+TODAY()-I1355</f>
        <v>39</v>
      </c>
      <c r="H1355" s="15">
        <v>2958951</v>
      </c>
      <c r="I1355" s="1">
        <v>46081</v>
      </c>
      <c r="J1355" s="1">
        <v>46111</v>
      </c>
      <c r="K1355" s="18" t="s">
        <v>845</v>
      </c>
      <c r="L1355" s="18" t="s">
        <v>18</v>
      </c>
      <c r="M1355" s="18" t="s">
        <v>19</v>
      </c>
      <c r="N1355" s="18" t="s">
        <v>874</v>
      </c>
      <c r="O1355">
        <v>30</v>
      </c>
    </row>
    <row r="1356" spans="1:15" x14ac:dyDescent="0.25">
      <c r="A1356" s="18" t="s">
        <v>7276</v>
      </c>
      <c r="B1356" s="18" t="s">
        <v>872</v>
      </c>
      <c r="C1356" s="18" t="s">
        <v>873</v>
      </c>
      <c r="D1356" s="18" t="s">
        <v>854</v>
      </c>
      <c r="E1356" s="18" t="s">
        <v>5945</v>
      </c>
      <c r="F1356" s="2">
        <f>+J1356-I1356</f>
        <v>30</v>
      </c>
      <c r="G1356" s="2">
        <f ca="1">+TODAY()-I1356</f>
        <v>26</v>
      </c>
      <c r="H1356" s="15">
        <v>430300</v>
      </c>
      <c r="I1356" s="1">
        <v>46094</v>
      </c>
      <c r="J1356" s="1">
        <v>46124</v>
      </c>
      <c r="K1356" s="18" t="s">
        <v>845</v>
      </c>
      <c r="L1356" s="18" t="s">
        <v>18</v>
      </c>
      <c r="M1356" s="18" t="s">
        <v>19</v>
      </c>
      <c r="N1356" s="18" t="s">
        <v>874</v>
      </c>
      <c r="O1356">
        <v>30</v>
      </c>
    </row>
    <row r="1357" spans="1:15" x14ac:dyDescent="0.25">
      <c r="A1357" s="18" t="s">
        <v>7276</v>
      </c>
      <c r="B1357" s="18" t="s">
        <v>872</v>
      </c>
      <c r="C1357" s="18" t="s">
        <v>873</v>
      </c>
      <c r="D1357" s="18" t="s">
        <v>854</v>
      </c>
      <c r="E1357" s="18" t="s">
        <v>5946</v>
      </c>
      <c r="F1357" s="2">
        <f>+J1357-I1357</f>
        <v>30</v>
      </c>
      <c r="G1357" s="2">
        <f ca="1">+TODAY()-I1357</f>
        <v>26</v>
      </c>
      <c r="H1357" s="15">
        <v>870001</v>
      </c>
      <c r="I1357" s="1">
        <v>46094</v>
      </c>
      <c r="J1357" s="1">
        <v>46124</v>
      </c>
      <c r="K1357" s="18" t="s">
        <v>845</v>
      </c>
      <c r="L1357" s="18" t="s">
        <v>18</v>
      </c>
      <c r="M1357" s="18" t="s">
        <v>19</v>
      </c>
      <c r="N1357" s="18" t="s">
        <v>874</v>
      </c>
      <c r="O1357">
        <v>30</v>
      </c>
    </row>
    <row r="1358" spans="1:15" x14ac:dyDescent="0.25">
      <c r="A1358" s="18" t="s">
        <v>7276</v>
      </c>
      <c r="B1358" s="18" t="s">
        <v>872</v>
      </c>
      <c r="C1358" s="18" t="s">
        <v>873</v>
      </c>
      <c r="D1358" s="18" t="s">
        <v>854</v>
      </c>
      <c r="E1358" s="18" t="s">
        <v>5947</v>
      </c>
      <c r="F1358" s="2">
        <f>+J1358-I1358</f>
        <v>30</v>
      </c>
      <c r="G1358" s="2">
        <f ca="1">+TODAY()-I1358</f>
        <v>26</v>
      </c>
      <c r="H1358" s="15">
        <v>2320406</v>
      </c>
      <c r="I1358" s="1">
        <v>46094</v>
      </c>
      <c r="J1358" s="1">
        <v>46124</v>
      </c>
      <c r="K1358" s="18" t="s">
        <v>845</v>
      </c>
      <c r="L1358" s="18" t="s">
        <v>18</v>
      </c>
      <c r="M1358" s="18" t="s">
        <v>19</v>
      </c>
      <c r="N1358" s="18" t="s">
        <v>874</v>
      </c>
      <c r="O1358">
        <v>30</v>
      </c>
    </row>
    <row r="1359" spans="1:15" x14ac:dyDescent="0.25">
      <c r="A1359" s="18" t="s">
        <v>7276</v>
      </c>
      <c r="B1359" s="18" t="s">
        <v>872</v>
      </c>
      <c r="C1359" s="18" t="s">
        <v>873</v>
      </c>
      <c r="D1359" s="18" t="s">
        <v>854</v>
      </c>
      <c r="E1359" s="18" t="s">
        <v>5965</v>
      </c>
      <c r="F1359" s="2">
        <f>+J1359-I1359</f>
        <v>30</v>
      </c>
      <c r="G1359" s="2">
        <f ca="1">+TODAY()-I1359</f>
        <v>26</v>
      </c>
      <c r="H1359" s="15">
        <v>76798</v>
      </c>
      <c r="I1359" s="1">
        <v>46094</v>
      </c>
      <c r="J1359" s="1">
        <v>46124</v>
      </c>
      <c r="K1359" s="18" t="s">
        <v>845</v>
      </c>
      <c r="L1359" s="18" t="s">
        <v>18</v>
      </c>
      <c r="M1359" s="18" t="s">
        <v>19</v>
      </c>
      <c r="N1359" s="18" t="s">
        <v>874</v>
      </c>
      <c r="O1359">
        <v>30</v>
      </c>
    </row>
    <row r="1360" spans="1:15" x14ac:dyDescent="0.25">
      <c r="A1360" s="18" t="s">
        <v>7276</v>
      </c>
      <c r="B1360" s="18" t="s">
        <v>872</v>
      </c>
      <c r="C1360" s="18" t="s">
        <v>873</v>
      </c>
      <c r="D1360" s="18" t="s">
        <v>854</v>
      </c>
      <c r="E1360" s="18" t="s">
        <v>6468</v>
      </c>
      <c r="F1360" s="2">
        <f>+J1360-I1360</f>
        <v>30</v>
      </c>
      <c r="G1360" s="2">
        <f ca="1">+TODAY()-I1360</f>
        <v>12</v>
      </c>
      <c r="H1360" s="15">
        <v>2811623</v>
      </c>
      <c r="I1360" s="1">
        <v>46108</v>
      </c>
      <c r="J1360" s="1">
        <v>46138</v>
      </c>
      <c r="K1360" s="18" t="s">
        <v>845</v>
      </c>
      <c r="L1360" s="18" t="s">
        <v>18</v>
      </c>
      <c r="M1360" s="18" t="s">
        <v>19</v>
      </c>
      <c r="N1360" s="18" t="s">
        <v>874</v>
      </c>
      <c r="O1360">
        <v>30</v>
      </c>
    </row>
    <row r="1361" spans="1:15" x14ac:dyDescent="0.25">
      <c r="A1361" s="18" t="s">
        <v>7276</v>
      </c>
      <c r="B1361" s="18" t="s">
        <v>872</v>
      </c>
      <c r="C1361" s="18" t="s">
        <v>873</v>
      </c>
      <c r="D1361" s="18" t="s">
        <v>854</v>
      </c>
      <c r="E1361" s="18" t="s">
        <v>6469</v>
      </c>
      <c r="F1361" s="2">
        <f>+J1361-I1361</f>
        <v>30</v>
      </c>
      <c r="G1361" s="2">
        <f ca="1">+TODAY()-I1361</f>
        <v>12</v>
      </c>
      <c r="H1361" s="15">
        <v>1844995</v>
      </c>
      <c r="I1361" s="1">
        <v>46108</v>
      </c>
      <c r="J1361" s="1">
        <v>46138</v>
      </c>
      <c r="K1361" s="18" t="s">
        <v>845</v>
      </c>
      <c r="L1361" s="18" t="s">
        <v>18</v>
      </c>
      <c r="M1361" s="18" t="s">
        <v>19</v>
      </c>
      <c r="N1361" s="18" t="s">
        <v>874</v>
      </c>
      <c r="O1361">
        <v>30</v>
      </c>
    </row>
    <row r="1362" spans="1:15" x14ac:dyDescent="0.25">
      <c r="A1362" s="18" t="s">
        <v>7276</v>
      </c>
      <c r="B1362" s="18" t="s">
        <v>872</v>
      </c>
      <c r="C1362" s="18" t="s">
        <v>873</v>
      </c>
      <c r="D1362" s="18" t="s">
        <v>854</v>
      </c>
      <c r="E1362" s="18" t="s">
        <v>6470</v>
      </c>
      <c r="F1362" s="2">
        <f>+J1362-I1362</f>
        <v>30</v>
      </c>
      <c r="G1362" s="2">
        <f ca="1">+TODAY()-I1362</f>
        <v>12</v>
      </c>
      <c r="H1362" s="15">
        <v>1272000</v>
      </c>
      <c r="I1362" s="1">
        <v>46108</v>
      </c>
      <c r="J1362" s="1">
        <v>46138</v>
      </c>
      <c r="K1362" s="18" t="s">
        <v>845</v>
      </c>
      <c r="L1362" s="18" t="s">
        <v>18</v>
      </c>
      <c r="M1362" s="18" t="s">
        <v>19</v>
      </c>
      <c r="N1362" s="18" t="s">
        <v>874</v>
      </c>
      <c r="O1362">
        <v>30</v>
      </c>
    </row>
    <row r="1363" spans="1:15" x14ac:dyDescent="0.25">
      <c r="A1363" s="18" t="s">
        <v>7276</v>
      </c>
      <c r="B1363" s="18" t="s">
        <v>4225</v>
      </c>
      <c r="C1363" s="18" t="s">
        <v>4226</v>
      </c>
      <c r="D1363" s="18" t="s">
        <v>15</v>
      </c>
      <c r="E1363" s="18" t="s">
        <v>6875</v>
      </c>
      <c r="F1363" s="2">
        <f>+J1363-I1363</f>
        <v>1</v>
      </c>
      <c r="G1363" s="2">
        <f ca="1">+TODAY()-I1363</f>
        <v>8</v>
      </c>
      <c r="H1363" s="15">
        <v>174449</v>
      </c>
      <c r="I1363" s="1">
        <v>46112</v>
      </c>
      <c r="J1363" s="1">
        <v>46113</v>
      </c>
      <c r="K1363" s="18" t="s">
        <v>17</v>
      </c>
      <c r="L1363" s="18" t="s">
        <v>312</v>
      </c>
      <c r="M1363" s="18" t="s">
        <v>19</v>
      </c>
      <c r="N1363" s="18" t="s">
        <v>4228</v>
      </c>
      <c r="O1363">
        <v>1</v>
      </c>
    </row>
    <row r="1364" spans="1:15" x14ac:dyDescent="0.25">
      <c r="A1364" s="18" t="s">
        <v>7276</v>
      </c>
      <c r="B1364" s="18" t="s">
        <v>4225</v>
      </c>
      <c r="C1364" s="18" t="s">
        <v>4226</v>
      </c>
      <c r="D1364" s="18" t="s">
        <v>15</v>
      </c>
      <c r="E1364" s="18" t="s">
        <v>6876</v>
      </c>
      <c r="F1364" s="2">
        <f>+J1364-I1364</f>
        <v>1</v>
      </c>
      <c r="G1364" s="2">
        <f ca="1">+TODAY()-I1364</f>
        <v>8</v>
      </c>
      <c r="H1364" s="15">
        <v>86906</v>
      </c>
      <c r="I1364" s="1">
        <v>46112</v>
      </c>
      <c r="J1364" s="1">
        <v>46113</v>
      </c>
      <c r="K1364" s="18" t="s">
        <v>17</v>
      </c>
      <c r="L1364" s="18" t="s">
        <v>312</v>
      </c>
      <c r="M1364" s="18" t="s">
        <v>19</v>
      </c>
      <c r="N1364" s="18" t="s">
        <v>4228</v>
      </c>
      <c r="O1364">
        <v>1</v>
      </c>
    </row>
    <row r="1365" spans="1:15" x14ac:dyDescent="0.25">
      <c r="A1365" s="18" t="s">
        <v>7276</v>
      </c>
      <c r="B1365" s="18" t="s">
        <v>2786</v>
      </c>
      <c r="C1365" s="18" t="s">
        <v>2787</v>
      </c>
      <c r="D1365" s="18" t="s">
        <v>1514</v>
      </c>
      <c r="E1365" s="18" t="s">
        <v>5038</v>
      </c>
      <c r="F1365" s="2">
        <f>+J1365-I1365</f>
        <v>30</v>
      </c>
      <c r="G1365" s="2">
        <f ca="1">+TODAY()-I1365</f>
        <v>61</v>
      </c>
      <c r="H1365" s="15">
        <v>285400</v>
      </c>
      <c r="I1365" s="1">
        <v>46059</v>
      </c>
      <c r="J1365" s="1">
        <v>46089</v>
      </c>
      <c r="K1365" s="18" t="s">
        <v>1515</v>
      </c>
      <c r="L1365" s="18" t="s">
        <v>984</v>
      </c>
      <c r="M1365" s="18" t="s">
        <v>19</v>
      </c>
      <c r="N1365" s="18" t="s">
        <v>2789</v>
      </c>
      <c r="O1365">
        <v>25</v>
      </c>
    </row>
    <row r="1366" spans="1:15" x14ac:dyDescent="0.25">
      <c r="A1366" s="18" t="s">
        <v>7276</v>
      </c>
      <c r="B1366" s="18" t="s">
        <v>2786</v>
      </c>
      <c r="C1366" s="18" t="s">
        <v>2787</v>
      </c>
      <c r="D1366" s="18" t="s">
        <v>1514</v>
      </c>
      <c r="E1366" s="18" t="s">
        <v>5140</v>
      </c>
      <c r="F1366" s="2">
        <f>+J1366-I1366</f>
        <v>30</v>
      </c>
      <c r="G1366" s="2">
        <f ca="1">+TODAY()-I1366</f>
        <v>48</v>
      </c>
      <c r="H1366" s="15">
        <v>2504671</v>
      </c>
      <c r="I1366" s="1">
        <v>46072</v>
      </c>
      <c r="J1366" s="1">
        <v>46102</v>
      </c>
      <c r="K1366" s="18" t="s">
        <v>1515</v>
      </c>
      <c r="L1366" s="18" t="s">
        <v>984</v>
      </c>
      <c r="M1366" s="18" t="s">
        <v>19</v>
      </c>
      <c r="N1366" s="18" t="s">
        <v>2789</v>
      </c>
      <c r="O1366">
        <v>25</v>
      </c>
    </row>
    <row r="1367" spans="1:15" x14ac:dyDescent="0.25">
      <c r="A1367" s="18" t="s">
        <v>7276</v>
      </c>
      <c r="B1367" s="18" t="s">
        <v>2786</v>
      </c>
      <c r="C1367" s="18" t="s">
        <v>2787</v>
      </c>
      <c r="D1367" s="18" t="s">
        <v>1514</v>
      </c>
      <c r="E1367" s="18" t="s">
        <v>5576</v>
      </c>
      <c r="F1367" s="2">
        <f>+J1367-I1367</f>
        <v>30</v>
      </c>
      <c r="G1367" s="2">
        <f ca="1">+TODAY()-I1367</f>
        <v>33</v>
      </c>
      <c r="H1367" s="15">
        <v>464064</v>
      </c>
      <c r="I1367" s="1">
        <v>46087</v>
      </c>
      <c r="J1367" s="1">
        <v>46117</v>
      </c>
      <c r="K1367" s="18" t="s">
        <v>1515</v>
      </c>
      <c r="L1367" s="18" t="s">
        <v>984</v>
      </c>
      <c r="M1367" s="18" t="s">
        <v>19</v>
      </c>
      <c r="N1367" s="18" t="s">
        <v>2789</v>
      </c>
      <c r="O1367">
        <v>25</v>
      </c>
    </row>
    <row r="1368" spans="1:15" x14ac:dyDescent="0.25">
      <c r="A1368" s="18" t="s">
        <v>7276</v>
      </c>
      <c r="B1368" s="18" t="s">
        <v>2786</v>
      </c>
      <c r="C1368" s="18" t="s">
        <v>2787</v>
      </c>
      <c r="D1368" s="18" t="s">
        <v>1514</v>
      </c>
      <c r="E1368" s="18" t="s">
        <v>6608</v>
      </c>
      <c r="F1368" s="2">
        <f>+J1368-I1368</f>
        <v>25</v>
      </c>
      <c r="G1368" s="2">
        <f ca="1">+TODAY()-I1368</f>
        <v>18</v>
      </c>
      <c r="H1368" s="15">
        <v>1657149</v>
      </c>
      <c r="I1368" s="1">
        <v>46102</v>
      </c>
      <c r="J1368" s="1">
        <v>46127</v>
      </c>
      <c r="K1368" s="18" t="s">
        <v>1515</v>
      </c>
      <c r="L1368" s="18" t="s">
        <v>984</v>
      </c>
      <c r="M1368" s="18" t="s">
        <v>19</v>
      </c>
      <c r="N1368" s="18" t="s">
        <v>2789</v>
      </c>
      <c r="O1368">
        <v>25</v>
      </c>
    </row>
    <row r="1369" spans="1:15" x14ac:dyDescent="0.25">
      <c r="A1369" s="18" t="s">
        <v>7276</v>
      </c>
      <c r="B1369" s="18" t="s">
        <v>2786</v>
      </c>
      <c r="C1369" s="18" t="s">
        <v>2787</v>
      </c>
      <c r="D1369" s="18" t="s">
        <v>1514</v>
      </c>
      <c r="E1369" s="18" t="s">
        <v>7219</v>
      </c>
      <c r="F1369" s="2">
        <f>+J1369-I1369</f>
        <v>25</v>
      </c>
      <c r="G1369" s="2">
        <f ca="1">+TODAY()-I1369</f>
        <v>8</v>
      </c>
      <c r="H1369" s="15">
        <v>665199</v>
      </c>
      <c r="I1369" s="1">
        <v>46112</v>
      </c>
      <c r="J1369" s="1">
        <v>46137</v>
      </c>
      <c r="K1369" s="18" t="s">
        <v>1515</v>
      </c>
      <c r="L1369" s="18" t="s">
        <v>984</v>
      </c>
      <c r="M1369" s="18" t="s">
        <v>19</v>
      </c>
      <c r="N1369" s="18" t="s">
        <v>2789</v>
      </c>
      <c r="O1369">
        <v>25</v>
      </c>
    </row>
    <row r="1370" spans="1:15" x14ac:dyDescent="0.25">
      <c r="A1370" s="18" t="s">
        <v>7276</v>
      </c>
      <c r="B1370" s="18" t="s">
        <v>2786</v>
      </c>
      <c r="C1370" s="18" t="s">
        <v>2787</v>
      </c>
      <c r="D1370" s="18" t="s">
        <v>1514</v>
      </c>
      <c r="E1370" s="18" t="s">
        <v>7221</v>
      </c>
      <c r="F1370" s="2">
        <f>+J1370-I1370</f>
        <v>25</v>
      </c>
      <c r="G1370" s="2">
        <f ca="1">+TODAY()-I1370</f>
        <v>8</v>
      </c>
      <c r="H1370" s="15">
        <v>40900</v>
      </c>
      <c r="I1370" s="1">
        <v>46112</v>
      </c>
      <c r="J1370" s="1">
        <v>46137</v>
      </c>
      <c r="K1370" s="18" t="s">
        <v>1515</v>
      </c>
      <c r="L1370" s="18" t="s">
        <v>984</v>
      </c>
      <c r="M1370" s="18" t="s">
        <v>19</v>
      </c>
      <c r="N1370" s="18" t="s">
        <v>2789</v>
      </c>
      <c r="O1370">
        <v>25</v>
      </c>
    </row>
    <row r="1371" spans="1:15" x14ac:dyDescent="0.25">
      <c r="A1371" s="18" t="s">
        <v>7276</v>
      </c>
      <c r="B1371" s="18" t="s">
        <v>1525</v>
      </c>
      <c r="C1371" s="18" t="s">
        <v>1526</v>
      </c>
      <c r="D1371" s="18" t="s">
        <v>1527</v>
      </c>
      <c r="E1371" s="18" t="s">
        <v>5989</v>
      </c>
      <c r="F1371" s="2">
        <f>+J1371-I1371</f>
        <v>30</v>
      </c>
      <c r="G1371" s="2">
        <f ca="1">+TODAY()-I1371</f>
        <v>27</v>
      </c>
      <c r="H1371" s="15">
        <v>912878</v>
      </c>
      <c r="I1371" s="1">
        <v>46093</v>
      </c>
      <c r="J1371" s="1">
        <v>46123</v>
      </c>
      <c r="K1371" s="18" t="s">
        <v>1144</v>
      </c>
      <c r="L1371" s="18" t="s">
        <v>207</v>
      </c>
      <c r="M1371" s="18" t="s">
        <v>19</v>
      </c>
      <c r="N1371" s="18" t="s">
        <v>1529</v>
      </c>
      <c r="O1371">
        <v>30</v>
      </c>
    </row>
    <row r="1372" spans="1:15" x14ac:dyDescent="0.25">
      <c r="A1372" s="18" t="s">
        <v>7276</v>
      </c>
      <c r="B1372" s="18" t="s">
        <v>1525</v>
      </c>
      <c r="C1372" s="18" t="s">
        <v>1526</v>
      </c>
      <c r="D1372" s="18" t="s">
        <v>1527</v>
      </c>
      <c r="E1372" s="18" t="s">
        <v>5990</v>
      </c>
      <c r="F1372" s="2">
        <f>+J1372-I1372</f>
        <v>30</v>
      </c>
      <c r="G1372" s="2">
        <f ca="1">+TODAY()-I1372</f>
        <v>27</v>
      </c>
      <c r="H1372" s="15">
        <v>1532005</v>
      </c>
      <c r="I1372" s="1">
        <v>46093</v>
      </c>
      <c r="J1372" s="1">
        <v>46123</v>
      </c>
      <c r="K1372" s="18" t="s">
        <v>1144</v>
      </c>
      <c r="L1372" s="18" t="s">
        <v>207</v>
      </c>
      <c r="M1372" s="18" t="s">
        <v>19</v>
      </c>
      <c r="N1372" s="18" t="s">
        <v>1529</v>
      </c>
      <c r="O1372">
        <v>30</v>
      </c>
    </row>
    <row r="1373" spans="1:15" x14ac:dyDescent="0.25">
      <c r="A1373" s="18" t="s">
        <v>7276</v>
      </c>
      <c r="B1373" s="18" t="s">
        <v>1525</v>
      </c>
      <c r="C1373" s="18" t="s">
        <v>1526</v>
      </c>
      <c r="D1373" s="18" t="s">
        <v>1527</v>
      </c>
      <c r="E1373" s="18" t="s">
        <v>6611</v>
      </c>
      <c r="F1373" s="2">
        <f>+J1373-I1373</f>
        <v>30</v>
      </c>
      <c r="G1373" s="2">
        <f ca="1">+TODAY()-I1373</f>
        <v>13</v>
      </c>
      <c r="H1373" s="15">
        <v>1053103</v>
      </c>
      <c r="I1373" s="1">
        <v>46107</v>
      </c>
      <c r="J1373" s="1">
        <v>46137</v>
      </c>
      <c r="K1373" s="18" t="s">
        <v>1528</v>
      </c>
      <c r="L1373" s="18" t="s">
        <v>207</v>
      </c>
      <c r="M1373" s="18" t="s">
        <v>19</v>
      </c>
      <c r="N1373" s="18" t="s">
        <v>1529</v>
      </c>
      <c r="O1373">
        <v>30</v>
      </c>
    </row>
    <row r="1374" spans="1:15" x14ac:dyDescent="0.25">
      <c r="A1374" s="18" t="s">
        <v>7276</v>
      </c>
      <c r="B1374" s="18" t="s">
        <v>1525</v>
      </c>
      <c r="C1374" s="18" t="s">
        <v>1526</v>
      </c>
      <c r="D1374" s="18" t="s">
        <v>1527</v>
      </c>
      <c r="E1374" s="18" t="s">
        <v>6626</v>
      </c>
      <c r="F1374" s="2">
        <f>+J1374-I1374</f>
        <v>15</v>
      </c>
      <c r="G1374" s="2">
        <f ca="1">+TODAY()-I1374</f>
        <v>13</v>
      </c>
      <c r="H1374" s="15">
        <v>140838</v>
      </c>
      <c r="I1374" s="1">
        <v>46107</v>
      </c>
      <c r="J1374" s="1">
        <v>46122</v>
      </c>
      <c r="K1374" s="18" t="s">
        <v>1528</v>
      </c>
      <c r="L1374" s="18" t="s">
        <v>312</v>
      </c>
      <c r="M1374" s="18" t="s">
        <v>19</v>
      </c>
      <c r="N1374" s="18" t="s">
        <v>1529</v>
      </c>
      <c r="O1374">
        <v>30</v>
      </c>
    </row>
    <row r="1375" spans="1:15" x14ac:dyDescent="0.25">
      <c r="A1375" s="18" t="s">
        <v>7276</v>
      </c>
      <c r="B1375" s="18" t="s">
        <v>1525</v>
      </c>
      <c r="C1375" s="18" t="s">
        <v>1526</v>
      </c>
      <c r="D1375" s="18" t="s">
        <v>1527</v>
      </c>
      <c r="E1375" s="18" t="s">
        <v>6627</v>
      </c>
      <c r="F1375" s="2">
        <f>+J1375-I1375</f>
        <v>15</v>
      </c>
      <c r="G1375" s="2">
        <f ca="1">+TODAY()-I1375</f>
        <v>13</v>
      </c>
      <c r="H1375" s="15">
        <v>225595</v>
      </c>
      <c r="I1375" s="1">
        <v>46107</v>
      </c>
      <c r="J1375" s="1">
        <v>46122</v>
      </c>
      <c r="K1375" s="18" t="s">
        <v>1528</v>
      </c>
      <c r="L1375" s="18" t="s">
        <v>312</v>
      </c>
      <c r="M1375" s="18" t="s">
        <v>19</v>
      </c>
      <c r="N1375" s="18" t="s">
        <v>1529</v>
      </c>
      <c r="O1375">
        <v>30</v>
      </c>
    </row>
    <row r="1376" spans="1:15" x14ac:dyDescent="0.25">
      <c r="A1376" s="18" t="s">
        <v>7276</v>
      </c>
      <c r="B1376" s="18" t="s">
        <v>1658</v>
      </c>
      <c r="C1376" s="18" t="s">
        <v>1659</v>
      </c>
      <c r="D1376" s="18" t="s">
        <v>1593</v>
      </c>
      <c r="E1376" s="18" t="s">
        <v>5055</v>
      </c>
      <c r="F1376" s="2">
        <f>+J1376-I1376</f>
        <v>30</v>
      </c>
      <c r="G1376" s="2">
        <f ca="1">+TODAY()-I1376</f>
        <v>56</v>
      </c>
      <c r="H1376" s="15">
        <v>2227499</v>
      </c>
      <c r="I1376" s="1">
        <v>46064</v>
      </c>
      <c r="J1376" s="1">
        <v>46094</v>
      </c>
      <c r="K1376" s="18" t="s">
        <v>1589</v>
      </c>
      <c r="L1376" s="18" t="s">
        <v>984</v>
      </c>
      <c r="M1376" s="18" t="s">
        <v>19</v>
      </c>
      <c r="N1376" s="18" t="s">
        <v>1660</v>
      </c>
      <c r="O1376">
        <v>30</v>
      </c>
    </row>
    <row r="1377" spans="1:15" x14ac:dyDescent="0.25">
      <c r="A1377" s="18" t="s">
        <v>7276</v>
      </c>
      <c r="B1377" s="18" t="s">
        <v>1658</v>
      </c>
      <c r="C1377" s="18" t="s">
        <v>1659</v>
      </c>
      <c r="D1377" s="18" t="s">
        <v>1593</v>
      </c>
      <c r="E1377" s="18" t="s">
        <v>5344</v>
      </c>
      <c r="F1377" s="2">
        <f>+J1377-I1377</f>
        <v>30</v>
      </c>
      <c r="G1377" s="2">
        <f ca="1">+TODAY()-I1377</f>
        <v>40</v>
      </c>
      <c r="H1377" s="15">
        <v>428000</v>
      </c>
      <c r="I1377" s="1">
        <v>46080</v>
      </c>
      <c r="J1377" s="1">
        <v>46110</v>
      </c>
      <c r="K1377" s="18" t="s">
        <v>1589</v>
      </c>
      <c r="L1377" s="18" t="s">
        <v>984</v>
      </c>
      <c r="M1377" s="18" t="s">
        <v>19</v>
      </c>
      <c r="N1377" s="18" t="s">
        <v>1660</v>
      </c>
      <c r="O1377">
        <v>30</v>
      </c>
    </row>
    <row r="1378" spans="1:15" x14ac:dyDescent="0.25">
      <c r="A1378" s="18" t="s">
        <v>7276</v>
      </c>
      <c r="B1378" s="18" t="s">
        <v>1658</v>
      </c>
      <c r="C1378" s="18" t="s">
        <v>1659</v>
      </c>
      <c r="D1378" s="18" t="s">
        <v>1593</v>
      </c>
      <c r="E1378" s="18" t="s">
        <v>5345</v>
      </c>
      <c r="F1378" s="2">
        <f>+J1378-I1378</f>
        <v>30</v>
      </c>
      <c r="G1378" s="2">
        <f ca="1">+TODAY()-I1378</f>
        <v>40</v>
      </c>
      <c r="H1378" s="15">
        <v>629098</v>
      </c>
      <c r="I1378" s="1">
        <v>46080</v>
      </c>
      <c r="J1378" s="1">
        <v>46110</v>
      </c>
      <c r="K1378" s="18" t="s">
        <v>1589</v>
      </c>
      <c r="L1378" s="18" t="s">
        <v>984</v>
      </c>
      <c r="M1378" s="18" t="s">
        <v>19</v>
      </c>
      <c r="N1378" s="18" t="s">
        <v>1660</v>
      </c>
      <c r="O1378">
        <v>30</v>
      </c>
    </row>
    <row r="1379" spans="1:15" x14ac:dyDescent="0.25">
      <c r="A1379" s="18" t="s">
        <v>7276</v>
      </c>
      <c r="B1379" s="18" t="s">
        <v>7513</v>
      </c>
      <c r="C1379" s="18" t="s">
        <v>7514</v>
      </c>
      <c r="D1379" s="18" t="s">
        <v>1118</v>
      </c>
      <c r="E1379" s="18" t="s">
        <v>7515</v>
      </c>
      <c r="F1379" s="2">
        <f>+J1379-I1379</f>
        <v>1</v>
      </c>
      <c r="G1379" s="2">
        <f ca="1">+TODAY()-I1379</f>
        <v>7</v>
      </c>
      <c r="H1379" s="15">
        <v>57804</v>
      </c>
      <c r="I1379" s="1">
        <v>46113</v>
      </c>
      <c r="J1379" s="1">
        <v>46114</v>
      </c>
      <c r="K1379" s="18" t="s">
        <v>1144</v>
      </c>
      <c r="L1379" s="18" t="s">
        <v>321</v>
      </c>
      <c r="M1379" s="18" t="s">
        <v>19</v>
      </c>
      <c r="N1379" s="18" t="s">
        <v>7516</v>
      </c>
      <c r="O1379">
        <v>1</v>
      </c>
    </row>
    <row r="1380" spans="1:15" x14ac:dyDescent="0.25">
      <c r="A1380" s="18" t="s">
        <v>7276</v>
      </c>
      <c r="B1380" s="18" t="s">
        <v>7513</v>
      </c>
      <c r="C1380" s="18" t="s">
        <v>7514</v>
      </c>
      <c r="D1380" s="18" t="s">
        <v>1118</v>
      </c>
      <c r="E1380" s="18" t="s">
        <v>7517</v>
      </c>
      <c r="F1380" s="2">
        <f>+J1380-I1380</f>
        <v>1</v>
      </c>
      <c r="G1380" s="2">
        <f ca="1">+TODAY()-I1380</f>
        <v>7</v>
      </c>
      <c r="H1380" s="15">
        <v>60737</v>
      </c>
      <c r="I1380" s="1">
        <v>46113</v>
      </c>
      <c r="J1380" s="1">
        <v>46114</v>
      </c>
      <c r="K1380" s="18" t="s">
        <v>1144</v>
      </c>
      <c r="L1380" s="18" t="s">
        <v>321</v>
      </c>
      <c r="M1380" s="18" t="s">
        <v>19</v>
      </c>
      <c r="N1380" s="18" t="s">
        <v>7516</v>
      </c>
      <c r="O1380">
        <v>1</v>
      </c>
    </row>
    <row r="1381" spans="1:15" x14ac:dyDescent="0.25">
      <c r="A1381" s="18" t="s">
        <v>7276</v>
      </c>
      <c r="B1381" s="18" t="s">
        <v>7513</v>
      </c>
      <c r="C1381" s="18" t="s">
        <v>7514</v>
      </c>
      <c r="D1381" s="18" t="s">
        <v>1118</v>
      </c>
      <c r="E1381" s="18" t="s">
        <v>7518</v>
      </c>
      <c r="F1381" s="2">
        <f>+J1381-I1381</f>
        <v>1</v>
      </c>
      <c r="G1381" s="2">
        <f ca="1">+TODAY()-I1381</f>
        <v>7</v>
      </c>
      <c r="H1381" s="15">
        <v>36392</v>
      </c>
      <c r="I1381" s="1">
        <v>46113</v>
      </c>
      <c r="J1381" s="1">
        <v>46114</v>
      </c>
      <c r="K1381" s="18" t="s">
        <v>1144</v>
      </c>
      <c r="L1381" s="18" t="s">
        <v>321</v>
      </c>
      <c r="M1381" s="18" t="s">
        <v>19</v>
      </c>
      <c r="N1381" s="18" t="s">
        <v>7516</v>
      </c>
      <c r="O1381">
        <v>1</v>
      </c>
    </row>
    <row r="1382" spans="1:15" x14ac:dyDescent="0.25">
      <c r="A1382" s="18" t="s">
        <v>7276</v>
      </c>
      <c r="B1382" s="18" t="s">
        <v>2007</v>
      </c>
      <c r="C1382" s="18" t="s">
        <v>2008</v>
      </c>
      <c r="D1382" s="18" t="s">
        <v>1583</v>
      </c>
      <c r="E1382" s="18" t="s">
        <v>3225</v>
      </c>
      <c r="F1382" s="2">
        <f>+J1382-I1382</f>
        <v>30</v>
      </c>
      <c r="G1382" s="2">
        <f ca="1">+TODAY()-I1382</f>
        <v>92</v>
      </c>
      <c r="H1382" s="15">
        <v>1465015</v>
      </c>
      <c r="I1382" s="1">
        <v>46028</v>
      </c>
      <c r="J1382" s="1">
        <v>46058</v>
      </c>
      <c r="K1382" s="18" t="s">
        <v>1863</v>
      </c>
      <c r="L1382" s="18" t="s">
        <v>984</v>
      </c>
      <c r="M1382" s="18" t="s">
        <v>19</v>
      </c>
      <c r="N1382" s="18" t="s">
        <v>2009</v>
      </c>
      <c r="O1382">
        <v>30</v>
      </c>
    </row>
    <row r="1383" spans="1:15" x14ac:dyDescent="0.25">
      <c r="A1383" s="18" t="s">
        <v>7276</v>
      </c>
      <c r="B1383" s="18" t="s">
        <v>2007</v>
      </c>
      <c r="C1383" s="18" t="s">
        <v>2008</v>
      </c>
      <c r="D1383" s="18" t="s">
        <v>1583</v>
      </c>
      <c r="E1383" s="18" t="s">
        <v>4161</v>
      </c>
      <c r="F1383" s="2">
        <f>+J1383-I1383</f>
        <v>30</v>
      </c>
      <c r="G1383" s="2">
        <f ca="1">+TODAY()-I1383</f>
        <v>77</v>
      </c>
      <c r="H1383" s="15">
        <v>1439302</v>
      </c>
      <c r="I1383" s="1">
        <v>46043</v>
      </c>
      <c r="J1383" s="1">
        <v>46073</v>
      </c>
      <c r="K1383" s="18" t="s">
        <v>1863</v>
      </c>
      <c r="L1383" s="18" t="s">
        <v>984</v>
      </c>
      <c r="M1383" s="18" t="s">
        <v>19</v>
      </c>
      <c r="N1383" s="18" t="s">
        <v>2009</v>
      </c>
      <c r="O1383">
        <v>30</v>
      </c>
    </row>
    <row r="1384" spans="1:15" x14ac:dyDescent="0.25">
      <c r="A1384" s="18" t="s">
        <v>7276</v>
      </c>
      <c r="B1384" s="18" t="s">
        <v>717</v>
      </c>
      <c r="C1384" s="18" t="s">
        <v>718</v>
      </c>
      <c r="D1384" s="18" t="s">
        <v>666</v>
      </c>
      <c r="E1384" s="18" t="s">
        <v>6222</v>
      </c>
      <c r="F1384" s="2">
        <f>+J1384-I1384</f>
        <v>30</v>
      </c>
      <c r="G1384" s="2">
        <f ca="1">+TODAY()-I1384</f>
        <v>22</v>
      </c>
      <c r="H1384" s="15">
        <v>3102800</v>
      </c>
      <c r="I1384" s="1">
        <v>46098</v>
      </c>
      <c r="J1384" s="1">
        <v>46128</v>
      </c>
      <c r="K1384" s="18" t="s">
        <v>716</v>
      </c>
      <c r="L1384" s="18" t="s">
        <v>18</v>
      </c>
      <c r="M1384" s="18" t="s">
        <v>19</v>
      </c>
      <c r="N1384" s="18" t="s">
        <v>719</v>
      </c>
      <c r="O1384">
        <v>30</v>
      </c>
    </row>
    <row r="1385" spans="1:15" x14ac:dyDescent="0.25">
      <c r="A1385" s="18" t="s">
        <v>7276</v>
      </c>
      <c r="B1385" s="18" t="s">
        <v>717</v>
      </c>
      <c r="C1385" s="18" t="s">
        <v>718</v>
      </c>
      <c r="D1385" s="18" t="s">
        <v>666</v>
      </c>
      <c r="E1385" s="18" t="s">
        <v>6223</v>
      </c>
      <c r="F1385" s="2">
        <f>+J1385-I1385</f>
        <v>30</v>
      </c>
      <c r="G1385" s="2">
        <f ca="1">+TODAY()-I1385</f>
        <v>22</v>
      </c>
      <c r="H1385" s="15">
        <v>1512895</v>
      </c>
      <c r="I1385" s="1">
        <v>46098</v>
      </c>
      <c r="J1385" s="1">
        <v>46128</v>
      </c>
      <c r="K1385" s="18" t="s">
        <v>716</v>
      </c>
      <c r="L1385" s="18" t="s">
        <v>18</v>
      </c>
      <c r="M1385" s="18" t="s">
        <v>19</v>
      </c>
      <c r="N1385" s="18" t="s">
        <v>719</v>
      </c>
      <c r="O1385">
        <v>30</v>
      </c>
    </row>
    <row r="1386" spans="1:15" x14ac:dyDescent="0.25">
      <c r="A1386" s="18" t="s">
        <v>7276</v>
      </c>
      <c r="B1386" s="18" t="s">
        <v>717</v>
      </c>
      <c r="C1386" s="18" t="s">
        <v>718</v>
      </c>
      <c r="D1386" s="18" t="s">
        <v>666</v>
      </c>
      <c r="E1386" s="18" t="s">
        <v>6971</v>
      </c>
      <c r="F1386" s="2">
        <f>+J1386-I1386</f>
        <v>30</v>
      </c>
      <c r="G1386" s="2">
        <f ca="1">+TODAY()-I1386</f>
        <v>9</v>
      </c>
      <c r="H1386" s="15">
        <v>1152562</v>
      </c>
      <c r="I1386" s="1">
        <v>46111</v>
      </c>
      <c r="J1386" s="1">
        <v>46141</v>
      </c>
      <c r="K1386" s="18" t="s">
        <v>716</v>
      </c>
      <c r="L1386" s="18" t="s">
        <v>18</v>
      </c>
      <c r="M1386" s="18" t="s">
        <v>19</v>
      </c>
      <c r="N1386" s="18" t="s">
        <v>719</v>
      </c>
      <c r="O1386">
        <v>30</v>
      </c>
    </row>
    <row r="1387" spans="1:15" x14ac:dyDescent="0.25">
      <c r="A1387" s="18" t="s">
        <v>7276</v>
      </c>
      <c r="B1387" s="18" t="s">
        <v>717</v>
      </c>
      <c r="C1387" s="18" t="s">
        <v>718</v>
      </c>
      <c r="D1387" s="18" t="s">
        <v>666</v>
      </c>
      <c r="E1387" s="18" t="s">
        <v>6972</v>
      </c>
      <c r="F1387" s="2">
        <f>+J1387-I1387</f>
        <v>30</v>
      </c>
      <c r="G1387" s="2">
        <f ca="1">+TODAY()-I1387</f>
        <v>9</v>
      </c>
      <c r="H1387" s="15">
        <v>1763400</v>
      </c>
      <c r="I1387" s="1">
        <v>46111</v>
      </c>
      <c r="J1387" s="1">
        <v>46141</v>
      </c>
      <c r="K1387" s="18" t="s">
        <v>716</v>
      </c>
      <c r="L1387" s="18" t="s">
        <v>18</v>
      </c>
      <c r="M1387" s="18" t="s">
        <v>19</v>
      </c>
      <c r="N1387" s="18" t="s">
        <v>719</v>
      </c>
      <c r="O1387">
        <v>30</v>
      </c>
    </row>
    <row r="1388" spans="1:15" x14ac:dyDescent="0.25">
      <c r="A1388" s="18" t="s">
        <v>7276</v>
      </c>
      <c r="B1388" s="18" t="s">
        <v>1881</v>
      </c>
      <c r="C1388" s="18" t="s">
        <v>1882</v>
      </c>
      <c r="D1388" s="18" t="s">
        <v>1883</v>
      </c>
      <c r="E1388" s="18" t="s">
        <v>5190</v>
      </c>
      <c r="F1388" s="2">
        <f>+J1388-I1388</f>
        <v>30</v>
      </c>
      <c r="G1388" s="2">
        <f ca="1">+TODAY()-I1388</f>
        <v>48</v>
      </c>
      <c r="H1388" s="15">
        <v>1004828</v>
      </c>
      <c r="I1388" s="1">
        <v>46072</v>
      </c>
      <c r="J1388" s="1">
        <v>46102</v>
      </c>
      <c r="K1388" s="18" t="s">
        <v>1879</v>
      </c>
      <c r="L1388" s="18" t="s">
        <v>984</v>
      </c>
      <c r="M1388" s="18" t="s">
        <v>19</v>
      </c>
      <c r="N1388" s="18" t="s">
        <v>1885</v>
      </c>
      <c r="O1388">
        <v>30</v>
      </c>
    </row>
    <row r="1389" spans="1:15" x14ac:dyDescent="0.25">
      <c r="A1389" s="18" t="s">
        <v>7276</v>
      </c>
      <c r="B1389" s="18" t="s">
        <v>1881</v>
      </c>
      <c r="C1389" s="18" t="s">
        <v>1882</v>
      </c>
      <c r="D1389" s="18" t="s">
        <v>1883</v>
      </c>
      <c r="E1389" s="18" t="s">
        <v>5191</v>
      </c>
      <c r="F1389" s="2">
        <f>+J1389-I1389</f>
        <v>30</v>
      </c>
      <c r="G1389" s="2">
        <f ca="1">+TODAY()-I1389</f>
        <v>48</v>
      </c>
      <c r="H1389" s="15">
        <v>2369168</v>
      </c>
      <c r="I1389" s="1">
        <v>46072</v>
      </c>
      <c r="J1389" s="1">
        <v>46102</v>
      </c>
      <c r="K1389" s="18" t="s">
        <v>1879</v>
      </c>
      <c r="L1389" s="18" t="s">
        <v>984</v>
      </c>
      <c r="M1389" s="18" t="s">
        <v>19</v>
      </c>
      <c r="N1389" s="18" t="s">
        <v>1885</v>
      </c>
      <c r="O1389">
        <v>30</v>
      </c>
    </row>
    <row r="1390" spans="1:15" x14ac:dyDescent="0.25">
      <c r="A1390" s="18" t="s">
        <v>7276</v>
      </c>
      <c r="B1390" s="18" t="s">
        <v>1881</v>
      </c>
      <c r="C1390" s="18" t="s">
        <v>1882</v>
      </c>
      <c r="D1390" s="18" t="s">
        <v>1883</v>
      </c>
      <c r="E1390" s="18" t="s">
        <v>5069</v>
      </c>
      <c r="F1390" s="2">
        <f>+J1390-I1390</f>
        <v>30</v>
      </c>
      <c r="G1390" s="2">
        <f ca="1">+TODAY()-I1390</f>
        <v>61</v>
      </c>
      <c r="H1390" s="15">
        <v>1601015</v>
      </c>
      <c r="I1390" s="1">
        <v>46059</v>
      </c>
      <c r="J1390" s="1">
        <v>46089</v>
      </c>
      <c r="K1390" s="18" t="s">
        <v>1884</v>
      </c>
      <c r="L1390" s="18" t="s">
        <v>984</v>
      </c>
      <c r="M1390" s="18" t="s">
        <v>19</v>
      </c>
      <c r="N1390" s="18" t="s">
        <v>1885</v>
      </c>
      <c r="O1390">
        <v>30</v>
      </c>
    </row>
    <row r="1391" spans="1:15" x14ac:dyDescent="0.25">
      <c r="A1391" s="18" t="s">
        <v>7276</v>
      </c>
      <c r="B1391" s="18" t="s">
        <v>1881</v>
      </c>
      <c r="C1391" s="18" t="s">
        <v>1882</v>
      </c>
      <c r="D1391" s="18" t="s">
        <v>1883</v>
      </c>
      <c r="E1391" s="18" t="s">
        <v>5070</v>
      </c>
      <c r="F1391" s="2">
        <f>+J1391-I1391</f>
        <v>30</v>
      </c>
      <c r="G1391" s="2">
        <f ca="1">+TODAY()-I1391</f>
        <v>61</v>
      </c>
      <c r="H1391" s="15">
        <v>2413119</v>
      </c>
      <c r="I1391" s="1">
        <v>46059</v>
      </c>
      <c r="J1391" s="1">
        <v>46089</v>
      </c>
      <c r="K1391" s="18" t="s">
        <v>1884</v>
      </c>
      <c r="L1391" s="18" t="s">
        <v>984</v>
      </c>
      <c r="M1391" s="18" t="s">
        <v>19</v>
      </c>
      <c r="N1391" s="18" t="s">
        <v>1885</v>
      </c>
      <c r="O1391">
        <v>30</v>
      </c>
    </row>
    <row r="1392" spans="1:15" x14ac:dyDescent="0.25">
      <c r="A1392" s="18" t="s">
        <v>7276</v>
      </c>
      <c r="B1392" s="18" t="s">
        <v>1881</v>
      </c>
      <c r="C1392" s="18" t="s">
        <v>1882</v>
      </c>
      <c r="D1392" s="18" t="s">
        <v>1883</v>
      </c>
      <c r="E1392" s="18" t="s">
        <v>5585</v>
      </c>
      <c r="F1392" s="2">
        <f>+J1392-I1392</f>
        <v>30</v>
      </c>
      <c r="G1392" s="2">
        <f ca="1">+TODAY()-I1392</f>
        <v>33</v>
      </c>
      <c r="H1392" s="15">
        <v>733856</v>
      </c>
      <c r="I1392" s="1">
        <v>46087</v>
      </c>
      <c r="J1392" s="1">
        <v>46117</v>
      </c>
      <c r="K1392" s="18" t="s">
        <v>1884</v>
      </c>
      <c r="L1392" s="18" t="s">
        <v>984</v>
      </c>
      <c r="M1392" s="18" t="s">
        <v>19</v>
      </c>
      <c r="N1392" s="18" t="s">
        <v>1885</v>
      </c>
      <c r="O1392">
        <v>30</v>
      </c>
    </row>
    <row r="1393" spans="1:15" x14ac:dyDescent="0.25">
      <c r="A1393" s="18" t="s">
        <v>7276</v>
      </c>
      <c r="B1393" s="18" t="s">
        <v>1881</v>
      </c>
      <c r="C1393" s="18" t="s">
        <v>1882</v>
      </c>
      <c r="D1393" s="18" t="s">
        <v>1883</v>
      </c>
      <c r="E1393" s="18" t="s">
        <v>5586</v>
      </c>
      <c r="F1393" s="2">
        <f>+J1393-I1393</f>
        <v>30</v>
      </c>
      <c r="G1393" s="2">
        <f ca="1">+TODAY()-I1393</f>
        <v>33</v>
      </c>
      <c r="H1393" s="15">
        <v>1094964</v>
      </c>
      <c r="I1393" s="1">
        <v>46087</v>
      </c>
      <c r="J1393" s="1">
        <v>46117</v>
      </c>
      <c r="K1393" s="18" t="s">
        <v>1884</v>
      </c>
      <c r="L1393" s="18" t="s">
        <v>984</v>
      </c>
      <c r="M1393" s="18" t="s">
        <v>19</v>
      </c>
      <c r="N1393" s="18" t="s">
        <v>1885</v>
      </c>
      <c r="O1393">
        <v>30</v>
      </c>
    </row>
    <row r="1394" spans="1:15" x14ac:dyDescent="0.25">
      <c r="A1394" s="18" t="s">
        <v>7276</v>
      </c>
      <c r="B1394" s="18" t="s">
        <v>1881</v>
      </c>
      <c r="C1394" s="18" t="s">
        <v>1882</v>
      </c>
      <c r="D1394" s="18" t="s">
        <v>1883</v>
      </c>
      <c r="E1394" s="18" t="s">
        <v>5587</v>
      </c>
      <c r="F1394" s="2">
        <f>+J1394-I1394</f>
        <v>30</v>
      </c>
      <c r="G1394" s="2">
        <f ca="1">+TODAY()-I1394</f>
        <v>33</v>
      </c>
      <c r="H1394" s="15">
        <v>1067227</v>
      </c>
      <c r="I1394" s="1">
        <v>46087</v>
      </c>
      <c r="J1394" s="1">
        <v>46117</v>
      </c>
      <c r="K1394" s="18" t="s">
        <v>1884</v>
      </c>
      <c r="L1394" s="18" t="s">
        <v>984</v>
      </c>
      <c r="M1394" s="18" t="s">
        <v>19</v>
      </c>
      <c r="N1394" s="18" t="s">
        <v>1885</v>
      </c>
      <c r="O1394">
        <v>30</v>
      </c>
    </row>
    <row r="1395" spans="1:15" x14ac:dyDescent="0.25">
      <c r="A1395" s="18" t="s">
        <v>7276</v>
      </c>
      <c r="B1395" s="18" t="s">
        <v>1881</v>
      </c>
      <c r="C1395" s="18" t="s">
        <v>1882</v>
      </c>
      <c r="D1395" s="18" t="s">
        <v>1883</v>
      </c>
      <c r="E1395" s="18" t="s">
        <v>6381</v>
      </c>
      <c r="F1395" s="2">
        <f>+J1395-I1395</f>
        <v>30</v>
      </c>
      <c r="G1395" s="2">
        <f ca="1">+TODAY()-I1395</f>
        <v>21</v>
      </c>
      <c r="H1395" s="15">
        <v>1269150</v>
      </c>
      <c r="I1395" s="1">
        <v>46099</v>
      </c>
      <c r="J1395" s="1">
        <v>46129</v>
      </c>
      <c r="K1395" s="18" t="s">
        <v>1884</v>
      </c>
      <c r="L1395" s="18" t="s">
        <v>984</v>
      </c>
      <c r="M1395" s="18" t="s">
        <v>19</v>
      </c>
      <c r="N1395" s="18" t="s">
        <v>1885</v>
      </c>
      <c r="O1395">
        <v>30</v>
      </c>
    </row>
    <row r="1396" spans="1:15" x14ac:dyDescent="0.25">
      <c r="A1396" s="18" t="s">
        <v>7276</v>
      </c>
      <c r="B1396" s="18" t="s">
        <v>1881</v>
      </c>
      <c r="C1396" s="18" t="s">
        <v>1882</v>
      </c>
      <c r="D1396" s="18" t="s">
        <v>1883</v>
      </c>
      <c r="E1396" s="18" t="s">
        <v>6382</v>
      </c>
      <c r="F1396" s="2">
        <f>+J1396-I1396</f>
        <v>30</v>
      </c>
      <c r="G1396" s="2">
        <f ca="1">+TODAY()-I1396</f>
        <v>21</v>
      </c>
      <c r="H1396" s="15">
        <v>1261293</v>
      </c>
      <c r="I1396" s="1">
        <v>46099</v>
      </c>
      <c r="J1396" s="1">
        <v>46129</v>
      </c>
      <c r="K1396" s="18" t="s">
        <v>1884</v>
      </c>
      <c r="L1396" s="18" t="s">
        <v>984</v>
      </c>
      <c r="M1396" s="18" t="s">
        <v>19</v>
      </c>
      <c r="N1396" s="18" t="s">
        <v>1885</v>
      </c>
      <c r="O1396">
        <v>30</v>
      </c>
    </row>
    <row r="1397" spans="1:15" x14ac:dyDescent="0.25">
      <c r="A1397" s="18" t="s">
        <v>7276</v>
      </c>
      <c r="B1397" s="18" t="s">
        <v>1881</v>
      </c>
      <c r="C1397" s="18" t="s">
        <v>1882</v>
      </c>
      <c r="D1397" s="18" t="s">
        <v>1883</v>
      </c>
      <c r="E1397" s="18" t="s">
        <v>7274</v>
      </c>
      <c r="F1397" s="2">
        <f>+J1397-I1397</f>
        <v>30</v>
      </c>
      <c r="G1397" s="2">
        <f ca="1">+TODAY()-I1397</f>
        <v>8</v>
      </c>
      <c r="H1397" s="15">
        <v>1113482</v>
      </c>
      <c r="I1397" s="1">
        <v>46112</v>
      </c>
      <c r="J1397" s="1">
        <v>46142</v>
      </c>
      <c r="K1397" s="18" t="s">
        <v>1884</v>
      </c>
      <c r="L1397" s="18" t="s">
        <v>984</v>
      </c>
      <c r="M1397" s="18" t="s">
        <v>19</v>
      </c>
      <c r="N1397" s="18" t="s">
        <v>1885</v>
      </c>
      <c r="O1397">
        <v>30</v>
      </c>
    </row>
    <row r="1398" spans="1:15" x14ac:dyDescent="0.25">
      <c r="A1398" s="18" t="s">
        <v>7276</v>
      </c>
      <c r="B1398" s="18" t="s">
        <v>1881</v>
      </c>
      <c r="C1398" s="18" t="s">
        <v>1882</v>
      </c>
      <c r="D1398" s="18" t="s">
        <v>1883</v>
      </c>
      <c r="E1398" s="18" t="s">
        <v>7275</v>
      </c>
      <c r="F1398" s="2">
        <f>+J1398-I1398</f>
        <v>30</v>
      </c>
      <c r="G1398" s="2">
        <f ca="1">+TODAY()-I1398</f>
        <v>8</v>
      </c>
      <c r="H1398" s="15">
        <v>1432103</v>
      </c>
      <c r="I1398" s="1">
        <v>46112</v>
      </c>
      <c r="J1398" s="1">
        <v>46142</v>
      </c>
      <c r="K1398" s="18" t="s">
        <v>1884</v>
      </c>
      <c r="L1398" s="18" t="s">
        <v>984</v>
      </c>
      <c r="M1398" s="18" t="s">
        <v>19</v>
      </c>
      <c r="N1398" s="18" t="s">
        <v>1885</v>
      </c>
      <c r="O1398">
        <v>30</v>
      </c>
    </row>
    <row r="1399" spans="1:15" x14ac:dyDescent="0.25">
      <c r="A1399" s="18" t="s">
        <v>7276</v>
      </c>
      <c r="B1399" s="18" t="s">
        <v>5539</v>
      </c>
      <c r="C1399" s="18" t="s">
        <v>5540</v>
      </c>
      <c r="D1399" s="18" t="s">
        <v>1066</v>
      </c>
      <c r="E1399" s="18" t="s">
        <v>6507</v>
      </c>
      <c r="F1399" s="2">
        <f>+J1399-I1399</f>
        <v>30</v>
      </c>
      <c r="G1399" s="2">
        <f ca="1">+TODAY()-I1399</f>
        <v>12</v>
      </c>
      <c r="H1399" s="15">
        <v>42000</v>
      </c>
      <c r="I1399" s="1">
        <v>46108</v>
      </c>
      <c r="J1399" s="1">
        <v>46138</v>
      </c>
      <c r="K1399" s="18" t="s">
        <v>1068</v>
      </c>
      <c r="L1399" s="18" t="s">
        <v>109</v>
      </c>
      <c r="M1399" s="18" t="s">
        <v>19</v>
      </c>
      <c r="N1399" s="18" t="s">
        <v>5541</v>
      </c>
      <c r="O1399">
        <v>30</v>
      </c>
    </row>
    <row r="1400" spans="1:15" x14ac:dyDescent="0.25">
      <c r="A1400" s="18" t="s">
        <v>7276</v>
      </c>
      <c r="B1400" s="18" t="s">
        <v>992</v>
      </c>
      <c r="C1400" s="18" t="s">
        <v>993</v>
      </c>
      <c r="D1400" s="18" t="s">
        <v>994</v>
      </c>
      <c r="E1400" s="18" t="s">
        <v>5538</v>
      </c>
      <c r="F1400" s="2">
        <f>+J1400-I1400</f>
        <v>30</v>
      </c>
      <c r="G1400" s="2">
        <f ca="1">+TODAY()-I1400</f>
        <v>34</v>
      </c>
      <c r="H1400" s="15">
        <v>295804</v>
      </c>
      <c r="I1400" s="1">
        <v>46086</v>
      </c>
      <c r="J1400" s="1">
        <v>46116</v>
      </c>
      <c r="K1400" s="18" t="s">
        <v>989</v>
      </c>
      <c r="L1400" s="18" t="s">
        <v>18</v>
      </c>
      <c r="M1400" s="18" t="s">
        <v>19</v>
      </c>
      <c r="N1400" s="18" t="s">
        <v>6239</v>
      </c>
      <c r="O1400">
        <v>30</v>
      </c>
    </row>
    <row r="1401" spans="1:15" x14ac:dyDescent="0.25">
      <c r="A1401" s="18" t="s">
        <v>7276</v>
      </c>
      <c r="B1401" s="18" t="s">
        <v>992</v>
      </c>
      <c r="C1401" s="18" t="s">
        <v>993</v>
      </c>
      <c r="D1401" s="18" t="s">
        <v>994</v>
      </c>
      <c r="E1401" s="18" t="s">
        <v>5711</v>
      </c>
      <c r="F1401" s="2">
        <f>+J1401-I1401</f>
        <v>30</v>
      </c>
      <c r="G1401" s="2">
        <f ca="1">+TODAY()-I1401</f>
        <v>27</v>
      </c>
      <c r="H1401" s="15">
        <v>4230000</v>
      </c>
      <c r="I1401" s="1">
        <v>46093</v>
      </c>
      <c r="J1401" s="1">
        <v>46123</v>
      </c>
      <c r="K1401" s="18" t="s">
        <v>989</v>
      </c>
      <c r="L1401" s="18" t="s">
        <v>18</v>
      </c>
      <c r="M1401" s="18" t="s">
        <v>19</v>
      </c>
      <c r="N1401" s="18" t="s">
        <v>6239</v>
      </c>
      <c r="O1401">
        <v>30</v>
      </c>
    </row>
    <row r="1402" spans="1:15" x14ac:dyDescent="0.25">
      <c r="A1402" s="18" t="s">
        <v>7276</v>
      </c>
      <c r="B1402" s="18" t="s">
        <v>992</v>
      </c>
      <c r="C1402" s="18" t="s">
        <v>993</v>
      </c>
      <c r="D1402" s="18" t="s">
        <v>994</v>
      </c>
      <c r="E1402" s="18" t="s">
        <v>6240</v>
      </c>
      <c r="F1402" s="2">
        <f>+J1402-I1402</f>
        <v>30</v>
      </c>
      <c r="G1402" s="2">
        <f ca="1">+TODAY()-I1402</f>
        <v>20</v>
      </c>
      <c r="H1402" s="15">
        <v>2544000</v>
      </c>
      <c r="I1402" s="1">
        <v>46100</v>
      </c>
      <c r="J1402" s="1">
        <v>46130</v>
      </c>
      <c r="K1402" s="18" t="s">
        <v>989</v>
      </c>
      <c r="L1402" s="18" t="s">
        <v>18</v>
      </c>
      <c r="M1402" s="18" t="s">
        <v>19</v>
      </c>
      <c r="N1402" s="18" t="s">
        <v>6239</v>
      </c>
      <c r="O1402">
        <v>30</v>
      </c>
    </row>
    <row r="1403" spans="1:15" x14ac:dyDescent="0.25">
      <c r="A1403" s="18" t="s">
        <v>7276</v>
      </c>
      <c r="B1403" s="18" t="s">
        <v>992</v>
      </c>
      <c r="C1403" s="18" t="s">
        <v>993</v>
      </c>
      <c r="D1403" s="18" t="s">
        <v>994</v>
      </c>
      <c r="E1403" s="18" t="s">
        <v>6241</v>
      </c>
      <c r="F1403" s="2">
        <f>+J1403-I1403</f>
        <v>30</v>
      </c>
      <c r="G1403" s="2">
        <f ca="1">+TODAY()-I1403</f>
        <v>20</v>
      </c>
      <c r="H1403" s="15">
        <v>2601472</v>
      </c>
      <c r="I1403" s="1">
        <v>46100</v>
      </c>
      <c r="J1403" s="1">
        <v>46130</v>
      </c>
      <c r="K1403" s="18" t="s">
        <v>989</v>
      </c>
      <c r="L1403" s="18" t="s">
        <v>18</v>
      </c>
      <c r="M1403" s="18" t="s">
        <v>19</v>
      </c>
      <c r="N1403" s="18" t="s">
        <v>6239</v>
      </c>
      <c r="O1403">
        <v>30</v>
      </c>
    </row>
    <row r="1404" spans="1:15" x14ac:dyDescent="0.25">
      <c r="A1404" s="18" t="s">
        <v>7276</v>
      </c>
      <c r="B1404" s="18" t="s">
        <v>992</v>
      </c>
      <c r="C1404" s="18" t="s">
        <v>993</v>
      </c>
      <c r="D1404" s="18" t="s">
        <v>994</v>
      </c>
      <c r="E1404" s="18" t="s">
        <v>7039</v>
      </c>
      <c r="F1404" s="2">
        <f>+J1404-I1404</f>
        <v>30</v>
      </c>
      <c r="G1404" s="2">
        <f ca="1">+TODAY()-I1404</f>
        <v>8</v>
      </c>
      <c r="H1404" s="15">
        <v>600000</v>
      </c>
      <c r="I1404" s="1">
        <v>46112</v>
      </c>
      <c r="J1404" s="1">
        <v>46142</v>
      </c>
      <c r="K1404" s="18" t="s">
        <v>989</v>
      </c>
      <c r="L1404" s="18" t="s">
        <v>18</v>
      </c>
      <c r="M1404" s="18" t="s">
        <v>19</v>
      </c>
      <c r="N1404" s="18" t="s">
        <v>6239</v>
      </c>
      <c r="O1404">
        <v>30</v>
      </c>
    </row>
    <row r="1405" spans="1:15" x14ac:dyDescent="0.25">
      <c r="A1405" s="18" t="s">
        <v>7276</v>
      </c>
      <c r="B1405" s="18" t="s">
        <v>5216</v>
      </c>
      <c r="C1405" s="18" t="s">
        <v>5217</v>
      </c>
      <c r="D1405" s="18" t="s">
        <v>15</v>
      </c>
      <c r="E1405" s="18" t="s">
        <v>5218</v>
      </c>
      <c r="F1405" s="2">
        <f>+J1405-I1405</f>
        <v>1</v>
      </c>
      <c r="G1405" s="2">
        <f ca="1">+TODAY()-I1405</f>
        <v>40</v>
      </c>
      <c r="H1405" s="15">
        <v>4900</v>
      </c>
      <c r="I1405" s="1">
        <v>46080</v>
      </c>
      <c r="J1405" s="1">
        <v>46081</v>
      </c>
      <c r="K1405" s="18" t="s">
        <v>17</v>
      </c>
      <c r="L1405" s="18" t="s">
        <v>28</v>
      </c>
      <c r="M1405" s="18" t="s">
        <v>19</v>
      </c>
      <c r="N1405" s="18" t="s">
        <v>5219</v>
      </c>
      <c r="O1405">
        <v>1</v>
      </c>
    </row>
    <row r="1406" spans="1:15" x14ac:dyDescent="0.25">
      <c r="A1406" s="18" t="s">
        <v>7276</v>
      </c>
      <c r="B1406" s="18" t="s">
        <v>7721</v>
      </c>
      <c r="C1406" s="18" t="s">
        <v>7722</v>
      </c>
      <c r="D1406" s="18" t="s">
        <v>204</v>
      </c>
      <c r="E1406" s="18" t="s">
        <v>7723</v>
      </c>
      <c r="F1406" s="2">
        <f>+J1406-I1406</f>
        <v>1</v>
      </c>
      <c r="G1406" s="2">
        <f ca="1">+TODAY()-I1406</f>
        <v>1</v>
      </c>
      <c r="H1406" s="15">
        <v>605084</v>
      </c>
      <c r="I1406" s="1">
        <v>46119</v>
      </c>
      <c r="J1406" s="1">
        <v>46120</v>
      </c>
      <c r="K1406" s="18" t="s">
        <v>343</v>
      </c>
      <c r="L1406" s="18" t="s">
        <v>18</v>
      </c>
      <c r="M1406" s="18" t="s">
        <v>19</v>
      </c>
      <c r="N1406" s="18" t="s">
        <v>179</v>
      </c>
      <c r="O1406">
        <v>1</v>
      </c>
    </row>
    <row r="1407" spans="1:15" x14ac:dyDescent="0.25">
      <c r="A1407" s="18" t="s">
        <v>7276</v>
      </c>
      <c r="B1407" s="18" t="s">
        <v>1922</v>
      </c>
      <c r="C1407" s="18" t="s">
        <v>1923</v>
      </c>
      <c r="D1407" s="18" t="s">
        <v>336</v>
      </c>
      <c r="E1407" s="18" t="s">
        <v>5090</v>
      </c>
      <c r="F1407" s="2">
        <f>+J1407-I1407</f>
        <v>30</v>
      </c>
      <c r="G1407" s="2">
        <f ca="1">+TODAY()-I1407</f>
        <v>48</v>
      </c>
      <c r="H1407" s="15">
        <v>1226000</v>
      </c>
      <c r="I1407" s="1">
        <v>46072</v>
      </c>
      <c r="J1407" s="1">
        <v>46102</v>
      </c>
      <c r="K1407" s="18" t="s">
        <v>638</v>
      </c>
      <c r="L1407" s="18" t="s">
        <v>18</v>
      </c>
      <c r="M1407" s="18" t="s">
        <v>19</v>
      </c>
      <c r="N1407" s="18" t="s">
        <v>1924</v>
      </c>
      <c r="O1407">
        <v>30</v>
      </c>
    </row>
    <row r="1408" spans="1:15" x14ac:dyDescent="0.25">
      <c r="A1408" s="18" t="s">
        <v>7276</v>
      </c>
      <c r="B1408" s="18" t="s">
        <v>1922</v>
      </c>
      <c r="C1408" s="18" t="s">
        <v>1923</v>
      </c>
      <c r="D1408" s="18" t="s">
        <v>336</v>
      </c>
      <c r="E1408" s="18" t="s">
        <v>5414</v>
      </c>
      <c r="F1408" s="2">
        <f>+J1408-I1408</f>
        <v>30</v>
      </c>
      <c r="G1408" s="2">
        <f ca="1">+TODAY()-I1408</f>
        <v>35</v>
      </c>
      <c r="H1408" s="15">
        <v>409943</v>
      </c>
      <c r="I1408" s="1">
        <v>46085</v>
      </c>
      <c r="J1408" s="1">
        <v>46115</v>
      </c>
      <c r="K1408" s="18" t="s">
        <v>638</v>
      </c>
      <c r="L1408" s="18" t="s">
        <v>18</v>
      </c>
      <c r="M1408" s="18" t="s">
        <v>19</v>
      </c>
      <c r="N1408" s="18" t="s">
        <v>1924</v>
      </c>
      <c r="O1408">
        <v>30</v>
      </c>
    </row>
    <row r="1409" spans="1:15" x14ac:dyDescent="0.25">
      <c r="A1409" s="18" t="s">
        <v>7276</v>
      </c>
      <c r="B1409" s="18" t="s">
        <v>1922</v>
      </c>
      <c r="C1409" s="18" t="s">
        <v>1923</v>
      </c>
      <c r="D1409" s="18" t="s">
        <v>336</v>
      </c>
      <c r="E1409" s="18" t="s">
        <v>5415</v>
      </c>
      <c r="F1409" s="2">
        <f>+J1409-I1409</f>
        <v>30</v>
      </c>
      <c r="G1409" s="2">
        <f ca="1">+TODAY()-I1409</f>
        <v>35</v>
      </c>
      <c r="H1409" s="15">
        <v>2067558</v>
      </c>
      <c r="I1409" s="1">
        <v>46085</v>
      </c>
      <c r="J1409" s="1">
        <v>46115</v>
      </c>
      <c r="K1409" s="18" t="s">
        <v>638</v>
      </c>
      <c r="L1409" s="18" t="s">
        <v>18</v>
      </c>
      <c r="M1409" s="18" t="s">
        <v>19</v>
      </c>
      <c r="N1409" s="18" t="s">
        <v>1924</v>
      </c>
      <c r="O1409">
        <v>30</v>
      </c>
    </row>
    <row r="1410" spans="1:15" x14ac:dyDescent="0.25">
      <c r="A1410" s="18" t="s">
        <v>7276</v>
      </c>
      <c r="B1410" s="18" t="s">
        <v>1922</v>
      </c>
      <c r="C1410" s="18" t="s">
        <v>1923</v>
      </c>
      <c r="D1410" s="18" t="s">
        <v>336</v>
      </c>
      <c r="E1410" s="18" t="s">
        <v>6211</v>
      </c>
      <c r="F1410" s="2">
        <f>+J1410-I1410</f>
        <v>30</v>
      </c>
      <c r="G1410" s="2">
        <f ca="1">+TODAY()-I1410</f>
        <v>21</v>
      </c>
      <c r="H1410" s="15">
        <v>1227000</v>
      </c>
      <c r="I1410" s="1">
        <v>46099</v>
      </c>
      <c r="J1410" s="1">
        <v>46129</v>
      </c>
      <c r="K1410" s="18" t="s">
        <v>638</v>
      </c>
      <c r="L1410" s="18" t="s">
        <v>18</v>
      </c>
      <c r="M1410" s="18" t="s">
        <v>19</v>
      </c>
      <c r="N1410" s="18" t="s">
        <v>1924</v>
      </c>
      <c r="O1410">
        <v>30</v>
      </c>
    </row>
    <row r="1411" spans="1:15" x14ac:dyDescent="0.25">
      <c r="A1411" s="18" t="s">
        <v>7276</v>
      </c>
      <c r="B1411" s="18" t="s">
        <v>1922</v>
      </c>
      <c r="C1411" s="18" t="s">
        <v>1923</v>
      </c>
      <c r="D1411" s="18" t="s">
        <v>336</v>
      </c>
      <c r="E1411" s="18" t="s">
        <v>6212</v>
      </c>
      <c r="F1411" s="2">
        <f>+J1411-I1411</f>
        <v>30</v>
      </c>
      <c r="G1411" s="2">
        <f ca="1">+TODAY()-I1411</f>
        <v>21</v>
      </c>
      <c r="H1411" s="15">
        <v>1041279</v>
      </c>
      <c r="I1411" s="1">
        <v>46099</v>
      </c>
      <c r="J1411" s="1">
        <v>46129</v>
      </c>
      <c r="K1411" s="18" t="s">
        <v>638</v>
      </c>
      <c r="L1411" s="18" t="s">
        <v>18</v>
      </c>
      <c r="M1411" s="18" t="s">
        <v>19</v>
      </c>
      <c r="N1411" s="18" t="s">
        <v>1924</v>
      </c>
      <c r="O1411">
        <v>30</v>
      </c>
    </row>
    <row r="1412" spans="1:15" x14ac:dyDescent="0.25">
      <c r="A1412" s="18" t="s">
        <v>7276</v>
      </c>
      <c r="B1412" s="18" t="s">
        <v>1922</v>
      </c>
      <c r="C1412" s="18" t="s">
        <v>1923</v>
      </c>
      <c r="D1412" s="18" t="s">
        <v>336</v>
      </c>
      <c r="E1412" s="18" t="s">
        <v>6950</v>
      </c>
      <c r="F1412" s="2">
        <f>+J1412-I1412</f>
        <v>30</v>
      </c>
      <c r="G1412" s="2">
        <f ca="1">+TODAY()-I1412</f>
        <v>9</v>
      </c>
      <c r="H1412" s="15">
        <v>1838785</v>
      </c>
      <c r="I1412" s="1">
        <v>46111</v>
      </c>
      <c r="J1412" s="1">
        <v>46141</v>
      </c>
      <c r="K1412" s="18" t="s">
        <v>638</v>
      </c>
      <c r="L1412" s="18" t="s">
        <v>18</v>
      </c>
      <c r="M1412" s="18" t="s">
        <v>19</v>
      </c>
      <c r="N1412" s="18" t="s">
        <v>1924</v>
      </c>
      <c r="O1412">
        <v>30</v>
      </c>
    </row>
    <row r="1413" spans="1:15" x14ac:dyDescent="0.25">
      <c r="A1413" s="18" t="s">
        <v>7276</v>
      </c>
      <c r="B1413" s="18" t="s">
        <v>1922</v>
      </c>
      <c r="C1413" s="18" t="s">
        <v>1923</v>
      </c>
      <c r="D1413" s="18" t="s">
        <v>336</v>
      </c>
      <c r="E1413" s="18" t="s">
        <v>7724</v>
      </c>
      <c r="F1413" s="2">
        <f>+J1413-I1413</f>
        <v>1</v>
      </c>
      <c r="G1413" s="2">
        <f ca="1">+TODAY()-I1413</f>
        <v>1</v>
      </c>
      <c r="H1413" s="15">
        <v>726882</v>
      </c>
      <c r="I1413" s="1">
        <v>46119</v>
      </c>
      <c r="J1413" s="1">
        <v>46120</v>
      </c>
      <c r="K1413" s="18" t="s">
        <v>638</v>
      </c>
      <c r="L1413" s="18" t="s">
        <v>317</v>
      </c>
      <c r="M1413" s="18" t="s">
        <v>19</v>
      </c>
      <c r="N1413" s="18" t="s">
        <v>1924</v>
      </c>
      <c r="O1413">
        <v>30</v>
      </c>
    </row>
    <row r="1414" spans="1:15" x14ac:dyDescent="0.25">
      <c r="A1414" s="18" t="s">
        <v>7276</v>
      </c>
      <c r="B1414" s="18" t="s">
        <v>4057</v>
      </c>
      <c r="C1414" s="18" t="s">
        <v>4058</v>
      </c>
      <c r="D1414" s="18" t="s">
        <v>320</v>
      </c>
      <c r="E1414" s="18" t="s">
        <v>7061</v>
      </c>
      <c r="F1414" s="2">
        <f>+J1414-I1414</f>
        <v>1</v>
      </c>
      <c r="G1414" s="2">
        <f ca="1">+TODAY()-I1414</f>
        <v>9</v>
      </c>
      <c r="H1414" s="15">
        <v>34539</v>
      </c>
      <c r="I1414" s="1">
        <v>46111</v>
      </c>
      <c r="J1414" s="1">
        <v>46112</v>
      </c>
      <c r="K1414" s="18" t="s">
        <v>1068</v>
      </c>
      <c r="L1414" s="18" t="s">
        <v>321</v>
      </c>
      <c r="M1414" s="18" t="s">
        <v>19</v>
      </c>
      <c r="N1414" s="18" t="s">
        <v>149</v>
      </c>
      <c r="O1414">
        <v>1</v>
      </c>
    </row>
    <row r="1415" spans="1:15" x14ac:dyDescent="0.25">
      <c r="A1415" s="18" t="s">
        <v>7276</v>
      </c>
      <c r="B1415" s="18" t="s">
        <v>7157</v>
      </c>
      <c r="C1415" s="18" t="s">
        <v>7158</v>
      </c>
      <c r="D1415" s="18" t="s">
        <v>1242</v>
      </c>
      <c r="E1415" s="18" t="s">
        <v>7159</v>
      </c>
      <c r="F1415" s="2">
        <f>+J1415-I1415</f>
        <v>1</v>
      </c>
      <c r="G1415" s="2">
        <f ca="1">+TODAY()-I1415</f>
        <v>9</v>
      </c>
      <c r="H1415" s="15">
        <v>80188</v>
      </c>
      <c r="I1415" s="1">
        <v>46111</v>
      </c>
      <c r="J1415" s="1">
        <v>46112</v>
      </c>
      <c r="K1415" s="18" t="s">
        <v>1243</v>
      </c>
      <c r="L1415" s="18" t="s">
        <v>312</v>
      </c>
      <c r="M1415" s="18" t="s">
        <v>19</v>
      </c>
      <c r="N1415" s="18" t="s">
        <v>7160</v>
      </c>
      <c r="O1415">
        <v>1</v>
      </c>
    </row>
    <row r="1416" spans="1:15" x14ac:dyDescent="0.25">
      <c r="A1416" s="18" t="s">
        <v>7276</v>
      </c>
      <c r="B1416" s="18" t="s">
        <v>7157</v>
      </c>
      <c r="C1416" s="18" t="s">
        <v>7158</v>
      </c>
      <c r="D1416" s="18" t="s">
        <v>1242</v>
      </c>
      <c r="E1416" s="18" t="s">
        <v>7161</v>
      </c>
      <c r="F1416" s="2">
        <f>+J1416-I1416</f>
        <v>1</v>
      </c>
      <c r="G1416" s="2">
        <f ca="1">+TODAY()-I1416</f>
        <v>9</v>
      </c>
      <c r="H1416" s="15">
        <v>85600</v>
      </c>
      <c r="I1416" s="1">
        <v>46111</v>
      </c>
      <c r="J1416" s="1">
        <v>46112</v>
      </c>
      <c r="K1416" s="18" t="s">
        <v>1243</v>
      </c>
      <c r="L1416" s="18" t="s">
        <v>312</v>
      </c>
      <c r="M1416" s="18" t="s">
        <v>19</v>
      </c>
      <c r="N1416" s="18" t="s">
        <v>7160</v>
      </c>
      <c r="O1416">
        <v>1</v>
      </c>
    </row>
    <row r="1417" spans="1:15" x14ac:dyDescent="0.25">
      <c r="A1417" s="18" t="s">
        <v>7276</v>
      </c>
      <c r="B1417" s="18" t="s">
        <v>3173</v>
      </c>
      <c r="C1417" s="18" t="s">
        <v>3174</v>
      </c>
      <c r="D1417" s="18" t="s">
        <v>1593</v>
      </c>
      <c r="E1417" s="18" t="s">
        <v>7815</v>
      </c>
      <c r="F1417" s="2">
        <f>+J1417-I1417</f>
        <v>30</v>
      </c>
      <c r="G1417" s="2">
        <f ca="1">+TODAY()-I1417</f>
        <v>1</v>
      </c>
      <c r="H1417" s="15">
        <v>2017837</v>
      </c>
      <c r="I1417" s="1">
        <v>46119</v>
      </c>
      <c r="J1417" s="1">
        <v>46149</v>
      </c>
      <c r="K1417" s="18" t="s">
        <v>1589</v>
      </c>
      <c r="L1417" s="18" t="s">
        <v>984</v>
      </c>
      <c r="M1417" s="18" t="s">
        <v>19</v>
      </c>
      <c r="N1417" s="18" t="s">
        <v>3175</v>
      </c>
      <c r="O1417">
        <v>30</v>
      </c>
    </row>
    <row r="1418" spans="1:15" x14ac:dyDescent="0.25">
      <c r="A1418" s="18" t="s">
        <v>7276</v>
      </c>
      <c r="B1418" s="18" t="s">
        <v>4230</v>
      </c>
      <c r="C1418" s="18" t="s">
        <v>4231</v>
      </c>
      <c r="D1418" s="18" t="s">
        <v>46</v>
      </c>
      <c r="E1418" s="18" t="s">
        <v>6877</v>
      </c>
      <c r="F1418" s="2">
        <f>+J1418-I1418</f>
        <v>1</v>
      </c>
      <c r="G1418" s="2">
        <f ca="1">+TODAY()-I1418</f>
        <v>8</v>
      </c>
      <c r="H1418" s="15">
        <v>126470</v>
      </c>
      <c r="I1418" s="1">
        <v>46112</v>
      </c>
      <c r="J1418" s="1">
        <v>46113</v>
      </c>
      <c r="K1418" s="18" t="s">
        <v>17</v>
      </c>
      <c r="L1418" s="18" t="s">
        <v>312</v>
      </c>
      <c r="M1418" s="18" t="s">
        <v>19</v>
      </c>
      <c r="N1418" s="18" t="s">
        <v>4233</v>
      </c>
      <c r="O1418">
        <v>25</v>
      </c>
    </row>
    <row r="1419" spans="1:15" x14ac:dyDescent="0.25">
      <c r="A1419" s="18" t="s">
        <v>7276</v>
      </c>
      <c r="B1419" s="18" t="s">
        <v>150</v>
      </c>
      <c r="C1419" s="18" t="s">
        <v>151</v>
      </c>
      <c r="D1419" s="18" t="s">
        <v>46</v>
      </c>
      <c r="E1419" s="18" t="s">
        <v>5637</v>
      </c>
      <c r="F1419" s="2">
        <f>+J1419-I1419</f>
        <v>30</v>
      </c>
      <c r="G1419" s="2">
        <f ca="1">+TODAY()-I1419</f>
        <v>28</v>
      </c>
      <c r="H1419" s="15">
        <v>819252</v>
      </c>
      <c r="I1419" s="1">
        <v>46092</v>
      </c>
      <c r="J1419" s="1">
        <v>46122</v>
      </c>
      <c r="K1419" s="18" t="s">
        <v>17</v>
      </c>
      <c r="L1419" s="18" t="s">
        <v>32</v>
      </c>
      <c r="M1419" s="18" t="s">
        <v>19</v>
      </c>
      <c r="N1419" s="18" t="s">
        <v>152</v>
      </c>
      <c r="O1419">
        <v>30</v>
      </c>
    </row>
    <row r="1420" spans="1:15" x14ac:dyDescent="0.25">
      <c r="A1420" s="18" t="s">
        <v>7276</v>
      </c>
      <c r="B1420" s="18" t="s">
        <v>150</v>
      </c>
      <c r="C1420" s="18" t="s">
        <v>151</v>
      </c>
      <c r="D1420" s="18" t="s">
        <v>46</v>
      </c>
      <c r="E1420" s="18" t="s">
        <v>6721</v>
      </c>
      <c r="F1420" s="2">
        <f>+J1420-I1420</f>
        <v>30</v>
      </c>
      <c r="G1420" s="2">
        <f ca="1">+TODAY()-I1420</f>
        <v>11</v>
      </c>
      <c r="H1420" s="15">
        <v>1086527</v>
      </c>
      <c r="I1420" s="1">
        <v>46109</v>
      </c>
      <c r="J1420" s="1">
        <v>46139</v>
      </c>
      <c r="K1420" s="18" t="s">
        <v>17</v>
      </c>
      <c r="L1420" s="18" t="s">
        <v>32</v>
      </c>
      <c r="M1420" s="18" t="s">
        <v>19</v>
      </c>
      <c r="N1420" s="18" t="s">
        <v>152</v>
      </c>
      <c r="O1420">
        <v>30</v>
      </c>
    </row>
    <row r="1421" spans="1:15" x14ac:dyDescent="0.25">
      <c r="A1421" s="18" t="s">
        <v>7276</v>
      </c>
      <c r="B1421" s="18" t="s">
        <v>150</v>
      </c>
      <c r="C1421" s="18" t="s">
        <v>151</v>
      </c>
      <c r="D1421" s="18" t="s">
        <v>46</v>
      </c>
      <c r="E1421" s="18" t="s">
        <v>6772</v>
      </c>
      <c r="F1421" s="2">
        <f>+J1421-I1421</f>
        <v>30</v>
      </c>
      <c r="G1421" s="2">
        <f ca="1">+TODAY()-I1421</f>
        <v>9</v>
      </c>
      <c r="H1421" s="15">
        <v>857098</v>
      </c>
      <c r="I1421" s="1">
        <v>46111</v>
      </c>
      <c r="J1421" s="1">
        <v>46141</v>
      </c>
      <c r="K1421" s="18" t="s">
        <v>17</v>
      </c>
      <c r="L1421" s="18" t="s">
        <v>32</v>
      </c>
      <c r="M1421" s="18" t="s">
        <v>19</v>
      </c>
      <c r="N1421" s="18" t="s">
        <v>152</v>
      </c>
      <c r="O1421">
        <v>30</v>
      </c>
    </row>
    <row r="1422" spans="1:15" x14ac:dyDescent="0.25">
      <c r="A1422" s="18" t="s">
        <v>7276</v>
      </c>
      <c r="B1422" s="18" t="s">
        <v>150</v>
      </c>
      <c r="C1422" s="18" t="s">
        <v>151</v>
      </c>
      <c r="D1422" s="18" t="s">
        <v>46</v>
      </c>
      <c r="E1422" s="18" t="s">
        <v>7410</v>
      </c>
      <c r="F1422" s="2">
        <f>+J1422-I1422</f>
        <v>10</v>
      </c>
      <c r="G1422" s="2">
        <f ca="1">+TODAY()-I1422</f>
        <v>2</v>
      </c>
      <c r="H1422" s="15">
        <v>1638000</v>
      </c>
      <c r="I1422" s="1">
        <v>46118</v>
      </c>
      <c r="J1422" s="1">
        <v>46128</v>
      </c>
      <c r="K1422" s="18" t="s">
        <v>17</v>
      </c>
      <c r="L1422" s="18" t="s">
        <v>32</v>
      </c>
      <c r="M1422" s="18" t="s">
        <v>19</v>
      </c>
      <c r="N1422" s="18" t="s">
        <v>152</v>
      </c>
      <c r="O1422">
        <v>30</v>
      </c>
    </row>
    <row r="1423" spans="1:15" x14ac:dyDescent="0.25">
      <c r="A1423" s="18" t="s">
        <v>7276</v>
      </c>
      <c r="B1423" s="18" t="s">
        <v>150</v>
      </c>
      <c r="C1423" s="18" t="s">
        <v>151</v>
      </c>
      <c r="D1423" s="18" t="s">
        <v>46</v>
      </c>
      <c r="E1423" s="18" t="s">
        <v>7420</v>
      </c>
      <c r="F1423" s="2">
        <f>+J1423-I1423</f>
        <v>10</v>
      </c>
      <c r="G1423" s="2">
        <f ca="1">+TODAY()-I1423</f>
        <v>2</v>
      </c>
      <c r="H1423" s="15">
        <v>325600</v>
      </c>
      <c r="I1423" s="1">
        <v>46118</v>
      </c>
      <c r="J1423" s="1">
        <v>46128</v>
      </c>
      <c r="K1423" s="18" t="s">
        <v>17</v>
      </c>
      <c r="L1423" s="18" t="s">
        <v>32</v>
      </c>
      <c r="M1423" s="18" t="s">
        <v>19</v>
      </c>
      <c r="N1423" s="18" t="s">
        <v>152</v>
      </c>
      <c r="O1423">
        <v>30</v>
      </c>
    </row>
    <row r="1424" spans="1:15" x14ac:dyDescent="0.25">
      <c r="A1424" s="18" t="s">
        <v>7276</v>
      </c>
      <c r="B1424" s="18" t="s">
        <v>1905</v>
      </c>
      <c r="C1424" s="18" t="s">
        <v>2124</v>
      </c>
      <c r="D1424" s="18" t="s">
        <v>15</v>
      </c>
      <c r="E1424" s="18" t="s">
        <v>6420</v>
      </c>
      <c r="F1424" s="2">
        <f>+J1424-I1424</f>
        <v>30</v>
      </c>
      <c r="G1424" s="2">
        <f ca="1">+TODAY()-I1424</f>
        <v>12</v>
      </c>
      <c r="H1424" s="15">
        <v>497997</v>
      </c>
      <c r="I1424" s="1">
        <v>46108</v>
      </c>
      <c r="J1424" s="1">
        <v>46138</v>
      </c>
      <c r="K1424" s="18" t="s">
        <v>17</v>
      </c>
      <c r="L1424" s="18" t="s">
        <v>32</v>
      </c>
      <c r="M1424" s="18" t="s">
        <v>19</v>
      </c>
      <c r="N1424" s="18" t="s">
        <v>1906</v>
      </c>
      <c r="O1424">
        <v>30</v>
      </c>
    </row>
    <row r="1425" spans="1:15" x14ac:dyDescent="0.25">
      <c r="A1425" s="18" t="s">
        <v>7276</v>
      </c>
      <c r="B1425" s="18" t="s">
        <v>146</v>
      </c>
      <c r="C1425" s="18" t="s">
        <v>147</v>
      </c>
      <c r="D1425" s="18" t="s">
        <v>15</v>
      </c>
      <c r="E1425" s="18" t="s">
        <v>5398</v>
      </c>
      <c r="F1425" s="2">
        <f>+J1425-I1425</f>
        <v>30</v>
      </c>
      <c r="G1425" s="2">
        <f ca="1">+TODAY()-I1425</f>
        <v>35</v>
      </c>
      <c r="H1425" s="15">
        <v>117000</v>
      </c>
      <c r="I1425" s="1">
        <v>46085</v>
      </c>
      <c r="J1425" s="1">
        <v>46115</v>
      </c>
      <c r="K1425" s="18" t="s">
        <v>17</v>
      </c>
      <c r="L1425" s="18" t="s">
        <v>32</v>
      </c>
      <c r="M1425" s="18" t="s">
        <v>19</v>
      </c>
      <c r="N1425" s="18" t="s">
        <v>148</v>
      </c>
      <c r="O1425">
        <v>30</v>
      </c>
    </row>
    <row r="1426" spans="1:15" x14ac:dyDescent="0.25">
      <c r="A1426" s="18" t="s">
        <v>7276</v>
      </c>
      <c r="B1426" s="18" t="s">
        <v>146</v>
      </c>
      <c r="C1426" s="18" t="s">
        <v>147</v>
      </c>
      <c r="D1426" s="18" t="s">
        <v>15</v>
      </c>
      <c r="E1426" s="18" t="s">
        <v>5867</v>
      </c>
      <c r="F1426" s="2">
        <f>+J1426-I1426</f>
        <v>30</v>
      </c>
      <c r="G1426" s="2">
        <f ca="1">+TODAY()-I1426</f>
        <v>27</v>
      </c>
      <c r="H1426" s="15">
        <v>263975</v>
      </c>
      <c r="I1426" s="1">
        <v>46093</v>
      </c>
      <c r="J1426" s="1">
        <v>46123</v>
      </c>
      <c r="K1426" s="18" t="s">
        <v>17</v>
      </c>
      <c r="L1426" s="18" t="s">
        <v>32</v>
      </c>
      <c r="M1426" s="18" t="s">
        <v>19</v>
      </c>
      <c r="N1426" s="18" t="s">
        <v>148</v>
      </c>
      <c r="O1426">
        <v>30</v>
      </c>
    </row>
    <row r="1427" spans="1:15" x14ac:dyDescent="0.25">
      <c r="A1427" s="18" t="s">
        <v>7276</v>
      </c>
      <c r="B1427" s="18" t="s">
        <v>146</v>
      </c>
      <c r="C1427" s="18" t="s">
        <v>147</v>
      </c>
      <c r="D1427" s="18" t="s">
        <v>15</v>
      </c>
      <c r="E1427" s="18" t="s">
        <v>6177</v>
      </c>
      <c r="F1427" s="2">
        <f>+J1427-I1427</f>
        <v>30</v>
      </c>
      <c r="G1427" s="2">
        <f ca="1">+TODAY()-I1427</f>
        <v>20</v>
      </c>
      <c r="H1427" s="15">
        <v>507002</v>
      </c>
      <c r="I1427" s="1">
        <v>46100</v>
      </c>
      <c r="J1427" s="1">
        <v>46130</v>
      </c>
      <c r="K1427" s="18" t="s">
        <v>17</v>
      </c>
      <c r="L1427" s="18" t="s">
        <v>32</v>
      </c>
      <c r="M1427" s="18" t="s">
        <v>19</v>
      </c>
      <c r="N1427" s="18" t="s">
        <v>148</v>
      </c>
      <c r="O1427">
        <v>30</v>
      </c>
    </row>
    <row r="1428" spans="1:15" x14ac:dyDescent="0.25">
      <c r="A1428" s="18" t="s">
        <v>7276</v>
      </c>
      <c r="B1428" s="18" t="s">
        <v>146</v>
      </c>
      <c r="C1428" s="18" t="s">
        <v>147</v>
      </c>
      <c r="D1428" s="18" t="s">
        <v>15</v>
      </c>
      <c r="E1428" s="18" t="s">
        <v>6391</v>
      </c>
      <c r="F1428" s="2">
        <f>+J1428-I1428</f>
        <v>30</v>
      </c>
      <c r="G1428" s="2">
        <f ca="1">+TODAY()-I1428</f>
        <v>15</v>
      </c>
      <c r="H1428" s="15">
        <v>174000</v>
      </c>
      <c r="I1428" s="1">
        <v>46105</v>
      </c>
      <c r="J1428" s="1">
        <v>46135</v>
      </c>
      <c r="K1428" s="18" t="s">
        <v>17</v>
      </c>
      <c r="L1428" s="18" t="s">
        <v>32</v>
      </c>
      <c r="M1428" s="18" t="s">
        <v>19</v>
      </c>
      <c r="N1428" s="18" t="s">
        <v>148</v>
      </c>
      <c r="O1428">
        <v>30</v>
      </c>
    </row>
    <row r="1429" spans="1:15" x14ac:dyDescent="0.25">
      <c r="A1429" s="18" t="s">
        <v>7276</v>
      </c>
      <c r="B1429" s="18" t="s">
        <v>146</v>
      </c>
      <c r="C1429" s="18" t="s">
        <v>147</v>
      </c>
      <c r="D1429" s="18" t="s">
        <v>15</v>
      </c>
      <c r="E1429" s="18" t="s">
        <v>6821</v>
      </c>
      <c r="F1429" s="2">
        <f>+J1429-I1429</f>
        <v>30</v>
      </c>
      <c r="G1429" s="2">
        <f ca="1">+TODAY()-I1429</f>
        <v>8</v>
      </c>
      <c r="H1429" s="15">
        <v>175600</v>
      </c>
      <c r="I1429" s="1">
        <v>46112</v>
      </c>
      <c r="J1429" s="1">
        <v>46142</v>
      </c>
      <c r="K1429" s="18" t="s">
        <v>17</v>
      </c>
      <c r="L1429" s="18" t="s">
        <v>32</v>
      </c>
      <c r="M1429" s="18" t="s">
        <v>19</v>
      </c>
      <c r="N1429" s="18" t="s">
        <v>148</v>
      </c>
      <c r="O1429">
        <v>30</v>
      </c>
    </row>
    <row r="1430" spans="1:15" x14ac:dyDescent="0.25">
      <c r="A1430" s="18" t="s">
        <v>7276</v>
      </c>
      <c r="B1430" s="18" t="s">
        <v>1595</v>
      </c>
      <c r="C1430" s="18" t="s">
        <v>1596</v>
      </c>
      <c r="D1430" s="18" t="s">
        <v>1593</v>
      </c>
      <c r="E1430" s="18" t="s">
        <v>2410</v>
      </c>
      <c r="F1430" s="2">
        <f>+J1430-I1430</f>
        <v>30</v>
      </c>
      <c r="G1430" s="2">
        <f ca="1">+TODAY()-I1430</f>
        <v>114</v>
      </c>
      <c r="H1430" s="15">
        <v>428000</v>
      </c>
      <c r="I1430" s="1">
        <v>46006</v>
      </c>
      <c r="J1430" s="1">
        <v>46036</v>
      </c>
      <c r="K1430" s="18" t="s">
        <v>1589</v>
      </c>
      <c r="L1430" s="18" t="s">
        <v>984</v>
      </c>
      <c r="M1430" s="18" t="s">
        <v>19</v>
      </c>
      <c r="N1430" s="18" t="s">
        <v>1597</v>
      </c>
      <c r="O1430">
        <v>30</v>
      </c>
    </row>
    <row r="1431" spans="1:15" x14ac:dyDescent="0.25">
      <c r="A1431" s="18" t="s">
        <v>7276</v>
      </c>
      <c r="B1431" s="18" t="s">
        <v>1595</v>
      </c>
      <c r="C1431" s="18" t="s">
        <v>1596</v>
      </c>
      <c r="D1431" s="18" t="s">
        <v>1593</v>
      </c>
      <c r="E1431" s="18" t="s">
        <v>2411</v>
      </c>
      <c r="F1431" s="2">
        <f>+J1431-I1431</f>
        <v>30</v>
      </c>
      <c r="G1431" s="2">
        <f ca="1">+TODAY()-I1431</f>
        <v>114</v>
      </c>
      <c r="H1431" s="15">
        <v>790292</v>
      </c>
      <c r="I1431" s="1">
        <v>46006</v>
      </c>
      <c r="J1431" s="1">
        <v>46036</v>
      </c>
      <c r="K1431" s="18" t="s">
        <v>1589</v>
      </c>
      <c r="L1431" s="18" t="s">
        <v>984</v>
      </c>
      <c r="M1431" s="18" t="s">
        <v>19</v>
      </c>
      <c r="N1431" s="18" t="s">
        <v>1597</v>
      </c>
      <c r="O1431">
        <v>30</v>
      </c>
    </row>
    <row r="1432" spans="1:15" x14ac:dyDescent="0.25">
      <c r="A1432" s="18" t="s">
        <v>7276</v>
      </c>
      <c r="B1432" s="18" t="s">
        <v>1595</v>
      </c>
      <c r="C1432" s="18" t="s">
        <v>1596</v>
      </c>
      <c r="D1432" s="18" t="s">
        <v>1593</v>
      </c>
      <c r="E1432" s="18" t="s">
        <v>2412</v>
      </c>
      <c r="F1432" s="2">
        <f>+J1432-I1432</f>
        <v>30</v>
      </c>
      <c r="G1432" s="2">
        <f ca="1">+TODAY()-I1432</f>
        <v>114</v>
      </c>
      <c r="H1432" s="15">
        <v>499744</v>
      </c>
      <c r="I1432" s="1">
        <v>46006</v>
      </c>
      <c r="J1432" s="1">
        <v>46036</v>
      </c>
      <c r="K1432" s="18" t="s">
        <v>1589</v>
      </c>
      <c r="L1432" s="18" t="s">
        <v>984</v>
      </c>
      <c r="M1432" s="18" t="s">
        <v>19</v>
      </c>
      <c r="N1432" s="18" t="s">
        <v>1597</v>
      </c>
      <c r="O1432">
        <v>30</v>
      </c>
    </row>
    <row r="1433" spans="1:15" x14ac:dyDescent="0.25">
      <c r="A1433" s="18" t="s">
        <v>7276</v>
      </c>
      <c r="B1433" s="18" t="s">
        <v>1595</v>
      </c>
      <c r="C1433" s="18" t="s">
        <v>1596</v>
      </c>
      <c r="D1433" s="18" t="s">
        <v>1593</v>
      </c>
      <c r="E1433" s="18" t="s">
        <v>3800</v>
      </c>
      <c r="F1433" s="2">
        <f>+J1433-I1433</f>
        <v>30</v>
      </c>
      <c r="G1433" s="2">
        <f ca="1">+TODAY()-I1433</f>
        <v>83</v>
      </c>
      <c r="H1433" s="15">
        <v>1397428</v>
      </c>
      <c r="I1433" s="1">
        <v>46037</v>
      </c>
      <c r="J1433" s="1">
        <v>46067</v>
      </c>
      <c r="K1433" s="18" t="s">
        <v>1589</v>
      </c>
      <c r="L1433" s="18" t="s">
        <v>984</v>
      </c>
      <c r="M1433" s="18" t="s">
        <v>19</v>
      </c>
      <c r="N1433" s="18" t="s">
        <v>1597</v>
      </c>
      <c r="O1433">
        <v>30</v>
      </c>
    </row>
    <row r="1434" spans="1:15" x14ac:dyDescent="0.25">
      <c r="A1434" s="18" t="s">
        <v>7276</v>
      </c>
      <c r="B1434" s="18" t="s">
        <v>1957</v>
      </c>
      <c r="C1434" s="18" t="s">
        <v>1958</v>
      </c>
      <c r="D1434" s="18" t="s">
        <v>15</v>
      </c>
      <c r="E1434" s="18" t="s">
        <v>7659</v>
      </c>
      <c r="F1434" s="2">
        <f>+J1434-I1434</f>
        <v>30</v>
      </c>
      <c r="G1434" s="2">
        <f ca="1">+TODAY()-I1434</f>
        <v>1</v>
      </c>
      <c r="H1434" s="15">
        <v>2515800</v>
      </c>
      <c r="I1434" s="1">
        <v>46119</v>
      </c>
      <c r="J1434" s="1">
        <v>46149</v>
      </c>
      <c r="K1434" s="18" t="s">
        <v>17</v>
      </c>
      <c r="L1434" s="18" t="s">
        <v>109</v>
      </c>
      <c r="M1434" s="18" t="s">
        <v>19</v>
      </c>
      <c r="N1434" s="18" t="s">
        <v>1959</v>
      </c>
      <c r="O1434">
        <v>30</v>
      </c>
    </row>
    <row r="1435" spans="1:15" x14ac:dyDescent="0.25">
      <c r="A1435" s="18" t="s">
        <v>7276</v>
      </c>
      <c r="B1435" s="18" t="s">
        <v>1452</v>
      </c>
      <c r="C1435" s="18" t="s">
        <v>1453</v>
      </c>
      <c r="D1435" s="18" t="s">
        <v>1401</v>
      </c>
      <c r="E1435" s="18" t="s">
        <v>7191</v>
      </c>
      <c r="F1435" s="2">
        <f>+J1435-I1435</f>
        <v>30</v>
      </c>
      <c r="G1435" s="2">
        <f ca="1">+TODAY()-I1435</f>
        <v>8</v>
      </c>
      <c r="H1435" s="15">
        <v>350600</v>
      </c>
      <c r="I1435" s="1">
        <v>46112</v>
      </c>
      <c r="J1435" s="1">
        <v>46142</v>
      </c>
      <c r="K1435" s="18" t="s">
        <v>1403</v>
      </c>
      <c r="L1435" s="18" t="s">
        <v>90</v>
      </c>
      <c r="M1435" s="18" t="s">
        <v>19</v>
      </c>
      <c r="N1435" s="18" t="s">
        <v>1454</v>
      </c>
      <c r="O1435">
        <v>30</v>
      </c>
    </row>
    <row r="1436" spans="1:15" x14ac:dyDescent="0.25">
      <c r="A1436" s="18" t="s">
        <v>7276</v>
      </c>
      <c r="B1436" s="18" t="s">
        <v>101</v>
      </c>
      <c r="C1436" s="18" t="s">
        <v>102</v>
      </c>
      <c r="D1436" s="18" t="s">
        <v>15</v>
      </c>
      <c r="E1436" s="18" t="s">
        <v>6171</v>
      </c>
      <c r="F1436" s="2">
        <f>+J1436-I1436</f>
        <v>30</v>
      </c>
      <c r="G1436" s="2">
        <f ca="1">+TODAY()-I1436</f>
        <v>20</v>
      </c>
      <c r="H1436" s="15">
        <v>4001705</v>
      </c>
      <c r="I1436" s="1">
        <v>46100</v>
      </c>
      <c r="J1436" s="1">
        <v>46130</v>
      </c>
      <c r="K1436" s="18" t="s">
        <v>17</v>
      </c>
      <c r="L1436" s="18" t="s">
        <v>32</v>
      </c>
      <c r="M1436" s="18" t="s">
        <v>19</v>
      </c>
      <c r="N1436" s="18" t="s">
        <v>103</v>
      </c>
      <c r="O1436">
        <v>30</v>
      </c>
    </row>
    <row r="1437" spans="1:15" x14ac:dyDescent="0.25">
      <c r="A1437" s="18" t="s">
        <v>7276</v>
      </c>
      <c r="B1437" s="18" t="s">
        <v>101</v>
      </c>
      <c r="C1437" s="18" t="s">
        <v>102</v>
      </c>
      <c r="D1437" s="18" t="s">
        <v>15</v>
      </c>
      <c r="E1437" s="18" t="s">
        <v>6172</v>
      </c>
      <c r="F1437" s="2">
        <f>+J1437-I1437</f>
        <v>30</v>
      </c>
      <c r="G1437" s="2">
        <f ca="1">+TODAY()-I1437</f>
        <v>20</v>
      </c>
      <c r="H1437" s="15">
        <v>894395</v>
      </c>
      <c r="I1437" s="1">
        <v>46100</v>
      </c>
      <c r="J1437" s="1">
        <v>46130</v>
      </c>
      <c r="K1437" s="18" t="s">
        <v>17</v>
      </c>
      <c r="L1437" s="18" t="s">
        <v>32</v>
      </c>
      <c r="M1437" s="18" t="s">
        <v>19</v>
      </c>
      <c r="N1437" s="18" t="s">
        <v>103</v>
      </c>
      <c r="O1437">
        <v>30</v>
      </c>
    </row>
    <row r="1438" spans="1:15" x14ac:dyDescent="0.25">
      <c r="A1438" s="18" t="s">
        <v>7276</v>
      </c>
      <c r="B1438" s="18" t="s">
        <v>101</v>
      </c>
      <c r="C1438" s="18" t="s">
        <v>102</v>
      </c>
      <c r="D1438" s="18" t="s">
        <v>15</v>
      </c>
      <c r="E1438" s="18" t="s">
        <v>6399</v>
      </c>
      <c r="F1438" s="2">
        <f>+J1438-I1438</f>
        <v>30</v>
      </c>
      <c r="G1438" s="2">
        <f ca="1">+TODAY()-I1438</f>
        <v>14</v>
      </c>
      <c r="H1438" s="15">
        <v>1450000</v>
      </c>
      <c r="I1438" s="1">
        <v>46106</v>
      </c>
      <c r="J1438" s="1">
        <v>46136</v>
      </c>
      <c r="K1438" s="18" t="s">
        <v>17</v>
      </c>
      <c r="L1438" s="18" t="s">
        <v>32</v>
      </c>
      <c r="M1438" s="18" t="s">
        <v>19</v>
      </c>
      <c r="N1438" s="18" t="s">
        <v>103</v>
      </c>
      <c r="O1438">
        <v>30</v>
      </c>
    </row>
    <row r="1439" spans="1:15" x14ac:dyDescent="0.25">
      <c r="A1439" s="18" t="s">
        <v>7276</v>
      </c>
      <c r="B1439" s="18" t="s">
        <v>101</v>
      </c>
      <c r="C1439" s="18" t="s">
        <v>102</v>
      </c>
      <c r="D1439" s="18" t="s">
        <v>15</v>
      </c>
      <c r="E1439" s="18" t="s">
        <v>6406</v>
      </c>
      <c r="F1439" s="2">
        <f>+J1439-I1439</f>
        <v>30</v>
      </c>
      <c r="G1439" s="2">
        <f ca="1">+TODAY()-I1439</f>
        <v>14</v>
      </c>
      <c r="H1439" s="15">
        <v>2091778</v>
      </c>
      <c r="I1439" s="1">
        <v>46106</v>
      </c>
      <c r="J1439" s="1">
        <v>46136</v>
      </c>
      <c r="K1439" s="18" t="s">
        <v>17</v>
      </c>
      <c r="L1439" s="18" t="s">
        <v>32</v>
      </c>
      <c r="M1439" s="18" t="s">
        <v>19</v>
      </c>
      <c r="N1439" s="18" t="s">
        <v>103</v>
      </c>
      <c r="O1439">
        <v>30</v>
      </c>
    </row>
    <row r="1440" spans="1:15" x14ac:dyDescent="0.25">
      <c r="A1440" s="18" t="s">
        <v>7276</v>
      </c>
      <c r="B1440" s="18" t="s">
        <v>101</v>
      </c>
      <c r="C1440" s="18" t="s">
        <v>102</v>
      </c>
      <c r="D1440" s="18" t="s">
        <v>15</v>
      </c>
      <c r="E1440" s="18" t="s">
        <v>6761</v>
      </c>
      <c r="F1440" s="2">
        <f>+J1440-I1440</f>
        <v>30</v>
      </c>
      <c r="G1440" s="2">
        <f ca="1">+TODAY()-I1440</f>
        <v>9</v>
      </c>
      <c r="H1440" s="15">
        <v>5510025</v>
      </c>
      <c r="I1440" s="1">
        <v>46111</v>
      </c>
      <c r="J1440" s="1">
        <v>46141</v>
      </c>
      <c r="K1440" s="18" t="s">
        <v>17</v>
      </c>
      <c r="L1440" s="18" t="s">
        <v>32</v>
      </c>
      <c r="M1440" s="18" t="s">
        <v>19</v>
      </c>
      <c r="N1440" s="18" t="s">
        <v>103</v>
      </c>
      <c r="O1440">
        <v>30</v>
      </c>
    </row>
    <row r="1441" spans="1:15" x14ac:dyDescent="0.25">
      <c r="A1441" s="18" t="s">
        <v>7276</v>
      </c>
      <c r="B1441" s="18" t="s">
        <v>101</v>
      </c>
      <c r="C1441" s="18" t="s">
        <v>102</v>
      </c>
      <c r="D1441" s="18" t="s">
        <v>15</v>
      </c>
      <c r="E1441" s="18" t="s">
        <v>6766</v>
      </c>
      <c r="F1441" s="2">
        <f>+J1441-I1441</f>
        <v>10</v>
      </c>
      <c r="G1441" s="2">
        <f ca="1">+TODAY()-I1441</f>
        <v>9</v>
      </c>
      <c r="H1441" s="15">
        <v>4200000</v>
      </c>
      <c r="I1441" s="1">
        <v>46111</v>
      </c>
      <c r="J1441" s="1">
        <v>46121</v>
      </c>
      <c r="K1441" s="18" t="s">
        <v>17</v>
      </c>
      <c r="L1441" s="18" t="s">
        <v>32</v>
      </c>
      <c r="M1441" s="18" t="s">
        <v>19</v>
      </c>
      <c r="N1441" s="18" t="s">
        <v>103</v>
      </c>
      <c r="O1441">
        <v>30</v>
      </c>
    </row>
    <row r="1442" spans="1:15" x14ac:dyDescent="0.25">
      <c r="A1442" s="18" t="s">
        <v>7276</v>
      </c>
      <c r="B1442" s="18" t="s">
        <v>2087</v>
      </c>
      <c r="C1442" s="18" t="s">
        <v>2088</v>
      </c>
      <c r="D1442" s="18" t="s">
        <v>15</v>
      </c>
      <c r="E1442" s="18" t="s">
        <v>2903</v>
      </c>
      <c r="F1442" s="2">
        <f>+J1442-I1442</f>
        <v>8</v>
      </c>
      <c r="G1442" s="2">
        <f ca="1">+TODAY()-I1442</f>
        <v>100</v>
      </c>
      <c r="H1442" s="15">
        <v>96000</v>
      </c>
      <c r="I1442" s="1">
        <v>46020</v>
      </c>
      <c r="J1442" s="1">
        <v>46028</v>
      </c>
      <c r="K1442" s="18" t="s">
        <v>17</v>
      </c>
      <c r="L1442" s="18" t="s">
        <v>312</v>
      </c>
      <c r="M1442" s="18" t="s">
        <v>19</v>
      </c>
      <c r="N1442" s="18" t="s">
        <v>2089</v>
      </c>
      <c r="O1442">
        <v>30</v>
      </c>
    </row>
    <row r="1443" spans="1:15" x14ac:dyDescent="0.25">
      <c r="A1443" s="18" t="s">
        <v>7276</v>
      </c>
      <c r="B1443" s="18" t="s">
        <v>2087</v>
      </c>
      <c r="C1443" s="18" t="s">
        <v>2088</v>
      </c>
      <c r="D1443" s="18" t="s">
        <v>15</v>
      </c>
      <c r="E1443" s="18" t="s">
        <v>7386</v>
      </c>
      <c r="F1443" s="2">
        <f>+J1443-I1443</f>
        <v>15</v>
      </c>
      <c r="G1443" s="2">
        <f ca="1">+TODAY()-I1443</f>
        <v>2</v>
      </c>
      <c r="H1443" s="15">
        <v>266529</v>
      </c>
      <c r="I1443" s="1">
        <v>46118</v>
      </c>
      <c r="J1443" s="1">
        <v>46133</v>
      </c>
      <c r="K1443" s="18" t="s">
        <v>17</v>
      </c>
      <c r="L1443" s="18" t="s">
        <v>312</v>
      </c>
      <c r="M1443" s="18" t="s">
        <v>19</v>
      </c>
      <c r="N1443" s="18" t="s">
        <v>2089</v>
      </c>
      <c r="O1443">
        <v>30</v>
      </c>
    </row>
    <row r="1444" spans="1:15" x14ac:dyDescent="0.25">
      <c r="A1444" s="18" t="s">
        <v>7276</v>
      </c>
      <c r="B1444" s="18" t="s">
        <v>2087</v>
      </c>
      <c r="C1444" s="18" t="s">
        <v>2088</v>
      </c>
      <c r="D1444" s="18" t="s">
        <v>15</v>
      </c>
      <c r="E1444" s="18" t="s">
        <v>7387</v>
      </c>
      <c r="F1444" s="2">
        <f>+J1444-I1444</f>
        <v>30</v>
      </c>
      <c r="G1444" s="2">
        <f ca="1">+TODAY()-I1444</f>
        <v>2</v>
      </c>
      <c r="H1444" s="15">
        <v>1297616</v>
      </c>
      <c r="I1444" s="1">
        <v>46118</v>
      </c>
      <c r="J1444" s="1">
        <v>46148</v>
      </c>
      <c r="K1444" s="18" t="s">
        <v>17</v>
      </c>
      <c r="L1444" s="18" t="s">
        <v>312</v>
      </c>
      <c r="M1444" s="18" t="s">
        <v>19</v>
      </c>
      <c r="N1444" s="18" t="s">
        <v>2089</v>
      </c>
      <c r="O1444">
        <v>30</v>
      </c>
    </row>
    <row r="1445" spans="1:15" x14ac:dyDescent="0.25">
      <c r="A1445" s="18" t="s">
        <v>7276</v>
      </c>
      <c r="B1445" s="18" t="s">
        <v>2057</v>
      </c>
      <c r="C1445" s="18" t="s">
        <v>2058</v>
      </c>
      <c r="D1445" s="18" t="s">
        <v>46</v>
      </c>
      <c r="E1445" s="18" t="s">
        <v>6882</v>
      </c>
      <c r="F1445" s="2">
        <f>+J1445-I1445</f>
        <v>8</v>
      </c>
      <c r="G1445" s="2">
        <f ca="1">+TODAY()-I1445</f>
        <v>8</v>
      </c>
      <c r="H1445" s="15">
        <v>214000</v>
      </c>
      <c r="I1445" s="1">
        <v>46112</v>
      </c>
      <c r="J1445" s="1">
        <v>46120</v>
      </c>
      <c r="K1445" s="18" t="s">
        <v>17</v>
      </c>
      <c r="L1445" s="18" t="s">
        <v>312</v>
      </c>
      <c r="M1445" s="18" t="s">
        <v>19</v>
      </c>
      <c r="N1445" s="18" t="s">
        <v>2059</v>
      </c>
      <c r="O1445">
        <v>0</v>
      </c>
    </row>
    <row r="1446" spans="1:15" x14ac:dyDescent="0.25">
      <c r="A1446" s="18" t="s">
        <v>7276</v>
      </c>
      <c r="B1446" s="18" t="s">
        <v>7783</v>
      </c>
      <c r="C1446" s="18" t="s">
        <v>7784</v>
      </c>
      <c r="D1446" s="18" t="s">
        <v>916</v>
      </c>
      <c r="E1446" s="18" t="s">
        <v>7785</v>
      </c>
      <c r="F1446" s="2">
        <f>+J1446-I1446</f>
        <v>1</v>
      </c>
      <c r="G1446" s="2">
        <f ca="1">+TODAY()-I1446</f>
        <v>1</v>
      </c>
      <c r="H1446" s="15">
        <v>121501</v>
      </c>
      <c r="I1446" s="1">
        <v>46119</v>
      </c>
      <c r="J1446" s="1">
        <v>46120</v>
      </c>
      <c r="K1446" s="18" t="s">
        <v>918</v>
      </c>
      <c r="L1446" s="18" t="s">
        <v>312</v>
      </c>
      <c r="M1446" s="18" t="s">
        <v>19</v>
      </c>
      <c r="N1446" s="18" t="s">
        <v>7786</v>
      </c>
      <c r="O1446">
        <v>30</v>
      </c>
    </row>
    <row r="1447" spans="1:15" x14ac:dyDescent="0.25">
      <c r="A1447" s="18" t="s">
        <v>7276</v>
      </c>
      <c r="B1447" s="18" t="s">
        <v>6904</v>
      </c>
      <c r="C1447" s="18" t="s">
        <v>6905</v>
      </c>
      <c r="D1447" s="18" t="s">
        <v>46</v>
      </c>
      <c r="E1447" s="18" t="s">
        <v>6906</v>
      </c>
      <c r="F1447" s="2">
        <f>+J1447-I1447</f>
        <v>1</v>
      </c>
      <c r="G1447" s="2">
        <f ca="1">+TODAY()-I1447</f>
        <v>8</v>
      </c>
      <c r="H1447" s="15">
        <v>183598</v>
      </c>
      <c r="I1447" s="1">
        <v>46112</v>
      </c>
      <c r="J1447" s="1">
        <v>46113</v>
      </c>
      <c r="K1447" s="18" t="s">
        <v>17</v>
      </c>
      <c r="L1447" s="18" t="s">
        <v>317</v>
      </c>
      <c r="M1447" s="18" t="s">
        <v>19</v>
      </c>
      <c r="N1447" s="18" t="s">
        <v>6907</v>
      </c>
      <c r="O1447">
        <v>30</v>
      </c>
    </row>
    <row r="1448" spans="1:15" x14ac:dyDescent="0.25">
      <c r="A1448" s="18" t="s">
        <v>7276</v>
      </c>
      <c r="B1448" s="18" t="s">
        <v>6904</v>
      </c>
      <c r="C1448" s="18" t="s">
        <v>6905</v>
      </c>
      <c r="D1448" s="18" t="s">
        <v>46</v>
      </c>
      <c r="E1448" s="18" t="s">
        <v>7675</v>
      </c>
      <c r="F1448" s="2">
        <f>+J1448-I1448</f>
        <v>1</v>
      </c>
      <c r="G1448" s="2">
        <f ca="1">+TODAY()-I1448</f>
        <v>1</v>
      </c>
      <c r="H1448" s="15">
        <v>176007</v>
      </c>
      <c r="I1448" s="1">
        <v>46119</v>
      </c>
      <c r="J1448" s="1">
        <v>46120</v>
      </c>
      <c r="K1448" s="18" t="s">
        <v>17</v>
      </c>
      <c r="L1448" s="18" t="s">
        <v>317</v>
      </c>
      <c r="M1448" s="18" t="s">
        <v>19</v>
      </c>
      <c r="N1448" s="18" t="s">
        <v>6907</v>
      </c>
      <c r="O1448">
        <v>30</v>
      </c>
    </row>
    <row r="1449" spans="1:15" x14ac:dyDescent="0.25">
      <c r="A1449" s="18" t="s">
        <v>7276</v>
      </c>
      <c r="B1449" s="18" t="s">
        <v>3209</v>
      </c>
      <c r="C1449" s="18" t="s">
        <v>3210</v>
      </c>
      <c r="D1449" s="18" t="s">
        <v>1740</v>
      </c>
      <c r="E1449" s="18" t="s">
        <v>5575</v>
      </c>
      <c r="F1449" s="2">
        <f>+J1449-I1449</f>
        <v>30</v>
      </c>
      <c r="G1449" s="2">
        <f ca="1">+TODAY()-I1449</f>
        <v>33</v>
      </c>
      <c r="H1449" s="15">
        <v>16720200</v>
      </c>
      <c r="I1449" s="1">
        <v>46087</v>
      </c>
      <c r="J1449" s="1">
        <v>46117</v>
      </c>
      <c r="K1449" s="18" t="s">
        <v>1466</v>
      </c>
      <c r="L1449" s="18" t="s">
        <v>981</v>
      </c>
      <c r="M1449" s="18" t="s">
        <v>19</v>
      </c>
      <c r="N1449" s="18" t="s">
        <v>6339</v>
      </c>
      <c r="O1449">
        <v>30</v>
      </c>
    </row>
    <row r="1450" spans="1:15" x14ac:dyDescent="0.25">
      <c r="A1450" s="18" t="s">
        <v>7276</v>
      </c>
      <c r="B1450" s="18" t="s">
        <v>3209</v>
      </c>
      <c r="C1450" s="18" t="s">
        <v>3210</v>
      </c>
      <c r="D1450" s="18" t="s">
        <v>1740</v>
      </c>
      <c r="E1450" s="18" t="s">
        <v>5058</v>
      </c>
      <c r="F1450" s="2">
        <f>+J1450-I1450</f>
        <v>30</v>
      </c>
      <c r="G1450" s="2">
        <f ca="1">+TODAY()-I1450</f>
        <v>61</v>
      </c>
      <c r="H1450" s="15">
        <v>1999988</v>
      </c>
      <c r="I1450" s="1">
        <v>46059</v>
      </c>
      <c r="J1450" s="1">
        <v>46089</v>
      </c>
      <c r="K1450" s="18" t="s">
        <v>1738</v>
      </c>
      <c r="L1450" s="18" t="s">
        <v>981</v>
      </c>
      <c r="M1450" s="18" t="s">
        <v>19</v>
      </c>
      <c r="N1450" s="18" t="s">
        <v>6339</v>
      </c>
      <c r="O1450">
        <v>30</v>
      </c>
    </row>
    <row r="1451" spans="1:15" x14ac:dyDescent="0.25">
      <c r="A1451" s="18" t="s">
        <v>7276</v>
      </c>
      <c r="B1451" s="18" t="s">
        <v>3209</v>
      </c>
      <c r="C1451" s="18" t="s">
        <v>3210</v>
      </c>
      <c r="D1451" s="18" t="s">
        <v>1740</v>
      </c>
      <c r="E1451" s="18" t="s">
        <v>5356</v>
      </c>
      <c r="F1451" s="2">
        <f>+J1451-I1451</f>
        <v>30</v>
      </c>
      <c r="G1451" s="2">
        <f ca="1">+TODAY()-I1451</f>
        <v>44</v>
      </c>
      <c r="H1451" s="15">
        <v>11288106</v>
      </c>
      <c r="I1451" s="1">
        <v>46076</v>
      </c>
      <c r="J1451" s="1">
        <v>46106</v>
      </c>
      <c r="K1451" s="18" t="s">
        <v>1738</v>
      </c>
      <c r="L1451" s="18" t="s">
        <v>981</v>
      </c>
      <c r="M1451" s="18" t="s">
        <v>19</v>
      </c>
      <c r="N1451" s="18" t="s">
        <v>6339</v>
      </c>
      <c r="O1451">
        <v>30</v>
      </c>
    </row>
    <row r="1452" spans="1:15" x14ac:dyDescent="0.25">
      <c r="A1452" s="18" t="s">
        <v>7276</v>
      </c>
      <c r="B1452" s="18" t="s">
        <v>6011</v>
      </c>
      <c r="C1452" s="18" t="s">
        <v>6012</v>
      </c>
      <c r="D1452" s="18" t="s">
        <v>1118</v>
      </c>
      <c r="E1452" s="18" t="s">
        <v>7521</v>
      </c>
      <c r="F1452" s="2">
        <f>+J1452-I1452</f>
        <v>1</v>
      </c>
      <c r="G1452" s="2">
        <f ca="1">+TODAY()-I1452</f>
        <v>7</v>
      </c>
      <c r="H1452" s="15">
        <v>37649</v>
      </c>
      <c r="I1452" s="1">
        <v>46113</v>
      </c>
      <c r="J1452" s="1">
        <v>46114</v>
      </c>
      <c r="K1452" s="18" t="s">
        <v>1144</v>
      </c>
      <c r="L1452" s="18" t="s">
        <v>321</v>
      </c>
      <c r="M1452" s="18" t="s">
        <v>19</v>
      </c>
      <c r="N1452" s="18" t="s">
        <v>6013</v>
      </c>
      <c r="O1452">
        <v>30</v>
      </c>
    </row>
    <row r="1453" spans="1:15" x14ac:dyDescent="0.25">
      <c r="A1453" s="18" t="s">
        <v>7276</v>
      </c>
      <c r="B1453" s="18" t="s">
        <v>2175</v>
      </c>
      <c r="C1453" s="18" t="s">
        <v>2176</v>
      </c>
      <c r="D1453" s="18" t="s">
        <v>320</v>
      </c>
      <c r="E1453" s="18" t="s">
        <v>5450</v>
      </c>
      <c r="F1453" s="2">
        <f>+J1453-I1453</f>
        <v>20</v>
      </c>
      <c r="G1453" s="2">
        <f ca="1">+TODAY()-I1453</f>
        <v>37</v>
      </c>
      <c r="H1453" s="15">
        <v>405999</v>
      </c>
      <c r="I1453" s="1">
        <v>46083</v>
      </c>
      <c r="J1453" s="1">
        <v>46103</v>
      </c>
      <c r="K1453" s="18" t="s">
        <v>1068</v>
      </c>
      <c r="L1453" s="18" t="s">
        <v>321</v>
      </c>
      <c r="M1453" s="18" t="s">
        <v>19</v>
      </c>
      <c r="N1453" s="18" t="s">
        <v>2177</v>
      </c>
      <c r="O1453">
        <v>30</v>
      </c>
    </row>
    <row r="1454" spans="1:15" x14ac:dyDescent="0.25">
      <c r="A1454" s="18" t="s">
        <v>7276</v>
      </c>
      <c r="B1454" s="18" t="s">
        <v>2175</v>
      </c>
      <c r="C1454" s="18" t="s">
        <v>2176</v>
      </c>
      <c r="D1454" s="18" t="s">
        <v>320</v>
      </c>
      <c r="E1454" s="18" t="s">
        <v>6505</v>
      </c>
      <c r="F1454" s="2">
        <f>+J1454-I1454</f>
        <v>15</v>
      </c>
      <c r="G1454" s="2">
        <f ca="1">+TODAY()-I1454</f>
        <v>15</v>
      </c>
      <c r="H1454" s="15">
        <v>212203</v>
      </c>
      <c r="I1454" s="1">
        <v>46105</v>
      </c>
      <c r="J1454" s="1">
        <v>46120</v>
      </c>
      <c r="K1454" s="18" t="s">
        <v>1068</v>
      </c>
      <c r="L1454" s="18" t="s">
        <v>321</v>
      </c>
      <c r="M1454" s="18" t="s">
        <v>19</v>
      </c>
      <c r="N1454" s="18" t="s">
        <v>2177</v>
      </c>
      <c r="O1454">
        <v>30</v>
      </c>
    </row>
    <row r="1455" spans="1:15" x14ac:dyDescent="0.25">
      <c r="A1455" s="18" t="s">
        <v>7276</v>
      </c>
      <c r="B1455" s="18" t="s">
        <v>1985</v>
      </c>
      <c r="C1455" s="18" t="s">
        <v>1986</v>
      </c>
      <c r="D1455" s="18" t="s">
        <v>1974</v>
      </c>
      <c r="E1455" s="18" t="s">
        <v>3552</v>
      </c>
      <c r="F1455" s="2">
        <f>+J1455-I1455</f>
        <v>30</v>
      </c>
      <c r="G1455" s="2">
        <f ca="1">+TODAY()-I1455</f>
        <v>83</v>
      </c>
      <c r="H1455" s="15">
        <v>10194</v>
      </c>
      <c r="I1455" s="1">
        <v>46037</v>
      </c>
      <c r="J1455" s="1">
        <v>46067</v>
      </c>
      <c r="K1455" s="18" t="s">
        <v>1063</v>
      </c>
      <c r="L1455" s="18" t="s">
        <v>981</v>
      </c>
      <c r="M1455" s="18" t="s">
        <v>19</v>
      </c>
      <c r="N1455" s="18" t="s">
        <v>1987</v>
      </c>
      <c r="O1455">
        <v>30</v>
      </c>
    </row>
    <row r="1456" spans="1:15" x14ac:dyDescent="0.25">
      <c r="A1456" s="18" t="s">
        <v>7276</v>
      </c>
      <c r="B1456" s="18" t="s">
        <v>1985</v>
      </c>
      <c r="C1456" s="18" t="s">
        <v>1986</v>
      </c>
      <c r="D1456" s="18" t="s">
        <v>1974</v>
      </c>
      <c r="E1456" s="18" t="s">
        <v>5103</v>
      </c>
      <c r="F1456" s="2">
        <f>+J1456-I1456</f>
        <v>30</v>
      </c>
      <c r="G1456" s="2">
        <f ca="1">+TODAY()-I1456</f>
        <v>54</v>
      </c>
      <c r="H1456" s="15">
        <v>1627915</v>
      </c>
      <c r="I1456" s="1">
        <v>46066</v>
      </c>
      <c r="J1456" s="1">
        <v>46096</v>
      </c>
      <c r="K1456" s="18" t="s">
        <v>1063</v>
      </c>
      <c r="L1456" s="18" t="s">
        <v>981</v>
      </c>
      <c r="M1456" s="18" t="s">
        <v>19</v>
      </c>
      <c r="N1456" s="18" t="s">
        <v>1987</v>
      </c>
      <c r="O1456">
        <v>30</v>
      </c>
    </row>
    <row r="1457" spans="1:15" x14ac:dyDescent="0.25">
      <c r="A1457" s="18" t="s">
        <v>7276</v>
      </c>
      <c r="B1457" s="18" t="s">
        <v>1591</v>
      </c>
      <c r="C1457" s="18" t="s">
        <v>1592</v>
      </c>
      <c r="D1457" s="18" t="s">
        <v>1593</v>
      </c>
      <c r="E1457" s="18" t="s">
        <v>3814</v>
      </c>
      <c r="F1457" s="2">
        <f>+J1457-I1457</f>
        <v>30</v>
      </c>
      <c r="G1457" s="2">
        <f ca="1">+TODAY()-I1457</f>
        <v>82</v>
      </c>
      <c r="H1457" s="15">
        <v>27243</v>
      </c>
      <c r="I1457" s="1">
        <v>46038</v>
      </c>
      <c r="J1457" s="1">
        <v>46068</v>
      </c>
      <c r="K1457" s="18" t="s">
        <v>1589</v>
      </c>
      <c r="L1457" s="18" t="s">
        <v>984</v>
      </c>
      <c r="M1457" s="18" t="s">
        <v>19</v>
      </c>
      <c r="N1457" s="18" t="s">
        <v>1594</v>
      </c>
      <c r="O1457">
        <v>30</v>
      </c>
    </row>
    <row r="1458" spans="1:15" x14ac:dyDescent="0.25">
      <c r="A1458" s="18" t="s">
        <v>7276</v>
      </c>
      <c r="B1458" s="18" t="s">
        <v>1591</v>
      </c>
      <c r="C1458" s="18" t="s">
        <v>1592</v>
      </c>
      <c r="D1458" s="18" t="s">
        <v>1593</v>
      </c>
      <c r="E1458" s="18" t="s">
        <v>4665</v>
      </c>
      <c r="F1458" s="2">
        <f>+J1458-I1458</f>
        <v>30</v>
      </c>
      <c r="G1458" s="2">
        <f ca="1">+TODAY()-I1458</f>
        <v>72</v>
      </c>
      <c r="H1458" s="15">
        <v>57000</v>
      </c>
      <c r="I1458" s="1">
        <v>46048</v>
      </c>
      <c r="J1458" s="1">
        <v>46078</v>
      </c>
      <c r="K1458" s="18" t="s">
        <v>1589</v>
      </c>
      <c r="L1458" s="18" t="s">
        <v>984</v>
      </c>
      <c r="M1458" s="18" t="s">
        <v>19</v>
      </c>
      <c r="N1458" s="18" t="s">
        <v>1594</v>
      </c>
      <c r="O1458">
        <v>30</v>
      </c>
    </row>
    <row r="1459" spans="1:15" x14ac:dyDescent="0.25">
      <c r="A1459" s="18" t="s">
        <v>7276</v>
      </c>
      <c r="B1459" s="18" t="s">
        <v>1591</v>
      </c>
      <c r="C1459" s="18" t="s">
        <v>1592</v>
      </c>
      <c r="D1459" s="18" t="s">
        <v>1593</v>
      </c>
      <c r="E1459" s="18" t="s">
        <v>4666</v>
      </c>
      <c r="F1459" s="2">
        <f>+J1459-I1459</f>
        <v>30</v>
      </c>
      <c r="G1459" s="2">
        <f ca="1">+TODAY()-I1459</f>
        <v>72</v>
      </c>
      <c r="H1459" s="15">
        <v>63360</v>
      </c>
      <c r="I1459" s="1">
        <v>46048</v>
      </c>
      <c r="J1459" s="1">
        <v>46078</v>
      </c>
      <c r="K1459" s="18" t="s">
        <v>1589</v>
      </c>
      <c r="L1459" s="18" t="s">
        <v>984</v>
      </c>
      <c r="M1459" s="18" t="s">
        <v>19</v>
      </c>
      <c r="N1459" s="18" t="s">
        <v>1594</v>
      </c>
      <c r="O1459">
        <v>30</v>
      </c>
    </row>
    <row r="1460" spans="1:15" x14ac:dyDescent="0.25">
      <c r="A1460" s="18" t="s">
        <v>7276</v>
      </c>
      <c r="B1460" s="18" t="s">
        <v>1591</v>
      </c>
      <c r="C1460" s="18" t="s">
        <v>1592</v>
      </c>
      <c r="D1460" s="18" t="s">
        <v>1593</v>
      </c>
      <c r="E1460" s="18" t="s">
        <v>5048</v>
      </c>
      <c r="F1460" s="2">
        <f>+J1460-I1460</f>
        <v>30</v>
      </c>
      <c r="G1460" s="2">
        <f ca="1">+TODAY()-I1460</f>
        <v>58</v>
      </c>
      <c r="H1460" s="15">
        <v>1524601</v>
      </c>
      <c r="I1460" s="1">
        <v>46062</v>
      </c>
      <c r="J1460" s="1">
        <v>46092</v>
      </c>
      <c r="K1460" s="18" t="s">
        <v>1589</v>
      </c>
      <c r="L1460" s="18" t="s">
        <v>984</v>
      </c>
      <c r="M1460" s="18" t="s">
        <v>19</v>
      </c>
      <c r="N1460" s="18" t="s">
        <v>1594</v>
      </c>
      <c r="O1460">
        <v>30</v>
      </c>
    </row>
    <row r="1461" spans="1:15" x14ac:dyDescent="0.25">
      <c r="A1461" s="18" t="s">
        <v>7276</v>
      </c>
      <c r="B1461" s="18" t="s">
        <v>1591</v>
      </c>
      <c r="C1461" s="18" t="s">
        <v>1592</v>
      </c>
      <c r="D1461" s="18" t="s">
        <v>1593</v>
      </c>
      <c r="E1461" s="18" t="s">
        <v>5049</v>
      </c>
      <c r="F1461" s="2">
        <f>+J1461-I1461</f>
        <v>30</v>
      </c>
      <c r="G1461" s="2">
        <f ca="1">+TODAY()-I1461</f>
        <v>58</v>
      </c>
      <c r="H1461" s="15">
        <v>6940004</v>
      </c>
      <c r="I1461" s="1">
        <v>46062</v>
      </c>
      <c r="J1461" s="1">
        <v>46092</v>
      </c>
      <c r="K1461" s="18" t="s">
        <v>1589</v>
      </c>
      <c r="L1461" s="18" t="s">
        <v>984</v>
      </c>
      <c r="M1461" s="18" t="s">
        <v>19</v>
      </c>
      <c r="N1461" s="18" t="s">
        <v>1594</v>
      </c>
      <c r="O1461">
        <v>30</v>
      </c>
    </row>
    <row r="1462" spans="1:15" x14ac:dyDescent="0.25">
      <c r="A1462" s="18" t="s">
        <v>7276</v>
      </c>
      <c r="B1462" s="18" t="s">
        <v>1591</v>
      </c>
      <c r="C1462" s="18" t="s">
        <v>1592</v>
      </c>
      <c r="D1462" s="18" t="s">
        <v>1593</v>
      </c>
      <c r="E1462" s="18" t="s">
        <v>5050</v>
      </c>
      <c r="F1462" s="2">
        <f>+J1462-I1462</f>
        <v>30</v>
      </c>
      <c r="G1462" s="2">
        <f ca="1">+TODAY()-I1462</f>
        <v>58</v>
      </c>
      <c r="H1462" s="15">
        <v>8480004</v>
      </c>
      <c r="I1462" s="1">
        <v>46062</v>
      </c>
      <c r="J1462" s="1">
        <v>46092</v>
      </c>
      <c r="K1462" s="18" t="s">
        <v>1589</v>
      </c>
      <c r="L1462" s="18" t="s">
        <v>984</v>
      </c>
      <c r="M1462" s="18" t="s">
        <v>19</v>
      </c>
      <c r="N1462" s="18" t="s">
        <v>1594</v>
      </c>
      <c r="O1462">
        <v>30</v>
      </c>
    </row>
    <row r="1463" spans="1:15" x14ac:dyDescent="0.25">
      <c r="A1463" s="18" t="s">
        <v>7276</v>
      </c>
      <c r="B1463" s="18" t="s">
        <v>1591</v>
      </c>
      <c r="C1463" s="18" t="s">
        <v>1592</v>
      </c>
      <c r="D1463" s="18" t="s">
        <v>1593</v>
      </c>
      <c r="E1463" s="18" t="s">
        <v>5051</v>
      </c>
      <c r="F1463" s="2">
        <f>+J1463-I1463</f>
        <v>30</v>
      </c>
      <c r="G1463" s="2">
        <f ca="1">+TODAY()-I1463</f>
        <v>58</v>
      </c>
      <c r="H1463" s="15">
        <v>8749003</v>
      </c>
      <c r="I1463" s="1">
        <v>46062</v>
      </c>
      <c r="J1463" s="1">
        <v>46092</v>
      </c>
      <c r="K1463" s="18" t="s">
        <v>1589</v>
      </c>
      <c r="L1463" s="18" t="s">
        <v>984</v>
      </c>
      <c r="M1463" s="18" t="s">
        <v>19</v>
      </c>
      <c r="N1463" s="18" t="s">
        <v>1594</v>
      </c>
      <c r="O1463">
        <v>30</v>
      </c>
    </row>
    <row r="1464" spans="1:15" x14ac:dyDescent="0.25">
      <c r="A1464" s="18" t="s">
        <v>7276</v>
      </c>
      <c r="B1464" s="18" t="s">
        <v>1591</v>
      </c>
      <c r="C1464" s="18" t="s">
        <v>1592</v>
      </c>
      <c r="D1464" s="18" t="s">
        <v>1593</v>
      </c>
      <c r="E1464" s="18" t="s">
        <v>5154</v>
      </c>
      <c r="F1464" s="2">
        <f>+J1464-I1464</f>
        <v>27</v>
      </c>
      <c r="G1464" s="2">
        <f ca="1">+TODAY()-I1464</f>
        <v>55</v>
      </c>
      <c r="H1464" s="15">
        <v>5386002</v>
      </c>
      <c r="I1464" s="1">
        <v>46065</v>
      </c>
      <c r="J1464" s="1">
        <v>46092</v>
      </c>
      <c r="K1464" s="18" t="s">
        <v>1589</v>
      </c>
      <c r="L1464" s="18" t="s">
        <v>984</v>
      </c>
      <c r="M1464" s="18" t="s">
        <v>19</v>
      </c>
      <c r="N1464" s="18" t="s">
        <v>1594</v>
      </c>
      <c r="O1464">
        <v>30</v>
      </c>
    </row>
    <row r="1465" spans="1:15" x14ac:dyDescent="0.25">
      <c r="A1465" s="18" t="s">
        <v>7276</v>
      </c>
      <c r="B1465" s="18" t="s">
        <v>1591</v>
      </c>
      <c r="C1465" s="18" t="s">
        <v>1592</v>
      </c>
      <c r="D1465" s="18" t="s">
        <v>1593</v>
      </c>
      <c r="E1465" s="18" t="s">
        <v>5157</v>
      </c>
      <c r="F1465" s="2">
        <f>+J1465-I1465</f>
        <v>30</v>
      </c>
      <c r="G1465" s="2">
        <f ca="1">+TODAY()-I1465</f>
        <v>53</v>
      </c>
      <c r="H1465" s="15">
        <v>593000</v>
      </c>
      <c r="I1465" s="1">
        <v>46067</v>
      </c>
      <c r="J1465" s="1">
        <v>46097</v>
      </c>
      <c r="K1465" s="18" t="s">
        <v>1589</v>
      </c>
      <c r="L1465" s="18" t="s">
        <v>984</v>
      </c>
      <c r="M1465" s="18" t="s">
        <v>19</v>
      </c>
      <c r="N1465" s="18" t="s">
        <v>1594</v>
      </c>
      <c r="O1465">
        <v>30</v>
      </c>
    </row>
    <row r="1466" spans="1:15" x14ac:dyDescent="0.25">
      <c r="A1466" s="18" t="s">
        <v>7276</v>
      </c>
      <c r="B1466" s="18" t="s">
        <v>1591</v>
      </c>
      <c r="C1466" s="18" t="s">
        <v>1592</v>
      </c>
      <c r="D1466" s="18" t="s">
        <v>1593</v>
      </c>
      <c r="E1466" s="18" t="s">
        <v>5313</v>
      </c>
      <c r="F1466" s="2">
        <f>+J1466-I1466</f>
        <v>30</v>
      </c>
      <c r="G1466" s="2">
        <f ca="1">+TODAY()-I1466</f>
        <v>44</v>
      </c>
      <c r="H1466" s="15">
        <v>9120000</v>
      </c>
      <c r="I1466" s="1">
        <v>46076</v>
      </c>
      <c r="J1466" s="1">
        <v>46106</v>
      </c>
      <c r="K1466" s="18" t="s">
        <v>1589</v>
      </c>
      <c r="L1466" s="18" t="s">
        <v>984</v>
      </c>
      <c r="M1466" s="18" t="s">
        <v>19</v>
      </c>
      <c r="N1466" s="18" t="s">
        <v>1594</v>
      </c>
      <c r="O1466">
        <v>30</v>
      </c>
    </row>
    <row r="1467" spans="1:15" x14ac:dyDescent="0.25">
      <c r="A1467" s="18" t="s">
        <v>7276</v>
      </c>
      <c r="B1467" s="18" t="s">
        <v>1591</v>
      </c>
      <c r="C1467" s="18" t="s">
        <v>1592</v>
      </c>
      <c r="D1467" s="18" t="s">
        <v>1593</v>
      </c>
      <c r="E1467" s="18" t="s">
        <v>5314</v>
      </c>
      <c r="F1467" s="2">
        <f>+J1467-I1467</f>
        <v>30</v>
      </c>
      <c r="G1467" s="2">
        <f ca="1">+TODAY()-I1467</f>
        <v>44</v>
      </c>
      <c r="H1467" s="15">
        <v>3020434</v>
      </c>
      <c r="I1467" s="1">
        <v>46076</v>
      </c>
      <c r="J1467" s="1">
        <v>46106</v>
      </c>
      <c r="K1467" s="18" t="s">
        <v>1589</v>
      </c>
      <c r="L1467" s="18" t="s">
        <v>984</v>
      </c>
      <c r="M1467" s="18" t="s">
        <v>19</v>
      </c>
      <c r="N1467" s="18" t="s">
        <v>1594</v>
      </c>
      <c r="O1467">
        <v>30</v>
      </c>
    </row>
    <row r="1468" spans="1:15" x14ac:dyDescent="0.25">
      <c r="A1468" s="18" t="s">
        <v>7276</v>
      </c>
      <c r="B1468" s="18" t="s">
        <v>1591</v>
      </c>
      <c r="C1468" s="18" t="s">
        <v>1592</v>
      </c>
      <c r="D1468" s="18" t="s">
        <v>1593</v>
      </c>
      <c r="E1468" s="18" t="s">
        <v>5333</v>
      </c>
      <c r="F1468" s="2">
        <f>+J1468-I1468</f>
        <v>30</v>
      </c>
      <c r="G1468" s="2">
        <f ca="1">+TODAY()-I1468</f>
        <v>41</v>
      </c>
      <c r="H1468" s="15">
        <v>3455713</v>
      </c>
      <c r="I1468" s="1">
        <v>46079</v>
      </c>
      <c r="J1468" s="1">
        <v>46109</v>
      </c>
      <c r="K1468" s="18" t="s">
        <v>1589</v>
      </c>
      <c r="L1468" s="18" t="s">
        <v>984</v>
      </c>
      <c r="M1468" s="18" t="s">
        <v>19</v>
      </c>
      <c r="N1468" s="18" t="s">
        <v>1594</v>
      </c>
      <c r="O1468">
        <v>30</v>
      </c>
    </row>
    <row r="1469" spans="1:15" x14ac:dyDescent="0.25">
      <c r="A1469" s="18" t="s">
        <v>7276</v>
      </c>
      <c r="B1469" s="18" t="s">
        <v>1591</v>
      </c>
      <c r="C1469" s="18" t="s">
        <v>1592</v>
      </c>
      <c r="D1469" s="18" t="s">
        <v>1593</v>
      </c>
      <c r="E1469" s="18" t="s">
        <v>5810</v>
      </c>
      <c r="F1469" s="2">
        <f>+J1469-I1469</f>
        <v>30</v>
      </c>
      <c r="G1469" s="2">
        <f ca="1">+TODAY()-I1469</f>
        <v>33</v>
      </c>
      <c r="H1469" s="15">
        <v>7980000</v>
      </c>
      <c r="I1469" s="1">
        <v>46087</v>
      </c>
      <c r="J1469" s="1">
        <v>46117</v>
      </c>
      <c r="K1469" s="18" t="s">
        <v>1589</v>
      </c>
      <c r="L1469" s="18" t="s">
        <v>984</v>
      </c>
      <c r="M1469" s="18" t="s">
        <v>19</v>
      </c>
      <c r="N1469" s="18" t="s">
        <v>1594</v>
      </c>
      <c r="O1469">
        <v>30</v>
      </c>
    </row>
    <row r="1470" spans="1:15" x14ac:dyDescent="0.25">
      <c r="A1470" s="18" t="s">
        <v>7276</v>
      </c>
      <c r="B1470" s="18" t="s">
        <v>1591</v>
      </c>
      <c r="C1470" s="18" t="s">
        <v>1592</v>
      </c>
      <c r="D1470" s="18" t="s">
        <v>1593</v>
      </c>
      <c r="E1470" s="18" t="s">
        <v>5811</v>
      </c>
      <c r="F1470" s="2">
        <f>+J1470-I1470</f>
        <v>30</v>
      </c>
      <c r="G1470" s="2">
        <f ca="1">+TODAY()-I1470</f>
        <v>33</v>
      </c>
      <c r="H1470" s="15">
        <v>1256021</v>
      </c>
      <c r="I1470" s="1">
        <v>46087</v>
      </c>
      <c r="J1470" s="1">
        <v>46117</v>
      </c>
      <c r="K1470" s="18" t="s">
        <v>1589</v>
      </c>
      <c r="L1470" s="18" t="s">
        <v>984</v>
      </c>
      <c r="M1470" s="18" t="s">
        <v>19</v>
      </c>
      <c r="N1470" s="18" t="s">
        <v>1594</v>
      </c>
      <c r="O1470">
        <v>30</v>
      </c>
    </row>
    <row r="1471" spans="1:15" x14ac:dyDescent="0.25">
      <c r="A1471" s="18" t="s">
        <v>7276</v>
      </c>
      <c r="B1471" s="18" t="s">
        <v>1591</v>
      </c>
      <c r="C1471" s="18" t="s">
        <v>1592</v>
      </c>
      <c r="D1471" s="18" t="s">
        <v>1593</v>
      </c>
      <c r="E1471" s="18" t="s">
        <v>6100</v>
      </c>
      <c r="F1471" s="2">
        <f>+J1471-I1471</f>
        <v>30</v>
      </c>
      <c r="G1471" s="2">
        <f ca="1">+TODAY()-I1471</f>
        <v>22</v>
      </c>
      <c r="H1471" s="15">
        <v>7980000</v>
      </c>
      <c r="I1471" s="1">
        <v>46098</v>
      </c>
      <c r="J1471" s="1">
        <v>46128</v>
      </c>
      <c r="K1471" s="18" t="s">
        <v>1589</v>
      </c>
      <c r="L1471" s="18" t="s">
        <v>984</v>
      </c>
      <c r="M1471" s="18" t="s">
        <v>19</v>
      </c>
      <c r="N1471" s="18" t="s">
        <v>1594</v>
      </c>
      <c r="O1471">
        <v>30</v>
      </c>
    </row>
    <row r="1472" spans="1:15" x14ac:dyDescent="0.25">
      <c r="A1472" s="18" t="s">
        <v>7276</v>
      </c>
      <c r="B1472" s="18" t="s">
        <v>1591</v>
      </c>
      <c r="C1472" s="18" t="s">
        <v>1592</v>
      </c>
      <c r="D1472" s="18" t="s">
        <v>1593</v>
      </c>
      <c r="E1472" s="18" t="s">
        <v>6101</v>
      </c>
      <c r="F1472" s="2">
        <f>+J1472-I1472</f>
        <v>30</v>
      </c>
      <c r="G1472" s="2">
        <f ca="1">+TODAY()-I1472</f>
        <v>22</v>
      </c>
      <c r="H1472" s="15">
        <v>2389000</v>
      </c>
      <c r="I1472" s="1">
        <v>46098</v>
      </c>
      <c r="J1472" s="1">
        <v>46128</v>
      </c>
      <c r="K1472" s="18" t="s">
        <v>1589</v>
      </c>
      <c r="L1472" s="18" t="s">
        <v>984</v>
      </c>
      <c r="M1472" s="18" t="s">
        <v>19</v>
      </c>
      <c r="N1472" s="18" t="s">
        <v>1594</v>
      </c>
      <c r="O1472">
        <v>30</v>
      </c>
    </row>
    <row r="1473" spans="1:15" x14ac:dyDescent="0.25">
      <c r="A1473" s="18" t="s">
        <v>7276</v>
      </c>
      <c r="B1473" s="18" t="s">
        <v>1591</v>
      </c>
      <c r="C1473" s="18" t="s">
        <v>1592</v>
      </c>
      <c r="D1473" s="18" t="s">
        <v>1593</v>
      </c>
      <c r="E1473" s="18" t="s">
        <v>6102</v>
      </c>
      <c r="F1473" s="2">
        <f>+J1473-I1473</f>
        <v>30</v>
      </c>
      <c r="G1473" s="2">
        <f ca="1">+TODAY()-I1473</f>
        <v>22</v>
      </c>
      <c r="H1473" s="15">
        <v>175200</v>
      </c>
      <c r="I1473" s="1">
        <v>46098</v>
      </c>
      <c r="J1473" s="1">
        <v>46128</v>
      </c>
      <c r="K1473" s="18" t="s">
        <v>1589</v>
      </c>
      <c r="L1473" s="18" t="s">
        <v>984</v>
      </c>
      <c r="M1473" s="18" t="s">
        <v>19</v>
      </c>
      <c r="N1473" s="18" t="s">
        <v>1594</v>
      </c>
      <c r="O1473">
        <v>30</v>
      </c>
    </row>
    <row r="1474" spans="1:15" x14ac:dyDescent="0.25">
      <c r="A1474" s="18" t="s">
        <v>7276</v>
      </c>
      <c r="B1474" s="18" t="s">
        <v>1591</v>
      </c>
      <c r="C1474" s="18" t="s">
        <v>1592</v>
      </c>
      <c r="D1474" s="18" t="s">
        <v>1593</v>
      </c>
      <c r="E1474" s="18" t="s">
        <v>6643</v>
      </c>
      <c r="F1474" s="2">
        <f>+J1474-I1474</f>
        <v>30</v>
      </c>
      <c r="G1474" s="2">
        <f ca="1">+TODAY()-I1474</f>
        <v>15</v>
      </c>
      <c r="H1474" s="15">
        <v>4</v>
      </c>
      <c r="I1474" s="1">
        <v>46105</v>
      </c>
      <c r="J1474" s="1">
        <v>46135</v>
      </c>
      <c r="K1474" s="18" t="s">
        <v>1589</v>
      </c>
      <c r="L1474" s="18" t="s">
        <v>984</v>
      </c>
      <c r="M1474" s="18" t="s">
        <v>19</v>
      </c>
      <c r="N1474" s="18" t="s">
        <v>1594</v>
      </c>
      <c r="O1474">
        <v>30</v>
      </c>
    </row>
    <row r="1475" spans="1:15" x14ac:dyDescent="0.25">
      <c r="A1475" s="18" t="s">
        <v>7276</v>
      </c>
      <c r="B1475" s="18" t="s">
        <v>1591</v>
      </c>
      <c r="C1475" s="18" t="s">
        <v>1592</v>
      </c>
      <c r="D1475" s="18" t="s">
        <v>1593</v>
      </c>
      <c r="E1475" s="18" t="s">
        <v>6644</v>
      </c>
      <c r="F1475" s="2">
        <f>+J1475-I1475</f>
        <v>30</v>
      </c>
      <c r="G1475" s="2">
        <f ca="1">+TODAY()-I1475</f>
        <v>15</v>
      </c>
      <c r="H1475" s="15">
        <v>8481600</v>
      </c>
      <c r="I1475" s="1">
        <v>46105</v>
      </c>
      <c r="J1475" s="1">
        <v>46135</v>
      </c>
      <c r="K1475" s="18" t="s">
        <v>1589</v>
      </c>
      <c r="L1475" s="18" t="s">
        <v>984</v>
      </c>
      <c r="M1475" s="18" t="s">
        <v>19</v>
      </c>
      <c r="N1475" s="18" t="s">
        <v>1594</v>
      </c>
      <c r="O1475">
        <v>30</v>
      </c>
    </row>
    <row r="1476" spans="1:15" x14ac:dyDescent="0.25">
      <c r="A1476" s="18" t="s">
        <v>7276</v>
      </c>
      <c r="B1476" s="18" t="s">
        <v>1591</v>
      </c>
      <c r="C1476" s="18" t="s">
        <v>1592</v>
      </c>
      <c r="D1476" s="18" t="s">
        <v>1593</v>
      </c>
      <c r="E1476" s="18" t="s">
        <v>6645</v>
      </c>
      <c r="F1476" s="2">
        <f>+J1476-I1476</f>
        <v>30</v>
      </c>
      <c r="G1476" s="2">
        <f ca="1">+TODAY()-I1476</f>
        <v>15</v>
      </c>
      <c r="H1476" s="15">
        <v>7980000</v>
      </c>
      <c r="I1476" s="1">
        <v>46105</v>
      </c>
      <c r="J1476" s="1">
        <v>46135</v>
      </c>
      <c r="K1476" s="18" t="s">
        <v>1589</v>
      </c>
      <c r="L1476" s="18" t="s">
        <v>984</v>
      </c>
      <c r="M1476" s="18" t="s">
        <v>19</v>
      </c>
      <c r="N1476" s="18" t="s">
        <v>1594</v>
      </c>
      <c r="O1476">
        <v>30</v>
      </c>
    </row>
    <row r="1477" spans="1:15" x14ac:dyDescent="0.25">
      <c r="A1477" s="18" t="s">
        <v>7276</v>
      </c>
      <c r="B1477" s="18" t="s">
        <v>1591</v>
      </c>
      <c r="C1477" s="18" t="s">
        <v>1592</v>
      </c>
      <c r="D1477" s="18" t="s">
        <v>1593</v>
      </c>
      <c r="E1477" s="18" t="s">
        <v>6646</v>
      </c>
      <c r="F1477" s="2">
        <f>+J1477-I1477</f>
        <v>30</v>
      </c>
      <c r="G1477" s="2">
        <f ca="1">+TODAY()-I1477</f>
        <v>15</v>
      </c>
      <c r="H1477" s="15">
        <v>988800</v>
      </c>
      <c r="I1477" s="1">
        <v>46105</v>
      </c>
      <c r="J1477" s="1">
        <v>46135</v>
      </c>
      <c r="K1477" s="18" t="s">
        <v>1589</v>
      </c>
      <c r="L1477" s="18" t="s">
        <v>984</v>
      </c>
      <c r="M1477" s="18" t="s">
        <v>19</v>
      </c>
      <c r="N1477" s="18" t="s">
        <v>1594</v>
      </c>
      <c r="O1477">
        <v>30</v>
      </c>
    </row>
    <row r="1478" spans="1:15" x14ac:dyDescent="0.25">
      <c r="A1478" s="18" t="s">
        <v>7276</v>
      </c>
      <c r="B1478" s="18" t="s">
        <v>1591</v>
      </c>
      <c r="C1478" s="18" t="s">
        <v>1592</v>
      </c>
      <c r="D1478" s="18" t="s">
        <v>1593</v>
      </c>
      <c r="E1478" s="18" t="s">
        <v>6647</v>
      </c>
      <c r="F1478" s="2">
        <f>+J1478-I1478</f>
        <v>30</v>
      </c>
      <c r="G1478" s="2">
        <f ca="1">+TODAY()-I1478</f>
        <v>15</v>
      </c>
      <c r="H1478" s="15">
        <v>3028800</v>
      </c>
      <c r="I1478" s="1">
        <v>46105</v>
      </c>
      <c r="J1478" s="1">
        <v>46135</v>
      </c>
      <c r="K1478" s="18" t="s">
        <v>1589</v>
      </c>
      <c r="L1478" s="18" t="s">
        <v>984</v>
      </c>
      <c r="M1478" s="18" t="s">
        <v>19</v>
      </c>
      <c r="N1478" s="18" t="s">
        <v>1594</v>
      </c>
      <c r="O1478">
        <v>30</v>
      </c>
    </row>
    <row r="1479" spans="1:15" x14ac:dyDescent="0.25">
      <c r="A1479" s="18" t="s">
        <v>7276</v>
      </c>
      <c r="B1479" s="18" t="s">
        <v>1591</v>
      </c>
      <c r="C1479" s="18" t="s">
        <v>1592</v>
      </c>
      <c r="D1479" s="18" t="s">
        <v>1593</v>
      </c>
      <c r="E1479" s="18" t="s">
        <v>6648</v>
      </c>
      <c r="F1479" s="2">
        <f>+J1479-I1479</f>
        <v>30</v>
      </c>
      <c r="G1479" s="2">
        <f ca="1">+TODAY()-I1479</f>
        <v>15</v>
      </c>
      <c r="H1479" s="15">
        <v>1986636</v>
      </c>
      <c r="I1479" s="1">
        <v>46105</v>
      </c>
      <c r="J1479" s="1">
        <v>46135</v>
      </c>
      <c r="K1479" s="18" t="s">
        <v>1589</v>
      </c>
      <c r="L1479" s="18" t="s">
        <v>984</v>
      </c>
      <c r="M1479" s="18" t="s">
        <v>19</v>
      </c>
      <c r="N1479" s="18" t="s">
        <v>1594</v>
      </c>
      <c r="O1479">
        <v>30</v>
      </c>
    </row>
    <row r="1480" spans="1:15" x14ac:dyDescent="0.25">
      <c r="A1480" s="18" t="s">
        <v>7276</v>
      </c>
      <c r="B1480" s="18" t="s">
        <v>906</v>
      </c>
      <c r="C1480" s="18" t="s">
        <v>907</v>
      </c>
      <c r="D1480" s="18" t="s">
        <v>844</v>
      </c>
      <c r="E1480" s="18" t="s">
        <v>908</v>
      </c>
      <c r="F1480" s="2">
        <f>+J1480-I1480</f>
        <v>30</v>
      </c>
      <c r="G1480" s="2">
        <f ca="1">+TODAY()-I1480</f>
        <v>1225</v>
      </c>
      <c r="H1480" s="15">
        <v>149983</v>
      </c>
      <c r="I1480" s="1">
        <v>44895</v>
      </c>
      <c r="J1480" s="1">
        <v>44925</v>
      </c>
      <c r="K1480" s="18" t="s">
        <v>845</v>
      </c>
      <c r="L1480" s="18" t="s">
        <v>18</v>
      </c>
      <c r="M1480" s="18" t="s">
        <v>19</v>
      </c>
      <c r="N1480" s="18" t="s">
        <v>909</v>
      </c>
      <c r="O1480">
        <v>30</v>
      </c>
    </row>
    <row r="1481" spans="1:15" x14ac:dyDescent="0.25">
      <c r="A1481" s="18" t="s">
        <v>7276</v>
      </c>
      <c r="B1481" s="18" t="s">
        <v>373</v>
      </c>
      <c r="C1481" s="18" t="s">
        <v>374</v>
      </c>
      <c r="D1481" s="18" t="s">
        <v>204</v>
      </c>
      <c r="E1481" s="18" t="s">
        <v>5226</v>
      </c>
      <c r="F1481" s="2">
        <f>+J1481-I1481</f>
        <v>30</v>
      </c>
      <c r="G1481" s="2">
        <f ca="1">+TODAY()-I1481</f>
        <v>42</v>
      </c>
      <c r="H1481" s="15">
        <v>921587</v>
      </c>
      <c r="I1481" s="1">
        <v>46078</v>
      </c>
      <c r="J1481" s="1">
        <v>46108</v>
      </c>
      <c r="K1481" s="18" t="s">
        <v>343</v>
      </c>
      <c r="L1481" s="18" t="s">
        <v>18</v>
      </c>
      <c r="M1481" s="18" t="s">
        <v>19</v>
      </c>
      <c r="N1481" s="18" t="s">
        <v>375</v>
      </c>
      <c r="O1481">
        <v>30</v>
      </c>
    </row>
    <row r="1482" spans="1:15" x14ac:dyDescent="0.25">
      <c r="A1482" s="18" t="s">
        <v>7276</v>
      </c>
      <c r="B1482" s="18" t="s">
        <v>373</v>
      </c>
      <c r="C1482" s="18" t="s">
        <v>374</v>
      </c>
      <c r="D1482" s="18" t="s">
        <v>204</v>
      </c>
      <c r="E1482" s="18" t="s">
        <v>5672</v>
      </c>
      <c r="F1482" s="2">
        <f>+J1482-I1482</f>
        <v>30</v>
      </c>
      <c r="G1482" s="2">
        <f ca="1">+TODAY()-I1482</f>
        <v>30</v>
      </c>
      <c r="H1482" s="15">
        <v>1456601</v>
      </c>
      <c r="I1482" s="1">
        <v>46090</v>
      </c>
      <c r="J1482" s="1">
        <v>46120</v>
      </c>
      <c r="K1482" s="18" t="s">
        <v>343</v>
      </c>
      <c r="L1482" s="18" t="s">
        <v>18</v>
      </c>
      <c r="M1482" s="18" t="s">
        <v>19</v>
      </c>
      <c r="N1482" s="18" t="s">
        <v>375</v>
      </c>
      <c r="O1482">
        <v>30</v>
      </c>
    </row>
    <row r="1483" spans="1:15" x14ac:dyDescent="0.25">
      <c r="A1483" s="18" t="s">
        <v>7276</v>
      </c>
      <c r="B1483" s="18" t="s">
        <v>373</v>
      </c>
      <c r="C1483" s="18" t="s">
        <v>374</v>
      </c>
      <c r="D1483" s="18" t="s">
        <v>204</v>
      </c>
      <c r="E1483" s="18" t="s">
        <v>6458</v>
      </c>
      <c r="F1483" s="2">
        <f>+J1483-I1483</f>
        <v>30</v>
      </c>
      <c r="G1483" s="2">
        <f ca="1">+TODAY()-I1483</f>
        <v>14</v>
      </c>
      <c r="H1483" s="15">
        <v>316816</v>
      </c>
      <c r="I1483" s="1">
        <v>46106</v>
      </c>
      <c r="J1483" s="1">
        <v>46136</v>
      </c>
      <c r="K1483" s="18" t="s">
        <v>343</v>
      </c>
      <c r="L1483" s="18" t="s">
        <v>18</v>
      </c>
      <c r="M1483" s="18" t="s">
        <v>19</v>
      </c>
      <c r="N1483" s="18" t="s">
        <v>375</v>
      </c>
      <c r="O1483">
        <v>30</v>
      </c>
    </row>
    <row r="1484" spans="1:15" x14ac:dyDescent="0.25">
      <c r="A1484" s="18" t="s">
        <v>7276</v>
      </c>
      <c r="B1484" s="18" t="s">
        <v>373</v>
      </c>
      <c r="C1484" s="18" t="s">
        <v>374</v>
      </c>
      <c r="D1484" s="18" t="s">
        <v>204</v>
      </c>
      <c r="E1484" s="18" t="s">
        <v>7700</v>
      </c>
      <c r="F1484" s="2">
        <f>+J1484-I1484</f>
        <v>30</v>
      </c>
      <c r="G1484" s="2">
        <f ca="1">+TODAY()-I1484</f>
        <v>1</v>
      </c>
      <c r="H1484" s="15">
        <v>980143</v>
      </c>
      <c r="I1484" s="1">
        <v>46119</v>
      </c>
      <c r="J1484" s="1">
        <v>46149</v>
      </c>
      <c r="K1484" s="18" t="s">
        <v>343</v>
      </c>
      <c r="L1484" s="18" t="s">
        <v>18</v>
      </c>
      <c r="M1484" s="18" t="s">
        <v>19</v>
      </c>
      <c r="N1484" s="18" t="s">
        <v>375</v>
      </c>
      <c r="O1484">
        <v>30</v>
      </c>
    </row>
    <row r="1485" spans="1:15" x14ac:dyDescent="0.25">
      <c r="A1485" s="18" t="s">
        <v>7276</v>
      </c>
      <c r="B1485" s="18" t="s">
        <v>373</v>
      </c>
      <c r="C1485" s="18" t="s">
        <v>374</v>
      </c>
      <c r="D1485" s="18" t="s">
        <v>204</v>
      </c>
      <c r="E1485" s="18" t="s">
        <v>7701</v>
      </c>
      <c r="F1485" s="2">
        <f>+J1485-I1485</f>
        <v>30</v>
      </c>
      <c r="G1485" s="2">
        <f ca="1">+TODAY()-I1485</f>
        <v>1</v>
      </c>
      <c r="H1485" s="15">
        <v>2403600</v>
      </c>
      <c r="I1485" s="1">
        <v>46119</v>
      </c>
      <c r="J1485" s="1">
        <v>46149</v>
      </c>
      <c r="K1485" s="18" t="s">
        <v>343</v>
      </c>
      <c r="L1485" s="18" t="s">
        <v>18</v>
      </c>
      <c r="M1485" s="18" t="s">
        <v>19</v>
      </c>
      <c r="N1485" s="18" t="s">
        <v>375</v>
      </c>
      <c r="O1485">
        <v>30</v>
      </c>
    </row>
    <row r="1486" spans="1:15" x14ac:dyDescent="0.25">
      <c r="A1486" s="18" t="s">
        <v>7276</v>
      </c>
      <c r="B1486" s="18" t="s">
        <v>373</v>
      </c>
      <c r="C1486" s="18" t="s">
        <v>374</v>
      </c>
      <c r="D1486" s="18" t="s">
        <v>204</v>
      </c>
      <c r="E1486" s="18" t="s">
        <v>7702</v>
      </c>
      <c r="F1486" s="2">
        <f>+J1486-I1486</f>
        <v>30</v>
      </c>
      <c r="G1486" s="2">
        <f ca="1">+TODAY()-I1486</f>
        <v>1</v>
      </c>
      <c r="H1486" s="15">
        <v>471612</v>
      </c>
      <c r="I1486" s="1">
        <v>46119</v>
      </c>
      <c r="J1486" s="1">
        <v>46149</v>
      </c>
      <c r="K1486" s="18" t="s">
        <v>343</v>
      </c>
      <c r="L1486" s="18" t="s">
        <v>18</v>
      </c>
      <c r="M1486" s="18" t="s">
        <v>19</v>
      </c>
      <c r="N1486" s="18" t="s">
        <v>375</v>
      </c>
      <c r="O1486">
        <v>30</v>
      </c>
    </row>
    <row r="1487" spans="1:15" x14ac:dyDescent="0.25">
      <c r="A1487" s="18" t="s">
        <v>7276</v>
      </c>
      <c r="B1487" s="18" t="s">
        <v>4822</v>
      </c>
      <c r="C1487" s="18" t="s">
        <v>4823</v>
      </c>
      <c r="D1487" s="18" t="s">
        <v>1066</v>
      </c>
      <c r="E1487" s="18" t="s">
        <v>7504</v>
      </c>
      <c r="F1487" s="2">
        <f>+J1487-I1487</f>
        <v>1</v>
      </c>
      <c r="G1487" s="2">
        <f ca="1">+TODAY()-I1487</f>
        <v>2</v>
      </c>
      <c r="H1487" s="15">
        <v>76000</v>
      </c>
      <c r="I1487" s="1">
        <v>46118</v>
      </c>
      <c r="J1487" s="1">
        <v>46119</v>
      </c>
      <c r="K1487" s="18" t="s">
        <v>1068</v>
      </c>
      <c r="L1487" s="18" t="s">
        <v>321</v>
      </c>
      <c r="M1487" s="18" t="s">
        <v>19</v>
      </c>
      <c r="N1487" s="18" t="s">
        <v>4825</v>
      </c>
      <c r="O1487">
        <v>1</v>
      </c>
    </row>
    <row r="1488" spans="1:15" x14ac:dyDescent="0.25">
      <c r="A1488" s="18" t="s">
        <v>7276</v>
      </c>
      <c r="B1488" s="18" t="s">
        <v>4822</v>
      </c>
      <c r="C1488" s="18" t="s">
        <v>4823</v>
      </c>
      <c r="D1488" s="18" t="s">
        <v>1066</v>
      </c>
      <c r="E1488" s="18" t="s">
        <v>7505</v>
      </c>
      <c r="F1488" s="2">
        <f>+J1488-I1488</f>
        <v>1</v>
      </c>
      <c r="G1488" s="2">
        <f ca="1">+TODAY()-I1488</f>
        <v>2</v>
      </c>
      <c r="H1488" s="15">
        <v>63603</v>
      </c>
      <c r="I1488" s="1">
        <v>46118</v>
      </c>
      <c r="J1488" s="1">
        <v>46119</v>
      </c>
      <c r="K1488" s="18" t="s">
        <v>1068</v>
      </c>
      <c r="L1488" s="18" t="s">
        <v>321</v>
      </c>
      <c r="M1488" s="18" t="s">
        <v>19</v>
      </c>
      <c r="N1488" s="18" t="s">
        <v>4825</v>
      </c>
      <c r="O1488">
        <v>1</v>
      </c>
    </row>
    <row r="1489" spans="1:15" x14ac:dyDescent="0.25">
      <c r="A1489" s="18" t="s">
        <v>7276</v>
      </c>
      <c r="B1489" s="18" t="s">
        <v>6737</v>
      </c>
      <c r="C1489" s="18" t="s">
        <v>6738</v>
      </c>
      <c r="D1489" s="18" t="s">
        <v>15</v>
      </c>
      <c r="E1489" s="18" t="s">
        <v>6739</v>
      </c>
      <c r="F1489" s="2">
        <f>+J1489-I1489</f>
        <v>30</v>
      </c>
      <c r="G1489" s="2">
        <f ca="1">+TODAY()-I1489</f>
        <v>11</v>
      </c>
      <c r="H1489" s="15">
        <v>63500</v>
      </c>
      <c r="I1489" s="1">
        <v>46109</v>
      </c>
      <c r="J1489" s="1">
        <v>46139</v>
      </c>
      <c r="K1489" s="18" t="s">
        <v>17</v>
      </c>
      <c r="L1489" s="18" t="s">
        <v>109</v>
      </c>
      <c r="M1489" s="18" t="s">
        <v>19</v>
      </c>
      <c r="N1489" s="18" t="s">
        <v>6740</v>
      </c>
      <c r="O1489">
        <v>30</v>
      </c>
    </row>
    <row r="1490" spans="1:15" x14ac:dyDescent="0.25">
      <c r="A1490" s="18" t="s">
        <v>7276</v>
      </c>
      <c r="B1490" s="18" t="s">
        <v>2379</v>
      </c>
      <c r="C1490" s="18" t="s">
        <v>2380</v>
      </c>
      <c r="D1490" s="18" t="s">
        <v>15</v>
      </c>
      <c r="E1490" s="18" t="s">
        <v>5306</v>
      </c>
      <c r="F1490" s="2">
        <f>+J1490-I1490</f>
        <v>30</v>
      </c>
      <c r="G1490" s="2">
        <f ca="1">+TODAY()-I1490</f>
        <v>37</v>
      </c>
      <c r="H1490" s="15">
        <v>21000</v>
      </c>
      <c r="I1490" s="1">
        <v>46083</v>
      </c>
      <c r="J1490" s="1">
        <v>46113</v>
      </c>
      <c r="K1490" s="18" t="s">
        <v>1403</v>
      </c>
      <c r="L1490" s="18" t="s">
        <v>109</v>
      </c>
      <c r="M1490" s="18" t="s">
        <v>19</v>
      </c>
      <c r="N1490" s="18" t="s">
        <v>2382</v>
      </c>
      <c r="O1490">
        <v>30</v>
      </c>
    </row>
    <row r="1491" spans="1:15" x14ac:dyDescent="0.25">
      <c r="A1491" s="18" t="s">
        <v>7276</v>
      </c>
      <c r="B1491" s="18" t="s">
        <v>2379</v>
      </c>
      <c r="C1491" s="18" t="s">
        <v>2380</v>
      </c>
      <c r="D1491" s="18" t="s">
        <v>15</v>
      </c>
      <c r="E1491" s="18" t="s">
        <v>5556</v>
      </c>
      <c r="F1491" s="2">
        <f>+J1491-I1491</f>
        <v>30</v>
      </c>
      <c r="G1491" s="2">
        <f ca="1">+TODAY()-I1491</f>
        <v>34</v>
      </c>
      <c r="H1491" s="15">
        <v>2747112</v>
      </c>
      <c r="I1491" s="1">
        <v>46086</v>
      </c>
      <c r="J1491" s="1">
        <v>46116</v>
      </c>
      <c r="K1491" s="18" t="s">
        <v>1403</v>
      </c>
      <c r="L1491" s="18" t="s">
        <v>109</v>
      </c>
      <c r="M1491" s="18" t="s">
        <v>19</v>
      </c>
      <c r="N1491" s="18" t="s">
        <v>2382</v>
      </c>
      <c r="O1491">
        <v>30</v>
      </c>
    </row>
    <row r="1492" spans="1:15" x14ac:dyDescent="0.25">
      <c r="A1492" s="18" t="s">
        <v>7276</v>
      </c>
      <c r="B1492" s="18" t="s">
        <v>1254</v>
      </c>
      <c r="C1492" s="18" t="s">
        <v>1255</v>
      </c>
      <c r="D1492" s="18" t="s">
        <v>1250</v>
      </c>
      <c r="E1492" s="18" t="s">
        <v>5112</v>
      </c>
      <c r="F1492" s="2">
        <f>+J1492-I1492</f>
        <v>30</v>
      </c>
      <c r="G1492" s="2">
        <f ca="1">+TODAY()-I1492</f>
        <v>47</v>
      </c>
      <c r="H1492" s="15">
        <v>550161</v>
      </c>
      <c r="I1492" s="1">
        <v>46073</v>
      </c>
      <c r="J1492" s="1">
        <v>46103</v>
      </c>
      <c r="K1492" s="18" t="s">
        <v>1243</v>
      </c>
      <c r="L1492" s="18" t="s">
        <v>207</v>
      </c>
      <c r="M1492" s="18" t="s">
        <v>19</v>
      </c>
      <c r="N1492" s="18" t="s">
        <v>1256</v>
      </c>
      <c r="O1492">
        <v>15</v>
      </c>
    </row>
    <row r="1493" spans="1:15" x14ac:dyDescent="0.25">
      <c r="A1493" s="18" t="s">
        <v>7276</v>
      </c>
      <c r="B1493" s="18" t="s">
        <v>1254</v>
      </c>
      <c r="C1493" s="18" t="s">
        <v>1255</v>
      </c>
      <c r="D1493" s="18" t="s">
        <v>1250</v>
      </c>
      <c r="E1493" s="18" t="s">
        <v>5277</v>
      </c>
      <c r="F1493" s="2">
        <f>+J1493-I1493</f>
        <v>30</v>
      </c>
      <c r="G1493" s="2">
        <f ca="1">+TODAY()-I1493</f>
        <v>40</v>
      </c>
      <c r="H1493" s="15">
        <v>838196</v>
      </c>
      <c r="I1493" s="1">
        <v>46080</v>
      </c>
      <c r="J1493" s="1">
        <v>46110</v>
      </c>
      <c r="K1493" s="18" t="s">
        <v>1243</v>
      </c>
      <c r="L1493" s="18" t="s">
        <v>207</v>
      </c>
      <c r="M1493" s="18" t="s">
        <v>19</v>
      </c>
      <c r="N1493" s="18" t="s">
        <v>1256</v>
      </c>
      <c r="O1493">
        <v>15</v>
      </c>
    </row>
    <row r="1494" spans="1:15" x14ac:dyDescent="0.25">
      <c r="A1494" s="18" t="s">
        <v>7276</v>
      </c>
      <c r="B1494" s="18" t="s">
        <v>1254</v>
      </c>
      <c r="C1494" s="18" t="s">
        <v>1255</v>
      </c>
      <c r="D1494" s="18" t="s">
        <v>1250</v>
      </c>
      <c r="E1494" s="18" t="s">
        <v>5768</v>
      </c>
      <c r="F1494" s="2">
        <f>+J1494-I1494</f>
        <v>30</v>
      </c>
      <c r="G1494" s="2">
        <f ca="1">+TODAY()-I1494</f>
        <v>33</v>
      </c>
      <c r="H1494" s="15">
        <v>1268889</v>
      </c>
      <c r="I1494" s="1">
        <v>46087</v>
      </c>
      <c r="J1494" s="1">
        <v>46117</v>
      </c>
      <c r="K1494" s="18" t="s">
        <v>1243</v>
      </c>
      <c r="L1494" s="18" t="s">
        <v>207</v>
      </c>
      <c r="M1494" s="18" t="s">
        <v>19</v>
      </c>
      <c r="N1494" s="18" t="s">
        <v>1256</v>
      </c>
      <c r="O1494">
        <v>15</v>
      </c>
    </row>
    <row r="1495" spans="1:15" x14ac:dyDescent="0.25">
      <c r="A1495" s="18" t="s">
        <v>7276</v>
      </c>
      <c r="B1495" s="18" t="s">
        <v>1254</v>
      </c>
      <c r="C1495" s="18" t="s">
        <v>1255</v>
      </c>
      <c r="D1495" s="18" t="s">
        <v>1250</v>
      </c>
      <c r="E1495" s="18" t="s">
        <v>5771</v>
      </c>
      <c r="F1495" s="2">
        <f>+J1495-I1495</f>
        <v>30</v>
      </c>
      <c r="G1495" s="2">
        <f ca="1">+TODAY()-I1495</f>
        <v>33</v>
      </c>
      <c r="H1495" s="15">
        <v>356195</v>
      </c>
      <c r="I1495" s="1">
        <v>46087</v>
      </c>
      <c r="J1495" s="1">
        <v>46117</v>
      </c>
      <c r="K1495" s="18" t="s">
        <v>1243</v>
      </c>
      <c r="L1495" s="18" t="s">
        <v>207</v>
      </c>
      <c r="M1495" s="18" t="s">
        <v>19</v>
      </c>
      <c r="N1495" s="18" t="s">
        <v>1256</v>
      </c>
      <c r="O1495">
        <v>15</v>
      </c>
    </row>
    <row r="1496" spans="1:15" x14ac:dyDescent="0.25">
      <c r="A1496" s="18" t="s">
        <v>7276</v>
      </c>
      <c r="B1496" s="18" t="s">
        <v>1254</v>
      </c>
      <c r="C1496" s="18" t="s">
        <v>1255</v>
      </c>
      <c r="D1496" s="18" t="s">
        <v>1250</v>
      </c>
      <c r="E1496" s="18" t="s">
        <v>6029</v>
      </c>
      <c r="F1496" s="2">
        <f>+J1496-I1496</f>
        <v>31</v>
      </c>
      <c r="G1496" s="2">
        <f ca="1">+TODAY()-I1496</f>
        <v>26</v>
      </c>
      <c r="H1496" s="15">
        <v>775963</v>
      </c>
      <c r="I1496" s="1">
        <v>46094</v>
      </c>
      <c r="J1496" s="1">
        <v>46125</v>
      </c>
      <c r="K1496" s="18" t="s">
        <v>1243</v>
      </c>
      <c r="L1496" s="18" t="s">
        <v>207</v>
      </c>
      <c r="M1496" s="18" t="s">
        <v>19</v>
      </c>
      <c r="N1496" s="18" t="s">
        <v>1256</v>
      </c>
      <c r="O1496">
        <v>15</v>
      </c>
    </row>
    <row r="1497" spans="1:15" x14ac:dyDescent="0.25">
      <c r="A1497" s="18" t="s">
        <v>7276</v>
      </c>
      <c r="B1497" s="18" t="s">
        <v>1254</v>
      </c>
      <c r="C1497" s="18" t="s">
        <v>1255</v>
      </c>
      <c r="D1497" s="18" t="s">
        <v>1250</v>
      </c>
      <c r="E1497" s="18" t="s">
        <v>6030</v>
      </c>
      <c r="F1497" s="2">
        <f>+J1497-I1497</f>
        <v>31</v>
      </c>
      <c r="G1497" s="2">
        <f ca="1">+TODAY()-I1497</f>
        <v>26</v>
      </c>
      <c r="H1497" s="15">
        <v>69995</v>
      </c>
      <c r="I1497" s="1">
        <v>46094</v>
      </c>
      <c r="J1497" s="1">
        <v>46125</v>
      </c>
      <c r="K1497" s="18" t="s">
        <v>1243</v>
      </c>
      <c r="L1497" s="18" t="s">
        <v>207</v>
      </c>
      <c r="M1497" s="18" t="s">
        <v>19</v>
      </c>
      <c r="N1497" s="18" t="s">
        <v>1256</v>
      </c>
      <c r="O1497">
        <v>15</v>
      </c>
    </row>
    <row r="1498" spans="1:15" x14ac:dyDescent="0.25">
      <c r="A1498" s="18" t="s">
        <v>7276</v>
      </c>
      <c r="B1498" s="18" t="s">
        <v>1254</v>
      </c>
      <c r="C1498" s="18" t="s">
        <v>1255</v>
      </c>
      <c r="D1498" s="18" t="s">
        <v>1250</v>
      </c>
      <c r="E1498" s="18" t="s">
        <v>6031</v>
      </c>
      <c r="F1498" s="2">
        <f>+J1498-I1498</f>
        <v>31</v>
      </c>
      <c r="G1498" s="2">
        <f ca="1">+TODAY()-I1498</f>
        <v>26</v>
      </c>
      <c r="H1498" s="15">
        <v>1663709</v>
      </c>
      <c r="I1498" s="1">
        <v>46094</v>
      </c>
      <c r="J1498" s="1">
        <v>46125</v>
      </c>
      <c r="K1498" s="18" t="s">
        <v>1243</v>
      </c>
      <c r="L1498" s="18" t="s">
        <v>207</v>
      </c>
      <c r="M1498" s="18" t="s">
        <v>19</v>
      </c>
      <c r="N1498" s="18" t="s">
        <v>1256</v>
      </c>
      <c r="O1498">
        <v>15</v>
      </c>
    </row>
    <row r="1499" spans="1:15" x14ac:dyDescent="0.25">
      <c r="A1499" s="18" t="s">
        <v>7276</v>
      </c>
      <c r="B1499" s="18" t="s">
        <v>1254</v>
      </c>
      <c r="C1499" s="18" t="s">
        <v>1255</v>
      </c>
      <c r="D1499" s="18" t="s">
        <v>1250</v>
      </c>
      <c r="E1499" s="18" t="s">
        <v>6299</v>
      </c>
      <c r="F1499" s="2">
        <f>+J1499-I1499</f>
        <v>30</v>
      </c>
      <c r="G1499" s="2">
        <f ca="1">+TODAY()-I1499</f>
        <v>19</v>
      </c>
      <c r="H1499" s="15">
        <v>207513</v>
      </c>
      <c r="I1499" s="1">
        <v>46101</v>
      </c>
      <c r="J1499" s="1">
        <v>46131</v>
      </c>
      <c r="K1499" s="18" t="s">
        <v>1243</v>
      </c>
      <c r="L1499" s="18" t="s">
        <v>207</v>
      </c>
      <c r="M1499" s="18" t="s">
        <v>19</v>
      </c>
      <c r="N1499" s="18" t="s">
        <v>1256</v>
      </c>
      <c r="O1499">
        <v>15</v>
      </c>
    </row>
    <row r="1500" spans="1:15" x14ac:dyDescent="0.25">
      <c r="A1500" s="18" t="s">
        <v>7276</v>
      </c>
      <c r="B1500" s="18" t="s">
        <v>1254</v>
      </c>
      <c r="C1500" s="18" t="s">
        <v>1255</v>
      </c>
      <c r="D1500" s="18" t="s">
        <v>1250</v>
      </c>
      <c r="E1500" s="18" t="s">
        <v>6300</v>
      </c>
      <c r="F1500" s="2">
        <f>+J1500-I1500</f>
        <v>30</v>
      </c>
      <c r="G1500" s="2">
        <f ca="1">+TODAY()-I1500</f>
        <v>19</v>
      </c>
      <c r="H1500" s="15">
        <v>1207601</v>
      </c>
      <c r="I1500" s="1">
        <v>46101</v>
      </c>
      <c r="J1500" s="1">
        <v>46131</v>
      </c>
      <c r="K1500" s="18" t="s">
        <v>1243</v>
      </c>
      <c r="L1500" s="18" t="s">
        <v>207</v>
      </c>
      <c r="M1500" s="18" t="s">
        <v>19</v>
      </c>
      <c r="N1500" s="18" t="s">
        <v>1256</v>
      </c>
      <c r="O1500">
        <v>15</v>
      </c>
    </row>
    <row r="1501" spans="1:15" x14ac:dyDescent="0.25">
      <c r="A1501" s="18" t="s">
        <v>7276</v>
      </c>
      <c r="B1501" s="18" t="s">
        <v>1254</v>
      </c>
      <c r="C1501" s="18" t="s">
        <v>1255</v>
      </c>
      <c r="D1501" s="18" t="s">
        <v>1250</v>
      </c>
      <c r="E1501" s="18" t="s">
        <v>6304</v>
      </c>
      <c r="F1501" s="2">
        <f>+J1501-I1501</f>
        <v>30</v>
      </c>
      <c r="G1501" s="2">
        <f ca="1">+TODAY()-I1501</f>
        <v>19</v>
      </c>
      <c r="H1501" s="15">
        <v>518205</v>
      </c>
      <c r="I1501" s="1">
        <v>46101</v>
      </c>
      <c r="J1501" s="1">
        <v>46131</v>
      </c>
      <c r="K1501" s="18" t="s">
        <v>1243</v>
      </c>
      <c r="L1501" s="18" t="s">
        <v>207</v>
      </c>
      <c r="M1501" s="18" t="s">
        <v>19</v>
      </c>
      <c r="N1501" s="18" t="s">
        <v>1256</v>
      </c>
      <c r="O1501">
        <v>15</v>
      </c>
    </row>
    <row r="1502" spans="1:15" x14ac:dyDescent="0.25">
      <c r="A1502" s="18" t="s">
        <v>7276</v>
      </c>
      <c r="B1502" s="18" t="s">
        <v>1254</v>
      </c>
      <c r="C1502" s="18" t="s">
        <v>1255</v>
      </c>
      <c r="D1502" s="18" t="s">
        <v>1250</v>
      </c>
      <c r="E1502" s="18" t="s">
        <v>7149</v>
      </c>
      <c r="F1502" s="2">
        <f>+J1502-I1502</f>
        <v>30</v>
      </c>
      <c r="G1502" s="2">
        <f ca="1">+TODAY()-I1502</f>
        <v>12</v>
      </c>
      <c r="H1502" s="15">
        <v>272593</v>
      </c>
      <c r="I1502" s="1">
        <v>46108</v>
      </c>
      <c r="J1502" s="1">
        <v>46138</v>
      </c>
      <c r="K1502" s="18" t="s">
        <v>1243</v>
      </c>
      <c r="L1502" s="18" t="s">
        <v>207</v>
      </c>
      <c r="M1502" s="18" t="s">
        <v>19</v>
      </c>
      <c r="N1502" s="18" t="s">
        <v>1256</v>
      </c>
      <c r="O1502">
        <v>15</v>
      </c>
    </row>
    <row r="1503" spans="1:15" x14ac:dyDescent="0.25">
      <c r="A1503" s="18" t="s">
        <v>7276</v>
      </c>
      <c r="B1503" s="18" t="s">
        <v>1254</v>
      </c>
      <c r="C1503" s="18" t="s">
        <v>1255</v>
      </c>
      <c r="D1503" s="18" t="s">
        <v>1250</v>
      </c>
      <c r="E1503" s="18" t="s">
        <v>7150</v>
      </c>
      <c r="F1503" s="2">
        <f>+J1503-I1503</f>
        <v>30</v>
      </c>
      <c r="G1503" s="2">
        <f ca="1">+TODAY()-I1503</f>
        <v>12</v>
      </c>
      <c r="H1503" s="15">
        <v>1097996</v>
      </c>
      <c r="I1503" s="1">
        <v>46108</v>
      </c>
      <c r="J1503" s="1">
        <v>46138</v>
      </c>
      <c r="K1503" s="18" t="s">
        <v>1243</v>
      </c>
      <c r="L1503" s="18" t="s">
        <v>207</v>
      </c>
      <c r="M1503" s="18" t="s">
        <v>19</v>
      </c>
      <c r="N1503" s="18" t="s">
        <v>1256</v>
      </c>
      <c r="O1503">
        <v>15</v>
      </c>
    </row>
    <row r="1504" spans="1:15" x14ac:dyDescent="0.25">
      <c r="A1504" s="18" t="s">
        <v>7276</v>
      </c>
      <c r="B1504" s="18" t="s">
        <v>1254</v>
      </c>
      <c r="C1504" s="18" t="s">
        <v>1255</v>
      </c>
      <c r="D1504" s="18" t="s">
        <v>1250</v>
      </c>
      <c r="E1504" s="18" t="s">
        <v>7151</v>
      </c>
      <c r="F1504" s="2">
        <f>+J1504-I1504</f>
        <v>30</v>
      </c>
      <c r="G1504" s="2">
        <f ca="1">+TODAY()-I1504</f>
        <v>12</v>
      </c>
      <c r="H1504" s="15">
        <v>786012</v>
      </c>
      <c r="I1504" s="1">
        <v>46108</v>
      </c>
      <c r="J1504" s="1">
        <v>46138</v>
      </c>
      <c r="K1504" s="18" t="s">
        <v>1243</v>
      </c>
      <c r="L1504" s="18" t="s">
        <v>207</v>
      </c>
      <c r="M1504" s="18" t="s">
        <v>19</v>
      </c>
      <c r="N1504" s="18" t="s">
        <v>1256</v>
      </c>
      <c r="O1504">
        <v>15</v>
      </c>
    </row>
    <row r="1505" spans="1:15" x14ac:dyDescent="0.25">
      <c r="A1505" s="18" t="s">
        <v>7276</v>
      </c>
      <c r="B1505" s="18" t="s">
        <v>2730</v>
      </c>
      <c r="C1505" s="18" t="s">
        <v>2731</v>
      </c>
      <c r="D1505" s="18" t="s">
        <v>46</v>
      </c>
      <c r="E1505" s="18" t="s">
        <v>5084</v>
      </c>
      <c r="F1505" s="2">
        <f>+J1505-I1505</f>
        <v>1</v>
      </c>
      <c r="G1505" s="2">
        <f ca="1">+TODAY()-I1505</f>
        <v>54</v>
      </c>
      <c r="H1505" s="15">
        <v>128400</v>
      </c>
      <c r="I1505" s="1">
        <v>46066</v>
      </c>
      <c r="J1505" s="1">
        <v>46067</v>
      </c>
      <c r="K1505" s="18" t="s">
        <v>17</v>
      </c>
      <c r="L1505" s="18" t="s">
        <v>317</v>
      </c>
      <c r="M1505" s="18" t="s">
        <v>19</v>
      </c>
      <c r="N1505" s="18" t="s">
        <v>2732</v>
      </c>
      <c r="O1505">
        <v>1</v>
      </c>
    </row>
    <row r="1506" spans="1:15" x14ac:dyDescent="0.25">
      <c r="A1506" s="18" t="s">
        <v>7276</v>
      </c>
      <c r="B1506" s="18" t="s">
        <v>1522</v>
      </c>
      <c r="C1506" s="18" t="s">
        <v>1523</v>
      </c>
      <c r="D1506" s="18" t="s">
        <v>1514</v>
      </c>
      <c r="E1506" s="18" t="s">
        <v>5039</v>
      </c>
      <c r="F1506" s="2">
        <f>+J1506-I1506</f>
        <v>30</v>
      </c>
      <c r="G1506" s="2">
        <f ca="1">+TODAY()-I1506</f>
        <v>61</v>
      </c>
      <c r="H1506" s="15">
        <v>1483612</v>
      </c>
      <c r="I1506" s="1">
        <v>46059</v>
      </c>
      <c r="J1506" s="1">
        <v>46089</v>
      </c>
      <c r="K1506" s="18" t="s">
        <v>1515</v>
      </c>
      <c r="L1506" s="18" t="s">
        <v>984</v>
      </c>
      <c r="M1506" s="18" t="s">
        <v>19</v>
      </c>
      <c r="N1506" s="18" t="s">
        <v>1524</v>
      </c>
      <c r="O1506">
        <v>30</v>
      </c>
    </row>
    <row r="1507" spans="1:15" x14ac:dyDescent="0.25">
      <c r="A1507" s="18" t="s">
        <v>7276</v>
      </c>
      <c r="B1507" s="18" t="s">
        <v>1522</v>
      </c>
      <c r="C1507" s="18" t="s">
        <v>1523</v>
      </c>
      <c r="D1507" s="18" t="s">
        <v>1514</v>
      </c>
      <c r="E1507" s="18" t="s">
        <v>5483</v>
      </c>
      <c r="F1507" s="2">
        <f>+J1507-I1507</f>
        <v>30</v>
      </c>
      <c r="G1507" s="2">
        <f ca="1">+TODAY()-I1507</f>
        <v>35</v>
      </c>
      <c r="H1507" s="15">
        <v>372944</v>
      </c>
      <c r="I1507" s="1">
        <v>46085</v>
      </c>
      <c r="J1507" s="1">
        <v>46115</v>
      </c>
      <c r="K1507" s="18" t="s">
        <v>1515</v>
      </c>
      <c r="L1507" s="18" t="s">
        <v>984</v>
      </c>
      <c r="M1507" s="18" t="s">
        <v>19</v>
      </c>
      <c r="N1507" s="18" t="s">
        <v>1524</v>
      </c>
      <c r="O1507">
        <v>30</v>
      </c>
    </row>
    <row r="1508" spans="1:15" x14ac:dyDescent="0.25">
      <c r="A1508" s="18" t="s">
        <v>7276</v>
      </c>
      <c r="B1508" s="18" t="s">
        <v>1522</v>
      </c>
      <c r="C1508" s="18" t="s">
        <v>1523</v>
      </c>
      <c r="D1508" s="18" t="s">
        <v>1514</v>
      </c>
      <c r="E1508" s="18" t="s">
        <v>5484</v>
      </c>
      <c r="F1508" s="2">
        <f>+J1508-I1508</f>
        <v>30</v>
      </c>
      <c r="G1508" s="2">
        <f ca="1">+TODAY()-I1508</f>
        <v>35</v>
      </c>
      <c r="H1508" s="15">
        <v>2412539</v>
      </c>
      <c r="I1508" s="1">
        <v>46085</v>
      </c>
      <c r="J1508" s="1">
        <v>46115</v>
      </c>
      <c r="K1508" s="18" t="s">
        <v>1515</v>
      </c>
      <c r="L1508" s="18" t="s">
        <v>984</v>
      </c>
      <c r="M1508" s="18" t="s">
        <v>19</v>
      </c>
      <c r="N1508" s="18" t="s">
        <v>1524</v>
      </c>
      <c r="O1508">
        <v>30</v>
      </c>
    </row>
    <row r="1509" spans="1:15" x14ac:dyDescent="0.25">
      <c r="A1509" s="18" t="s">
        <v>7276</v>
      </c>
      <c r="B1509" s="18" t="s">
        <v>1522</v>
      </c>
      <c r="C1509" s="18" t="s">
        <v>1523</v>
      </c>
      <c r="D1509" s="18" t="s">
        <v>1514</v>
      </c>
      <c r="E1509" s="18" t="s">
        <v>5486</v>
      </c>
      <c r="F1509" s="2">
        <f>+J1509-I1509</f>
        <v>30</v>
      </c>
      <c r="G1509" s="2">
        <f ca="1">+TODAY()-I1509</f>
        <v>35</v>
      </c>
      <c r="H1509" s="15">
        <v>75008</v>
      </c>
      <c r="I1509" s="1">
        <v>46085</v>
      </c>
      <c r="J1509" s="1">
        <v>46115</v>
      </c>
      <c r="K1509" s="18" t="s">
        <v>1515</v>
      </c>
      <c r="L1509" s="18" t="s">
        <v>984</v>
      </c>
      <c r="M1509" s="18" t="s">
        <v>19</v>
      </c>
      <c r="N1509" s="18" t="s">
        <v>1524</v>
      </c>
      <c r="O1509">
        <v>30</v>
      </c>
    </row>
    <row r="1510" spans="1:15" x14ac:dyDescent="0.25">
      <c r="A1510" s="18" t="s">
        <v>7276</v>
      </c>
      <c r="B1510" s="18" t="s">
        <v>1522</v>
      </c>
      <c r="C1510" s="18" t="s">
        <v>1523</v>
      </c>
      <c r="D1510" s="18" t="s">
        <v>1514</v>
      </c>
      <c r="E1510" s="18" t="s">
        <v>7218</v>
      </c>
      <c r="F1510" s="2">
        <f>+J1510-I1510</f>
        <v>30</v>
      </c>
      <c r="G1510" s="2">
        <f ca="1">+TODAY()-I1510</f>
        <v>8</v>
      </c>
      <c r="H1510" s="15">
        <v>1350855</v>
      </c>
      <c r="I1510" s="1">
        <v>46112</v>
      </c>
      <c r="J1510" s="1">
        <v>46142</v>
      </c>
      <c r="K1510" s="18" t="s">
        <v>1515</v>
      </c>
      <c r="L1510" s="18" t="s">
        <v>984</v>
      </c>
      <c r="M1510" s="18" t="s">
        <v>19</v>
      </c>
      <c r="N1510" s="18" t="s">
        <v>1524</v>
      </c>
      <c r="O1510">
        <v>30</v>
      </c>
    </row>
    <row r="1511" spans="1:15" x14ac:dyDescent="0.25">
      <c r="A1511" s="18" t="s">
        <v>7276</v>
      </c>
      <c r="B1511" s="18" t="s">
        <v>1522</v>
      </c>
      <c r="C1511" s="18" t="s">
        <v>1523</v>
      </c>
      <c r="D1511" s="18" t="s">
        <v>1514</v>
      </c>
      <c r="E1511" s="18" t="s">
        <v>7222</v>
      </c>
      <c r="F1511" s="2">
        <f>+J1511-I1511</f>
        <v>30</v>
      </c>
      <c r="G1511" s="2">
        <f ca="1">+TODAY()-I1511</f>
        <v>8</v>
      </c>
      <c r="H1511" s="15">
        <v>40900</v>
      </c>
      <c r="I1511" s="1">
        <v>46112</v>
      </c>
      <c r="J1511" s="1">
        <v>46142</v>
      </c>
      <c r="K1511" s="18" t="s">
        <v>1515</v>
      </c>
      <c r="L1511" s="18" t="s">
        <v>984</v>
      </c>
      <c r="M1511" s="18" t="s">
        <v>19</v>
      </c>
      <c r="N1511" s="18" t="s">
        <v>1524</v>
      </c>
      <c r="O1511">
        <v>30</v>
      </c>
    </row>
    <row r="1512" spans="1:15" x14ac:dyDescent="0.25">
      <c r="A1512" s="18" t="s">
        <v>7276</v>
      </c>
      <c r="B1512" s="18" t="s">
        <v>6476</v>
      </c>
      <c r="C1512" s="18" t="s">
        <v>6477</v>
      </c>
      <c r="D1512" s="18" t="s">
        <v>916</v>
      </c>
      <c r="E1512" s="18" t="s">
        <v>7489</v>
      </c>
      <c r="F1512" s="2">
        <f>+J1512-I1512</f>
        <v>1</v>
      </c>
      <c r="G1512" s="2">
        <f ca="1">+TODAY()-I1512</f>
        <v>2</v>
      </c>
      <c r="H1512" s="15">
        <v>110354</v>
      </c>
      <c r="I1512" s="1">
        <v>46118</v>
      </c>
      <c r="J1512" s="1">
        <v>46119</v>
      </c>
      <c r="K1512" s="18" t="s">
        <v>918</v>
      </c>
      <c r="L1512" s="18" t="s">
        <v>312</v>
      </c>
      <c r="M1512" s="18" t="s">
        <v>19</v>
      </c>
      <c r="N1512" s="18" t="s">
        <v>6478</v>
      </c>
      <c r="O1512">
        <v>1</v>
      </c>
    </row>
    <row r="1513" spans="1:15" x14ac:dyDescent="0.25">
      <c r="A1513" s="18" t="s">
        <v>7276</v>
      </c>
      <c r="B1513" s="18" t="s">
        <v>1566</v>
      </c>
      <c r="C1513" s="18" t="s">
        <v>1567</v>
      </c>
      <c r="D1513" s="18" t="s">
        <v>1563</v>
      </c>
      <c r="E1513" s="18" t="s">
        <v>2030</v>
      </c>
      <c r="F1513" s="2">
        <f>+J1513-I1513</f>
        <v>30</v>
      </c>
      <c r="G1513" s="2">
        <f ca="1">+TODAY()-I1513</f>
        <v>190</v>
      </c>
      <c r="H1513" s="15">
        <v>-2</v>
      </c>
      <c r="I1513" s="1">
        <v>45930</v>
      </c>
      <c r="J1513" s="1">
        <v>45960</v>
      </c>
      <c r="K1513" s="18" t="s">
        <v>1564</v>
      </c>
      <c r="L1513" s="18" t="s">
        <v>984</v>
      </c>
      <c r="M1513" s="18" t="s">
        <v>19</v>
      </c>
      <c r="N1513" s="18" t="s">
        <v>1568</v>
      </c>
      <c r="O1513">
        <v>30</v>
      </c>
    </row>
    <row r="1514" spans="1:15" x14ac:dyDescent="0.25">
      <c r="A1514" s="18" t="s">
        <v>7276</v>
      </c>
      <c r="B1514" s="18" t="s">
        <v>1566</v>
      </c>
      <c r="C1514" s="18" t="s">
        <v>1567</v>
      </c>
      <c r="D1514" s="18" t="s">
        <v>1563</v>
      </c>
      <c r="E1514" s="18" t="s">
        <v>5146</v>
      </c>
      <c r="F1514" s="2">
        <f>+J1514-I1514</f>
        <v>30</v>
      </c>
      <c r="G1514" s="2">
        <f ca="1">+TODAY()-I1514</f>
        <v>49</v>
      </c>
      <c r="H1514" s="15">
        <v>1189057</v>
      </c>
      <c r="I1514" s="1">
        <v>46071</v>
      </c>
      <c r="J1514" s="1">
        <v>46101</v>
      </c>
      <c r="K1514" s="18" t="s">
        <v>1564</v>
      </c>
      <c r="L1514" s="18" t="s">
        <v>984</v>
      </c>
      <c r="M1514" s="18" t="s">
        <v>19</v>
      </c>
      <c r="N1514" s="18" t="s">
        <v>1568</v>
      </c>
      <c r="O1514">
        <v>30</v>
      </c>
    </row>
    <row r="1515" spans="1:15" x14ac:dyDescent="0.25">
      <c r="A1515" s="18" t="s">
        <v>7276</v>
      </c>
      <c r="B1515" s="18" t="s">
        <v>1566</v>
      </c>
      <c r="C1515" s="18" t="s">
        <v>1567</v>
      </c>
      <c r="D1515" s="18" t="s">
        <v>1563</v>
      </c>
      <c r="E1515" s="18" t="s">
        <v>5147</v>
      </c>
      <c r="F1515" s="2">
        <f>+J1515-I1515</f>
        <v>30</v>
      </c>
      <c r="G1515" s="2">
        <f ca="1">+TODAY()-I1515</f>
        <v>49</v>
      </c>
      <c r="H1515" s="15">
        <v>424080</v>
      </c>
      <c r="I1515" s="1">
        <v>46071</v>
      </c>
      <c r="J1515" s="1">
        <v>46101</v>
      </c>
      <c r="K1515" s="18" t="s">
        <v>1564</v>
      </c>
      <c r="L1515" s="18" t="s">
        <v>984</v>
      </c>
      <c r="M1515" s="18" t="s">
        <v>19</v>
      </c>
      <c r="N1515" s="18" t="s">
        <v>1568</v>
      </c>
      <c r="O1515">
        <v>30</v>
      </c>
    </row>
    <row r="1516" spans="1:15" x14ac:dyDescent="0.25">
      <c r="A1516" s="18" t="s">
        <v>7276</v>
      </c>
      <c r="B1516" s="18" t="s">
        <v>1566</v>
      </c>
      <c r="C1516" s="18" t="s">
        <v>1567</v>
      </c>
      <c r="D1516" s="18" t="s">
        <v>1563</v>
      </c>
      <c r="E1516" s="18" t="s">
        <v>5492</v>
      </c>
      <c r="F1516" s="2">
        <f>+J1516-I1516</f>
        <v>30</v>
      </c>
      <c r="G1516" s="2">
        <f ca="1">+TODAY()-I1516</f>
        <v>35</v>
      </c>
      <c r="H1516" s="15">
        <v>2033013</v>
      </c>
      <c r="I1516" s="1">
        <v>46085</v>
      </c>
      <c r="J1516" s="1">
        <v>46115</v>
      </c>
      <c r="K1516" s="18" t="s">
        <v>1564</v>
      </c>
      <c r="L1516" s="18" t="s">
        <v>984</v>
      </c>
      <c r="M1516" s="18" t="s">
        <v>19</v>
      </c>
      <c r="N1516" s="18" t="s">
        <v>1568</v>
      </c>
      <c r="O1516">
        <v>30</v>
      </c>
    </row>
    <row r="1517" spans="1:15" x14ac:dyDescent="0.25">
      <c r="A1517" s="18" t="s">
        <v>7276</v>
      </c>
      <c r="B1517" s="18" t="s">
        <v>1566</v>
      </c>
      <c r="C1517" s="18" t="s">
        <v>1567</v>
      </c>
      <c r="D1517" s="18" t="s">
        <v>1563</v>
      </c>
      <c r="E1517" s="18" t="s">
        <v>5493</v>
      </c>
      <c r="F1517" s="2">
        <f>+J1517-I1517</f>
        <v>30</v>
      </c>
      <c r="G1517" s="2">
        <f ca="1">+TODAY()-I1517</f>
        <v>35</v>
      </c>
      <c r="H1517" s="15">
        <v>508800</v>
      </c>
      <c r="I1517" s="1">
        <v>46085</v>
      </c>
      <c r="J1517" s="1">
        <v>46115</v>
      </c>
      <c r="K1517" s="18" t="s">
        <v>1564</v>
      </c>
      <c r="L1517" s="18" t="s">
        <v>984</v>
      </c>
      <c r="M1517" s="18" t="s">
        <v>19</v>
      </c>
      <c r="N1517" s="18" t="s">
        <v>1568</v>
      </c>
      <c r="O1517">
        <v>30</v>
      </c>
    </row>
    <row r="1518" spans="1:15" x14ac:dyDescent="0.25">
      <c r="A1518" s="18" t="s">
        <v>7276</v>
      </c>
      <c r="B1518" s="18" t="s">
        <v>1566</v>
      </c>
      <c r="C1518" s="18" t="s">
        <v>1567</v>
      </c>
      <c r="D1518" s="18" t="s">
        <v>1563</v>
      </c>
      <c r="E1518" s="18" t="s">
        <v>6084</v>
      </c>
      <c r="F1518" s="2">
        <f>+J1518-I1518</f>
        <v>30</v>
      </c>
      <c r="G1518" s="2">
        <f ca="1">+TODAY()-I1518</f>
        <v>22</v>
      </c>
      <c r="H1518" s="15">
        <v>779728</v>
      </c>
      <c r="I1518" s="1">
        <v>46098</v>
      </c>
      <c r="J1518" s="1">
        <v>46128</v>
      </c>
      <c r="K1518" s="18" t="s">
        <v>1564</v>
      </c>
      <c r="L1518" s="18" t="s">
        <v>984</v>
      </c>
      <c r="M1518" s="18" t="s">
        <v>19</v>
      </c>
      <c r="N1518" s="18" t="s">
        <v>1568</v>
      </c>
      <c r="O1518">
        <v>30</v>
      </c>
    </row>
    <row r="1519" spans="1:15" x14ac:dyDescent="0.25">
      <c r="A1519" s="18" t="s">
        <v>7276</v>
      </c>
      <c r="B1519" s="18" t="s">
        <v>127</v>
      </c>
      <c r="C1519" s="18" t="s">
        <v>128</v>
      </c>
      <c r="D1519" s="18" t="s">
        <v>15</v>
      </c>
      <c r="E1519" s="18" t="s">
        <v>6392</v>
      </c>
      <c r="F1519" s="2">
        <f>+J1519-I1519</f>
        <v>30</v>
      </c>
      <c r="G1519" s="2">
        <f ca="1">+TODAY()-I1519</f>
        <v>15</v>
      </c>
      <c r="H1519" s="15">
        <v>797916</v>
      </c>
      <c r="I1519" s="1">
        <v>46105</v>
      </c>
      <c r="J1519" s="1">
        <v>46135</v>
      </c>
      <c r="K1519" s="18" t="s">
        <v>17</v>
      </c>
      <c r="L1519" s="18" t="s">
        <v>32</v>
      </c>
      <c r="M1519" s="18" t="s">
        <v>19</v>
      </c>
      <c r="N1519" s="18" t="s">
        <v>129</v>
      </c>
      <c r="O1519">
        <v>30</v>
      </c>
    </row>
    <row r="1520" spans="1:15" x14ac:dyDescent="0.25">
      <c r="A1520" s="18" t="s">
        <v>7276</v>
      </c>
      <c r="B1520" s="18" t="s">
        <v>127</v>
      </c>
      <c r="C1520" s="18" t="s">
        <v>128</v>
      </c>
      <c r="D1520" s="18" t="s">
        <v>15</v>
      </c>
      <c r="E1520" s="18" t="s">
        <v>6429</v>
      </c>
      <c r="F1520" s="2">
        <f>+J1520-I1520</f>
        <v>30</v>
      </c>
      <c r="G1520" s="2">
        <f ca="1">+TODAY()-I1520</f>
        <v>12</v>
      </c>
      <c r="H1520" s="15">
        <v>260003</v>
      </c>
      <c r="I1520" s="1">
        <v>46108</v>
      </c>
      <c r="J1520" s="1">
        <v>46138</v>
      </c>
      <c r="K1520" s="18" t="s">
        <v>17</v>
      </c>
      <c r="L1520" s="18" t="s">
        <v>32</v>
      </c>
      <c r="M1520" s="18" t="s">
        <v>19</v>
      </c>
      <c r="N1520" s="18" t="s">
        <v>129</v>
      </c>
      <c r="O1520">
        <v>30</v>
      </c>
    </row>
    <row r="1521" spans="1:15" x14ac:dyDescent="0.25">
      <c r="A1521" s="18" t="s">
        <v>7276</v>
      </c>
      <c r="B1521" s="18" t="s">
        <v>127</v>
      </c>
      <c r="C1521" s="18" t="s">
        <v>128</v>
      </c>
      <c r="D1521" s="18" t="s">
        <v>15</v>
      </c>
      <c r="E1521" s="18" t="s">
        <v>7637</v>
      </c>
      <c r="F1521" s="2">
        <f>+J1521-I1521</f>
        <v>30</v>
      </c>
      <c r="G1521" s="2">
        <f ca="1">+TODAY()-I1521</f>
        <v>1</v>
      </c>
      <c r="H1521" s="15">
        <v>179985</v>
      </c>
      <c r="I1521" s="1">
        <v>46119</v>
      </c>
      <c r="J1521" s="1">
        <v>46149</v>
      </c>
      <c r="K1521" s="18" t="s">
        <v>17</v>
      </c>
      <c r="L1521" s="18" t="s">
        <v>32</v>
      </c>
      <c r="M1521" s="18" t="s">
        <v>19</v>
      </c>
      <c r="N1521" s="18" t="s">
        <v>129</v>
      </c>
      <c r="O1521">
        <v>30</v>
      </c>
    </row>
    <row r="1522" spans="1:15" x14ac:dyDescent="0.25">
      <c r="A1522" s="18" t="s">
        <v>7276</v>
      </c>
      <c r="B1522" s="18" t="s">
        <v>127</v>
      </c>
      <c r="C1522" s="18" t="s">
        <v>128</v>
      </c>
      <c r="D1522" s="18" t="s">
        <v>15</v>
      </c>
      <c r="E1522" s="18" t="s">
        <v>7644</v>
      </c>
      <c r="F1522" s="2">
        <f>+J1522-I1522</f>
        <v>30</v>
      </c>
      <c r="G1522" s="2">
        <f ca="1">+TODAY()-I1522</f>
        <v>1</v>
      </c>
      <c r="H1522" s="15">
        <v>287891</v>
      </c>
      <c r="I1522" s="1">
        <v>46119</v>
      </c>
      <c r="J1522" s="1">
        <v>46149</v>
      </c>
      <c r="K1522" s="18" t="s">
        <v>17</v>
      </c>
      <c r="L1522" s="18" t="s">
        <v>32</v>
      </c>
      <c r="M1522" s="18" t="s">
        <v>19</v>
      </c>
      <c r="N1522" s="18" t="s">
        <v>129</v>
      </c>
      <c r="O1522">
        <v>30</v>
      </c>
    </row>
    <row r="1523" spans="1:15" x14ac:dyDescent="0.25">
      <c r="A1523" s="18" t="s">
        <v>7276</v>
      </c>
      <c r="B1523" s="18" t="s">
        <v>127</v>
      </c>
      <c r="C1523" s="18" t="s">
        <v>128</v>
      </c>
      <c r="D1523" s="18" t="s">
        <v>15</v>
      </c>
      <c r="E1523" s="18" t="s">
        <v>7411</v>
      </c>
      <c r="F1523" s="2">
        <f>+J1523-I1523</f>
        <v>30</v>
      </c>
      <c r="G1523" s="2">
        <f ca="1">+TODAY()-I1523</f>
        <v>2</v>
      </c>
      <c r="H1523" s="15">
        <v>163800</v>
      </c>
      <c r="I1523" s="1">
        <v>46118</v>
      </c>
      <c r="J1523" s="1">
        <v>46148</v>
      </c>
      <c r="K1523" s="18" t="s">
        <v>17</v>
      </c>
      <c r="L1523" s="18" t="s">
        <v>32</v>
      </c>
      <c r="M1523" s="18" t="s">
        <v>19</v>
      </c>
      <c r="N1523" s="18" t="s">
        <v>129</v>
      </c>
      <c r="O1523">
        <v>30</v>
      </c>
    </row>
    <row r="1524" spans="1:15" x14ac:dyDescent="0.25">
      <c r="A1524" s="18" t="s">
        <v>7276</v>
      </c>
      <c r="B1524" s="18" t="s">
        <v>7104</v>
      </c>
      <c r="C1524" s="18" t="s">
        <v>7105</v>
      </c>
      <c r="D1524" s="18" t="s">
        <v>1209</v>
      </c>
      <c r="E1524" s="18" t="s">
        <v>7106</v>
      </c>
      <c r="F1524" s="2">
        <f>+J1524-I1524</f>
        <v>1</v>
      </c>
      <c r="G1524" s="2">
        <f ca="1">+TODAY()-I1524</f>
        <v>8</v>
      </c>
      <c r="H1524" s="15">
        <v>104149</v>
      </c>
      <c r="I1524" s="1">
        <v>46112</v>
      </c>
      <c r="J1524" s="1">
        <v>46113</v>
      </c>
      <c r="K1524" s="18" t="s">
        <v>1202</v>
      </c>
      <c r="L1524" s="18" t="s">
        <v>321</v>
      </c>
      <c r="M1524" s="18" t="s">
        <v>19</v>
      </c>
      <c r="N1524" s="18" t="s">
        <v>7107</v>
      </c>
      <c r="O1524">
        <v>1</v>
      </c>
    </row>
    <row r="1525" spans="1:15" x14ac:dyDescent="0.25">
      <c r="A1525" s="18" t="s">
        <v>7276</v>
      </c>
      <c r="B1525" s="18" t="s">
        <v>1421</v>
      </c>
      <c r="C1525" s="18" t="s">
        <v>1422</v>
      </c>
      <c r="D1525" s="18" t="s">
        <v>1401</v>
      </c>
      <c r="E1525" s="18" t="s">
        <v>6319</v>
      </c>
      <c r="F1525" s="2">
        <f>+J1525-I1525</f>
        <v>30</v>
      </c>
      <c r="G1525" s="2">
        <f ca="1">+TODAY()-I1525</f>
        <v>20</v>
      </c>
      <c r="H1525" s="15">
        <v>1634670</v>
      </c>
      <c r="I1525" s="1">
        <v>46100</v>
      </c>
      <c r="J1525" s="1">
        <v>46130</v>
      </c>
      <c r="K1525" s="18" t="s">
        <v>1403</v>
      </c>
      <c r="L1525" s="18" t="s">
        <v>90</v>
      </c>
      <c r="M1525" s="18" t="s">
        <v>19</v>
      </c>
      <c r="N1525" s="18" t="s">
        <v>1423</v>
      </c>
      <c r="O1525">
        <v>30</v>
      </c>
    </row>
    <row r="1526" spans="1:15" x14ac:dyDescent="0.25">
      <c r="A1526" s="18" t="s">
        <v>7276</v>
      </c>
      <c r="B1526" s="18" t="s">
        <v>1357</v>
      </c>
      <c r="C1526" s="18" t="s">
        <v>1358</v>
      </c>
      <c r="D1526" s="18" t="s">
        <v>1359</v>
      </c>
      <c r="E1526" s="18" t="s">
        <v>5481</v>
      </c>
      <c r="F1526" s="2">
        <f>+J1526-I1526</f>
        <v>30</v>
      </c>
      <c r="G1526" s="2">
        <f ca="1">+TODAY()-I1526</f>
        <v>36</v>
      </c>
      <c r="H1526" s="15">
        <v>704458</v>
      </c>
      <c r="I1526" s="1">
        <v>46084</v>
      </c>
      <c r="J1526" s="1">
        <v>46114</v>
      </c>
      <c r="K1526" s="18" t="s">
        <v>1325</v>
      </c>
      <c r="L1526" s="18" t="s">
        <v>90</v>
      </c>
      <c r="M1526" s="18" t="s">
        <v>19</v>
      </c>
      <c r="N1526" s="18" t="s">
        <v>1360</v>
      </c>
      <c r="O1526">
        <v>30</v>
      </c>
    </row>
    <row r="1527" spans="1:15" x14ac:dyDescent="0.25">
      <c r="A1527" s="18" t="s">
        <v>7276</v>
      </c>
      <c r="B1527" s="18" t="s">
        <v>1357</v>
      </c>
      <c r="C1527" s="18" t="s">
        <v>1358</v>
      </c>
      <c r="D1527" s="18" t="s">
        <v>1359</v>
      </c>
      <c r="E1527" s="18" t="s">
        <v>6046</v>
      </c>
      <c r="F1527" s="2">
        <f>+J1527-I1527</f>
        <v>30</v>
      </c>
      <c r="G1527" s="2">
        <f ca="1">+TODAY()-I1527</f>
        <v>26</v>
      </c>
      <c r="H1527" s="15">
        <v>1757427</v>
      </c>
      <c r="I1527" s="1">
        <v>46094</v>
      </c>
      <c r="J1527" s="1">
        <v>46124</v>
      </c>
      <c r="K1527" s="18" t="s">
        <v>1325</v>
      </c>
      <c r="L1527" s="18" t="s">
        <v>90</v>
      </c>
      <c r="M1527" s="18" t="s">
        <v>19</v>
      </c>
      <c r="N1527" s="18" t="s">
        <v>1360</v>
      </c>
      <c r="O1527">
        <v>30</v>
      </c>
    </row>
    <row r="1528" spans="1:15" x14ac:dyDescent="0.25">
      <c r="A1528" s="18" t="s">
        <v>7276</v>
      </c>
      <c r="B1528" s="18" t="s">
        <v>1357</v>
      </c>
      <c r="C1528" s="18" t="s">
        <v>1358</v>
      </c>
      <c r="D1528" s="18" t="s">
        <v>1359</v>
      </c>
      <c r="E1528" s="18" t="s">
        <v>6051</v>
      </c>
      <c r="F1528" s="2">
        <f>+J1528-I1528</f>
        <v>30</v>
      </c>
      <c r="G1528" s="2">
        <f ca="1">+TODAY()-I1528</f>
        <v>26</v>
      </c>
      <c r="H1528" s="15">
        <v>573000</v>
      </c>
      <c r="I1528" s="1">
        <v>46094</v>
      </c>
      <c r="J1528" s="1">
        <v>46124</v>
      </c>
      <c r="K1528" s="18" t="s">
        <v>1325</v>
      </c>
      <c r="L1528" s="18" t="s">
        <v>90</v>
      </c>
      <c r="M1528" s="18" t="s">
        <v>19</v>
      </c>
      <c r="N1528" s="18" t="s">
        <v>1360</v>
      </c>
      <c r="O1528">
        <v>30</v>
      </c>
    </row>
    <row r="1529" spans="1:15" x14ac:dyDescent="0.25">
      <c r="A1529" s="18" t="s">
        <v>7276</v>
      </c>
      <c r="B1529" s="18" t="s">
        <v>1357</v>
      </c>
      <c r="C1529" s="18" t="s">
        <v>1358</v>
      </c>
      <c r="D1529" s="18" t="s">
        <v>1359</v>
      </c>
      <c r="E1529" s="18" t="s">
        <v>6579</v>
      </c>
      <c r="F1529" s="2">
        <f>+J1529-I1529</f>
        <v>30</v>
      </c>
      <c r="G1529" s="2">
        <f ca="1">+TODAY()-I1529</f>
        <v>13</v>
      </c>
      <c r="H1529" s="15">
        <v>2408432</v>
      </c>
      <c r="I1529" s="1">
        <v>46107</v>
      </c>
      <c r="J1529" s="1">
        <v>46137</v>
      </c>
      <c r="K1529" s="18" t="s">
        <v>1325</v>
      </c>
      <c r="L1529" s="18" t="s">
        <v>90</v>
      </c>
      <c r="M1529" s="18" t="s">
        <v>19</v>
      </c>
      <c r="N1529" s="18" t="s">
        <v>1360</v>
      </c>
      <c r="O1529">
        <v>30</v>
      </c>
    </row>
    <row r="1530" spans="1:15" x14ac:dyDescent="0.25">
      <c r="A1530" s="18" t="s">
        <v>7276</v>
      </c>
      <c r="B1530" s="18" t="s">
        <v>1357</v>
      </c>
      <c r="C1530" s="18" t="s">
        <v>1358</v>
      </c>
      <c r="D1530" s="18" t="s">
        <v>1359</v>
      </c>
      <c r="E1530" s="18" t="s">
        <v>6580</v>
      </c>
      <c r="F1530" s="2">
        <f>+J1530-I1530</f>
        <v>30</v>
      </c>
      <c r="G1530" s="2">
        <f ca="1">+TODAY()-I1530</f>
        <v>13</v>
      </c>
      <c r="H1530" s="15">
        <v>2924085</v>
      </c>
      <c r="I1530" s="1">
        <v>46107</v>
      </c>
      <c r="J1530" s="1">
        <v>46137</v>
      </c>
      <c r="K1530" s="18" t="s">
        <v>1325</v>
      </c>
      <c r="L1530" s="18" t="s">
        <v>90</v>
      </c>
      <c r="M1530" s="18" t="s">
        <v>19</v>
      </c>
      <c r="N1530" s="18" t="s">
        <v>1360</v>
      </c>
      <c r="O1530">
        <v>30</v>
      </c>
    </row>
    <row r="1531" spans="1:15" x14ac:dyDescent="0.25">
      <c r="A1531" s="18" t="s">
        <v>7276</v>
      </c>
      <c r="B1531" s="18" t="s">
        <v>1357</v>
      </c>
      <c r="C1531" s="18" t="s">
        <v>1358</v>
      </c>
      <c r="D1531" s="18" t="s">
        <v>1359</v>
      </c>
      <c r="E1531" s="18" t="s">
        <v>7843</v>
      </c>
      <c r="F1531" s="2">
        <f>+J1531-I1531</f>
        <v>30</v>
      </c>
      <c r="G1531" s="2">
        <f ca="1">+TODAY()-I1531</f>
        <v>0</v>
      </c>
      <c r="H1531" s="15">
        <v>622000</v>
      </c>
      <c r="I1531" s="1">
        <v>46120</v>
      </c>
      <c r="J1531" s="1">
        <v>46150</v>
      </c>
      <c r="K1531" s="18" t="s">
        <v>1325</v>
      </c>
      <c r="L1531" s="18" t="s">
        <v>90</v>
      </c>
      <c r="M1531" s="18" t="s">
        <v>19</v>
      </c>
      <c r="N1531" s="18" t="s">
        <v>1360</v>
      </c>
      <c r="O1531">
        <v>30</v>
      </c>
    </row>
    <row r="1532" spans="1:15" x14ac:dyDescent="0.25">
      <c r="A1532" s="18" t="s">
        <v>7276</v>
      </c>
      <c r="B1532" s="18" t="s">
        <v>7334</v>
      </c>
      <c r="C1532" s="18" t="s">
        <v>7335</v>
      </c>
      <c r="D1532" s="18" t="s">
        <v>15</v>
      </c>
      <c r="E1532" s="18" t="s">
        <v>7336</v>
      </c>
      <c r="F1532" s="2">
        <f>+J1532-I1532</f>
        <v>30</v>
      </c>
      <c r="G1532" s="2">
        <f ca="1">+TODAY()-I1532</f>
        <v>2</v>
      </c>
      <c r="H1532" s="15">
        <v>93500</v>
      </c>
      <c r="I1532" s="1">
        <v>46118</v>
      </c>
      <c r="J1532" s="1">
        <v>46148</v>
      </c>
      <c r="K1532" s="18" t="s">
        <v>17</v>
      </c>
      <c r="L1532" s="18" t="s">
        <v>109</v>
      </c>
      <c r="M1532" s="18" t="s">
        <v>19</v>
      </c>
      <c r="N1532" s="18" t="s">
        <v>7337</v>
      </c>
      <c r="O1532">
        <v>30</v>
      </c>
    </row>
    <row r="1533" spans="1:15" x14ac:dyDescent="0.25">
      <c r="A1533" s="18" t="s">
        <v>7276</v>
      </c>
      <c r="B1533" s="18" t="s">
        <v>364</v>
      </c>
      <c r="C1533" s="18" t="s">
        <v>365</v>
      </c>
      <c r="D1533" s="18" t="s">
        <v>347</v>
      </c>
      <c r="E1533" s="18" t="s">
        <v>5223</v>
      </c>
      <c r="F1533" s="2">
        <f>+J1533-I1533</f>
        <v>30</v>
      </c>
      <c r="G1533" s="2">
        <f ca="1">+TODAY()-I1533</f>
        <v>43</v>
      </c>
      <c r="H1533" s="15">
        <v>1218213</v>
      </c>
      <c r="I1533" s="1">
        <v>46077</v>
      </c>
      <c r="J1533" s="1">
        <v>46107</v>
      </c>
      <c r="K1533" s="18" t="s">
        <v>343</v>
      </c>
      <c r="L1533" s="18" t="s">
        <v>18</v>
      </c>
      <c r="M1533" s="18" t="s">
        <v>19</v>
      </c>
      <c r="N1533" s="18" t="s">
        <v>6203</v>
      </c>
      <c r="O1533">
        <v>30</v>
      </c>
    </row>
    <row r="1534" spans="1:15" x14ac:dyDescent="0.25">
      <c r="A1534" s="18" t="s">
        <v>7276</v>
      </c>
      <c r="B1534" s="18" t="s">
        <v>364</v>
      </c>
      <c r="C1534" s="18" t="s">
        <v>365</v>
      </c>
      <c r="D1534" s="18" t="s">
        <v>347</v>
      </c>
      <c r="E1534" s="18" t="s">
        <v>5224</v>
      </c>
      <c r="F1534" s="2">
        <f>+J1534-I1534</f>
        <v>30</v>
      </c>
      <c r="G1534" s="2">
        <f ca="1">+TODAY()-I1534</f>
        <v>42</v>
      </c>
      <c r="H1534" s="15">
        <v>60100</v>
      </c>
      <c r="I1534" s="1">
        <v>46078</v>
      </c>
      <c r="J1534" s="1">
        <v>46108</v>
      </c>
      <c r="K1534" s="18" t="s">
        <v>343</v>
      </c>
      <c r="L1534" s="18" t="s">
        <v>18</v>
      </c>
      <c r="M1534" s="18" t="s">
        <v>19</v>
      </c>
      <c r="N1534" s="18" t="s">
        <v>6203</v>
      </c>
      <c r="O1534">
        <v>30</v>
      </c>
    </row>
    <row r="1535" spans="1:15" x14ac:dyDescent="0.25">
      <c r="A1535" s="18" t="s">
        <v>7276</v>
      </c>
      <c r="B1535" s="18" t="s">
        <v>364</v>
      </c>
      <c r="C1535" s="18" t="s">
        <v>365</v>
      </c>
      <c r="D1535" s="18" t="s">
        <v>347</v>
      </c>
      <c r="E1535" s="18" t="s">
        <v>5670</v>
      </c>
      <c r="F1535" s="2">
        <f>+J1535-I1535</f>
        <v>30</v>
      </c>
      <c r="G1535" s="2">
        <f ca="1">+TODAY()-I1535</f>
        <v>30</v>
      </c>
      <c r="H1535" s="15">
        <v>1538863</v>
      </c>
      <c r="I1535" s="1">
        <v>46090</v>
      </c>
      <c r="J1535" s="1">
        <v>46120</v>
      </c>
      <c r="K1535" s="18" t="s">
        <v>343</v>
      </c>
      <c r="L1535" s="18" t="s">
        <v>18</v>
      </c>
      <c r="M1535" s="18" t="s">
        <v>19</v>
      </c>
      <c r="N1535" s="18" t="s">
        <v>6203</v>
      </c>
      <c r="O1535">
        <v>30</v>
      </c>
    </row>
    <row r="1536" spans="1:15" x14ac:dyDescent="0.25">
      <c r="A1536" s="18" t="s">
        <v>7276</v>
      </c>
      <c r="B1536" s="18" t="s">
        <v>364</v>
      </c>
      <c r="C1536" s="18" t="s">
        <v>365</v>
      </c>
      <c r="D1536" s="18" t="s">
        <v>347</v>
      </c>
      <c r="E1536" s="18" t="s">
        <v>6464</v>
      </c>
      <c r="F1536" s="2">
        <f>+J1536-I1536</f>
        <v>30</v>
      </c>
      <c r="G1536" s="2">
        <f ca="1">+TODAY()-I1536</f>
        <v>13</v>
      </c>
      <c r="H1536" s="15">
        <v>1563339</v>
      </c>
      <c r="I1536" s="1">
        <v>46107</v>
      </c>
      <c r="J1536" s="1">
        <v>46137</v>
      </c>
      <c r="K1536" s="18" t="s">
        <v>343</v>
      </c>
      <c r="L1536" s="18" t="s">
        <v>18</v>
      </c>
      <c r="M1536" s="18" t="s">
        <v>19</v>
      </c>
      <c r="N1536" s="18" t="s">
        <v>6203</v>
      </c>
      <c r="O1536">
        <v>30</v>
      </c>
    </row>
    <row r="1537" spans="1:15" x14ac:dyDescent="0.25">
      <c r="A1537" s="18" t="s">
        <v>7276</v>
      </c>
      <c r="B1537" s="18" t="s">
        <v>364</v>
      </c>
      <c r="C1537" s="18" t="s">
        <v>365</v>
      </c>
      <c r="D1537" s="18" t="s">
        <v>347</v>
      </c>
      <c r="E1537" s="18" t="s">
        <v>7710</v>
      </c>
      <c r="F1537" s="2">
        <f>+J1537-I1537</f>
        <v>30</v>
      </c>
      <c r="G1537" s="2">
        <f ca="1">+TODAY()-I1537</f>
        <v>1</v>
      </c>
      <c r="H1537" s="15">
        <v>1828721</v>
      </c>
      <c r="I1537" s="1">
        <v>46119</v>
      </c>
      <c r="J1537" s="1">
        <v>46149</v>
      </c>
      <c r="K1537" s="18" t="s">
        <v>343</v>
      </c>
      <c r="L1537" s="18" t="s">
        <v>18</v>
      </c>
      <c r="M1537" s="18" t="s">
        <v>19</v>
      </c>
      <c r="N1537" s="18" t="s">
        <v>6203</v>
      </c>
      <c r="O1537">
        <v>30</v>
      </c>
    </row>
    <row r="1538" spans="1:15" x14ac:dyDescent="0.25">
      <c r="A1538" s="18" t="s">
        <v>7276</v>
      </c>
      <c r="B1538" s="18" t="s">
        <v>364</v>
      </c>
      <c r="C1538" s="18" t="s">
        <v>365</v>
      </c>
      <c r="D1538" s="18" t="s">
        <v>347</v>
      </c>
      <c r="E1538" s="18" t="s">
        <v>7711</v>
      </c>
      <c r="F1538" s="2">
        <f>+J1538-I1538</f>
        <v>30</v>
      </c>
      <c r="G1538" s="2">
        <f ca="1">+TODAY()-I1538</f>
        <v>1</v>
      </c>
      <c r="H1538" s="15">
        <v>674936</v>
      </c>
      <c r="I1538" s="1">
        <v>46119</v>
      </c>
      <c r="J1538" s="1">
        <v>46149</v>
      </c>
      <c r="K1538" s="18" t="s">
        <v>343</v>
      </c>
      <c r="L1538" s="18" t="s">
        <v>18</v>
      </c>
      <c r="M1538" s="18" t="s">
        <v>19</v>
      </c>
      <c r="N1538" s="18" t="s">
        <v>6203</v>
      </c>
      <c r="O1538">
        <v>30</v>
      </c>
    </row>
    <row r="1539" spans="1:15" x14ac:dyDescent="0.25">
      <c r="A1539" s="18" t="s">
        <v>7276</v>
      </c>
      <c r="B1539" s="18" t="s">
        <v>1308</v>
      </c>
      <c r="C1539" s="18" t="s">
        <v>1309</v>
      </c>
      <c r="D1539" s="18" t="s">
        <v>1299</v>
      </c>
      <c r="E1539" s="18" t="s">
        <v>6542</v>
      </c>
      <c r="F1539" s="2">
        <f>+J1539-I1539</f>
        <v>30</v>
      </c>
      <c r="G1539" s="2">
        <f ca="1">+TODAY()-I1539</f>
        <v>15</v>
      </c>
      <c r="H1539" s="15">
        <v>1963765</v>
      </c>
      <c r="I1539" s="1">
        <v>46105</v>
      </c>
      <c r="J1539" s="1">
        <v>46135</v>
      </c>
      <c r="K1539" s="18" t="s">
        <v>1300</v>
      </c>
      <c r="L1539" s="18" t="s">
        <v>90</v>
      </c>
      <c r="M1539" s="18" t="s">
        <v>19</v>
      </c>
      <c r="N1539" s="18" t="s">
        <v>1310</v>
      </c>
      <c r="O1539">
        <v>30</v>
      </c>
    </row>
    <row r="1540" spans="1:15" x14ac:dyDescent="0.25">
      <c r="A1540" s="18" t="s">
        <v>7276</v>
      </c>
      <c r="B1540" s="18" t="s">
        <v>1308</v>
      </c>
      <c r="C1540" s="18" t="s">
        <v>1309</v>
      </c>
      <c r="D1540" s="18" t="s">
        <v>1299</v>
      </c>
      <c r="E1540" s="18" t="s">
        <v>6543</v>
      </c>
      <c r="F1540" s="2">
        <f>+J1540-I1540</f>
        <v>30</v>
      </c>
      <c r="G1540" s="2">
        <f ca="1">+TODAY()-I1540</f>
        <v>15</v>
      </c>
      <c r="H1540" s="15">
        <v>1729435</v>
      </c>
      <c r="I1540" s="1">
        <v>46105</v>
      </c>
      <c r="J1540" s="1">
        <v>46135</v>
      </c>
      <c r="K1540" s="18" t="s">
        <v>1300</v>
      </c>
      <c r="L1540" s="18" t="s">
        <v>90</v>
      </c>
      <c r="M1540" s="18" t="s">
        <v>19</v>
      </c>
      <c r="N1540" s="18" t="s">
        <v>1310</v>
      </c>
      <c r="O1540">
        <v>30</v>
      </c>
    </row>
    <row r="1541" spans="1:15" x14ac:dyDescent="0.25">
      <c r="A1541" s="18" t="s">
        <v>7276</v>
      </c>
      <c r="B1541" s="18" t="s">
        <v>1308</v>
      </c>
      <c r="C1541" s="18" t="s">
        <v>1309</v>
      </c>
      <c r="D1541" s="18" t="s">
        <v>1299</v>
      </c>
      <c r="E1541" s="18" t="s">
        <v>6552</v>
      </c>
      <c r="F1541" s="2">
        <f>+J1541-I1541</f>
        <v>27</v>
      </c>
      <c r="G1541" s="2">
        <f ca="1">+TODAY()-I1541</f>
        <v>12</v>
      </c>
      <c r="H1541" s="15">
        <v>54000</v>
      </c>
      <c r="I1541" s="1">
        <v>46108</v>
      </c>
      <c r="J1541" s="1">
        <v>46135</v>
      </c>
      <c r="K1541" s="18" t="s">
        <v>1300</v>
      </c>
      <c r="L1541" s="18" t="s">
        <v>90</v>
      </c>
      <c r="M1541" s="18" t="s">
        <v>19</v>
      </c>
      <c r="N1541" s="18" t="s">
        <v>1310</v>
      </c>
      <c r="O1541">
        <v>30</v>
      </c>
    </row>
    <row r="1542" spans="1:15" x14ac:dyDescent="0.25">
      <c r="A1542" s="18" t="s">
        <v>7276</v>
      </c>
      <c r="B1542" s="18" t="s">
        <v>1308</v>
      </c>
      <c r="C1542" s="18" t="s">
        <v>1309</v>
      </c>
      <c r="D1542" s="18" t="s">
        <v>1299</v>
      </c>
      <c r="E1542" s="18" t="s">
        <v>7804</v>
      </c>
      <c r="F1542" s="2">
        <f>+J1542-I1542</f>
        <v>30</v>
      </c>
      <c r="G1542" s="2">
        <f ca="1">+TODAY()-I1542</f>
        <v>1</v>
      </c>
      <c r="H1542" s="15">
        <v>2157242</v>
      </c>
      <c r="I1542" s="1">
        <v>46119</v>
      </c>
      <c r="J1542" s="1">
        <v>46149</v>
      </c>
      <c r="K1542" s="18" t="s">
        <v>1300</v>
      </c>
      <c r="L1542" s="18" t="s">
        <v>90</v>
      </c>
      <c r="M1542" s="18" t="s">
        <v>19</v>
      </c>
      <c r="N1542" s="18" t="s">
        <v>1310</v>
      </c>
      <c r="O1542">
        <v>30</v>
      </c>
    </row>
    <row r="1543" spans="1:15" x14ac:dyDescent="0.25">
      <c r="A1543" s="18" t="s">
        <v>7276</v>
      </c>
      <c r="B1543" s="18" t="s">
        <v>1308</v>
      </c>
      <c r="C1543" s="18" t="s">
        <v>1309</v>
      </c>
      <c r="D1543" s="18" t="s">
        <v>1299</v>
      </c>
      <c r="E1543" s="18" t="s">
        <v>7805</v>
      </c>
      <c r="F1543" s="2">
        <f>+J1543-I1543</f>
        <v>30</v>
      </c>
      <c r="G1543" s="2">
        <f ca="1">+TODAY()-I1543</f>
        <v>1</v>
      </c>
      <c r="H1543" s="15">
        <v>134761</v>
      </c>
      <c r="I1543" s="1">
        <v>46119</v>
      </c>
      <c r="J1543" s="1">
        <v>46149</v>
      </c>
      <c r="K1543" s="18" t="s">
        <v>1300</v>
      </c>
      <c r="L1543" s="18" t="s">
        <v>90</v>
      </c>
      <c r="M1543" s="18" t="s">
        <v>19</v>
      </c>
      <c r="N1543" s="18" t="s">
        <v>1310</v>
      </c>
      <c r="O1543">
        <v>30</v>
      </c>
    </row>
    <row r="1544" spans="1:15" x14ac:dyDescent="0.25">
      <c r="A1544" s="18" t="s">
        <v>7276</v>
      </c>
      <c r="B1544" s="18" t="s">
        <v>1308</v>
      </c>
      <c r="C1544" s="18" t="s">
        <v>1309</v>
      </c>
      <c r="D1544" s="18" t="s">
        <v>1299</v>
      </c>
      <c r="E1544" s="18" t="s">
        <v>5776</v>
      </c>
      <c r="F1544" s="2">
        <f>+J1544-I1544</f>
        <v>30</v>
      </c>
      <c r="G1544" s="2">
        <f ca="1">+TODAY()-I1544</f>
        <v>29</v>
      </c>
      <c r="H1544" s="15">
        <v>1919699</v>
      </c>
      <c r="I1544" s="1">
        <v>46091</v>
      </c>
      <c r="J1544" s="1">
        <v>46121</v>
      </c>
      <c r="K1544" s="18" t="s">
        <v>1325</v>
      </c>
      <c r="L1544" s="18" t="s">
        <v>90</v>
      </c>
      <c r="M1544" s="18" t="s">
        <v>19</v>
      </c>
      <c r="N1544" s="18" t="s">
        <v>1310</v>
      </c>
      <c r="O1544">
        <v>30</v>
      </c>
    </row>
    <row r="1545" spans="1:15" x14ac:dyDescent="0.25">
      <c r="A1545" s="18" t="s">
        <v>7276</v>
      </c>
      <c r="B1545" s="18" t="s">
        <v>1308</v>
      </c>
      <c r="C1545" s="18" t="s">
        <v>1309</v>
      </c>
      <c r="D1545" s="18" t="s">
        <v>1299</v>
      </c>
      <c r="E1545" s="18" t="s">
        <v>5777</v>
      </c>
      <c r="F1545" s="2">
        <f>+J1545-I1545</f>
        <v>30</v>
      </c>
      <c r="G1545" s="2">
        <f ca="1">+TODAY()-I1545</f>
        <v>29</v>
      </c>
      <c r="H1545" s="15">
        <v>2102058</v>
      </c>
      <c r="I1545" s="1">
        <v>46091</v>
      </c>
      <c r="J1545" s="1">
        <v>46121</v>
      </c>
      <c r="K1545" s="18" t="s">
        <v>1325</v>
      </c>
      <c r="L1545" s="18" t="s">
        <v>90</v>
      </c>
      <c r="M1545" s="18" t="s">
        <v>19</v>
      </c>
      <c r="N1545" s="18" t="s">
        <v>1310</v>
      </c>
      <c r="O1545">
        <v>30</v>
      </c>
    </row>
    <row r="1546" spans="1:15" x14ac:dyDescent="0.25">
      <c r="A1546" s="18" t="s">
        <v>7276</v>
      </c>
      <c r="B1546" s="18" t="s">
        <v>6888</v>
      </c>
      <c r="C1546" s="18" t="s">
        <v>6889</v>
      </c>
      <c r="D1546" s="18" t="s">
        <v>15</v>
      </c>
      <c r="E1546" s="18" t="s">
        <v>6890</v>
      </c>
      <c r="F1546" s="2">
        <f>+J1546-I1546</f>
        <v>1</v>
      </c>
      <c r="G1546" s="2">
        <f ca="1">+TODAY()-I1546</f>
        <v>8</v>
      </c>
      <c r="H1546" s="15">
        <v>71831</v>
      </c>
      <c r="I1546" s="1">
        <v>46112</v>
      </c>
      <c r="J1546" s="1">
        <v>46113</v>
      </c>
      <c r="K1546" s="18" t="s">
        <v>17</v>
      </c>
      <c r="L1546" s="18" t="s">
        <v>317</v>
      </c>
      <c r="M1546" s="18" t="s">
        <v>19</v>
      </c>
      <c r="N1546" s="18" t="s">
        <v>6891</v>
      </c>
      <c r="O1546">
        <v>30</v>
      </c>
    </row>
    <row r="1547" spans="1:15" x14ac:dyDescent="0.25">
      <c r="A1547" s="18" t="s">
        <v>7276</v>
      </c>
      <c r="B1547" s="18" t="s">
        <v>3594</v>
      </c>
      <c r="C1547" s="18" t="s">
        <v>3595</v>
      </c>
      <c r="D1547" s="18" t="s">
        <v>1118</v>
      </c>
      <c r="E1547" s="18" t="s">
        <v>5756</v>
      </c>
      <c r="F1547" s="2">
        <f>+J1547-I1547</f>
        <v>20</v>
      </c>
      <c r="G1547" s="2">
        <f ca="1">+TODAY()-I1547</f>
        <v>33</v>
      </c>
      <c r="H1547" s="15">
        <v>172527</v>
      </c>
      <c r="I1547" s="1">
        <v>46087</v>
      </c>
      <c r="J1547" s="1">
        <v>46107</v>
      </c>
      <c r="K1547" s="18" t="s">
        <v>1144</v>
      </c>
      <c r="L1547" s="18" t="s">
        <v>321</v>
      </c>
      <c r="M1547" s="18" t="s">
        <v>19</v>
      </c>
      <c r="N1547" s="18" t="s">
        <v>3597</v>
      </c>
      <c r="O1547">
        <v>30</v>
      </c>
    </row>
    <row r="1548" spans="1:15" x14ac:dyDescent="0.25">
      <c r="A1548" s="18" t="s">
        <v>7276</v>
      </c>
      <c r="B1548" s="18" t="s">
        <v>3594</v>
      </c>
      <c r="C1548" s="18" t="s">
        <v>3595</v>
      </c>
      <c r="D1548" s="18" t="s">
        <v>1118</v>
      </c>
      <c r="E1548" s="18" t="s">
        <v>6274</v>
      </c>
      <c r="F1548" s="2">
        <f>+J1548-I1548</f>
        <v>15</v>
      </c>
      <c r="G1548" s="2">
        <f ca="1">+TODAY()-I1548</f>
        <v>19</v>
      </c>
      <c r="H1548" s="15">
        <v>188460</v>
      </c>
      <c r="I1548" s="1">
        <v>46101</v>
      </c>
      <c r="J1548" s="1">
        <v>46116</v>
      </c>
      <c r="K1548" s="18" t="s">
        <v>1144</v>
      </c>
      <c r="L1548" s="18" t="s">
        <v>321</v>
      </c>
      <c r="M1548" s="18" t="s">
        <v>19</v>
      </c>
      <c r="N1548" s="18" t="s">
        <v>3597</v>
      </c>
      <c r="O1548">
        <v>30</v>
      </c>
    </row>
    <row r="1549" spans="1:15" x14ac:dyDescent="0.25">
      <c r="A1549" s="18" t="s">
        <v>7276</v>
      </c>
      <c r="B1549" s="18" t="s">
        <v>1994</v>
      </c>
      <c r="C1549" s="18" t="s">
        <v>1995</v>
      </c>
      <c r="D1549" s="18" t="s">
        <v>15</v>
      </c>
      <c r="E1549" s="18" t="s">
        <v>5607</v>
      </c>
      <c r="F1549" s="2">
        <f>+J1549-I1549</f>
        <v>30</v>
      </c>
      <c r="G1549" s="2">
        <f ca="1">+TODAY()-I1549</f>
        <v>33</v>
      </c>
      <c r="H1549" s="15">
        <v>113800</v>
      </c>
      <c r="I1549" s="1">
        <v>46087</v>
      </c>
      <c r="J1549" s="1">
        <v>46117</v>
      </c>
      <c r="K1549" s="18" t="s">
        <v>17</v>
      </c>
      <c r="L1549" s="18" t="s">
        <v>32</v>
      </c>
      <c r="M1549" s="18" t="s">
        <v>19</v>
      </c>
      <c r="N1549" s="18" t="s">
        <v>142</v>
      </c>
      <c r="O1549">
        <v>30</v>
      </c>
    </row>
    <row r="1550" spans="1:15" x14ac:dyDescent="0.25">
      <c r="A1550" s="18" t="s">
        <v>7276</v>
      </c>
      <c r="B1550" s="18" t="s">
        <v>1994</v>
      </c>
      <c r="C1550" s="18" t="s">
        <v>1995</v>
      </c>
      <c r="D1550" s="18" t="s">
        <v>15</v>
      </c>
      <c r="E1550" s="18" t="s">
        <v>5883</v>
      </c>
      <c r="F1550" s="2">
        <f>+J1550-I1550</f>
        <v>30</v>
      </c>
      <c r="G1550" s="2">
        <f ca="1">+TODAY()-I1550</f>
        <v>26</v>
      </c>
      <c r="H1550" s="15">
        <v>1066508</v>
      </c>
      <c r="I1550" s="1">
        <v>46094</v>
      </c>
      <c r="J1550" s="1">
        <v>46124</v>
      </c>
      <c r="K1550" s="18" t="s">
        <v>17</v>
      </c>
      <c r="L1550" s="18" t="s">
        <v>32</v>
      </c>
      <c r="M1550" s="18" t="s">
        <v>19</v>
      </c>
      <c r="N1550" s="18" t="s">
        <v>142</v>
      </c>
      <c r="O1550">
        <v>30</v>
      </c>
    </row>
    <row r="1551" spans="1:15" x14ac:dyDescent="0.25">
      <c r="A1551" s="18" t="s">
        <v>7276</v>
      </c>
      <c r="B1551" s="18" t="s">
        <v>1994</v>
      </c>
      <c r="C1551" s="18" t="s">
        <v>1995</v>
      </c>
      <c r="D1551" s="18" t="s">
        <v>15</v>
      </c>
      <c r="E1551" s="18" t="s">
        <v>5884</v>
      </c>
      <c r="F1551" s="2">
        <f>+J1551-I1551</f>
        <v>30</v>
      </c>
      <c r="G1551" s="2">
        <f ca="1">+TODAY()-I1551</f>
        <v>26</v>
      </c>
      <c r="H1551" s="15">
        <v>1599112</v>
      </c>
      <c r="I1551" s="1">
        <v>46094</v>
      </c>
      <c r="J1551" s="1">
        <v>46124</v>
      </c>
      <c r="K1551" s="18" t="s">
        <v>17</v>
      </c>
      <c r="L1551" s="18" t="s">
        <v>32</v>
      </c>
      <c r="M1551" s="18" t="s">
        <v>19</v>
      </c>
      <c r="N1551" s="18" t="s">
        <v>142</v>
      </c>
      <c r="O1551">
        <v>30</v>
      </c>
    </row>
    <row r="1552" spans="1:15" x14ac:dyDescent="0.25">
      <c r="A1552" s="18" t="s">
        <v>7276</v>
      </c>
      <c r="B1552" s="18" t="s">
        <v>1994</v>
      </c>
      <c r="C1552" s="18" t="s">
        <v>1995</v>
      </c>
      <c r="D1552" s="18" t="s">
        <v>15</v>
      </c>
      <c r="E1552" s="18" t="s">
        <v>5897</v>
      </c>
      <c r="F1552" s="2">
        <f>+J1552-I1552</f>
        <v>30</v>
      </c>
      <c r="G1552" s="2">
        <f ca="1">+TODAY()-I1552</f>
        <v>25</v>
      </c>
      <c r="H1552" s="15">
        <v>302400</v>
      </c>
      <c r="I1552" s="1">
        <v>46095</v>
      </c>
      <c r="J1552" s="1">
        <v>46125</v>
      </c>
      <c r="K1552" s="18" t="s">
        <v>17</v>
      </c>
      <c r="L1552" s="18" t="s">
        <v>32</v>
      </c>
      <c r="M1552" s="18" t="s">
        <v>19</v>
      </c>
      <c r="N1552" s="18" t="s">
        <v>142</v>
      </c>
      <c r="O1552">
        <v>30</v>
      </c>
    </row>
    <row r="1553" spans="1:15" x14ac:dyDescent="0.25">
      <c r="A1553" s="18" t="s">
        <v>7276</v>
      </c>
      <c r="B1553" s="18" t="s">
        <v>1994</v>
      </c>
      <c r="C1553" s="18" t="s">
        <v>1995</v>
      </c>
      <c r="D1553" s="18" t="s">
        <v>15</v>
      </c>
      <c r="E1553" s="18" t="s">
        <v>5910</v>
      </c>
      <c r="F1553" s="2">
        <f>+J1553-I1553</f>
        <v>30</v>
      </c>
      <c r="G1553" s="2">
        <f ca="1">+TODAY()-I1553</f>
        <v>23</v>
      </c>
      <c r="H1553" s="15">
        <v>126400</v>
      </c>
      <c r="I1553" s="1">
        <v>46097</v>
      </c>
      <c r="J1553" s="1">
        <v>46127</v>
      </c>
      <c r="K1553" s="18" t="s">
        <v>17</v>
      </c>
      <c r="L1553" s="18" t="s">
        <v>32</v>
      </c>
      <c r="M1553" s="18" t="s">
        <v>19</v>
      </c>
      <c r="N1553" s="18" t="s">
        <v>142</v>
      </c>
      <c r="O1553">
        <v>30</v>
      </c>
    </row>
    <row r="1554" spans="1:15" x14ac:dyDescent="0.25">
      <c r="A1554" s="18" t="s">
        <v>7276</v>
      </c>
      <c r="B1554" s="18" t="s">
        <v>1994</v>
      </c>
      <c r="C1554" s="18" t="s">
        <v>1995</v>
      </c>
      <c r="D1554" s="18" t="s">
        <v>15</v>
      </c>
      <c r="E1554" s="18" t="s">
        <v>5918</v>
      </c>
      <c r="F1554" s="2">
        <f>+J1554-I1554</f>
        <v>30</v>
      </c>
      <c r="G1554" s="2">
        <f ca="1">+TODAY()-I1554</f>
        <v>22</v>
      </c>
      <c r="H1554" s="15">
        <v>1513381</v>
      </c>
      <c r="I1554" s="1">
        <v>46098</v>
      </c>
      <c r="J1554" s="1">
        <v>46128</v>
      </c>
      <c r="K1554" s="18" t="s">
        <v>17</v>
      </c>
      <c r="L1554" s="18" t="s">
        <v>32</v>
      </c>
      <c r="M1554" s="18" t="s">
        <v>19</v>
      </c>
      <c r="N1554" s="18" t="s">
        <v>142</v>
      </c>
      <c r="O1554">
        <v>30</v>
      </c>
    </row>
    <row r="1555" spans="1:15" x14ac:dyDescent="0.25">
      <c r="A1555" s="18" t="s">
        <v>7276</v>
      </c>
      <c r="B1555" s="18" t="s">
        <v>1994</v>
      </c>
      <c r="C1555" s="18" t="s">
        <v>1995</v>
      </c>
      <c r="D1555" s="18" t="s">
        <v>15</v>
      </c>
      <c r="E1555" s="18" t="s">
        <v>6413</v>
      </c>
      <c r="F1555" s="2">
        <f>+J1555-I1555</f>
        <v>30</v>
      </c>
      <c r="G1555" s="2">
        <f ca="1">+TODAY()-I1555</f>
        <v>13</v>
      </c>
      <c r="H1555" s="15">
        <v>1227835</v>
      </c>
      <c r="I1555" s="1">
        <v>46107</v>
      </c>
      <c r="J1555" s="1">
        <v>46137</v>
      </c>
      <c r="K1555" s="18" t="s">
        <v>17</v>
      </c>
      <c r="L1555" s="18" t="s">
        <v>32</v>
      </c>
      <c r="M1555" s="18" t="s">
        <v>19</v>
      </c>
      <c r="N1555" s="18" t="s">
        <v>142</v>
      </c>
      <c r="O1555">
        <v>30</v>
      </c>
    </row>
    <row r="1556" spans="1:15" x14ac:dyDescent="0.25">
      <c r="A1556" s="18" t="s">
        <v>7276</v>
      </c>
      <c r="B1556" s="18" t="s">
        <v>1994</v>
      </c>
      <c r="C1556" s="18" t="s">
        <v>1995</v>
      </c>
      <c r="D1556" s="18" t="s">
        <v>15</v>
      </c>
      <c r="E1556" s="18" t="s">
        <v>6414</v>
      </c>
      <c r="F1556" s="2">
        <f>+J1556-I1556</f>
        <v>30</v>
      </c>
      <c r="G1556" s="2">
        <f ca="1">+TODAY()-I1556</f>
        <v>13</v>
      </c>
      <c r="H1556" s="15">
        <v>710205</v>
      </c>
      <c r="I1556" s="1">
        <v>46107</v>
      </c>
      <c r="J1556" s="1">
        <v>46137</v>
      </c>
      <c r="K1556" s="18" t="s">
        <v>17</v>
      </c>
      <c r="L1556" s="18" t="s">
        <v>32</v>
      </c>
      <c r="M1556" s="18" t="s">
        <v>19</v>
      </c>
      <c r="N1556" s="18" t="s">
        <v>142</v>
      </c>
      <c r="O1556">
        <v>30</v>
      </c>
    </row>
    <row r="1557" spans="1:15" x14ac:dyDescent="0.25">
      <c r="A1557" s="18" t="s">
        <v>7276</v>
      </c>
      <c r="B1557" s="18" t="s">
        <v>1994</v>
      </c>
      <c r="C1557" s="18" t="s">
        <v>1995</v>
      </c>
      <c r="D1557" s="18" t="s">
        <v>15</v>
      </c>
      <c r="E1557" s="18" t="s">
        <v>6768</v>
      </c>
      <c r="F1557" s="2">
        <f>+J1557-I1557</f>
        <v>10</v>
      </c>
      <c r="G1557" s="2">
        <f ca="1">+TODAY()-I1557</f>
        <v>9</v>
      </c>
      <c r="H1557" s="15">
        <v>2100000</v>
      </c>
      <c r="I1557" s="1">
        <v>46111</v>
      </c>
      <c r="J1557" s="1">
        <v>46121</v>
      </c>
      <c r="K1557" s="18" t="s">
        <v>17</v>
      </c>
      <c r="L1557" s="18" t="s">
        <v>32</v>
      </c>
      <c r="M1557" s="18" t="s">
        <v>19</v>
      </c>
      <c r="N1557" s="18" t="s">
        <v>142</v>
      </c>
      <c r="O1557">
        <v>30</v>
      </c>
    </row>
    <row r="1558" spans="1:15" x14ac:dyDescent="0.25">
      <c r="A1558" s="18" t="s">
        <v>7276</v>
      </c>
      <c r="B1558" s="18" t="s">
        <v>1994</v>
      </c>
      <c r="C1558" s="18" t="s">
        <v>1995</v>
      </c>
      <c r="D1558" s="18" t="s">
        <v>15</v>
      </c>
      <c r="E1558" s="18" t="s">
        <v>6769</v>
      </c>
      <c r="F1558" s="2">
        <f>+J1558-I1558</f>
        <v>30</v>
      </c>
      <c r="G1558" s="2">
        <f ca="1">+TODAY()-I1558</f>
        <v>9</v>
      </c>
      <c r="H1558" s="15">
        <v>111122</v>
      </c>
      <c r="I1558" s="1">
        <v>46111</v>
      </c>
      <c r="J1558" s="1">
        <v>46141</v>
      </c>
      <c r="K1558" s="18" t="s">
        <v>17</v>
      </c>
      <c r="L1558" s="18" t="s">
        <v>32</v>
      </c>
      <c r="M1558" s="18" t="s">
        <v>19</v>
      </c>
      <c r="N1558" s="18" t="s">
        <v>142</v>
      </c>
      <c r="O1558">
        <v>30</v>
      </c>
    </row>
    <row r="1559" spans="1:15" x14ac:dyDescent="0.25">
      <c r="A1559" s="18" t="s">
        <v>7276</v>
      </c>
      <c r="B1559" s="18" t="s">
        <v>1994</v>
      </c>
      <c r="C1559" s="18" t="s">
        <v>1995</v>
      </c>
      <c r="D1559" s="18" t="s">
        <v>15</v>
      </c>
      <c r="E1559" s="18" t="s">
        <v>6827</v>
      </c>
      <c r="F1559" s="2">
        <f>+J1559-I1559</f>
        <v>30</v>
      </c>
      <c r="G1559" s="2">
        <f ca="1">+TODAY()-I1559</f>
        <v>8</v>
      </c>
      <c r="H1559" s="15">
        <v>759622</v>
      </c>
      <c r="I1559" s="1">
        <v>46112</v>
      </c>
      <c r="J1559" s="1">
        <v>46142</v>
      </c>
      <c r="K1559" s="18" t="s">
        <v>17</v>
      </c>
      <c r="L1559" s="18" t="s">
        <v>32</v>
      </c>
      <c r="M1559" s="18" t="s">
        <v>19</v>
      </c>
      <c r="N1559" s="18" t="s">
        <v>142</v>
      </c>
      <c r="O1559">
        <v>30</v>
      </c>
    </row>
    <row r="1560" spans="1:15" x14ac:dyDescent="0.25">
      <c r="A1560" s="18" t="s">
        <v>7276</v>
      </c>
      <c r="B1560" s="18" t="s">
        <v>1994</v>
      </c>
      <c r="C1560" s="18" t="s">
        <v>1995</v>
      </c>
      <c r="D1560" s="18" t="s">
        <v>15</v>
      </c>
      <c r="E1560" s="18" t="s">
        <v>6838</v>
      </c>
      <c r="F1560" s="2">
        <f>+J1560-I1560</f>
        <v>30</v>
      </c>
      <c r="G1560" s="2">
        <f ca="1">+TODAY()-I1560</f>
        <v>8</v>
      </c>
      <c r="H1560" s="15">
        <v>639020</v>
      </c>
      <c r="I1560" s="1">
        <v>46112</v>
      </c>
      <c r="J1560" s="1">
        <v>46142</v>
      </c>
      <c r="K1560" s="18" t="s">
        <v>17</v>
      </c>
      <c r="L1560" s="18" t="s">
        <v>32</v>
      </c>
      <c r="M1560" s="18" t="s">
        <v>19</v>
      </c>
      <c r="N1560" s="18" t="s">
        <v>142</v>
      </c>
      <c r="O1560">
        <v>30</v>
      </c>
    </row>
    <row r="1561" spans="1:15" x14ac:dyDescent="0.25">
      <c r="A1561" s="18" t="s">
        <v>7276</v>
      </c>
      <c r="B1561" s="18" t="s">
        <v>2698</v>
      </c>
      <c r="C1561" s="18" t="s">
        <v>2699</v>
      </c>
      <c r="D1561" s="18" t="s">
        <v>1722</v>
      </c>
      <c r="E1561" s="18" t="s">
        <v>4133</v>
      </c>
      <c r="F1561" s="2">
        <f>+J1561-I1561</f>
        <v>30</v>
      </c>
      <c r="G1561" s="2">
        <f ca="1">+TODAY()-I1561</f>
        <v>78</v>
      </c>
      <c r="H1561" s="15">
        <v>50979</v>
      </c>
      <c r="I1561" s="1">
        <v>46042</v>
      </c>
      <c r="J1561" s="1">
        <v>46072</v>
      </c>
      <c r="K1561" s="18" t="s">
        <v>1706</v>
      </c>
      <c r="L1561" s="18" t="s">
        <v>90</v>
      </c>
      <c r="M1561" s="18" t="s">
        <v>19</v>
      </c>
      <c r="N1561" s="18" t="s">
        <v>2701</v>
      </c>
      <c r="O1561">
        <v>0</v>
      </c>
    </row>
    <row r="1562" spans="1:15" x14ac:dyDescent="0.25">
      <c r="A1562" s="18" t="s">
        <v>7276</v>
      </c>
      <c r="B1562" s="18" t="s">
        <v>2698</v>
      </c>
      <c r="C1562" s="18" t="s">
        <v>2699</v>
      </c>
      <c r="D1562" s="18" t="s">
        <v>1722</v>
      </c>
      <c r="E1562" s="18" t="s">
        <v>7238</v>
      </c>
      <c r="F1562" s="2">
        <f>+J1562-I1562</f>
        <v>30</v>
      </c>
      <c r="G1562" s="2">
        <f ca="1">+TODAY()-I1562</f>
        <v>9</v>
      </c>
      <c r="H1562" s="15">
        <v>546208</v>
      </c>
      <c r="I1562" s="1">
        <v>46111</v>
      </c>
      <c r="J1562" s="1">
        <v>46141</v>
      </c>
      <c r="K1562" s="18" t="s">
        <v>1706</v>
      </c>
      <c r="L1562" s="18" t="s">
        <v>90</v>
      </c>
      <c r="M1562" s="18" t="s">
        <v>19</v>
      </c>
      <c r="N1562" s="18" t="s">
        <v>2701</v>
      </c>
      <c r="O1562">
        <v>0</v>
      </c>
    </row>
    <row r="1563" spans="1:15" x14ac:dyDescent="0.25">
      <c r="A1563" s="18" t="s">
        <v>7276</v>
      </c>
      <c r="B1563" s="18" t="s">
        <v>2698</v>
      </c>
      <c r="C1563" s="18" t="s">
        <v>2699</v>
      </c>
      <c r="D1563" s="18" t="s">
        <v>1722</v>
      </c>
      <c r="E1563" s="18" t="s">
        <v>7247</v>
      </c>
      <c r="F1563" s="2">
        <f>+J1563-I1563</f>
        <v>30</v>
      </c>
      <c r="G1563" s="2">
        <f ca="1">+TODAY()-I1563</f>
        <v>9</v>
      </c>
      <c r="H1563" s="15">
        <v>17639</v>
      </c>
      <c r="I1563" s="1">
        <v>46111</v>
      </c>
      <c r="J1563" s="1">
        <v>46141</v>
      </c>
      <c r="K1563" s="18" t="s">
        <v>1706</v>
      </c>
      <c r="L1563" s="18" t="s">
        <v>90</v>
      </c>
      <c r="M1563" s="18" t="s">
        <v>19</v>
      </c>
      <c r="N1563" s="18" t="s">
        <v>2701</v>
      </c>
      <c r="O1563">
        <v>0</v>
      </c>
    </row>
    <row r="1564" spans="1:15" x14ac:dyDescent="0.25">
      <c r="A1564" s="18" t="s">
        <v>7276</v>
      </c>
      <c r="B1564" s="18" t="s">
        <v>6711</v>
      </c>
      <c r="C1564" s="18" t="s">
        <v>6712</v>
      </c>
      <c r="D1564" s="18" t="s">
        <v>4165</v>
      </c>
      <c r="E1564" s="18" t="s">
        <v>6713</v>
      </c>
      <c r="F1564" s="2">
        <f>+J1564-I1564</f>
        <v>30</v>
      </c>
      <c r="G1564" s="2">
        <f ca="1">+TODAY()-I1564</f>
        <v>14</v>
      </c>
      <c r="H1564" s="15">
        <v>687040</v>
      </c>
      <c r="I1564" s="1">
        <v>46106</v>
      </c>
      <c r="J1564" s="1">
        <v>46136</v>
      </c>
      <c r="K1564" s="18" t="s">
        <v>5373</v>
      </c>
      <c r="L1564" s="18" t="s">
        <v>981</v>
      </c>
      <c r="M1564" s="18" t="s">
        <v>19</v>
      </c>
      <c r="N1564" s="18" t="s">
        <v>6714</v>
      </c>
      <c r="O1564">
        <v>30</v>
      </c>
    </row>
    <row r="1565" spans="1:15" x14ac:dyDescent="0.25">
      <c r="A1565" s="18" t="s">
        <v>7276</v>
      </c>
      <c r="B1565" s="18" t="s">
        <v>5001</v>
      </c>
      <c r="C1565" s="18" t="s">
        <v>5002</v>
      </c>
      <c r="D1565" s="18" t="s">
        <v>15</v>
      </c>
      <c r="E1565" s="18" t="s">
        <v>7291</v>
      </c>
      <c r="F1565" s="2">
        <f>+J1565-I1565</f>
        <v>30</v>
      </c>
      <c r="G1565" s="2">
        <f ca="1">+TODAY()-I1565</f>
        <v>7</v>
      </c>
      <c r="H1565" s="15">
        <v>1201795</v>
      </c>
      <c r="I1565" s="1">
        <v>46113</v>
      </c>
      <c r="J1565" s="1">
        <v>46143</v>
      </c>
      <c r="K1565" s="18" t="s">
        <v>17</v>
      </c>
      <c r="L1565" s="18" t="s">
        <v>18</v>
      </c>
      <c r="M1565" s="18" t="s">
        <v>19</v>
      </c>
      <c r="N1565" s="18" t="s">
        <v>5003</v>
      </c>
      <c r="O1565">
        <v>30</v>
      </c>
    </row>
    <row r="1566" spans="1:15" x14ac:dyDescent="0.25">
      <c r="A1566" s="18" t="s">
        <v>7276</v>
      </c>
      <c r="B1566" s="18" t="s">
        <v>118</v>
      </c>
      <c r="C1566" s="18" t="s">
        <v>119</v>
      </c>
      <c r="D1566" s="18" t="s">
        <v>46</v>
      </c>
      <c r="E1566" s="18" t="s">
        <v>5912</v>
      </c>
      <c r="F1566" s="2">
        <f>+J1566-I1566</f>
        <v>30</v>
      </c>
      <c r="G1566" s="2">
        <f ca="1">+TODAY()-I1566</f>
        <v>23</v>
      </c>
      <c r="H1566" s="15">
        <v>1126964</v>
      </c>
      <c r="I1566" s="1">
        <v>46097</v>
      </c>
      <c r="J1566" s="1">
        <v>46127</v>
      </c>
      <c r="K1566" s="18" t="s">
        <v>17</v>
      </c>
      <c r="L1566" s="18" t="s">
        <v>32</v>
      </c>
      <c r="M1566" s="18" t="s">
        <v>19</v>
      </c>
      <c r="N1566" s="18" t="s">
        <v>120</v>
      </c>
      <c r="O1566">
        <v>30</v>
      </c>
    </row>
    <row r="1567" spans="1:15" x14ac:dyDescent="0.25">
      <c r="A1567" s="18" t="s">
        <v>7276</v>
      </c>
      <c r="B1567" s="18" t="s">
        <v>118</v>
      </c>
      <c r="C1567" s="18" t="s">
        <v>119</v>
      </c>
      <c r="D1567" s="18" t="s">
        <v>46</v>
      </c>
      <c r="E1567" s="18" t="s">
        <v>5920</v>
      </c>
      <c r="F1567" s="2">
        <f>+J1567-I1567</f>
        <v>30</v>
      </c>
      <c r="G1567" s="2">
        <f ca="1">+TODAY()-I1567</f>
        <v>22</v>
      </c>
      <c r="H1567" s="15">
        <v>32000</v>
      </c>
      <c r="I1567" s="1">
        <v>46098</v>
      </c>
      <c r="J1567" s="1">
        <v>46128</v>
      </c>
      <c r="K1567" s="18" t="s">
        <v>17</v>
      </c>
      <c r="L1567" s="18" t="s">
        <v>32</v>
      </c>
      <c r="M1567" s="18" t="s">
        <v>19</v>
      </c>
      <c r="N1567" s="18" t="s">
        <v>120</v>
      </c>
      <c r="O1567">
        <v>30</v>
      </c>
    </row>
    <row r="1568" spans="1:15" x14ac:dyDescent="0.25">
      <c r="A1568" s="18" t="s">
        <v>7276</v>
      </c>
      <c r="B1568" s="18" t="s">
        <v>118</v>
      </c>
      <c r="C1568" s="18" t="s">
        <v>119</v>
      </c>
      <c r="D1568" s="18" t="s">
        <v>46</v>
      </c>
      <c r="E1568" s="18" t="s">
        <v>6767</v>
      </c>
      <c r="F1568" s="2">
        <f>+J1568-I1568</f>
        <v>1</v>
      </c>
      <c r="G1568" s="2">
        <f ca="1">+TODAY()-I1568</f>
        <v>9</v>
      </c>
      <c r="H1568" s="15">
        <v>380613</v>
      </c>
      <c r="I1568" s="1">
        <v>46111</v>
      </c>
      <c r="J1568" s="1">
        <v>46112</v>
      </c>
      <c r="K1568" s="18" t="s">
        <v>17</v>
      </c>
      <c r="L1568" s="18" t="s">
        <v>32</v>
      </c>
      <c r="M1568" s="18" t="s">
        <v>19</v>
      </c>
      <c r="N1568" s="18" t="s">
        <v>120</v>
      </c>
      <c r="O1568">
        <v>30</v>
      </c>
    </row>
    <row r="1569" spans="1:15" x14ac:dyDescent="0.25">
      <c r="A1569" s="18" t="s">
        <v>7276</v>
      </c>
      <c r="B1569" s="18" t="s">
        <v>136</v>
      </c>
      <c r="C1569" s="18" t="s">
        <v>137</v>
      </c>
      <c r="D1569" s="18" t="s">
        <v>46</v>
      </c>
      <c r="E1569" s="18" t="s">
        <v>5200</v>
      </c>
      <c r="F1569" s="2">
        <f>+J1569-I1569</f>
        <v>30</v>
      </c>
      <c r="G1569" s="2">
        <f ca="1">+TODAY()-I1569</f>
        <v>42</v>
      </c>
      <c r="H1569" s="15">
        <v>614469</v>
      </c>
      <c r="I1569" s="1">
        <v>46078</v>
      </c>
      <c r="J1569" s="1">
        <v>46108</v>
      </c>
      <c r="K1569" s="18" t="s">
        <v>17</v>
      </c>
      <c r="L1569" s="18" t="s">
        <v>109</v>
      </c>
      <c r="M1569" s="18" t="s">
        <v>19</v>
      </c>
      <c r="N1569" s="18" t="s">
        <v>138</v>
      </c>
      <c r="O1569">
        <v>30</v>
      </c>
    </row>
    <row r="1570" spans="1:15" x14ac:dyDescent="0.25">
      <c r="A1570" s="18" t="s">
        <v>7276</v>
      </c>
      <c r="B1570" s="18" t="s">
        <v>136</v>
      </c>
      <c r="C1570" s="18" t="s">
        <v>137</v>
      </c>
      <c r="D1570" s="18" t="s">
        <v>46</v>
      </c>
      <c r="E1570" s="18" t="s">
        <v>5201</v>
      </c>
      <c r="F1570" s="2">
        <f>+J1570-I1570</f>
        <v>30</v>
      </c>
      <c r="G1570" s="2">
        <f ca="1">+TODAY()-I1570</f>
        <v>42</v>
      </c>
      <c r="H1570" s="15">
        <v>861327</v>
      </c>
      <c r="I1570" s="1">
        <v>46078</v>
      </c>
      <c r="J1570" s="1">
        <v>46108</v>
      </c>
      <c r="K1570" s="18" t="s">
        <v>17</v>
      </c>
      <c r="L1570" s="18" t="s">
        <v>109</v>
      </c>
      <c r="M1570" s="18" t="s">
        <v>19</v>
      </c>
      <c r="N1570" s="18" t="s">
        <v>138</v>
      </c>
      <c r="O1570">
        <v>30</v>
      </c>
    </row>
    <row r="1571" spans="1:15" x14ac:dyDescent="0.25">
      <c r="A1571" s="18" t="s">
        <v>7276</v>
      </c>
      <c r="B1571" s="18" t="s">
        <v>4149</v>
      </c>
      <c r="C1571" s="18" t="s">
        <v>4150</v>
      </c>
      <c r="D1571" s="18" t="s">
        <v>4148</v>
      </c>
      <c r="E1571" s="18" t="s">
        <v>6366</v>
      </c>
      <c r="F1571" s="2">
        <f>+J1571-I1571</f>
        <v>30</v>
      </c>
      <c r="G1571" s="2">
        <f ca="1">+TODAY()-I1571</f>
        <v>22</v>
      </c>
      <c r="H1571" s="15">
        <v>1129235</v>
      </c>
      <c r="I1571" s="1">
        <v>46098</v>
      </c>
      <c r="J1571" s="1">
        <v>46128</v>
      </c>
      <c r="K1571" s="18" t="s">
        <v>1747</v>
      </c>
      <c r="L1571" s="18" t="s">
        <v>981</v>
      </c>
      <c r="M1571" s="18" t="s">
        <v>19</v>
      </c>
      <c r="N1571" s="18" t="s">
        <v>4152</v>
      </c>
      <c r="O1571">
        <v>30</v>
      </c>
    </row>
    <row r="1572" spans="1:15" x14ac:dyDescent="0.25">
      <c r="A1572" s="18" t="s">
        <v>7276</v>
      </c>
      <c r="B1572" s="18" t="s">
        <v>1311</v>
      </c>
      <c r="C1572" s="18" t="s">
        <v>1312</v>
      </c>
      <c r="D1572" s="18" t="s">
        <v>1299</v>
      </c>
      <c r="E1572" s="18" t="s">
        <v>5620</v>
      </c>
      <c r="F1572" s="2">
        <f>+J1572-I1572</f>
        <v>30</v>
      </c>
      <c r="G1572" s="2">
        <f ca="1">+TODAY()-I1572</f>
        <v>30</v>
      </c>
      <c r="H1572" s="15">
        <v>757701</v>
      </c>
      <c r="I1572" s="1">
        <v>46090</v>
      </c>
      <c r="J1572" s="1">
        <v>46120</v>
      </c>
      <c r="K1572" s="18" t="s">
        <v>17</v>
      </c>
      <c r="L1572" s="18" t="s">
        <v>90</v>
      </c>
      <c r="M1572" s="18" t="s">
        <v>19</v>
      </c>
      <c r="N1572" s="18" t="s">
        <v>1313</v>
      </c>
      <c r="O1572">
        <v>30</v>
      </c>
    </row>
    <row r="1573" spans="1:15" x14ac:dyDescent="0.25">
      <c r="A1573" s="18" t="s">
        <v>7276</v>
      </c>
      <c r="B1573" s="18" t="s">
        <v>1311</v>
      </c>
      <c r="C1573" s="18" t="s">
        <v>1312</v>
      </c>
      <c r="D1573" s="18" t="s">
        <v>1299</v>
      </c>
      <c r="E1573" s="18" t="s">
        <v>6539</v>
      </c>
      <c r="F1573" s="2">
        <f>+J1573-I1573</f>
        <v>30</v>
      </c>
      <c r="G1573" s="2">
        <f ca="1">+TODAY()-I1573</f>
        <v>15</v>
      </c>
      <c r="H1573" s="15">
        <v>1376873</v>
      </c>
      <c r="I1573" s="1">
        <v>46105</v>
      </c>
      <c r="J1573" s="1">
        <v>46135</v>
      </c>
      <c r="K1573" s="18" t="s">
        <v>1300</v>
      </c>
      <c r="L1573" s="18" t="s">
        <v>90</v>
      </c>
      <c r="M1573" s="18" t="s">
        <v>19</v>
      </c>
      <c r="N1573" s="18" t="s">
        <v>1313</v>
      </c>
      <c r="O1573">
        <v>30</v>
      </c>
    </row>
    <row r="1574" spans="1:15" x14ac:dyDescent="0.25">
      <c r="A1574" s="18" t="s">
        <v>7276</v>
      </c>
      <c r="B1574" s="18" t="s">
        <v>2017</v>
      </c>
      <c r="C1574" s="18" t="s">
        <v>2018</v>
      </c>
      <c r="D1574" s="18" t="s">
        <v>2016</v>
      </c>
      <c r="E1574" s="18" t="s">
        <v>5416</v>
      </c>
      <c r="F1574" s="2">
        <f>+J1574-I1574</f>
        <v>30</v>
      </c>
      <c r="G1574" s="2">
        <f ca="1">+TODAY()-I1574</f>
        <v>35</v>
      </c>
      <c r="H1574" s="15">
        <v>3873653</v>
      </c>
      <c r="I1574" s="1">
        <v>46085</v>
      </c>
      <c r="J1574" s="1">
        <v>46115</v>
      </c>
      <c r="K1574" s="18" t="s">
        <v>766</v>
      </c>
      <c r="L1574" s="18" t="s">
        <v>18</v>
      </c>
      <c r="M1574" s="18" t="s">
        <v>19</v>
      </c>
      <c r="N1574" s="18" t="s">
        <v>2019</v>
      </c>
      <c r="O1574">
        <v>30</v>
      </c>
    </row>
    <row r="1575" spans="1:15" x14ac:dyDescent="0.25">
      <c r="A1575" s="18" t="s">
        <v>7276</v>
      </c>
      <c r="B1575" s="18" t="s">
        <v>2017</v>
      </c>
      <c r="C1575" s="18" t="s">
        <v>2018</v>
      </c>
      <c r="D1575" s="18" t="s">
        <v>2016</v>
      </c>
      <c r="E1575" s="18" t="s">
        <v>5417</v>
      </c>
      <c r="F1575" s="2">
        <f>+J1575-I1575</f>
        <v>30</v>
      </c>
      <c r="G1575" s="2">
        <f ca="1">+TODAY()-I1575</f>
        <v>35</v>
      </c>
      <c r="H1575" s="15">
        <v>1696511</v>
      </c>
      <c r="I1575" s="1">
        <v>46085</v>
      </c>
      <c r="J1575" s="1">
        <v>46115</v>
      </c>
      <c r="K1575" s="18" t="s">
        <v>766</v>
      </c>
      <c r="L1575" s="18" t="s">
        <v>18</v>
      </c>
      <c r="M1575" s="18" t="s">
        <v>19</v>
      </c>
      <c r="N1575" s="18" t="s">
        <v>2019</v>
      </c>
      <c r="O1575">
        <v>30</v>
      </c>
    </row>
    <row r="1576" spans="1:15" x14ac:dyDescent="0.25">
      <c r="A1576" s="18" t="s">
        <v>7276</v>
      </c>
      <c r="B1576" s="18" t="s">
        <v>2017</v>
      </c>
      <c r="C1576" s="18" t="s">
        <v>2018</v>
      </c>
      <c r="D1576" s="18" t="s">
        <v>2016</v>
      </c>
      <c r="E1576" s="18" t="s">
        <v>5418</v>
      </c>
      <c r="F1576" s="2">
        <f>+J1576-I1576</f>
        <v>30</v>
      </c>
      <c r="G1576" s="2">
        <f ca="1">+TODAY()-I1576</f>
        <v>35</v>
      </c>
      <c r="H1576" s="15">
        <v>3337741</v>
      </c>
      <c r="I1576" s="1">
        <v>46085</v>
      </c>
      <c r="J1576" s="1">
        <v>46115</v>
      </c>
      <c r="K1576" s="18" t="s">
        <v>766</v>
      </c>
      <c r="L1576" s="18" t="s">
        <v>18</v>
      </c>
      <c r="M1576" s="18" t="s">
        <v>19</v>
      </c>
      <c r="N1576" s="18" t="s">
        <v>2019</v>
      </c>
      <c r="O1576">
        <v>30</v>
      </c>
    </row>
    <row r="1577" spans="1:15" x14ac:dyDescent="0.25">
      <c r="A1577" s="18" t="s">
        <v>7276</v>
      </c>
      <c r="B1577" s="18" t="s">
        <v>2017</v>
      </c>
      <c r="C1577" s="18" t="s">
        <v>2018</v>
      </c>
      <c r="D1577" s="18" t="s">
        <v>2016</v>
      </c>
      <c r="E1577" s="18" t="s">
        <v>5419</v>
      </c>
      <c r="F1577" s="2">
        <f>+J1577-I1577</f>
        <v>30</v>
      </c>
      <c r="G1577" s="2">
        <f ca="1">+TODAY()-I1577</f>
        <v>35</v>
      </c>
      <c r="H1577" s="15">
        <v>3884439</v>
      </c>
      <c r="I1577" s="1">
        <v>46085</v>
      </c>
      <c r="J1577" s="1">
        <v>46115</v>
      </c>
      <c r="K1577" s="18" t="s">
        <v>766</v>
      </c>
      <c r="L1577" s="18" t="s">
        <v>18</v>
      </c>
      <c r="M1577" s="18" t="s">
        <v>19</v>
      </c>
      <c r="N1577" s="18" t="s">
        <v>2019</v>
      </c>
      <c r="O1577">
        <v>30</v>
      </c>
    </row>
    <row r="1578" spans="1:15" x14ac:dyDescent="0.25">
      <c r="A1578" s="18" t="s">
        <v>7276</v>
      </c>
      <c r="B1578" s="18" t="s">
        <v>2017</v>
      </c>
      <c r="C1578" s="18" t="s">
        <v>2018</v>
      </c>
      <c r="D1578" s="18" t="s">
        <v>2016</v>
      </c>
      <c r="E1578" s="18" t="s">
        <v>5697</v>
      </c>
      <c r="F1578" s="2">
        <f>+J1578-I1578</f>
        <v>27</v>
      </c>
      <c r="G1578" s="2">
        <f ca="1">+TODAY()-I1578</f>
        <v>32</v>
      </c>
      <c r="H1578" s="15">
        <v>36800</v>
      </c>
      <c r="I1578" s="1">
        <v>46088</v>
      </c>
      <c r="J1578" s="1">
        <v>46115</v>
      </c>
      <c r="K1578" s="18" t="s">
        <v>766</v>
      </c>
      <c r="L1578" s="18" t="s">
        <v>18</v>
      </c>
      <c r="M1578" s="18" t="s">
        <v>19</v>
      </c>
      <c r="N1578" s="18" t="s">
        <v>2019</v>
      </c>
      <c r="O1578">
        <v>30</v>
      </c>
    </row>
    <row r="1579" spans="1:15" x14ac:dyDescent="0.25">
      <c r="A1579" s="18" t="s">
        <v>7276</v>
      </c>
      <c r="B1579" s="18" t="s">
        <v>2017</v>
      </c>
      <c r="C1579" s="18" t="s">
        <v>2018</v>
      </c>
      <c r="D1579" s="18" t="s">
        <v>2016</v>
      </c>
      <c r="E1579" s="18" t="s">
        <v>5936</v>
      </c>
      <c r="F1579" s="2">
        <f>+J1579-I1579</f>
        <v>30</v>
      </c>
      <c r="G1579" s="2">
        <f ca="1">+TODAY()-I1579</f>
        <v>22</v>
      </c>
      <c r="H1579" s="15">
        <v>4470200</v>
      </c>
      <c r="I1579" s="1">
        <v>46098</v>
      </c>
      <c r="J1579" s="1">
        <v>46128</v>
      </c>
      <c r="K1579" s="18" t="s">
        <v>766</v>
      </c>
      <c r="L1579" s="18" t="s">
        <v>18</v>
      </c>
      <c r="M1579" s="18" t="s">
        <v>19</v>
      </c>
      <c r="N1579" s="18" t="s">
        <v>2019</v>
      </c>
      <c r="O1579">
        <v>30</v>
      </c>
    </row>
    <row r="1580" spans="1:15" x14ac:dyDescent="0.25">
      <c r="A1580" s="18" t="s">
        <v>7276</v>
      </c>
      <c r="B1580" s="18" t="s">
        <v>2017</v>
      </c>
      <c r="C1580" s="18" t="s">
        <v>2018</v>
      </c>
      <c r="D1580" s="18" t="s">
        <v>2016</v>
      </c>
      <c r="E1580" s="18" t="s">
        <v>5937</v>
      </c>
      <c r="F1580" s="2">
        <f>+J1580-I1580</f>
        <v>30</v>
      </c>
      <c r="G1580" s="2">
        <f ca="1">+TODAY()-I1580</f>
        <v>22</v>
      </c>
      <c r="H1580" s="15">
        <v>6667190</v>
      </c>
      <c r="I1580" s="1">
        <v>46098</v>
      </c>
      <c r="J1580" s="1">
        <v>46128</v>
      </c>
      <c r="K1580" s="18" t="s">
        <v>766</v>
      </c>
      <c r="L1580" s="18" t="s">
        <v>18</v>
      </c>
      <c r="M1580" s="18" t="s">
        <v>19</v>
      </c>
      <c r="N1580" s="18" t="s">
        <v>2019</v>
      </c>
      <c r="O1580">
        <v>30</v>
      </c>
    </row>
    <row r="1581" spans="1:15" x14ac:dyDescent="0.25">
      <c r="A1581" s="18" t="s">
        <v>7276</v>
      </c>
      <c r="B1581" s="18" t="s">
        <v>2017</v>
      </c>
      <c r="C1581" s="18" t="s">
        <v>2018</v>
      </c>
      <c r="D1581" s="18" t="s">
        <v>2016</v>
      </c>
      <c r="E1581" s="18" t="s">
        <v>5938</v>
      </c>
      <c r="F1581" s="2">
        <f>+J1581-I1581</f>
        <v>30</v>
      </c>
      <c r="G1581" s="2">
        <f ca="1">+TODAY()-I1581</f>
        <v>22</v>
      </c>
      <c r="H1581" s="15">
        <v>2905699</v>
      </c>
      <c r="I1581" s="1">
        <v>46098</v>
      </c>
      <c r="J1581" s="1">
        <v>46128</v>
      </c>
      <c r="K1581" s="18" t="s">
        <v>766</v>
      </c>
      <c r="L1581" s="18" t="s">
        <v>18</v>
      </c>
      <c r="M1581" s="18" t="s">
        <v>19</v>
      </c>
      <c r="N1581" s="18" t="s">
        <v>2019</v>
      </c>
      <c r="O1581">
        <v>30</v>
      </c>
    </row>
    <row r="1582" spans="1:15" x14ac:dyDescent="0.25">
      <c r="A1582" s="18" t="s">
        <v>7276</v>
      </c>
      <c r="B1582" s="18" t="s">
        <v>2017</v>
      </c>
      <c r="C1582" s="18" t="s">
        <v>2018</v>
      </c>
      <c r="D1582" s="18" t="s">
        <v>2016</v>
      </c>
      <c r="E1582" s="18" t="s">
        <v>5939</v>
      </c>
      <c r="F1582" s="2">
        <f>+J1582-I1582</f>
        <v>30</v>
      </c>
      <c r="G1582" s="2">
        <f ca="1">+TODAY()-I1582</f>
        <v>22</v>
      </c>
      <c r="H1582" s="15">
        <v>1297010</v>
      </c>
      <c r="I1582" s="1">
        <v>46098</v>
      </c>
      <c r="J1582" s="1">
        <v>46128</v>
      </c>
      <c r="K1582" s="18" t="s">
        <v>766</v>
      </c>
      <c r="L1582" s="18" t="s">
        <v>18</v>
      </c>
      <c r="M1582" s="18" t="s">
        <v>19</v>
      </c>
      <c r="N1582" s="18" t="s">
        <v>2019</v>
      </c>
      <c r="O1582">
        <v>30</v>
      </c>
    </row>
    <row r="1583" spans="1:15" x14ac:dyDescent="0.25">
      <c r="A1583" s="18" t="s">
        <v>7276</v>
      </c>
      <c r="B1583" s="18" t="s">
        <v>2017</v>
      </c>
      <c r="C1583" s="18" t="s">
        <v>2018</v>
      </c>
      <c r="D1583" s="18" t="s">
        <v>2016</v>
      </c>
      <c r="E1583" s="18" t="s">
        <v>6232</v>
      </c>
      <c r="F1583" s="2">
        <f>+J1583-I1583</f>
        <v>30</v>
      </c>
      <c r="G1583" s="2">
        <f ca="1">+TODAY()-I1583</f>
        <v>22</v>
      </c>
      <c r="H1583" s="15">
        <v>1169984</v>
      </c>
      <c r="I1583" s="1">
        <v>46098</v>
      </c>
      <c r="J1583" s="1">
        <v>46128</v>
      </c>
      <c r="K1583" s="18" t="s">
        <v>766</v>
      </c>
      <c r="L1583" s="18" t="s">
        <v>18</v>
      </c>
      <c r="M1583" s="18" t="s">
        <v>19</v>
      </c>
      <c r="N1583" s="18" t="s">
        <v>2019</v>
      </c>
      <c r="O1583">
        <v>30</v>
      </c>
    </row>
    <row r="1584" spans="1:15" x14ac:dyDescent="0.25">
      <c r="A1584" s="18" t="s">
        <v>7276</v>
      </c>
      <c r="B1584" s="18" t="s">
        <v>2017</v>
      </c>
      <c r="C1584" s="18" t="s">
        <v>2018</v>
      </c>
      <c r="D1584" s="18" t="s">
        <v>2016</v>
      </c>
      <c r="E1584" s="18" t="s">
        <v>6974</v>
      </c>
      <c r="F1584" s="2">
        <f>+J1584-I1584</f>
        <v>30</v>
      </c>
      <c r="G1584" s="2">
        <f ca="1">+TODAY()-I1584</f>
        <v>9</v>
      </c>
      <c r="H1584" s="15">
        <v>3976405</v>
      </c>
      <c r="I1584" s="1">
        <v>46111</v>
      </c>
      <c r="J1584" s="1">
        <v>46141</v>
      </c>
      <c r="K1584" s="18" t="s">
        <v>766</v>
      </c>
      <c r="L1584" s="18" t="s">
        <v>18</v>
      </c>
      <c r="M1584" s="18" t="s">
        <v>19</v>
      </c>
      <c r="N1584" s="18" t="s">
        <v>2019</v>
      </c>
      <c r="O1584">
        <v>30</v>
      </c>
    </row>
    <row r="1585" spans="1:15" x14ac:dyDescent="0.25">
      <c r="A1585" s="18" t="s">
        <v>7276</v>
      </c>
      <c r="B1585" s="18" t="s">
        <v>2017</v>
      </c>
      <c r="C1585" s="18" t="s">
        <v>2018</v>
      </c>
      <c r="D1585" s="18" t="s">
        <v>2016</v>
      </c>
      <c r="E1585" s="18" t="s">
        <v>6975</v>
      </c>
      <c r="F1585" s="2">
        <f>+J1585-I1585</f>
        <v>30</v>
      </c>
      <c r="G1585" s="2">
        <f ca="1">+TODAY()-I1585</f>
        <v>9</v>
      </c>
      <c r="H1585" s="15">
        <v>3923339</v>
      </c>
      <c r="I1585" s="1">
        <v>46111</v>
      </c>
      <c r="J1585" s="1">
        <v>46141</v>
      </c>
      <c r="K1585" s="18" t="s">
        <v>766</v>
      </c>
      <c r="L1585" s="18" t="s">
        <v>18</v>
      </c>
      <c r="M1585" s="18" t="s">
        <v>19</v>
      </c>
      <c r="N1585" s="18" t="s">
        <v>2019</v>
      </c>
      <c r="O1585">
        <v>30</v>
      </c>
    </row>
    <row r="1586" spans="1:15" x14ac:dyDescent="0.25">
      <c r="A1586" s="18" t="s">
        <v>7276</v>
      </c>
      <c r="B1586" s="18" t="s">
        <v>2017</v>
      </c>
      <c r="C1586" s="18" t="s">
        <v>2018</v>
      </c>
      <c r="D1586" s="18" t="s">
        <v>2016</v>
      </c>
      <c r="E1586" s="18" t="s">
        <v>6976</v>
      </c>
      <c r="F1586" s="2">
        <f>+J1586-I1586</f>
        <v>30</v>
      </c>
      <c r="G1586" s="2">
        <f ca="1">+TODAY()-I1586</f>
        <v>9</v>
      </c>
      <c r="H1586" s="15">
        <v>2007398</v>
      </c>
      <c r="I1586" s="1">
        <v>46111</v>
      </c>
      <c r="J1586" s="1">
        <v>46141</v>
      </c>
      <c r="K1586" s="18" t="s">
        <v>766</v>
      </c>
      <c r="L1586" s="18" t="s">
        <v>18</v>
      </c>
      <c r="M1586" s="18" t="s">
        <v>19</v>
      </c>
      <c r="N1586" s="18" t="s">
        <v>2019</v>
      </c>
      <c r="O1586">
        <v>30</v>
      </c>
    </row>
    <row r="1587" spans="1:15" x14ac:dyDescent="0.25">
      <c r="A1587" s="18" t="s">
        <v>7276</v>
      </c>
      <c r="B1587" s="18" t="s">
        <v>2017</v>
      </c>
      <c r="C1587" s="18" t="s">
        <v>2018</v>
      </c>
      <c r="D1587" s="18" t="s">
        <v>2016</v>
      </c>
      <c r="E1587" s="18" t="s">
        <v>6977</v>
      </c>
      <c r="F1587" s="2">
        <f>+J1587-I1587</f>
        <v>30</v>
      </c>
      <c r="G1587" s="2">
        <f ca="1">+TODAY()-I1587</f>
        <v>9</v>
      </c>
      <c r="H1587" s="15">
        <v>3918702</v>
      </c>
      <c r="I1587" s="1">
        <v>46111</v>
      </c>
      <c r="J1587" s="1">
        <v>46141</v>
      </c>
      <c r="K1587" s="18" t="s">
        <v>766</v>
      </c>
      <c r="L1587" s="18" t="s">
        <v>18</v>
      </c>
      <c r="M1587" s="18" t="s">
        <v>19</v>
      </c>
      <c r="N1587" s="18" t="s">
        <v>2019</v>
      </c>
      <c r="O1587">
        <v>30</v>
      </c>
    </row>
    <row r="1588" spans="1:15" x14ac:dyDescent="0.25">
      <c r="A1588" s="18" t="s">
        <v>7276</v>
      </c>
      <c r="B1588" s="18" t="s">
        <v>1695</v>
      </c>
      <c r="C1588" s="18" t="s">
        <v>1696</v>
      </c>
      <c r="D1588" s="18" t="s">
        <v>1689</v>
      </c>
      <c r="E1588" s="18" t="s">
        <v>2174</v>
      </c>
      <c r="F1588" s="2">
        <f>+J1588-I1588</f>
        <v>30</v>
      </c>
      <c r="G1588" s="2">
        <f ca="1">+TODAY()-I1588</f>
        <v>137</v>
      </c>
      <c r="H1588" s="15">
        <v>218155</v>
      </c>
      <c r="I1588" s="1">
        <v>45983</v>
      </c>
      <c r="J1588" s="1">
        <v>46013</v>
      </c>
      <c r="K1588" s="18" t="s">
        <v>1691</v>
      </c>
      <c r="L1588" s="18" t="s">
        <v>984</v>
      </c>
      <c r="M1588" s="18" t="s">
        <v>19</v>
      </c>
      <c r="N1588" s="18" t="s">
        <v>1697</v>
      </c>
      <c r="O1588">
        <v>1</v>
      </c>
    </row>
    <row r="1589" spans="1:15" x14ac:dyDescent="0.25">
      <c r="A1589" s="18" t="s">
        <v>7276</v>
      </c>
      <c r="B1589" s="18" t="s">
        <v>1695</v>
      </c>
      <c r="C1589" s="18" t="s">
        <v>1696</v>
      </c>
      <c r="D1589" s="18" t="s">
        <v>1689</v>
      </c>
      <c r="E1589" s="18" t="s">
        <v>2285</v>
      </c>
      <c r="F1589" s="2">
        <f>+J1589-I1589</f>
        <v>30</v>
      </c>
      <c r="G1589" s="2">
        <f ca="1">+TODAY()-I1589</f>
        <v>124</v>
      </c>
      <c r="H1589" s="15">
        <v>826068</v>
      </c>
      <c r="I1589" s="1">
        <v>45996</v>
      </c>
      <c r="J1589" s="1">
        <v>46026</v>
      </c>
      <c r="K1589" s="18" t="s">
        <v>1691</v>
      </c>
      <c r="L1589" s="18" t="s">
        <v>984</v>
      </c>
      <c r="M1589" s="18" t="s">
        <v>19</v>
      </c>
      <c r="N1589" s="18" t="s">
        <v>1697</v>
      </c>
      <c r="O1589">
        <v>1</v>
      </c>
    </row>
    <row r="1590" spans="1:15" x14ac:dyDescent="0.25">
      <c r="A1590" s="18" t="s">
        <v>7276</v>
      </c>
      <c r="B1590" s="18" t="s">
        <v>1695</v>
      </c>
      <c r="C1590" s="18" t="s">
        <v>1696</v>
      </c>
      <c r="D1590" s="18" t="s">
        <v>1689</v>
      </c>
      <c r="E1590" s="18" t="s">
        <v>5352</v>
      </c>
      <c r="F1590" s="2">
        <f>+J1590-I1590</f>
        <v>30</v>
      </c>
      <c r="G1590" s="2">
        <f ca="1">+TODAY()-I1590</f>
        <v>40</v>
      </c>
      <c r="H1590" s="15">
        <v>686000</v>
      </c>
      <c r="I1590" s="1">
        <v>46080</v>
      </c>
      <c r="J1590" s="1">
        <v>46110</v>
      </c>
      <c r="K1590" s="18" t="s">
        <v>1691</v>
      </c>
      <c r="L1590" s="18" t="s">
        <v>984</v>
      </c>
      <c r="M1590" s="18" t="s">
        <v>19</v>
      </c>
      <c r="N1590" s="18" t="s">
        <v>1697</v>
      </c>
      <c r="O1590">
        <v>1</v>
      </c>
    </row>
    <row r="1591" spans="1:15" x14ac:dyDescent="0.25">
      <c r="A1591" s="18" t="s">
        <v>7276</v>
      </c>
      <c r="B1591" s="18" t="s">
        <v>1695</v>
      </c>
      <c r="C1591" s="18" t="s">
        <v>1696</v>
      </c>
      <c r="D1591" s="18" t="s">
        <v>1689</v>
      </c>
      <c r="E1591" s="18" t="s">
        <v>5353</v>
      </c>
      <c r="F1591" s="2">
        <f>+J1591-I1591</f>
        <v>30</v>
      </c>
      <c r="G1591" s="2">
        <f ca="1">+TODAY()-I1591</f>
        <v>40</v>
      </c>
      <c r="H1591" s="15">
        <v>1310836</v>
      </c>
      <c r="I1591" s="1">
        <v>46080</v>
      </c>
      <c r="J1591" s="1">
        <v>46110</v>
      </c>
      <c r="K1591" s="18" t="s">
        <v>1691</v>
      </c>
      <c r="L1591" s="18" t="s">
        <v>984</v>
      </c>
      <c r="M1591" s="18" t="s">
        <v>19</v>
      </c>
      <c r="N1591" s="18" t="s">
        <v>1697</v>
      </c>
      <c r="O1591">
        <v>1</v>
      </c>
    </row>
    <row r="1592" spans="1:15" x14ac:dyDescent="0.25">
      <c r="A1592" s="18" t="s">
        <v>7276</v>
      </c>
      <c r="B1592" s="18" t="s">
        <v>1695</v>
      </c>
      <c r="C1592" s="18" t="s">
        <v>1696</v>
      </c>
      <c r="D1592" s="18" t="s">
        <v>1689</v>
      </c>
      <c r="E1592" s="18" t="s">
        <v>6106</v>
      </c>
      <c r="F1592" s="2">
        <f>+J1592-I1592</f>
        <v>30</v>
      </c>
      <c r="G1592" s="2">
        <f ca="1">+TODAY()-I1592</f>
        <v>27</v>
      </c>
      <c r="H1592" s="15">
        <v>820790</v>
      </c>
      <c r="I1592" s="1">
        <v>46093</v>
      </c>
      <c r="J1592" s="1">
        <v>46123</v>
      </c>
      <c r="K1592" s="18" t="s">
        <v>1691</v>
      </c>
      <c r="L1592" s="18" t="s">
        <v>984</v>
      </c>
      <c r="M1592" s="18" t="s">
        <v>19</v>
      </c>
      <c r="N1592" s="18" t="s">
        <v>1697</v>
      </c>
      <c r="O1592">
        <v>1</v>
      </c>
    </row>
    <row r="1593" spans="1:15" x14ac:dyDescent="0.25">
      <c r="A1593" s="18" t="s">
        <v>7276</v>
      </c>
      <c r="B1593" s="18" t="s">
        <v>1695</v>
      </c>
      <c r="C1593" s="18" t="s">
        <v>1696</v>
      </c>
      <c r="D1593" s="18" t="s">
        <v>1689</v>
      </c>
      <c r="E1593" s="18" t="s">
        <v>6107</v>
      </c>
      <c r="F1593" s="2">
        <f>+J1593-I1593</f>
        <v>30</v>
      </c>
      <c r="G1593" s="2">
        <f ca="1">+TODAY()-I1593</f>
        <v>27</v>
      </c>
      <c r="H1593" s="15">
        <v>195605</v>
      </c>
      <c r="I1593" s="1">
        <v>46093</v>
      </c>
      <c r="J1593" s="1">
        <v>46123</v>
      </c>
      <c r="K1593" s="18" t="s">
        <v>1691</v>
      </c>
      <c r="L1593" s="18" t="s">
        <v>984</v>
      </c>
      <c r="M1593" s="18" t="s">
        <v>19</v>
      </c>
      <c r="N1593" s="18" t="s">
        <v>1697</v>
      </c>
      <c r="O1593">
        <v>1</v>
      </c>
    </row>
    <row r="1594" spans="1:15" x14ac:dyDescent="0.25">
      <c r="A1594" s="18" t="s">
        <v>7276</v>
      </c>
      <c r="B1594" s="18" t="s">
        <v>4991</v>
      </c>
      <c r="C1594" s="18" t="s">
        <v>4992</v>
      </c>
      <c r="D1594" s="18" t="s">
        <v>854</v>
      </c>
      <c r="E1594" s="18" t="s">
        <v>5234</v>
      </c>
      <c r="F1594" s="2">
        <f>+J1594-I1594</f>
        <v>30</v>
      </c>
      <c r="G1594" s="2">
        <f ca="1">+TODAY()-I1594</f>
        <v>39</v>
      </c>
      <c r="H1594" s="15">
        <v>565215</v>
      </c>
      <c r="I1594" s="1">
        <v>46081</v>
      </c>
      <c r="J1594" s="1">
        <v>46111</v>
      </c>
      <c r="K1594" s="18" t="s">
        <v>845</v>
      </c>
      <c r="L1594" s="18" t="s">
        <v>18</v>
      </c>
      <c r="M1594" s="18" t="s">
        <v>19</v>
      </c>
      <c r="N1594" s="18" t="s">
        <v>4993</v>
      </c>
      <c r="O1594">
        <v>30</v>
      </c>
    </row>
    <row r="1595" spans="1:15" x14ac:dyDescent="0.25">
      <c r="A1595" s="18" t="s">
        <v>7276</v>
      </c>
      <c r="B1595" s="18" t="s">
        <v>1773</v>
      </c>
      <c r="C1595" s="18" t="s">
        <v>1774</v>
      </c>
      <c r="D1595" s="18" t="s">
        <v>1775</v>
      </c>
      <c r="E1595" s="18" t="s">
        <v>1776</v>
      </c>
      <c r="F1595" s="2">
        <f>+J1595-I1595</f>
        <v>25</v>
      </c>
      <c r="G1595" s="2">
        <f ca="1">+TODAY()-I1595</f>
        <v>2553</v>
      </c>
      <c r="H1595" s="15">
        <v>1330000</v>
      </c>
      <c r="I1595" s="1">
        <v>43567</v>
      </c>
      <c r="J1595" s="1">
        <v>43592</v>
      </c>
      <c r="K1595" s="18" t="s">
        <v>1777</v>
      </c>
      <c r="L1595" s="18" t="s">
        <v>1778</v>
      </c>
      <c r="M1595" s="18" t="s">
        <v>19</v>
      </c>
      <c r="N1595" s="18" t="s">
        <v>1779</v>
      </c>
      <c r="O1595">
        <v>1</v>
      </c>
    </row>
    <row r="1596" spans="1:15" x14ac:dyDescent="0.25">
      <c r="A1596" s="18" t="s">
        <v>7276</v>
      </c>
      <c r="B1596" s="18" t="s">
        <v>1601</v>
      </c>
      <c r="C1596" s="18" t="s">
        <v>1602</v>
      </c>
      <c r="D1596" s="18" t="s">
        <v>1593</v>
      </c>
      <c r="E1596" s="18" t="s">
        <v>5046</v>
      </c>
      <c r="F1596" s="2">
        <f>+J1596-I1596</f>
        <v>30</v>
      </c>
      <c r="G1596" s="2">
        <f ca="1">+TODAY()-I1596</f>
        <v>60</v>
      </c>
      <c r="H1596" s="15">
        <v>548000</v>
      </c>
      <c r="I1596" s="1">
        <v>46060</v>
      </c>
      <c r="J1596" s="1">
        <v>46090</v>
      </c>
      <c r="K1596" s="18" t="s">
        <v>1589</v>
      </c>
      <c r="L1596" s="18" t="s">
        <v>984</v>
      </c>
      <c r="M1596" s="18" t="s">
        <v>19</v>
      </c>
      <c r="N1596" s="18" t="s">
        <v>1603</v>
      </c>
      <c r="O1596">
        <v>30</v>
      </c>
    </row>
    <row r="1597" spans="1:15" x14ac:dyDescent="0.25">
      <c r="A1597" s="18" t="s">
        <v>7276</v>
      </c>
      <c r="B1597" s="18" t="s">
        <v>1601</v>
      </c>
      <c r="C1597" s="18" t="s">
        <v>1602</v>
      </c>
      <c r="D1597" s="18" t="s">
        <v>1593</v>
      </c>
      <c r="E1597" s="18" t="s">
        <v>5056</v>
      </c>
      <c r="F1597" s="2">
        <f>+J1597-I1597</f>
        <v>27</v>
      </c>
      <c r="G1597" s="2">
        <f ca="1">+TODAY()-I1597</f>
        <v>56</v>
      </c>
      <c r="H1597" s="15">
        <v>1300598</v>
      </c>
      <c r="I1597" s="1">
        <v>46064</v>
      </c>
      <c r="J1597" s="1">
        <v>46091</v>
      </c>
      <c r="K1597" s="18" t="s">
        <v>1589</v>
      </c>
      <c r="L1597" s="18" t="s">
        <v>984</v>
      </c>
      <c r="M1597" s="18" t="s">
        <v>19</v>
      </c>
      <c r="N1597" s="18" t="s">
        <v>1603</v>
      </c>
      <c r="O1597">
        <v>30</v>
      </c>
    </row>
    <row r="1598" spans="1:15" x14ac:dyDescent="0.25">
      <c r="A1598" s="18" t="s">
        <v>7276</v>
      </c>
      <c r="B1598" s="18" t="s">
        <v>1601</v>
      </c>
      <c r="C1598" s="18" t="s">
        <v>1602</v>
      </c>
      <c r="D1598" s="18" t="s">
        <v>1593</v>
      </c>
      <c r="E1598" s="18" t="s">
        <v>5156</v>
      </c>
      <c r="F1598" s="2">
        <f>+J1598-I1598</f>
        <v>30</v>
      </c>
      <c r="G1598" s="2">
        <f ca="1">+TODAY()-I1598</f>
        <v>53</v>
      </c>
      <c r="H1598" s="15">
        <v>147540</v>
      </c>
      <c r="I1598" s="1">
        <v>46067</v>
      </c>
      <c r="J1598" s="1">
        <v>46097</v>
      </c>
      <c r="K1598" s="18" t="s">
        <v>1589</v>
      </c>
      <c r="L1598" s="18" t="s">
        <v>984</v>
      </c>
      <c r="M1598" s="18" t="s">
        <v>19</v>
      </c>
      <c r="N1598" s="18" t="s">
        <v>1603</v>
      </c>
      <c r="O1598">
        <v>30</v>
      </c>
    </row>
    <row r="1599" spans="1:15" x14ac:dyDescent="0.25">
      <c r="A1599" s="18" t="s">
        <v>7276</v>
      </c>
      <c r="B1599" s="18" t="s">
        <v>1601</v>
      </c>
      <c r="C1599" s="18" t="s">
        <v>1602</v>
      </c>
      <c r="D1599" s="18" t="s">
        <v>1593</v>
      </c>
      <c r="E1599" s="18" t="s">
        <v>5315</v>
      </c>
      <c r="F1599" s="2">
        <f>+J1599-I1599</f>
        <v>30</v>
      </c>
      <c r="G1599" s="2">
        <f ca="1">+TODAY()-I1599</f>
        <v>44</v>
      </c>
      <c r="H1599" s="15">
        <v>2069438</v>
      </c>
      <c r="I1599" s="1">
        <v>46076</v>
      </c>
      <c r="J1599" s="1">
        <v>46106</v>
      </c>
      <c r="K1599" s="18" t="s">
        <v>1589</v>
      </c>
      <c r="L1599" s="18" t="s">
        <v>984</v>
      </c>
      <c r="M1599" s="18" t="s">
        <v>19</v>
      </c>
      <c r="N1599" s="18" t="s">
        <v>1603</v>
      </c>
      <c r="O1599">
        <v>30</v>
      </c>
    </row>
    <row r="1600" spans="1:15" x14ac:dyDescent="0.25">
      <c r="A1600" s="18" t="s">
        <v>7276</v>
      </c>
      <c r="B1600" s="18" t="s">
        <v>1601</v>
      </c>
      <c r="C1600" s="18" t="s">
        <v>1602</v>
      </c>
      <c r="D1600" s="18" t="s">
        <v>1593</v>
      </c>
      <c r="E1600" s="18" t="s">
        <v>5334</v>
      </c>
      <c r="F1600" s="2">
        <f>+J1600-I1600</f>
        <v>30</v>
      </c>
      <c r="G1600" s="2">
        <f ca="1">+TODAY()-I1600</f>
        <v>41</v>
      </c>
      <c r="H1600" s="15">
        <v>2120400</v>
      </c>
      <c r="I1600" s="1">
        <v>46079</v>
      </c>
      <c r="J1600" s="1">
        <v>46109</v>
      </c>
      <c r="K1600" s="18" t="s">
        <v>1589</v>
      </c>
      <c r="L1600" s="18" t="s">
        <v>984</v>
      </c>
      <c r="M1600" s="18" t="s">
        <v>19</v>
      </c>
      <c r="N1600" s="18" t="s">
        <v>1603</v>
      </c>
      <c r="O1600">
        <v>30</v>
      </c>
    </row>
    <row r="1601" spans="1:15" x14ac:dyDescent="0.25">
      <c r="A1601" s="18" t="s">
        <v>7276</v>
      </c>
      <c r="B1601" s="18" t="s">
        <v>1601</v>
      </c>
      <c r="C1601" s="18" t="s">
        <v>1602</v>
      </c>
      <c r="D1601" s="18" t="s">
        <v>1593</v>
      </c>
      <c r="E1601" s="18" t="s">
        <v>5336</v>
      </c>
      <c r="F1601" s="2">
        <f>+J1601-I1601</f>
        <v>30</v>
      </c>
      <c r="G1601" s="2">
        <f ca="1">+TODAY()-I1601</f>
        <v>41</v>
      </c>
      <c r="H1601" s="15">
        <v>441399</v>
      </c>
      <c r="I1601" s="1">
        <v>46079</v>
      </c>
      <c r="J1601" s="1">
        <v>46109</v>
      </c>
      <c r="K1601" s="18" t="s">
        <v>1589</v>
      </c>
      <c r="L1601" s="18" t="s">
        <v>984</v>
      </c>
      <c r="M1601" s="18" t="s">
        <v>19</v>
      </c>
      <c r="N1601" s="18" t="s">
        <v>1603</v>
      </c>
      <c r="O1601">
        <v>30</v>
      </c>
    </row>
    <row r="1602" spans="1:15" x14ac:dyDescent="0.25">
      <c r="A1602" s="18" t="s">
        <v>7276</v>
      </c>
      <c r="B1602" s="18" t="s">
        <v>1601</v>
      </c>
      <c r="C1602" s="18" t="s">
        <v>1602</v>
      </c>
      <c r="D1602" s="18" t="s">
        <v>1593</v>
      </c>
      <c r="E1602" s="18" t="s">
        <v>5824</v>
      </c>
      <c r="F1602" s="2">
        <f>+J1602-I1602</f>
        <v>30</v>
      </c>
      <c r="G1602" s="2">
        <f ca="1">+TODAY()-I1602</f>
        <v>30</v>
      </c>
      <c r="H1602" s="15">
        <v>2</v>
      </c>
      <c r="I1602" s="1">
        <v>46090</v>
      </c>
      <c r="J1602" s="1">
        <v>46120</v>
      </c>
      <c r="K1602" s="18" t="s">
        <v>1589</v>
      </c>
      <c r="L1602" s="18" t="s">
        <v>984</v>
      </c>
      <c r="M1602" s="18" t="s">
        <v>19</v>
      </c>
      <c r="N1602" s="18" t="s">
        <v>1603</v>
      </c>
      <c r="O1602">
        <v>30</v>
      </c>
    </row>
    <row r="1603" spans="1:15" x14ac:dyDescent="0.25">
      <c r="A1603" s="18" t="s">
        <v>7276</v>
      </c>
      <c r="B1603" s="18" t="s">
        <v>1601</v>
      </c>
      <c r="C1603" s="18" t="s">
        <v>1602</v>
      </c>
      <c r="D1603" s="18" t="s">
        <v>1593</v>
      </c>
      <c r="E1603" s="18" t="s">
        <v>5825</v>
      </c>
      <c r="F1603" s="2">
        <f>+J1603-I1603</f>
        <v>30</v>
      </c>
      <c r="G1603" s="2">
        <f ca="1">+TODAY()-I1603</f>
        <v>30</v>
      </c>
      <c r="H1603" s="15">
        <v>2120000</v>
      </c>
      <c r="I1603" s="1">
        <v>46090</v>
      </c>
      <c r="J1603" s="1">
        <v>46120</v>
      </c>
      <c r="K1603" s="18" t="s">
        <v>1589</v>
      </c>
      <c r="L1603" s="18" t="s">
        <v>984</v>
      </c>
      <c r="M1603" s="18" t="s">
        <v>19</v>
      </c>
      <c r="N1603" s="18" t="s">
        <v>1603</v>
      </c>
      <c r="O1603">
        <v>30</v>
      </c>
    </row>
    <row r="1604" spans="1:15" x14ac:dyDescent="0.25">
      <c r="A1604" s="18" t="s">
        <v>7276</v>
      </c>
      <c r="B1604" s="18" t="s">
        <v>1601</v>
      </c>
      <c r="C1604" s="18" t="s">
        <v>1602</v>
      </c>
      <c r="D1604" s="18" t="s">
        <v>1593</v>
      </c>
      <c r="E1604" s="18" t="s">
        <v>6097</v>
      </c>
      <c r="F1604" s="2">
        <f>+J1604-I1604</f>
        <v>30</v>
      </c>
      <c r="G1604" s="2">
        <f ca="1">+TODAY()-I1604</f>
        <v>27</v>
      </c>
      <c r="H1604" s="15">
        <v>1204704</v>
      </c>
      <c r="I1604" s="1">
        <v>46093</v>
      </c>
      <c r="J1604" s="1">
        <v>46123</v>
      </c>
      <c r="K1604" s="18" t="s">
        <v>1589</v>
      </c>
      <c r="L1604" s="18" t="s">
        <v>984</v>
      </c>
      <c r="M1604" s="18" t="s">
        <v>19</v>
      </c>
      <c r="N1604" s="18" t="s">
        <v>1603</v>
      </c>
      <c r="O1604">
        <v>30</v>
      </c>
    </row>
    <row r="1605" spans="1:15" x14ac:dyDescent="0.25">
      <c r="A1605" s="18" t="s">
        <v>7276</v>
      </c>
      <c r="B1605" s="18" t="s">
        <v>1601</v>
      </c>
      <c r="C1605" s="18" t="s">
        <v>1602</v>
      </c>
      <c r="D1605" s="18" t="s">
        <v>1593</v>
      </c>
      <c r="E1605" s="18" t="s">
        <v>6098</v>
      </c>
      <c r="F1605" s="2">
        <f>+J1605-I1605</f>
        <v>30</v>
      </c>
      <c r="G1605" s="2">
        <f ca="1">+TODAY()-I1605</f>
        <v>27</v>
      </c>
      <c r="H1605" s="15">
        <v>1011500</v>
      </c>
      <c r="I1605" s="1">
        <v>46093</v>
      </c>
      <c r="J1605" s="1">
        <v>46123</v>
      </c>
      <c r="K1605" s="18" t="s">
        <v>1589</v>
      </c>
      <c r="L1605" s="18" t="s">
        <v>984</v>
      </c>
      <c r="M1605" s="18" t="s">
        <v>19</v>
      </c>
      <c r="N1605" s="18" t="s">
        <v>1603</v>
      </c>
      <c r="O1605">
        <v>30</v>
      </c>
    </row>
    <row r="1606" spans="1:15" x14ac:dyDescent="0.25">
      <c r="A1606" s="18" t="s">
        <v>7276</v>
      </c>
      <c r="B1606" s="18" t="s">
        <v>1601</v>
      </c>
      <c r="C1606" s="18" t="s">
        <v>1602</v>
      </c>
      <c r="D1606" s="18" t="s">
        <v>1593</v>
      </c>
      <c r="E1606" s="18" t="s">
        <v>6632</v>
      </c>
      <c r="F1606" s="2">
        <f>+J1606-I1606</f>
        <v>30</v>
      </c>
      <c r="G1606" s="2">
        <f ca="1">+TODAY()-I1606</f>
        <v>15</v>
      </c>
      <c r="H1606" s="15">
        <v>1</v>
      </c>
      <c r="I1606" s="1">
        <v>46105</v>
      </c>
      <c r="J1606" s="1">
        <v>46135</v>
      </c>
      <c r="K1606" s="18" t="s">
        <v>1589</v>
      </c>
      <c r="L1606" s="18" t="s">
        <v>984</v>
      </c>
      <c r="M1606" s="18" t="s">
        <v>19</v>
      </c>
      <c r="N1606" s="18" t="s">
        <v>1603</v>
      </c>
      <c r="O1606">
        <v>30</v>
      </c>
    </row>
    <row r="1607" spans="1:15" x14ac:dyDescent="0.25">
      <c r="A1607" s="18" t="s">
        <v>7276</v>
      </c>
      <c r="B1607" s="18" t="s">
        <v>1601</v>
      </c>
      <c r="C1607" s="18" t="s">
        <v>1602</v>
      </c>
      <c r="D1607" s="18" t="s">
        <v>1593</v>
      </c>
      <c r="E1607" s="18" t="s">
        <v>6633</v>
      </c>
      <c r="F1607" s="2">
        <f>+J1607-I1607</f>
        <v>30</v>
      </c>
      <c r="G1607" s="2">
        <f ca="1">+TODAY()-I1607</f>
        <v>15</v>
      </c>
      <c r="H1607" s="15">
        <v>2120000</v>
      </c>
      <c r="I1607" s="1">
        <v>46105</v>
      </c>
      <c r="J1607" s="1">
        <v>46135</v>
      </c>
      <c r="K1607" s="18" t="s">
        <v>1589</v>
      </c>
      <c r="L1607" s="18" t="s">
        <v>984</v>
      </c>
      <c r="M1607" s="18" t="s">
        <v>19</v>
      </c>
      <c r="N1607" s="18" t="s">
        <v>1603</v>
      </c>
      <c r="O1607">
        <v>30</v>
      </c>
    </row>
    <row r="1608" spans="1:15" x14ac:dyDescent="0.25">
      <c r="A1608" s="18" t="s">
        <v>7276</v>
      </c>
      <c r="B1608" s="18" t="s">
        <v>1601</v>
      </c>
      <c r="C1608" s="18" t="s">
        <v>1602</v>
      </c>
      <c r="D1608" s="18" t="s">
        <v>1593</v>
      </c>
      <c r="E1608" s="18" t="s">
        <v>6689</v>
      </c>
      <c r="F1608" s="2">
        <f>+J1608-I1608</f>
        <v>30</v>
      </c>
      <c r="G1608" s="2">
        <f ca="1">+TODAY()-I1608</f>
        <v>13</v>
      </c>
      <c r="H1608" s="15">
        <v>1227929</v>
      </c>
      <c r="I1608" s="1">
        <v>46107</v>
      </c>
      <c r="J1608" s="1">
        <v>46137</v>
      </c>
      <c r="K1608" s="18" t="s">
        <v>1589</v>
      </c>
      <c r="L1608" s="18" t="s">
        <v>984</v>
      </c>
      <c r="M1608" s="18" t="s">
        <v>19</v>
      </c>
      <c r="N1608" s="18" t="s">
        <v>1603</v>
      </c>
      <c r="O1608">
        <v>30</v>
      </c>
    </row>
    <row r="1609" spans="1:15" x14ac:dyDescent="0.25">
      <c r="A1609" s="18" t="s">
        <v>7276</v>
      </c>
      <c r="B1609" s="18" t="s">
        <v>1601</v>
      </c>
      <c r="C1609" s="18" t="s">
        <v>1602</v>
      </c>
      <c r="D1609" s="18" t="s">
        <v>1593</v>
      </c>
      <c r="E1609" s="18" t="s">
        <v>6690</v>
      </c>
      <c r="F1609" s="2">
        <f>+J1609-I1609</f>
        <v>30</v>
      </c>
      <c r="G1609" s="2">
        <f ca="1">+TODAY()-I1609</f>
        <v>13</v>
      </c>
      <c r="H1609" s="15">
        <v>1290000</v>
      </c>
      <c r="I1609" s="1">
        <v>46107</v>
      </c>
      <c r="J1609" s="1">
        <v>46137</v>
      </c>
      <c r="K1609" s="18" t="s">
        <v>1589</v>
      </c>
      <c r="L1609" s="18" t="s">
        <v>984</v>
      </c>
      <c r="M1609" s="18" t="s">
        <v>19</v>
      </c>
      <c r="N1609" s="18" t="s">
        <v>1603</v>
      </c>
      <c r="O1609">
        <v>30</v>
      </c>
    </row>
    <row r="1610" spans="1:15" x14ac:dyDescent="0.25">
      <c r="A1610" s="18" t="s">
        <v>7276</v>
      </c>
      <c r="B1610" s="18" t="s">
        <v>1601</v>
      </c>
      <c r="C1610" s="18" t="s">
        <v>1602</v>
      </c>
      <c r="D1610" s="18" t="s">
        <v>1593</v>
      </c>
      <c r="E1610" s="18" t="s">
        <v>7831</v>
      </c>
      <c r="F1610" s="2">
        <f>+J1610-I1610</f>
        <v>30</v>
      </c>
      <c r="G1610" s="2">
        <f ca="1">+TODAY()-I1610</f>
        <v>1</v>
      </c>
      <c r="H1610" s="15">
        <v>1871363</v>
      </c>
      <c r="I1610" s="1">
        <v>46119</v>
      </c>
      <c r="J1610" s="1">
        <v>46149</v>
      </c>
      <c r="K1610" s="18" t="s">
        <v>1589</v>
      </c>
      <c r="L1610" s="18" t="s">
        <v>984</v>
      </c>
      <c r="M1610" s="18" t="s">
        <v>19</v>
      </c>
      <c r="N1610" s="18" t="s">
        <v>1603</v>
      </c>
      <c r="O1610">
        <v>30</v>
      </c>
    </row>
    <row r="1611" spans="1:15" x14ac:dyDescent="0.25">
      <c r="A1611" s="18" t="s">
        <v>7276</v>
      </c>
      <c r="B1611" s="18" t="s">
        <v>5031</v>
      </c>
      <c r="C1611" s="18" t="s">
        <v>5032</v>
      </c>
      <c r="D1611" s="18" t="s">
        <v>1478</v>
      </c>
      <c r="E1611" s="18" t="s">
        <v>5033</v>
      </c>
      <c r="F1611" s="2">
        <f>+J1611-I1611</f>
        <v>30</v>
      </c>
      <c r="G1611" s="2">
        <f ca="1">+TODAY()-I1611</f>
        <v>61</v>
      </c>
      <c r="H1611" s="15">
        <v>55953</v>
      </c>
      <c r="I1611" s="1">
        <v>46059</v>
      </c>
      <c r="J1611" s="1">
        <v>46089</v>
      </c>
      <c r="K1611" s="18" t="s">
        <v>1470</v>
      </c>
      <c r="L1611" s="18" t="s">
        <v>981</v>
      </c>
      <c r="M1611" s="18" t="s">
        <v>19</v>
      </c>
      <c r="N1611" s="18" t="s">
        <v>5034</v>
      </c>
      <c r="O1611">
        <v>30</v>
      </c>
    </row>
    <row r="1612" spans="1:15" x14ac:dyDescent="0.25">
      <c r="A1612" s="18" t="s">
        <v>7276</v>
      </c>
      <c r="B1612" s="18" t="s">
        <v>5031</v>
      </c>
      <c r="C1612" s="18" t="s">
        <v>5032</v>
      </c>
      <c r="D1612" s="18" t="s">
        <v>1478</v>
      </c>
      <c r="E1612" s="18" t="s">
        <v>5808</v>
      </c>
      <c r="F1612" s="2">
        <f>+J1612-I1612</f>
        <v>30</v>
      </c>
      <c r="G1612" s="2">
        <f ca="1">+TODAY()-I1612</f>
        <v>33</v>
      </c>
      <c r="H1612" s="15">
        <v>847805</v>
      </c>
      <c r="I1612" s="1">
        <v>46087</v>
      </c>
      <c r="J1612" s="1">
        <v>46117</v>
      </c>
      <c r="K1612" s="18" t="s">
        <v>1470</v>
      </c>
      <c r="L1612" s="18" t="s">
        <v>981</v>
      </c>
      <c r="M1612" s="18" t="s">
        <v>19</v>
      </c>
      <c r="N1612" s="18" t="s">
        <v>5034</v>
      </c>
      <c r="O1612">
        <v>30</v>
      </c>
    </row>
    <row r="1613" spans="1:15" x14ac:dyDescent="0.25">
      <c r="A1613" s="18" t="s">
        <v>7276</v>
      </c>
      <c r="B1613" s="18" t="s">
        <v>5031</v>
      </c>
      <c r="C1613" s="18" t="s">
        <v>5032</v>
      </c>
      <c r="D1613" s="18" t="s">
        <v>1478</v>
      </c>
      <c r="E1613" s="18" t="s">
        <v>5809</v>
      </c>
      <c r="F1613" s="2">
        <f>+J1613-I1613</f>
        <v>30</v>
      </c>
      <c r="G1613" s="2">
        <f ca="1">+TODAY()-I1613</f>
        <v>33</v>
      </c>
      <c r="H1613" s="15">
        <v>1791554</v>
      </c>
      <c r="I1613" s="1">
        <v>46087</v>
      </c>
      <c r="J1613" s="1">
        <v>46117</v>
      </c>
      <c r="K1613" s="18" t="s">
        <v>1470</v>
      </c>
      <c r="L1613" s="18" t="s">
        <v>981</v>
      </c>
      <c r="M1613" s="18" t="s">
        <v>19</v>
      </c>
      <c r="N1613" s="18" t="s">
        <v>5034</v>
      </c>
      <c r="O1613">
        <v>30</v>
      </c>
    </row>
    <row r="1614" spans="1:15" x14ac:dyDescent="0.25">
      <c r="A1614" s="18" t="s">
        <v>7276</v>
      </c>
      <c r="B1614" s="18" t="s">
        <v>5031</v>
      </c>
      <c r="C1614" s="18" t="s">
        <v>5032</v>
      </c>
      <c r="D1614" s="18" t="s">
        <v>1478</v>
      </c>
      <c r="E1614" s="18" t="s">
        <v>7215</v>
      </c>
      <c r="F1614" s="2">
        <f>+J1614-I1614</f>
        <v>30</v>
      </c>
      <c r="G1614" s="2">
        <f ca="1">+TODAY()-I1614</f>
        <v>8</v>
      </c>
      <c r="H1614" s="15">
        <v>755053</v>
      </c>
      <c r="I1614" s="1">
        <v>46112</v>
      </c>
      <c r="J1614" s="1">
        <v>46142</v>
      </c>
      <c r="K1614" s="18" t="s">
        <v>1470</v>
      </c>
      <c r="L1614" s="18" t="s">
        <v>981</v>
      </c>
      <c r="M1614" s="18" t="s">
        <v>19</v>
      </c>
      <c r="N1614" s="18" t="s">
        <v>5034</v>
      </c>
      <c r="O1614">
        <v>30</v>
      </c>
    </row>
    <row r="1615" spans="1:15" x14ac:dyDescent="0.25">
      <c r="A1615" s="18" t="s">
        <v>7276</v>
      </c>
      <c r="B1615" s="18" t="s">
        <v>4109</v>
      </c>
      <c r="C1615" s="18" t="s">
        <v>4110</v>
      </c>
      <c r="D1615" s="18" t="s">
        <v>875</v>
      </c>
      <c r="E1615" s="18" t="s">
        <v>7570</v>
      </c>
      <c r="F1615" s="2">
        <f>+J1615-I1615</f>
        <v>1</v>
      </c>
      <c r="G1615" s="2">
        <f ca="1">+TODAY()-I1615</f>
        <v>7</v>
      </c>
      <c r="H1615" s="15">
        <v>1124388</v>
      </c>
      <c r="I1615" s="1">
        <v>46113</v>
      </c>
      <c r="J1615" s="1">
        <v>46114</v>
      </c>
      <c r="K1615" s="18" t="s">
        <v>1403</v>
      </c>
      <c r="L1615" s="18" t="s">
        <v>90</v>
      </c>
      <c r="M1615" s="18" t="s">
        <v>19</v>
      </c>
      <c r="N1615" s="18" t="s">
        <v>4112</v>
      </c>
      <c r="O1615">
        <v>1</v>
      </c>
    </row>
    <row r="1616" spans="1:15" x14ac:dyDescent="0.25">
      <c r="A1616" s="18" t="s">
        <v>7276</v>
      </c>
      <c r="B1616" s="18" t="s">
        <v>5011</v>
      </c>
      <c r="C1616" s="18" t="s">
        <v>5012</v>
      </c>
      <c r="D1616" s="18" t="s">
        <v>837</v>
      </c>
      <c r="E1616" s="18" t="s">
        <v>6978</v>
      </c>
      <c r="F1616" s="2">
        <f>+J1616-I1616</f>
        <v>15</v>
      </c>
      <c r="G1616" s="2">
        <f ca="1">+TODAY()-I1616</f>
        <v>9</v>
      </c>
      <c r="H1616" s="15">
        <v>135200</v>
      </c>
      <c r="I1616" s="1">
        <v>46111</v>
      </c>
      <c r="J1616" s="1">
        <v>46126</v>
      </c>
      <c r="K1616" s="18" t="s">
        <v>839</v>
      </c>
      <c r="L1616" s="18" t="s">
        <v>18</v>
      </c>
      <c r="M1616" s="18" t="s">
        <v>19</v>
      </c>
      <c r="N1616" s="18" t="s">
        <v>5013</v>
      </c>
      <c r="O1616">
        <v>15</v>
      </c>
    </row>
    <row r="1617" spans="1:15" x14ac:dyDescent="0.25">
      <c r="A1617" s="18" t="s">
        <v>7276</v>
      </c>
      <c r="B1617" s="18" t="s">
        <v>1575</v>
      </c>
      <c r="C1617" s="18" t="s">
        <v>1576</v>
      </c>
      <c r="D1617" s="18" t="s">
        <v>1563</v>
      </c>
      <c r="E1617" s="18" t="s">
        <v>4120</v>
      </c>
      <c r="F1617" s="2">
        <f>+J1617-I1617</f>
        <v>30</v>
      </c>
      <c r="G1617" s="2">
        <f ca="1">+TODAY()-I1617</f>
        <v>77</v>
      </c>
      <c r="H1617" s="15">
        <v>3241608</v>
      </c>
      <c r="I1617" s="1">
        <v>46043</v>
      </c>
      <c r="J1617" s="1">
        <v>46073</v>
      </c>
      <c r="K1617" s="18" t="s">
        <v>1564</v>
      </c>
      <c r="L1617" s="18" t="s">
        <v>984</v>
      </c>
      <c r="M1617" s="18" t="s">
        <v>19</v>
      </c>
      <c r="N1617" s="18" t="s">
        <v>1577</v>
      </c>
      <c r="O1617">
        <v>30</v>
      </c>
    </row>
    <row r="1618" spans="1:15" x14ac:dyDescent="0.25">
      <c r="A1618" s="18" t="s">
        <v>7276</v>
      </c>
      <c r="B1618" s="18" t="s">
        <v>1575</v>
      </c>
      <c r="C1618" s="18" t="s">
        <v>1576</v>
      </c>
      <c r="D1618" s="18" t="s">
        <v>1563</v>
      </c>
      <c r="E1618" s="18" t="s">
        <v>5151</v>
      </c>
      <c r="F1618" s="2">
        <f>+J1618-I1618</f>
        <v>30</v>
      </c>
      <c r="G1618" s="2">
        <f ca="1">+TODAY()-I1618</f>
        <v>49</v>
      </c>
      <c r="H1618" s="15">
        <v>915615</v>
      </c>
      <c r="I1618" s="1">
        <v>46071</v>
      </c>
      <c r="J1618" s="1">
        <v>46101</v>
      </c>
      <c r="K1618" s="18" t="s">
        <v>1564</v>
      </c>
      <c r="L1618" s="18" t="s">
        <v>984</v>
      </c>
      <c r="M1618" s="18" t="s">
        <v>19</v>
      </c>
      <c r="N1618" s="18" t="s">
        <v>1577</v>
      </c>
      <c r="O1618">
        <v>30</v>
      </c>
    </row>
    <row r="1619" spans="1:15" x14ac:dyDescent="0.25">
      <c r="A1619" s="18" t="s">
        <v>7276</v>
      </c>
      <c r="B1619" s="18" t="s">
        <v>1575</v>
      </c>
      <c r="C1619" s="18" t="s">
        <v>1576</v>
      </c>
      <c r="D1619" s="18" t="s">
        <v>1563</v>
      </c>
      <c r="E1619" s="18" t="s">
        <v>5152</v>
      </c>
      <c r="F1619" s="2">
        <f>+J1619-I1619</f>
        <v>30</v>
      </c>
      <c r="G1619" s="2">
        <f ca="1">+TODAY()-I1619</f>
        <v>49</v>
      </c>
      <c r="H1619" s="15">
        <v>1876743</v>
      </c>
      <c r="I1619" s="1">
        <v>46071</v>
      </c>
      <c r="J1619" s="1">
        <v>46101</v>
      </c>
      <c r="K1619" s="18" t="s">
        <v>1564</v>
      </c>
      <c r="L1619" s="18" t="s">
        <v>984</v>
      </c>
      <c r="M1619" s="18" t="s">
        <v>19</v>
      </c>
      <c r="N1619" s="18" t="s">
        <v>1577</v>
      </c>
      <c r="O1619">
        <v>30</v>
      </c>
    </row>
    <row r="1620" spans="1:15" x14ac:dyDescent="0.25">
      <c r="A1620" s="18" t="s">
        <v>7276</v>
      </c>
      <c r="B1620" s="18" t="s">
        <v>1575</v>
      </c>
      <c r="C1620" s="18" t="s">
        <v>1576</v>
      </c>
      <c r="D1620" s="18" t="s">
        <v>1563</v>
      </c>
      <c r="E1620" s="18" t="s">
        <v>5153</v>
      </c>
      <c r="F1620" s="2">
        <f>+J1620-I1620</f>
        <v>30</v>
      </c>
      <c r="G1620" s="2">
        <f ca="1">+TODAY()-I1620</f>
        <v>49</v>
      </c>
      <c r="H1620" s="15">
        <v>2596652</v>
      </c>
      <c r="I1620" s="1">
        <v>46071</v>
      </c>
      <c r="J1620" s="1">
        <v>46101</v>
      </c>
      <c r="K1620" s="18" t="s">
        <v>1564</v>
      </c>
      <c r="L1620" s="18" t="s">
        <v>984</v>
      </c>
      <c r="M1620" s="18" t="s">
        <v>19</v>
      </c>
      <c r="N1620" s="18" t="s">
        <v>1577</v>
      </c>
      <c r="O1620">
        <v>30</v>
      </c>
    </row>
    <row r="1621" spans="1:15" x14ac:dyDescent="0.25">
      <c r="A1621" s="18" t="s">
        <v>7276</v>
      </c>
      <c r="B1621" s="18" t="s">
        <v>1575</v>
      </c>
      <c r="C1621" s="18" t="s">
        <v>1576</v>
      </c>
      <c r="D1621" s="18" t="s">
        <v>1563</v>
      </c>
      <c r="E1621" s="18" t="s">
        <v>3148</v>
      </c>
      <c r="F1621" s="2">
        <f>+J1621-I1621</f>
        <v>30</v>
      </c>
      <c r="G1621" s="2">
        <f ca="1">+TODAY()-I1621</f>
        <v>92</v>
      </c>
      <c r="H1621" s="15">
        <v>944495</v>
      </c>
      <c r="I1621" s="1">
        <v>46028</v>
      </c>
      <c r="J1621" s="1">
        <v>46058</v>
      </c>
      <c r="K1621" s="18" t="s">
        <v>1564</v>
      </c>
      <c r="L1621" s="18" t="s">
        <v>984</v>
      </c>
      <c r="M1621" s="18" t="s">
        <v>19</v>
      </c>
      <c r="N1621" s="18" t="s">
        <v>1577</v>
      </c>
      <c r="O1621">
        <v>30</v>
      </c>
    </row>
    <row r="1622" spans="1:15" x14ac:dyDescent="0.25">
      <c r="A1622" s="18" t="s">
        <v>7276</v>
      </c>
      <c r="B1622" s="18" t="s">
        <v>4054</v>
      </c>
      <c r="C1622" s="18" t="s">
        <v>4055</v>
      </c>
      <c r="D1622" s="18" t="s">
        <v>1066</v>
      </c>
      <c r="E1622" s="18" t="s">
        <v>7073</v>
      </c>
      <c r="F1622" s="2">
        <f>+J1622-I1622</f>
        <v>1</v>
      </c>
      <c r="G1622" s="2">
        <f ca="1">+TODAY()-I1622</f>
        <v>9</v>
      </c>
      <c r="H1622" s="15">
        <v>86198</v>
      </c>
      <c r="I1622" s="1">
        <v>46111</v>
      </c>
      <c r="J1622" s="1">
        <v>46112</v>
      </c>
      <c r="K1622" s="18" t="s">
        <v>1068</v>
      </c>
      <c r="L1622" s="18" t="s">
        <v>321</v>
      </c>
      <c r="M1622" s="18" t="s">
        <v>19</v>
      </c>
      <c r="N1622" s="18" t="s">
        <v>4056</v>
      </c>
      <c r="O1622">
        <v>30</v>
      </c>
    </row>
    <row r="1623" spans="1:15" x14ac:dyDescent="0.25">
      <c r="A1623" s="18" t="s">
        <v>7276</v>
      </c>
      <c r="B1623" s="18" t="s">
        <v>85</v>
      </c>
      <c r="C1623" s="18" t="s">
        <v>86</v>
      </c>
      <c r="D1623" s="18" t="s">
        <v>46</v>
      </c>
      <c r="E1623" s="18" t="s">
        <v>5915</v>
      </c>
      <c r="F1623" s="2">
        <f>+J1623-I1623</f>
        <v>30</v>
      </c>
      <c r="G1623" s="2">
        <f ca="1">+TODAY()-I1623</f>
        <v>23</v>
      </c>
      <c r="H1623" s="15">
        <v>1875272</v>
      </c>
      <c r="I1623" s="1">
        <v>46097</v>
      </c>
      <c r="J1623" s="1">
        <v>46127</v>
      </c>
      <c r="K1623" s="18" t="s">
        <v>17</v>
      </c>
      <c r="L1623" s="18" t="s">
        <v>32</v>
      </c>
      <c r="M1623" s="18" t="s">
        <v>19</v>
      </c>
      <c r="N1623" s="18" t="s">
        <v>87</v>
      </c>
      <c r="O1623">
        <v>30</v>
      </c>
    </row>
    <row r="1624" spans="1:15" x14ac:dyDescent="0.25">
      <c r="A1624" s="18" t="s">
        <v>7276</v>
      </c>
      <c r="B1624" s="18" t="s">
        <v>85</v>
      </c>
      <c r="C1624" s="18" t="s">
        <v>86</v>
      </c>
      <c r="D1624" s="18" t="s">
        <v>46</v>
      </c>
      <c r="E1624" s="18" t="s">
        <v>5916</v>
      </c>
      <c r="F1624" s="2">
        <f>+J1624-I1624</f>
        <v>30</v>
      </c>
      <c r="G1624" s="2">
        <f ca="1">+TODAY()-I1624</f>
        <v>23</v>
      </c>
      <c r="H1624" s="15">
        <v>1475602</v>
      </c>
      <c r="I1624" s="1">
        <v>46097</v>
      </c>
      <c r="J1624" s="1">
        <v>46127</v>
      </c>
      <c r="K1624" s="18" t="s">
        <v>17</v>
      </c>
      <c r="L1624" s="18" t="s">
        <v>32</v>
      </c>
      <c r="M1624" s="18" t="s">
        <v>19</v>
      </c>
      <c r="N1624" s="18" t="s">
        <v>87</v>
      </c>
      <c r="O1624">
        <v>30</v>
      </c>
    </row>
    <row r="1625" spans="1:15" x14ac:dyDescent="0.25">
      <c r="A1625" s="18" t="s">
        <v>7276</v>
      </c>
      <c r="B1625" s="18" t="s">
        <v>85</v>
      </c>
      <c r="C1625" s="18" t="s">
        <v>86</v>
      </c>
      <c r="D1625" s="18" t="s">
        <v>46</v>
      </c>
      <c r="E1625" s="18" t="s">
        <v>6814</v>
      </c>
      <c r="F1625" s="2">
        <f>+J1625-I1625</f>
        <v>30</v>
      </c>
      <c r="G1625" s="2">
        <f ca="1">+TODAY()-I1625</f>
        <v>8</v>
      </c>
      <c r="H1625" s="15">
        <v>2346078</v>
      </c>
      <c r="I1625" s="1">
        <v>46112</v>
      </c>
      <c r="J1625" s="1">
        <v>46142</v>
      </c>
      <c r="K1625" s="18" t="s">
        <v>17</v>
      </c>
      <c r="L1625" s="18" t="s">
        <v>32</v>
      </c>
      <c r="M1625" s="18" t="s">
        <v>19</v>
      </c>
      <c r="N1625" s="18" t="s">
        <v>87</v>
      </c>
      <c r="O1625">
        <v>30</v>
      </c>
    </row>
    <row r="1626" spans="1:15" x14ac:dyDescent="0.25">
      <c r="A1626" s="18" t="s">
        <v>7276</v>
      </c>
      <c r="B1626" s="18" t="s">
        <v>85</v>
      </c>
      <c r="C1626" s="18" t="s">
        <v>86</v>
      </c>
      <c r="D1626" s="18" t="s">
        <v>46</v>
      </c>
      <c r="E1626" s="18" t="s">
        <v>6815</v>
      </c>
      <c r="F1626" s="2">
        <f>+J1626-I1626</f>
        <v>30</v>
      </c>
      <c r="G1626" s="2">
        <f ca="1">+TODAY()-I1626</f>
        <v>8</v>
      </c>
      <c r="H1626" s="15">
        <v>1412390</v>
      </c>
      <c r="I1626" s="1">
        <v>46112</v>
      </c>
      <c r="J1626" s="1">
        <v>46142</v>
      </c>
      <c r="K1626" s="18" t="s">
        <v>17</v>
      </c>
      <c r="L1626" s="18" t="s">
        <v>32</v>
      </c>
      <c r="M1626" s="18" t="s">
        <v>19</v>
      </c>
      <c r="N1626" s="18" t="s">
        <v>87</v>
      </c>
      <c r="O1626">
        <v>30</v>
      </c>
    </row>
    <row r="1627" spans="1:15" x14ac:dyDescent="0.25">
      <c r="A1627" s="18" t="s">
        <v>7276</v>
      </c>
      <c r="B1627" s="18" t="s">
        <v>85</v>
      </c>
      <c r="C1627" s="18" t="s">
        <v>86</v>
      </c>
      <c r="D1627" s="18" t="s">
        <v>46</v>
      </c>
      <c r="E1627" s="18" t="s">
        <v>6816</v>
      </c>
      <c r="F1627" s="2">
        <f>+J1627-I1627</f>
        <v>10</v>
      </c>
      <c r="G1627" s="2">
        <f ca="1">+TODAY()-I1627</f>
        <v>8</v>
      </c>
      <c r="H1627" s="15">
        <v>630000</v>
      </c>
      <c r="I1627" s="1">
        <v>46112</v>
      </c>
      <c r="J1627" s="1">
        <v>46122</v>
      </c>
      <c r="K1627" s="18" t="s">
        <v>17</v>
      </c>
      <c r="L1627" s="18" t="s">
        <v>32</v>
      </c>
      <c r="M1627" s="18" t="s">
        <v>19</v>
      </c>
      <c r="N1627" s="18" t="s">
        <v>87</v>
      </c>
      <c r="O1627">
        <v>30</v>
      </c>
    </row>
    <row r="1628" spans="1:15" x14ac:dyDescent="0.25">
      <c r="A1628" s="18" t="s">
        <v>7276</v>
      </c>
      <c r="B1628" s="18" t="s">
        <v>6014</v>
      </c>
      <c r="C1628" s="18" t="s">
        <v>6015</v>
      </c>
      <c r="D1628" s="18" t="s">
        <v>1118</v>
      </c>
      <c r="E1628" s="18" t="s">
        <v>7523</v>
      </c>
      <c r="F1628" s="2">
        <f>+J1628-I1628</f>
        <v>1</v>
      </c>
      <c r="G1628" s="2">
        <f ca="1">+TODAY()-I1628</f>
        <v>7</v>
      </c>
      <c r="H1628" s="15">
        <v>109062</v>
      </c>
      <c r="I1628" s="1">
        <v>46113</v>
      </c>
      <c r="J1628" s="1">
        <v>46114</v>
      </c>
      <c r="K1628" s="18" t="s">
        <v>1144</v>
      </c>
      <c r="L1628" s="18" t="s">
        <v>321</v>
      </c>
      <c r="M1628" s="18" t="s">
        <v>19</v>
      </c>
      <c r="N1628" s="18" t="s">
        <v>6016</v>
      </c>
      <c r="O1628">
        <v>1</v>
      </c>
    </row>
    <row r="1629" spans="1:15" x14ac:dyDescent="0.25">
      <c r="A1629" s="18" t="s">
        <v>7276</v>
      </c>
      <c r="B1629" s="18" t="s">
        <v>384</v>
      </c>
      <c r="C1629" s="18" t="s">
        <v>385</v>
      </c>
      <c r="D1629" s="18" t="s">
        <v>347</v>
      </c>
      <c r="E1629" s="18" t="s">
        <v>5692</v>
      </c>
      <c r="F1629" s="2">
        <f>+J1629-I1629</f>
        <v>30</v>
      </c>
      <c r="G1629" s="2">
        <f ca="1">+TODAY()-I1629</f>
        <v>28</v>
      </c>
      <c r="H1629" s="15">
        <v>870699</v>
      </c>
      <c r="I1629" s="1">
        <v>46092</v>
      </c>
      <c r="J1629" s="1">
        <v>46122</v>
      </c>
      <c r="K1629" s="18" t="s">
        <v>343</v>
      </c>
      <c r="L1629" s="18" t="s">
        <v>18</v>
      </c>
      <c r="M1629" s="18" t="s">
        <v>19</v>
      </c>
      <c r="N1629" s="18" t="s">
        <v>386</v>
      </c>
      <c r="O1629">
        <v>30</v>
      </c>
    </row>
    <row r="1630" spans="1:15" x14ac:dyDescent="0.25">
      <c r="A1630" s="18" t="s">
        <v>7276</v>
      </c>
      <c r="B1630" s="18" t="s">
        <v>384</v>
      </c>
      <c r="C1630" s="18" t="s">
        <v>385</v>
      </c>
      <c r="D1630" s="18" t="s">
        <v>347</v>
      </c>
      <c r="E1630" s="18" t="s">
        <v>7695</v>
      </c>
      <c r="F1630" s="2">
        <f>+J1630-I1630</f>
        <v>30</v>
      </c>
      <c r="G1630" s="2">
        <f ca="1">+TODAY()-I1630</f>
        <v>1</v>
      </c>
      <c r="H1630" s="15">
        <v>1196789</v>
      </c>
      <c r="I1630" s="1">
        <v>46119</v>
      </c>
      <c r="J1630" s="1">
        <v>46149</v>
      </c>
      <c r="K1630" s="18" t="s">
        <v>343</v>
      </c>
      <c r="L1630" s="18" t="s">
        <v>18</v>
      </c>
      <c r="M1630" s="18" t="s">
        <v>19</v>
      </c>
      <c r="N1630" s="18" t="s">
        <v>386</v>
      </c>
      <c r="O1630">
        <v>30</v>
      </c>
    </row>
    <row r="1631" spans="1:15" x14ac:dyDescent="0.25">
      <c r="A1631" s="18" t="s">
        <v>7276</v>
      </c>
      <c r="B1631" s="18" t="s">
        <v>4930</v>
      </c>
      <c r="C1631" s="18" t="s">
        <v>4931</v>
      </c>
      <c r="D1631" s="18" t="s">
        <v>1066</v>
      </c>
      <c r="E1631" s="18" t="s">
        <v>7507</v>
      </c>
      <c r="F1631" s="2">
        <f>+J1631-I1631</f>
        <v>1</v>
      </c>
      <c r="G1631" s="2">
        <f ca="1">+TODAY()-I1631</f>
        <v>2</v>
      </c>
      <c r="H1631" s="15">
        <v>43398</v>
      </c>
      <c r="I1631" s="1">
        <v>46118</v>
      </c>
      <c r="J1631" s="1">
        <v>46119</v>
      </c>
      <c r="K1631" s="18" t="s">
        <v>1068</v>
      </c>
      <c r="L1631" s="18" t="s">
        <v>321</v>
      </c>
      <c r="M1631" s="18" t="s">
        <v>19</v>
      </c>
      <c r="N1631" s="18" t="s">
        <v>4933</v>
      </c>
      <c r="O1631">
        <v>30</v>
      </c>
    </row>
    <row r="1632" spans="1:15" x14ac:dyDescent="0.25">
      <c r="A1632" s="18" t="s">
        <v>7276</v>
      </c>
      <c r="B1632" s="18" t="s">
        <v>1333</v>
      </c>
      <c r="C1632" s="18" t="s">
        <v>1334</v>
      </c>
      <c r="D1632" s="18" t="s">
        <v>1323</v>
      </c>
      <c r="E1632" s="18" t="s">
        <v>5479</v>
      </c>
      <c r="F1632" s="2">
        <f>+J1632-I1632</f>
        <v>30</v>
      </c>
      <c r="G1632" s="2">
        <f ca="1">+TODAY()-I1632</f>
        <v>36</v>
      </c>
      <c r="H1632" s="15">
        <v>1656605</v>
      </c>
      <c r="I1632" s="1">
        <v>46084</v>
      </c>
      <c r="J1632" s="1">
        <v>46114</v>
      </c>
      <c r="K1632" s="18" t="s">
        <v>1325</v>
      </c>
      <c r="L1632" s="18" t="s">
        <v>90</v>
      </c>
      <c r="M1632" s="18" t="s">
        <v>19</v>
      </c>
      <c r="N1632" s="18" t="s">
        <v>1335</v>
      </c>
      <c r="O1632">
        <v>30</v>
      </c>
    </row>
    <row r="1633" spans="1:15" x14ac:dyDescent="0.25">
      <c r="A1633" s="18" t="s">
        <v>7276</v>
      </c>
      <c r="B1633" s="18" t="s">
        <v>1333</v>
      </c>
      <c r="C1633" s="18" t="s">
        <v>1334</v>
      </c>
      <c r="D1633" s="18" t="s">
        <v>1323</v>
      </c>
      <c r="E1633" s="18" t="s">
        <v>6593</v>
      </c>
      <c r="F1633" s="2">
        <f>+J1633-I1633</f>
        <v>30</v>
      </c>
      <c r="G1633" s="2">
        <f ca="1">+TODAY()-I1633</f>
        <v>12</v>
      </c>
      <c r="H1633" s="15">
        <v>2830845</v>
      </c>
      <c r="I1633" s="1">
        <v>46108</v>
      </c>
      <c r="J1633" s="1">
        <v>46138</v>
      </c>
      <c r="K1633" s="18" t="s">
        <v>1325</v>
      </c>
      <c r="L1633" s="18" t="s">
        <v>90</v>
      </c>
      <c r="M1633" s="18" t="s">
        <v>19</v>
      </c>
      <c r="N1633" s="18" t="s">
        <v>1335</v>
      </c>
      <c r="O1633">
        <v>30</v>
      </c>
    </row>
    <row r="1634" spans="1:15" x14ac:dyDescent="0.25">
      <c r="A1634" s="18" t="s">
        <v>7276</v>
      </c>
      <c r="B1634" s="18" t="s">
        <v>1333</v>
      </c>
      <c r="C1634" s="18" t="s">
        <v>1334</v>
      </c>
      <c r="D1634" s="18" t="s">
        <v>1323</v>
      </c>
      <c r="E1634" s="18" t="s">
        <v>6594</v>
      </c>
      <c r="F1634" s="2">
        <f>+J1634-I1634</f>
        <v>30</v>
      </c>
      <c r="G1634" s="2">
        <f ca="1">+TODAY()-I1634</f>
        <v>12</v>
      </c>
      <c r="H1634" s="15">
        <v>1928060</v>
      </c>
      <c r="I1634" s="1">
        <v>46108</v>
      </c>
      <c r="J1634" s="1">
        <v>46138</v>
      </c>
      <c r="K1634" s="18" t="s">
        <v>1325</v>
      </c>
      <c r="L1634" s="18" t="s">
        <v>90</v>
      </c>
      <c r="M1634" s="18" t="s">
        <v>19</v>
      </c>
      <c r="N1634" s="18" t="s">
        <v>1335</v>
      </c>
      <c r="O1634">
        <v>30</v>
      </c>
    </row>
    <row r="1635" spans="1:15" x14ac:dyDescent="0.25">
      <c r="A1635" s="18" t="s">
        <v>7276</v>
      </c>
      <c r="B1635" s="18" t="s">
        <v>1364</v>
      </c>
      <c r="C1635" s="18" t="s">
        <v>1365</v>
      </c>
      <c r="D1635" s="18" t="s">
        <v>1323</v>
      </c>
      <c r="E1635" s="18" t="s">
        <v>6426</v>
      </c>
      <c r="F1635" s="2">
        <f>+J1635-I1635</f>
        <v>30</v>
      </c>
      <c r="G1635" s="2">
        <f ca="1">+TODAY()-I1635</f>
        <v>12</v>
      </c>
      <c r="H1635" s="15">
        <v>10555987</v>
      </c>
      <c r="I1635" s="1">
        <v>46108</v>
      </c>
      <c r="J1635" s="1">
        <v>46138</v>
      </c>
      <c r="K1635" s="18" t="s">
        <v>17</v>
      </c>
      <c r="L1635" s="18" t="s">
        <v>90</v>
      </c>
      <c r="M1635" s="18" t="s">
        <v>19</v>
      </c>
      <c r="N1635" s="18" t="s">
        <v>1366</v>
      </c>
      <c r="O1635">
        <v>30</v>
      </c>
    </row>
    <row r="1636" spans="1:15" x14ac:dyDescent="0.25">
      <c r="A1636" s="18" t="s">
        <v>7276</v>
      </c>
      <c r="B1636" s="18" t="s">
        <v>1364</v>
      </c>
      <c r="C1636" s="18" t="s">
        <v>1365</v>
      </c>
      <c r="D1636" s="18" t="s">
        <v>1323</v>
      </c>
      <c r="E1636" s="18" t="s">
        <v>6427</v>
      </c>
      <c r="F1636" s="2">
        <f>+J1636-I1636</f>
        <v>30</v>
      </c>
      <c r="G1636" s="2">
        <f ca="1">+TODAY()-I1636</f>
        <v>12</v>
      </c>
      <c r="H1636" s="15">
        <v>4522425</v>
      </c>
      <c r="I1636" s="1">
        <v>46108</v>
      </c>
      <c r="J1636" s="1">
        <v>46138</v>
      </c>
      <c r="K1636" s="18" t="s">
        <v>17</v>
      </c>
      <c r="L1636" s="18" t="s">
        <v>90</v>
      </c>
      <c r="M1636" s="18" t="s">
        <v>19</v>
      </c>
      <c r="N1636" s="18" t="s">
        <v>1366</v>
      </c>
      <c r="O1636">
        <v>30</v>
      </c>
    </row>
    <row r="1637" spans="1:15" x14ac:dyDescent="0.25">
      <c r="A1637" s="18" t="s">
        <v>7276</v>
      </c>
      <c r="B1637" s="18" t="s">
        <v>1364</v>
      </c>
      <c r="C1637" s="18" t="s">
        <v>1365</v>
      </c>
      <c r="D1637" s="18" t="s">
        <v>1323</v>
      </c>
      <c r="E1637" s="18" t="s">
        <v>5778</v>
      </c>
      <c r="F1637" s="2">
        <f>+J1637-I1637</f>
        <v>30</v>
      </c>
      <c r="G1637" s="2">
        <f ca="1">+TODAY()-I1637</f>
        <v>29</v>
      </c>
      <c r="H1637" s="15">
        <v>5465425</v>
      </c>
      <c r="I1637" s="1">
        <v>46091</v>
      </c>
      <c r="J1637" s="1">
        <v>46121</v>
      </c>
      <c r="K1637" s="18" t="s">
        <v>1325</v>
      </c>
      <c r="L1637" s="18" t="s">
        <v>90</v>
      </c>
      <c r="M1637" s="18" t="s">
        <v>19</v>
      </c>
      <c r="N1637" s="18" t="s">
        <v>1366</v>
      </c>
      <c r="O1637">
        <v>30</v>
      </c>
    </row>
    <row r="1638" spans="1:15" x14ac:dyDescent="0.25">
      <c r="A1638" s="18" t="s">
        <v>7276</v>
      </c>
      <c r="B1638" s="18" t="s">
        <v>1364</v>
      </c>
      <c r="C1638" s="18" t="s">
        <v>1365</v>
      </c>
      <c r="D1638" s="18" t="s">
        <v>1323</v>
      </c>
      <c r="E1638" s="18" t="s">
        <v>5779</v>
      </c>
      <c r="F1638" s="2">
        <f>+J1638-I1638</f>
        <v>30</v>
      </c>
      <c r="G1638" s="2">
        <f ca="1">+TODAY()-I1638</f>
        <v>29</v>
      </c>
      <c r="H1638" s="15">
        <v>5126205</v>
      </c>
      <c r="I1638" s="1">
        <v>46091</v>
      </c>
      <c r="J1638" s="1">
        <v>46121</v>
      </c>
      <c r="K1638" s="18" t="s">
        <v>1325</v>
      </c>
      <c r="L1638" s="18" t="s">
        <v>90</v>
      </c>
      <c r="M1638" s="18" t="s">
        <v>19</v>
      </c>
      <c r="N1638" s="18" t="s">
        <v>1366</v>
      </c>
      <c r="O1638">
        <v>30</v>
      </c>
    </row>
    <row r="1639" spans="1:15" x14ac:dyDescent="0.25">
      <c r="A1639" s="18" t="s">
        <v>7276</v>
      </c>
      <c r="B1639" s="18" t="s">
        <v>1364</v>
      </c>
      <c r="C1639" s="18" t="s">
        <v>1365</v>
      </c>
      <c r="D1639" s="18" t="s">
        <v>1323</v>
      </c>
      <c r="E1639" s="18" t="s">
        <v>5781</v>
      </c>
      <c r="F1639" s="2">
        <f>+J1639-I1639</f>
        <v>30</v>
      </c>
      <c r="G1639" s="2">
        <f ca="1">+TODAY()-I1639</f>
        <v>29</v>
      </c>
      <c r="H1639" s="15">
        <v>2351967</v>
      </c>
      <c r="I1639" s="1">
        <v>46091</v>
      </c>
      <c r="J1639" s="1">
        <v>46121</v>
      </c>
      <c r="K1639" s="18" t="s">
        <v>1325</v>
      </c>
      <c r="L1639" s="18" t="s">
        <v>90</v>
      </c>
      <c r="M1639" s="18" t="s">
        <v>19</v>
      </c>
      <c r="N1639" s="18" t="s">
        <v>1366</v>
      </c>
      <c r="O1639">
        <v>30</v>
      </c>
    </row>
    <row r="1640" spans="1:15" x14ac:dyDescent="0.25">
      <c r="A1640" s="18" t="s">
        <v>7276</v>
      </c>
      <c r="B1640" s="18" t="s">
        <v>1364</v>
      </c>
      <c r="C1640" s="18" t="s">
        <v>1365</v>
      </c>
      <c r="D1640" s="18" t="s">
        <v>1323</v>
      </c>
      <c r="E1640" s="18" t="s">
        <v>5784</v>
      </c>
      <c r="F1640" s="2">
        <f>+J1640-I1640</f>
        <v>30</v>
      </c>
      <c r="G1640" s="2">
        <f ca="1">+TODAY()-I1640</f>
        <v>29</v>
      </c>
      <c r="H1640" s="15">
        <v>4621920</v>
      </c>
      <c r="I1640" s="1">
        <v>46091</v>
      </c>
      <c r="J1640" s="1">
        <v>46121</v>
      </c>
      <c r="K1640" s="18" t="s">
        <v>1325</v>
      </c>
      <c r="L1640" s="18" t="s">
        <v>90</v>
      </c>
      <c r="M1640" s="18" t="s">
        <v>19</v>
      </c>
      <c r="N1640" s="18" t="s">
        <v>1366</v>
      </c>
      <c r="O1640">
        <v>30</v>
      </c>
    </row>
    <row r="1641" spans="1:15" x14ac:dyDescent="0.25">
      <c r="A1641" s="18" t="s">
        <v>7276</v>
      </c>
      <c r="B1641" s="18" t="s">
        <v>1364</v>
      </c>
      <c r="C1641" s="18" t="s">
        <v>1365</v>
      </c>
      <c r="D1641" s="18" t="s">
        <v>1323</v>
      </c>
      <c r="E1641" s="18" t="s">
        <v>5785</v>
      </c>
      <c r="F1641" s="2">
        <f>+J1641-I1641</f>
        <v>30</v>
      </c>
      <c r="G1641" s="2">
        <f ca="1">+TODAY()-I1641</f>
        <v>28</v>
      </c>
      <c r="H1641" s="15">
        <v>288563</v>
      </c>
      <c r="I1641" s="1">
        <v>46092</v>
      </c>
      <c r="J1641" s="1">
        <v>46122</v>
      </c>
      <c r="K1641" s="18" t="s">
        <v>1325</v>
      </c>
      <c r="L1641" s="18" t="s">
        <v>90</v>
      </c>
      <c r="M1641" s="18" t="s">
        <v>19</v>
      </c>
      <c r="N1641" s="18" t="s">
        <v>1366</v>
      </c>
      <c r="O1641">
        <v>30</v>
      </c>
    </row>
    <row r="1642" spans="1:15" x14ac:dyDescent="0.25">
      <c r="A1642" s="18" t="s">
        <v>7276</v>
      </c>
      <c r="B1642" s="18" t="s">
        <v>1364</v>
      </c>
      <c r="C1642" s="18" t="s">
        <v>1365</v>
      </c>
      <c r="D1642" s="18" t="s">
        <v>1323</v>
      </c>
      <c r="E1642" s="18" t="s">
        <v>5786</v>
      </c>
      <c r="F1642" s="2">
        <f>+J1642-I1642</f>
        <v>30</v>
      </c>
      <c r="G1642" s="2">
        <f ca="1">+TODAY()-I1642</f>
        <v>28</v>
      </c>
      <c r="H1642" s="15">
        <v>5906396</v>
      </c>
      <c r="I1642" s="1">
        <v>46092</v>
      </c>
      <c r="J1642" s="1">
        <v>46122</v>
      </c>
      <c r="K1642" s="18" t="s">
        <v>1325</v>
      </c>
      <c r="L1642" s="18" t="s">
        <v>90</v>
      </c>
      <c r="M1642" s="18" t="s">
        <v>19</v>
      </c>
      <c r="N1642" s="18" t="s">
        <v>1366</v>
      </c>
      <c r="O1642">
        <v>30</v>
      </c>
    </row>
    <row r="1643" spans="1:15" x14ac:dyDescent="0.25">
      <c r="A1643" s="18" t="s">
        <v>7276</v>
      </c>
      <c r="B1643" s="18" t="s">
        <v>1364</v>
      </c>
      <c r="C1643" s="18" t="s">
        <v>1365</v>
      </c>
      <c r="D1643" s="18" t="s">
        <v>1323</v>
      </c>
      <c r="E1643" s="18" t="s">
        <v>5792</v>
      </c>
      <c r="F1643" s="2">
        <f>+J1643-I1643</f>
        <v>30</v>
      </c>
      <c r="G1643" s="2">
        <f ca="1">+TODAY()-I1643</f>
        <v>28</v>
      </c>
      <c r="H1643" s="15">
        <v>708900</v>
      </c>
      <c r="I1643" s="1">
        <v>46092</v>
      </c>
      <c r="J1643" s="1">
        <v>46122</v>
      </c>
      <c r="K1643" s="18" t="s">
        <v>1325</v>
      </c>
      <c r="L1643" s="18" t="s">
        <v>90</v>
      </c>
      <c r="M1643" s="18" t="s">
        <v>19</v>
      </c>
      <c r="N1643" s="18" t="s">
        <v>1366</v>
      </c>
      <c r="O1643">
        <v>30</v>
      </c>
    </row>
    <row r="1644" spans="1:15" x14ac:dyDescent="0.25">
      <c r="A1644" s="18" t="s">
        <v>7276</v>
      </c>
      <c r="B1644" s="18" t="s">
        <v>1364</v>
      </c>
      <c r="C1644" s="18" t="s">
        <v>1365</v>
      </c>
      <c r="D1644" s="18" t="s">
        <v>1323</v>
      </c>
      <c r="E1644" s="18" t="s">
        <v>6556</v>
      </c>
      <c r="F1644" s="2">
        <f>+J1644-I1644</f>
        <v>30</v>
      </c>
      <c r="G1644" s="2">
        <f ca="1">+TODAY()-I1644</f>
        <v>14</v>
      </c>
      <c r="H1644" s="15">
        <v>1475000</v>
      </c>
      <c r="I1644" s="1">
        <v>46106</v>
      </c>
      <c r="J1644" s="1">
        <v>46136</v>
      </c>
      <c r="K1644" s="18" t="s">
        <v>1325</v>
      </c>
      <c r="L1644" s="18" t="s">
        <v>90</v>
      </c>
      <c r="M1644" s="18" t="s">
        <v>19</v>
      </c>
      <c r="N1644" s="18" t="s">
        <v>1366</v>
      </c>
      <c r="O1644">
        <v>30</v>
      </c>
    </row>
    <row r="1645" spans="1:15" x14ac:dyDescent="0.25">
      <c r="A1645" s="18" t="s">
        <v>7276</v>
      </c>
      <c r="B1645" s="18" t="s">
        <v>1364</v>
      </c>
      <c r="C1645" s="18" t="s">
        <v>1365</v>
      </c>
      <c r="D1645" s="18" t="s">
        <v>1323</v>
      </c>
      <c r="E1645" s="18" t="s">
        <v>6577</v>
      </c>
      <c r="F1645" s="2">
        <f>+J1645-I1645</f>
        <v>30</v>
      </c>
      <c r="G1645" s="2">
        <f ca="1">+TODAY()-I1645</f>
        <v>13</v>
      </c>
      <c r="H1645" s="15">
        <v>1</v>
      </c>
      <c r="I1645" s="1">
        <v>46107</v>
      </c>
      <c r="J1645" s="1">
        <v>46137</v>
      </c>
      <c r="K1645" s="18" t="s">
        <v>1325</v>
      </c>
      <c r="L1645" s="18" t="s">
        <v>90</v>
      </c>
      <c r="M1645" s="18" t="s">
        <v>19</v>
      </c>
      <c r="N1645" s="18" t="s">
        <v>1366</v>
      </c>
      <c r="O1645">
        <v>30</v>
      </c>
    </row>
    <row r="1646" spans="1:15" x14ac:dyDescent="0.25">
      <c r="A1646" s="18" t="s">
        <v>7276</v>
      </c>
      <c r="B1646" s="18" t="s">
        <v>1364</v>
      </c>
      <c r="C1646" s="18" t="s">
        <v>1365</v>
      </c>
      <c r="D1646" s="18" t="s">
        <v>1323</v>
      </c>
      <c r="E1646" s="18" t="s">
        <v>6578</v>
      </c>
      <c r="F1646" s="2">
        <f>+J1646-I1646</f>
        <v>30</v>
      </c>
      <c r="G1646" s="2">
        <f ca="1">+TODAY()-I1646</f>
        <v>13</v>
      </c>
      <c r="H1646" s="15">
        <v>4200000</v>
      </c>
      <c r="I1646" s="1">
        <v>46107</v>
      </c>
      <c r="J1646" s="1">
        <v>46137</v>
      </c>
      <c r="K1646" s="18" t="s">
        <v>1325</v>
      </c>
      <c r="L1646" s="18" t="s">
        <v>90</v>
      </c>
      <c r="M1646" s="18" t="s">
        <v>19</v>
      </c>
      <c r="N1646" s="18" t="s">
        <v>1366</v>
      </c>
      <c r="O1646">
        <v>30</v>
      </c>
    </row>
    <row r="1647" spans="1:15" x14ac:dyDescent="0.25">
      <c r="A1647" s="18" t="s">
        <v>7276</v>
      </c>
      <c r="B1647" s="18" t="s">
        <v>1364</v>
      </c>
      <c r="C1647" s="18" t="s">
        <v>1365</v>
      </c>
      <c r="D1647" s="18" t="s">
        <v>1323</v>
      </c>
      <c r="E1647" s="18" t="s">
        <v>7187</v>
      </c>
      <c r="F1647" s="2">
        <f>+J1647-I1647</f>
        <v>30</v>
      </c>
      <c r="G1647" s="2">
        <f ca="1">+TODAY()-I1647</f>
        <v>11</v>
      </c>
      <c r="H1647" s="15">
        <v>2032200</v>
      </c>
      <c r="I1647" s="1">
        <v>46109</v>
      </c>
      <c r="J1647" s="1">
        <v>46139</v>
      </c>
      <c r="K1647" s="18" t="s">
        <v>1325</v>
      </c>
      <c r="L1647" s="18" t="s">
        <v>90</v>
      </c>
      <c r="M1647" s="18" t="s">
        <v>19</v>
      </c>
      <c r="N1647" s="18" t="s">
        <v>1366</v>
      </c>
      <c r="O1647">
        <v>30</v>
      </c>
    </row>
    <row r="1648" spans="1:15" x14ac:dyDescent="0.25">
      <c r="A1648" s="18" t="s">
        <v>7276</v>
      </c>
      <c r="B1648" s="18" t="s">
        <v>1607</v>
      </c>
      <c r="C1648" s="18" t="s">
        <v>1608</v>
      </c>
      <c r="D1648" s="18" t="s">
        <v>1593</v>
      </c>
      <c r="E1648" s="18" t="s">
        <v>2277</v>
      </c>
      <c r="F1648" s="2">
        <f>+J1648-I1648</f>
        <v>30</v>
      </c>
      <c r="G1648" s="2">
        <f ca="1">+TODAY()-I1648</f>
        <v>124</v>
      </c>
      <c r="H1648" s="15">
        <v>8000</v>
      </c>
      <c r="I1648" s="1">
        <v>45996</v>
      </c>
      <c r="J1648" s="1">
        <v>46026</v>
      </c>
      <c r="K1648" s="18" t="s">
        <v>1589</v>
      </c>
      <c r="L1648" s="18" t="s">
        <v>984</v>
      </c>
      <c r="M1648" s="18" t="s">
        <v>19</v>
      </c>
      <c r="N1648" s="18" t="s">
        <v>1609</v>
      </c>
      <c r="O1648">
        <v>30</v>
      </c>
    </row>
    <row r="1649" spans="1:15" x14ac:dyDescent="0.25">
      <c r="A1649" s="18" t="s">
        <v>7276</v>
      </c>
      <c r="B1649" s="18" t="s">
        <v>1607</v>
      </c>
      <c r="C1649" s="18" t="s">
        <v>1608</v>
      </c>
      <c r="D1649" s="18" t="s">
        <v>1593</v>
      </c>
      <c r="E1649" s="18" t="s">
        <v>5329</v>
      </c>
      <c r="F1649" s="2">
        <f>+J1649-I1649</f>
        <v>30</v>
      </c>
      <c r="G1649" s="2">
        <f ca="1">+TODAY()-I1649</f>
        <v>41</v>
      </c>
      <c r="H1649" s="15">
        <v>2711671</v>
      </c>
      <c r="I1649" s="1">
        <v>46079</v>
      </c>
      <c r="J1649" s="1">
        <v>46109</v>
      </c>
      <c r="K1649" s="18" t="s">
        <v>1589</v>
      </c>
      <c r="L1649" s="18" t="s">
        <v>984</v>
      </c>
      <c r="M1649" s="18" t="s">
        <v>19</v>
      </c>
      <c r="N1649" s="18" t="s">
        <v>1609</v>
      </c>
      <c r="O1649">
        <v>30</v>
      </c>
    </row>
    <row r="1650" spans="1:15" x14ac:dyDescent="0.25">
      <c r="A1650" s="18" t="s">
        <v>7276</v>
      </c>
      <c r="B1650" s="18" t="s">
        <v>1607</v>
      </c>
      <c r="C1650" s="18" t="s">
        <v>1608</v>
      </c>
      <c r="D1650" s="18" t="s">
        <v>1593</v>
      </c>
      <c r="E1650" s="18" t="s">
        <v>5330</v>
      </c>
      <c r="F1650" s="2">
        <f>+J1650-I1650</f>
        <v>30</v>
      </c>
      <c r="G1650" s="2">
        <f ca="1">+TODAY()-I1650</f>
        <v>41</v>
      </c>
      <c r="H1650" s="15">
        <v>2504354</v>
      </c>
      <c r="I1650" s="1">
        <v>46079</v>
      </c>
      <c r="J1650" s="1">
        <v>46109</v>
      </c>
      <c r="K1650" s="18" t="s">
        <v>1589</v>
      </c>
      <c r="L1650" s="18" t="s">
        <v>984</v>
      </c>
      <c r="M1650" s="18" t="s">
        <v>19</v>
      </c>
      <c r="N1650" s="18" t="s">
        <v>1609</v>
      </c>
      <c r="O1650">
        <v>30</v>
      </c>
    </row>
    <row r="1651" spans="1:15" x14ac:dyDescent="0.25">
      <c r="A1651" s="18" t="s">
        <v>7276</v>
      </c>
      <c r="B1651" s="18" t="s">
        <v>1607</v>
      </c>
      <c r="C1651" s="18" t="s">
        <v>1608</v>
      </c>
      <c r="D1651" s="18" t="s">
        <v>1593</v>
      </c>
      <c r="E1651" s="18" t="s">
        <v>5331</v>
      </c>
      <c r="F1651" s="2">
        <f>+J1651-I1651</f>
        <v>30</v>
      </c>
      <c r="G1651" s="2">
        <f ca="1">+TODAY()-I1651</f>
        <v>41</v>
      </c>
      <c r="H1651" s="15">
        <v>3260002</v>
      </c>
      <c r="I1651" s="1">
        <v>46079</v>
      </c>
      <c r="J1651" s="1">
        <v>46109</v>
      </c>
      <c r="K1651" s="18" t="s">
        <v>1589</v>
      </c>
      <c r="L1651" s="18" t="s">
        <v>984</v>
      </c>
      <c r="M1651" s="18" t="s">
        <v>19</v>
      </c>
      <c r="N1651" s="18" t="s">
        <v>1609</v>
      </c>
      <c r="O1651">
        <v>30</v>
      </c>
    </row>
    <row r="1652" spans="1:15" x14ac:dyDescent="0.25">
      <c r="A1652" s="18" t="s">
        <v>7276</v>
      </c>
      <c r="B1652" s="18" t="s">
        <v>1607</v>
      </c>
      <c r="C1652" s="18" t="s">
        <v>1608</v>
      </c>
      <c r="D1652" s="18" t="s">
        <v>1593</v>
      </c>
      <c r="E1652" s="18" t="s">
        <v>5332</v>
      </c>
      <c r="F1652" s="2">
        <f>+J1652-I1652</f>
        <v>30</v>
      </c>
      <c r="G1652" s="2">
        <f ca="1">+TODAY()-I1652</f>
        <v>41</v>
      </c>
      <c r="H1652" s="15">
        <v>826108</v>
      </c>
      <c r="I1652" s="1">
        <v>46079</v>
      </c>
      <c r="J1652" s="1">
        <v>46109</v>
      </c>
      <c r="K1652" s="18" t="s">
        <v>1589</v>
      </c>
      <c r="L1652" s="18" t="s">
        <v>984</v>
      </c>
      <c r="M1652" s="18" t="s">
        <v>19</v>
      </c>
      <c r="N1652" s="18" t="s">
        <v>1609</v>
      </c>
      <c r="O1652">
        <v>30</v>
      </c>
    </row>
    <row r="1653" spans="1:15" x14ac:dyDescent="0.25">
      <c r="A1653" s="18" t="s">
        <v>7276</v>
      </c>
      <c r="B1653" s="18" t="s">
        <v>1607</v>
      </c>
      <c r="C1653" s="18" t="s">
        <v>1608</v>
      </c>
      <c r="D1653" s="18" t="s">
        <v>1593</v>
      </c>
      <c r="E1653" s="18" t="s">
        <v>6088</v>
      </c>
      <c r="F1653" s="2">
        <f>+J1653-I1653</f>
        <v>30</v>
      </c>
      <c r="G1653" s="2">
        <f ca="1">+TODAY()-I1653</f>
        <v>27</v>
      </c>
      <c r="H1653" s="15">
        <v>2007377</v>
      </c>
      <c r="I1653" s="1">
        <v>46093</v>
      </c>
      <c r="J1653" s="1">
        <v>46123</v>
      </c>
      <c r="K1653" s="18" t="s">
        <v>1589</v>
      </c>
      <c r="L1653" s="18" t="s">
        <v>984</v>
      </c>
      <c r="M1653" s="18" t="s">
        <v>19</v>
      </c>
      <c r="N1653" s="18" t="s">
        <v>1609</v>
      </c>
      <c r="O1653">
        <v>30</v>
      </c>
    </row>
    <row r="1654" spans="1:15" x14ac:dyDescent="0.25">
      <c r="A1654" s="18" t="s">
        <v>7276</v>
      </c>
      <c r="B1654" s="18" t="s">
        <v>1607</v>
      </c>
      <c r="C1654" s="18" t="s">
        <v>1608</v>
      </c>
      <c r="D1654" s="18" t="s">
        <v>1593</v>
      </c>
      <c r="E1654" s="18" t="s">
        <v>6089</v>
      </c>
      <c r="F1654" s="2">
        <f>+J1654-I1654</f>
        <v>30</v>
      </c>
      <c r="G1654" s="2">
        <f ca="1">+TODAY()-I1654</f>
        <v>27</v>
      </c>
      <c r="H1654" s="15">
        <v>974144</v>
      </c>
      <c r="I1654" s="1">
        <v>46093</v>
      </c>
      <c r="J1654" s="1">
        <v>46123</v>
      </c>
      <c r="K1654" s="18" t="s">
        <v>1589</v>
      </c>
      <c r="L1654" s="18" t="s">
        <v>984</v>
      </c>
      <c r="M1654" s="18" t="s">
        <v>19</v>
      </c>
      <c r="N1654" s="18" t="s">
        <v>1609</v>
      </c>
      <c r="O1654">
        <v>30</v>
      </c>
    </row>
    <row r="1655" spans="1:15" x14ac:dyDescent="0.25">
      <c r="A1655" s="18" t="s">
        <v>7276</v>
      </c>
      <c r="B1655" s="18" t="s">
        <v>1607</v>
      </c>
      <c r="C1655" s="18" t="s">
        <v>1608</v>
      </c>
      <c r="D1655" s="18" t="s">
        <v>1593</v>
      </c>
      <c r="E1655" s="18" t="s">
        <v>6090</v>
      </c>
      <c r="F1655" s="2">
        <f>+J1655-I1655</f>
        <v>30</v>
      </c>
      <c r="G1655" s="2">
        <f ca="1">+TODAY()-I1655</f>
        <v>27</v>
      </c>
      <c r="H1655" s="15">
        <v>445816</v>
      </c>
      <c r="I1655" s="1">
        <v>46093</v>
      </c>
      <c r="J1655" s="1">
        <v>46123</v>
      </c>
      <c r="K1655" s="18" t="s">
        <v>1589</v>
      </c>
      <c r="L1655" s="18" t="s">
        <v>984</v>
      </c>
      <c r="M1655" s="18" t="s">
        <v>19</v>
      </c>
      <c r="N1655" s="18" t="s">
        <v>1609</v>
      </c>
      <c r="O1655">
        <v>30</v>
      </c>
    </row>
    <row r="1656" spans="1:15" x14ac:dyDescent="0.25">
      <c r="A1656" s="18" t="s">
        <v>7276</v>
      </c>
      <c r="B1656" s="18" t="s">
        <v>1607</v>
      </c>
      <c r="C1656" s="18" t="s">
        <v>1608</v>
      </c>
      <c r="D1656" s="18" t="s">
        <v>1593</v>
      </c>
      <c r="E1656" s="18" t="s">
        <v>6091</v>
      </c>
      <c r="F1656" s="2">
        <f>+J1656-I1656</f>
        <v>30</v>
      </c>
      <c r="G1656" s="2">
        <f ca="1">+TODAY()-I1656</f>
        <v>27</v>
      </c>
      <c r="H1656" s="15">
        <v>1</v>
      </c>
      <c r="I1656" s="1">
        <v>46093</v>
      </c>
      <c r="J1656" s="1">
        <v>46123</v>
      </c>
      <c r="K1656" s="18" t="s">
        <v>1589</v>
      </c>
      <c r="L1656" s="18" t="s">
        <v>984</v>
      </c>
      <c r="M1656" s="18" t="s">
        <v>19</v>
      </c>
      <c r="N1656" s="18" t="s">
        <v>1609</v>
      </c>
      <c r="O1656">
        <v>30</v>
      </c>
    </row>
    <row r="1657" spans="1:15" x14ac:dyDescent="0.25">
      <c r="A1657" s="18" t="s">
        <v>7276</v>
      </c>
      <c r="B1657" s="18" t="s">
        <v>1607</v>
      </c>
      <c r="C1657" s="18" t="s">
        <v>1608</v>
      </c>
      <c r="D1657" s="18" t="s">
        <v>1593</v>
      </c>
      <c r="E1657" s="18" t="s">
        <v>6092</v>
      </c>
      <c r="F1657" s="2">
        <f>+J1657-I1657</f>
        <v>30</v>
      </c>
      <c r="G1657" s="2">
        <f ca="1">+TODAY()-I1657</f>
        <v>27</v>
      </c>
      <c r="H1657" s="15">
        <v>4162600</v>
      </c>
      <c r="I1657" s="1">
        <v>46093</v>
      </c>
      <c r="J1657" s="1">
        <v>46123</v>
      </c>
      <c r="K1657" s="18" t="s">
        <v>1589</v>
      </c>
      <c r="L1657" s="18" t="s">
        <v>984</v>
      </c>
      <c r="M1657" s="18" t="s">
        <v>19</v>
      </c>
      <c r="N1657" s="18" t="s">
        <v>1609</v>
      </c>
      <c r="O1657">
        <v>30</v>
      </c>
    </row>
    <row r="1658" spans="1:15" x14ac:dyDescent="0.25">
      <c r="A1658" s="18" t="s">
        <v>7276</v>
      </c>
      <c r="B1658" s="18" t="s">
        <v>1607</v>
      </c>
      <c r="C1658" s="18" t="s">
        <v>1608</v>
      </c>
      <c r="D1658" s="18" t="s">
        <v>1593</v>
      </c>
      <c r="E1658" s="18" t="s">
        <v>6651</v>
      </c>
      <c r="F1658" s="2">
        <f>+J1658-I1658</f>
        <v>30</v>
      </c>
      <c r="G1658" s="2">
        <f ca="1">+TODAY()-I1658</f>
        <v>15</v>
      </c>
      <c r="H1658" s="15">
        <v>283815</v>
      </c>
      <c r="I1658" s="1">
        <v>46105</v>
      </c>
      <c r="J1658" s="1">
        <v>46135</v>
      </c>
      <c r="K1658" s="18" t="s">
        <v>1589</v>
      </c>
      <c r="L1658" s="18" t="s">
        <v>984</v>
      </c>
      <c r="M1658" s="18" t="s">
        <v>19</v>
      </c>
      <c r="N1658" s="18" t="s">
        <v>1609</v>
      </c>
      <c r="O1658">
        <v>30</v>
      </c>
    </row>
    <row r="1659" spans="1:15" x14ac:dyDescent="0.25">
      <c r="A1659" s="18" t="s">
        <v>7276</v>
      </c>
      <c r="B1659" s="18" t="s">
        <v>1607</v>
      </c>
      <c r="C1659" s="18" t="s">
        <v>1608</v>
      </c>
      <c r="D1659" s="18" t="s">
        <v>1593</v>
      </c>
      <c r="E1659" s="18" t="s">
        <v>6652</v>
      </c>
      <c r="F1659" s="2">
        <f>+J1659-I1659</f>
        <v>30</v>
      </c>
      <c r="G1659" s="2">
        <f ca="1">+TODAY()-I1659</f>
        <v>15</v>
      </c>
      <c r="H1659" s="15">
        <v>2502000</v>
      </c>
      <c r="I1659" s="1">
        <v>46105</v>
      </c>
      <c r="J1659" s="1">
        <v>46135</v>
      </c>
      <c r="K1659" s="18" t="s">
        <v>1589</v>
      </c>
      <c r="L1659" s="18" t="s">
        <v>984</v>
      </c>
      <c r="M1659" s="18" t="s">
        <v>19</v>
      </c>
      <c r="N1659" s="18" t="s">
        <v>1609</v>
      </c>
      <c r="O1659">
        <v>30</v>
      </c>
    </row>
    <row r="1660" spans="1:15" x14ac:dyDescent="0.25">
      <c r="A1660" s="18" t="s">
        <v>7276</v>
      </c>
      <c r="B1660" s="18" t="s">
        <v>1607</v>
      </c>
      <c r="C1660" s="18" t="s">
        <v>1608</v>
      </c>
      <c r="D1660" s="18" t="s">
        <v>1593</v>
      </c>
      <c r="E1660" s="18" t="s">
        <v>6653</v>
      </c>
      <c r="F1660" s="2">
        <f>+J1660-I1660</f>
        <v>30</v>
      </c>
      <c r="G1660" s="2">
        <f ca="1">+TODAY()-I1660</f>
        <v>15</v>
      </c>
      <c r="H1660" s="15">
        <v>336018</v>
      </c>
      <c r="I1660" s="1">
        <v>46105</v>
      </c>
      <c r="J1660" s="1">
        <v>46135</v>
      </c>
      <c r="K1660" s="18" t="s">
        <v>1589</v>
      </c>
      <c r="L1660" s="18" t="s">
        <v>984</v>
      </c>
      <c r="M1660" s="18" t="s">
        <v>19</v>
      </c>
      <c r="N1660" s="18" t="s">
        <v>1609</v>
      </c>
      <c r="O1660">
        <v>30</v>
      </c>
    </row>
    <row r="1661" spans="1:15" x14ac:dyDescent="0.25">
      <c r="A1661" s="18" t="s">
        <v>7276</v>
      </c>
      <c r="B1661" s="18" t="s">
        <v>1607</v>
      </c>
      <c r="C1661" s="18" t="s">
        <v>1608</v>
      </c>
      <c r="D1661" s="18" t="s">
        <v>1593</v>
      </c>
      <c r="E1661" s="18" t="s">
        <v>6654</v>
      </c>
      <c r="F1661" s="2">
        <f>+J1661-I1661</f>
        <v>30</v>
      </c>
      <c r="G1661" s="2">
        <f ca="1">+TODAY()-I1661</f>
        <v>15</v>
      </c>
      <c r="H1661" s="15">
        <v>1906072</v>
      </c>
      <c r="I1661" s="1">
        <v>46105</v>
      </c>
      <c r="J1661" s="1">
        <v>46135</v>
      </c>
      <c r="K1661" s="18" t="s">
        <v>1589</v>
      </c>
      <c r="L1661" s="18" t="s">
        <v>984</v>
      </c>
      <c r="M1661" s="18" t="s">
        <v>19</v>
      </c>
      <c r="N1661" s="18" t="s">
        <v>1609</v>
      </c>
      <c r="O1661">
        <v>30</v>
      </c>
    </row>
    <row r="1662" spans="1:15" x14ac:dyDescent="0.25">
      <c r="A1662" s="18" t="s">
        <v>7276</v>
      </c>
      <c r="B1662" s="18" t="s">
        <v>1607</v>
      </c>
      <c r="C1662" s="18" t="s">
        <v>1608</v>
      </c>
      <c r="D1662" s="18" t="s">
        <v>1593</v>
      </c>
      <c r="E1662" s="18" t="s">
        <v>6663</v>
      </c>
      <c r="F1662" s="2">
        <f>+J1662-I1662</f>
        <v>30</v>
      </c>
      <c r="G1662" s="2">
        <f ca="1">+TODAY()-I1662</f>
        <v>14</v>
      </c>
      <c r="H1662" s="15">
        <v>2891977</v>
      </c>
      <c r="I1662" s="1">
        <v>46106</v>
      </c>
      <c r="J1662" s="1">
        <v>46136</v>
      </c>
      <c r="K1662" s="18" t="s">
        <v>1589</v>
      </c>
      <c r="L1662" s="18" t="s">
        <v>984</v>
      </c>
      <c r="M1662" s="18" t="s">
        <v>19</v>
      </c>
      <c r="N1662" s="18" t="s">
        <v>1609</v>
      </c>
      <c r="O1662">
        <v>30</v>
      </c>
    </row>
    <row r="1663" spans="1:15" x14ac:dyDescent="0.25">
      <c r="A1663" s="18" t="s">
        <v>7276</v>
      </c>
      <c r="B1663" s="18" t="s">
        <v>1607</v>
      </c>
      <c r="C1663" s="18" t="s">
        <v>1608</v>
      </c>
      <c r="D1663" s="18" t="s">
        <v>1593</v>
      </c>
      <c r="E1663" s="18" t="s">
        <v>6664</v>
      </c>
      <c r="F1663" s="2">
        <f>+J1663-I1663</f>
        <v>30</v>
      </c>
      <c r="G1663" s="2">
        <f ca="1">+TODAY()-I1663</f>
        <v>14</v>
      </c>
      <c r="H1663" s="15">
        <v>724853</v>
      </c>
      <c r="I1663" s="1">
        <v>46106</v>
      </c>
      <c r="J1663" s="1">
        <v>46136</v>
      </c>
      <c r="K1663" s="18" t="s">
        <v>1589</v>
      </c>
      <c r="L1663" s="18" t="s">
        <v>984</v>
      </c>
      <c r="M1663" s="18" t="s">
        <v>19</v>
      </c>
      <c r="N1663" s="18" t="s">
        <v>1609</v>
      </c>
      <c r="O1663">
        <v>30</v>
      </c>
    </row>
    <row r="1664" spans="1:15" x14ac:dyDescent="0.25">
      <c r="A1664" s="18" t="s">
        <v>7276</v>
      </c>
      <c r="B1664" s="18" t="s">
        <v>1607</v>
      </c>
      <c r="C1664" s="18" t="s">
        <v>1608</v>
      </c>
      <c r="D1664" s="18" t="s">
        <v>1593</v>
      </c>
      <c r="E1664" s="18" t="s">
        <v>6665</v>
      </c>
      <c r="F1664" s="2">
        <f>+J1664-I1664</f>
        <v>30</v>
      </c>
      <c r="G1664" s="2">
        <f ca="1">+TODAY()-I1664</f>
        <v>14</v>
      </c>
      <c r="H1664" s="15">
        <v>684000</v>
      </c>
      <c r="I1664" s="1">
        <v>46106</v>
      </c>
      <c r="J1664" s="1">
        <v>46136</v>
      </c>
      <c r="K1664" s="18" t="s">
        <v>1589</v>
      </c>
      <c r="L1664" s="18" t="s">
        <v>984</v>
      </c>
      <c r="M1664" s="18" t="s">
        <v>19</v>
      </c>
      <c r="N1664" s="18" t="s">
        <v>1609</v>
      </c>
      <c r="O1664">
        <v>30</v>
      </c>
    </row>
    <row r="1665" spans="1:15" x14ac:dyDescent="0.25">
      <c r="A1665" s="18" t="s">
        <v>7276</v>
      </c>
      <c r="B1665" s="18" t="s">
        <v>1607</v>
      </c>
      <c r="C1665" s="18" t="s">
        <v>1608</v>
      </c>
      <c r="D1665" s="18" t="s">
        <v>1593</v>
      </c>
      <c r="E1665" s="18" t="s">
        <v>6687</v>
      </c>
      <c r="F1665" s="2">
        <f>+J1665-I1665</f>
        <v>30</v>
      </c>
      <c r="G1665" s="2">
        <f ca="1">+TODAY()-I1665</f>
        <v>13</v>
      </c>
      <c r="H1665" s="15">
        <v>176401</v>
      </c>
      <c r="I1665" s="1">
        <v>46107</v>
      </c>
      <c r="J1665" s="1">
        <v>46137</v>
      </c>
      <c r="K1665" s="18" t="s">
        <v>1589</v>
      </c>
      <c r="L1665" s="18" t="s">
        <v>984</v>
      </c>
      <c r="M1665" s="18" t="s">
        <v>19</v>
      </c>
      <c r="N1665" s="18" t="s">
        <v>1609</v>
      </c>
      <c r="O1665">
        <v>30</v>
      </c>
    </row>
    <row r="1666" spans="1:15" x14ac:dyDescent="0.25">
      <c r="A1666" s="18" t="s">
        <v>7276</v>
      </c>
      <c r="B1666" s="18" t="s">
        <v>121</v>
      </c>
      <c r="C1666" s="18" t="s">
        <v>122</v>
      </c>
      <c r="D1666" s="18" t="s">
        <v>15</v>
      </c>
      <c r="E1666" s="18" t="s">
        <v>5405</v>
      </c>
      <c r="F1666" s="2">
        <f>+J1666-I1666</f>
        <v>30</v>
      </c>
      <c r="G1666" s="2">
        <f ca="1">+TODAY()-I1666</f>
        <v>35</v>
      </c>
      <c r="H1666" s="15">
        <v>1180799</v>
      </c>
      <c r="I1666" s="1">
        <v>46085</v>
      </c>
      <c r="J1666" s="1">
        <v>46115</v>
      </c>
      <c r="K1666" s="18" t="s">
        <v>17</v>
      </c>
      <c r="L1666" s="18" t="s">
        <v>32</v>
      </c>
      <c r="M1666" s="18" t="s">
        <v>19</v>
      </c>
      <c r="N1666" s="18" t="s">
        <v>123</v>
      </c>
      <c r="O1666">
        <v>30</v>
      </c>
    </row>
    <row r="1667" spans="1:15" x14ac:dyDescent="0.25">
      <c r="A1667" s="18" t="s">
        <v>7276</v>
      </c>
      <c r="B1667" s="18" t="s">
        <v>121</v>
      </c>
      <c r="C1667" s="18" t="s">
        <v>122</v>
      </c>
      <c r="D1667" s="18" t="s">
        <v>15</v>
      </c>
      <c r="E1667" s="18" t="s">
        <v>5407</v>
      </c>
      <c r="F1667" s="2">
        <f>+J1667-I1667</f>
        <v>30</v>
      </c>
      <c r="G1667" s="2">
        <f ca="1">+TODAY()-I1667</f>
        <v>35</v>
      </c>
      <c r="H1667" s="15">
        <v>281100</v>
      </c>
      <c r="I1667" s="1">
        <v>46085</v>
      </c>
      <c r="J1667" s="1">
        <v>46115</v>
      </c>
      <c r="K1667" s="18" t="s">
        <v>17</v>
      </c>
      <c r="L1667" s="18" t="s">
        <v>32</v>
      </c>
      <c r="M1667" s="18" t="s">
        <v>19</v>
      </c>
      <c r="N1667" s="18" t="s">
        <v>123</v>
      </c>
      <c r="O1667">
        <v>30</v>
      </c>
    </row>
    <row r="1668" spans="1:15" x14ac:dyDescent="0.25">
      <c r="A1668" s="18" t="s">
        <v>7276</v>
      </c>
      <c r="B1668" s="18" t="s">
        <v>70</v>
      </c>
      <c r="C1668" s="18" t="s">
        <v>71</v>
      </c>
      <c r="D1668" s="18" t="s">
        <v>15</v>
      </c>
      <c r="E1668" s="18" t="s">
        <v>5210</v>
      </c>
      <c r="F1668" s="2">
        <f>+J1668-I1668</f>
        <v>30</v>
      </c>
      <c r="G1668" s="2">
        <f ca="1">+TODAY()-I1668</f>
        <v>39</v>
      </c>
      <c r="H1668" s="15">
        <v>1450000</v>
      </c>
      <c r="I1668" s="1">
        <v>46081</v>
      </c>
      <c r="J1668" s="1">
        <v>46111</v>
      </c>
      <c r="K1668" s="18" t="s">
        <v>17</v>
      </c>
      <c r="L1668" s="18" t="s">
        <v>32</v>
      </c>
      <c r="M1668" s="18" t="s">
        <v>19</v>
      </c>
      <c r="N1668" s="18" t="s">
        <v>72</v>
      </c>
      <c r="O1668">
        <v>30</v>
      </c>
    </row>
    <row r="1669" spans="1:15" x14ac:dyDescent="0.25">
      <c r="A1669" s="18" t="s">
        <v>7276</v>
      </c>
      <c r="B1669" s="18" t="s">
        <v>70</v>
      </c>
      <c r="C1669" s="18" t="s">
        <v>71</v>
      </c>
      <c r="D1669" s="18" t="s">
        <v>15</v>
      </c>
      <c r="E1669" s="18" t="s">
        <v>5385</v>
      </c>
      <c r="F1669" s="2">
        <f>+J1669-I1669</f>
        <v>30</v>
      </c>
      <c r="G1669" s="2">
        <f ca="1">+TODAY()-I1669</f>
        <v>36</v>
      </c>
      <c r="H1669" s="15">
        <v>1007994</v>
      </c>
      <c r="I1669" s="1">
        <v>46084</v>
      </c>
      <c r="J1669" s="1">
        <v>46114</v>
      </c>
      <c r="K1669" s="18" t="s">
        <v>17</v>
      </c>
      <c r="L1669" s="18" t="s">
        <v>32</v>
      </c>
      <c r="M1669" s="18" t="s">
        <v>19</v>
      </c>
      <c r="N1669" s="18" t="s">
        <v>72</v>
      </c>
      <c r="O1669">
        <v>30</v>
      </c>
    </row>
    <row r="1670" spans="1:15" x14ac:dyDescent="0.25">
      <c r="A1670" s="18" t="s">
        <v>7276</v>
      </c>
      <c r="B1670" s="18" t="s">
        <v>70</v>
      </c>
      <c r="C1670" s="18" t="s">
        <v>71</v>
      </c>
      <c r="D1670" s="18" t="s">
        <v>15</v>
      </c>
      <c r="E1670" s="18" t="s">
        <v>5610</v>
      </c>
      <c r="F1670" s="2">
        <f>+J1670-I1670</f>
        <v>30</v>
      </c>
      <c r="G1670" s="2">
        <f ca="1">+TODAY()-I1670</f>
        <v>32</v>
      </c>
      <c r="H1670" s="15">
        <v>36</v>
      </c>
      <c r="I1670" s="1">
        <v>46088</v>
      </c>
      <c r="J1670" s="1">
        <v>46118</v>
      </c>
      <c r="K1670" s="18" t="s">
        <v>17</v>
      </c>
      <c r="L1670" s="18" t="s">
        <v>32</v>
      </c>
      <c r="M1670" s="18" t="s">
        <v>19</v>
      </c>
      <c r="N1670" s="18" t="s">
        <v>72</v>
      </c>
      <c r="O1670">
        <v>30</v>
      </c>
    </row>
    <row r="1671" spans="1:15" x14ac:dyDescent="0.25">
      <c r="A1671" s="18" t="s">
        <v>7276</v>
      </c>
      <c r="B1671" s="18" t="s">
        <v>70</v>
      </c>
      <c r="C1671" s="18" t="s">
        <v>71</v>
      </c>
      <c r="D1671" s="18" t="s">
        <v>15</v>
      </c>
      <c r="E1671" s="18" t="s">
        <v>5611</v>
      </c>
      <c r="F1671" s="2">
        <f>+J1671-I1671</f>
        <v>30</v>
      </c>
      <c r="G1671" s="2">
        <f ca="1">+TODAY()-I1671</f>
        <v>32</v>
      </c>
      <c r="H1671" s="15">
        <v>1224367</v>
      </c>
      <c r="I1671" s="1">
        <v>46088</v>
      </c>
      <c r="J1671" s="1">
        <v>46118</v>
      </c>
      <c r="K1671" s="18" t="s">
        <v>17</v>
      </c>
      <c r="L1671" s="18" t="s">
        <v>32</v>
      </c>
      <c r="M1671" s="18" t="s">
        <v>19</v>
      </c>
      <c r="N1671" s="18" t="s">
        <v>72</v>
      </c>
      <c r="O1671">
        <v>30</v>
      </c>
    </row>
    <row r="1672" spans="1:15" x14ac:dyDescent="0.25">
      <c r="A1672" s="18" t="s">
        <v>7276</v>
      </c>
      <c r="B1672" s="18" t="s">
        <v>70</v>
      </c>
      <c r="C1672" s="18" t="s">
        <v>71</v>
      </c>
      <c r="D1672" s="18" t="s">
        <v>15</v>
      </c>
      <c r="E1672" s="18" t="s">
        <v>5619</v>
      </c>
      <c r="F1672" s="2">
        <f>+J1672-I1672</f>
        <v>30</v>
      </c>
      <c r="G1672" s="2">
        <f ca="1">+TODAY()-I1672</f>
        <v>30</v>
      </c>
      <c r="H1672" s="15">
        <v>497602</v>
      </c>
      <c r="I1672" s="1">
        <v>46090</v>
      </c>
      <c r="J1672" s="1">
        <v>46120</v>
      </c>
      <c r="K1672" s="18" t="s">
        <v>17</v>
      </c>
      <c r="L1672" s="18" t="s">
        <v>117</v>
      </c>
      <c r="M1672" s="18" t="s">
        <v>19</v>
      </c>
      <c r="N1672" s="18" t="s">
        <v>72</v>
      </c>
      <c r="O1672">
        <v>30</v>
      </c>
    </row>
    <row r="1673" spans="1:15" x14ac:dyDescent="0.25">
      <c r="A1673" s="18" t="s">
        <v>7276</v>
      </c>
      <c r="B1673" s="18" t="s">
        <v>70</v>
      </c>
      <c r="C1673" s="18" t="s">
        <v>71</v>
      </c>
      <c r="D1673" s="18" t="s">
        <v>15</v>
      </c>
      <c r="E1673" s="18" t="s">
        <v>6730</v>
      </c>
      <c r="F1673" s="2">
        <f>+J1673-I1673</f>
        <v>30</v>
      </c>
      <c r="G1673" s="2">
        <f ca="1">+TODAY()-I1673</f>
        <v>11</v>
      </c>
      <c r="H1673" s="15">
        <v>4253946</v>
      </c>
      <c r="I1673" s="1">
        <v>46109</v>
      </c>
      <c r="J1673" s="1">
        <v>46139</v>
      </c>
      <c r="K1673" s="18" t="s">
        <v>17</v>
      </c>
      <c r="L1673" s="18" t="s">
        <v>32</v>
      </c>
      <c r="M1673" s="18" t="s">
        <v>19</v>
      </c>
      <c r="N1673" s="18" t="s">
        <v>72</v>
      </c>
      <c r="O1673">
        <v>30</v>
      </c>
    </row>
    <row r="1674" spans="1:15" x14ac:dyDescent="0.25">
      <c r="A1674" s="18" t="s">
        <v>7276</v>
      </c>
      <c r="B1674" s="18" t="s">
        <v>70</v>
      </c>
      <c r="C1674" s="18" t="s">
        <v>71</v>
      </c>
      <c r="D1674" s="18" t="s">
        <v>15</v>
      </c>
      <c r="E1674" s="18" t="s">
        <v>6731</v>
      </c>
      <c r="F1674" s="2">
        <f>+J1674-I1674</f>
        <v>30</v>
      </c>
      <c r="G1674" s="2">
        <f ca="1">+TODAY()-I1674</f>
        <v>11</v>
      </c>
      <c r="H1674" s="15">
        <v>1973596</v>
      </c>
      <c r="I1674" s="1">
        <v>46109</v>
      </c>
      <c r="J1674" s="1">
        <v>46139</v>
      </c>
      <c r="K1674" s="18" t="s">
        <v>17</v>
      </c>
      <c r="L1674" s="18" t="s">
        <v>32</v>
      </c>
      <c r="M1674" s="18" t="s">
        <v>19</v>
      </c>
      <c r="N1674" s="18" t="s">
        <v>72</v>
      </c>
      <c r="O1674">
        <v>30</v>
      </c>
    </row>
    <row r="1675" spans="1:15" x14ac:dyDescent="0.25">
      <c r="A1675" s="18" t="s">
        <v>7276</v>
      </c>
      <c r="B1675" s="18" t="s">
        <v>70</v>
      </c>
      <c r="C1675" s="18" t="s">
        <v>71</v>
      </c>
      <c r="D1675" s="18" t="s">
        <v>15</v>
      </c>
      <c r="E1675" s="18" t="s">
        <v>6732</v>
      </c>
      <c r="F1675" s="2">
        <f>+J1675-I1675</f>
        <v>10</v>
      </c>
      <c r="G1675" s="2">
        <f ca="1">+TODAY()-I1675</f>
        <v>11</v>
      </c>
      <c r="H1675" s="15">
        <v>2100000</v>
      </c>
      <c r="I1675" s="1">
        <v>46109</v>
      </c>
      <c r="J1675" s="1">
        <v>46119</v>
      </c>
      <c r="K1675" s="18" t="s">
        <v>17</v>
      </c>
      <c r="L1675" s="18" t="s">
        <v>32</v>
      </c>
      <c r="M1675" s="18" t="s">
        <v>19</v>
      </c>
      <c r="N1675" s="18" t="s">
        <v>72</v>
      </c>
      <c r="O1675">
        <v>30</v>
      </c>
    </row>
    <row r="1676" spans="1:15" x14ac:dyDescent="0.25">
      <c r="A1676" s="18" t="s">
        <v>7276</v>
      </c>
      <c r="B1676" s="18" t="s">
        <v>70</v>
      </c>
      <c r="C1676" s="18" t="s">
        <v>71</v>
      </c>
      <c r="D1676" s="18" t="s">
        <v>15</v>
      </c>
      <c r="E1676" s="18" t="s">
        <v>6773</v>
      </c>
      <c r="F1676" s="2">
        <f>+J1676-I1676</f>
        <v>30</v>
      </c>
      <c r="G1676" s="2">
        <f ca="1">+TODAY()-I1676</f>
        <v>9</v>
      </c>
      <c r="H1676" s="15">
        <v>1071993</v>
      </c>
      <c r="I1676" s="1">
        <v>46111</v>
      </c>
      <c r="J1676" s="1">
        <v>46141</v>
      </c>
      <c r="K1676" s="18" t="s">
        <v>17</v>
      </c>
      <c r="L1676" s="18" t="s">
        <v>32</v>
      </c>
      <c r="M1676" s="18" t="s">
        <v>19</v>
      </c>
      <c r="N1676" s="18" t="s">
        <v>72</v>
      </c>
      <c r="O1676">
        <v>30</v>
      </c>
    </row>
    <row r="1677" spans="1:15" x14ac:dyDescent="0.25">
      <c r="A1677" s="18" t="s">
        <v>7276</v>
      </c>
      <c r="B1677" s="18" t="s">
        <v>70</v>
      </c>
      <c r="C1677" s="18" t="s">
        <v>71</v>
      </c>
      <c r="D1677" s="18" t="s">
        <v>15</v>
      </c>
      <c r="E1677" s="18" t="s">
        <v>6790</v>
      </c>
      <c r="F1677" s="2">
        <f>+J1677-I1677</f>
        <v>30</v>
      </c>
      <c r="G1677" s="2">
        <f ca="1">+TODAY()-I1677</f>
        <v>8</v>
      </c>
      <c r="H1677" s="15">
        <v>690753</v>
      </c>
      <c r="I1677" s="1">
        <v>46112</v>
      </c>
      <c r="J1677" s="1">
        <v>46142</v>
      </c>
      <c r="K1677" s="18" t="s">
        <v>17</v>
      </c>
      <c r="L1677" s="18" t="s">
        <v>32</v>
      </c>
      <c r="M1677" s="18" t="s">
        <v>19</v>
      </c>
      <c r="N1677" s="18" t="s">
        <v>72</v>
      </c>
      <c r="O1677">
        <v>30</v>
      </c>
    </row>
    <row r="1678" spans="1:15" x14ac:dyDescent="0.25">
      <c r="A1678" s="18" t="s">
        <v>7276</v>
      </c>
      <c r="B1678" s="18" t="s">
        <v>70</v>
      </c>
      <c r="C1678" s="18" t="s">
        <v>71</v>
      </c>
      <c r="D1678" s="18" t="s">
        <v>15</v>
      </c>
      <c r="E1678" s="18" t="s">
        <v>6792</v>
      </c>
      <c r="F1678" s="2">
        <f>+J1678-I1678</f>
        <v>30</v>
      </c>
      <c r="G1678" s="2">
        <f ca="1">+TODAY()-I1678</f>
        <v>8</v>
      </c>
      <c r="H1678" s="15">
        <v>136800</v>
      </c>
      <c r="I1678" s="1">
        <v>46112</v>
      </c>
      <c r="J1678" s="1">
        <v>46142</v>
      </c>
      <c r="K1678" s="18" t="s">
        <v>17</v>
      </c>
      <c r="L1678" s="18" t="s">
        <v>32</v>
      </c>
      <c r="M1678" s="18" t="s">
        <v>19</v>
      </c>
      <c r="N1678" s="18" t="s">
        <v>72</v>
      </c>
      <c r="O1678">
        <v>30</v>
      </c>
    </row>
    <row r="1679" spans="1:15" x14ac:dyDescent="0.25">
      <c r="A1679" s="18" t="s">
        <v>7276</v>
      </c>
      <c r="B1679" s="18" t="s">
        <v>70</v>
      </c>
      <c r="C1679" s="18" t="s">
        <v>71</v>
      </c>
      <c r="D1679" s="18" t="s">
        <v>15</v>
      </c>
      <c r="E1679" s="18" t="s">
        <v>7328</v>
      </c>
      <c r="F1679" s="2">
        <f>+J1679-I1679</f>
        <v>30</v>
      </c>
      <c r="G1679" s="2">
        <f ca="1">+TODAY()-I1679</f>
        <v>2</v>
      </c>
      <c r="H1679" s="15">
        <v>5</v>
      </c>
      <c r="I1679" s="1">
        <v>46118</v>
      </c>
      <c r="J1679" s="1">
        <v>46148</v>
      </c>
      <c r="K1679" s="18" t="s">
        <v>17</v>
      </c>
      <c r="L1679" s="18" t="s">
        <v>32</v>
      </c>
      <c r="M1679" s="18" t="s">
        <v>19</v>
      </c>
      <c r="N1679" s="18" t="s">
        <v>72</v>
      </c>
      <c r="O1679">
        <v>30</v>
      </c>
    </row>
    <row r="1680" spans="1:15" x14ac:dyDescent="0.25">
      <c r="A1680" s="18" t="s">
        <v>7276</v>
      </c>
      <c r="B1680" s="18" t="s">
        <v>70</v>
      </c>
      <c r="C1680" s="18" t="s">
        <v>71</v>
      </c>
      <c r="D1680" s="18" t="s">
        <v>15</v>
      </c>
      <c r="E1680" s="18" t="s">
        <v>7329</v>
      </c>
      <c r="F1680" s="2">
        <f>+J1680-I1680</f>
        <v>30</v>
      </c>
      <c r="G1680" s="2">
        <f ca="1">+TODAY()-I1680</f>
        <v>2</v>
      </c>
      <c r="H1680" s="15">
        <v>2975400</v>
      </c>
      <c r="I1680" s="1">
        <v>46118</v>
      </c>
      <c r="J1680" s="1">
        <v>46148</v>
      </c>
      <c r="K1680" s="18" t="s">
        <v>17</v>
      </c>
      <c r="L1680" s="18" t="s">
        <v>32</v>
      </c>
      <c r="M1680" s="18" t="s">
        <v>19</v>
      </c>
      <c r="N1680" s="18" t="s">
        <v>72</v>
      </c>
      <c r="O1680">
        <v>30</v>
      </c>
    </row>
    <row r="1681" spans="1:15" x14ac:dyDescent="0.25">
      <c r="A1681" s="18" t="s">
        <v>7276</v>
      </c>
      <c r="B1681" s="18" t="s">
        <v>7771</v>
      </c>
      <c r="C1681" s="18" t="s">
        <v>7772</v>
      </c>
      <c r="D1681" s="18" t="s">
        <v>930</v>
      </c>
      <c r="E1681" s="18" t="s">
        <v>7773</v>
      </c>
      <c r="F1681" s="2">
        <f>+J1681-I1681</f>
        <v>1</v>
      </c>
      <c r="G1681" s="2">
        <f ca="1">+TODAY()-I1681</f>
        <v>1</v>
      </c>
      <c r="H1681" s="15">
        <v>77021</v>
      </c>
      <c r="I1681" s="1">
        <v>46119</v>
      </c>
      <c r="J1681" s="1">
        <v>46120</v>
      </c>
      <c r="K1681" s="18" t="s">
        <v>918</v>
      </c>
      <c r="L1681" s="18" t="s">
        <v>312</v>
      </c>
      <c r="M1681" s="18" t="s">
        <v>19</v>
      </c>
      <c r="N1681" s="18" t="s">
        <v>7774</v>
      </c>
      <c r="O1681">
        <v>1</v>
      </c>
    </row>
    <row r="1682" spans="1:15" x14ac:dyDescent="0.25">
      <c r="A1682" s="18" t="s">
        <v>7276</v>
      </c>
      <c r="B1682" s="18" t="s">
        <v>2153</v>
      </c>
      <c r="C1682" s="18" t="s">
        <v>2154</v>
      </c>
      <c r="D1682" s="18" t="s">
        <v>1593</v>
      </c>
      <c r="E1682" s="18" t="s">
        <v>6694</v>
      </c>
      <c r="F1682" s="2">
        <f>+J1682-I1682</f>
        <v>30</v>
      </c>
      <c r="G1682" s="2">
        <f ca="1">+TODAY()-I1682</f>
        <v>13</v>
      </c>
      <c r="H1682" s="15">
        <v>407407</v>
      </c>
      <c r="I1682" s="1">
        <v>46107</v>
      </c>
      <c r="J1682" s="1">
        <v>46137</v>
      </c>
      <c r="K1682" s="18" t="s">
        <v>1589</v>
      </c>
      <c r="L1682" s="18" t="s">
        <v>984</v>
      </c>
      <c r="M1682" s="18" t="s">
        <v>19</v>
      </c>
      <c r="N1682" s="18" t="s">
        <v>2155</v>
      </c>
      <c r="O1682">
        <v>1</v>
      </c>
    </row>
    <row r="1683" spans="1:15" x14ac:dyDescent="0.25">
      <c r="A1683" s="18" t="s">
        <v>7276</v>
      </c>
      <c r="B1683" s="18" t="s">
        <v>1676</v>
      </c>
      <c r="C1683" s="18" t="s">
        <v>1677</v>
      </c>
      <c r="D1683" s="18" t="s">
        <v>1593</v>
      </c>
      <c r="E1683" s="18" t="s">
        <v>5846</v>
      </c>
      <c r="F1683" s="2">
        <f>+J1683-I1683</f>
        <v>30</v>
      </c>
      <c r="G1683" s="2">
        <f ca="1">+TODAY()-I1683</f>
        <v>28</v>
      </c>
      <c r="H1683" s="15">
        <v>125997</v>
      </c>
      <c r="I1683" s="1">
        <v>46092</v>
      </c>
      <c r="J1683" s="1">
        <v>46122</v>
      </c>
      <c r="K1683" s="18" t="s">
        <v>1589</v>
      </c>
      <c r="L1683" s="18" t="s">
        <v>984</v>
      </c>
      <c r="M1683" s="18" t="s">
        <v>19</v>
      </c>
      <c r="N1683" s="18" t="s">
        <v>1678</v>
      </c>
      <c r="O1683">
        <v>30</v>
      </c>
    </row>
    <row r="1684" spans="1:15" x14ac:dyDescent="0.25">
      <c r="A1684" s="18" t="s">
        <v>7276</v>
      </c>
      <c r="B1684" s="18" t="s">
        <v>1676</v>
      </c>
      <c r="C1684" s="18" t="s">
        <v>1677</v>
      </c>
      <c r="D1684" s="18" t="s">
        <v>1593</v>
      </c>
      <c r="E1684" s="18" t="s">
        <v>6692</v>
      </c>
      <c r="F1684" s="2">
        <f>+J1684-I1684</f>
        <v>30</v>
      </c>
      <c r="G1684" s="2">
        <f ca="1">+TODAY()-I1684</f>
        <v>13</v>
      </c>
      <c r="H1684" s="15">
        <v>261497</v>
      </c>
      <c r="I1684" s="1">
        <v>46107</v>
      </c>
      <c r="J1684" s="1">
        <v>46137</v>
      </c>
      <c r="K1684" s="18" t="s">
        <v>1589</v>
      </c>
      <c r="L1684" s="18" t="s">
        <v>984</v>
      </c>
      <c r="M1684" s="18" t="s">
        <v>19</v>
      </c>
      <c r="N1684" s="18" t="s">
        <v>1678</v>
      </c>
      <c r="O1684">
        <v>30</v>
      </c>
    </row>
    <row r="1685" spans="1:15" x14ac:dyDescent="0.25">
      <c r="A1685" s="18" t="s">
        <v>7276</v>
      </c>
      <c r="B1685" s="18" t="s">
        <v>1676</v>
      </c>
      <c r="C1685" s="18" t="s">
        <v>1677</v>
      </c>
      <c r="D1685" s="18" t="s">
        <v>1593</v>
      </c>
      <c r="E1685" s="18" t="s">
        <v>6693</v>
      </c>
      <c r="F1685" s="2">
        <f>+J1685-I1685</f>
        <v>30</v>
      </c>
      <c r="G1685" s="2">
        <f ca="1">+TODAY()-I1685</f>
        <v>13</v>
      </c>
      <c r="H1685" s="15">
        <v>104508</v>
      </c>
      <c r="I1685" s="1">
        <v>46107</v>
      </c>
      <c r="J1685" s="1">
        <v>46137</v>
      </c>
      <c r="K1685" s="18" t="s">
        <v>1589</v>
      </c>
      <c r="L1685" s="18" t="s">
        <v>984</v>
      </c>
      <c r="M1685" s="18" t="s">
        <v>19</v>
      </c>
      <c r="N1685" s="18" t="s">
        <v>1678</v>
      </c>
      <c r="O1685">
        <v>30</v>
      </c>
    </row>
    <row r="1686" spans="1:15" x14ac:dyDescent="0.25">
      <c r="A1686" s="18" t="s">
        <v>7276</v>
      </c>
      <c r="B1686" s="18" t="s">
        <v>7832</v>
      </c>
      <c r="C1686" s="18" t="s">
        <v>7833</v>
      </c>
      <c r="D1686" s="18" t="s">
        <v>1593</v>
      </c>
      <c r="E1686" s="18" t="s">
        <v>7834</v>
      </c>
      <c r="F1686" s="2">
        <f>+J1686-I1686</f>
        <v>1</v>
      </c>
      <c r="G1686" s="2">
        <f ca="1">+TODAY()-I1686</f>
        <v>1</v>
      </c>
      <c r="H1686" s="15">
        <v>783730</v>
      </c>
      <c r="I1686" s="1">
        <v>46119</v>
      </c>
      <c r="J1686" s="1">
        <v>46120</v>
      </c>
      <c r="K1686" s="18" t="s">
        <v>1589</v>
      </c>
      <c r="L1686" s="18" t="s">
        <v>984</v>
      </c>
      <c r="M1686" s="18" t="s">
        <v>19</v>
      </c>
      <c r="N1686" s="18" t="s">
        <v>7835</v>
      </c>
      <c r="O1686">
        <v>1</v>
      </c>
    </row>
    <row r="1687" spans="1:15" x14ac:dyDescent="0.25">
      <c r="A1687" s="18" t="s">
        <v>7276</v>
      </c>
      <c r="B1687" s="18" t="s">
        <v>1818</v>
      </c>
      <c r="C1687" s="18" t="s">
        <v>1819</v>
      </c>
      <c r="D1687" s="18" t="s">
        <v>1820</v>
      </c>
      <c r="E1687" s="18" t="s">
        <v>1821</v>
      </c>
      <c r="F1687" s="2">
        <f>+J1687-I1687</f>
        <v>25</v>
      </c>
      <c r="G1687" s="2">
        <f ca="1">+TODAY()-I1687</f>
        <v>3848</v>
      </c>
      <c r="H1687" s="15">
        <v>984125</v>
      </c>
      <c r="I1687" s="1">
        <v>42272</v>
      </c>
      <c r="J1687" s="1">
        <v>42297</v>
      </c>
      <c r="K1687" s="18" t="s">
        <v>1822</v>
      </c>
      <c r="L1687" s="18" t="s">
        <v>1069</v>
      </c>
      <c r="M1687" s="18" t="s">
        <v>19</v>
      </c>
      <c r="N1687" s="18" t="s">
        <v>1823</v>
      </c>
      <c r="O1687">
        <v>30</v>
      </c>
    </row>
    <row r="1688" spans="1:15" x14ac:dyDescent="0.25">
      <c r="A1688" s="18" t="s">
        <v>7276</v>
      </c>
      <c r="B1688" s="18" t="s">
        <v>1818</v>
      </c>
      <c r="C1688" s="18" t="s">
        <v>1819</v>
      </c>
      <c r="D1688" s="18" t="s">
        <v>1820</v>
      </c>
      <c r="E1688" s="18" t="s">
        <v>1824</v>
      </c>
      <c r="F1688" s="2">
        <f>+J1688-I1688</f>
        <v>25</v>
      </c>
      <c r="G1688" s="2">
        <f ca="1">+TODAY()-I1688</f>
        <v>3834</v>
      </c>
      <c r="H1688" s="15">
        <v>2253978</v>
      </c>
      <c r="I1688" s="1">
        <v>42286</v>
      </c>
      <c r="J1688" s="1">
        <v>42311</v>
      </c>
      <c r="K1688" s="18" t="s">
        <v>1822</v>
      </c>
      <c r="L1688" s="18" t="s">
        <v>1069</v>
      </c>
      <c r="M1688" s="18" t="s">
        <v>19</v>
      </c>
      <c r="N1688" s="18" t="s">
        <v>1823</v>
      </c>
      <c r="O1688">
        <v>30</v>
      </c>
    </row>
    <row r="1689" spans="1:15" x14ac:dyDescent="0.25">
      <c r="A1689" s="18" t="s">
        <v>7276</v>
      </c>
      <c r="B1689" s="18" t="s">
        <v>192</v>
      </c>
      <c r="C1689" s="18" t="s">
        <v>193</v>
      </c>
      <c r="D1689" s="18" t="s">
        <v>15</v>
      </c>
      <c r="E1689" s="18" t="s">
        <v>5914</v>
      </c>
      <c r="F1689" s="2">
        <f>+J1689-I1689</f>
        <v>30</v>
      </c>
      <c r="G1689" s="2">
        <f ca="1">+TODAY()-I1689</f>
        <v>23</v>
      </c>
      <c r="H1689" s="15">
        <v>594012</v>
      </c>
      <c r="I1689" s="1">
        <v>46097</v>
      </c>
      <c r="J1689" s="1">
        <v>46127</v>
      </c>
      <c r="K1689" s="18" t="s">
        <v>17</v>
      </c>
      <c r="L1689" s="18" t="s">
        <v>32</v>
      </c>
      <c r="M1689" s="18" t="s">
        <v>19</v>
      </c>
      <c r="N1689" s="18" t="s">
        <v>194</v>
      </c>
      <c r="O1689">
        <v>30</v>
      </c>
    </row>
    <row r="1690" spans="1:15" x14ac:dyDescent="0.25">
      <c r="A1690" s="18" t="s">
        <v>7276</v>
      </c>
      <c r="B1690" s="18" t="s">
        <v>192</v>
      </c>
      <c r="C1690" s="18" t="s">
        <v>193</v>
      </c>
      <c r="D1690" s="18" t="s">
        <v>15</v>
      </c>
      <c r="E1690" s="18" t="s">
        <v>6184</v>
      </c>
      <c r="F1690" s="2">
        <f>+J1690-I1690</f>
        <v>30</v>
      </c>
      <c r="G1690" s="2">
        <f ca="1">+TODAY()-I1690</f>
        <v>19</v>
      </c>
      <c r="H1690" s="15">
        <v>298805</v>
      </c>
      <c r="I1690" s="1">
        <v>46101</v>
      </c>
      <c r="J1690" s="1">
        <v>46131</v>
      </c>
      <c r="K1690" s="18" t="s">
        <v>17</v>
      </c>
      <c r="L1690" s="18" t="s">
        <v>32</v>
      </c>
      <c r="M1690" s="18" t="s">
        <v>19</v>
      </c>
      <c r="N1690" s="18" t="s">
        <v>194</v>
      </c>
      <c r="O1690">
        <v>30</v>
      </c>
    </row>
    <row r="1691" spans="1:15" x14ac:dyDescent="0.25">
      <c r="A1691" s="18" t="s">
        <v>7276</v>
      </c>
      <c r="B1691" s="18" t="s">
        <v>192</v>
      </c>
      <c r="C1691" s="18" t="s">
        <v>193</v>
      </c>
      <c r="D1691" s="18" t="s">
        <v>15</v>
      </c>
      <c r="E1691" s="18" t="s">
        <v>6775</v>
      </c>
      <c r="F1691" s="2">
        <f>+J1691-I1691</f>
        <v>30</v>
      </c>
      <c r="G1691" s="2">
        <f ca="1">+TODAY()-I1691</f>
        <v>9</v>
      </c>
      <c r="H1691" s="15">
        <v>2500936</v>
      </c>
      <c r="I1691" s="1">
        <v>46111</v>
      </c>
      <c r="J1691" s="1">
        <v>46141</v>
      </c>
      <c r="K1691" s="18" t="s">
        <v>17</v>
      </c>
      <c r="L1691" s="18" t="s">
        <v>32</v>
      </c>
      <c r="M1691" s="18" t="s">
        <v>19</v>
      </c>
      <c r="N1691" s="18" t="s">
        <v>194</v>
      </c>
      <c r="O1691">
        <v>30</v>
      </c>
    </row>
    <row r="1692" spans="1:15" x14ac:dyDescent="0.25">
      <c r="A1692" s="18" t="s">
        <v>7276</v>
      </c>
      <c r="B1692" s="18" t="s">
        <v>192</v>
      </c>
      <c r="C1692" s="18" t="s">
        <v>193</v>
      </c>
      <c r="D1692" s="18" t="s">
        <v>15</v>
      </c>
      <c r="E1692" s="18" t="s">
        <v>6776</v>
      </c>
      <c r="F1692" s="2">
        <f>+J1692-I1692</f>
        <v>30</v>
      </c>
      <c r="G1692" s="2">
        <f ca="1">+TODAY()-I1692</f>
        <v>9</v>
      </c>
      <c r="H1692" s="15">
        <v>1884817</v>
      </c>
      <c r="I1692" s="1">
        <v>46111</v>
      </c>
      <c r="J1692" s="1">
        <v>46141</v>
      </c>
      <c r="K1692" s="18" t="s">
        <v>17</v>
      </c>
      <c r="L1692" s="18" t="s">
        <v>32</v>
      </c>
      <c r="M1692" s="18" t="s">
        <v>19</v>
      </c>
      <c r="N1692" s="18" t="s">
        <v>194</v>
      </c>
      <c r="O1692">
        <v>30</v>
      </c>
    </row>
    <row r="1693" spans="1:15" x14ac:dyDescent="0.25">
      <c r="A1693" s="18" t="s">
        <v>7276</v>
      </c>
      <c r="B1693" s="18" t="s">
        <v>192</v>
      </c>
      <c r="C1693" s="18" t="s">
        <v>193</v>
      </c>
      <c r="D1693" s="18" t="s">
        <v>15</v>
      </c>
      <c r="E1693" s="18" t="s">
        <v>7290</v>
      </c>
      <c r="F1693" s="2">
        <f>+J1693-I1693</f>
        <v>10</v>
      </c>
      <c r="G1693" s="2">
        <f ca="1">+TODAY()-I1693</f>
        <v>7</v>
      </c>
      <c r="H1693" s="15">
        <v>420000</v>
      </c>
      <c r="I1693" s="1">
        <v>46113</v>
      </c>
      <c r="J1693" s="1">
        <v>46123</v>
      </c>
      <c r="K1693" s="18" t="s">
        <v>17</v>
      </c>
      <c r="L1693" s="18" t="s">
        <v>32</v>
      </c>
      <c r="M1693" s="18" t="s">
        <v>19</v>
      </c>
      <c r="N1693" s="18" t="s">
        <v>194</v>
      </c>
      <c r="O1693">
        <v>30</v>
      </c>
    </row>
    <row r="1694" spans="1:15" x14ac:dyDescent="0.25">
      <c r="A1694" s="18" t="s">
        <v>7276</v>
      </c>
      <c r="B1694" s="18" t="s">
        <v>1971</v>
      </c>
      <c r="C1694" s="18" t="s">
        <v>1972</v>
      </c>
      <c r="D1694" s="18" t="s">
        <v>15</v>
      </c>
      <c r="E1694" s="18" t="s">
        <v>7405</v>
      </c>
      <c r="F1694" s="2">
        <f>+J1694-I1694</f>
        <v>1</v>
      </c>
      <c r="G1694" s="2">
        <f ca="1">+TODAY()-I1694</f>
        <v>2</v>
      </c>
      <c r="H1694" s="15">
        <v>299239</v>
      </c>
      <c r="I1694" s="1">
        <v>46118</v>
      </c>
      <c r="J1694" s="1">
        <v>46119</v>
      </c>
      <c r="K1694" s="18" t="s">
        <v>17</v>
      </c>
      <c r="L1694" s="18" t="s">
        <v>317</v>
      </c>
      <c r="M1694" s="18" t="s">
        <v>19</v>
      </c>
      <c r="N1694" s="18" t="s">
        <v>1973</v>
      </c>
      <c r="O1694">
        <v>25</v>
      </c>
    </row>
    <row r="1695" spans="1:15" x14ac:dyDescent="0.25">
      <c r="A1695" s="18" t="s">
        <v>7276</v>
      </c>
      <c r="B1695" s="18" t="s">
        <v>6295</v>
      </c>
      <c r="C1695" s="18" t="s">
        <v>6296</v>
      </c>
      <c r="D1695" s="18" t="s">
        <v>340</v>
      </c>
      <c r="E1695" s="18" t="s">
        <v>6297</v>
      </c>
      <c r="F1695" s="2">
        <f>+J1695-I1695</f>
        <v>1</v>
      </c>
      <c r="G1695" s="2">
        <f ca="1">+TODAY()-I1695</f>
        <v>19</v>
      </c>
      <c r="H1695" s="15">
        <v>25077</v>
      </c>
      <c r="I1695" s="1">
        <v>46101</v>
      </c>
      <c r="J1695" s="1">
        <v>46102</v>
      </c>
      <c r="K1695" s="18" t="s">
        <v>1233</v>
      </c>
      <c r="L1695" s="18" t="s">
        <v>317</v>
      </c>
      <c r="M1695" s="18" t="s">
        <v>19</v>
      </c>
      <c r="N1695" s="18" t="s">
        <v>6298</v>
      </c>
      <c r="O1695">
        <v>30</v>
      </c>
    </row>
    <row r="1696" spans="1:15" x14ac:dyDescent="0.25">
      <c r="A1696" s="18" t="s">
        <v>7276</v>
      </c>
      <c r="B1696" s="18" t="s">
        <v>1075</v>
      </c>
      <c r="C1696" s="18" t="s">
        <v>1076</v>
      </c>
      <c r="D1696" s="18" t="s">
        <v>1066</v>
      </c>
      <c r="E1696" s="18" t="s">
        <v>1077</v>
      </c>
      <c r="F1696" s="2">
        <f>+J1696-I1696</f>
        <v>15</v>
      </c>
      <c r="G1696" s="2">
        <f ca="1">+TODAY()-I1696</f>
        <v>2227</v>
      </c>
      <c r="H1696" s="15">
        <v>70882</v>
      </c>
      <c r="I1696" s="1">
        <v>43893</v>
      </c>
      <c r="J1696" s="1">
        <v>43908</v>
      </c>
      <c r="K1696" s="18" t="s">
        <v>1068</v>
      </c>
      <c r="L1696" s="18" t="s">
        <v>321</v>
      </c>
      <c r="M1696" s="18" t="s">
        <v>19</v>
      </c>
      <c r="N1696" s="18" t="s">
        <v>1078</v>
      </c>
      <c r="O1696">
        <v>30</v>
      </c>
    </row>
    <row r="1697" spans="1:15" x14ac:dyDescent="0.25">
      <c r="A1697" s="18" t="s">
        <v>7276</v>
      </c>
      <c r="B1697" s="18" t="s">
        <v>2037</v>
      </c>
      <c r="C1697" s="18" t="s">
        <v>2038</v>
      </c>
      <c r="D1697" s="18" t="s">
        <v>389</v>
      </c>
      <c r="E1697" s="18" t="s">
        <v>5225</v>
      </c>
      <c r="F1697" s="2">
        <f>+J1697-I1697</f>
        <v>30</v>
      </c>
      <c r="G1697" s="2">
        <f ca="1">+TODAY()-I1697</f>
        <v>42</v>
      </c>
      <c r="H1697" s="15">
        <v>549935</v>
      </c>
      <c r="I1697" s="1">
        <v>46078</v>
      </c>
      <c r="J1697" s="1">
        <v>46108</v>
      </c>
      <c r="K1697" s="18" t="s">
        <v>343</v>
      </c>
      <c r="L1697" s="18" t="s">
        <v>18</v>
      </c>
      <c r="M1697" s="18" t="s">
        <v>19</v>
      </c>
      <c r="N1697" s="18" t="s">
        <v>2039</v>
      </c>
      <c r="O1697">
        <v>30</v>
      </c>
    </row>
    <row r="1698" spans="1:15" x14ac:dyDescent="0.25">
      <c r="A1698" s="18" t="s">
        <v>7276</v>
      </c>
      <c r="B1698" s="18" t="s">
        <v>2037</v>
      </c>
      <c r="C1698" s="18" t="s">
        <v>2038</v>
      </c>
      <c r="D1698" s="18" t="s">
        <v>389</v>
      </c>
      <c r="E1698" s="18" t="s">
        <v>5682</v>
      </c>
      <c r="F1698" s="2">
        <f>+J1698-I1698</f>
        <v>30</v>
      </c>
      <c r="G1698" s="2">
        <f ca="1">+TODAY()-I1698</f>
        <v>28</v>
      </c>
      <c r="H1698" s="15">
        <v>1701915</v>
      </c>
      <c r="I1698" s="1">
        <v>46092</v>
      </c>
      <c r="J1698" s="1">
        <v>46122</v>
      </c>
      <c r="K1698" s="18" t="s">
        <v>343</v>
      </c>
      <c r="L1698" s="18" t="s">
        <v>18</v>
      </c>
      <c r="M1698" s="18" t="s">
        <v>19</v>
      </c>
      <c r="N1698" s="18" t="s">
        <v>2039</v>
      </c>
      <c r="O1698">
        <v>30</v>
      </c>
    </row>
    <row r="1699" spans="1:15" x14ac:dyDescent="0.25">
      <c r="A1699" s="18" t="s">
        <v>7276</v>
      </c>
      <c r="B1699" s="18" t="s">
        <v>2037</v>
      </c>
      <c r="C1699" s="18" t="s">
        <v>2038</v>
      </c>
      <c r="D1699" s="18" t="s">
        <v>389</v>
      </c>
      <c r="E1699" s="18" t="s">
        <v>5683</v>
      </c>
      <c r="F1699" s="2">
        <f>+J1699-I1699</f>
        <v>30</v>
      </c>
      <c r="G1699" s="2">
        <f ca="1">+TODAY()-I1699</f>
        <v>28</v>
      </c>
      <c r="H1699" s="15">
        <v>3235365</v>
      </c>
      <c r="I1699" s="1">
        <v>46092</v>
      </c>
      <c r="J1699" s="1">
        <v>46122</v>
      </c>
      <c r="K1699" s="18" t="s">
        <v>343</v>
      </c>
      <c r="L1699" s="18" t="s">
        <v>18</v>
      </c>
      <c r="M1699" s="18" t="s">
        <v>19</v>
      </c>
      <c r="N1699" s="18" t="s">
        <v>2039</v>
      </c>
      <c r="O1699">
        <v>30</v>
      </c>
    </row>
    <row r="1700" spans="1:15" x14ac:dyDescent="0.25">
      <c r="A1700" s="18" t="s">
        <v>7276</v>
      </c>
      <c r="B1700" s="18" t="s">
        <v>2037</v>
      </c>
      <c r="C1700" s="18" t="s">
        <v>2038</v>
      </c>
      <c r="D1700" s="18" t="s">
        <v>389</v>
      </c>
      <c r="E1700" s="18" t="s">
        <v>5684</v>
      </c>
      <c r="F1700" s="2">
        <f>+J1700-I1700</f>
        <v>30</v>
      </c>
      <c r="G1700" s="2">
        <f ca="1">+TODAY()-I1700</f>
        <v>28</v>
      </c>
      <c r="H1700" s="15">
        <v>980604</v>
      </c>
      <c r="I1700" s="1">
        <v>46092</v>
      </c>
      <c r="J1700" s="1">
        <v>46122</v>
      </c>
      <c r="K1700" s="18" t="s">
        <v>343</v>
      </c>
      <c r="L1700" s="18" t="s">
        <v>18</v>
      </c>
      <c r="M1700" s="18" t="s">
        <v>19</v>
      </c>
      <c r="N1700" s="18" t="s">
        <v>2039</v>
      </c>
      <c r="O1700">
        <v>30</v>
      </c>
    </row>
    <row r="1701" spans="1:15" x14ac:dyDescent="0.25">
      <c r="A1701" s="18" t="s">
        <v>7276</v>
      </c>
      <c r="B1701" s="18" t="s">
        <v>2037</v>
      </c>
      <c r="C1701" s="18" t="s">
        <v>2038</v>
      </c>
      <c r="D1701" s="18" t="s">
        <v>389</v>
      </c>
      <c r="E1701" s="18" t="s">
        <v>5689</v>
      </c>
      <c r="F1701" s="2">
        <f>+J1701-I1701</f>
        <v>30</v>
      </c>
      <c r="G1701" s="2">
        <f ca="1">+TODAY()-I1701</f>
        <v>28</v>
      </c>
      <c r="H1701" s="15">
        <v>297000</v>
      </c>
      <c r="I1701" s="1">
        <v>46092</v>
      </c>
      <c r="J1701" s="1">
        <v>46122</v>
      </c>
      <c r="K1701" s="18" t="s">
        <v>343</v>
      </c>
      <c r="L1701" s="18" t="s">
        <v>18</v>
      </c>
      <c r="M1701" s="18" t="s">
        <v>19</v>
      </c>
      <c r="N1701" s="18" t="s">
        <v>2039</v>
      </c>
      <c r="O1701">
        <v>30</v>
      </c>
    </row>
    <row r="1702" spans="1:15" x14ac:dyDescent="0.25">
      <c r="A1702" s="18" t="s">
        <v>7276</v>
      </c>
      <c r="B1702" s="18" t="s">
        <v>2037</v>
      </c>
      <c r="C1702" s="18" t="s">
        <v>2038</v>
      </c>
      <c r="D1702" s="18" t="s">
        <v>389</v>
      </c>
      <c r="E1702" s="18" t="s">
        <v>6928</v>
      </c>
      <c r="F1702" s="2">
        <f>+J1702-I1702</f>
        <v>30</v>
      </c>
      <c r="G1702" s="2">
        <f ca="1">+TODAY()-I1702</f>
        <v>9</v>
      </c>
      <c r="H1702" s="15">
        <v>3839284</v>
      </c>
      <c r="I1702" s="1">
        <v>46111</v>
      </c>
      <c r="J1702" s="1">
        <v>46141</v>
      </c>
      <c r="K1702" s="18" t="s">
        <v>343</v>
      </c>
      <c r="L1702" s="18" t="s">
        <v>18</v>
      </c>
      <c r="M1702" s="18" t="s">
        <v>19</v>
      </c>
      <c r="N1702" s="18" t="s">
        <v>2039</v>
      </c>
      <c r="O1702">
        <v>30</v>
      </c>
    </row>
    <row r="1703" spans="1:15" x14ac:dyDescent="0.25">
      <c r="A1703" s="18" t="s">
        <v>7276</v>
      </c>
      <c r="B1703" s="18" t="s">
        <v>2037</v>
      </c>
      <c r="C1703" s="18" t="s">
        <v>2038</v>
      </c>
      <c r="D1703" s="18" t="s">
        <v>389</v>
      </c>
      <c r="E1703" s="18" t="s">
        <v>6929</v>
      </c>
      <c r="F1703" s="2">
        <f>+J1703-I1703</f>
        <v>30</v>
      </c>
      <c r="G1703" s="2">
        <f ca="1">+TODAY()-I1703</f>
        <v>9</v>
      </c>
      <c r="H1703" s="15">
        <v>3982565</v>
      </c>
      <c r="I1703" s="1">
        <v>46111</v>
      </c>
      <c r="J1703" s="1">
        <v>46141</v>
      </c>
      <c r="K1703" s="18" t="s">
        <v>343</v>
      </c>
      <c r="L1703" s="18" t="s">
        <v>18</v>
      </c>
      <c r="M1703" s="18" t="s">
        <v>19</v>
      </c>
      <c r="N1703" s="18" t="s">
        <v>2039</v>
      </c>
      <c r="O1703">
        <v>30</v>
      </c>
    </row>
    <row r="1704" spans="1:15" x14ac:dyDescent="0.25">
      <c r="A1704" s="18" t="s">
        <v>7276</v>
      </c>
      <c r="B1704" s="18" t="s">
        <v>2037</v>
      </c>
      <c r="C1704" s="18" t="s">
        <v>2038</v>
      </c>
      <c r="D1704" s="18" t="s">
        <v>389</v>
      </c>
      <c r="E1704" s="18" t="s">
        <v>6930</v>
      </c>
      <c r="F1704" s="2">
        <f>+J1704-I1704</f>
        <v>30</v>
      </c>
      <c r="G1704" s="2">
        <f ca="1">+TODAY()-I1704</f>
        <v>9</v>
      </c>
      <c r="H1704" s="15">
        <v>584508</v>
      </c>
      <c r="I1704" s="1">
        <v>46111</v>
      </c>
      <c r="J1704" s="1">
        <v>46141</v>
      </c>
      <c r="K1704" s="18" t="s">
        <v>343</v>
      </c>
      <c r="L1704" s="18" t="s">
        <v>18</v>
      </c>
      <c r="M1704" s="18" t="s">
        <v>19</v>
      </c>
      <c r="N1704" s="18" t="s">
        <v>2039</v>
      </c>
      <c r="O1704">
        <v>30</v>
      </c>
    </row>
    <row r="1705" spans="1:15" x14ac:dyDescent="0.25">
      <c r="A1705" s="18" t="s">
        <v>7276</v>
      </c>
      <c r="B1705" s="18" t="s">
        <v>2037</v>
      </c>
      <c r="C1705" s="18" t="s">
        <v>2038</v>
      </c>
      <c r="D1705" s="18" t="s">
        <v>389</v>
      </c>
      <c r="E1705" s="18" t="s">
        <v>6931</v>
      </c>
      <c r="F1705" s="2">
        <f>+J1705-I1705</f>
        <v>30</v>
      </c>
      <c r="G1705" s="2">
        <f ca="1">+TODAY()-I1705</f>
        <v>9</v>
      </c>
      <c r="H1705" s="15">
        <v>4230000</v>
      </c>
      <c r="I1705" s="1">
        <v>46111</v>
      </c>
      <c r="J1705" s="1">
        <v>46141</v>
      </c>
      <c r="K1705" s="18" t="s">
        <v>343</v>
      </c>
      <c r="L1705" s="18" t="s">
        <v>18</v>
      </c>
      <c r="M1705" s="18" t="s">
        <v>19</v>
      </c>
      <c r="N1705" s="18" t="s">
        <v>2039</v>
      </c>
      <c r="O1705">
        <v>30</v>
      </c>
    </row>
    <row r="1706" spans="1:15" x14ac:dyDescent="0.25">
      <c r="A1706" s="18" t="s">
        <v>7276</v>
      </c>
      <c r="B1706" s="18" t="s">
        <v>2037</v>
      </c>
      <c r="C1706" s="18" t="s">
        <v>2038</v>
      </c>
      <c r="D1706" s="18" t="s">
        <v>389</v>
      </c>
      <c r="E1706" s="18" t="s">
        <v>6932</v>
      </c>
      <c r="F1706" s="2">
        <f>+J1706-I1706</f>
        <v>30</v>
      </c>
      <c r="G1706" s="2">
        <f ca="1">+TODAY()-I1706</f>
        <v>9</v>
      </c>
      <c r="H1706" s="15">
        <v>890779</v>
      </c>
      <c r="I1706" s="1">
        <v>46111</v>
      </c>
      <c r="J1706" s="1">
        <v>46141</v>
      </c>
      <c r="K1706" s="18" t="s">
        <v>343</v>
      </c>
      <c r="L1706" s="18" t="s">
        <v>18</v>
      </c>
      <c r="M1706" s="18" t="s">
        <v>19</v>
      </c>
      <c r="N1706" s="18" t="s">
        <v>2039</v>
      </c>
      <c r="O1706">
        <v>30</v>
      </c>
    </row>
    <row r="1707" spans="1:15" x14ac:dyDescent="0.25">
      <c r="A1707" s="18" t="s">
        <v>7276</v>
      </c>
      <c r="B1707" s="18" t="s">
        <v>2852</v>
      </c>
      <c r="C1707" s="18" t="s">
        <v>2853</v>
      </c>
      <c r="D1707" s="18" t="s">
        <v>15</v>
      </c>
      <c r="E1707" s="18" t="s">
        <v>7362</v>
      </c>
      <c r="F1707" s="2">
        <f>+J1707-I1707</f>
        <v>10</v>
      </c>
      <c r="G1707" s="2">
        <f ca="1">+TODAY()-I1707</f>
        <v>1</v>
      </c>
      <c r="H1707" s="15">
        <v>420000</v>
      </c>
      <c r="I1707" s="1">
        <v>46119</v>
      </c>
      <c r="J1707" s="1">
        <v>46129</v>
      </c>
      <c r="K1707" s="18" t="s">
        <v>17</v>
      </c>
      <c r="L1707" s="18" t="s">
        <v>32</v>
      </c>
      <c r="M1707" s="18" t="s">
        <v>19</v>
      </c>
      <c r="N1707" s="18" t="s">
        <v>2855</v>
      </c>
      <c r="O1707">
        <v>30</v>
      </c>
    </row>
    <row r="1708" spans="1:15" x14ac:dyDescent="0.25">
      <c r="A1708" s="18" t="s">
        <v>7276</v>
      </c>
      <c r="B1708" s="18" t="s">
        <v>4751</v>
      </c>
      <c r="C1708" s="18" t="s">
        <v>4752</v>
      </c>
      <c r="D1708" s="18" t="s">
        <v>15</v>
      </c>
      <c r="E1708" s="18" t="s">
        <v>7439</v>
      </c>
      <c r="F1708" s="2">
        <f>+J1708-I1708</f>
        <v>1</v>
      </c>
      <c r="G1708" s="2">
        <f ca="1">+TODAY()-I1708</f>
        <v>1</v>
      </c>
      <c r="H1708" s="15">
        <v>498365</v>
      </c>
      <c r="I1708" s="1">
        <v>46119</v>
      </c>
      <c r="J1708" s="1">
        <v>46120</v>
      </c>
      <c r="K1708" s="18" t="s">
        <v>17</v>
      </c>
      <c r="L1708" s="18" t="s">
        <v>317</v>
      </c>
      <c r="M1708" s="18" t="s">
        <v>19</v>
      </c>
      <c r="N1708" s="18" t="s">
        <v>4754</v>
      </c>
      <c r="O1708">
        <v>1</v>
      </c>
    </row>
    <row r="1709" spans="1:15" x14ac:dyDescent="0.25">
      <c r="A1709" s="18" t="s">
        <v>7276</v>
      </c>
      <c r="B1709" s="18" t="s">
        <v>1115</v>
      </c>
      <c r="C1709" s="18" t="s">
        <v>1116</v>
      </c>
      <c r="D1709" s="18" t="s">
        <v>320</v>
      </c>
      <c r="E1709" s="18" t="s">
        <v>5251</v>
      </c>
      <c r="F1709" s="2">
        <f>+J1709-I1709</f>
        <v>30</v>
      </c>
      <c r="G1709" s="2">
        <f ca="1">+TODAY()-I1709</f>
        <v>42</v>
      </c>
      <c r="H1709" s="15">
        <v>1523938</v>
      </c>
      <c r="I1709" s="1">
        <v>46078</v>
      </c>
      <c r="J1709" s="1">
        <v>46108</v>
      </c>
      <c r="K1709" s="18" t="s">
        <v>1068</v>
      </c>
      <c r="L1709" s="18" t="s">
        <v>207</v>
      </c>
      <c r="M1709" s="18" t="s">
        <v>19</v>
      </c>
      <c r="N1709" s="18" t="s">
        <v>1117</v>
      </c>
      <c r="O1709">
        <v>30</v>
      </c>
    </row>
    <row r="1710" spans="1:15" x14ac:dyDescent="0.25">
      <c r="A1710" s="18" t="s">
        <v>7276</v>
      </c>
      <c r="B1710" s="18" t="s">
        <v>1115</v>
      </c>
      <c r="C1710" s="18" t="s">
        <v>1116</v>
      </c>
      <c r="D1710" s="18" t="s">
        <v>320</v>
      </c>
      <c r="E1710" s="18" t="s">
        <v>5258</v>
      </c>
      <c r="F1710" s="2">
        <f>+J1710-I1710</f>
        <v>30</v>
      </c>
      <c r="G1710" s="2">
        <f ca="1">+TODAY()-I1710</f>
        <v>42</v>
      </c>
      <c r="H1710" s="15">
        <v>706618</v>
      </c>
      <c r="I1710" s="1">
        <v>46078</v>
      </c>
      <c r="J1710" s="1">
        <v>46108</v>
      </c>
      <c r="K1710" s="18" t="s">
        <v>1068</v>
      </c>
      <c r="L1710" s="18" t="s">
        <v>117</v>
      </c>
      <c r="M1710" s="18" t="s">
        <v>19</v>
      </c>
      <c r="N1710" s="18" t="s">
        <v>1117</v>
      </c>
      <c r="O1710">
        <v>30</v>
      </c>
    </row>
    <row r="1711" spans="1:15" x14ac:dyDescent="0.25">
      <c r="A1711" s="18" t="s">
        <v>7276</v>
      </c>
      <c r="B1711" s="18" t="s">
        <v>1115</v>
      </c>
      <c r="C1711" s="18" t="s">
        <v>1116</v>
      </c>
      <c r="D1711" s="18" t="s">
        <v>320</v>
      </c>
      <c r="E1711" s="18" t="s">
        <v>5259</v>
      </c>
      <c r="F1711" s="2">
        <f>+J1711-I1711</f>
        <v>30</v>
      </c>
      <c r="G1711" s="2">
        <f ca="1">+TODAY()-I1711</f>
        <v>41</v>
      </c>
      <c r="H1711" s="15">
        <v>1445000</v>
      </c>
      <c r="I1711" s="1">
        <v>46079</v>
      </c>
      <c r="J1711" s="1">
        <v>46109</v>
      </c>
      <c r="K1711" s="18" t="s">
        <v>1068</v>
      </c>
      <c r="L1711" s="18" t="s">
        <v>117</v>
      </c>
      <c r="M1711" s="18" t="s">
        <v>19</v>
      </c>
      <c r="N1711" s="18" t="s">
        <v>1117</v>
      </c>
      <c r="O1711">
        <v>30</v>
      </c>
    </row>
    <row r="1712" spans="1:15" x14ac:dyDescent="0.25">
      <c r="A1712" s="18" t="s">
        <v>7276</v>
      </c>
      <c r="B1712" s="18" t="s">
        <v>1115</v>
      </c>
      <c r="C1712" s="18" t="s">
        <v>1116</v>
      </c>
      <c r="D1712" s="18" t="s">
        <v>320</v>
      </c>
      <c r="E1712" s="18" t="s">
        <v>5715</v>
      </c>
      <c r="F1712" s="2">
        <f>+J1712-I1712</f>
        <v>30</v>
      </c>
      <c r="G1712" s="2">
        <f ca="1">+TODAY()-I1712</f>
        <v>29</v>
      </c>
      <c r="H1712" s="15">
        <v>1584153</v>
      </c>
      <c r="I1712" s="1">
        <v>46091</v>
      </c>
      <c r="J1712" s="1">
        <v>46121</v>
      </c>
      <c r="K1712" s="18" t="s">
        <v>1068</v>
      </c>
      <c r="L1712" s="18" t="s">
        <v>207</v>
      </c>
      <c r="M1712" s="18" t="s">
        <v>19</v>
      </c>
      <c r="N1712" s="18" t="s">
        <v>1117</v>
      </c>
      <c r="O1712">
        <v>30</v>
      </c>
    </row>
    <row r="1713" spans="1:15" x14ac:dyDescent="0.25">
      <c r="A1713" s="18" t="s">
        <v>7276</v>
      </c>
      <c r="B1713" s="18" t="s">
        <v>1115</v>
      </c>
      <c r="C1713" s="18" t="s">
        <v>1116</v>
      </c>
      <c r="D1713" s="18" t="s">
        <v>320</v>
      </c>
      <c r="E1713" s="18" t="s">
        <v>5716</v>
      </c>
      <c r="F1713" s="2">
        <f>+J1713-I1713</f>
        <v>30</v>
      </c>
      <c r="G1713" s="2">
        <f ca="1">+TODAY()-I1713</f>
        <v>29</v>
      </c>
      <c r="H1713" s="15">
        <v>2301806</v>
      </c>
      <c r="I1713" s="1">
        <v>46091</v>
      </c>
      <c r="J1713" s="1">
        <v>46121</v>
      </c>
      <c r="K1713" s="18" t="s">
        <v>1068</v>
      </c>
      <c r="L1713" s="18" t="s">
        <v>207</v>
      </c>
      <c r="M1713" s="18" t="s">
        <v>19</v>
      </c>
      <c r="N1713" s="18" t="s">
        <v>1117</v>
      </c>
      <c r="O1713">
        <v>30</v>
      </c>
    </row>
    <row r="1714" spans="1:15" x14ac:dyDescent="0.25">
      <c r="A1714" s="18" t="s">
        <v>7276</v>
      </c>
      <c r="B1714" s="18" t="s">
        <v>1115</v>
      </c>
      <c r="C1714" s="18" t="s">
        <v>1116</v>
      </c>
      <c r="D1714" s="18" t="s">
        <v>320</v>
      </c>
      <c r="E1714" s="18" t="s">
        <v>5728</v>
      </c>
      <c r="F1714" s="2">
        <f>+J1714-I1714</f>
        <v>30</v>
      </c>
      <c r="G1714" s="2">
        <f ca="1">+TODAY()-I1714</f>
        <v>28</v>
      </c>
      <c r="H1714" s="15">
        <v>275703</v>
      </c>
      <c r="I1714" s="1">
        <v>46092</v>
      </c>
      <c r="J1714" s="1">
        <v>46122</v>
      </c>
      <c r="K1714" s="18" t="s">
        <v>1068</v>
      </c>
      <c r="L1714" s="18" t="s">
        <v>117</v>
      </c>
      <c r="M1714" s="18" t="s">
        <v>19</v>
      </c>
      <c r="N1714" s="18" t="s">
        <v>1117</v>
      </c>
      <c r="O1714">
        <v>30</v>
      </c>
    </row>
    <row r="1715" spans="1:15" x14ac:dyDescent="0.25">
      <c r="A1715" s="18" t="s">
        <v>7276</v>
      </c>
      <c r="B1715" s="18" t="s">
        <v>1115</v>
      </c>
      <c r="C1715" s="18" t="s">
        <v>1116</v>
      </c>
      <c r="D1715" s="18" t="s">
        <v>320</v>
      </c>
      <c r="E1715" s="18" t="s">
        <v>5731</v>
      </c>
      <c r="F1715" s="2">
        <f>+J1715-I1715</f>
        <v>30</v>
      </c>
      <c r="G1715" s="2">
        <f ca="1">+TODAY()-I1715</f>
        <v>28</v>
      </c>
      <c r="H1715" s="15">
        <v>870271</v>
      </c>
      <c r="I1715" s="1">
        <v>46092</v>
      </c>
      <c r="J1715" s="1">
        <v>46122</v>
      </c>
      <c r="K1715" s="18" t="s">
        <v>1068</v>
      </c>
      <c r="L1715" s="18" t="s">
        <v>47</v>
      </c>
      <c r="M1715" s="18" t="s">
        <v>19</v>
      </c>
      <c r="N1715" s="18" t="s">
        <v>1117</v>
      </c>
      <c r="O1715">
        <v>30</v>
      </c>
    </row>
    <row r="1716" spans="1:15" x14ac:dyDescent="0.25">
      <c r="A1716" s="18" t="s">
        <v>7276</v>
      </c>
      <c r="B1716" s="18" t="s">
        <v>1115</v>
      </c>
      <c r="C1716" s="18" t="s">
        <v>1116</v>
      </c>
      <c r="D1716" s="18" t="s">
        <v>320</v>
      </c>
      <c r="E1716" s="18" t="s">
        <v>5732</v>
      </c>
      <c r="F1716" s="2">
        <f>+J1716-I1716</f>
        <v>30</v>
      </c>
      <c r="G1716" s="2">
        <f ca="1">+TODAY()-I1716</f>
        <v>28</v>
      </c>
      <c r="H1716" s="15">
        <v>186725</v>
      </c>
      <c r="I1716" s="1">
        <v>46092</v>
      </c>
      <c r="J1716" s="1">
        <v>46122</v>
      </c>
      <c r="K1716" s="18" t="s">
        <v>1068</v>
      </c>
      <c r="L1716" s="18" t="s">
        <v>47</v>
      </c>
      <c r="M1716" s="18" t="s">
        <v>19</v>
      </c>
      <c r="N1716" s="18" t="s">
        <v>1117</v>
      </c>
      <c r="O1716">
        <v>30</v>
      </c>
    </row>
    <row r="1717" spans="1:15" x14ac:dyDescent="0.25">
      <c r="A1717" s="18" t="s">
        <v>7276</v>
      </c>
      <c r="B1717" s="18" t="s">
        <v>1115</v>
      </c>
      <c r="C1717" s="18" t="s">
        <v>1116</v>
      </c>
      <c r="D1717" s="18" t="s">
        <v>320</v>
      </c>
      <c r="E1717" s="18" t="s">
        <v>6255</v>
      </c>
      <c r="F1717" s="2">
        <f>+J1717-I1717</f>
        <v>30</v>
      </c>
      <c r="G1717" s="2">
        <f ca="1">+TODAY()-I1717</f>
        <v>22</v>
      </c>
      <c r="H1717" s="15">
        <v>846247</v>
      </c>
      <c r="I1717" s="1">
        <v>46098</v>
      </c>
      <c r="J1717" s="1">
        <v>46128</v>
      </c>
      <c r="K1717" s="18" t="s">
        <v>1068</v>
      </c>
      <c r="L1717" s="18" t="s">
        <v>207</v>
      </c>
      <c r="M1717" s="18" t="s">
        <v>19</v>
      </c>
      <c r="N1717" s="18" t="s">
        <v>1117</v>
      </c>
      <c r="O1717">
        <v>30</v>
      </c>
    </row>
    <row r="1718" spans="1:15" x14ac:dyDescent="0.25">
      <c r="A1718" s="18" t="s">
        <v>7276</v>
      </c>
      <c r="B1718" s="18" t="s">
        <v>1115</v>
      </c>
      <c r="C1718" s="18" t="s">
        <v>1116</v>
      </c>
      <c r="D1718" s="18" t="s">
        <v>320</v>
      </c>
      <c r="E1718" s="18" t="s">
        <v>6256</v>
      </c>
      <c r="F1718" s="2">
        <f>+J1718-I1718</f>
        <v>30</v>
      </c>
      <c r="G1718" s="2">
        <f ca="1">+TODAY()-I1718</f>
        <v>22</v>
      </c>
      <c r="H1718" s="15">
        <v>4364445</v>
      </c>
      <c r="I1718" s="1">
        <v>46098</v>
      </c>
      <c r="J1718" s="1">
        <v>46128</v>
      </c>
      <c r="K1718" s="18" t="s">
        <v>1068</v>
      </c>
      <c r="L1718" s="18" t="s">
        <v>207</v>
      </c>
      <c r="M1718" s="18" t="s">
        <v>19</v>
      </c>
      <c r="N1718" s="18" t="s">
        <v>1117</v>
      </c>
      <c r="O1718">
        <v>30</v>
      </c>
    </row>
    <row r="1719" spans="1:15" x14ac:dyDescent="0.25">
      <c r="A1719" s="18" t="s">
        <v>7276</v>
      </c>
      <c r="B1719" s="18" t="s">
        <v>1115</v>
      </c>
      <c r="C1719" s="18" t="s">
        <v>1116</v>
      </c>
      <c r="D1719" s="18" t="s">
        <v>320</v>
      </c>
      <c r="E1719" s="18" t="s">
        <v>6259</v>
      </c>
      <c r="F1719" s="2">
        <f>+J1719-I1719</f>
        <v>30</v>
      </c>
      <c r="G1719" s="2">
        <f ca="1">+TODAY()-I1719</f>
        <v>21</v>
      </c>
      <c r="H1719" s="15">
        <v>444769</v>
      </c>
      <c r="I1719" s="1">
        <v>46099</v>
      </c>
      <c r="J1719" s="1">
        <v>46129</v>
      </c>
      <c r="K1719" s="18" t="s">
        <v>1068</v>
      </c>
      <c r="L1719" s="18" t="s">
        <v>47</v>
      </c>
      <c r="M1719" s="18" t="s">
        <v>19</v>
      </c>
      <c r="N1719" s="18" t="s">
        <v>1117</v>
      </c>
      <c r="O1719">
        <v>30</v>
      </c>
    </row>
    <row r="1720" spans="1:15" x14ac:dyDescent="0.25">
      <c r="A1720" s="18" t="s">
        <v>7276</v>
      </c>
      <c r="B1720" s="18" t="s">
        <v>1115</v>
      </c>
      <c r="C1720" s="18" t="s">
        <v>1116</v>
      </c>
      <c r="D1720" s="18" t="s">
        <v>320</v>
      </c>
      <c r="E1720" s="18" t="s">
        <v>7050</v>
      </c>
      <c r="F1720" s="2">
        <f>+J1720-I1720</f>
        <v>1</v>
      </c>
      <c r="G1720" s="2">
        <f ca="1">+TODAY()-I1720</f>
        <v>8</v>
      </c>
      <c r="H1720" s="15">
        <v>3586741</v>
      </c>
      <c r="I1720" s="1">
        <v>46112</v>
      </c>
      <c r="J1720" s="1">
        <v>46113</v>
      </c>
      <c r="K1720" s="18" t="s">
        <v>1068</v>
      </c>
      <c r="L1720" s="18" t="s">
        <v>207</v>
      </c>
      <c r="M1720" s="18" t="s">
        <v>19</v>
      </c>
      <c r="N1720" s="18" t="s">
        <v>1117</v>
      </c>
      <c r="O1720">
        <v>30</v>
      </c>
    </row>
    <row r="1721" spans="1:15" x14ac:dyDescent="0.25">
      <c r="A1721" s="18" t="s">
        <v>7276</v>
      </c>
      <c r="B1721" s="18" t="s">
        <v>1115</v>
      </c>
      <c r="C1721" s="18" t="s">
        <v>1116</v>
      </c>
      <c r="D1721" s="18" t="s">
        <v>320</v>
      </c>
      <c r="E1721" s="18" t="s">
        <v>7051</v>
      </c>
      <c r="F1721" s="2">
        <f>+J1721-I1721</f>
        <v>1</v>
      </c>
      <c r="G1721" s="2">
        <f ca="1">+TODAY()-I1721</f>
        <v>8</v>
      </c>
      <c r="H1721" s="15">
        <v>1731648</v>
      </c>
      <c r="I1721" s="1">
        <v>46112</v>
      </c>
      <c r="J1721" s="1">
        <v>46113</v>
      </c>
      <c r="K1721" s="18" t="s">
        <v>1068</v>
      </c>
      <c r="L1721" s="18" t="s">
        <v>207</v>
      </c>
      <c r="M1721" s="18" t="s">
        <v>19</v>
      </c>
      <c r="N1721" s="18" t="s">
        <v>1117</v>
      </c>
      <c r="O1721">
        <v>30</v>
      </c>
    </row>
    <row r="1722" spans="1:15" x14ac:dyDescent="0.25">
      <c r="A1722" s="18" t="s">
        <v>7276</v>
      </c>
      <c r="B1722" s="18" t="s">
        <v>1115</v>
      </c>
      <c r="C1722" s="18" t="s">
        <v>1116</v>
      </c>
      <c r="D1722" s="18" t="s">
        <v>320</v>
      </c>
      <c r="E1722" s="18" t="s">
        <v>5470</v>
      </c>
      <c r="F1722" s="2">
        <f>+J1722-I1722</f>
        <v>30</v>
      </c>
      <c r="G1722" s="2">
        <f ca="1">+TODAY()-I1722</f>
        <v>35</v>
      </c>
      <c r="H1722" s="15">
        <v>406133</v>
      </c>
      <c r="I1722" s="1">
        <v>46085</v>
      </c>
      <c r="J1722" s="1">
        <v>46115</v>
      </c>
      <c r="K1722" s="18" t="s">
        <v>1144</v>
      </c>
      <c r="L1722" s="18" t="s">
        <v>207</v>
      </c>
      <c r="M1722" s="18" t="s">
        <v>19</v>
      </c>
      <c r="N1722" s="18" t="s">
        <v>1117</v>
      </c>
      <c r="O1722">
        <v>30</v>
      </c>
    </row>
    <row r="1723" spans="1:15" x14ac:dyDescent="0.25">
      <c r="A1723" s="18" t="s">
        <v>7276</v>
      </c>
      <c r="B1723" s="18" t="s">
        <v>1115</v>
      </c>
      <c r="C1723" s="18" t="s">
        <v>1116</v>
      </c>
      <c r="D1723" s="18" t="s">
        <v>320</v>
      </c>
      <c r="E1723" s="18" t="s">
        <v>5471</v>
      </c>
      <c r="F1723" s="2">
        <f>+J1723-I1723</f>
        <v>30</v>
      </c>
      <c r="G1723" s="2">
        <f ca="1">+TODAY()-I1723</f>
        <v>35</v>
      </c>
      <c r="H1723" s="15">
        <v>3698532</v>
      </c>
      <c r="I1723" s="1">
        <v>46085</v>
      </c>
      <c r="J1723" s="1">
        <v>46115</v>
      </c>
      <c r="K1723" s="18" t="s">
        <v>1144</v>
      </c>
      <c r="L1723" s="18" t="s">
        <v>207</v>
      </c>
      <c r="M1723" s="18" t="s">
        <v>19</v>
      </c>
      <c r="N1723" s="18" t="s">
        <v>1117</v>
      </c>
      <c r="O1723">
        <v>30</v>
      </c>
    </row>
    <row r="1724" spans="1:15" x14ac:dyDescent="0.25">
      <c r="A1724" s="18" t="s">
        <v>7276</v>
      </c>
      <c r="B1724" s="18" t="s">
        <v>7297</v>
      </c>
      <c r="C1724" s="18" t="s">
        <v>7298</v>
      </c>
      <c r="D1724" s="18" t="s">
        <v>15</v>
      </c>
      <c r="E1724" s="18" t="s">
        <v>7299</v>
      </c>
      <c r="F1724" s="2">
        <f>+J1724-I1724</f>
        <v>30</v>
      </c>
      <c r="G1724" s="2">
        <f ca="1">+TODAY()-I1724</f>
        <v>7</v>
      </c>
      <c r="H1724" s="15">
        <v>107400</v>
      </c>
      <c r="I1724" s="1">
        <v>46113</v>
      </c>
      <c r="J1724" s="1">
        <v>46143</v>
      </c>
      <c r="K1724" s="18" t="s">
        <v>17</v>
      </c>
      <c r="L1724" s="18" t="s">
        <v>109</v>
      </c>
      <c r="M1724" s="18" t="s">
        <v>19</v>
      </c>
      <c r="N1724" s="18" t="s">
        <v>7300</v>
      </c>
      <c r="O1724">
        <v>30</v>
      </c>
    </row>
    <row r="1725" spans="1:15" x14ac:dyDescent="0.25">
      <c r="A1725" s="18" t="s">
        <v>7276</v>
      </c>
      <c r="B1725" s="18" t="s">
        <v>3570</v>
      </c>
      <c r="C1725" s="18" t="s">
        <v>3571</v>
      </c>
      <c r="D1725" s="18" t="s">
        <v>320</v>
      </c>
      <c r="E1725" s="18" t="s">
        <v>5984</v>
      </c>
      <c r="F1725" s="2">
        <f>+J1725-I1725</f>
        <v>8</v>
      </c>
      <c r="G1725" s="2">
        <f ca="1">+TODAY()-I1725</f>
        <v>27</v>
      </c>
      <c r="H1725" s="15">
        <v>82040</v>
      </c>
      <c r="I1725" s="1">
        <v>46093</v>
      </c>
      <c r="J1725" s="1">
        <v>46101</v>
      </c>
      <c r="K1725" s="18" t="s">
        <v>1068</v>
      </c>
      <c r="L1725" s="18" t="s">
        <v>321</v>
      </c>
      <c r="M1725" s="18" t="s">
        <v>19</v>
      </c>
      <c r="N1725" s="18" t="s">
        <v>3572</v>
      </c>
      <c r="O1725">
        <v>8</v>
      </c>
    </row>
    <row r="1726" spans="1:15" x14ac:dyDescent="0.25">
      <c r="A1726" s="18" t="s">
        <v>7276</v>
      </c>
      <c r="B1726" s="18" t="s">
        <v>88</v>
      </c>
      <c r="C1726" s="18" t="s">
        <v>89</v>
      </c>
      <c r="D1726" s="18" t="s">
        <v>15</v>
      </c>
      <c r="E1726" s="18" t="s">
        <v>6157</v>
      </c>
      <c r="F1726" s="2">
        <f>+J1726-I1726</f>
        <v>30</v>
      </c>
      <c r="G1726" s="2">
        <f ca="1">+TODAY()-I1726</f>
        <v>21</v>
      </c>
      <c r="H1726" s="15">
        <v>524220</v>
      </c>
      <c r="I1726" s="1">
        <v>46099</v>
      </c>
      <c r="J1726" s="1">
        <v>46129</v>
      </c>
      <c r="K1726" s="18" t="s">
        <v>17</v>
      </c>
      <c r="L1726" s="18" t="s">
        <v>32</v>
      </c>
      <c r="M1726" s="18" t="s">
        <v>19</v>
      </c>
      <c r="N1726" s="18" t="s">
        <v>91</v>
      </c>
      <c r="O1726">
        <v>30</v>
      </c>
    </row>
    <row r="1727" spans="1:15" x14ac:dyDescent="0.25">
      <c r="A1727" s="18" t="s">
        <v>7276</v>
      </c>
      <c r="B1727" s="18" t="s">
        <v>88</v>
      </c>
      <c r="C1727" s="18" t="s">
        <v>89</v>
      </c>
      <c r="D1727" s="18" t="s">
        <v>15</v>
      </c>
      <c r="E1727" s="18" t="s">
        <v>6158</v>
      </c>
      <c r="F1727" s="2">
        <f>+J1727-I1727</f>
        <v>30</v>
      </c>
      <c r="G1727" s="2">
        <f ca="1">+TODAY()-I1727</f>
        <v>21</v>
      </c>
      <c r="H1727" s="15">
        <v>2576886</v>
      </c>
      <c r="I1727" s="1">
        <v>46099</v>
      </c>
      <c r="J1727" s="1">
        <v>46129</v>
      </c>
      <c r="K1727" s="18" t="s">
        <v>17</v>
      </c>
      <c r="L1727" s="18" t="s">
        <v>32</v>
      </c>
      <c r="M1727" s="18" t="s">
        <v>19</v>
      </c>
      <c r="N1727" s="18" t="s">
        <v>91</v>
      </c>
      <c r="O1727">
        <v>30</v>
      </c>
    </row>
    <row r="1728" spans="1:15" x14ac:dyDescent="0.25">
      <c r="A1728" s="18" t="s">
        <v>7276</v>
      </c>
      <c r="B1728" s="18" t="s">
        <v>88</v>
      </c>
      <c r="C1728" s="18" t="s">
        <v>89</v>
      </c>
      <c r="D1728" s="18" t="s">
        <v>15</v>
      </c>
      <c r="E1728" s="18" t="s">
        <v>6165</v>
      </c>
      <c r="F1728" s="2">
        <f>+J1728-I1728</f>
        <v>30</v>
      </c>
      <c r="G1728" s="2">
        <f ca="1">+TODAY()-I1728</f>
        <v>21</v>
      </c>
      <c r="H1728" s="15">
        <v>438467</v>
      </c>
      <c r="I1728" s="1">
        <v>46099</v>
      </c>
      <c r="J1728" s="1">
        <v>46129</v>
      </c>
      <c r="K1728" s="18" t="s">
        <v>17</v>
      </c>
      <c r="L1728" s="18" t="s">
        <v>32</v>
      </c>
      <c r="M1728" s="18" t="s">
        <v>19</v>
      </c>
      <c r="N1728" s="18" t="s">
        <v>91</v>
      </c>
      <c r="O1728">
        <v>30</v>
      </c>
    </row>
    <row r="1729" spans="1:15" x14ac:dyDescent="0.25">
      <c r="A1729" s="18" t="s">
        <v>7276</v>
      </c>
      <c r="B1729" s="18" t="s">
        <v>88</v>
      </c>
      <c r="C1729" s="18" t="s">
        <v>89</v>
      </c>
      <c r="D1729" s="18" t="s">
        <v>15</v>
      </c>
      <c r="E1729" s="18" t="s">
        <v>6820</v>
      </c>
      <c r="F1729" s="2">
        <f>+J1729-I1729</f>
        <v>30</v>
      </c>
      <c r="G1729" s="2">
        <f ca="1">+TODAY()-I1729</f>
        <v>8</v>
      </c>
      <c r="H1729" s="15">
        <v>262500</v>
      </c>
      <c r="I1729" s="1">
        <v>46112</v>
      </c>
      <c r="J1729" s="1">
        <v>46142</v>
      </c>
      <c r="K1729" s="18" t="s">
        <v>17</v>
      </c>
      <c r="L1729" s="18" t="s">
        <v>32</v>
      </c>
      <c r="M1729" s="18" t="s">
        <v>19</v>
      </c>
      <c r="N1729" s="18" t="s">
        <v>91</v>
      </c>
      <c r="O1729">
        <v>30</v>
      </c>
    </row>
    <row r="1730" spans="1:15" x14ac:dyDescent="0.25">
      <c r="A1730" s="18" t="s">
        <v>7276</v>
      </c>
      <c r="B1730" s="18" t="s">
        <v>88</v>
      </c>
      <c r="C1730" s="18" t="s">
        <v>89</v>
      </c>
      <c r="D1730" s="18" t="s">
        <v>15</v>
      </c>
      <c r="E1730" s="18" t="s">
        <v>7642</v>
      </c>
      <c r="F1730" s="2">
        <f>+J1730-I1730</f>
        <v>30</v>
      </c>
      <c r="G1730" s="2">
        <f ca="1">+TODAY()-I1730</f>
        <v>1</v>
      </c>
      <c r="H1730" s="15">
        <v>436004</v>
      </c>
      <c r="I1730" s="1">
        <v>46119</v>
      </c>
      <c r="J1730" s="1">
        <v>46149</v>
      </c>
      <c r="K1730" s="18" t="s">
        <v>17</v>
      </c>
      <c r="L1730" s="18" t="s">
        <v>32</v>
      </c>
      <c r="M1730" s="18" t="s">
        <v>19</v>
      </c>
      <c r="N1730" s="18" t="s">
        <v>91</v>
      </c>
      <c r="O1730">
        <v>30</v>
      </c>
    </row>
    <row r="1731" spans="1:15" x14ac:dyDescent="0.25">
      <c r="A1731" s="18" t="s">
        <v>7276</v>
      </c>
      <c r="B1731" s="18" t="s">
        <v>1741</v>
      </c>
      <c r="C1731" s="18" t="s">
        <v>1742</v>
      </c>
      <c r="D1731" s="18" t="s">
        <v>1740</v>
      </c>
      <c r="E1731" s="18" t="s">
        <v>5354</v>
      </c>
      <c r="F1731" s="2">
        <f>+J1731-I1731</f>
        <v>30</v>
      </c>
      <c r="G1731" s="2">
        <f ca="1">+TODAY()-I1731</f>
        <v>44</v>
      </c>
      <c r="H1731" s="15">
        <v>2472000</v>
      </c>
      <c r="I1731" s="1">
        <v>46076</v>
      </c>
      <c r="J1731" s="1">
        <v>46106</v>
      </c>
      <c r="K1731" s="18" t="s">
        <v>1738</v>
      </c>
      <c r="L1731" s="18" t="s">
        <v>981</v>
      </c>
      <c r="M1731" s="18" t="s">
        <v>19</v>
      </c>
      <c r="N1731" s="18" t="s">
        <v>1743</v>
      </c>
      <c r="O1731">
        <v>30</v>
      </c>
    </row>
    <row r="1732" spans="1:15" x14ac:dyDescent="0.25">
      <c r="A1732" s="18" t="s">
        <v>7276</v>
      </c>
      <c r="B1732" s="18" t="s">
        <v>1741</v>
      </c>
      <c r="C1732" s="18" t="s">
        <v>1742</v>
      </c>
      <c r="D1732" s="18" t="s">
        <v>1740</v>
      </c>
      <c r="E1732" s="18" t="s">
        <v>5355</v>
      </c>
      <c r="F1732" s="2">
        <f>+J1732-I1732</f>
        <v>30</v>
      </c>
      <c r="G1732" s="2">
        <f ca="1">+TODAY()-I1732</f>
        <v>44</v>
      </c>
      <c r="H1732" s="15">
        <v>1424390</v>
      </c>
      <c r="I1732" s="1">
        <v>46076</v>
      </c>
      <c r="J1732" s="1">
        <v>46106</v>
      </c>
      <c r="K1732" s="18" t="s">
        <v>1738</v>
      </c>
      <c r="L1732" s="18" t="s">
        <v>981</v>
      </c>
      <c r="M1732" s="18" t="s">
        <v>19</v>
      </c>
      <c r="N1732" s="18" t="s">
        <v>1743</v>
      </c>
      <c r="O1732">
        <v>30</v>
      </c>
    </row>
    <row r="1733" spans="1:15" x14ac:dyDescent="0.25">
      <c r="A1733" s="18" t="s">
        <v>7276</v>
      </c>
      <c r="B1733" s="18" t="s">
        <v>1741</v>
      </c>
      <c r="C1733" s="18" t="s">
        <v>1742</v>
      </c>
      <c r="D1733" s="18" t="s">
        <v>1740</v>
      </c>
      <c r="E1733" s="18" t="s">
        <v>5847</v>
      </c>
      <c r="F1733" s="2">
        <f>+J1733-I1733</f>
        <v>30</v>
      </c>
      <c r="G1733" s="2">
        <f ca="1">+TODAY()-I1733</f>
        <v>33</v>
      </c>
      <c r="H1733" s="15">
        <v>2291471</v>
      </c>
      <c r="I1733" s="1">
        <v>46087</v>
      </c>
      <c r="J1733" s="1">
        <v>46117</v>
      </c>
      <c r="K1733" s="18" t="s">
        <v>1738</v>
      </c>
      <c r="L1733" s="18" t="s">
        <v>981</v>
      </c>
      <c r="M1733" s="18" t="s">
        <v>19</v>
      </c>
      <c r="N1733" s="18" t="s">
        <v>1743</v>
      </c>
      <c r="O1733">
        <v>30</v>
      </c>
    </row>
    <row r="1734" spans="1:15" x14ac:dyDescent="0.25">
      <c r="A1734" s="18" t="s">
        <v>7276</v>
      </c>
      <c r="B1734" s="18" t="s">
        <v>1741</v>
      </c>
      <c r="C1734" s="18" t="s">
        <v>1742</v>
      </c>
      <c r="D1734" s="18" t="s">
        <v>1740</v>
      </c>
      <c r="E1734" s="18" t="s">
        <v>6699</v>
      </c>
      <c r="F1734" s="2">
        <f>+J1734-I1734</f>
        <v>30</v>
      </c>
      <c r="G1734" s="2">
        <f ca="1">+TODAY()-I1734</f>
        <v>14</v>
      </c>
      <c r="H1734" s="15">
        <v>670295</v>
      </c>
      <c r="I1734" s="1">
        <v>46106</v>
      </c>
      <c r="J1734" s="1">
        <v>46136</v>
      </c>
      <c r="K1734" s="18" t="s">
        <v>1738</v>
      </c>
      <c r="L1734" s="18" t="s">
        <v>981</v>
      </c>
      <c r="M1734" s="18" t="s">
        <v>19</v>
      </c>
      <c r="N1734" s="18" t="s">
        <v>1743</v>
      </c>
      <c r="O1734">
        <v>30</v>
      </c>
    </row>
    <row r="1735" spans="1:15" x14ac:dyDescent="0.25">
      <c r="A1735" s="18" t="s">
        <v>7276</v>
      </c>
      <c r="B1735" s="18" t="s">
        <v>1741</v>
      </c>
      <c r="C1735" s="18" t="s">
        <v>1742</v>
      </c>
      <c r="D1735" s="18" t="s">
        <v>1740</v>
      </c>
      <c r="E1735" s="18" t="s">
        <v>6700</v>
      </c>
      <c r="F1735" s="2">
        <f>+J1735-I1735</f>
        <v>30</v>
      </c>
      <c r="G1735" s="2">
        <f ca="1">+TODAY()-I1735</f>
        <v>14</v>
      </c>
      <c r="H1735" s="15">
        <v>3458885</v>
      </c>
      <c r="I1735" s="1">
        <v>46106</v>
      </c>
      <c r="J1735" s="1">
        <v>46136</v>
      </c>
      <c r="K1735" s="18" t="s">
        <v>1738</v>
      </c>
      <c r="L1735" s="18" t="s">
        <v>981</v>
      </c>
      <c r="M1735" s="18" t="s">
        <v>19</v>
      </c>
      <c r="N1735" s="18" t="s">
        <v>1743</v>
      </c>
      <c r="O1735">
        <v>30</v>
      </c>
    </row>
    <row r="1736" spans="1:15" x14ac:dyDescent="0.25">
      <c r="A1736" s="18" t="s">
        <v>7276</v>
      </c>
      <c r="B1736" s="18" t="s">
        <v>3168</v>
      </c>
      <c r="C1736" s="18" t="s">
        <v>3169</v>
      </c>
      <c r="D1736" s="18" t="s">
        <v>1593</v>
      </c>
      <c r="E1736" s="18" t="s">
        <v>5839</v>
      </c>
      <c r="F1736" s="2">
        <f>+J1736-I1736</f>
        <v>30</v>
      </c>
      <c r="G1736" s="2">
        <f ca="1">+TODAY()-I1736</f>
        <v>29</v>
      </c>
      <c r="H1736" s="15">
        <v>1742249</v>
      </c>
      <c r="I1736" s="1">
        <v>46091</v>
      </c>
      <c r="J1736" s="1">
        <v>46121</v>
      </c>
      <c r="K1736" s="18" t="s">
        <v>1589</v>
      </c>
      <c r="L1736" s="18" t="s">
        <v>984</v>
      </c>
      <c r="M1736" s="18" t="s">
        <v>19</v>
      </c>
      <c r="N1736" s="18" t="s">
        <v>3171</v>
      </c>
      <c r="O1736">
        <v>30</v>
      </c>
    </row>
    <row r="1737" spans="1:15" x14ac:dyDescent="0.25">
      <c r="A1737" s="18" t="s">
        <v>7276</v>
      </c>
      <c r="B1737" s="18" t="s">
        <v>2102</v>
      </c>
      <c r="C1737" s="18" t="s">
        <v>2103</v>
      </c>
      <c r="D1737" s="18" t="s">
        <v>15</v>
      </c>
      <c r="E1737" s="18" t="s">
        <v>5627</v>
      </c>
      <c r="F1737" s="2">
        <f>+J1737-I1737</f>
        <v>30</v>
      </c>
      <c r="G1737" s="2">
        <f ca="1">+TODAY()-I1737</f>
        <v>29</v>
      </c>
      <c r="H1737" s="15">
        <v>1175600</v>
      </c>
      <c r="I1737" s="1">
        <v>46091</v>
      </c>
      <c r="J1737" s="1">
        <v>46121</v>
      </c>
      <c r="K1737" s="18" t="s">
        <v>17</v>
      </c>
      <c r="L1737" s="18" t="s">
        <v>18</v>
      </c>
      <c r="M1737" s="18" t="s">
        <v>19</v>
      </c>
      <c r="N1737" s="18" t="s">
        <v>2104</v>
      </c>
      <c r="O1737">
        <v>30</v>
      </c>
    </row>
    <row r="1738" spans="1:15" x14ac:dyDescent="0.25">
      <c r="A1738" s="18" t="s">
        <v>7276</v>
      </c>
      <c r="B1738" s="18" t="s">
        <v>2102</v>
      </c>
      <c r="C1738" s="18" t="s">
        <v>2103</v>
      </c>
      <c r="D1738" s="18" t="s">
        <v>15</v>
      </c>
      <c r="E1738" s="18" t="s">
        <v>5893</v>
      </c>
      <c r="F1738" s="2">
        <f>+J1738-I1738</f>
        <v>30</v>
      </c>
      <c r="G1738" s="2">
        <f ca="1">+TODAY()-I1738</f>
        <v>26</v>
      </c>
      <c r="H1738" s="15">
        <v>605628</v>
      </c>
      <c r="I1738" s="1">
        <v>46094</v>
      </c>
      <c r="J1738" s="1">
        <v>46124</v>
      </c>
      <c r="K1738" s="18" t="s">
        <v>17</v>
      </c>
      <c r="L1738" s="18" t="s">
        <v>18</v>
      </c>
      <c r="M1738" s="18" t="s">
        <v>19</v>
      </c>
      <c r="N1738" s="18" t="s">
        <v>2104</v>
      </c>
      <c r="O1738">
        <v>30</v>
      </c>
    </row>
    <row r="1739" spans="1:15" x14ac:dyDescent="0.25">
      <c r="A1739" s="18" t="s">
        <v>7276</v>
      </c>
      <c r="B1739" s="18" t="s">
        <v>1795</v>
      </c>
      <c r="C1739" s="18" t="s">
        <v>1796</v>
      </c>
      <c r="D1739" s="18" t="s">
        <v>1797</v>
      </c>
      <c r="E1739" s="18" t="s">
        <v>1798</v>
      </c>
      <c r="F1739" s="2">
        <f>+J1739-I1739</f>
        <v>25</v>
      </c>
      <c r="G1739" s="2">
        <f ca="1">+TODAY()-I1739</f>
        <v>2736</v>
      </c>
      <c r="H1739" s="15">
        <v>1848010</v>
      </c>
      <c r="I1739" s="1">
        <v>43384</v>
      </c>
      <c r="J1739" s="1">
        <v>43409</v>
      </c>
      <c r="K1739" s="18" t="s">
        <v>1799</v>
      </c>
      <c r="L1739" s="18" t="s">
        <v>1778</v>
      </c>
      <c r="M1739" s="18" t="s">
        <v>19</v>
      </c>
      <c r="N1739" s="18" t="s">
        <v>1800</v>
      </c>
      <c r="O1739">
        <v>30</v>
      </c>
    </row>
    <row r="1740" spans="1:15" x14ac:dyDescent="0.25">
      <c r="A1740" s="18" t="s">
        <v>7276</v>
      </c>
      <c r="B1740" s="18" t="s">
        <v>1795</v>
      </c>
      <c r="C1740" s="18" t="s">
        <v>1796</v>
      </c>
      <c r="D1740" s="18" t="s">
        <v>1797</v>
      </c>
      <c r="E1740" s="18" t="s">
        <v>1801</v>
      </c>
      <c r="F1740" s="2">
        <f>+J1740-I1740</f>
        <v>25</v>
      </c>
      <c r="G1740" s="2">
        <f ca="1">+TODAY()-I1740</f>
        <v>2567</v>
      </c>
      <c r="H1740" s="15">
        <v>2028313</v>
      </c>
      <c r="I1740" s="1">
        <v>43553</v>
      </c>
      <c r="J1740" s="1">
        <v>43578</v>
      </c>
      <c r="K1740" s="18" t="s">
        <v>1799</v>
      </c>
      <c r="L1740" s="18" t="s">
        <v>1778</v>
      </c>
      <c r="M1740" s="18" t="s">
        <v>19</v>
      </c>
      <c r="N1740" s="18" t="s">
        <v>1800</v>
      </c>
      <c r="O1740">
        <v>30</v>
      </c>
    </row>
    <row r="1741" spans="1:15" x14ac:dyDescent="0.25">
      <c r="A1741" s="18" t="s">
        <v>7276</v>
      </c>
      <c r="B1741" s="18" t="s">
        <v>1802</v>
      </c>
      <c r="C1741" s="18" t="s">
        <v>1803</v>
      </c>
      <c r="D1741" s="18" t="s">
        <v>1804</v>
      </c>
      <c r="E1741" s="18" t="s">
        <v>1805</v>
      </c>
      <c r="F1741" s="2">
        <f>+J1741-I1741</f>
        <v>30</v>
      </c>
      <c r="G1741" s="2">
        <f ca="1">+TODAY()-I1741</f>
        <v>2483</v>
      </c>
      <c r="H1741" s="15">
        <v>1035810</v>
      </c>
      <c r="I1741" s="1">
        <v>43637</v>
      </c>
      <c r="J1741" s="1">
        <v>43667</v>
      </c>
      <c r="K1741" s="18" t="s">
        <v>1799</v>
      </c>
      <c r="L1741" s="18" t="s">
        <v>1778</v>
      </c>
      <c r="M1741" s="18" t="s">
        <v>19</v>
      </c>
      <c r="N1741" s="18" t="s">
        <v>1806</v>
      </c>
      <c r="O1741">
        <v>30</v>
      </c>
    </row>
    <row r="1742" spans="1:15" x14ac:dyDescent="0.25">
      <c r="A1742" s="18" t="s">
        <v>7276</v>
      </c>
      <c r="B1742" s="18" t="s">
        <v>64</v>
      </c>
      <c r="C1742" s="18" t="s">
        <v>65</v>
      </c>
      <c r="D1742" s="18" t="s">
        <v>46</v>
      </c>
      <c r="E1742" s="18" t="s">
        <v>5211</v>
      </c>
      <c r="F1742" s="2">
        <f>+J1742-I1742</f>
        <v>30</v>
      </c>
      <c r="G1742" s="2">
        <f ca="1">+TODAY()-I1742</f>
        <v>39</v>
      </c>
      <c r="H1742" s="15">
        <v>132000</v>
      </c>
      <c r="I1742" s="1">
        <v>46081</v>
      </c>
      <c r="J1742" s="1">
        <v>46111</v>
      </c>
      <c r="K1742" s="18" t="s">
        <v>17</v>
      </c>
      <c r="L1742" s="18" t="s">
        <v>32</v>
      </c>
      <c r="M1742" s="18" t="s">
        <v>19</v>
      </c>
      <c r="N1742" s="18" t="s">
        <v>66</v>
      </c>
      <c r="O1742">
        <v>30</v>
      </c>
    </row>
    <row r="1743" spans="1:15" x14ac:dyDescent="0.25">
      <c r="A1743" s="18" t="s">
        <v>7276</v>
      </c>
      <c r="B1743" s="18" t="s">
        <v>64</v>
      </c>
      <c r="C1743" s="18" t="s">
        <v>65</v>
      </c>
      <c r="D1743" s="18" t="s">
        <v>46</v>
      </c>
      <c r="E1743" s="18" t="s">
        <v>5387</v>
      </c>
      <c r="F1743" s="2">
        <f>+J1743-I1743</f>
        <v>30</v>
      </c>
      <c r="G1743" s="2">
        <f ca="1">+TODAY()-I1743</f>
        <v>36</v>
      </c>
      <c r="H1743" s="15">
        <v>455699</v>
      </c>
      <c r="I1743" s="1">
        <v>46084</v>
      </c>
      <c r="J1743" s="1">
        <v>46114</v>
      </c>
      <c r="K1743" s="18" t="s">
        <v>17</v>
      </c>
      <c r="L1743" s="18" t="s">
        <v>32</v>
      </c>
      <c r="M1743" s="18" t="s">
        <v>19</v>
      </c>
      <c r="N1743" s="18" t="s">
        <v>66</v>
      </c>
      <c r="O1743">
        <v>30</v>
      </c>
    </row>
    <row r="1744" spans="1:15" x14ac:dyDescent="0.25">
      <c r="A1744" s="18" t="s">
        <v>7276</v>
      </c>
      <c r="B1744" s="18" t="s">
        <v>64</v>
      </c>
      <c r="C1744" s="18" t="s">
        <v>65</v>
      </c>
      <c r="D1744" s="18" t="s">
        <v>46</v>
      </c>
      <c r="E1744" s="18" t="s">
        <v>5630</v>
      </c>
      <c r="F1744" s="2">
        <f>+J1744-I1744</f>
        <v>30</v>
      </c>
      <c r="G1744" s="2">
        <f ca="1">+TODAY()-I1744</f>
        <v>29</v>
      </c>
      <c r="H1744" s="15">
        <v>880451</v>
      </c>
      <c r="I1744" s="1">
        <v>46091</v>
      </c>
      <c r="J1744" s="1">
        <v>46121</v>
      </c>
      <c r="K1744" s="18" t="s">
        <v>17</v>
      </c>
      <c r="L1744" s="18" t="s">
        <v>32</v>
      </c>
      <c r="M1744" s="18" t="s">
        <v>19</v>
      </c>
      <c r="N1744" s="18" t="s">
        <v>66</v>
      </c>
      <c r="O1744">
        <v>30</v>
      </c>
    </row>
    <row r="1745" spans="1:15" x14ac:dyDescent="0.25">
      <c r="A1745" s="18" t="s">
        <v>7276</v>
      </c>
      <c r="B1745" s="18" t="s">
        <v>64</v>
      </c>
      <c r="C1745" s="18" t="s">
        <v>65</v>
      </c>
      <c r="D1745" s="18" t="s">
        <v>46</v>
      </c>
      <c r="E1745" s="18" t="s">
        <v>6170</v>
      </c>
      <c r="F1745" s="2">
        <f>+J1745-I1745</f>
        <v>30</v>
      </c>
      <c r="G1745" s="2">
        <f ca="1">+TODAY()-I1745</f>
        <v>20</v>
      </c>
      <c r="H1745" s="15">
        <v>72802</v>
      </c>
      <c r="I1745" s="1">
        <v>46100</v>
      </c>
      <c r="J1745" s="1">
        <v>46130</v>
      </c>
      <c r="K1745" s="18" t="s">
        <v>17</v>
      </c>
      <c r="L1745" s="18" t="s">
        <v>32</v>
      </c>
      <c r="M1745" s="18" t="s">
        <v>19</v>
      </c>
      <c r="N1745" s="18" t="s">
        <v>66</v>
      </c>
      <c r="O1745">
        <v>30</v>
      </c>
    </row>
    <row r="1746" spans="1:15" x14ac:dyDescent="0.25">
      <c r="A1746" s="18" t="s">
        <v>7276</v>
      </c>
      <c r="B1746" s="18" t="s">
        <v>64</v>
      </c>
      <c r="C1746" s="18" t="s">
        <v>65</v>
      </c>
      <c r="D1746" s="18" t="s">
        <v>46</v>
      </c>
      <c r="E1746" s="18" t="s">
        <v>6719</v>
      </c>
      <c r="F1746" s="2">
        <f>+J1746-I1746</f>
        <v>30</v>
      </c>
      <c r="G1746" s="2">
        <f ca="1">+TODAY()-I1746</f>
        <v>11</v>
      </c>
      <c r="H1746" s="15">
        <v>514899</v>
      </c>
      <c r="I1746" s="1">
        <v>46109</v>
      </c>
      <c r="J1746" s="1">
        <v>46139</v>
      </c>
      <c r="K1746" s="18" t="s">
        <v>17</v>
      </c>
      <c r="L1746" s="18" t="s">
        <v>32</v>
      </c>
      <c r="M1746" s="18" t="s">
        <v>19</v>
      </c>
      <c r="N1746" s="18" t="s">
        <v>66</v>
      </c>
      <c r="O1746">
        <v>30</v>
      </c>
    </row>
    <row r="1747" spans="1:15" x14ac:dyDescent="0.25">
      <c r="A1747" s="18" t="s">
        <v>7276</v>
      </c>
      <c r="B1747" s="18" t="s">
        <v>64</v>
      </c>
      <c r="C1747" s="18" t="s">
        <v>65</v>
      </c>
      <c r="D1747" s="18" t="s">
        <v>46</v>
      </c>
      <c r="E1747" s="18" t="s">
        <v>6722</v>
      </c>
      <c r="F1747" s="2">
        <f>+J1747-I1747</f>
        <v>30</v>
      </c>
      <c r="G1747" s="2">
        <f ca="1">+TODAY()-I1747</f>
        <v>11</v>
      </c>
      <c r="H1747" s="15">
        <v>31802</v>
      </c>
      <c r="I1747" s="1">
        <v>46109</v>
      </c>
      <c r="J1747" s="1">
        <v>46139</v>
      </c>
      <c r="K1747" s="18" t="s">
        <v>17</v>
      </c>
      <c r="L1747" s="18" t="s">
        <v>32</v>
      </c>
      <c r="M1747" s="18" t="s">
        <v>19</v>
      </c>
      <c r="N1747" s="18" t="s">
        <v>66</v>
      </c>
      <c r="O1747">
        <v>30</v>
      </c>
    </row>
    <row r="1748" spans="1:15" x14ac:dyDescent="0.25">
      <c r="A1748" s="18" t="s">
        <v>7276</v>
      </c>
      <c r="B1748" s="18" t="s">
        <v>64</v>
      </c>
      <c r="C1748" s="18" t="s">
        <v>65</v>
      </c>
      <c r="D1748" s="18" t="s">
        <v>46</v>
      </c>
      <c r="E1748" s="18" t="s">
        <v>6818</v>
      </c>
      <c r="F1748" s="2">
        <f>+J1748-I1748</f>
        <v>10</v>
      </c>
      <c r="G1748" s="2">
        <f ca="1">+TODAY()-I1748</f>
        <v>8</v>
      </c>
      <c r="H1748" s="15">
        <v>840000</v>
      </c>
      <c r="I1748" s="1">
        <v>46112</v>
      </c>
      <c r="J1748" s="1">
        <v>46122</v>
      </c>
      <c r="K1748" s="18" t="s">
        <v>17</v>
      </c>
      <c r="L1748" s="18" t="s">
        <v>32</v>
      </c>
      <c r="M1748" s="18" t="s">
        <v>19</v>
      </c>
      <c r="N1748" s="18" t="s">
        <v>66</v>
      </c>
      <c r="O1748">
        <v>30</v>
      </c>
    </row>
    <row r="1749" spans="1:15" x14ac:dyDescent="0.25">
      <c r="A1749" s="18" t="s">
        <v>7276</v>
      </c>
      <c r="B1749" s="18" t="s">
        <v>64</v>
      </c>
      <c r="C1749" s="18" t="s">
        <v>65</v>
      </c>
      <c r="D1749" s="18" t="s">
        <v>46</v>
      </c>
      <c r="E1749" s="18" t="s">
        <v>6819</v>
      </c>
      <c r="F1749" s="2">
        <f>+J1749-I1749</f>
        <v>30</v>
      </c>
      <c r="G1749" s="2">
        <f ca="1">+TODAY()-I1749</f>
        <v>8</v>
      </c>
      <c r="H1749" s="15">
        <v>303003</v>
      </c>
      <c r="I1749" s="1">
        <v>46112</v>
      </c>
      <c r="J1749" s="1">
        <v>46142</v>
      </c>
      <c r="K1749" s="18" t="s">
        <v>17</v>
      </c>
      <c r="L1749" s="18" t="s">
        <v>32</v>
      </c>
      <c r="M1749" s="18" t="s">
        <v>19</v>
      </c>
      <c r="N1749" s="18" t="s">
        <v>66</v>
      </c>
      <c r="O1749">
        <v>30</v>
      </c>
    </row>
    <row r="1750" spans="1:15" x14ac:dyDescent="0.25">
      <c r="A1750" s="18" t="s">
        <v>7276</v>
      </c>
      <c r="B1750" s="18" t="s">
        <v>64</v>
      </c>
      <c r="C1750" s="18" t="s">
        <v>65</v>
      </c>
      <c r="D1750" s="18" t="s">
        <v>46</v>
      </c>
      <c r="E1750" s="18" t="s">
        <v>7288</v>
      </c>
      <c r="F1750" s="2">
        <f>+J1750-I1750</f>
        <v>30</v>
      </c>
      <c r="G1750" s="2">
        <f ca="1">+TODAY()-I1750</f>
        <v>7</v>
      </c>
      <c r="H1750" s="15">
        <v>290000</v>
      </c>
      <c r="I1750" s="1">
        <v>46113</v>
      </c>
      <c r="J1750" s="1">
        <v>46143</v>
      </c>
      <c r="K1750" s="18" t="s">
        <v>17</v>
      </c>
      <c r="L1750" s="18" t="s">
        <v>32</v>
      </c>
      <c r="M1750" s="18" t="s">
        <v>19</v>
      </c>
      <c r="N1750" s="18" t="s">
        <v>66</v>
      </c>
      <c r="O1750">
        <v>30</v>
      </c>
    </row>
    <row r="1751" spans="1:15" x14ac:dyDescent="0.25">
      <c r="A1751" s="18" t="s">
        <v>7276</v>
      </c>
      <c r="B1751" s="18" t="s">
        <v>1493</v>
      </c>
      <c r="C1751" s="18" t="s">
        <v>1494</v>
      </c>
      <c r="D1751" s="18" t="s">
        <v>341</v>
      </c>
      <c r="E1751" s="18" t="s">
        <v>1495</v>
      </c>
      <c r="F1751" s="2">
        <f>+J1751-I1751</f>
        <v>30</v>
      </c>
      <c r="G1751" s="2">
        <f ca="1">+TODAY()-I1751</f>
        <v>1322</v>
      </c>
      <c r="H1751" s="15">
        <v>400000</v>
      </c>
      <c r="I1751" s="1">
        <v>44798</v>
      </c>
      <c r="J1751" s="1">
        <v>44828</v>
      </c>
      <c r="K1751" s="18" t="s">
        <v>1470</v>
      </c>
      <c r="L1751" s="18" t="s">
        <v>981</v>
      </c>
      <c r="M1751" s="18" t="s">
        <v>19</v>
      </c>
      <c r="N1751" s="18" t="s">
        <v>20</v>
      </c>
      <c r="O1751">
        <v>30</v>
      </c>
    </row>
    <row r="1752" spans="1:15" x14ac:dyDescent="0.25">
      <c r="A1752" s="18" t="s">
        <v>7276</v>
      </c>
      <c r="B1752" s="18" t="s">
        <v>1964</v>
      </c>
      <c r="C1752" s="18" t="s">
        <v>1965</v>
      </c>
      <c r="D1752" s="18" t="s">
        <v>1066</v>
      </c>
      <c r="E1752" s="18" t="s">
        <v>5249</v>
      </c>
      <c r="F1752" s="2">
        <f>+J1752-I1752</f>
        <v>30</v>
      </c>
      <c r="G1752" s="2">
        <f ca="1">+TODAY()-I1752</f>
        <v>42</v>
      </c>
      <c r="H1752" s="15">
        <v>639836</v>
      </c>
      <c r="I1752" s="1">
        <v>46078</v>
      </c>
      <c r="J1752" s="1">
        <v>46108</v>
      </c>
      <c r="K1752" s="18" t="s">
        <v>1068</v>
      </c>
      <c r="L1752" s="18" t="s">
        <v>207</v>
      </c>
      <c r="M1752" s="18" t="s">
        <v>19</v>
      </c>
      <c r="N1752" s="18" t="s">
        <v>1966</v>
      </c>
      <c r="O1752">
        <v>30</v>
      </c>
    </row>
    <row r="1753" spans="1:15" x14ac:dyDescent="0.25">
      <c r="A1753" s="18" t="s">
        <v>7276</v>
      </c>
      <c r="B1753" s="18" t="s">
        <v>1964</v>
      </c>
      <c r="C1753" s="18" t="s">
        <v>1965</v>
      </c>
      <c r="D1753" s="18" t="s">
        <v>1066</v>
      </c>
      <c r="E1753" s="18" t="s">
        <v>5250</v>
      </c>
      <c r="F1753" s="2">
        <f>+J1753-I1753</f>
        <v>30</v>
      </c>
      <c r="G1753" s="2">
        <f ca="1">+TODAY()-I1753</f>
        <v>42</v>
      </c>
      <c r="H1753" s="15">
        <v>1767994</v>
      </c>
      <c r="I1753" s="1">
        <v>46078</v>
      </c>
      <c r="J1753" s="1">
        <v>46108</v>
      </c>
      <c r="K1753" s="18" t="s">
        <v>1068</v>
      </c>
      <c r="L1753" s="18" t="s">
        <v>207</v>
      </c>
      <c r="M1753" s="18" t="s">
        <v>19</v>
      </c>
      <c r="N1753" s="18" t="s">
        <v>1966</v>
      </c>
      <c r="O1753">
        <v>30</v>
      </c>
    </row>
    <row r="1754" spans="1:15" x14ac:dyDescent="0.25">
      <c r="A1754" s="18" t="s">
        <v>7276</v>
      </c>
      <c r="B1754" s="18" t="s">
        <v>1964</v>
      </c>
      <c r="C1754" s="18" t="s">
        <v>1965</v>
      </c>
      <c r="D1754" s="18" t="s">
        <v>1066</v>
      </c>
      <c r="E1754" s="18" t="s">
        <v>5441</v>
      </c>
      <c r="F1754" s="2">
        <f>+J1754-I1754</f>
        <v>30</v>
      </c>
      <c r="G1754" s="2">
        <f ca="1">+TODAY()-I1754</f>
        <v>35</v>
      </c>
      <c r="H1754" s="15">
        <v>166618</v>
      </c>
      <c r="I1754" s="1">
        <v>46085</v>
      </c>
      <c r="J1754" s="1">
        <v>46115</v>
      </c>
      <c r="K1754" s="18" t="s">
        <v>1068</v>
      </c>
      <c r="L1754" s="18" t="s">
        <v>207</v>
      </c>
      <c r="M1754" s="18" t="s">
        <v>19</v>
      </c>
      <c r="N1754" s="18" t="s">
        <v>1966</v>
      </c>
      <c r="O1754">
        <v>30</v>
      </c>
    </row>
    <row r="1755" spans="1:15" x14ac:dyDescent="0.25">
      <c r="A1755" s="18" t="s">
        <v>7276</v>
      </c>
      <c r="B1755" s="18" t="s">
        <v>1964</v>
      </c>
      <c r="C1755" s="18" t="s">
        <v>1965</v>
      </c>
      <c r="D1755" s="18" t="s">
        <v>1066</v>
      </c>
      <c r="E1755" s="18" t="s">
        <v>5442</v>
      </c>
      <c r="F1755" s="2">
        <f>+J1755-I1755</f>
        <v>30</v>
      </c>
      <c r="G1755" s="2">
        <f ca="1">+TODAY()-I1755</f>
        <v>35</v>
      </c>
      <c r="H1755" s="15">
        <v>1373361</v>
      </c>
      <c r="I1755" s="1">
        <v>46085</v>
      </c>
      <c r="J1755" s="1">
        <v>46115</v>
      </c>
      <c r="K1755" s="18" t="s">
        <v>1068</v>
      </c>
      <c r="L1755" s="18" t="s">
        <v>207</v>
      </c>
      <c r="M1755" s="18" t="s">
        <v>19</v>
      </c>
      <c r="N1755" s="18" t="s">
        <v>1966</v>
      </c>
      <c r="O1755">
        <v>30</v>
      </c>
    </row>
    <row r="1756" spans="1:15" x14ac:dyDescent="0.25">
      <c r="A1756" s="18" t="s">
        <v>7276</v>
      </c>
      <c r="B1756" s="18" t="s">
        <v>1964</v>
      </c>
      <c r="C1756" s="18" t="s">
        <v>1965</v>
      </c>
      <c r="D1756" s="18" t="s">
        <v>1066</v>
      </c>
      <c r="E1756" s="18" t="s">
        <v>5719</v>
      </c>
      <c r="F1756" s="2">
        <f>+J1756-I1756</f>
        <v>30</v>
      </c>
      <c r="G1756" s="2">
        <f ca="1">+TODAY()-I1756</f>
        <v>28</v>
      </c>
      <c r="H1756" s="15">
        <v>1551615</v>
      </c>
      <c r="I1756" s="1">
        <v>46092</v>
      </c>
      <c r="J1756" s="1">
        <v>46122</v>
      </c>
      <c r="K1756" s="18" t="s">
        <v>1068</v>
      </c>
      <c r="L1756" s="18" t="s">
        <v>207</v>
      </c>
      <c r="M1756" s="18" t="s">
        <v>19</v>
      </c>
      <c r="N1756" s="18" t="s">
        <v>1966</v>
      </c>
      <c r="O1756">
        <v>30</v>
      </c>
    </row>
    <row r="1757" spans="1:15" x14ac:dyDescent="0.25">
      <c r="A1757" s="18" t="s">
        <v>7276</v>
      </c>
      <c r="B1757" s="18" t="s">
        <v>1964</v>
      </c>
      <c r="C1757" s="18" t="s">
        <v>1965</v>
      </c>
      <c r="D1757" s="18" t="s">
        <v>1066</v>
      </c>
      <c r="E1757" s="18" t="s">
        <v>6263</v>
      </c>
      <c r="F1757" s="2">
        <f>+J1757-I1757</f>
        <v>30</v>
      </c>
      <c r="G1757" s="2">
        <f ca="1">+TODAY()-I1757</f>
        <v>21</v>
      </c>
      <c r="H1757" s="15">
        <v>807000</v>
      </c>
      <c r="I1757" s="1">
        <v>46099</v>
      </c>
      <c r="J1757" s="1">
        <v>46129</v>
      </c>
      <c r="K1757" s="18" t="s">
        <v>1068</v>
      </c>
      <c r="L1757" s="18" t="s">
        <v>207</v>
      </c>
      <c r="M1757" s="18" t="s">
        <v>19</v>
      </c>
      <c r="N1757" s="18" t="s">
        <v>1966</v>
      </c>
      <c r="O1757">
        <v>30</v>
      </c>
    </row>
    <row r="1758" spans="1:15" x14ac:dyDescent="0.25">
      <c r="A1758" s="18" t="s">
        <v>7276</v>
      </c>
      <c r="B1758" s="18" t="s">
        <v>1964</v>
      </c>
      <c r="C1758" s="18" t="s">
        <v>1965</v>
      </c>
      <c r="D1758" s="18" t="s">
        <v>1066</v>
      </c>
      <c r="E1758" s="18" t="s">
        <v>6496</v>
      </c>
      <c r="F1758" s="2">
        <f>+J1758-I1758</f>
        <v>30</v>
      </c>
      <c r="G1758" s="2">
        <f ca="1">+TODAY()-I1758</f>
        <v>13</v>
      </c>
      <c r="H1758" s="15">
        <v>660566</v>
      </c>
      <c r="I1758" s="1">
        <v>46107</v>
      </c>
      <c r="J1758" s="1">
        <v>46137</v>
      </c>
      <c r="K1758" s="18" t="s">
        <v>1068</v>
      </c>
      <c r="L1758" s="18" t="s">
        <v>207</v>
      </c>
      <c r="M1758" s="18" t="s">
        <v>19</v>
      </c>
      <c r="N1758" s="18" t="s">
        <v>1966</v>
      </c>
      <c r="O1758">
        <v>30</v>
      </c>
    </row>
    <row r="1759" spans="1:15" x14ac:dyDescent="0.25">
      <c r="A1759" s="18" t="s">
        <v>7276</v>
      </c>
      <c r="B1759" s="18" t="s">
        <v>1964</v>
      </c>
      <c r="C1759" s="18" t="s">
        <v>1965</v>
      </c>
      <c r="D1759" s="18" t="s">
        <v>1066</v>
      </c>
      <c r="E1759" s="18" t="s">
        <v>6497</v>
      </c>
      <c r="F1759" s="2">
        <f>+J1759-I1759</f>
        <v>30</v>
      </c>
      <c r="G1759" s="2">
        <f ca="1">+TODAY()-I1759</f>
        <v>13</v>
      </c>
      <c r="H1759" s="15">
        <v>1130000</v>
      </c>
      <c r="I1759" s="1">
        <v>46107</v>
      </c>
      <c r="J1759" s="1">
        <v>46137</v>
      </c>
      <c r="K1759" s="18" t="s">
        <v>1068</v>
      </c>
      <c r="L1759" s="18" t="s">
        <v>207</v>
      </c>
      <c r="M1759" s="18" t="s">
        <v>19</v>
      </c>
      <c r="N1759" s="18" t="s">
        <v>1966</v>
      </c>
      <c r="O1759">
        <v>30</v>
      </c>
    </row>
    <row r="1760" spans="1:15" x14ac:dyDescent="0.25">
      <c r="A1760" s="18" t="s">
        <v>7276</v>
      </c>
      <c r="B1760" s="18" t="s">
        <v>1964</v>
      </c>
      <c r="C1760" s="18" t="s">
        <v>1965</v>
      </c>
      <c r="D1760" s="18" t="s">
        <v>1066</v>
      </c>
      <c r="E1760" s="18" t="s">
        <v>6500</v>
      </c>
      <c r="F1760" s="2">
        <f>+J1760-I1760</f>
        <v>30</v>
      </c>
      <c r="G1760" s="2">
        <f ca="1">+TODAY()-I1760</f>
        <v>13</v>
      </c>
      <c r="H1760" s="15">
        <v>271820</v>
      </c>
      <c r="I1760" s="1">
        <v>46107</v>
      </c>
      <c r="J1760" s="1">
        <v>46137</v>
      </c>
      <c r="K1760" s="18" t="s">
        <v>1068</v>
      </c>
      <c r="L1760" s="18" t="s">
        <v>207</v>
      </c>
      <c r="M1760" s="18" t="s">
        <v>19</v>
      </c>
      <c r="N1760" s="18" t="s">
        <v>1966</v>
      </c>
      <c r="O1760">
        <v>30</v>
      </c>
    </row>
    <row r="1761" spans="1:15" x14ac:dyDescent="0.25">
      <c r="A1761" s="18" t="s">
        <v>7276</v>
      </c>
      <c r="B1761" s="18" t="s">
        <v>1964</v>
      </c>
      <c r="C1761" s="18" t="s">
        <v>1965</v>
      </c>
      <c r="D1761" s="18" t="s">
        <v>1066</v>
      </c>
      <c r="E1761" s="18" t="s">
        <v>5021</v>
      </c>
      <c r="F1761" s="2">
        <f>+J1761-I1761</f>
        <v>30</v>
      </c>
      <c r="G1761" s="2">
        <f ca="1">+TODAY()-I1761</f>
        <v>62</v>
      </c>
      <c r="H1761" s="15">
        <v>46738</v>
      </c>
      <c r="I1761" s="1">
        <v>46058</v>
      </c>
      <c r="J1761" s="1">
        <v>46088</v>
      </c>
      <c r="K1761" s="18" t="s">
        <v>1144</v>
      </c>
      <c r="L1761" s="18" t="s">
        <v>207</v>
      </c>
      <c r="M1761" s="18" t="s">
        <v>19</v>
      </c>
      <c r="N1761" s="18" t="s">
        <v>1966</v>
      </c>
      <c r="O1761">
        <v>30</v>
      </c>
    </row>
    <row r="1762" spans="1:15" x14ac:dyDescent="0.25">
      <c r="A1762" s="18" t="s">
        <v>7276</v>
      </c>
      <c r="B1762" s="18" t="s">
        <v>1964</v>
      </c>
      <c r="C1762" s="18" t="s">
        <v>1965</v>
      </c>
      <c r="D1762" s="18" t="s">
        <v>1066</v>
      </c>
      <c r="E1762" s="18" t="s">
        <v>5849</v>
      </c>
      <c r="F1762" s="2">
        <f>+J1762-I1762</f>
        <v>30</v>
      </c>
      <c r="G1762" s="2">
        <f ca="1">+TODAY()-I1762</f>
        <v>28</v>
      </c>
      <c r="H1762" s="15">
        <v>489001</v>
      </c>
      <c r="I1762" s="1">
        <v>46092</v>
      </c>
      <c r="J1762" s="1">
        <v>46122</v>
      </c>
      <c r="K1762" s="18" t="s">
        <v>1758</v>
      </c>
      <c r="L1762" s="18" t="s">
        <v>207</v>
      </c>
      <c r="M1762" s="18" t="s">
        <v>19</v>
      </c>
      <c r="N1762" s="18" t="s">
        <v>1966</v>
      </c>
      <c r="O1762">
        <v>30</v>
      </c>
    </row>
    <row r="1763" spans="1:15" x14ac:dyDescent="0.25">
      <c r="A1763" s="18" t="s">
        <v>7276</v>
      </c>
      <c r="B1763" s="18" t="s">
        <v>626</v>
      </c>
      <c r="C1763" s="18" t="s">
        <v>627</v>
      </c>
      <c r="D1763" s="18" t="s">
        <v>204</v>
      </c>
      <c r="E1763" s="18" t="s">
        <v>628</v>
      </c>
      <c r="F1763" s="2">
        <f>+J1763-I1763</f>
        <v>30</v>
      </c>
      <c r="G1763" s="2">
        <f ca="1">+TODAY()-I1763</f>
        <v>1093</v>
      </c>
      <c r="H1763" s="15">
        <v>10729181</v>
      </c>
      <c r="I1763" s="1">
        <v>45027</v>
      </c>
      <c r="J1763" s="1">
        <v>45057</v>
      </c>
      <c r="K1763" s="18" t="s">
        <v>343</v>
      </c>
      <c r="L1763" s="18" t="s">
        <v>18</v>
      </c>
      <c r="M1763" s="18" t="s">
        <v>19</v>
      </c>
      <c r="N1763" s="18" t="s">
        <v>629</v>
      </c>
      <c r="O1763">
        <v>30</v>
      </c>
    </row>
    <row r="1764" spans="1:15" x14ac:dyDescent="0.25">
      <c r="A1764" s="18" t="s">
        <v>7276</v>
      </c>
      <c r="B1764" s="18" t="s">
        <v>626</v>
      </c>
      <c r="C1764" s="18" t="s">
        <v>627</v>
      </c>
      <c r="D1764" s="18" t="s">
        <v>204</v>
      </c>
      <c r="E1764" s="18" t="s">
        <v>630</v>
      </c>
      <c r="F1764" s="2">
        <f>+J1764-I1764</f>
        <v>30</v>
      </c>
      <c r="G1764" s="2">
        <f ca="1">+TODAY()-I1764</f>
        <v>1093</v>
      </c>
      <c r="H1764" s="15">
        <v>6990929</v>
      </c>
      <c r="I1764" s="1">
        <v>45027</v>
      </c>
      <c r="J1764" s="1">
        <v>45057</v>
      </c>
      <c r="K1764" s="18" t="s">
        <v>343</v>
      </c>
      <c r="L1764" s="18" t="s">
        <v>18</v>
      </c>
      <c r="M1764" s="18" t="s">
        <v>19</v>
      </c>
      <c r="N1764" s="18" t="s">
        <v>629</v>
      </c>
      <c r="O1764">
        <v>30</v>
      </c>
    </row>
    <row r="1765" spans="1:15" x14ac:dyDescent="0.25">
      <c r="A1765" s="18" t="s">
        <v>7276</v>
      </c>
      <c r="B1765" s="18" t="s">
        <v>626</v>
      </c>
      <c r="C1765" s="18" t="s">
        <v>627</v>
      </c>
      <c r="D1765" s="18" t="s">
        <v>204</v>
      </c>
      <c r="E1765" s="18" t="s">
        <v>631</v>
      </c>
      <c r="F1765" s="2">
        <f>+J1765-I1765</f>
        <v>30</v>
      </c>
      <c r="G1765" s="2">
        <f ca="1">+TODAY()-I1765</f>
        <v>1093</v>
      </c>
      <c r="H1765" s="15">
        <v>9798131</v>
      </c>
      <c r="I1765" s="1">
        <v>45027</v>
      </c>
      <c r="J1765" s="1">
        <v>45057</v>
      </c>
      <c r="K1765" s="18" t="s">
        <v>343</v>
      </c>
      <c r="L1765" s="18" t="s">
        <v>18</v>
      </c>
      <c r="M1765" s="18" t="s">
        <v>19</v>
      </c>
      <c r="N1765" s="18" t="s">
        <v>629</v>
      </c>
      <c r="O1765">
        <v>30</v>
      </c>
    </row>
    <row r="1766" spans="1:15" x14ac:dyDescent="0.25">
      <c r="A1766" s="18" t="s">
        <v>7276</v>
      </c>
      <c r="B1766" s="18" t="s">
        <v>626</v>
      </c>
      <c r="C1766" s="18" t="s">
        <v>627</v>
      </c>
      <c r="D1766" s="18" t="s">
        <v>204</v>
      </c>
      <c r="E1766" s="18" t="s">
        <v>632</v>
      </c>
      <c r="F1766" s="2">
        <f>+J1766-I1766</f>
        <v>30</v>
      </c>
      <c r="G1766" s="2">
        <f ca="1">+TODAY()-I1766</f>
        <v>1093</v>
      </c>
      <c r="H1766" s="15">
        <v>2431080</v>
      </c>
      <c r="I1766" s="1">
        <v>45027</v>
      </c>
      <c r="J1766" s="1">
        <v>45057</v>
      </c>
      <c r="K1766" s="18" t="s">
        <v>343</v>
      </c>
      <c r="L1766" s="18" t="s">
        <v>18</v>
      </c>
      <c r="M1766" s="18" t="s">
        <v>19</v>
      </c>
      <c r="N1766" s="18" t="s">
        <v>629</v>
      </c>
      <c r="O1766">
        <v>30</v>
      </c>
    </row>
    <row r="1767" spans="1:15" x14ac:dyDescent="0.25">
      <c r="A1767" s="18" t="s">
        <v>7276</v>
      </c>
      <c r="B1767" s="18" t="s">
        <v>626</v>
      </c>
      <c r="C1767" s="18" t="s">
        <v>627</v>
      </c>
      <c r="D1767" s="18" t="s">
        <v>204</v>
      </c>
      <c r="E1767" s="18" t="s">
        <v>633</v>
      </c>
      <c r="F1767" s="2">
        <f>+J1767-I1767</f>
        <v>30</v>
      </c>
      <c r="G1767" s="2">
        <f ca="1">+TODAY()-I1767</f>
        <v>1035</v>
      </c>
      <c r="H1767" s="15">
        <v>9844896</v>
      </c>
      <c r="I1767" s="1">
        <v>45085</v>
      </c>
      <c r="J1767" s="1">
        <v>45115</v>
      </c>
      <c r="K1767" s="18" t="s">
        <v>343</v>
      </c>
      <c r="L1767" s="18" t="s">
        <v>18</v>
      </c>
      <c r="M1767" s="18" t="s">
        <v>19</v>
      </c>
      <c r="N1767" s="18" t="s">
        <v>629</v>
      </c>
      <c r="O1767">
        <v>30</v>
      </c>
    </row>
    <row r="1768" spans="1:15" x14ac:dyDescent="0.25">
      <c r="A1768" s="18" t="s">
        <v>7276</v>
      </c>
      <c r="B1768" s="18" t="s">
        <v>626</v>
      </c>
      <c r="C1768" s="18" t="s">
        <v>627</v>
      </c>
      <c r="D1768" s="18" t="s">
        <v>204</v>
      </c>
      <c r="E1768" s="18" t="s">
        <v>634</v>
      </c>
      <c r="F1768" s="2">
        <f>+J1768-I1768</f>
        <v>30</v>
      </c>
      <c r="G1768" s="2">
        <f ca="1">+TODAY()-I1768</f>
        <v>1035</v>
      </c>
      <c r="H1768" s="15">
        <v>10744435</v>
      </c>
      <c r="I1768" s="1">
        <v>45085</v>
      </c>
      <c r="J1768" s="1">
        <v>45115</v>
      </c>
      <c r="K1768" s="18" t="s">
        <v>343</v>
      </c>
      <c r="L1768" s="18" t="s">
        <v>18</v>
      </c>
      <c r="M1768" s="18" t="s">
        <v>19</v>
      </c>
      <c r="N1768" s="18" t="s">
        <v>629</v>
      </c>
      <c r="O1768">
        <v>30</v>
      </c>
    </row>
    <row r="1769" spans="1:15" x14ac:dyDescent="0.25">
      <c r="A1769" s="18" t="s">
        <v>7276</v>
      </c>
      <c r="B1769" s="18" t="s">
        <v>943</v>
      </c>
      <c r="C1769" s="18" t="s">
        <v>944</v>
      </c>
      <c r="D1769" s="18" t="s">
        <v>930</v>
      </c>
      <c r="E1769" s="18" t="s">
        <v>5095</v>
      </c>
      <c r="F1769" s="2">
        <f>+J1769-I1769</f>
        <v>30</v>
      </c>
      <c r="G1769" s="2">
        <f ca="1">+TODAY()-I1769</f>
        <v>50</v>
      </c>
      <c r="H1769" s="15">
        <v>22543</v>
      </c>
      <c r="I1769" s="1">
        <v>46070</v>
      </c>
      <c r="J1769" s="1">
        <v>46100</v>
      </c>
      <c r="K1769" s="18" t="s">
        <v>918</v>
      </c>
      <c r="L1769" s="18" t="s">
        <v>312</v>
      </c>
      <c r="M1769" s="18" t="s">
        <v>19</v>
      </c>
      <c r="N1769" s="18" t="s">
        <v>945</v>
      </c>
      <c r="O1769">
        <v>30</v>
      </c>
    </row>
    <row r="1770" spans="1:15" x14ac:dyDescent="0.25">
      <c r="A1770" s="18" t="s">
        <v>7276</v>
      </c>
      <c r="B1770" s="18" t="s">
        <v>943</v>
      </c>
      <c r="C1770" s="18" t="s">
        <v>944</v>
      </c>
      <c r="D1770" s="18" t="s">
        <v>930</v>
      </c>
      <c r="E1770" s="18" t="s">
        <v>5976</v>
      </c>
      <c r="F1770" s="2">
        <f>+J1770-I1770</f>
        <v>30</v>
      </c>
      <c r="G1770" s="2">
        <f ca="1">+TODAY()-I1770</f>
        <v>22</v>
      </c>
      <c r="H1770" s="15">
        <v>1026861</v>
      </c>
      <c r="I1770" s="1">
        <v>46098</v>
      </c>
      <c r="J1770" s="1">
        <v>46128</v>
      </c>
      <c r="K1770" s="18" t="s">
        <v>918</v>
      </c>
      <c r="L1770" s="18" t="s">
        <v>312</v>
      </c>
      <c r="M1770" s="18" t="s">
        <v>19</v>
      </c>
      <c r="N1770" s="18" t="s">
        <v>945</v>
      </c>
      <c r="O1770">
        <v>30</v>
      </c>
    </row>
    <row r="1771" spans="1:15" x14ac:dyDescent="0.25">
      <c r="A1771" s="18" t="s">
        <v>7276</v>
      </c>
      <c r="B1771" s="18" t="s">
        <v>943</v>
      </c>
      <c r="C1771" s="18" t="s">
        <v>944</v>
      </c>
      <c r="D1771" s="18" t="s">
        <v>930</v>
      </c>
      <c r="E1771" s="18" t="s">
        <v>6480</v>
      </c>
      <c r="F1771" s="2">
        <f>+J1771-I1771</f>
        <v>30</v>
      </c>
      <c r="G1771" s="2">
        <f ca="1">+TODAY()-I1771</f>
        <v>15</v>
      </c>
      <c r="H1771" s="15">
        <v>476234</v>
      </c>
      <c r="I1771" s="1">
        <v>46105</v>
      </c>
      <c r="J1771" s="1">
        <v>46135</v>
      </c>
      <c r="K1771" s="18" t="s">
        <v>918</v>
      </c>
      <c r="L1771" s="18" t="s">
        <v>312</v>
      </c>
      <c r="M1771" s="18" t="s">
        <v>19</v>
      </c>
      <c r="N1771" s="18" t="s">
        <v>945</v>
      </c>
      <c r="O1771">
        <v>30</v>
      </c>
    </row>
    <row r="1772" spans="1:15" x14ac:dyDescent="0.25">
      <c r="A1772" s="18" t="s">
        <v>7276</v>
      </c>
      <c r="B1772" s="18" t="s">
        <v>943</v>
      </c>
      <c r="C1772" s="18" t="s">
        <v>944</v>
      </c>
      <c r="D1772" s="18" t="s">
        <v>930</v>
      </c>
      <c r="E1772" s="18" t="s">
        <v>7019</v>
      </c>
      <c r="F1772" s="2">
        <f>+J1772-I1772</f>
        <v>30</v>
      </c>
      <c r="G1772" s="2">
        <f ca="1">+TODAY()-I1772</f>
        <v>9</v>
      </c>
      <c r="H1772" s="15">
        <v>457203</v>
      </c>
      <c r="I1772" s="1">
        <v>46111</v>
      </c>
      <c r="J1772" s="1">
        <v>46141</v>
      </c>
      <c r="K1772" s="18" t="s">
        <v>918</v>
      </c>
      <c r="L1772" s="18" t="s">
        <v>312</v>
      </c>
      <c r="M1772" s="18" t="s">
        <v>19</v>
      </c>
      <c r="N1772" s="18" t="s">
        <v>945</v>
      </c>
      <c r="O1772">
        <v>30</v>
      </c>
    </row>
    <row r="1773" spans="1:15" x14ac:dyDescent="0.25">
      <c r="A1773" s="18" t="s">
        <v>7276</v>
      </c>
      <c r="B1773" s="18" t="s">
        <v>943</v>
      </c>
      <c r="C1773" s="18" t="s">
        <v>944</v>
      </c>
      <c r="D1773" s="18" t="s">
        <v>930</v>
      </c>
      <c r="E1773" s="18" t="s">
        <v>7748</v>
      </c>
      <c r="F1773" s="2">
        <f>+J1773-I1773</f>
        <v>30</v>
      </c>
      <c r="G1773" s="2">
        <f ca="1">+TODAY()-I1773</f>
        <v>1</v>
      </c>
      <c r="H1773" s="15">
        <v>234007</v>
      </c>
      <c r="I1773" s="1">
        <v>46119</v>
      </c>
      <c r="J1773" s="1">
        <v>46149</v>
      </c>
      <c r="K1773" s="18" t="s">
        <v>918</v>
      </c>
      <c r="L1773" s="18" t="s">
        <v>312</v>
      </c>
      <c r="M1773" s="18" t="s">
        <v>19</v>
      </c>
      <c r="N1773" s="18" t="s">
        <v>945</v>
      </c>
      <c r="O1773">
        <v>30</v>
      </c>
    </row>
    <row r="1774" spans="1:15" x14ac:dyDescent="0.25">
      <c r="A1774" s="18" t="s">
        <v>7276</v>
      </c>
      <c r="B1774" s="18" t="s">
        <v>958</v>
      </c>
      <c r="C1774" s="18" t="s">
        <v>959</v>
      </c>
      <c r="D1774" s="18" t="s">
        <v>916</v>
      </c>
      <c r="E1774" s="18" t="s">
        <v>5432</v>
      </c>
      <c r="F1774" s="2">
        <f>+J1774-I1774</f>
        <v>30</v>
      </c>
      <c r="G1774" s="2">
        <f ca="1">+TODAY()-I1774</f>
        <v>36</v>
      </c>
      <c r="H1774" s="15">
        <v>399099</v>
      </c>
      <c r="I1774" s="1">
        <v>46084</v>
      </c>
      <c r="J1774" s="1">
        <v>46114</v>
      </c>
      <c r="K1774" s="18" t="s">
        <v>918</v>
      </c>
      <c r="L1774" s="18" t="s">
        <v>312</v>
      </c>
      <c r="M1774" s="18" t="s">
        <v>19</v>
      </c>
      <c r="N1774" s="18" t="s">
        <v>960</v>
      </c>
      <c r="O1774">
        <v>30</v>
      </c>
    </row>
    <row r="1775" spans="1:15" x14ac:dyDescent="0.25">
      <c r="A1775" s="18" t="s">
        <v>7276</v>
      </c>
      <c r="B1775" s="18" t="s">
        <v>958</v>
      </c>
      <c r="C1775" s="18" t="s">
        <v>959</v>
      </c>
      <c r="D1775" s="18" t="s">
        <v>916</v>
      </c>
      <c r="E1775" s="18" t="s">
        <v>5433</v>
      </c>
      <c r="F1775" s="2">
        <f>+J1775-I1775</f>
        <v>30</v>
      </c>
      <c r="G1775" s="2">
        <f ca="1">+TODAY()-I1775</f>
        <v>36</v>
      </c>
      <c r="H1775" s="15">
        <v>1170003</v>
      </c>
      <c r="I1775" s="1">
        <v>46084</v>
      </c>
      <c r="J1775" s="1">
        <v>46114</v>
      </c>
      <c r="K1775" s="18" t="s">
        <v>918</v>
      </c>
      <c r="L1775" s="18" t="s">
        <v>312</v>
      </c>
      <c r="M1775" s="18" t="s">
        <v>19</v>
      </c>
      <c r="N1775" s="18" t="s">
        <v>960</v>
      </c>
      <c r="O1775">
        <v>30</v>
      </c>
    </row>
    <row r="1776" spans="1:15" x14ac:dyDescent="0.25">
      <c r="A1776" s="18" t="s">
        <v>7276</v>
      </c>
      <c r="B1776" s="18" t="s">
        <v>958</v>
      </c>
      <c r="C1776" s="18" t="s">
        <v>959</v>
      </c>
      <c r="D1776" s="18" t="s">
        <v>916</v>
      </c>
      <c r="E1776" s="18" t="s">
        <v>5972</v>
      </c>
      <c r="F1776" s="2">
        <f>+J1776-I1776</f>
        <v>30</v>
      </c>
      <c r="G1776" s="2">
        <f ca="1">+TODAY()-I1776</f>
        <v>22</v>
      </c>
      <c r="H1776" s="15">
        <v>521201</v>
      </c>
      <c r="I1776" s="1">
        <v>46098</v>
      </c>
      <c r="J1776" s="1">
        <v>46128</v>
      </c>
      <c r="K1776" s="18" t="s">
        <v>918</v>
      </c>
      <c r="L1776" s="18" t="s">
        <v>312</v>
      </c>
      <c r="M1776" s="18" t="s">
        <v>19</v>
      </c>
      <c r="N1776" s="18" t="s">
        <v>960</v>
      </c>
      <c r="O1776">
        <v>30</v>
      </c>
    </row>
    <row r="1777" spans="1:15" x14ac:dyDescent="0.25">
      <c r="A1777" s="18" t="s">
        <v>7276</v>
      </c>
      <c r="B1777" s="18" t="s">
        <v>7133</v>
      </c>
      <c r="C1777" s="18" t="s">
        <v>7134</v>
      </c>
      <c r="D1777" s="18" t="s">
        <v>340</v>
      </c>
      <c r="E1777" s="18" t="s">
        <v>7135</v>
      </c>
      <c r="F1777" s="2">
        <f>+J1777-I1777</f>
        <v>1</v>
      </c>
      <c r="G1777" s="2">
        <f ca="1">+TODAY()-I1777</f>
        <v>8</v>
      </c>
      <c r="H1777" s="15">
        <v>368513</v>
      </c>
      <c r="I1777" s="1">
        <v>46112</v>
      </c>
      <c r="J1777" s="1">
        <v>46113</v>
      </c>
      <c r="K1777" s="18" t="s">
        <v>1233</v>
      </c>
      <c r="L1777" s="18" t="s">
        <v>18</v>
      </c>
      <c r="M1777" s="18" t="s">
        <v>19</v>
      </c>
      <c r="N1777" s="18" t="s">
        <v>7136</v>
      </c>
      <c r="O1777">
        <v>1</v>
      </c>
    </row>
    <row r="1778" spans="1:15" x14ac:dyDescent="0.25">
      <c r="A1778" s="18" t="s">
        <v>7276</v>
      </c>
      <c r="B1778" s="18" t="s">
        <v>7133</v>
      </c>
      <c r="C1778" s="18" t="s">
        <v>7134</v>
      </c>
      <c r="D1778" s="18" t="s">
        <v>340</v>
      </c>
      <c r="E1778" s="18" t="s">
        <v>7137</v>
      </c>
      <c r="F1778" s="2">
        <f>+J1778-I1778</f>
        <v>1</v>
      </c>
      <c r="G1778" s="2">
        <f ca="1">+TODAY()-I1778</f>
        <v>8</v>
      </c>
      <c r="H1778" s="15">
        <v>62200</v>
      </c>
      <c r="I1778" s="1">
        <v>46112</v>
      </c>
      <c r="J1778" s="1">
        <v>46113</v>
      </c>
      <c r="K1778" s="18" t="s">
        <v>1233</v>
      </c>
      <c r="L1778" s="18" t="s">
        <v>18</v>
      </c>
      <c r="M1778" s="18" t="s">
        <v>19</v>
      </c>
      <c r="N1778" s="18" t="s">
        <v>7136</v>
      </c>
      <c r="O1778">
        <v>1</v>
      </c>
    </row>
    <row r="1779" spans="1:15" x14ac:dyDescent="0.25">
      <c r="A1779" s="18" t="s">
        <v>7276</v>
      </c>
      <c r="B1779" s="18" t="s">
        <v>35</v>
      </c>
      <c r="C1779" s="18" t="s">
        <v>36</v>
      </c>
      <c r="D1779" s="18" t="s">
        <v>15</v>
      </c>
      <c r="E1779" s="18" t="s">
        <v>37</v>
      </c>
      <c r="F1779" s="2">
        <f>+J1779-I1779</f>
        <v>30</v>
      </c>
      <c r="G1779" s="2">
        <f ca="1">+TODAY()-I1779</f>
        <v>382</v>
      </c>
      <c r="H1779" s="15">
        <v>1980795</v>
      </c>
      <c r="I1779" s="1">
        <v>45738</v>
      </c>
      <c r="J1779" s="1">
        <v>45768</v>
      </c>
      <c r="K1779" s="18" t="s">
        <v>17</v>
      </c>
      <c r="L1779" s="18" t="s">
        <v>18</v>
      </c>
      <c r="M1779" s="18" t="s">
        <v>19</v>
      </c>
      <c r="N1779" s="18" t="s">
        <v>38</v>
      </c>
      <c r="O1779">
        <v>30</v>
      </c>
    </row>
    <row r="1780" spans="1:15" x14ac:dyDescent="0.25">
      <c r="A1780" s="18" t="s">
        <v>7276</v>
      </c>
      <c r="B1780" s="18" t="s">
        <v>35</v>
      </c>
      <c r="C1780" s="18" t="s">
        <v>36</v>
      </c>
      <c r="D1780" s="18" t="s">
        <v>15</v>
      </c>
      <c r="E1780" s="18" t="s">
        <v>39</v>
      </c>
      <c r="F1780" s="2">
        <f>+J1780-I1780</f>
        <v>30</v>
      </c>
      <c r="G1780" s="2">
        <f ca="1">+TODAY()-I1780</f>
        <v>368</v>
      </c>
      <c r="H1780" s="15">
        <v>1531800</v>
      </c>
      <c r="I1780" s="1">
        <v>45752</v>
      </c>
      <c r="J1780" s="1">
        <v>45782</v>
      </c>
      <c r="K1780" s="18" t="s">
        <v>17</v>
      </c>
      <c r="L1780" s="18" t="s">
        <v>18</v>
      </c>
      <c r="M1780" s="18" t="s">
        <v>19</v>
      </c>
      <c r="N1780" s="18" t="s">
        <v>38</v>
      </c>
      <c r="O1780">
        <v>30</v>
      </c>
    </row>
    <row r="1781" spans="1:15" x14ac:dyDescent="0.25">
      <c r="A1781" s="18" t="s">
        <v>7276</v>
      </c>
      <c r="B1781" s="18" t="s">
        <v>114</v>
      </c>
      <c r="C1781" s="18" t="s">
        <v>115</v>
      </c>
      <c r="D1781" s="18" t="s">
        <v>15</v>
      </c>
      <c r="E1781" s="18" t="s">
        <v>5508</v>
      </c>
      <c r="F1781" s="2">
        <f>+J1781-I1781</f>
        <v>30</v>
      </c>
      <c r="G1781" s="2">
        <f ca="1">+TODAY()-I1781</f>
        <v>34</v>
      </c>
      <c r="H1781" s="15">
        <v>198602</v>
      </c>
      <c r="I1781" s="1">
        <v>46086</v>
      </c>
      <c r="J1781" s="1">
        <v>46116</v>
      </c>
      <c r="K1781" s="18" t="s">
        <v>17</v>
      </c>
      <c r="L1781" s="18" t="s">
        <v>32</v>
      </c>
      <c r="M1781" s="18" t="s">
        <v>19</v>
      </c>
      <c r="N1781" s="18" t="s">
        <v>116</v>
      </c>
      <c r="O1781">
        <v>30</v>
      </c>
    </row>
    <row r="1782" spans="1:15" x14ac:dyDescent="0.25">
      <c r="A1782" s="18" t="s">
        <v>7276</v>
      </c>
      <c r="B1782" s="18" t="s">
        <v>114</v>
      </c>
      <c r="C1782" s="18" t="s">
        <v>115</v>
      </c>
      <c r="D1782" s="18" t="s">
        <v>15</v>
      </c>
      <c r="E1782" s="18" t="s">
        <v>5509</v>
      </c>
      <c r="F1782" s="2">
        <f>+J1782-I1782</f>
        <v>30</v>
      </c>
      <c r="G1782" s="2">
        <f ca="1">+TODAY()-I1782</f>
        <v>34</v>
      </c>
      <c r="H1782" s="15">
        <v>1370584</v>
      </c>
      <c r="I1782" s="1">
        <v>46086</v>
      </c>
      <c r="J1782" s="1">
        <v>46116</v>
      </c>
      <c r="K1782" s="18" t="s">
        <v>17</v>
      </c>
      <c r="L1782" s="18" t="s">
        <v>32</v>
      </c>
      <c r="M1782" s="18" t="s">
        <v>19</v>
      </c>
      <c r="N1782" s="18" t="s">
        <v>116</v>
      </c>
      <c r="O1782">
        <v>30</v>
      </c>
    </row>
    <row r="1783" spans="1:15" x14ac:dyDescent="0.25">
      <c r="A1783" s="18" t="s">
        <v>7276</v>
      </c>
      <c r="B1783" s="18" t="s">
        <v>114</v>
      </c>
      <c r="C1783" s="18" t="s">
        <v>115</v>
      </c>
      <c r="D1783" s="18" t="s">
        <v>15</v>
      </c>
      <c r="E1783" s="18" t="s">
        <v>6173</v>
      </c>
      <c r="F1783" s="2">
        <f>+J1783-I1783</f>
        <v>30</v>
      </c>
      <c r="G1783" s="2">
        <f ca="1">+TODAY()-I1783</f>
        <v>20</v>
      </c>
      <c r="H1783" s="15">
        <v>414106</v>
      </c>
      <c r="I1783" s="1">
        <v>46100</v>
      </c>
      <c r="J1783" s="1">
        <v>46130</v>
      </c>
      <c r="K1783" s="18" t="s">
        <v>17</v>
      </c>
      <c r="L1783" s="18" t="s">
        <v>32</v>
      </c>
      <c r="M1783" s="18" t="s">
        <v>19</v>
      </c>
      <c r="N1783" s="18" t="s">
        <v>116</v>
      </c>
      <c r="O1783">
        <v>30</v>
      </c>
    </row>
    <row r="1784" spans="1:15" x14ac:dyDescent="0.25">
      <c r="A1784" s="18" t="s">
        <v>7276</v>
      </c>
      <c r="B1784" s="18" t="s">
        <v>114</v>
      </c>
      <c r="C1784" s="18" t="s">
        <v>115</v>
      </c>
      <c r="D1784" s="18" t="s">
        <v>15</v>
      </c>
      <c r="E1784" s="18" t="s">
        <v>6174</v>
      </c>
      <c r="F1784" s="2">
        <f>+J1784-I1784</f>
        <v>30</v>
      </c>
      <c r="G1784" s="2">
        <f ca="1">+TODAY()-I1784</f>
        <v>20</v>
      </c>
      <c r="H1784" s="15">
        <v>1009799</v>
      </c>
      <c r="I1784" s="1">
        <v>46100</v>
      </c>
      <c r="J1784" s="1">
        <v>46130</v>
      </c>
      <c r="K1784" s="18" t="s">
        <v>17</v>
      </c>
      <c r="L1784" s="18" t="s">
        <v>32</v>
      </c>
      <c r="M1784" s="18" t="s">
        <v>19</v>
      </c>
      <c r="N1784" s="18" t="s">
        <v>116</v>
      </c>
      <c r="O1784">
        <v>30</v>
      </c>
    </row>
    <row r="1785" spans="1:15" x14ac:dyDescent="0.25">
      <c r="A1785" s="18" t="s">
        <v>7276</v>
      </c>
      <c r="B1785" s="18" t="s">
        <v>6746</v>
      </c>
      <c r="C1785" s="18" t="s">
        <v>6747</v>
      </c>
      <c r="D1785" s="18" t="s">
        <v>15</v>
      </c>
      <c r="E1785" s="18" t="s">
        <v>6748</v>
      </c>
      <c r="F1785" s="2">
        <f>+J1785-I1785</f>
        <v>30</v>
      </c>
      <c r="G1785" s="2">
        <f ca="1">+TODAY()-I1785</f>
        <v>11</v>
      </c>
      <c r="H1785" s="15">
        <v>103368</v>
      </c>
      <c r="I1785" s="1">
        <v>46109</v>
      </c>
      <c r="J1785" s="1">
        <v>46139</v>
      </c>
      <c r="K1785" s="18" t="s">
        <v>17</v>
      </c>
      <c r="L1785" s="18" t="s">
        <v>109</v>
      </c>
      <c r="M1785" s="18" t="s">
        <v>19</v>
      </c>
      <c r="N1785" s="18" t="s">
        <v>6749</v>
      </c>
      <c r="O1785">
        <v>30</v>
      </c>
    </row>
    <row r="1786" spans="1:15" x14ac:dyDescent="0.25">
      <c r="A1786" s="18" t="s">
        <v>7276</v>
      </c>
      <c r="B1786" s="18" t="s">
        <v>924</v>
      </c>
      <c r="C1786" s="18" t="s">
        <v>925</v>
      </c>
      <c r="D1786" s="18" t="s">
        <v>916</v>
      </c>
      <c r="E1786" s="18" t="s">
        <v>926</v>
      </c>
      <c r="F1786" s="2">
        <f>+J1786-I1786</f>
        <v>30</v>
      </c>
      <c r="G1786" s="2">
        <f ca="1">+TODAY()-I1786</f>
        <v>386</v>
      </c>
      <c r="H1786" s="15">
        <v>2815989</v>
      </c>
      <c r="I1786" s="1">
        <v>45734</v>
      </c>
      <c r="J1786" s="1">
        <v>45764</v>
      </c>
      <c r="K1786" s="18" t="s">
        <v>918</v>
      </c>
      <c r="L1786" s="18" t="s">
        <v>312</v>
      </c>
      <c r="M1786" s="18" t="s">
        <v>19</v>
      </c>
      <c r="N1786" s="18" t="s">
        <v>6237</v>
      </c>
      <c r="O1786">
        <v>30</v>
      </c>
    </row>
    <row r="1787" spans="1:15" x14ac:dyDescent="0.25">
      <c r="A1787" s="18" t="s">
        <v>7276</v>
      </c>
      <c r="B1787" s="18" t="s">
        <v>924</v>
      </c>
      <c r="C1787" s="18" t="s">
        <v>925</v>
      </c>
      <c r="D1787" s="18" t="s">
        <v>916</v>
      </c>
      <c r="E1787" s="18" t="s">
        <v>928</v>
      </c>
      <c r="F1787" s="2">
        <f>+J1787-I1787</f>
        <v>30</v>
      </c>
      <c r="G1787" s="2">
        <f ca="1">+TODAY()-I1787</f>
        <v>373</v>
      </c>
      <c r="H1787" s="15">
        <v>232234</v>
      </c>
      <c r="I1787" s="1">
        <v>45747</v>
      </c>
      <c r="J1787" s="1">
        <v>45777</v>
      </c>
      <c r="K1787" s="18" t="s">
        <v>918</v>
      </c>
      <c r="L1787" s="18" t="s">
        <v>312</v>
      </c>
      <c r="M1787" s="18" t="s">
        <v>19</v>
      </c>
      <c r="N1787" s="18" t="s">
        <v>6237</v>
      </c>
      <c r="O1787">
        <v>30</v>
      </c>
    </row>
    <row r="1788" spans="1:15" x14ac:dyDescent="0.25">
      <c r="A1788" s="18" t="s">
        <v>7276</v>
      </c>
      <c r="B1788" s="18" t="s">
        <v>924</v>
      </c>
      <c r="C1788" s="18" t="s">
        <v>925</v>
      </c>
      <c r="D1788" s="18" t="s">
        <v>916</v>
      </c>
      <c r="E1788" s="18" t="s">
        <v>929</v>
      </c>
      <c r="F1788" s="2">
        <f>+J1788-I1788</f>
        <v>30</v>
      </c>
      <c r="G1788" s="2">
        <f ca="1">+TODAY()-I1788</f>
        <v>365</v>
      </c>
      <c r="H1788" s="15">
        <v>3921819</v>
      </c>
      <c r="I1788" s="1">
        <v>45755</v>
      </c>
      <c r="J1788" s="1">
        <v>45785</v>
      </c>
      <c r="K1788" s="18" t="s">
        <v>918</v>
      </c>
      <c r="L1788" s="18" t="s">
        <v>312</v>
      </c>
      <c r="M1788" s="18" t="s">
        <v>19</v>
      </c>
      <c r="N1788" s="18" t="s">
        <v>6237</v>
      </c>
      <c r="O1788">
        <v>30</v>
      </c>
    </row>
    <row r="1789" spans="1:15" x14ac:dyDescent="0.25">
      <c r="A1789" s="18" t="s">
        <v>7276</v>
      </c>
      <c r="B1789" s="18" t="s">
        <v>924</v>
      </c>
      <c r="C1789" s="18" t="s">
        <v>925</v>
      </c>
      <c r="D1789" s="18" t="s">
        <v>916</v>
      </c>
      <c r="E1789" s="18" t="s">
        <v>7017</v>
      </c>
      <c r="F1789" s="2">
        <f>+J1789-I1789</f>
        <v>1</v>
      </c>
      <c r="G1789" s="2">
        <f ca="1">+TODAY()-I1789</f>
        <v>9</v>
      </c>
      <c r="H1789" s="15">
        <v>463801</v>
      </c>
      <c r="I1789" s="1">
        <v>46111</v>
      </c>
      <c r="J1789" s="1">
        <v>46112</v>
      </c>
      <c r="K1789" s="18" t="s">
        <v>918</v>
      </c>
      <c r="L1789" s="18" t="s">
        <v>312</v>
      </c>
      <c r="M1789" s="18" t="s">
        <v>19</v>
      </c>
      <c r="N1789" s="18" t="s">
        <v>6237</v>
      </c>
      <c r="O1789">
        <v>30</v>
      </c>
    </row>
    <row r="1790" spans="1:15" x14ac:dyDescent="0.25">
      <c r="A1790" s="18" t="s">
        <v>7276</v>
      </c>
      <c r="B1790" s="18" t="s">
        <v>924</v>
      </c>
      <c r="C1790" s="18" t="s">
        <v>925</v>
      </c>
      <c r="D1790" s="18" t="s">
        <v>916</v>
      </c>
      <c r="E1790" s="18" t="s">
        <v>7463</v>
      </c>
      <c r="F1790" s="2">
        <f>+J1790-I1790</f>
        <v>1</v>
      </c>
      <c r="G1790" s="2">
        <f ca="1">+TODAY()-I1790</f>
        <v>2</v>
      </c>
      <c r="H1790" s="15">
        <v>372801</v>
      </c>
      <c r="I1790" s="1">
        <v>46118</v>
      </c>
      <c r="J1790" s="1">
        <v>46119</v>
      </c>
      <c r="K1790" s="18" t="s">
        <v>918</v>
      </c>
      <c r="L1790" s="18" t="s">
        <v>312</v>
      </c>
      <c r="M1790" s="18" t="s">
        <v>19</v>
      </c>
      <c r="N1790" s="18" t="s">
        <v>6237</v>
      </c>
      <c r="O1790">
        <v>30</v>
      </c>
    </row>
    <row r="1791" spans="1:15" x14ac:dyDescent="0.25">
      <c r="A1791" s="18" t="s">
        <v>7276</v>
      </c>
      <c r="B1791" s="18" t="s">
        <v>2421</v>
      </c>
      <c r="C1791" s="18" t="s">
        <v>2422</v>
      </c>
      <c r="D1791" s="18" t="s">
        <v>15</v>
      </c>
      <c r="E1791" s="18" t="s">
        <v>6421</v>
      </c>
      <c r="F1791" s="2">
        <f>+J1791-I1791</f>
        <v>10</v>
      </c>
      <c r="G1791" s="2">
        <f ca="1">+TODAY()-I1791</f>
        <v>12</v>
      </c>
      <c r="H1791" s="15">
        <v>1260000</v>
      </c>
      <c r="I1791" s="1">
        <v>46108</v>
      </c>
      <c r="J1791" s="1">
        <v>46118</v>
      </c>
      <c r="K1791" s="18" t="s">
        <v>17</v>
      </c>
      <c r="L1791" s="18" t="s">
        <v>32</v>
      </c>
      <c r="M1791" s="18" t="s">
        <v>19</v>
      </c>
      <c r="N1791" s="18" t="s">
        <v>2423</v>
      </c>
      <c r="O1791">
        <v>30</v>
      </c>
    </row>
    <row r="1792" spans="1:15" x14ac:dyDescent="0.25">
      <c r="A1792" s="18" t="s">
        <v>7276</v>
      </c>
      <c r="B1792" s="18" t="s">
        <v>162</v>
      </c>
      <c r="C1792" s="18" t="s">
        <v>163</v>
      </c>
      <c r="D1792" s="18" t="s">
        <v>15</v>
      </c>
      <c r="E1792" s="18" t="s">
        <v>5401</v>
      </c>
      <c r="F1792" s="2">
        <f>+J1792-I1792</f>
        <v>30</v>
      </c>
      <c r="G1792" s="2">
        <f ca="1">+TODAY()-I1792</f>
        <v>35</v>
      </c>
      <c r="H1792" s="15">
        <v>117596</v>
      </c>
      <c r="I1792" s="1">
        <v>46085</v>
      </c>
      <c r="J1792" s="1">
        <v>46115</v>
      </c>
      <c r="K1792" s="18" t="s">
        <v>17</v>
      </c>
      <c r="L1792" s="18" t="s">
        <v>32</v>
      </c>
      <c r="M1792" s="18" t="s">
        <v>19</v>
      </c>
      <c r="N1792" s="18" t="s">
        <v>164</v>
      </c>
      <c r="O1792">
        <v>30</v>
      </c>
    </row>
    <row r="1793" spans="1:15" x14ac:dyDescent="0.25">
      <c r="A1793" s="18" t="s">
        <v>7276</v>
      </c>
      <c r="B1793" s="18" t="s">
        <v>162</v>
      </c>
      <c r="C1793" s="18" t="s">
        <v>163</v>
      </c>
      <c r="D1793" s="18" t="s">
        <v>15</v>
      </c>
      <c r="E1793" s="18" t="s">
        <v>5870</v>
      </c>
      <c r="F1793" s="2">
        <f>+J1793-I1793</f>
        <v>30</v>
      </c>
      <c r="G1793" s="2">
        <f ca="1">+TODAY()-I1793</f>
        <v>27</v>
      </c>
      <c r="H1793" s="15">
        <v>104100</v>
      </c>
      <c r="I1793" s="1">
        <v>46093</v>
      </c>
      <c r="J1793" s="1">
        <v>46123</v>
      </c>
      <c r="K1793" s="18" t="s">
        <v>17</v>
      </c>
      <c r="L1793" s="18" t="s">
        <v>32</v>
      </c>
      <c r="M1793" s="18" t="s">
        <v>19</v>
      </c>
      <c r="N1793" s="18" t="s">
        <v>164</v>
      </c>
      <c r="O1793">
        <v>30</v>
      </c>
    </row>
    <row r="1794" spans="1:15" x14ac:dyDescent="0.25">
      <c r="A1794" s="18" t="s">
        <v>7276</v>
      </c>
      <c r="B1794" s="18" t="s">
        <v>162</v>
      </c>
      <c r="C1794" s="18" t="s">
        <v>163</v>
      </c>
      <c r="D1794" s="18" t="s">
        <v>15</v>
      </c>
      <c r="E1794" s="18" t="s">
        <v>7278</v>
      </c>
      <c r="F1794" s="2">
        <f>+J1794-I1794</f>
        <v>30</v>
      </c>
      <c r="G1794" s="2">
        <f ca="1">+TODAY()-I1794</f>
        <v>7</v>
      </c>
      <c r="H1794" s="15">
        <v>408898</v>
      </c>
      <c r="I1794" s="1">
        <v>46113</v>
      </c>
      <c r="J1794" s="1">
        <v>46143</v>
      </c>
      <c r="K1794" s="18" t="s">
        <v>17</v>
      </c>
      <c r="L1794" s="18" t="s">
        <v>32</v>
      </c>
      <c r="M1794" s="18" t="s">
        <v>19</v>
      </c>
      <c r="N1794" s="18" t="s">
        <v>164</v>
      </c>
      <c r="O1794">
        <v>30</v>
      </c>
    </row>
    <row r="1795" spans="1:15" x14ac:dyDescent="0.25">
      <c r="A1795" s="18" t="s">
        <v>7276</v>
      </c>
      <c r="B1795" s="18" t="s">
        <v>162</v>
      </c>
      <c r="C1795" s="18" t="s">
        <v>163</v>
      </c>
      <c r="D1795" s="18" t="s">
        <v>15</v>
      </c>
      <c r="E1795" s="18" t="s">
        <v>7634</v>
      </c>
      <c r="F1795" s="2">
        <f>+J1795-I1795</f>
        <v>1</v>
      </c>
      <c r="G1795" s="2">
        <f ca="1">+TODAY()-I1795</f>
        <v>1</v>
      </c>
      <c r="H1795" s="15">
        <v>70000</v>
      </c>
      <c r="I1795" s="1">
        <v>46119</v>
      </c>
      <c r="J1795" s="1">
        <v>46120</v>
      </c>
      <c r="K1795" s="18" t="s">
        <v>17</v>
      </c>
      <c r="L1795" s="18" t="s">
        <v>32</v>
      </c>
      <c r="M1795" s="18" t="s">
        <v>19</v>
      </c>
      <c r="N1795" s="18" t="s">
        <v>164</v>
      </c>
      <c r="O1795">
        <v>30</v>
      </c>
    </row>
    <row r="1796" spans="1:15" x14ac:dyDescent="0.25">
      <c r="A1796" s="18" t="s">
        <v>7276</v>
      </c>
      <c r="B1796" s="18" t="s">
        <v>162</v>
      </c>
      <c r="C1796" s="18" t="s">
        <v>163</v>
      </c>
      <c r="D1796" s="18" t="s">
        <v>15</v>
      </c>
      <c r="E1796" s="18" t="s">
        <v>7635</v>
      </c>
      <c r="F1796" s="2">
        <f>+J1796-I1796</f>
        <v>30</v>
      </c>
      <c r="G1796" s="2">
        <f ca="1">+TODAY()-I1796</f>
        <v>1</v>
      </c>
      <c r="H1796" s="15">
        <v>511367</v>
      </c>
      <c r="I1796" s="1">
        <v>46119</v>
      </c>
      <c r="J1796" s="1">
        <v>46149</v>
      </c>
      <c r="K1796" s="18" t="s">
        <v>17</v>
      </c>
      <c r="L1796" s="18" t="s">
        <v>32</v>
      </c>
      <c r="M1796" s="18" t="s">
        <v>19</v>
      </c>
      <c r="N1796" s="18" t="s">
        <v>164</v>
      </c>
      <c r="O1796">
        <v>30</v>
      </c>
    </row>
    <row r="1797" spans="1:15" x14ac:dyDescent="0.25">
      <c r="A1797" s="18" t="s">
        <v>7276</v>
      </c>
      <c r="B1797" s="18" t="s">
        <v>162</v>
      </c>
      <c r="C1797" s="18" t="s">
        <v>163</v>
      </c>
      <c r="D1797" s="18" t="s">
        <v>15</v>
      </c>
      <c r="E1797" s="18" t="s">
        <v>7636</v>
      </c>
      <c r="F1797" s="2">
        <f>+J1797-I1797</f>
        <v>10</v>
      </c>
      <c r="G1797" s="2">
        <f ca="1">+TODAY()-I1797</f>
        <v>1</v>
      </c>
      <c r="H1797" s="15">
        <v>840000</v>
      </c>
      <c r="I1797" s="1">
        <v>46119</v>
      </c>
      <c r="J1797" s="1">
        <v>46129</v>
      </c>
      <c r="K1797" s="18" t="s">
        <v>17</v>
      </c>
      <c r="L1797" s="18" t="s">
        <v>32</v>
      </c>
      <c r="M1797" s="18" t="s">
        <v>19</v>
      </c>
      <c r="N1797" s="18" t="s">
        <v>164</v>
      </c>
      <c r="O1797">
        <v>30</v>
      </c>
    </row>
    <row r="1798" spans="1:15" x14ac:dyDescent="0.25">
      <c r="A1798" s="18" t="s">
        <v>7276</v>
      </c>
      <c r="B1798" s="18" t="s">
        <v>2586</v>
      </c>
      <c r="C1798" s="18" t="s">
        <v>2587</v>
      </c>
      <c r="D1798" s="18" t="s">
        <v>15</v>
      </c>
      <c r="E1798" s="18" t="s">
        <v>5617</v>
      </c>
      <c r="F1798" s="2">
        <f>+J1798-I1798</f>
        <v>30</v>
      </c>
      <c r="G1798" s="2">
        <f ca="1">+TODAY()-I1798</f>
        <v>30</v>
      </c>
      <c r="H1798" s="15">
        <v>1097989</v>
      </c>
      <c r="I1798" s="1">
        <v>46090</v>
      </c>
      <c r="J1798" s="1">
        <v>46120</v>
      </c>
      <c r="K1798" s="18" t="s">
        <v>17</v>
      </c>
      <c r="L1798" s="18" t="s">
        <v>32</v>
      </c>
      <c r="M1798" s="18" t="s">
        <v>19</v>
      </c>
      <c r="N1798" s="18" t="s">
        <v>2588</v>
      </c>
      <c r="O1798">
        <v>30</v>
      </c>
    </row>
    <row r="1799" spans="1:15" x14ac:dyDescent="0.25">
      <c r="A1799" s="18" t="s">
        <v>7276</v>
      </c>
      <c r="B1799" s="18" t="s">
        <v>2586</v>
      </c>
      <c r="C1799" s="18" t="s">
        <v>2587</v>
      </c>
      <c r="D1799" s="18" t="s">
        <v>15</v>
      </c>
      <c r="E1799" s="18" t="s">
        <v>6830</v>
      </c>
      <c r="F1799" s="2">
        <f>+J1799-I1799</f>
        <v>1</v>
      </c>
      <c r="G1799" s="2">
        <f ca="1">+TODAY()-I1799</f>
        <v>8</v>
      </c>
      <c r="H1799" s="15">
        <v>326600</v>
      </c>
      <c r="I1799" s="1">
        <v>46112</v>
      </c>
      <c r="J1799" s="1">
        <v>46113</v>
      </c>
      <c r="K1799" s="18" t="s">
        <v>17</v>
      </c>
      <c r="L1799" s="18" t="s">
        <v>32</v>
      </c>
      <c r="M1799" s="18" t="s">
        <v>19</v>
      </c>
      <c r="N1799" s="18" t="s">
        <v>2588</v>
      </c>
      <c r="O1799">
        <v>30</v>
      </c>
    </row>
    <row r="1800" spans="1:15" x14ac:dyDescent="0.25">
      <c r="A1800" s="18" t="s">
        <v>7276</v>
      </c>
      <c r="B1800" s="18" t="s">
        <v>4524</v>
      </c>
      <c r="C1800" s="18" t="s">
        <v>4525</v>
      </c>
      <c r="D1800" s="18" t="s">
        <v>1138</v>
      </c>
      <c r="E1800" s="18" t="s">
        <v>7522</v>
      </c>
      <c r="F1800" s="2">
        <f>+J1800-I1800</f>
        <v>1</v>
      </c>
      <c r="G1800" s="2">
        <f ca="1">+TODAY()-I1800</f>
        <v>7</v>
      </c>
      <c r="H1800" s="15">
        <v>42017</v>
      </c>
      <c r="I1800" s="1">
        <v>46113</v>
      </c>
      <c r="J1800" s="1">
        <v>46114</v>
      </c>
      <c r="K1800" s="18" t="s">
        <v>1144</v>
      </c>
      <c r="L1800" s="18" t="s">
        <v>321</v>
      </c>
      <c r="M1800" s="18" t="s">
        <v>19</v>
      </c>
      <c r="N1800" s="18" t="s">
        <v>4527</v>
      </c>
      <c r="O1800">
        <v>30</v>
      </c>
    </row>
    <row r="1801" spans="1:15" x14ac:dyDescent="0.25">
      <c r="A1801" s="18" t="s">
        <v>7276</v>
      </c>
      <c r="B1801" s="18" t="s">
        <v>1110</v>
      </c>
      <c r="C1801" s="18" t="s">
        <v>1111</v>
      </c>
      <c r="D1801" s="18" t="s">
        <v>320</v>
      </c>
      <c r="E1801" s="18" t="s">
        <v>5108</v>
      </c>
      <c r="F1801" s="2">
        <f>+J1801-I1801</f>
        <v>30</v>
      </c>
      <c r="G1801" s="2">
        <f ca="1">+TODAY()-I1801</f>
        <v>49</v>
      </c>
      <c r="H1801" s="15">
        <v>205591</v>
      </c>
      <c r="I1801" s="1">
        <v>46071</v>
      </c>
      <c r="J1801" s="1">
        <v>46101</v>
      </c>
      <c r="K1801" s="18" t="s">
        <v>1068</v>
      </c>
      <c r="L1801" s="18" t="s">
        <v>47</v>
      </c>
      <c r="M1801" s="18" t="s">
        <v>19</v>
      </c>
      <c r="N1801" s="18" t="s">
        <v>149</v>
      </c>
      <c r="O1801">
        <v>30</v>
      </c>
    </row>
    <row r="1802" spans="1:15" x14ac:dyDescent="0.25">
      <c r="A1802" s="18" t="s">
        <v>7276</v>
      </c>
      <c r="B1802" s="18" t="s">
        <v>1110</v>
      </c>
      <c r="C1802" s="18" t="s">
        <v>1111</v>
      </c>
      <c r="D1802" s="18" t="s">
        <v>320</v>
      </c>
      <c r="E1802" s="18" t="s">
        <v>5439</v>
      </c>
      <c r="F1802" s="2">
        <f>+J1802-I1802</f>
        <v>30</v>
      </c>
      <c r="G1802" s="2">
        <f ca="1">+TODAY()-I1802</f>
        <v>35</v>
      </c>
      <c r="H1802" s="15">
        <v>645282</v>
      </c>
      <c r="I1802" s="1">
        <v>46085</v>
      </c>
      <c r="J1802" s="1">
        <v>46115</v>
      </c>
      <c r="K1802" s="18" t="s">
        <v>1068</v>
      </c>
      <c r="L1802" s="18" t="s">
        <v>207</v>
      </c>
      <c r="M1802" s="18" t="s">
        <v>19</v>
      </c>
      <c r="N1802" s="18" t="s">
        <v>149</v>
      </c>
      <c r="O1802">
        <v>30</v>
      </c>
    </row>
    <row r="1803" spans="1:15" x14ac:dyDescent="0.25">
      <c r="A1803" s="18" t="s">
        <v>7276</v>
      </c>
      <c r="B1803" s="18" t="s">
        <v>1110</v>
      </c>
      <c r="C1803" s="18" t="s">
        <v>1111</v>
      </c>
      <c r="D1803" s="18" t="s">
        <v>320</v>
      </c>
      <c r="E1803" s="18" t="s">
        <v>5440</v>
      </c>
      <c r="F1803" s="2">
        <f>+J1803-I1803</f>
        <v>30</v>
      </c>
      <c r="G1803" s="2">
        <f ca="1">+TODAY()-I1803</f>
        <v>35</v>
      </c>
      <c r="H1803" s="15">
        <v>1567631</v>
      </c>
      <c r="I1803" s="1">
        <v>46085</v>
      </c>
      <c r="J1803" s="1">
        <v>46115</v>
      </c>
      <c r="K1803" s="18" t="s">
        <v>1068</v>
      </c>
      <c r="L1803" s="18" t="s">
        <v>207</v>
      </c>
      <c r="M1803" s="18" t="s">
        <v>19</v>
      </c>
      <c r="N1803" s="18" t="s">
        <v>149</v>
      </c>
      <c r="O1803">
        <v>30</v>
      </c>
    </row>
    <row r="1804" spans="1:15" x14ac:dyDescent="0.25">
      <c r="A1804" s="18" t="s">
        <v>7276</v>
      </c>
      <c r="B1804" s="18" t="s">
        <v>1110</v>
      </c>
      <c r="C1804" s="18" t="s">
        <v>1111</v>
      </c>
      <c r="D1804" s="18" t="s">
        <v>320</v>
      </c>
      <c r="E1804" s="18" t="s">
        <v>5720</v>
      </c>
      <c r="F1804" s="2">
        <f>+J1804-I1804</f>
        <v>30</v>
      </c>
      <c r="G1804" s="2">
        <f ca="1">+TODAY()-I1804</f>
        <v>28</v>
      </c>
      <c r="H1804" s="15">
        <v>180604</v>
      </c>
      <c r="I1804" s="1">
        <v>46092</v>
      </c>
      <c r="J1804" s="1">
        <v>46122</v>
      </c>
      <c r="K1804" s="18" t="s">
        <v>1068</v>
      </c>
      <c r="L1804" s="18" t="s">
        <v>207</v>
      </c>
      <c r="M1804" s="18" t="s">
        <v>19</v>
      </c>
      <c r="N1804" s="18" t="s">
        <v>149</v>
      </c>
      <c r="O1804">
        <v>30</v>
      </c>
    </row>
    <row r="1805" spans="1:15" x14ac:dyDescent="0.25">
      <c r="A1805" s="18" t="s">
        <v>7276</v>
      </c>
      <c r="B1805" s="18" t="s">
        <v>1110</v>
      </c>
      <c r="C1805" s="18" t="s">
        <v>1111</v>
      </c>
      <c r="D1805" s="18" t="s">
        <v>320</v>
      </c>
      <c r="E1805" s="18" t="s">
        <v>5721</v>
      </c>
      <c r="F1805" s="2">
        <f>+J1805-I1805</f>
        <v>30</v>
      </c>
      <c r="G1805" s="2">
        <f ca="1">+TODAY()-I1805</f>
        <v>28</v>
      </c>
      <c r="H1805" s="15">
        <v>1009800</v>
      </c>
      <c r="I1805" s="1">
        <v>46092</v>
      </c>
      <c r="J1805" s="1">
        <v>46122</v>
      </c>
      <c r="K1805" s="18" t="s">
        <v>1068</v>
      </c>
      <c r="L1805" s="18" t="s">
        <v>207</v>
      </c>
      <c r="M1805" s="18" t="s">
        <v>19</v>
      </c>
      <c r="N1805" s="18" t="s">
        <v>149</v>
      </c>
      <c r="O1805">
        <v>30</v>
      </c>
    </row>
    <row r="1806" spans="1:15" x14ac:dyDescent="0.25">
      <c r="A1806" s="18" t="s">
        <v>7276</v>
      </c>
      <c r="B1806" s="18" t="s">
        <v>1110</v>
      </c>
      <c r="C1806" s="18" t="s">
        <v>1111</v>
      </c>
      <c r="D1806" s="18" t="s">
        <v>320</v>
      </c>
      <c r="E1806" s="18" t="s">
        <v>5729</v>
      </c>
      <c r="F1806" s="2">
        <f>+J1806-I1806</f>
        <v>30</v>
      </c>
      <c r="G1806" s="2">
        <f ca="1">+TODAY()-I1806</f>
        <v>28</v>
      </c>
      <c r="H1806" s="15">
        <v>223464</v>
      </c>
      <c r="I1806" s="1">
        <v>46092</v>
      </c>
      <c r="J1806" s="1">
        <v>46122</v>
      </c>
      <c r="K1806" s="18" t="s">
        <v>1068</v>
      </c>
      <c r="L1806" s="18" t="s">
        <v>47</v>
      </c>
      <c r="M1806" s="18" t="s">
        <v>19</v>
      </c>
      <c r="N1806" s="18" t="s">
        <v>149</v>
      </c>
      <c r="O1806">
        <v>30</v>
      </c>
    </row>
    <row r="1807" spans="1:15" x14ac:dyDescent="0.25">
      <c r="A1807" s="18" t="s">
        <v>7276</v>
      </c>
      <c r="B1807" s="18" t="s">
        <v>1110</v>
      </c>
      <c r="C1807" s="18" t="s">
        <v>1111</v>
      </c>
      <c r="D1807" s="18" t="s">
        <v>320</v>
      </c>
      <c r="E1807" s="18" t="s">
        <v>5730</v>
      </c>
      <c r="F1807" s="2">
        <f>+J1807-I1807</f>
        <v>30</v>
      </c>
      <c r="G1807" s="2">
        <f ca="1">+TODAY()-I1807</f>
        <v>28</v>
      </c>
      <c r="H1807" s="15">
        <v>126300</v>
      </c>
      <c r="I1807" s="1">
        <v>46092</v>
      </c>
      <c r="J1807" s="1">
        <v>46122</v>
      </c>
      <c r="K1807" s="18" t="s">
        <v>1068</v>
      </c>
      <c r="L1807" s="18" t="s">
        <v>47</v>
      </c>
      <c r="M1807" s="18" t="s">
        <v>19</v>
      </c>
      <c r="N1807" s="18" t="s">
        <v>149</v>
      </c>
      <c r="O1807">
        <v>30</v>
      </c>
    </row>
    <row r="1808" spans="1:15" x14ac:dyDescent="0.25">
      <c r="A1808" s="18" t="s">
        <v>7276</v>
      </c>
      <c r="B1808" s="18" t="s">
        <v>1110</v>
      </c>
      <c r="C1808" s="18" t="s">
        <v>1111</v>
      </c>
      <c r="D1808" s="18" t="s">
        <v>320</v>
      </c>
      <c r="E1808" s="18" t="s">
        <v>6253</v>
      </c>
      <c r="F1808" s="2">
        <f>+J1808-I1808</f>
        <v>30</v>
      </c>
      <c r="G1808" s="2">
        <f ca="1">+TODAY()-I1808</f>
        <v>22</v>
      </c>
      <c r="H1808" s="15">
        <v>1411942</v>
      </c>
      <c r="I1808" s="1">
        <v>46098</v>
      </c>
      <c r="J1808" s="1">
        <v>46128</v>
      </c>
      <c r="K1808" s="18" t="s">
        <v>1068</v>
      </c>
      <c r="L1808" s="18" t="s">
        <v>207</v>
      </c>
      <c r="M1808" s="18" t="s">
        <v>19</v>
      </c>
      <c r="N1808" s="18" t="s">
        <v>149</v>
      </c>
      <c r="O1808">
        <v>30</v>
      </c>
    </row>
    <row r="1809" spans="1:15" x14ac:dyDescent="0.25">
      <c r="A1809" s="18" t="s">
        <v>7276</v>
      </c>
      <c r="B1809" s="18" t="s">
        <v>1110</v>
      </c>
      <c r="C1809" s="18" t="s">
        <v>1111</v>
      </c>
      <c r="D1809" s="18" t="s">
        <v>320</v>
      </c>
      <c r="E1809" s="18" t="s">
        <v>6264</v>
      </c>
      <c r="F1809" s="2">
        <f>+J1809-I1809</f>
        <v>30</v>
      </c>
      <c r="G1809" s="2">
        <f ca="1">+TODAY()-I1809</f>
        <v>20</v>
      </c>
      <c r="H1809" s="15">
        <v>187609</v>
      </c>
      <c r="I1809" s="1">
        <v>46100</v>
      </c>
      <c r="J1809" s="1">
        <v>46130</v>
      </c>
      <c r="K1809" s="18" t="s">
        <v>1068</v>
      </c>
      <c r="L1809" s="18" t="s">
        <v>117</v>
      </c>
      <c r="M1809" s="18" t="s">
        <v>19</v>
      </c>
      <c r="N1809" s="18" t="s">
        <v>149</v>
      </c>
      <c r="O1809">
        <v>30</v>
      </c>
    </row>
    <row r="1810" spans="1:15" x14ac:dyDescent="0.25">
      <c r="A1810" s="18" t="s">
        <v>7276</v>
      </c>
      <c r="B1810" s="18" t="s">
        <v>1110</v>
      </c>
      <c r="C1810" s="18" t="s">
        <v>1111</v>
      </c>
      <c r="D1810" s="18" t="s">
        <v>320</v>
      </c>
      <c r="E1810" s="18" t="s">
        <v>6501</v>
      </c>
      <c r="F1810" s="2">
        <f>+J1810-I1810</f>
        <v>30</v>
      </c>
      <c r="G1810" s="2">
        <f ca="1">+TODAY()-I1810</f>
        <v>13</v>
      </c>
      <c r="H1810" s="15">
        <v>86380</v>
      </c>
      <c r="I1810" s="1">
        <v>46107</v>
      </c>
      <c r="J1810" s="1">
        <v>46137</v>
      </c>
      <c r="K1810" s="18" t="s">
        <v>1068</v>
      </c>
      <c r="L1810" s="18" t="s">
        <v>207</v>
      </c>
      <c r="M1810" s="18" t="s">
        <v>19</v>
      </c>
      <c r="N1810" s="18" t="s">
        <v>149</v>
      </c>
      <c r="O1810">
        <v>30</v>
      </c>
    </row>
    <row r="1811" spans="1:15" x14ac:dyDescent="0.25">
      <c r="A1811" s="18" t="s">
        <v>7276</v>
      </c>
      <c r="B1811" s="18" t="s">
        <v>1110</v>
      </c>
      <c r="C1811" s="18" t="s">
        <v>1111</v>
      </c>
      <c r="D1811" s="18" t="s">
        <v>320</v>
      </c>
      <c r="E1811" s="18" t="s">
        <v>6504</v>
      </c>
      <c r="F1811" s="2">
        <f>+J1811-I1811</f>
        <v>30</v>
      </c>
      <c r="G1811" s="2">
        <f ca="1">+TODAY()-I1811</f>
        <v>13</v>
      </c>
      <c r="H1811" s="15">
        <v>256569</v>
      </c>
      <c r="I1811" s="1">
        <v>46107</v>
      </c>
      <c r="J1811" s="1">
        <v>46137</v>
      </c>
      <c r="K1811" s="18" t="s">
        <v>1068</v>
      </c>
      <c r="L1811" s="18" t="s">
        <v>117</v>
      </c>
      <c r="M1811" s="18" t="s">
        <v>19</v>
      </c>
      <c r="N1811" s="18" t="s">
        <v>149</v>
      </c>
      <c r="O1811">
        <v>30</v>
      </c>
    </row>
    <row r="1812" spans="1:15" x14ac:dyDescent="0.25">
      <c r="A1812" s="18" t="s">
        <v>7276</v>
      </c>
      <c r="B1812" s="18" t="s">
        <v>1110</v>
      </c>
      <c r="C1812" s="18" t="s">
        <v>1111</v>
      </c>
      <c r="D1812" s="18" t="s">
        <v>320</v>
      </c>
      <c r="E1812" s="18" t="s">
        <v>7052</v>
      </c>
      <c r="F1812" s="2">
        <f>+J1812-I1812</f>
        <v>30</v>
      </c>
      <c r="G1812" s="2">
        <f ca="1">+TODAY()-I1812</f>
        <v>8</v>
      </c>
      <c r="H1812" s="15">
        <v>584680</v>
      </c>
      <c r="I1812" s="1">
        <v>46112</v>
      </c>
      <c r="J1812" s="1">
        <v>46142</v>
      </c>
      <c r="K1812" s="18" t="s">
        <v>1068</v>
      </c>
      <c r="L1812" s="18" t="s">
        <v>207</v>
      </c>
      <c r="M1812" s="18" t="s">
        <v>19</v>
      </c>
      <c r="N1812" s="18" t="s">
        <v>149</v>
      </c>
      <c r="O1812">
        <v>30</v>
      </c>
    </row>
    <row r="1813" spans="1:15" x14ac:dyDescent="0.25">
      <c r="A1813" s="18" t="s">
        <v>7276</v>
      </c>
      <c r="B1813" s="18" t="s">
        <v>1110</v>
      </c>
      <c r="C1813" s="18" t="s">
        <v>1111</v>
      </c>
      <c r="D1813" s="18" t="s">
        <v>320</v>
      </c>
      <c r="E1813" s="18" t="s">
        <v>7502</v>
      </c>
      <c r="F1813" s="2">
        <f>+J1813-I1813</f>
        <v>30</v>
      </c>
      <c r="G1813" s="2">
        <f ca="1">+TODAY()-I1813</f>
        <v>2</v>
      </c>
      <c r="H1813" s="15">
        <v>1606342</v>
      </c>
      <c r="I1813" s="1">
        <v>46118</v>
      </c>
      <c r="J1813" s="1">
        <v>46148</v>
      </c>
      <c r="K1813" s="18" t="s">
        <v>1068</v>
      </c>
      <c r="L1813" s="18" t="s">
        <v>207</v>
      </c>
      <c r="M1813" s="18" t="s">
        <v>19</v>
      </c>
      <c r="N1813" s="18" t="s">
        <v>149</v>
      </c>
      <c r="O1813">
        <v>30</v>
      </c>
    </row>
    <row r="1814" spans="1:15" x14ac:dyDescent="0.25">
      <c r="A1814" s="18" t="s">
        <v>7276</v>
      </c>
      <c r="B1814" s="18" t="s">
        <v>1110</v>
      </c>
      <c r="C1814" s="18" t="s">
        <v>1111</v>
      </c>
      <c r="D1814" s="18" t="s">
        <v>320</v>
      </c>
      <c r="E1814" s="18" t="s">
        <v>7503</v>
      </c>
      <c r="F1814" s="2">
        <f>+J1814-I1814</f>
        <v>30</v>
      </c>
      <c r="G1814" s="2">
        <f ca="1">+TODAY()-I1814</f>
        <v>2</v>
      </c>
      <c r="H1814" s="15">
        <v>2024656</v>
      </c>
      <c r="I1814" s="1">
        <v>46118</v>
      </c>
      <c r="J1814" s="1">
        <v>46148</v>
      </c>
      <c r="K1814" s="18" t="s">
        <v>1068</v>
      </c>
      <c r="L1814" s="18" t="s">
        <v>207</v>
      </c>
      <c r="M1814" s="18" t="s">
        <v>19</v>
      </c>
      <c r="N1814" s="18" t="s">
        <v>149</v>
      </c>
      <c r="O1814">
        <v>30</v>
      </c>
    </row>
    <row r="1815" spans="1:15" x14ac:dyDescent="0.25">
      <c r="A1815" s="18" t="s">
        <v>7276</v>
      </c>
      <c r="B1815" s="18" t="s">
        <v>4471</v>
      </c>
      <c r="C1815" s="18" t="s">
        <v>4472</v>
      </c>
      <c r="D1815" s="18" t="s">
        <v>1138</v>
      </c>
      <c r="E1815" s="18" t="s">
        <v>7538</v>
      </c>
      <c r="F1815" s="2">
        <f>+J1815-I1815</f>
        <v>1</v>
      </c>
      <c r="G1815" s="2">
        <f ca="1">+TODAY()-I1815</f>
        <v>7</v>
      </c>
      <c r="H1815" s="15">
        <v>91147</v>
      </c>
      <c r="I1815" s="1">
        <v>46113</v>
      </c>
      <c r="J1815" s="1">
        <v>46114</v>
      </c>
      <c r="K1815" s="18" t="s">
        <v>1144</v>
      </c>
      <c r="L1815" s="18" t="s">
        <v>321</v>
      </c>
      <c r="M1815" s="18" t="s">
        <v>19</v>
      </c>
      <c r="N1815" s="18" t="s">
        <v>4474</v>
      </c>
      <c r="O1815">
        <v>0</v>
      </c>
    </row>
    <row r="1816" spans="1:15" x14ac:dyDescent="0.25">
      <c r="A1816" s="18" t="s">
        <v>7276</v>
      </c>
      <c r="B1816" s="18" t="s">
        <v>4471</v>
      </c>
      <c r="C1816" s="18" t="s">
        <v>4472</v>
      </c>
      <c r="D1816" s="18" t="s">
        <v>1138</v>
      </c>
      <c r="E1816" s="18" t="s">
        <v>7093</v>
      </c>
      <c r="F1816" s="2">
        <f>+J1816-I1816</f>
        <v>1</v>
      </c>
      <c r="G1816" s="2">
        <f ca="1">+TODAY()-I1816</f>
        <v>9</v>
      </c>
      <c r="H1816" s="15">
        <v>38399</v>
      </c>
      <c r="I1816" s="1">
        <v>46111</v>
      </c>
      <c r="J1816" s="1">
        <v>46112</v>
      </c>
      <c r="K1816" s="18" t="s">
        <v>1144</v>
      </c>
      <c r="L1816" s="18" t="s">
        <v>321</v>
      </c>
      <c r="M1816" s="18" t="s">
        <v>19</v>
      </c>
      <c r="N1816" s="18" t="s">
        <v>4474</v>
      </c>
      <c r="O1816">
        <v>0</v>
      </c>
    </row>
    <row r="1817" spans="1:15" x14ac:dyDescent="0.25">
      <c r="A1817" s="18" t="s">
        <v>7276</v>
      </c>
      <c r="B1817" s="18" t="s">
        <v>4471</v>
      </c>
      <c r="C1817" s="18" t="s">
        <v>4472</v>
      </c>
      <c r="D1817" s="18" t="s">
        <v>1138</v>
      </c>
      <c r="E1817" s="18" t="s">
        <v>7103</v>
      </c>
      <c r="F1817" s="2">
        <f>+J1817-I1817</f>
        <v>1</v>
      </c>
      <c r="G1817" s="2">
        <f ca="1">+TODAY()-I1817</f>
        <v>9</v>
      </c>
      <c r="H1817" s="15">
        <v>64260</v>
      </c>
      <c r="I1817" s="1">
        <v>46111</v>
      </c>
      <c r="J1817" s="1">
        <v>46112</v>
      </c>
      <c r="K1817" s="18" t="s">
        <v>1202</v>
      </c>
      <c r="L1817" s="18" t="s">
        <v>321</v>
      </c>
      <c r="M1817" s="18" t="s">
        <v>19</v>
      </c>
      <c r="N1817" s="18" t="s">
        <v>4474</v>
      </c>
      <c r="O1817">
        <v>0</v>
      </c>
    </row>
    <row r="1818" spans="1:15" x14ac:dyDescent="0.25">
      <c r="A1818" s="18" t="s">
        <v>7276</v>
      </c>
      <c r="B1818" s="18" t="s">
        <v>1975</v>
      </c>
      <c r="C1818" s="18" t="s">
        <v>1976</v>
      </c>
      <c r="D1818" s="18" t="s">
        <v>1977</v>
      </c>
      <c r="E1818" s="18" t="s">
        <v>4989</v>
      </c>
      <c r="F1818" s="2">
        <f>+J1818-I1818</f>
        <v>30</v>
      </c>
      <c r="G1818" s="2">
        <f ca="1">+TODAY()-I1818</f>
        <v>69</v>
      </c>
      <c r="H1818" s="15">
        <v>1886530</v>
      </c>
      <c r="I1818" s="1">
        <v>46051</v>
      </c>
      <c r="J1818" s="1">
        <v>46081</v>
      </c>
      <c r="K1818" s="18" t="s">
        <v>2814</v>
      </c>
      <c r="L1818" s="18" t="s">
        <v>981</v>
      </c>
      <c r="M1818" s="18" t="s">
        <v>19</v>
      </c>
      <c r="N1818" s="18" t="s">
        <v>1978</v>
      </c>
      <c r="O1818">
        <v>30</v>
      </c>
    </row>
    <row r="1819" spans="1:15" x14ac:dyDescent="0.25">
      <c r="A1819" s="18" t="s">
        <v>7276</v>
      </c>
      <c r="B1819" s="18" t="s">
        <v>2147</v>
      </c>
      <c r="C1819" s="18" t="s">
        <v>2148</v>
      </c>
      <c r="D1819" s="18" t="s">
        <v>1289</v>
      </c>
      <c r="E1819" s="18" t="s">
        <v>3721</v>
      </c>
      <c r="F1819" s="2">
        <f>+J1819-I1819</f>
        <v>30</v>
      </c>
      <c r="G1819" s="2">
        <f ca="1">+TODAY()-I1819</f>
        <v>81</v>
      </c>
      <c r="H1819" s="15">
        <v>53530</v>
      </c>
      <c r="I1819" s="1">
        <v>46039</v>
      </c>
      <c r="J1819" s="1">
        <v>46069</v>
      </c>
      <c r="K1819" s="18" t="s">
        <v>1466</v>
      </c>
      <c r="L1819" s="18" t="s">
        <v>981</v>
      </c>
      <c r="M1819" s="18" t="s">
        <v>19</v>
      </c>
      <c r="N1819" s="18" t="s">
        <v>2149</v>
      </c>
      <c r="O1819">
        <v>30</v>
      </c>
    </row>
    <row r="1820" spans="1:15" x14ac:dyDescent="0.25">
      <c r="A1820" s="18" t="s">
        <v>7276</v>
      </c>
      <c r="B1820" s="18" t="s">
        <v>1813</v>
      </c>
      <c r="C1820" s="18" t="s">
        <v>1814</v>
      </c>
      <c r="D1820" s="18" t="s">
        <v>1815</v>
      </c>
      <c r="E1820" s="18" t="s">
        <v>1816</v>
      </c>
      <c r="F1820" s="2">
        <f>+J1820-I1820</f>
        <v>30</v>
      </c>
      <c r="G1820" s="2">
        <f ca="1">+TODAY()-I1820</f>
        <v>2491</v>
      </c>
      <c r="H1820" s="15">
        <v>163300</v>
      </c>
      <c r="I1820" s="1">
        <v>43629</v>
      </c>
      <c r="J1820" s="1">
        <v>43659</v>
      </c>
      <c r="K1820" s="18" t="s">
        <v>1810</v>
      </c>
      <c r="L1820" s="18" t="s">
        <v>1069</v>
      </c>
      <c r="M1820" s="18" t="s">
        <v>19</v>
      </c>
      <c r="N1820" s="18" t="s">
        <v>1817</v>
      </c>
      <c r="O1820">
        <v>30</v>
      </c>
    </row>
    <row r="1821" spans="1:15" x14ac:dyDescent="0.25">
      <c r="A1821" s="18" t="s">
        <v>7276</v>
      </c>
      <c r="B1821" s="18" t="s">
        <v>7375</v>
      </c>
      <c r="C1821" s="18" t="s">
        <v>7376</v>
      </c>
      <c r="D1821" s="18" t="s">
        <v>15</v>
      </c>
      <c r="E1821" s="18" t="s">
        <v>7377</v>
      </c>
      <c r="F1821" s="2">
        <f>+J1821-I1821</f>
        <v>30</v>
      </c>
      <c r="G1821" s="2">
        <f ca="1">+TODAY()-I1821</f>
        <v>7</v>
      </c>
      <c r="H1821" s="15">
        <v>127000</v>
      </c>
      <c r="I1821" s="1">
        <v>46113</v>
      </c>
      <c r="J1821" s="1">
        <v>46143</v>
      </c>
      <c r="K1821" s="18" t="s">
        <v>17</v>
      </c>
      <c r="L1821" s="18" t="s">
        <v>109</v>
      </c>
      <c r="M1821" s="18" t="s">
        <v>19</v>
      </c>
      <c r="N1821" s="18" t="s">
        <v>7378</v>
      </c>
      <c r="O1821">
        <v>30</v>
      </c>
    </row>
    <row r="1822" spans="1:15" x14ac:dyDescent="0.25">
      <c r="A1822" s="18" t="s">
        <v>7276</v>
      </c>
      <c r="B1822" s="18" t="s">
        <v>1290</v>
      </c>
      <c r="C1822" s="18" t="s">
        <v>1291</v>
      </c>
      <c r="D1822" s="18" t="s">
        <v>1259</v>
      </c>
      <c r="E1822" s="18" t="s">
        <v>1292</v>
      </c>
      <c r="F1822" s="2">
        <f>+J1822-I1822</f>
        <v>30</v>
      </c>
      <c r="G1822" s="2">
        <f ca="1">+TODAY()-I1822</f>
        <v>1601</v>
      </c>
      <c r="H1822" s="15">
        <v>2665741</v>
      </c>
      <c r="I1822" s="1">
        <v>44519</v>
      </c>
      <c r="J1822" s="1">
        <v>44549</v>
      </c>
      <c r="K1822" s="18" t="s">
        <v>1260</v>
      </c>
      <c r="L1822" s="18" t="s">
        <v>981</v>
      </c>
      <c r="M1822" s="18" t="s">
        <v>19</v>
      </c>
      <c r="N1822" s="18" t="s">
        <v>1293</v>
      </c>
      <c r="O1822">
        <v>30</v>
      </c>
    </row>
    <row r="1823" spans="1:15" x14ac:dyDescent="0.25">
      <c r="A1823" s="18" t="s">
        <v>7276</v>
      </c>
      <c r="B1823" s="18" t="s">
        <v>1290</v>
      </c>
      <c r="C1823" s="18" t="s">
        <v>1291</v>
      </c>
      <c r="D1823" s="18" t="s">
        <v>1259</v>
      </c>
      <c r="E1823" s="18" t="s">
        <v>1294</v>
      </c>
      <c r="F1823" s="2">
        <f>+J1823-I1823</f>
        <v>30</v>
      </c>
      <c r="G1823" s="2">
        <f ca="1">+TODAY()-I1823</f>
        <v>1589</v>
      </c>
      <c r="H1823" s="15">
        <v>5261092</v>
      </c>
      <c r="I1823" s="1">
        <v>44531</v>
      </c>
      <c r="J1823" s="1">
        <v>44561</v>
      </c>
      <c r="K1823" s="18" t="s">
        <v>1260</v>
      </c>
      <c r="L1823" s="18" t="s">
        <v>981</v>
      </c>
      <c r="M1823" s="18" t="s">
        <v>19</v>
      </c>
      <c r="N1823" s="18" t="s">
        <v>1293</v>
      </c>
      <c r="O1823">
        <v>30</v>
      </c>
    </row>
    <row r="1824" spans="1:15" x14ac:dyDescent="0.25">
      <c r="A1824" s="18" t="s">
        <v>7276</v>
      </c>
      <c r="B1824" s="18" t="s">
        <v>1290</v>
      </c>
      <c r="C1824" s="18" t="s">
        <v>1291</v>
      </c>
      <c r="D1824" s="18" t="s">
        <v>1259</v>
      </c>
      <c r="E1824" s="18" t="s">
        <v>1295</v>
      </c>
      <c r="F1824" s="2">
        <f>+J1824-I1824</f>
        <v>30</v>
      </c>
      <c r="G1824" s="2">
        <f ca="1">+TODAY()-I1824</f>
        <v>1576</v>
      </c>
      <c r="H1824" s="15">
        <v>3883533</v>
      </c>
      <c r="I1824" s="1">
        <v>44544</v>
      </c>
      <c r="J1824" s="1">
        <v>44574</v>
      </c>
      <c r="K1824" s="18" t="s">
        <v>1260</v>
      </c>
      <c r="L1824" s="18" t="s">
        <v>981</v>
      </c>
      <c r="M1824" s="18" t="s">
        <v>19</v>
      </c>
      <c r="N1824" s="18" t="s">
        <v>1293</v>
      </c>
      <c r="O1824">
        <v>30</v>
      </c>
    </row>
    <row r="1825" spans="1:15" x14ac:dyDescent="0.25">
      <c r="A1825" s="18" t="s">
        <v>7276</v>
      </c>
      <c r="B1825" s="18" t="s">
        <v>1290</v>
      </c>
      <c r="C1825" s="18" t="s">
        <v>1291</v>
      </c>
      <c r="D1825" s="18" t="s">
        <v>1259</v>
      </c>
      <c r="E1825" s="18" t="s">
        <v>1296</v>
      </c>
      <c r="F1825" s="2">
        <f>+J1825-I1825</f>
        <v>30</v>
      </c>
      <c r="G1825" s="2">
        <f ca="1">+TODAY()-I1825</f>
        <v>1563</v>
      </c>
      <c r="H1825" s="15">
        <v>2971203</v>
      </c>
      <c r="I1825" s="1">
        <v>44557</v>
      </c>
      <c r="J1825" s="1">
        <v>44587</v>
      </c>
      <c r="K1825" s="18" t="s">
        <v>1260</v>
      </c>
      <c r="L1825" s="18" t="s">
        <v>981</v>
      </c>
      <c r="M1825" s="18" t="s">
        <v>19</v>
      </c>
      <c r="N1825" s="18" t="s">
        <v>1293</v>
      </c>
      <c r="O1825">
        <v>30</v>
      </c>
    </row>
    <row r="1826" spans="1:15" x14ac:dyDescent="0.25">
      <c r="A1826" s="18" t="s">
        <v>7276</v>
      </c>
      <c r="B1826" s="18" t="s">
        <v>107</v>
      </c>
      <c r="C1826" s="18" t="s">
        <v>108</v>
      </c>
      <c r="D1826" s="18" t="s">
        <v>46</v>
      </c>
      <c r="E1826" s="18" t="s">
        <v>2572</v>
      </c>
      <c r="F1826" s="2">
        <f>+J1826-I1826</f>
        <v>30</v>
      </c>
      <c r="G1826" s="2">
        <f ca="1">+TODAY()-I1826</f>
        <v>109</v>
      </c>
      <c r="H1826" s="15">
        <v>249675</v>
      </c>
      <c r="I1826" s="1">
        <v>46011</v>
      </c>
      <c r="J1826" s="1">
        <v>46041</v>
      </c>
      <c r="K1826" s="18" t="s">
        <v>17</v>
      </c>
      <c r="L1826" s="18" t="s">
        <v>117</v>
      </c>
      <c r="M1826" s="18" t="s">
        <v>19</v>
      </c>
      <c r="N1826" s="18" t="s">
        <v>110</v>
      </c>
      <c r="O1826">
        <v>30</v>
      </c>
    </row>
    <row r="1827" spans="1:15" x14ac:dyDescent="0.25">
      <c r="A1827" s="18" t="s">
        <v>7276</v>
      </c>
      <c r="B1827" s="18" t="s">
        <v>107</v>
      </c>
      <c r="C1827" s="18" t="s">
        <v>108</v>
      </c>
      <c r="D1827" s="18" t="s">
        <v>46</v>
      </c>
      <c r="E1827" s="18" t="s">
        <v>5203</v>
      </c>
      <c r="F1827" s="2">
        <f>+J1827-I1827</f>
        <v>30</v>
      </c>
      <c r="G1827" s="2">
        <f ca="1">+TODAY()-I1827</f>
        <v>41</v>
      </c>
      <c r="H1827" s="15">
        <v>14860332</v>
      </c>
      <c r="I1827" s="1">
        <v>46079</v>
      </c>
      <c r="J1827" s="1">
        <v>46109</v>
      </c>
      <c r="K1827" s="18" t="s">
        <v>17</v>
      </c>
      <c r="L1827" s="18" t="s">
        <v>117</v>
      </c>
      <c r="M1827" s="18" t="s">
        <v>19</v>
      </c>
      <c r="N1827" s="18" t="s">
        <v>110</v>
      </c>
      <c r="O1827">
        <v>30</v>
      </c>
    </row>
    <row r="1828" spans="1:15" x14ac:dyDescent="0.25">
      <c r="A1828" s="18" t="s">
        <v>7276</v>
      </c>
      <c r="B1828" s="18" t="s">
        <v>107</v>
      </c>
      <c r="C1828" s="18" t="s">
        <v>108</v>
      </c>
      <c r="D1828" s="18" t="s">
        <v>46</v>
      </c>
      <c r="E1828" s="18" t="s">
        <v>6182</v>
      </c>
      <c r="F1828" s="2">
        <f>+J1828-I1828</f>
        <v>30</v>
      </c>
      <c r="G1828" s="2">
        <f ca="1">+TODAY()-I1828</f>
        <v>20</v>
      </c>
      <c r="H1828" s="15">
        <v>10354795</v>
      </c>
      <c r="I1828" s="1">
        <v>46100</v>
      </c>
      <c r="J1828" s="1">
        <v>46130</v>
      </c>
      <c r="K1828" s="18" t="s">
        <v>17</v>
      </c>
      <c r="L1828" s="18" t="s">
        <v>117</v>
      </c>
      <c r="M1828" s="18" t="s">
        <v>19</v>
      </c>
      <c r="N1828" s="18" t="s">
        <v>110</v>
      </c>
      <c r="O1828">
        <v>30</v>
      </c>
    </row>
    <row r="1829" spans="1:15" x14ac:dyDescent="0.25">
      <c r="A1829" s="18" t="s">
        <v>7276</v>
      </c>
      <c r="B1829" s="18" t="s">
        <v>107</v>
      </c>
      <c r="C1829" s="18" t="s">
        <v>108</v>
      </c>
      <c r="D1829" s="18" t="s">
        <v>46</v>
      </c>
      <c r="E1829" s="18" t="s">
        <v>6191</v>
      </c>
      <c r="F1829" s="2">
        <f>+J1829-I1829</f>
        <v>30</v>
      </c>
      <c r="G1829" s="2">
        <f ca="1">+TODAY()-I1829</f>
        <v>18</v>
      </c>
      <c r="H1829" s="15">
        <v>76824</v>
      </c>
      <c r="I1829" s="1">
        <v>46102</v>
      </c>
      <c r="J1829" s="1">
        <v>46132</v>
      </c>
      <c r="K1829" s="18" t="s">
        <v>17</v>
      </c>
      <c r="L1829" s="18" t="s">
        <v>117</v>
      </c>
      <c r="M1829" s="18" t="s">
        <v>19</v>
      </c>
      <c r="N1829" s="18" t="s">
        <v>110</v>
      </c>
      <c r="O1829">
        <v>30</v>
      </c>
    </row>
    <row r="1830" spans="1:15" x14ac:dyDescent="0.25">
      <c r="A1830" s="18" t="s">
        <v>7276</v>
      </c>
      <c r="B1830" s="18" t="s">
        <v>107</v>
      </c>
      <c r="C1830" s="18" t="s">
        <v>108</v>
      </c>
      <c r="D1830" s="18" t="s">
        <v>46</v>
      </c>
      <c r="E1830" s="18" t="s">
        <v>6395</v>
      </c>
      <c r="F1830" s="2">
        <f>+J1830-I1830</f>
        <v>30</v>
      </c>
      <c r="G1830" s="2">
        <f ca="1">+TODAY()-I1830</f>
        <v>15</v>
      </c>
      <c r="H1830" s="15">
        <v>23600000</v>
      </c>
      <c r="I1830" s="1">
        <v>46105</v>
      </c>
      <c r="J1830" s="1">
        <v>46135</v>
      </c>
      <c r="K1830" s="18" t="s">
        <v>17</v>
      </c>
      <c r="L1830" s="18" t="s">
        <v>117</v>
      </c>
      <c r="M1830" s="18" t="s">
        <v>19</v>
      </c>
      <c r="N1830" s="18" t="s">
        <v>110</v>
      </c>
      <c r="O1830">
        <v>30</v>
      </c>
    </row>
    <row r="1831" spans="1:15" x14ac:dyDescent="0.25">
      <c r="A1831" s="18" t="s">
        <v>7276</v>
      </c>
      <c r="B1831" s="18" t="s">
        <v>107</v>
      </c>
      <c r="C1831" s="18" t="s">
        <v>108</v>
      </c>
      <c r="D1831" s="18" t="s">
        <v>46</v>
      </c>
      <c r="E1831" s="18" t="s">
        <v>6401</v>
      </c>
      <c r="F1831" s="2">
        <f>+J1831-I1831</f>
        <v>30</v>
      </c>
      <c r="G1831" s="2">
        <f ca="1">+TODAY()-I1831</f>
        <v>14</v>
      </c>
      <c r="H1831" s="15">
        <v>18601323</v>
      </c>
      <c r="I1831" s="1">
        <v>46106</v>
      </c>
      <c r="J1831" s="1">
        <v>46136</v>
      </c>
      <c r="K1831" s="18" t="s">
        <v>17</v>
      </c>
      <c r="L1831" s="18" t="s">
        <v>117</v>
      </c>
      <c r="M1831" s="18" t="s">
        <v>19</v>
      </c>
      <c r="N1831" s="18" t="s">
        <v>110</v>
      </c>
      <c r="O1831">
        <v>30</v>
      </c>
    </row>
    <row r="1832" spans="1:15" x14ac:dyDescent="0.25">
      <c r="A1832" s="18" t="s">
        <v>7276</v>
      </c>
      <c r="B1832" s="18" t="s">
        <v>1698</v>
      </c>
      <c r="C1832" s="18" t="s">
        <v>1699</v>
      </c>
      <c r="D1832" s="18" t="s">
        <v>1700</v>
      </c>
      <c r="E1832" s="18" t="s">
        <v>5160</v>
      </c>
      <c r="F1832" s="2">
        <f>+J1832-I1832</f>
        <v>30</v>
      </c>
      <c r="G1832" s="2">
        <f ca="1">+TODAY()-I1832</f>
        <v>54</v>
      </c>
      <c r="H1832" s="15">
        <v>1723747</v>
      </c>
      <c r="I1832" s="1">
        <v>46066</v>
      </c>
      <c r="J1832" s="1">
        <v>46096</v>
      </c>
      <c r="K1832" s="18" t="s">
        <v>1691</v>
      </c>
      <c r="L1832" s="18" t="s">
        <v>984</v>
      </c>
      <c r="M1832" s="18" t="s">
        <v>19</v>
      </c>
      <c r="N1832" s="18" t="s">
        <v>1701</v>
      </c>
      <c r="O1832">
        <v>30</v>
      </c>
    </row>
    <row r="1833" spans="1:15" x14ac:dyDescent="0.25">
      <c r="A1833" s="18" t="s">
        <v>7276</v>
      </c>
      <c r="B1833" s="18" t="s">
        <v>1698</v>
      </c>
      <c r="C1833" s="18" t="s">
        <v>1699</v>
      </c>
      <c r="D1833" s="18" t="s">
        <v>1700</v>
      </c>
      <c r="E1833" s="18" t="s">
        <v>5161</v>
      </c>
      <c r="F1833" s="2">
        <f>+J1833-I1833</f>
        <v>30</v>
      </c>
      <c r="G1833" s="2">
        <f ca="1">+TODAY()-I1833</f>
        <v>54</v>
      </c>
      <c r="H1833" s="15">
        <v>4742191</v>
      </c>
      <c r="I1833" s="1">
        <v>46066</v>
      </c>
      <c r="J1833" s="1">
        <v>46096</v>
      </c>
      <c r="K1833" s="18" t="s">
        <v>1691</v>
      </c>
      <c r="L1833" s="18" t="s">
        <v>984</v>
      </c>
      <c r="M1833" s="18" t="s">
        <v>19</v>
      </c>
      <c r="N1833" s="18" t="s">
        <v>1701</v>
      </c>
      <c r="O1833">
        <v>30</v>
      </c>
    </row>
    <row r="1834" spans="1:15" x14ac:dyDescent="0.25">
      <c r="A1834" s="18" t="s">
        <v>7276</v>
      </c>
      <c r="B1834" s="18" t="s">
        <v>1698</v>
      </c>
      <c r="C1834" s="18" t="s">
        <v>1699</v>
      </c>
      <c r="D1834" s="18" t="s">
        <v>1700</v>
      </c>
      <c r="E1834" s="18" t="s">
        <v>5350</v>
      </c>
      <c r="F1834" s="2">
        <f>+J1834-I1834</f>
        <v>30</v>
      </c>
      <c r="G1834" s="2">
        <f ca="1">+TODAY()-I1834</f>
        <v>40</v>
      </c>
      <c r="H1834" s="15">
        <v>3865001</v>
      </c>
      <c r="I1834" s="1">
        <v>46080</v>
      </c>
      <c r="J1834" s="1">
        <v>46110</v>
      </c>
      <c r="K1834" s="18" t="s">
        <v>1691</v>
      </c>
      <c r="L1834" s="18" t="s">
        <v>984</v>
      </c>
      <c r="M1834" s="18" t="s">
        <v>19</v>
      </c>
      <c r="N1834" s="18" t="s">
        <v>1701</v>
      </c>
      <c r="O1834">
        <v>30</v>
      </c>
    </row>
    <row r="1835" spans="1:15" x14ac:dyDescent="0.25">
      <c r="A1835" s="18" t="s">
        <v>7276</v>
      </c>
      <c r="B1835" s="18" t="s">
        <v>1698</v>
      </c>
      <c r="C1835" s="18" t="s">
        <v>1699</v>
      </c>
      <c r="D1835" s="18" t="s">
        <v>1700</v>
      </c>
      <c r="E1835" s="18" t="s">
        <v>5351</v>
      </c>
      <c r="F1835" s="2">
        <f>+J1835-I1835</f>
        <v>30</v>
      </c>
      <c r="G1835" s="2">
        <f ca="1">+TODAY()-I1835</f>
        <v>40</v>
      </c>
      <c r="H1835" s="15">
        <v>5419813</v>
      </c>
      <c r="I1835" s="1">
        <v>46080</v>
      </c>
      <c r="J1835" s="1">
        <v>46110</v>
      </c>
      <c r="K1835" s="18" t="s">
        <v>1691</v>
      </c>
      <c r="L1835" s="18" t="s">
        <v>984</v>
      </c>
      <c r="M1835" s="18" t="s">
        <v>19</v>
      </c>
      <c r="N1835" s="18" t="s">
        <v>1701</v>
      </c>
      <c r="O1835">
        <v>30</v>
      </c>
    </row>
    <row r="1836" spans="1:15" x14ac:dyDescent="0.25">
      <c r="A1836" s="18" t="s">
        <v>7276</v>
      </c>
      <c r="B1836" s="18" t="s">
        <v>1698</v>
      </c>
      <c r="C1836" s="18" t="s">
        <v>1699</v>
      </c>
      <c r="D1836" s="18" t="s">
        <v>1700</v>
      </c>
      <c r="E1836" s="18" t="s">
        <v>6108</v>
      </c>
      <c r="F1836" s="2">
        <f>+J1836-I1836</f>
        <v>30</v>
      </c>
      <c r="G1836" s="2">
        <f ca="1">+TODAY()-I1836</f>
        <v>27</v>
      </c>
      <c r="H1836" s="15">
        <v>5436503</v>
      </c>
      <c r="I1836" s="1">
        <v>46093</v>
      </c>
      <c r="J1836" s="1">
        <v>46123</v>
      </c>
      <c r="K1836" s="18" t="s">
        <v>1691</v>
      </c>
      <c r="L1836" s="18" t="s">
        <v>984</v>
      </c>
      <c r="M1836" s="18" t="s">
        <v>19</v>
      </c>
      <c r="N1836" s="18" t="s">
        <v>1701</v>
      </c>
      <c r="O1836">
        <v>30</v>
      </c>
    </row>
    <row r="1837" spans="1:15" x14ac:dyDescent="0.25">
      <c r="A1837" s="18" t="s">
        <v>7276</v>
      </c>
      <c r="B1837" s="18" t="s">
        <v>1698</v>
      </c>
      <c r="C1837" s="18" t="s">
        <v>1699</v>
      </c>
      <c r="D1837" s="18" t="s">
        <v>1700</v>
      </c>
      <c r="E1837" s="18" t="s">
        <v>6109</v>
      </c>
      <c r="F1837" s="2">
        <f>+J1837-I1837</f>
        <v>30</v>
      </c>
      <c r="G1837" s="2">
        <f ca="1">+TODAY()-I1837</f>
        <v>27</v>
      </c>
      <c r="H1837" s="15">
        <v>3169670</v>
      </c>
      <c r="I1837" s="1">
        <v>46093</v>
      </c>
      <c r="J1837" s="1">
        <v>46123</v>
      </c>
      <c r="K1837" s="18" t="s">
        <v>1691</v>
      </c>
      <c r="L1837" s="18" t="s">
        <v>984</v>
      </c>
      <c r="M1837" s="18" t="s">
        <v>19</v>
      </c>
      <c r="N1837" s="18" t="s">
        <v>1701</v>
      </c>
      <c r="O1837">
        <v>30</v>
      </c>
    </row>
    <row r="1838" spans="1:15" x14ac:dyDescent="0.25">
      <c r="A1838" s="18" t="s">
        <v>7276</v>
      </c>
      <c r="B1838" s="18" t="s">
        <v>1698</v>
      </c>
      <c r="C1838" s="18" t="s">
        <v>1699</v>
      </c>
      <c r="D1838" s="18" t="s">
        <v>1700</v>
      </c>
      <c r="E1838" s="18" t="s">
        <v>6110</v>
      </c>
      <c r="F1838" s="2">
        <f>+J1838-I1838</f>
        <v>30</v>
      </c>
      <c r="G1838" s="2">
        <f ca="1">+TODAY()-I1838</f>
        <v>27</v>
      </c>
      <c r="H1838" s="15">
        <v>1</v>
      </c>
      <c r="I1838" s="1">
        <v>46093</v>
      </c>
      <c r="J1838" s="1">
        <v>46123</v>
      </c>
      <c r="K1838" s="18" t="s">
        <v>1691</v>
      </c>
      <c r="L1838" s="18" t="s">
        <v>984</v>
      </c>
      <c r="M1838" s="18" t="s">
        <v>19</v>
      </c>
      <c r="N1838" s="18" t="s">
        <v>1701</v>
      </c>
      <c r="O1838">
        <v>30</v>
      </c>
    </row>
    <row r="1839" spans="1:15" x14ac:dyDescent="0.25">
      <c r="A1839" s="18" t="s">
        <v>7276</v>
      </c>
      <c r="B1839" s="18" t="s">
        <v>1698</v>
      </c>
      <c r="C1839" s="18" t="s">
        <v>1699</v>
      </c>
      <c r="D1839" s="18" t="s">
        <v>1700</v>
      </c>
      <c r="E1839" s="18" t="s">
        <v>6111</v>
      </c>
      <c r="F1839" s="2">
        <f>+J1839-I1839</f>
        <v>30</v>
      </c>
      <c r="G1839" s="2">
        <f ca="1">+TODAY()-I1839</f>
        <v>27</v>
      </c>
      <c r="H1839" s="15">
        <v>4560000</v>
      </c>
      <c r="I1839" s="1">
        <v>46093</v>
      </c>
      <c r="J1839" s="1">
        <v>46123</v>
      </c>
      <c r="K1839" s="18" t="s">
        <v>1691</v>
      </c>
      <c r="L1839" s="18" t="s">
        <v>984</v>
      </c>
      <c r="M1839" s="18" t="s">
        <v>19</v>
      </c>
      <c r="N1839" s="18" t="s">
        <v>1701</v>
      </c>
      <c r="O1839">
        <v>30</v>
      </c>
    </row>
    <row r="1840" spans="1:15" x14ac:dyDescent="0.25">
      <c r="A1840" s="18" t="s">
        <v>7276</v>
      </c>
      <c r="B1840" s="18" t="s">
        <v>1698</v>
      </c>
      <c r="C1840" s="18" t="s">
        <v>1699</v>
      </c>
      <c r="D1840" s="18" t="s">
        <v>1700</v>
      </c>
      <c r="E1840" s="18" t="s">
        <v>7234</v>
      </c>
      <c r="F1840" s="2">
        <f>+J1840-I1840</f>
        <v>30</v>
      </c>
      <c r="G1840" s="2">
        <f ca="1">+TODAY()-I1840</f>
        <v>11</v>
      </c>
      <c r="H1840" s="15">
        <v>3088024</v>
      </c>
      <c r="I1840" s="1">
        <v>46109</v>
      </c>
      <c r="J1840" s="1">
        <v>46139</v>
      </c>
      <c r="K1840" s="18" t="s">
        <v>1691</v>
      </c>
      <c r="L1840" s="18" t="s">
        <v>984</v>
      </c>
      <c r="M1840" s="18" t="s">
        <v>19</v>
      </c>
      <c r="N1840" s="18" t="s">
        <v>1701</v>
      </c>
      <c r="O1840">
        <v>30</v>
      </c>
    </row>
    <row r="1841" spans="1:15" x14ac:dyDescent="0.25">
      <c r="A1841" s="18" t="s">
        <v>7276</v>
      </c>
      <c r="B1841" s="18" t="s">
        <v>1698</v>
      </c>
      <c r="C1841" s="18" t="s">
        <v>1699</v>
      </c>
      <c r="D1841" s="18" t="s">
        <v>1700</v>
      </c>
      <c r="E1841" s="18" t="s">
        <v>7235</v>
      </c>
      <c r="F1841" s="2">
        <f>+J1841-I1841</f>
        <v>30</v>
      </c>
      <c r="G1841" s="2">
        <f ca="1">+TODAY()-I1841</f>
        <v>11</v>
      </c>
      <c r="H1841" s="15">
        <v>2490447</v>
      </c>
      <c r="I1841" s="1">
        <v>46109</v>
      </c>
      <c r="J1841" s="1">
        <v>46139</v>
      </c>
      <c r="K1841" s="18" t="s">
        <v>1691</v>
      </c>
      <c r="L1841" s="18" t="s">
        <v>984</v>
      </c>
      <c r="M1841" s="18" t="s">
        <v>19</v>
      </c>
      <c r="N1841" s="18" t="s">
        <v>1701</v>
      </c>
      <c r="O1841">
        <v>30</v>
      </c>
    </row>
    <row r="1842" spans="1:15" x14ac:dyDescent="0.25">
      <c r="A1842" s="18" t="s">
        <v>7276</v>
      </c>
      <c r="B1842" s="18" t="s">
        <v>6269</v>
      </c>
      <c r="C1842" s="18" t="s">
        <v>6270</v>
      </c>
      <c r="D1842" s="18" t="s">
        <v>320</v>
      </c>
      <c r="E1842" s="18" t="s">
        <v>7498</v>
      </c>
      <c r="F1842" s="2">
        <f>+J1842-I1842</f>
        <v>1</v>
      </c>
      <c r="G1842" s="2">
        <f ca="1">+TODAY()-I1842</f>
        <v>7</v>
      </c>
      <c r="H1842" s="15">
        <v>288003</v>
      </c>
      <c r="I1842" s="1">
        <v>46113</v>
      </c>
      <c r="J1842" s="1">
        <v>46114</v>
      </c>
      <c r="K1842" s="18" t="s">
        <v>1068</v>
      </c>
      <c r="L1842" s="18" t="s">
        <v>321</v>
      </c>
      <c r="M1842" s="18" t="s">
        <v>19</v>
      </c>
      <c r="N1842" s="18" t="s">
        <v>6271</v>
      </c>
      <c r="O1842">
        <v>30</v>
      </c>
    </row>
    <row r="1843" spans="1:15" x14ac:dyDescent="0.25">
      <c r="A1843" s="18" t="s">
        <v>7276</v>
      </c>
      <c r="B1843" s="18" t="s">
        <v>955</v>
      </c>
      <c r="C1843" s="18" t="s">
        <v>956</v>
      </c>
      <c r="D1843" s="18" t="s">
        <v>916</v>
      </c>
      <c r="E1843" s="18" t="s">
        <v>5704</v>
      </c>
      <c r="F1843" s="2">
        <f>+J1843-I1843</f>
        <v>30</v>
      </c>
      <c r="G1843" s="2">
        <f ca="1">+TODAY()-I1843</f>
        <v>29</v>
      </c>
      <c r="H1843" s="15">
        <v>726799</v>
      </c>
      <c r="I1843" s="1">
        <v>46091</v>
      </c>
      <c r="J1843" s="1">
        <v>46121</v>
      </c>
      <c r="K1843" s="18" t="s">
        <v>918</v>
      </c>
      <c r="L1843" s="18" t="s">
        <v>312</v>
      </c>
      <c r="M1843" s="18" t="s">
        <v>19</v>
      </c>
      <c r="N1843" s="18" t="s">
        <v>957</v>
      </c>
      <c r="O1843">
        <v>30</v>
      </c>
    </row>
    <row r="1844" spans="1:15" x14ac:dyDescent="0.25">
      <c r="A1844" s="18" t="s">
        <v>7276</v>
      </c>
      <c r="B1844" s="18" t="s">
        <v>955</v>
      </c>
      <c r="C1844" s="18" t="s">
        <v>956</v>
      </c>
      <c r="D1844" s="18" t="s">
        <v>916</v>
      </c>
      <c r="E1844" s="18" t="s">
        <v>6490</v>
      </c>
      <c r="F1844" s="2">
        <f>+J1844-I1844</f>
        <v>30</v>
      </c>
      <c r="G1844" s="2">
        <f ca="1">+TODAY()-I1844</f>
        <v>15</v>
      </c>
      <c r="H1844" s="15">
        <v>576184</v>
      </c>
      <c r="I1844" s="1">
        <v>46105</v>
      </c>
      <c r="J1844" s="1">
        <v>46135</v>
      </c>
      <c r="K1844" s="18" t="s">
        <v>918</v>
      </c>
      <c r="L1844" s="18" t="s">
        <v>312</v>
      </c>
      <c r="M1844" s="18" t="s">
        <v>19</v>
      </c>
      <c r="N1844" s="18" t="s">
        <v>957</v>
      </c>
      <c r="O1844">
        <v>30</v>
      </c>
    </row>
    <row r="1845" spans="1:15" x14ac:dyDescent="0.25">
      <c r="A1845" s="18" t="s">
        <v>7276</v>
      </c>
      <c r="B1845" s="18" t="s">
        <v>955</v>
      </c>
      <c r="C1845" s="18" t="s">
        <v>956</v>
      </c>
      <c r="D1845" s="18" t="s">
        <v>916</v>
      </c>
      <c r="E1845" s="18" t="s">
        <v>6995</v>
      </c>
      <c r="F1845" s="2">
        <f>+J1845-I1845</f>
        <v>15</v>
      </c>
      <c r="G1845" s="2">
        <f ca="1">+TODAY()-I1845</f>
        <v>11</v>
      </c>
      <c r="H1845" s="15">
        <v>103741</v>
      </c>
      <c r="I1845" s="1">
        <v>46109</v>
      </c>
      <c r="J1845" s="1">
        <v>46124</v>
      </c>
      <c r="K1845" s="18" t="s">
        <v>918</v>
      </c>
      <c r="L1845" s="18" t="s">
        <v>312</v>
      </c>
      <c r="M1845" s="18" t="s">
        <v>19</v>
      </c>
      <c r="N1845" s="18" t="s">
        <v>957</v>
      </c>
      <c r="O1845">
        <v>30</v>
      </c>
    </row>
    <row r="1846" spans="1:15" x14ac:dyDescent="0.25">
      <c r="A1846" s="18" t="s">
        <v>7276</v>
      </c>
      <c r="B1846" s="18" t="s">
        <v>955</v>
      </c>
      <c r="C1846" s="18" t="s">
        <v>956</v>
      </c>
      <c r="D1846" s="18" t="s">
        <v>916</v>
      </c>
      <c r="E1846" s="18" t="s">
        <v>7007</v>
      </c>
      <c r="F1846" s="2">
        <f>+J1846-I1846</f>
        <v>30</v>
      </c>
      <c r="G1846" s="2">
        <f ca="1">+TODAY()-I1846</f>
        <v>9</v>
      </c>
      <c r="H1846" s="15">
        <v>1057086</v>
      </c>
      <c r="I1846" s="1">
        <v>46111</v>
      </c>
      <c r="J1846" s="1">
        <v>46141</v>
      </c>
      <c r="K1846" s="18" t="s">
        <v>918</v>
      </c>
      <c r="L1846" s="18" t="s">
        <v>312</v>
      </c>
      <c r="M1846" s="18" t="s">
        <v>19</v>
      </c>
      <c r="N1846" s="18" t="s">
        <v>957</v>
      </c>
      <c r="O1846">
        <v>30</v>
      </c>
    </row>
    <row r="1847" spans="1:15" x14ac:dyDescent="0.25">
      <c r="A1847" s="18" t="s">
        <v>7276</v>
      </c>
      <c r="B1847" s="18" t="s">
        <v>1682</v>
      </c>
      <c r="C1847" s="18" t="s">
        <v>1683</v>
      </c>
      <c r="D1847" s="18" t="s">
        <v>1684</v>
      </c>
      <c r="E1847" s="18" t="s">
        <v>7225</v>
      </c>
      <c r="F1847" s="2">
        <f>+J1847-I1847</f>
        <v>30</v>
      </c>
      <c r="G1847" s="2">
        <f ca="1">+TODAY()-I1847</f>
        <v>11</v>
      </c>
      <c r="H1847" s="15">
        <v>359000</v>
      </c>
      <c r="I1847" s="1">
        <v>46109</v>
      </c>
      <c r="J1847" s="1">
        <v>46139</v>
      </c>
      <c r="K1847" s="18" t="s">
        <v>1589</v>
      </c>
      <c r="L1847" s="18" t="s">
        <v>984</v>
      </c>
      <c r="M1847" s="18" t="s">
        <v>19</v>
      </c>
      <c r="N1847" s="18" t="s">
        <v>1685</v>
      </c>
      <c r="O1847">
        <v>30</v>
      </c>
    </row>
    <row r="1848" spans="1:15" x14ac:dyDescent="0.25">
      <c r="A1848" s="18" t="s">
        <v>7276</v>
      </c>
      <c r="B1848" s="18" t="s">
        <v>4348</v>
      </c>
      <c r="C1848" s="18" t="s">
        <v>4349</v>
      </c>
      <c r="D1848" s="18" t="s">
        <v>642</v>
      </c>
      <c r="E1848" s="18" t="s">
        <v>6220</v>
      </c>
      <c r="F1848" s="2">
        <f>+J1848-I1848</f>
        <v>1</v>
      </c>
      <c r="G1848" s="2">
        <f ca="1">+TODAY()-I1848</f>
        <v>20</v>
      </c>
      <c r="H1848" s="15">
        <v>163196</v>
      </c>
      <c r="I1848" s="1">
        <v>46100</v>
      </c>
      <c r="J1848" s="1">
        <v>46101</v>
      </c>
      <c r="K1848" s="18" t="s">
        <v>638</v>
      </c>
      <c r="L1848" s="18" t="s">
        <v>317</v>
      </c>
      <c r="M1848" s="18" t="s">
        <v>19</v>
      </c>
      <c r="N1848" s="18" t="s">
        <v>4351</v>
      </c>
      <c r="O1848">
        <v>8</v>
      </c>
    </row>
    <row r="1849" spans="1:15" x14ac:dyDescent="0.25">
      <c r="A1849" s="18" t="s">
        <v>7276</v>
      </c>
      <c r="B1849" s="18" t="s">
        <v>4508</v>
      </c>
      <c r="C1849" s="18" t="s">
        <v>4509</v>
      </c>
      <c r="D1849" s="18" t="s">
        <v>1118</v>
      </c>
      <c r="E1849" s="18" t="s">
        <v>7536</v>
      </c>
      <c r="F1849" s="2">
        <f>+J1849-I1849</f>
        <v>1</v>
      </c>
      <c r="G1849" s="2">
        <f ca="1">+TODAY()-I1849</f>
        <v>7</v>
      </c>
      <c r="H1849" s="15">
        <v>33365</v>
      </c>
      <c r="I1849" s="1">
        <v>46113</v>
      </c>
      <c r="J1849" s="1">
        <v>46114</v>
      </c>
      <c r="K1849" s="18" t="s">
        <v>1144</v>
      </c>
      <c r="L1849" s="18" t="s">
        <v>321</v>
      </c>
      <c r="M1849" s="18" t="s">
        <v>19</v>
      </c>
      <c r="N1849" s="18" t="s">
        <v>4511</v>
      </c>
      <c r="O1849">
        <v>1</v>
      </c>
    </row>
    <row r="1850" spans="1:15" x14ac:dyDescent="0.25">
      <c r="A1850" s="18" t="s">
        <v>7276</v>
      </c>
      <c r="B1850" s="18" t="s">
        <v>4508</v>
      </c>
      <c r="C1850" s="18" t="s">
        <v>4509</v>
      </c>
      <c r="D1850" s="18" t="s">
        <v>1118</v>
      </c>
      <c r="E1850" s="18" t="s">
        <v>7537</v>
      </c>
      <c r="F1850" s="2">
        <f>+J1850-I1850</f>
        <v>1</v>
      </c>
      <c r="G1850" s="2">
        <f ca="1">+TODAY()-I1850</f>
        <v>7</v>
      </c>
      <c r="H1850" s="15">
        <v>322000</v>
      </c>
      <c r="I1850" s="1">
        <v>46113</v>
      </c>
      <c r="J1850" s="1">
        <v>46114</v>
      </c>
      <c r="K1850" s="18" t="s">
        <v>1144</v>
      </c>
      <c r="L1850" s="18" t="s">
        <v>321</v>
      </c>
      <c r="M1850" s="18" t="s">
        <v>19</v>
      </c>
      <c r="N1850" s="18" t="s">
        <v>4511</v>
      </c>
      <c r="O1850">
        <v>1</v>
      </c>
    </row>
    <row r="1851" spans="1:15" x14ac:dyDescent="0.25">
      <c r="A1851" s="18" t="s">
        <v>7276</v>
      </c>
      <c r="B1851" s="18" t="s">
        <v>1543</v>
      </c>
      <c r="C1851" s="18" t="s">
        <v>1544</v>
      </c>
      <c r="D1851" s="18" t="s">
        <v>1527</v>
      </c>
      <c r="E1851" s="18" t="s">
        <v>6077</v>
      </c>
      <c r="F1851" s="2">
        <f>+J1851-I1851</f>
        <v>30</v>
      </c>
      <c r="G1851" s="2">
        <f ca="1">+TODAY()-I1851</f>
        <v>27</v>
      </c>
      <c r="H1851" s="15">
        <v>332330</v>
      </c>
      <c r="I1851" s="1">
        <v>46093</v>
      </c>
      <c r="J1851" s="1">
        <v>46123</v>
      </c>
      <c r="K1851" s="18" t="s">
        <v>1528</v>
      </c>
      <c r="L1851" s="18" t="s">
        <v>207</v>
      </c>
      <c r="M1851" s="18" t="s">
        <v>19</v>
      </c>
      <c r="N1851" s="18" t="s">
        <v>1545</v>
      </c>
      <c r="O1851">
        <v>15</v>
      </c>
    </row>
    <row r="1852" spans="1:15" x14ac:dyDescent="0.25">
      <c r="A1852" s="18" t="s">
        <v>7276</v>
      </c>
      <c r="B1852" s="18" t="s">
        <v>1543</v>
      </c>
      <c r="C1852" s="18" t="s">
        <v>1544</v>
      </c>
      <c r="D1852" s="18" t="s">
        <v>1527</v>
      </c>
      <c r="E1852" s="18" t="s">
        <v>6078</v>
      </c>
      <c r="F1852" s="2">
        <f>+J1852-I1852</f>
        <v>30</v>
      </c>
      <c r="G1852" s="2">
        <f ca="1">+TODAY()-I1852</f>
        <v>27</v>
      </c>
      <c r="H1852" s="15">
        <v>2810973</v>
      </c>
      <c r="I1852" s="1">
        <v>46093</v>
      </c>
      <c r="J1852" s="1">
        <v>46123</v>
      </c>
      <c r="K1852" s="18" t="s">
        <v>1528</v>
      </c>
      <c r="L1852" s="18" t="s">
        <v>207</v>
      </c>
      <c r="M1852" s="18" t="s">
        <v>19</v>
      </c>
      <c r="N1852" s="18" t="s">
        <v>1545</v>
      </c>
      <c r="O1852">
        <v>15</v>
      </c>
    </row>
    <row r="1853" spans="1:15" x14ac:dyDescent="0.25">
      <c r="A1853" s="18" t="s">
        <v>7276</v>
      </c>
      <c r="B1853" s="18" t="s">
        <v>1543</v>
      </c>
      <c r="C1853" s="18" t="s">
        <v>1544</v>
      </c>
      <c r="D1853" s="18" t="s">
        <v>1527</v>
      </c>
      <c r="E1853" s="18" t="s">
        <v>6623</v>
      </c>
      <c r="F1853" s="2">
        <f>+J1853-I1853</f>
        <v>30</v>
      </c>
      <c r="G1853" s="2">
        <f ca="1">+TODAY()-I1853</f>
        <v>13</v>
      </c>
      <c r="H1853" s="15">
        <v>617220</v>
      </c>
      <c r="I1853" s="1">
        <v>46107</v>
      </c>
      <c r="J1853" s="1">
        <v>46137</v>
      </c>
      <c r="K1853" s="18" t="s">
        <v>1528</v>
      </c>
      <c r="L1853" s="18" t="s">
        <v>207</v>
      </c>
      <c r="M1853" s="18" t="s">
        <v>19</v>
      </c>
      <c r="N1853" s="18" t="s">
        <v>1545</v>
      </c>
      <c r="O1853">
        <v>15</v>
      </c>
    </row>
    <row r="1854" spans="1:15" x14ac:dyDescent="0.25">
      <c r="A1854" s="18" t="s">
        <v>7276</v>
      </c>
      <c r="B1854" s="18" t="s">
        <v>1543</v>
      </c>
      <c r="C1854" s="18" t="s">
        <v>1544</v>
      </c>
      <c r="D1854" s="18" t="s">
        <v>1527</v>
      </c>
      <c r="E1854" s="18" t="s">
        <v>6624</v>
      </c>
      <c r="F1854" s="2">
        <f>+J1854-I1854</f>
        <v>30</v>
      </c>
      <c r="G1854" s="2">
        <f ca="1">+TODAY()-I1854</f>
        <v>13</v>
      </c>
      <c r="H1854" s="15">
        <v>4208089</v>
      </c>
      <c r="I1854" s="1">
        <v>46107</v>
      </c>
      <c r="J1854" s="1">
        <v>46137</v>
      </c>
      <c r="K1854" s="18" t="s">
        <v>1528</v>
      </c>
      <c r="L1854" s="18" t="s">
        <v>207</v>
      </c>
      <c r="M1854" s="18" t="s">
        <v>19</v>
      </c>
      <c r="N1854" s="18" t="s">
        <v>1545</v>
      </c>
      <c r="O1854">
        <v>15</v>
      </c>
    </row>
    <row r="1855" spans="1:15" x14ac:dyDescent="0.25">
      <c r="A1855" s="18" t="s">
        <v>7276</v>
      </c>
      <c r="B1855" s="18" t="s">
        <v>1852</v>
      </c>
      <c r="C1855" s="18" t="s">
        <v>1853</v>
      </c>
      <c r="D1855" s="18" t="s">
        <v>1266</v>
      </c>
      <c r="E1855" s="18" t="s">
        <v>4987</v>
      </c>
      <c r="F1855" s="2">
        <f>+J1855-I1855</f>
        <v>30</v>
      </c>
      <c r="G1855" s="2">
        <f ca="1">+TODAY()-I1855</f>
        <v>69</v>
      </c>
      <c r="H1855" s="15">
        <v>3949995</v>
      </c>
      <c r="I1855" s="1">
        <v>46051</v>
      </c>
      <c r="J1855" s="1">
        <v>46081</v>
      </c>
      <c r="K1855" s="18" t="s">
        <v>1854</v>
      </c>
      <c r="L1855" s="18" t="s">
        <v>981</v>
      </c>
      <c r="M1855" s="18" t="s">
        <v>19</v>
      </c>
      <c r="N1855" s="18" t="s">
        <v>1855</v>
      </c>
      <c r="O1855">
        <v>30</v>
      </c>
    </row>
    <row r="1856" spans="1:15" x14ac:dyDescent="0.25">
      <c r="A1856" s="18" t="s">
        <v>7276</v>
      </c>
      <c r="B1856" s="18" t="s">
        <v>1852</v>
      </c>
      <c r="C1856" s="18" t="s">
        <v>1853</v>
      </c>
      <c r="D1856" s="18" t="s">
        <v>1266</v>
      </c>
      <c r="E1856" s="18" t="s">
        <v>4988</v>
      </c>
      <c r="F1856" s="2">
        <f>+J1856-I1856</f>
        <v>30</v>
      </c>
      <c r="G1856" s="2">
        <f ca="1">+TODAY()-I1856</f>
        <v>69</v>
      </c>
      <c r="H1856" s="15">
        <v>1099625</v>
      </c>
      <c r="I1856" s="1">
        <v>46051</v>
      </c>
      <c r="J1856" s="1">
        <v>46081</v>
      </c>
      <c r="K1856" s="18" t="s">
        <v>1854</v>
      </c>
      <c r="L1856" s="18" t="s">
        <v>981</v>
      </c>
      <c r="M1856" s="18" t="s">
        <v>19</v>
      </c>
      <c r="N1856" s="18" t="s">
        <v>1855</v>
      </c>
      <c r="O1856">
        <v>30</v>
      </c>
    </row>
    <row r="1857" spans="1:15" x14ac:dyDescent="0.25">
      <c r="A1857" s="18" t="s">
        <v>7276</v>
      </c>
      <c r="B1857" s="18" t="s">
        <v>1852</v>
      </c>
      <c r="C1857" s="18" t="s">
        <v>1853</v>
      </c>
      <c r="D1857" s="18" t="s">
        <v>1266</v>
      </c>
      <c r="E1857" s="18" t="s">
        <v>5171</v>
      </c>
      <c r="F1857" s="2">
        <f>+J1857-I1857</f>
        <v>30</v>
      </c>
      <c r="G1857" s="2">
        <f ca="1">+TODAY()-I1857</f>
        <v>55</v>
      </c>
      <c r="H1857" s="15">
        <v>862015</v>
      </c>
      <c r="I1857" s="1">
        <v>46065</v>
      </c>
      <c r="J1857" s="1">
        <v>46095</v>
      </c>
      <c r="K1857" s="18" t="s">
        <v>1854</v>
      </c>
      <c r="L1857" s="18" t="s">
        <v>981</v>
      </c>
      <c r="M1857" s="18" t="s">
        <v>19</v>
      </c>
      <c r="N1857" s="18" t="s">
        <v>1855</v>
      </c>
      <c r="O1857">
        <v>30</v>
      </c>
    </row>
    <row r="1858" spans="1:15" x14ac:dyDescent="0.25">
      <c r="A1858" s="18" t="s">
        <v>7276</v>
      </c>
      <c r="B1858" s="18" t="s">
        <v>1852</v>
      </c>
      <c r="C1858" s="18" t="s">
        <v>1853</v>
      </c>
      <c r="D1858" s="18" t="s">
        <v>1266</v>
      </c>
      <c r="E1858" s="18" t="s">
        <v>5364</v>
      </c>
      <c r="F1858" s="2">
        <f>+J1858-I1858</f>
        <v>30</v>
      </c>
      <c r="G1858" s="2">
        <f ca="1">+TODAY()-I1858</f>
        <v>40</v>
      </c>
      <c r="H1858" s="15">
        <v>822700</v>
      </c>
      <c r="I1858" s="1">
        <v>46080</v>
      </c>
      <c r="J1858" s="1">
        <v>46110</v>
      </c>
      <c r="K1858" s="18" t="s">
        <v>1854</v>
      </c>
      <c r="L1858" s="18" t="s">
        <v>981</v>
      </c>
      <c r="M1858" s="18" t="s">
        <v>19</v>
      </c>
      <c r="N1858" s="18" t="s">
        <v>1855</v>
      </c>
      <c r="O1858">
        <v>30</v>
      </c>
    </row>
    <row r="1859" spans="1:15" x14ac:dyDescent="0.25">
      <c r="A1859" s="18" t="s">
        <v>7276</v>
      </c>
      <c r="B1859" s="18" t="s">
        <v>1852</v>
      </c>
      <c r="C1859" s="18" t="s">
        <v>1853</v>
      </c>
      <c r="D1859" s="18" t="s">
        <v>1266</v>
      </c>
      <c r="E1859" s="18" t="s">
        <v>6122</v>
      </c>
      <c r="F1859" s="2">
        <f>+J1859-I1859</f>
        <v>30</v>
      </c>
      <c r="G1859" s="2">
        <f ca="1">+TODAY()-I1859</f>
        <v>27</v>
      </c>
      <c r="H1859" s="15">
        <v>106929</v>
      </c>
      <c r="I1859" s="1">
        <v>46093</v>
      </c>
      <c r="J1859" s="1">
        <v>46123</v>
      </c>
      <c r="K1859" s="18" t="s">
        <v>1854</v>
      </c>
      <c r="L1859" s="18" t="s">
        <v>981</v>
      </c>
      <c r="M1859" s="18" t="s">
        <v>19</v>
      </c>
      <c r="N1859" s="18" t="s">
        <v>1855</v>
      </c>
      <c r="O1859">
        <v>30</v>
      </c>
    </row>
    <row r="1860" spans="1:15" x14ac:dyDescent="0.25">
      <c r="A1860" s="18" t="s">
        <v>7276</v>
      </c>
      <c r="B1860" s="18" t="s">
        <v>1852</v>
      </c>
      <c r="C1860" s="18" t="s">
        <v>1853</v>
      </c>
      <c r="D1860" s="18" t="s">
        <v>1266</v>
      </c>
      <c r="E1860" s="18" t="s">
        <v>6123</v>
      </c>
      <c r="F1860" s="2">
        <f>+J1860-I1860</f>
        <v>30</v>
      </c>
      <c r="G1860" s="2">
        <f ca="1">+TODAY()-I1860</f>
        <v>27</v>
      </c>
      <c r="H1860" s="15">
        <v>8284626</v>
      </c>
      <c r="I1860" s="1">
        <v>46093</v>
      </c>
      <c r="J1860" s="1">
        <v>46123</v>
      </c>
      <c r="K1860" s="18" t="s">
        <v>1854</v>
      </c>
      <c r="L1860" s="18" t="s">
        <v>981</v>
      </c>
      <c r="M1860" s="18" t="s">
        <v>19</v>
      </c>
      <c r="N1860" s="18" t="s">
        <v>1855</v>
      </c>
      <c r="O1860">
        <v>30</v>
      </c>
    </row>
    <row r="1861" spans="1:15" x14ac:dyDescent="0.25">
      <c r="A1861" s="18" t="s">
        <v>7276</v>
      </c>
      <c r="B1861" s="18" t="s">
        <v>1852</v>
      </c>
      <c r="C1861" s="18" t="s">
        <v>1853</v>
      </c>
      <c r="D1861" s="18" t="s">
        <v>1266</v>
      </c>
      <c r="E1861" s="18" t="s">
        <v>6124</v>
      </c>
      <c r="F1861" s="2">
        <f>+J1861-I1861</f>
        <v>30</v>
      </c>
      <c r="G1861" s="2">
        <f ca="1">+TODAY()-I1861</f>
        <v>25</v>
      </c>
      <c r="H1861" s="15">
        <v>2460000</v>
      </c>
      <c r="I1861" s="1">
        <v>46095</v>
      </c>
      <c r="J1861" s="1">
        <v>46125</v>
      </c>
      <c r="K1861" s="18" t="s">
        <v>1854</v>
      </c>
      <c r="L1861" s="18" t="s">
        <v>981</v>
      </c>
      <c r="M1861" s="18" t="s">
        <v>19</v>
      </c>
      <c r="N1861" s="18" t="s">
        <v>1855</v>
      </c>
      <c r="O1861">
        <v>30</v>
      </c>
    </row>
    <row r="1862" spans="1:15" x14ac:dyDescent="0.25">
      <c r="A1862" s="18" t="s">
        <v>7276</v>
      </c>
      <c r="B1862" s="18" t="s">
        <v>2001</v>
      </c>
      <c r="C1862" s="18" t="s">
        <v>2002</v>
      </c>
      <c r="D1862" s="18" t="s">
        <v>1259</v>
      </c>
      <c r="E1862" s="18" t="s">
        <v>5281</v>
      </c>
      <c r="F1862" s="2">
        <f>+J1862-I1862</f>
        <v>30</v>
      </c>
      <c r="G1862" s="2">
        <f ca="1">+TODAY()-I1862</f>
        <v>40</v>
      </c>
      <c r="H1862" s="15">
        <v>517205</v>
      </c>
      <c r="I1862" s="1">
        <v>46080</v>
      </c>
      <c r="J1862" s="1">
        <v>46110</v>
      </c>
      <c r="K1862" s="18" t="s">
        <v>1260</v>
      </c>
      <c r="L1862" s="18" t="s">
        <v>981</v>
      </c>
      <c r="M1862" s="18" t="s">
        <v>19</v>
      </c>
      <c r="N1862" s="18" t="s">
        <v>2003</v>
      </c>
      <c r="O1862">
        <v>30</v>
      </c>
    </row>
    <row r="1863" spans="1:15" x14ac:dyDescent="0.25">
      <c r="A1863" s="18" t="s">
        <v>7276</v>
      </c>
      <c r="B1863" s="18" t="s">
        <v>2001</v>
      </c>
      <c r="C1863" s="18" t="s">
        <v>2002</v>
      </c>
      <c r="D1863" s="18" t="s">
        <v>1259</v>
      </c>
      <c r="E1863" s="18" t="s">
        <v>6032</v>
      </c>
      <c r="F1863" s="2">
        <f>+J1863-I1863</f>
        <v>30</v>
      </c>
      <c r="G1863" s="2">
        <f ca="1">+TODAY()-I1863</f>
        <v>27</v>
      </c>
      <c r="H1863" s="15">
        <v>634802</v>
      </c>
      <c r="I1863" s="1">
        <v>46093</v>
      </c>
      <c r="J1863" s="1">
        <v>46123</v>
      </c>
      <c r="K1863" s="18" t="s">
        <v>1260</v>
      </c>
      <c r="L1863" s="18" t="s">
        <v>981</v>
      </c>
      <c r="M1863" s="18" t="s">
        <v>19</v>
      </c>
      <c r="N1863" s="18" t="s">
        <v>2003</v>
      </c>
      <c r="O1863">
        <v>30</v>
      </c>
    </row>
    <row r="1864" spans="1:15" x14ac:dyDescent="0.25">
      <c r="A1864" s="18" t="s">
        <v>7276</v>
      </c>
      <c r="B1864" s="18" t="s">
        <v>2001</v>
      </c>
      <c r="C1864" s="18" t="s">
        <v>2002</v>
      </c>
      <c r="D1864" s="18" t="s">
        <v>1259</v>
      </c>
      <c r="E1864" s="18" t="s">
        <v>5167</v>
      </c>
      <c r="F1864" s="2">
        <f>+J1864-I1864</f>
        <v>30</v>
      </c>
      <c r="G1864" s="2">
        <f ca="1">+TODAY()-I1864</f>
        <v>55</v>
      </c>
      <c r="H1864" s="15">
        <v>511207</v>
      </c>
      <c r="I1864" s="1">
        <v>46065</v>
      </c>
      <c r="J1864" s="1">
        <v>46095</v>
      </c>
      <c r="K1864" s="18" t="s">
        <v>1738</v>
      </c>
      <c r="L1864" s="18" t="s">
        <v>981</v>
      </c>
      <c r="M1864" s="18" t="s">
        <v>19</v>
      </c>
      <c r="N1864" s="18" t="s">
        <v>2003</v>
      </c>
      <c r="O1864">
        <v>30</v>
      </c>
    </row>
    <row r="1865" spans="1:15" x14ac:dyDescent="0.25">
      <c r="A1865" s="18" t="s">
        <v>7276</v>
      </c>
      <c r="B1865" s="18" t="s">
        <v>130</v>
      </c>
      <c r="C1865" s="18" t="s">
        <v>131</v>
      </c>
      <c r="D1865" s="18" t="s">
        <v>15</v>
      </c>
      <c r="E1865" s="18" t="s">
        <v>5526</v>
      </c>
      <c r="F1865" s="2">
        <f>+J1865-I1865</f>
        <v>30</v>
      </c>
      <c r="G1865" s="2">
        <f ca="1">+TODAY()-I1865</f>
        <v>33</v>
      </c>
      <c r="H1865" s="15">
        <v>762000</v>
      </c>
      <c r="I1865" s="1">
        <v>46087</v>
      </c>
      <c r="J1865" s="1">
        <v>46117</v>
      </c>
      <c r="K1865" s="18" t="s">
        <v>17</v>
      </c>
      <c r="L1865" s="18" t="s">
        <v>32</v>
      </c>
      <c r="M1865" s="18" t="s">
        <v>19</v>
      </c>
      <c r="N1865" s="18" t="s">
        <v>132</v>
      </c>
      <c r="O1865">
        <v>30</v>
      </c>
    </row>
    <row r="1866" spans="1:15" x14ac:dyDescent="0.25">
      <c r="A1866" s="18" t="s">
        <v>7276</v>
      </c>
      <c r="B1866" s="18" t="s">
        <v>130</v>
      </c>
      <c r="C1866" s="18" t="s">
        <v>131</v>
      </c>
      <c r="D1866" s="18" t="s">
        <v>15</v>
      </c>
      <c r="E1866" s="18" t="s">
        <v>6176</v>
      </c>
      <c r="F1866" s="2">
        <f>+J1866-I1866</f>
        <v>30</v>
      </c>
      <c r="G1866" s="2">
        <f ca="1">+TODAY()-I1866</f>
        <v>20</v>
      </c>
      <c r="H1866" s="15">
        <v>259785</v>
      </c>
      <c r="I1866" s="1">
        <v>46100</v>
      </c>
      <c r="J1866" s="1">
        <v>46130</v>
      </c>
      <c r="K1866" s="18" t="s">
        <v>17</v>
      </c>
      <c r="L1866" s="18" t="s">
        <v>32</v>
      </c>
      <c r="M1866" s="18" t="s">
        <v>19</v>
      </c>
      <c r="N1866" s="18" t="s">
        <v>132</v>
      </c>
      <c r="O1866">
        <v>30</v>
      </c>
    </row>
    <row r="1867" spans="1:15" x14ac:dyDescent="0.25">
      <c r="A1867" s="18" t="s">
        <v>7276</v>
      </c>
      <c r="B1867" s="18" t="s">
        <v>130</v>
      </c>
      <c r="C1867" s="18" t="s">
        <v>131</v>
      </c>
      <c r="D1867" s="18" t="s">
        <v>15</v>
      </c>
      <c r="E1867" s="18" t="s">
        <v>6422</v>
      </c>
      <c r="F1867" s="2">
        <f>+J1867-I1867</f>
        <v>30</v>
      </c>
      <c r="G1867" s="2">
        <f ca="1">+TODAY()-I1867</f>
        <v>12</v>
      </c>
      <c r="H1867" s="15">
        <v>670599</v>
      </c>
      <c r="I1867" s="1">
        <v>46108</v>
      </c>
      <c r="J1867" s="1">
        <v>46138</v>
      </c>
      <c r="K1867" s="18" t="s">
        <v>17</v>
      </c>
      <c r="L1867" s="18" t="s">
        <v>32</v>
      </c>
      <c r="M1867" s="18" t="s">
        <v>19</v>
      </c>
      <c r="N1867" s="18" t="s">
        <v>132</v>
      </c>
      <c r="O1867">
        <v>30</v>
      </c>
    </row>
    <row r="1868" spans="1:15" x14ac:dyDescent="0.25">
      <c r="A1868" s="18" t="s">
        <v>7276</v>
      </c>
      <c r="B1868" s="18" t="s">
        <v>130</v>
      </c>
      <c r="C1868" s="18" t="s">
        <v>131</v>
      </c>
      <c r="D1868" s="18" t="s">
        <v>15</v>
      </c>
      <c r="E1868" s="18" t="s">
        <v>6762</v>
      </c>
      <c r="F1868" s="2">
        <f>+J1868-I1868</f>
        <v>30</v>
      </c>
      <c r="G1868" s="2">
        <f ca="1">+TODAY()-I1868</f>
        <v>9</v>
      </c>
      <c r="H1868" s="15">
        <v>1270000</v>
      </c>
      <c r="I1868" s="1">
        <v>46111</v>
      </c>
      <c r="J1868" s="1">
        <v>46141</v>
      </c>
      <c r="K1868" s="18" t="s">
        <v>17</v>
      </c>
      <c r="L1868" s="18" t="s">
        <v>32</v>
      </c>
      <c r="M1868" s="18" t="s">
        <v>19</v>
      </c>
      <c r="N1868" s="18" t="s">
        <v>132</v>
      </c>
      <c r="O1868">
        <v>30</v>
      </c>
    </row>
    <row r="1869" spans="1:15" x14ac:dyDescent="0.25">
      <c r="A1869" s="18" t="s">
        <v>7276</v>
      </c>
      <c r="B1869" s="18" t="s">
        <v>130</v>
      </c>
      <c r="C1869" s="18" t="s">
        <v>131</v>
      </c>
      <c r="D1869" s="18" t="s">
        <v>15</v>
      </c>
      <c r="E1869" s="18" t="s">
        <v>7359</v>
      </c>
      <c r="F1869" s="2">
        <f>+J1869-I1869</f>
        <v>30</v>
      </c>
      <c r="G1869" s="2">
        <f ca="1">+TODAY()-I1869</f>
        <v>1</v>
      </c>
      <c r="H1869" s="15">
        <v>1044150</v>
      </c>
      <c r="I1869" s="1">
        <v>46119</v>
      </c>
      <c r="J1869" s="1">
        <v>46149</v>
      </c>
      <c r="K1869" s="18" t="s">
        <v>17</v>
      </c>
      <c r="L1869" s="18" t="s">
        <v>32</v>
      </c>
      <c r="M1869" s="18" t="s">
        <v>19</v>
      </c>
      <c r="N1869" s="18" t="s">
        <v>132</v>
      </c>
      <c r="O1869">
        <v>30</v>
      </c>
    </row>
    <row r="1870" spans="1:15" x14ac:dyDescent="0.25">
      <c r="A1870" s="18" t="s">
        <v>7276</v>
      </c>
      <c r="B1870" s="18" t="s">
        <v>387</v>
      </c>
      <c r="C1870" s="18" t="s">
        <v>388</v>
      </c>
      <c r="D1870" s="18" t="s">
        <v>389</v>
      </c>
      <c r="E1870" s="18" t="s">
        <v>5687</v>
      </c>
      <c r="F1870" s="2">
        <f>+J1870-I1870</f>
        <v>30</v>
      </c>
      <c r="G1870" s="2">
        <f ca="1">+TODAY()-I1870</f>
        <v>28</v>
      </c>
      <c r="H1870" s="15">
        <v>3400540</v>
      </c>
      <c r="I1870" s="1">
        <v>46092</v>
      </c>
      <c r="J1870" s="1">
        <v>46122</v>
      </c>
      <c r="K1870" s="18" t="s">
        <v>343</v>
      </c>
      <c r="L1870" s="18" t="s">
        <v>18</v>
      </c>
      <c r="M1870" s="18" t="s">
        <v>19</v>
      </c>
      <c r="N1870" s="18" t="s">
        <v>390</v>
      </c>
      <c r="O1870">
        <v>30</v>
      </c>
    </row>
    <row r="1871" spans="1:15" x14ac:dyDescent="0.25">
      <c r="A1871" s="18" t="s">
        <v>7276</v>
      </c>
      <c r="B1871" s="18" t="s">
        <v>387</v>
      </c>
      <c r="C1871" s="18" t="s">
        <v>388</v>
      </c>
      <c r="D1871" s="18" t="s">
        <v>389</v>
      </c>
      <c r="E1871" s="18" t="s">
        <v>5688</v>
      </c>
      <c r="F1871" s="2">
        <f>+J1871-I1871</f>
        <v>30</v>
      </c>
      <c r="G1871" s="2">
        <f ca="1">+TODAY()-I1871</f>
        <v>28</v>
      </c>
      <c r="H1871" s="15">
        <v>2922028</v>
      </c>
      <c r="I1871" s="1">
        <v>46092</v>
      </c>
      <c r="J1871" s="1">
        <v>46122</v>
      </c>
      <c r="K1871" s="18" t="s">
        <v>343</v>
      </c>
      <c r="L1871" s="18" t="s">
        <v>18</v>
      </c>
      <c r="M1871" s="18" t="s">
        <v>19</v>
      </c>
      <c r="N1871" s="18" t="s">
        <v>390</v>
      </c>
      <c r="O1871">
        <v>30</v>
      </c>
    </row>
    <row r="1872" spans="1:15" x14ac:dyDescent="0.25">
      <c r="A1872" s="18" t="s">
        <v>7276</v>
      </c>
      <c r="B1872" s="18" t="s">
        <v>2210</v>
      </c>
      <c r="C1872" s="18" t="s">
        <v>2211</v>
      </c>
      <c r="D1872" s="18" t="s">
        <v>994</v>
      </c>
      <c r="E1872" s="18" t="s">
        <v>6247</v>
      </c>
      <c r="F1872" s="2">
        <f>+J1872-I1872</f>
        <v>10</v>
      </c>
      <c r="G1872" s="2">
        <f ca="1">+TODAY()-I1872</f>
        <v>19</v>
      </c>
      <c r="H1872" s="15">
        <v>573000</v>
      </c>
      <c r="I1872" s="1">
        <v>46101</v>
      </c>
      <c r="J1872" s="1">
        <v>46111</v>
      </c>
      <c r="K1872" s="18" t="s">
        <v>989</v>
      </c>
      <c r="L1872" s="18" t="s">
        <v>317</v>
      </c>
      <c r="M1872" s="18" t="s">
        <v>19</v>
      </c>
      <c r="N1872" s="18" t="s">
        <v>2212</v>
      </c>
      <c r="O1872">
        <v>30</v>
      </c>
    </row>
    <row r="1873" spans="1:15" x14ac:dyDescent="0.25">
      <c r="A1873" s="18" t="s">
        <v>7276</v>
      </c>
      <c r="B1873" s="18" t="s">
        <v>7564</v>
      </c>
      <c r="C1873" s="18" t="s">
        <v>7565</v>
      </c>
      <c r="D1873" s="18" t="s">
        <v>1250</v>
      </c>
      <c r="E1873" s="18" t="s">
        <v>7566</v>
      </c>
      <c r="F1873" s="2">
        <f>+J1873-I1873</f>
        <v>1</v>
      </c>
      <c r="G1873" s="2">
        <f ca="1">+TODAY()-I1873</f>
        <v>2</v>
      </c>
      <c r="H1873" s="15">
        <v>840000</v>
      </c>
      <c r="I1873" s="1">
        <v>46118</v>
      </c>
      <c r="J1873" s="1">
        <v>46119</v>
      </c>
      <c r="K1873" s="18" t="s">
        <v>1243</v>
      </c>
      <c r="L1873" s="18" t="s">
        <v>207</v>
      </c>
      <c r="M1873" s="18" t="s">
        <v>19</v>
      </c>
      <c r="N1873" s="18" t="s">
        <v>7567</v>
      </c>
      <c r="O1873">
        <v>1</v>
      </c>
    </row>
    <row r="1874" spans="1:15" x14ac:dyDescent="0.25">
      <c r="A1874" s="18" t="s">
        <v>7276</v>
      </c>
      <c r="B1874" s="18" t="s">
        <v>1244</v>
      </c>
      <c r="C1874" s="18" t="s">
        <v>1245</v>
      </c>
      <c r="D1874" s="18" t="s">
        <v>1242</v>
      </c>
      <c r="E1874" s="18" t="s">
        <v>5105</v>
      </c>
      <c r="F1874" s="2">
        <f>+J1874-I1874</f>
        <v>30</v>
      </c>
      <c r="G1874" s="2">
        <f ca="1">+TODAY()-I1874</f>
        <v>54</v>
      </c>
      <c r="H1874" s="15">
        <v>214499</v>
      </c>
      <c r="I1874" s="1">
        <v>46066</v>
      </c>
      <c r="J1874" s="1">
        <v>46096</v>
      </c>
      <c r="K1874" s="18" t="s">
        <v>1068</v>
      </c>
      <c r="L1874" s="18" t="s">
        <v>207</v>
      </c>
      <c r="M1874" s="18" t="s">
        <v>19</v>
      </c>
      <c r="N1874" s="18" t="s">
        <v>1246</v>
      </c>
      <c r="O1874">
        <v>30</v>
      </c>
    </row>
    <row r="1875" spans="1:15" x14ac:dyDescent="0.25">
      <c r="A1875" s="18" t="s">
        <v>7276</v>
      </c>
      <c r="B1875" s="18" t="s">
        <v>1244</v>
      </c>
      <c r="C1875" s="18" t="s">
        <v>1245</v>
      </c>
      <c r="D1875" s="18" t="s">
        <v>1242</v>
      </c>
      <c r="E1875" s="18" t="s">
        <v>5106</v>
      </c>
      <c r="F1875" s="2">
        <f>+J1875-I1875</f>
        <v>30</v>
      </c>
      <c r="G1875" s="2">
        <f ca="1">+TODAY()-I1875</f>
        <v>54</v>
      </c>
      <c r="H1875" s="15">
        <v>1677304</v>
      </c>
      <c r="I1875" s="1">
        <v>46066</v>
      </c>
      <c r="J1875" s="1">
        <v>46096</v>
      </c>
      <c r="K1875" s="18" t="s">
        <v>1068</v>
      </c>
      <c r="L1875" s="18" t="s">
        <v>207</v>
      </c>
      <c r="M1875" s="18" t="s">
        <v>19</v>
      </c>
      <c r="N1875" s="18" t="s">
        <v>1246</v>
      </c>
      <c r="O1875">
        <v>30</v>
      </c>
    </row>
    <row r="1876" spans="1:15" x14ac:dyDescent="0.25">
      <c r="A1876" s="18" t="s">
        <v>7276</v>
      </c>
      <c r="B1876" s="18" t="s">
        <v>1244</v>
      </c>
      <c r="C1876" s="18" t="s">
        <v>1245</v>
      </c>
      <c r="D1876" s="18" t="s">
        <v>1242</v>
      </c>
      <c r="E1876" s="18" t="s">
        <v>5272</v>
      </c>
      <c r="F1876" s="2">
        <f>+J1876-I1876</f>
        <v>30</v>
      </c>
      <c r="G1876" s="2">
        <f ca="1">+TODAY()-I1876</f>
        <v>47</v>
      </c>
      <c r="H1876" s="15">
        <v>1319741</v>
      </c>
      <c r="I1876" s="1">
        <v>46073</v>
      </c>
      <c r="J1876" s="1">
        <v>46103</v>
      </c>
      <c r="K1876" s="18" t="s">
        <v>1243</v>
      </c>
      <c r="L1876" s="18" t="s">
        <v>207</v>
      </c>
      <c r="M1876" s="18" t="s">
        <v>19</v>
      </c>
      <c r="N1876" s="18" t="s">
        <v>1246</v>
      </c>
      <c r="O1876">
        <v>30</v>
      </c>
    </row>
    <row r="1877" spans="1:15" x14ac:dyDescent="0.25">
      <c r="A1877" s="18" t="s">
        <v>7276</v>
      </c>
      <c r="B1877" s="18" t="s">
        <v>1244</v>
      </c>
      <c r="C1877" s="18" t="s">
        <v>1245</v>
      </c>
      <c r="D1877" s="18" t="s">
        <v>1242</v>
      </c>
      <c r="E1877" s="18" t="s">
        <v>5276</v>
      </c>
      <c r="F1877" s="2">
        <f>+J1877-I1877</f>
        <v>30</v>
      </c>
      <c r="G1877" s="2">
        <f ca="1">+TODAY()-I1877</f>
        <v>40</v>
      </c>
      <c r="H1877" s="15">
        <v>1248583</v>
      </c>
      <c r="I1877" s="1">
        <v>46080</v>
      </c>
      <c r="J1877" s="1">
        <v>46110</v>
      </c>
      <c r="K1877" s="18" t="s">
        <v>1243</v>
      </c>
      <c r="L1877" s="18" t="s">
        <v>207</v>
      </c>
      <c r="M1877" s="18" t="s">
        <v>19</v>
      </c>
      <c r="N1877" s="18" t="s">
        <v>1246</v>
      </c>
      <c r="O1877">
        <v>30</v>
      </c>
    </row>
    <row r="1878" spans="1:15" x14ac:dyDescent="0.25">
      <c r="A1878" s="18" t="s">
        <v>7276</v>
      </c>
      <c r="B1878" s="18" t="s">
        <v>1244</v>
      </c>
      <c r="C1878" s="18" t="s">
        <v>1245</v>
      </c>
      <c r="D1878" s="18" t="s">
        <v>1242</v>
      </c>
      <c r="E1878" s="18" t="s">
        <v>5769</v>
      </c>
      <c r="F1878" s="2">
        <f>+J1878-I1878</f>
        <v>30</v>
      </c>
      <c r="G1878" s="2">
        <f ca="1">+TODAY()-I1878</f>
        <v>33</v>
      </c>
      <c r="H1878" s="15">
        <v>1477841</v>
      </c>
      <c r="I1878" s="1">
        <v>46087</v>
      </c>
      <c r="J1878" s="1">
        <v>46117</v>
      </c>
      <c r="K1878" s="18" t="s">
        <v>1243</v>
      </c>
      <c r="L1878" s="18" t="s">
        <v>207</v>
      </c>
      <c r="M1878" s="18" t="s">
        <v>19</v>
      </c>
      <c r="N1878" s="18" t="s">
        <v>1246</v>
      </c>
      <c r="O1878">
        <v>30</v>
      </c>
    </row>
    <row r="1879" spans="1:15" x14ac:dyDescent="0.25">
      <c r="A1879" s="18" t="s">
        <v>7276</v>
      </c>
      <c r="B1879" s="18" t="s">
        <v>1244</v>
      </c>
      <c r="C1879" s="18" t="s">
        <v>1245</v>
      </c>
      <c r="D1879" s="18" t="s">
        <v>1242</v>
      </c>
      <c r="E1879" s="18" t="s">
        <v>6025</v>
      </c>
      <c r="F1879" s="2">
        <f>+J1879-I1879</f>
        <v>30</v>
      </c>
      <c r="G1879" s="2">
        <f ca="1">+TODAY()-I1879</f>
        <v>26</v>
      </c>
      <c r="H1879" s="15">
        <v>696201</v>
      </c>
      <c r="I1879" s="1">
        <v>46094</v>
      </c>
      <c r="J1879" s="1">
        <v>46124</v>
      </c>
      <c r="K1879" s="18" t="s">
        <v>1243</v>
      </c>
      <c r="L1879" s="18" t="s">
        <v>207</v>
      </c>
      <c r="M1879" s="18" t="s">
        <v>19</v>
      </c>
      <c r="N1879" s="18" t="s">
        <v>1246</v>
      </c>
      <c r="O1879">
        <v>30</v>
      </c>
    </row>
    <row r="1880" spans="1:15" x14ac:dyDescent="0.25">
      <c r="A1880" s="18" t="s">
        <v>7276</v>
      </c>
      <c r="B1880" s="18" t="s">
        <v>1244</v>
      </c>
      <c r="C1880" s="18" t="s">
        <v>1245</v>
      </c>
      <c r="D1880" s="18" t="s">
        <v>1242</v>
      </c>
      <c r="E1880" s="18" t="s">
        <v>6026</v>
      </c>
      <c r="F1880" s="2">
        <f>+J1880-I1880</f>
        <v>30</v>
      </c>
      <c r="G1880" s="2">
        <f ca="1">+TODAY()-I1880</f>
        <v>26</v>
      </c>
      <c r="H1880" s="15">
        <v>2009211</v>
      </c>
      <c r="I1880" s="1">
        <v>46094</v>
      </c>
      <c r="J1880" s="1">
        <v>46124</v>
      </c>
      <c r="K1880" s="18" t="s">
        <v>1243</v>
      </c>
      <c r="L1880" s="18" t="s">
        <v>207</v>
      </c>
      <c r="M1880" s="18" t="s">
        <v>19</v>
      </c>
      <c r="N1880" s="18" t="s">
        <v>1246</v>
      </c>
      <c r="O1880">
        <v>30</v>
      </c>
    </row>
    <row r="1881" spans="1:15" x14ac:dyDescent="0.25">
      <c r="A1881" s="18" t="s">
        <v>7276</v>
      </c>
      <c r="B1881" s="18" t="s">
        <v>1244</v>
      </c>
      <c r="C1881" s="18" t="s">
        <v>1245</v>
      </c>
      <c r="D1881" s="18" t="s">
        <v>1242</v>
      </c>
      <c r="E1881" s="18" t="s">
        <v>6027</v>
      </c>
      <c r="F1881" s="2">
        <f>+J1881-I1881</f>
        <v>30</v>
      </c>
      <c r="G1881" s="2">
        <f ca="1">+TODAY()-I1881</f>
        <v>26</v>
      </c>
      <c r="H1881" s="15">
        <v>134000</v>
      </c>
      <c r="I1881" s="1">
        <v>46094</v>
      </c>
      <c r="J1881" s="1">
        <v>46124</v>
      </c>
      <c r="K1881" s="18" t="s">
        <v>1243</v>
      </c>
      <c r="L1881" s="18" t="s">
        <v>207</v>
      </c>
      <c r="M1881" s="18" t="s">
        <v>19</v>
      </c>
      <c r="N1881" s="18" t="s">
        <v>1246</v>
      </c>
      <c r="O1881">
        <v>30</v>
      </c>
    </row>
    <row r="1882" spans="1:15" x14ac:dyDescent="0.25">
      <c r="A1882" s="18" t="s">
        <v>7276</v>
      </c>
      <c r="B1882" s="18" t="s">
        <v>1244</v>
      </c>
      <c r="C1882" s="18" t="s">
        <v>1245</v>
      </c>
      <c r="D1882" s="18" t="s">
        <v>1242</v>
      </c>
      <c r="E1882" s="18" t="s">
        <v>6301</v>
      </c>
      <c r="F1882" s="2">
        <f>+J1882-I1882</f>
        <v>30</v>
      </c>
      <c r="G1882" s="2">
        <f ca="1">+TODAY()-I1882</f>
        <v>19</v>
      </c>
      <c r="H1882" s="15">
        <v>352391</v>
      </c>
      <c r="I1882" s="1">
        <v>46101</v>
      </c>
      <c r="J1882" s="1">
        <v>46131</v>
      </c>
      <c r="K1882" s="18" t="s">
        <v>1243</v>
      </c>
      <c r="L1882" s="18" t="s">
        <v>207</v>
      </c>
      <c r="M1882" s="18" t="s">
        <v>19</v>
      </c>
      <c r="N1882" s="18" t="s">
        <v>1246</v>
      </c>
      <c r="O1882">
        <v>30</v>
      </c>
    </row>
    <row r="1883" spans="1:15" x14ac:dyDescent="0.25">
      <c r="A1883" s="18" t="s">
        <v>7276</v>
      </c>
      <c r="B1883" s="18" t="s">
        <v>1244</v>
      </c>
      <c r="C1883" s="18" t="s">
        <v>1245</v>
      </c>
      <c r="D1883" s="18" t="s">
        <v>1242</v>
      </c>
      <c r="E1883" s="18" t="s">
        <v>6302</v>
      </c>
      <c r="F1883" s="2">
        <f>+J1883-I1883</f>
        <v>30</v>
      </c>
      <c r="G1883" s="2">
        <f ca="1">+TODAY()-I1883</f>
        <v>19</v>
      </c>
      <c r="H1883" s="15">
        <v>1377807</v>
      </c>
      <c r="I1883" s="1">
        <v>46101</v>
      </c>
      <c r="J1883" s="1">
        <v>46131</v>
      </c>
      <c r="K1883" s="18" t="s">
        <v>1243</v>
      </c>
      <c r="L1883" s="18" t="s">
        <v>207</v>
      </c>
      <c r="M1883" s="18" t="s">
        <v>19</v>
      </c>
      <c r="N1883" s="18" t="s">
        <v>1246</v>
      </c>
      <c r="O1883">
        <v>30</v>
      </c>
    </row>
    <row r="1884" spans="1:15" x14ac:dyDescent="0.25">
      <c r="A1884" s="18" t="s">
        <v>7276</v>
      </c>
      <c r="B1884" s="18" t="s">
        <v>1244</v>
      </c>
      <c r="C1884" s="18" t="s">
        <v>1245</v>
      </c>
      <c r="D1884" s="18" t="s">
        <v>1242</v>
      </c>
      <c r="E1884" s="18" t="s">
        <v>7147</v>
      </c>
      <c r="F1884" s="2">
        <f>+J1884-I1884</f>
        <v>30</v>
      </c>
      <c r="G1884" s="2">
        <f ca="1">+TODAY()-I1884</f>
        <v>12</v>
      </c>
      <c r="H1884" s="15">
        <v>141648</v>
      </c>
      <c r="I1884" s="1">
        <v>46108</v>
      </c>
      <c r="J1884" s="1">
        <v>46138</v>
      </c>
      <c r="K1884" s="18" t="s">
        <v>1243</v>
      </c>
      <c r="L1884" s="18" t="s">
        <v>207</v>
      </c>
      <c r="M1884" s="18" t="s">
        <v>19</v>
      </c>
      <c r="N1884" s="18" t="s">
        <v>1246</v>
      </c>
      <c r="O1884">
        <v>30</v>
      </c>
    </row>
    <row r="1885" spans="1:15" x14ac:dyDescent="0.25">
      <c r="A1885" s="18" t="s">
        <v>7276</v>
      </c>
      <c r="B1885" s="18" t="s">
        <v>1244</v>
      </c>
      <c r="C1885" s="18" t="s">
        <v>1245</v>
      </c>
      <c r="D1885" s="18" t="s">
        <v>1242</v>
      </c>
      <c r="E1885" s="18" t="s">
        <v>7148</v>
      </c>
      <c r="F1885" s="2">
        <f>+J1885-I1885</f>
        <v>30</v>
      </c>
      <c r="G1885" s="2">
        <f ca="1">+TODAY()-I1885</f>
        <v>12</v>
      </c>
      <c r="H1885" s="15">
        <v>1142497</v>
      </c>
      <c r="I1885" s="1">
        <v>46108</v>
      </c>
      <c r="J1885" s="1">
        <v>46138</v>
      </c>
      <c r="K1885" s="18" t="s">
        <v>1243</v>
      </c>
      <c r="L1885" s="18" t="s">
        <v>207</v>
      </c>
      <c r="M1885" s="18" t="s">
        <v>19</v>
      </c>
      <c r="N1885" s="18" t="s">
        <v>1246</v>
      </c>
      <c r="O1885">
        <v>30</v>
      </c>
    </row>
    <row r="1886" spans="1:15" x14ac:dyDescent="0.25">
      <c r="A1886" s="18" t="s">
        <v>7276</v>
      </c>
      <c r="B1886" s="18" t="s">
        <v>1314</v>
      </c>
      <c r="C1886" s="18" t="s">
        <v>1315</v>
      </c>
      <c r="D1886" s="18" t="s">
        <v>1299</v>
      </c>
      <c r="E1886" s="18" t="s">
        <v>6546</v>
      </c>
      <c r="F1886" s="2">
        <f>+J1886-I1886</f>
        <v>30</v>
      </c>
      <c r="G1886" s="2">
        <f ca="1">+TODAY()-I1886</f>
        <v>15</v>
      </c>
      <c r="H1886" s="15">
        <v>637855</v>
      </c>
      <c r="I1886" s="1">
        <v>46105</v>
      </c>
      <c r="J1886" s="1">
        <v>46135</v>
      </c>
      <c r="K1886" s="18" t="s">
        <v>1300</v>
      </c>
      <c r="L1886" s="18" t="s">
        <v>90</v>
      </c>
      <c r="M1886" s="18" t="s">
        <v>19</v>
      </c>
      <c r="N1886" s="18" t="s">
        <v>1316</v>
      </c>
      <c r="O1886">
        <v>30</v>
      </c>
    </row>
    <row r="1887" spans="1:15" x14ac:dyDescent="0.25">
      <c r="A1887" s="18" t="s">
        <v>7276</v>
      </c>
      <c r="B1887" s="18" t="s">
        <v>1314</v>
      </c>
      <c r="C1887" s="18" t="s">
        <v>1315</v>
      </c>
      <c r="D1887" s="18" t="s">
        <v>1299</v>
      </c>
      <c r="E1887" s="18" t="s">
        <v>6549</v>
      </c>
      <c r="F1887" s="2">
        <f>+J1887-I1887</f>
        <v>30</v>
      </c>
      <c r="G1887" s="2">
        <f ca="1">+TODAY()-I1887</f>
        <v>14</v>
      </c>
      <c r="H1887" s="15">
        <v>833003</v>
      </c>
      <c r="I1887" s="1">
        <v>46106</v>
      </c>
      <c r="J1887" s="1">
        <v>46136</v>
      </c>
      <c r="K1887" s="18" t="s">
        <v>1300</v>
      </c>
      <c r="L1887" s="18" t="s">
        <v>90</v>
      </c>
      <c r="M1887" s="18" t="s">
        <v>19</v>
      </c>
      <c r="N1887" s="18" t="s">
        <v>1316</v>
      </c>
      <c r="O1887">
        <v>30</v>
      </c>
    </row>
    <row r="1888" spans="1:15" x14ac:dyDescent="0.25">
      <c r="A1888" s="18" t="s">
        <v>7276</v>
      </c>
      <c r="B1888" s="18" t="s">
        <v>1314</v>
      </c>
      <c r="C1888" s="18" t="s">
        <v>1315</v>
      </c>
      <c r="D1888" s="18" t="s">
        <v>1299</v>
      </c>
      <c r="E1888" s="18" t="s">
        <v>7810</v>
      </c>
      <c r="F1888" s="2">
        <f>+J1888-I1888</f>
        <v>30</v>
      </c>
      <c r="G1888" s="2">
        <f ca="1">+TODAY()-I1888</f>
        <v>1</v>
      </c>
      <c r="H1888" s="15">
        <v>673064</v>
      </c>
      <c r="I1888" s="1">
        <v>46119</v>
      </c>
      <c r="J1888" s="1">
        <v>46149</v>
      </c>
      <c r="K1888" s="18" t="s">
        <v>1300</v>
      </c>
      <c r="L1888" s="18" t="s">
        <v>90</v>
      </c>
      <c r="M1888" s="18" t="s">
        <v>19</v>
      </c>
      <c r="N1888" s="18" t="s">
        <v>1316</v>
      </c>
      <c r="O1888">
        <v>30</v>
      </c>
    </row>
    <row r="1889" spans="1:15" x14ac:dyDescent="0.25">
      <c r="A1889" s="18" t="s">
        <v>7276</v>
      </c>
      <c r="B1889" s="18" t="s">
        <v>4982</v>
      </c>
      <c r="C1889" s="18" t="s">
        <v>4983</v>
      </c>
      <c r="D1889" s="18" t="s">
        <v>1593</v>
      </c>
      <c r="E1889" s="18" t="s">
        <v>5159</v>
      </c>
      <c r="F1889" s="2">
        <f>+J1889-I1889</f>
        <v>30</v>
      </c>
      <c r="G1889" s="2">
        <f ca="1">+TODAY()-I1889</f>
        <v>53</v>
      </c>
      <c r="H1889" s="15">
        <v>280600</v>
      </c>
      <c r="I1889" s="1">
        <v>46067</v>
      </c>
      <c r="J1889" s="1">
        <v>46097</v>
      </c>
      <c r="K1889" s="18" t="s">
        <v>1589</v>
      </c>
      <c r="L1889" s="18" t="s">
        <v>984</v>
      </c>
      <c r="M1889" s="18" t="s">
        <v>19</v>
      </c>
      <c r="N1889" s="18" t="s">
        <v>4984</v>
      </c>
      <c r="O1889">
        <v>30</v>
      </c>
    </row>
    <row r="1890" spans="1:15" x14ac:dyDescent="0.25">
      <c r="A1890" s="18" t="s">
        <v>7276</v>
      </c>
      <c r="B1890" s="18" t="s">
        <v>4982</v>
      </c>
      <c r="C1890" s="18" t="s">
        <v>4983</v>
      </c>
      <c r="D1890" s="18" t="s">
        <v>1593</v>
      </c>
      <c r="E1890" s="18" t="s">
        <v>5340</v>
      </c>
      <c r="F1890" s="2">
        <f>+J1890-I1890</f>
        <v>30</v>
      </c>
      <c r="G1890" s="2">
        <f ca="1">+TODAY()-I1890</f>
        <v>41</v>
      </c>
      <c r="H1890" s="15">
        <v>1513965</v>
      </c>
      <c r="I1890" s="1">
        <v>46079</v>
      </c>
      <c r="J1890" s="1">
        <v>46109</v>
      </c>
      <c r="K1890" s="18" t="s">
        <v>1589</v>
      </c>
      <c r="L1890" s="18" t="s">
        <v>984</v>
      </c>
      <c r="M1890" s="18" t="s">
        <v>19</v>
      </c>
      <c r="N1890" s="18" t="s">
        <v>4984</v>
      </c>
      <c r="O1890">
        <v>30</v>
      </c>
    </row>
    <row r="1891" spans="1:15" x14ac:dyDescent="0.25">
      <c r="A1891" s="18" t="s">
        <v>7276</v>
      </c>
      <c r="B1891" s="18" t="s">
        <v>4982</v>
      </c>
      <c r="C1891" s="18" t="s">
        <v>4983</v>
      </c>
      <c r="D1891" s="18" t="s">
        <v>1593</v>
      </c>
      <c r="E1891" s="18" t="s">
        <v>5341</v>
      </c>
      <c r="F1891" s="2">
        <f>+J1891-I1891</f>
        <v>30</v>
      </c>
      <c r="G1891" s="2">
        <f ca="1">+TODAY()-I1891</f>
        <v>41</v>
      </c>
      <c r="H1891" s="15">
        <v>142000</v>
      </c>
      <c r="I1891" s="1">
        <v>46079</v>
      </c>
      <c r="J1891" s="1">
        <v>46109</v>
      </c>
      <c r="K1891" s="18" t="s">
        <v>1589</v>
      </c>
      <c r="L1891" s="18" t="s">
        <v>984</v>
      </c>
      <c r="M1891" s="18" t="s">
        <v>19</v>
      </c>
      <c r="N1891" s="18" t="s">
        <v>4984</v>
      </c>
      <c r="O1891">
        <v>30</v>
      </c>
    </row>
    <row r="1892" spans="1:15" x14ac:dyDescent="0.25">
      <c r="A1892" s="18" t="s">
        <v>7276</v>
      </c>
      <c r="B1892" s="18" t="s">
        <v>4982</v>
      </c>
      <c r="C1892" s="18" t="s">
        <v>4983</v>
      </c>
      <c r="D1892" s="18" t="s">
        <v>1593</v>
      </c>
      <c r="E1892" s="18" t="s">
        <v>5813</v>
      </c>
      <c r="F1892" s="2">
        <f>+J1892-I1892</f>
        <v>30</v>
      </c>
      <c r="G1892" s="2">
        <f ca="1">+TODAY()-I1892</f>
        <v>30</v>
      </c>
      <c r="H1892" s="15">
        <v>2</v>
      </c>
      <c r="I1892" s="1">
        <v>46090</v>
      </c>
      <c r="J1892" s="1">
        <v>46120</v>
      </c>
      <c r="K1892" s="18" t="s">
        <v>1589</v>
      </c>
      <c r="L1892" s="18" t="s">
        <v>984</v>
      </c>
      <c r="M1892" s="18" t="s">
        <v>19</v>
      </c>
      <c r="N1892" s="18" t="s">
        <v>4984</v>
      </c>
      <c r="O1892">
        <v>30</v>
      </c>
    </row>
    <row r="1893" spans="1:15" x14ac:dyDescent="0.25">
      <c r="A1893" s="18" t="s">
        <v>7276</v>
      </c>
      <c r="B1893" s="18" t="s">
        <v>4982</v>
      </c>
      <c r="C1893" s="18" t="s">
        <v>4983</v>
      </c>
      <c r="D1893" s="18" t="s">
        <v>1593</v>
      </c>
      <c r="E1893" s="18" t="s">
        <v>5814</v>
      </c>
      <c r="F1893" s="2">
        <f>+J1893-I1893</f>
        <v>30</v>
      </c>
      <c r="G1893" s="2">
        <f ca="1">+TODAY()-I1893</f>
        <v>30</v>
      </c>
      <c r="H1893" s="15">
        <v>4240800</v>
      </c>
      <c r="I1893" s="1">
        <v>46090</v>
      </c>
      <c r="J1893" s="1">
        <v>46120</v>
      </c>
      <c r="K1893" s="18" t="s">
        <v>1589</v>
      </c>
      <c r="L1893" s="18" t="s">
        <v>984</v>
      </c>
      <c r="M1893" s="18" t="s">
        <v>19</v>
      </c>
      <c r="N1893" s="18" t="s">
        <v>4984</v>
      </c>
      <c r="O1893">
        <v>30</v>
      </c>
    </row>
    <row r="1894" spans="1:15" x14ac:dyDescent="0.25">
      <c r="A1894" s="18" t="s">
        <v>7276</v>
      </c>
      <c r="B1894" s="18" t="s">
        <v>4982</v>
      </c>
      <c r="C1894" s="18" t="s">
        <v>4983</v>
      </c>
      <c r="D1894" s="18" t="s">
        <v>1593</v>
      </c>
      <c r="E1894" s="18" t="s">
        <v>5815</v>
      </c>
      <c r="F1894" s="2">
        <f>+J1894-I1894</f>
        <v>30</v>
      </c>
      <c r="G1894" s="2">
        <f ca="1">+TODAY()-I1894</f>
        <v>30</v>
      </c>
      <c r="H1894" s="15">
        <v>810146</v>
      </c>
      <c r="I1894" s="1">
        <v>46090</v>
      </c>
      <c r="J1894" s="1">
        <v>46120</v>
      </c>
      <c r="K1894" s="18" t="s">
        <v>1589</v>
      </c>
      <c r="L1894" s="18" t="s">
        <v>984</v>
      </c>
      <c r="M1894" s="18" t="s">
        <v>19</v>
      </c>
      <c r="N1894" s="18" t="s">
        <v>4984</v>
      </c>
      <c r="O1894">
        <v>30</v>
      </c>
    </row>
    <row r="1895" spans="1:15" x14ac:dyDescent="0.25">
      <c r="A1895" s="18" t="s">
        <v>7276</v>
      </c>
      <c r="B1895" s="18" t="s">
        <v>4982</v>
      </c>
      <c r="C1895" s="18" t="s">
        <v>4983</v>
      </c>
      <c r="D1895" s="18" t="s">
        <v>1593</v>
      </c>
      <c r="E1895" s="18" t="s">
        <v>5816</v>
      </c>
      <c r="F1895" s="2">
        <f>+J1895-I1895</f>
        <v>30</v>
      </c>
      <c r="G1895" s="2">
        <f ca="1">+TODAY()-I1895</f>
        <v>30</v>
      </c>
      <c r="H1895" s="15">
        <v>349851</v>
      </c>
      <c r="I1895" s="1">
        <v>46090</v>
      </c>
      <c r="J1895" s="1">
        <v>46120</v>
      </c>
      <c r="K1895" s="18" t="s">
        <v>1589</v>
      </c>
      <c r="L1895" s="18" t="s">
        <v>984</v>
      </c>
      <c r="M1895" s="18" t="s">
        <v>19</v>
      </c>
      <c r="N1895" s="18" t="s">
        <v>4984</v>
      </c>
      <c r="O1895">
        <v>30</v>
      </c>
    </row>
    <row r="1896" spans="1:15" x14ac:dyDescent="0.25">
      <c r="A1896" s="18" t="s">
        <v>7276</v>
      </c>
      <c r="B1896" s="18" t="s">
        <v>4982</v>
      </c>
      <c r="C1896" s="18" t="s">
        <v>4983</v>
      </c>
      <c r="D1896" s="18" t="s">
        <v>1593</v>
      </c>
      <c r="E1896" s="18" t="s">
        <v>6634</v>
      </c>
      <c r="F1896" s="2">
        <f>+J1896-I1896</f>
        <v>30</v>
      </c>
      <c r="G1896" s="2">
        <f ca="1">+TODAY()-I1896</f>
        <v>15</v>
      </c>
      <c r="H1896" s="15">
        <v>2</v>
      </c>
      <c r="I1896" s="1">
        <v>46105</v>
      </c>
      <c r="J1896" s="1">
        <v>46135</v>
      </c>
      <c r="K1896" s="18" t="s">
        <v>1589</v>
      </c>
      <c r="L1896" s="18" t="s">
        <v>984</v>
      </c>
      <c r="M1896" s="18" t="s">
        <v>19</v>
      </c>
      <c r="N1896" s="18" t="s">
        <v>4984</v>
      </c>
      <c r="O1896">
        <v>30</v>
      </c>
    </row>
    <row r="1897" spans="1:15" x14ac:dyDescent="0.25">
      <c r="A1897" s="18" t="s">
        <v>7276</v>
      </c>
      <c r="B1897" s="18" t="s">
        <v>4982</v>
      </c>
      <c r="C1897" s="18" t="s">
        <v>4983</v>
      </c>
      <c r="D1897" s="18" t="s">
        <v>1593</v>
      </c>
      <c r="E1897" s="18" t="s">
        <v>6635</v>
      </c>
      <c r="F1897" s="2">
        <f>+J1897-I1897</f>
        <v>30</v>
      </c>
      <c r="G1897" s="2">
        <f ca="1">+TODAY()-I1897</f>
        <v>15</v>
      </c>
      <c r="H1897" s="15">
        <v>4240000</v>
      </c>
      <c r="I1897" s="1">
        <v>46105</v>
      </c>
      <c r="J1897" s="1">
        <v>46135</v>
      </c>
      <c r="K1897" s="18" t="s">
        <v>1589</v>
      </c>
      <c r="L1897" s="18" t="s">
        <v>984</v>
      </c>
      <c r="M1897" s="18" t="s">
        <v>19</v>
      </c>
      <c r="N1897" s="18" t="s">
        <v>4984</v>
      </c>
      <c r="O1897">
        <v>30</v>
      </c>
    </row>
    <row r="1898" spans="1:15" x14ac:dyDescent="0.25">
      <c r="A1898" s="18" t="s">
        <v>7276</v>
      </c>
      <c r="B1898" s="18" t="s">
        <v>4982</v>
      </c>
      <c r="C1898" s="18" t="s">
        <v>4983</v>
      </c>
      <c r="D1898" s="18" t="s">
        <v>1593</v>
      </c>
      <c r="E1898" s="18" t="s">
        <v>6691</v>
      </c>
      <c r="F1898" s="2">
        <f>+J1898-I1898</f>
        <v>30</v>
      </c>
      <c r="G1898" s="2">
        <f ca="1">+TODAY()-I1898</f>
        <v>13</v>
      </c>
      <c r="H1898" s="15">
        <v>967815</v>
      </c>
      <c r="I1898" s="1">
        <v>46107</v>
      </c>
      <c r="J1898" s="1">
        <v>46137</v>
      </c>
      <c r="K1898" s="18" t="s">
        <v>1589</v>
      </c>
      <c r="L1898" s="18" t="s">
        <v>984</v>
      </c>
      <c r="M1898" s="18" t="s">
        <v>19</v>
      </c>
      <c r="N1898" s="18" t="s">
        <v>4984</v>
      </c>
      <c r="O1898">
        <v>30</v>
      </c>
    </row>
    <row r="1899" spans="1:15" x14ac:dyDescent="0.25">
      <c r="A1899" s="18" t="s">
        <v>7276</v>
      </c>
      <c r="B1899" s="18" t="s">
        <v>4982</v>
      </c>
      <c r="C1899" s="18" t="s">
        <v>4983</v>
      </c>
      <c r="D1899" s="18" t="s">
        <v>1593</v>
      </c>
      <c r="E1899" s="18" t="s">
        <v>7593</v>
      </c>
      <c r="F1899" s="2">
        <f>+J1899-I1899</f>
        <v>30</v>
      </c>
      <c r="G1899" s="2">
        <f ca="1">+TODAY()-I1899</f>
        <v>2</v>
      </c>
      <c r="H1899" s="15">
        <v>2</v>
      </c>
      <c r="I1899" s="1">
        <v>46118</v>
      </c>
      <c r="J1899" s="1">
        <v>46148</v>
      </c>
      <c r="K1899" s="18" t="s">
        <v>1589</v>
      </c>
      <c r="L1899" s="18" t="s">
        <v>984</v>
      </c>
      <c r="M1899" s="18" t="s">
        <v>19</v>
      </c>
      <c r="N1899" s="18" t="s">
        <v>4984</v>
      </c>
      <c r="O1899">
        <v>30</v>
      </c>
    </row>
    <row r="1900" spans="1:15" x14ac:dyDescent="0.25">
      <c r="A1900" s="18" t="s">
        <v>7276</v>
      </c>
      <c r="B1900" s="18" t="s">
        <v>4982</v>
      </c>
      <c r="C1900" s="18" t="s">
        <v>4983</v>
      </c>
      <c r="D1900" s="18" t="s">
        <v>1593</v>
      </c>
      <c r="E1900" s="18" t="s">
        <v>7594</v>
      </c>
      <c r="F1900" s="2">
        <f>+J1900-I1900</f>
        <v>30</v>
      </c>
      <c r="G1900" s="2">
        <f ca="1">+TODAY()-I1900</f>
        <v>2</v>
      </c>
      <c r="H1900" s="15">
        <v>5343200</v>
      </c>
      <c r="I1900" s="1">
        <v>46118</v>
      </c>
      <c r="J1900" s="1">
        <v>46148</v>
      </c>
      <c r="K1900" s="18" t="s">
        <v>1589</v>
      </c>
      <c r="L1900" s="18" t="s">
        <v>984</v>
      </c>
      <c r="M1900" s="18" t="s">
        <v>19</v>
      </c>
      <c r="N1900" s="18" t="s">
        <v>4984</v>
      </c>
      <c r="O1900">
        <v>30</v>
      </c>
    </row>
    <row r="1901" spans="1:15" x14ac:dyDescent="0.25">
      <c r="A1901" s="18" t="s">
        <v>7276</v>
      </c>
      <c r="B1901" s="18" t="s">
        <v>1460</v>
      </c>
      <c r="C1901" s="18" t="s">
        <v>1461</v>
      </c>
      <c r="D1901" s="18" t="s">
        <v>1401</v>
      </c>
      <c r="E1901" s="18" t="s">
        <v>1464</v>
      </c>
      <c r="F1901" s="2">
        <f>+J1901-I1901</f>
        <v>30</v>
      </c>
      <c r="G1901" s="2">
        <f ca="1">+TODAY()-I1901</f>
        <v>1076</v>
      </c>
      <c r="H1901" s="15">
        <v>10880205</v>
      </c>
      <c r="I1901" s="1">
        <v>45044</v>
      </c>
      <c r="J1901" s="1">
        <v>45074</v>
      </c>
      <c r="K1901" s="18" t="s">
        <v>1403</v>
      </c>
      <c r="L1901" s="18" t="s">
        <v>90</v>
      </c>
      <c r="M1901" s="18" t="s">
        <v>19</v>
      </c>
      <c r="N1901" s="18" t="s">
        <v>1463</v>
      </c>
      <c r="O1901">
        <v>30</v>
      </c>
    </row>
    <row r="1902" spans="1:15" x14ac:dyDescent="0.25">
      <c r="A1902" s="18" t="s">
        <v>7276</v>
      </c>
      <c r="B1902" s="18" t="s">
        <v>6473</v>
      </c>
      <c r="C1902" s="18" t="s">
        <v>6474</v>
      </c>
      <c r="D1902" s="18" t="s">
        <v>930</v>
      </c>
      <c r="E1902" s="18" t="s">
        <v>7485</v>
      </c>
      <c r="F1902" s="2">
        <f>+J1902-I1902</f>
        <v>1</v>
      </c>
      <c r="G1902" s="2">
        <f ca="1">+TODAY()-I1902</f>
        <v>2</v>
      </c>
      <c r="H1902" s="15">
        <v>77929</v>
      </c>
      <c r="I1902" s="1">
        <v>46118</v>
      </c>
      <c r="J1902" s="1">
        <v>46119</v>
      </c>
      <c r="K1902" s="18" t="s">
        <v>918</v>
      </c>
      <c r="L1902" s="18" t="s">
        <v>312</v>
      </c>
      <c r="M1902" s="18" t="s">
        <v>19</v>
      </c>
      <c r="N1902" s="18" t="s">
        <v>6475</v>
      </c>
      <c r="O1902">
        <v>30</v>
      </c>
    </row>
    <row r="1903" spans="1:15" x14ac:dyDescent="0.25">
      <c r="A1903" s="18" t="s">
        <v>7276</v>
      </c>
      <c r="B1903" s="18" t="s">
        <v>6473</v>
      </c>
      <c r="C1903" s="18" t="s">
        <v>6474</v>
      </c>
      <c r="D1903" s="18" t="s">
        <v>930</v>
      </c>
      <c r="E1903" s="18" t="s">
        <v>7486</v>
      </c>
      <c r="F1903" s="2">
        <f>+J1903-I1903</f>
        <v>1</v>
      </c>
      <c r="G1903" s="2">
        <f ca="1">+TODAY()-I1903</f>
        <v>2</v>
      </c>
      <c r="H1903" s="15">
        <v>29988</v>
      </c>
      <c r="I1903" s="1">
        <v>46118</v>
      </c>
      <c r="J1903" s="1">
        <v>46119</v>
      </c>
      <c r="K1903" s="18" t="s">
        <v>918</v>
      </c>
      <c r="L1903" s="18" t="s">
        <v>312</v>
      </c>
      <c r="M1903" s="18" t="s">
        <v>19</v>
      </c>
      <c r="N1903" s="18" t="s">
        <v>6475</v>
      </c>
      <c r="O1903">
        <v>30</v>
      </c>
    </row>
    <row r="1904" spans="1:15" x14ac:dyDescent="0.25">
      <c r="A1904" s="18" t="s">
        <v>7276</v>
      </c>
      <c r="B1904" s="18" t="s">
        <v>1204</v>
      </c>
      <c r="C1904" s="18" t="s">
        <v>1205</v>
      </c>
      <c r="D1904" s="18" t="s">
        <v>1201</v>
      </c>
      <c r="E1904" s="18" t="s">
        <v>6281</v>
      </c>
      <c r="F1904" s="2">
        <f>+J1904-I1904</f>
        <v>30</v>
      </c>
      <c r="G1904" s="2">
        <f ca="1">+TODAY()-I1904</f>
        <v>19</v>
      </c>
      <c r="H1904" s="15">
        <v>12710556</v>
      </c>
      <c r="I1904" s="1">
        <v>46101</v>
      </c>
      <c r="J1904" s="1">
        <v>46131</v>
      </c>
      <c r="K1904" s="18" t="s">
        <v>1202</v>
      </c>
      <c r="L1904" s="18" t="s">
        <v>207</v>
      </c>
      <c r="M1904" s="18" t="s">
        <v>19</v>
      </c>
      <c r="N1904" s="18" t="s">
        <v>1206</v>
      </c>
      <c r="O1904">
        <v>30</v>
      </c>
    </row>
    <row r="1905" spans="1:15" x14ac:dyDescent="0.25">
      <c r="A1905" s="18" t="s">
        <v>7276</v>
      </c>
      <c r="B1905" s="18" t="s">
        <v>1204</v>
      </c>
      <c r="C1905" s="18" t="s">
        <v>1205</v>
      </c>
      <c r="D1905" s="18" t="s">
        <v>1201</v>
      </c>
      <c r="E1905" s="18" t="s">
        <v>7100</v>
      </c>
      <c r="F1905" s="2">
        <f>+J1905-I1905</f>
        <v>30</v>
      </c>
      <c r="G1905" s="2">
        <f ca="1">+TODAY()-I1905</f>
        <v>9</v>
      </c>
      <c r="H1905" s="15">
        <v>2739512</v>
      </c>
      <c r="I1905" s="1">
        <v>46111</v>
      </c>
      <c r="J1905" s="1">
        <v>46141</v>
      </c>
      <c r="K1905" s="18" t="s">
        <v>1202</v>
      </c>
      <c r="L1905" s="18" t="s">
        <v>984</v>
      </c>
      <c r="M1905" s="18" t="s">
        <v>19</v>
      </c>
      <c r="N1905" s="18" t="s">
        <v>1206</v>
      </c>
      <c r="O1905">
        <v>30</v>
      </c>
    </row>
    <row r="1906" spans="1:15" x14ac:dyDescent="0.25">
      <c r="A1906" s="18" t="s">
        <v>7276</v>
      </c>
      <c r="B1906" s="18" t="s">
        <v>1204</v>
      </c>
      <c r="C1906" s="18" t="s">
        <v>1205</v>
      </c>
      <c r="D1906" s="18" t="s">
        <v>1201</v>
      </c>
      <c r="E1906" s="18" t="s">
        <v>7102</v>
      </c>
      <c r="F1906" s="2">
        <f>+J1906-I1906</f>
        <v>30</v>
      </c>
      <c r="G1906" s="2">
        <f ca="1">+TODAY()-I1906</f>
        <v>9</v>
      </c>
      <c r="H1906" s="15">
        <v>4513256</v>
      </c>
      <c r="I1906" s="1">
        <v>46111</v>
      </c>
      <c r="J1906" s="1">
        <v>46141</v>
      </c>
      <c r="K1906" s="18" t="s">
        <v>1202</v>
      </c>
      <c r="L1906" s="18" t="s">
        <v>207</v>
      </c>
      <c r="M1906" s="18" t="s">
        <v>19</v>
      </c>
      <c r="N1906" s="18" t="s">
        <v>1206</v>
      </c>
      <c r="O1906">
        <v>30</v>
      </c>
    </row>
    <row r="1907" spans="1:15" x14ac:dyDescent="0.25">
      <c r="A1907" s="18" t="s">
        <v>7276</v>
      </c>
      <c r="B1907" s="18" t="s">
        <v>1204</v>
      </c>
      <c r="C1907" s="18" t="s">
        <v>1205</v>
      </c>
      <c r="D1907" s="18" t="s">
        <v>1201</v>
      </c>
      <c r="E1907" s="18" t="s">
        <v>5028</v>
      </c>
      <c r="F1907" s="2">
        <f>+J1907-I1907</f>
        <v>30</v>
      </c>
      <c r="G1907" s="2">
        <f ca="1">+TODAY()-I1907</f>
        <v>56</v>
      </c>
      <c r="H1907" s="15">
        <v>81849</v>
      </c>
      <c r="I1907" s="1">
        <v>46064</v>
      </c>
      <c r="J1907" s="1">
        <v>46094</v>
      </c>
      <c r="K1907" s="18" t="s">
        <v>1202</v>
      </c>
      <c r="L1907" s="18" t="s">
        <v>207</v>
      </c>
      <c r="M1907" s="18" t="s">
        <v>19</v>
      </c>
      <c r="N1907" s="18" t="s">
        <v>1206</v>
      </c>
      <c r="O1907">
        <v>30</v>
      </c>
    </row>
    <row r="1908" spans="1:15" x14ac:dyDescent="0.25">
      <c r="A1908" s="18" t="s">
        <v>7276</v>
      </c>
      <c r="B1908" s="18" t="s">
        <v>1834</v>
      </c>
      <c r="C1908" s="18" t="s">
        <v>1835</v>
      </c>
      <c r="D1908" s="18" t="s">
        <v>1836</v>
      </c>
      <c r="E1908" s="18" t="s">
        <v>1837</v>
      </c>
      <c r="F1908" s="2">
        <f>+J1908-I1908</f>
        <v>30</v>
      </c>
      <c r="G1908" s="2">
        <f ca="1">+TODAY()-I1908</f>
        <v>778</v>
      </c>
      <c r="H1908" s="15">
        <v>2861088</v>
      </c>
      <c r="I1908" s="1">
        <v>45342</v>
      </c>
      <c r="J1908" s="1">
        <v>45372</v>
      </c>
      <c r="K1908" s="18" t="s">
        <v>1838</v>
      </c>
      <c r="L1908" s="18" t="s">
        <v>18</v>
      </c>
      <c r="M1908" s="18" t="s">
        <v>19</v>
      </c>
      <c r="N1908" s="18" t="s">
        <v>1839</v>
      </c>
      <c r="O1908">
        <v>30</v>
      </c>
    </row>
    <row r="1909" spans="1:15" x14ac:dyDescent="0.25">
      <c r="A1909" s="18" t="s">
        <v>7276</v>
      </c>
      <c r="B1909" s="18" t="s">
        <v>4909</v>
      </c>
      <c r="C1909" s="18" t="s">
        <v>4910</v>
      </c>
      <c r="D1909" s="18" t="s">
        <v>916</v>
      </c>
      <c r="E1909" s="18" t="s">
        <v>7725</v>
      </c>
      <c r="F1909" s="2">
        <f>+J1909-I1909</f>
        <v>1</v>
      </c>
      <c r="G1909" s="2">
        <f ca="1">+TODAY()-I1909</f>
        <v>1</v>
      </c>
      <c r="H1909" s="15">
        <v>97858</v>
      </c>
      <c r="I1909" s="1">
        <v>46119</v>
      </c>
      <c r="J1909" s="1">
        <v>46120</v>
      </c>
      <c r="K1909" s="18" t="s">
        <v>918</v>
      </c>
      <c r="L1909" s="18" t="s">
        <v>312</v>
      </c>
      <c r="M1909" s="18" t="s">
        <v>19</v>
      </c>
      <c r="N1909" s="18" t="s">
        <v>4912</v>
      </c>
      <c r="O1909">
        <v>1</v>
      </c>
    </row>
    <row r="1910" spans="1:15" x14ac:dyDescent="0.25">
      <c r="A1910" s="18" t="s">
        <v>7276</v>
      </c>
      <c r="B1910" s="18" t="s">
        <v>4909</v>
      </c>
      <c r="C1910" s="18" t="s">
        <v>4910</v>
      </c>
      <c r="D1910" s="18" t="s">
        <v>916</v>
      </c>
      <c r="E1910" s="18" t="s">
        <v>7777</v>
      </c>
      <c r="F1910" s="2">
        <f>+J1910-I1910</f>
        <v>1</v>
      </c>
      <c r="G1910" s="2">
        <f ca="1">+TODAY()-I1910</f>
        <v>1</v>
      </c>
      <c r="H1910" s="15">
        <v>67152</v>
      </c>
      <c r="I1910" s="1">
        <v>46119</v>
      </c>
      <c r="J1910" s="1">
        <v>46120</v>
      </c>
      <c r="K1910" s="18" t="s">
        <v>918</v>
      </c>
      <c r="L1910" s="18" t="s">
        <v>312</v>
      </c>
      <c r="M1910" s="18" t="s">
        <v>19</v>
      </c>
      <c r="N1910" s="18" t="s">
        <v>4912</v>
      </c>
      <c r="O1910">
        <v>1</v>
      </c>
    </row>
    <row r="1911" spans="1:15" x14ac:dyDescent="0.25">
      <c r="A1911" s="18" t="s">
        <v>7276</v>
      </c>
      <c r="B1911" s="18" t="s">
        <v>1865</v>
      </c>
      <c r="C1911" s="18" t="s">
        <v>1866</v>
      </c>
      <c r="D1911" s="18" t="s">
        <v>1867</v>
      </c>
      <c r="E1911" s="18" t="s">
        <v>1868</v>
      </c>
      <c r="F1911" s="2">
        <f>+J1911-I1911</f>
        <v>30</v>
      </c>
      <c r="G1911" s="2">
        <f ca="1">+TODAY()-I1911</f>
        <v>386</v>
      </c>
      <c r="H1911" s="15">
        <v>2594846</v>
      </c>
      <c r="I1911" s="1">
        <v>45734</v>
      </c>
      <c r="J1911" s="1">
        <v>45764</v>
      </c>
      <c r="K1911" s="18" t="s">
        <v>1863</v>
      </c>
      <c r="L1911" s="18" t="s">
        <v>984</v>
      </c>
      <c r="M1911" s="18" t="s">
        <v>19</v>
      </c>
      <c r="N1911" s="18" t="s">
        <v>1869</v>
      </c>
      <c r="O1911">
        <v>30</v>
      </c>
    </row>
    <row r="1912" spans="1:15" x14ac:dyDescent="0.25">
      <c r="A1912" s="18" t="s">
        <v>7276</v>
      </c>
      <c r="B1912" s="18" t="s">
        <v>1865</v>
      </c>
      <c r="C1912" s="18" t="s">
        <v>1866</v>
      </c>
      <c r="D1912" s="18" t="s">
        <v>1867</v>
      </c>
      <c r="E1912" s="18" t="s">
        <v>1870</v>
      </c>
      <c r="F1912" s="2">
        <f>+J1912-I1912</f>
        <v>30</v>
      </c>
      <c r="G1912" s="2">
        <f ca="1">+TODAY()-I1912</f>
        <v>373</v>
      </c>
      <c r="H1912" s="15">
        <v>2977280</v>
      </c>
      <c r="I1912" s="1">
        <v>45747</v>
      </c>
      <c r="J1912" s="1">
        <v>45777</v>
      </c>
      <c r="K1912" s="18" t="s">
        <v>1863</v>
      </c>
      <c r="L1912" s="18" t="s">
        <v>984</v>
      </c>
      <c r="M1912" s="18" t="s">
        <v>19</v>
      </c>
      <c r="N1912" s="18" t="s">
        <v>1869</v>
      </c>
      <c r="O1912">
        <v>30</v>
      </c>
    </row>
    <row r="1913" spans="1:15" x14ac:dyDescent="0.25">
      <c r="A1913" s="18" t="s">
        <v>7276</v>
      </c>
      <c r="B1913" s="18" t="s">
        <v>1865</v>
      </c>
      <c r="C1913" s="18" t="s">
        <v>1866</v>
      </c>
      <c r="D1913" s="18" t="s">
        <v>1867</v>
      </c>
      <c r="E1913" s="18" t="s">
        <v>1871</v>
      </c>
      <c r="F1913" s="2">
        <f>+J1913-I1913</f>
        <v>30</v>
      </c>
      <c r="G1913" s="2">
        <f ca="1">+TODAY()-I1913</f>
        <v>358</v>
      </c>
      <c r="H1913" s="15">
        <v>2559729</v>
      </c>
      <c r="I1913" s="1">
        <v>45762</v>
      </c>
      <c r="J1913" s="1">
        <v>45792</v>
      </c>
      <c r="K1913" s="18" t="s">
        <v>1863</v>
      </c>
      <c r="L1913" s="18" t="s">
        <v>984</v>
      </c>
      <c r="M1913" s="18" t="s">
        <v>19</v>
      </c>
      <c r="N1913" s="18" t="s">
        <v>1869</v>
      </c>
      <c r="O1913">
        <v>30</v>
      </c>
    </row>
    <row r="1914" spans="1:15" x14ac:dyDescent="0.25">
      <c r="A1914" s="18" t="s">
        <v>7276</v>
      </c>
      <c r="B1914" s="18" t="s">
        <v>3485</v>
      </c>
      <c r="C1914" s="18" t="s">
        <v>3486</v>
      </c>
      <c r="D1914" s="18" t="s">
        <v>336</v>
      </c>
      <c r="E1914" s="18" t="s">
        <v>3488</v>
      </c>
      <c r="F1914" s="2">
        <f>+J1914-I1914</f>
        <v>1</v>
      </c>
      <c r="G1914" s="2">
        <f ca="1">+TODAY()-I1914</f>
        <v>82</v>
      </c>
      <c r="H1914" s="15">
        <v>38100</v>
      </c>
      <c r="I1914" s="1">
        <v>46038</v>
      </c>
      <c r="J1914" s="1">
        <v>46039</v>
      </c>
      <c r="K1914" s="18" t="s">
        <v>638</v>
      </c>
      <c r="L1914" s="18" t="s">
        <v>317</v>
      </c>
      <c r="M1914" s="18" t="s">
        <v>19</v>
      </c>
      <c r="N1914" s="18" t="s">
        <v>3487</v>
      </c>
      <c r="O1914">
        <v>1</v>
      </c>
    </row>
    <row r="1915" spans="1:15" x14ac:dyDescent="0.25">
      <c r="A1915" s="18" t="s">
        <v>7276</v>
      </c>
      <c r="B1915" s="18" t="s">
        <v>2750</v>
      </c>
      <c r="C1915" s="18" t="s">
        <v>2751</v>
      </c>
      <c r="D1915" s="18" t="s">
        <v>1066</v>
      </c>
      <c r="E1915" s="18" t="s">
        <v>7044</v>
      </c>
      <c r="F1915" s="2">
        <f>+J1915-I1915</f>
        <v>8</v>
      </c>
      <c r="G1915" s="2">
        <f ca="1">+TODAY()-I1915</f>
        <v>12</v>
      </c>
      <c r="H1915" s="15">
        <v>430438</v>
      </c>
      <c r="I1915" s="1">
        <v>46108</v>
      </c>
      <c r="J1915" s="1">
        <v>46116</v>
      </c>
      <c r="K1915" s="18" t="s">
        <v>1068</v>
      </c>
      <c r="L1915" s="18" t="s">
        <v>312</v>
      </c>
      <c r="M1915" s="18" t="s">
        <v>19</v>
      </c>
      <c r="N1915" s="18" t="s">
        <v>2752</v>
      </c>
      <c r="O1915">
        <v>8</v>
      </c>
    </row>
    <row r="1916" spans="1:15" x14ac:dyDescent="0.25">
      <c r="A1916" s="18" t="s">
        <v>7276</v>
      </c>
      <c r="B1916" s="18" t="s">
        <v>660</v>
      </c>
      <c r="C1916" s="18" t="s">
        <v>661</v>
      </c>
      <c r="D1916" s="18" t="s">
        <v>336</v>
      </c>
      <c r="E1916" s="18" t="s">
        <v>6209</v>
      </c>
      <c r="F1916" s="2">
        <f>+J1916-I1916</f>
        <v>30</v>
      </c>
      <c r="G1916" s="2">
        <f ca="1">+TODAY()-I1916</f>
        <v>21</v>
      </c>
      <c r="H1916" s="15">
        <v>449014</v>
      </c>
      <c r="I1916" s="1">
        <v>46099</v>
      </c>
      <c r="J1916" s="1">
        <v>46129</v>
      </c>
      <c r="K1916" s="18" t="s">
        <v>638</v>
      </c>
      <c r="L1916" s="18" t="s">
        <v>18</v>
      </c>
      <c r="M1916" s="18" t="s">
        <v>19</v>
      </c>
      <c r="N1916" s="18" t="s">
        <v>662</v>
      </c>
      <c r="O1916">
        <v>30</v>
      </c>
    </row>
    <row r="1917" spans="1:15" x14ac:dyDescent="0.25">
      <c r="A1917" s="18" t="s">
        <v>7276</v>
      </c>
      <c r="B1917" s="18" t="s">
        <v>660</v>
      </c>
      <c r="C1917" s="18" t="s">
        <v>661</v>
      </c>
      <c r="D1917" s="18" t="s">
        <v>336</v>
      </c>
      <c r="E1917" s="18" t="s">
        <v>6210</v>
      </c>
      <c r="F1917" s="2">
        <f>+J1917-I1917</f>
        <v>30</v>
      </c>
      <c r="G1917" s="2">
        <f ca="1">+TODAY()-I1917</f>
        <v>21</v>
      </c>
      <c r="H1917" s="15">
        <v>269795</v>
      </c>
      <c r="I1917" s="1">
        <v>46099</v>
      </c>
      <c r="J1917" s="1">
        <v>46129</v>
      </c>
      <c r="K1917" s="18" t="s">
        <v>638</v>
      </c>
      <c r="L1917" s="18" t="s">
        <v>18</v>
      </c>
      <c r="M1917" s="18" t="s">
        <v>19</v>
      </c>
      <c r="N1917" s="18" t="s">
        <v>662</v>
      </c>
      <c r="O1917">
        <v>30</v>
      </c>
    </row>
    <row r="1918" spans="1:15" x14ac:dyDescent="0.25">
      <c r="A1918" s="18" t="s">
        <v>7276</v>
      </c>
      <c r="B1918" s="18" t="s">
        <v>660</v>
      </c>
      <c r="C1918" s="18" t="s">
        <v>661</v>
      </c>
      <c r="D1918" s="18" t="s">
        <v>336</v>
      </c>
      <c r="E1918" s="18" t="s">
        <v>6214</v>
      </c>
      <c r="F1918" s="2">
        <f>+J1918-I1918</f>
        <v>30</v>
      </c>
      <c r="G1918" s="2">
        <f ca="1">+TODAY()-I1918</f>
        <v>21</v>
      </c>
      <c r="H1918" s="15">
        <v>78754</v>
      </c>
      <c r="I1918" s="1">
        <v>46099</v>
      </c>
      <c r="J1918" s="1">
        <v>46129</v>
      </c>
      <c r="K1918" s="18" t="s">
        <v>638</v>
      </c>
      <c r="L1918" s="18" t="s">
        <v>18</v>
      </c>
      <c r="M1918" s="18" t="s">
        <v>19</v>
      </c>
      <c r="N1918" s="18" t="s">
        <v>662</v>
      </c>
      <c r="O1918">
        <v>30</v>
      </c>
    </row>
    <row r="1919" spans="1:15" x14ac:dyDescent="0.25">
      <c r="A1919" s="18" t="s">
        <v>7276</v>
      </c>
      <c r="B1919" s="18" t="s">
        <v>660</v>
      </c>
      <c r="C1919" s="18" t="s">
        <v>661</v>
      </c>
      <c r="D1919" s="18" t="s">
        <v>336</v>
      </c>
      <c r="E1919" s="18" t="s">
        <v>6217</v>
      </c>
      <c r="F1919" s="2">
        <f>+J1919-I1919</f>
        <v>30</v>
      </c>
      <c r="G1919" s="2">
        <f ca="1">+TODAY()-I1919</f>
        <v>19</v>
      </c>
      <c r="H1919" s="15">
        <v>848000</v>
      </c>
      <c r="I1919" s="1">
        <v>46101</v>
      </c>
      <c r="J1919" s="1">
        <v>46131</v>
      </c>
      <c r="K1919" s="18" t="s">
        <v>638</v>
      </c>
      <c r="L1919" s="18" t="s">
        <v>18</v>
      </c>
      <c r="M1919" s="18" t="s">
        <v>19</v>
      </c>
      <c r="N1919" s="18" t="s">
        <v>662</v>
      </c>
      <c r="O1919">
        <v>30</v>
      </c>
    </row>
    <row r="1920" spans="1:15" x14ac:dyDescent="0.25">
      <c r="A1920" s="18" t="s">
        <v>7276</v>
      </c>
      <c r="B1920" s="18" t="s">
        <v>660</v>
      </c>
      <c r="C1920" s="18" t="s">
        <v>661</v>
      </c>
      <c r="D1920" s="18" t="s">
        <v>336</v>
      </c>
      <c r="E1920" s="18" t="s">
        <v>6949</v>
      </c>
      <c r="F1920" s="2">
        <f>+J1920-I1920</f>
        <v>30</v>
      </c>
      <c r="G1920" s="2">
        <f ca="1">+TODAY()-I1920</f>
        <v>9</v>
      </c>
      <c r="H1920" s="15">
        <v>1028929</v>
      </c>
      <c r="I1920" s="1">
        <v>46111</v>
      </c>
      <c r="J1920" s="1">
        <v>46141</v>
      </c>
      <c r="K1920" s="18" t="s">
        <v>638</v>
      </c>
      <c r="L1920" s="18" t="s">
        <v>18</v>
      </c>
      <c r="M1920" s="18" t="s">
        <v>19</v>
      </c>
      <c r="N1920" s="18" t="s">
        <v>662</v>
      </c>
      <c r="O1920">
        <v>30</v>
      </c>
    </row>
    <row r="1921" spans="1:15" x14ac:dyDescent="0.25">
      <c r="A1921" s="18" t="s">
        <v>7276</v>
      </c>
      <c r="B1921" s="18" t="s">
        <v>660</v>
      </c>
      <c r="C1921" s="18" t="s">
        <v>661</v>
      </c>
      <c r="D1921" s="18" t="s">
        <v>336</v>
      </c>
      <c r="E1921" s="18" t="s">
        <v>6961</v>
      </c>
      <c r="F1921" s="2">
        <f>+J1921-I1921</f>
        <v>30</v>
      </c>
      <c r="G1921" s="2">
        <f ca="1">+TODAY()-I1921</f>
        <v>8</v>
      </c>
      <c r="H1921" s="15">
        <v>250804</v>
      </c>
      <c r="I1921" s="1">
        <v>46112</v>
      </c>
      <c r="J1921" s="1">
        <v>46142</v>
      </c>
      <c r="K1921" s="18" t="s">
        <v>638</v>
      </c>
      <c r="L1921" s="18" t="s">
        <v>18</v>
      </c>
      <c r="M1921" s="18" t="s">
        <v>19</v>
      </c>
      <c r="N1921" s="18" t="s">
        <v>662</v>
      </c>
      <c r="O1921">
        <v>30</v>
      </c>
    </row>
    <row r="1922" spans="1:15" x14ac:dyDescent="0.25">
      <c r="A1922" s="18" t="s">
        <v>7276</v>
      </c>
      <c r="B1922" s="18" t="s">
        <v>660</v>
      </c>
      <c r="C1922" s="18" t="s">
        <v>661</v>
      </c>
      <c r="D1922" s="18" t="s">
        <v>336</v>
      </c>
      <c r="E1922" s="18" t="s">
        <v>6965</v>
      </c>
      <c r="F1922" s="2">
        <f>+J1922-I1922</f>
        <v>1</v>
      </c>
      <c r="G1922" s="2">
        <f ca="1">+TODAY()-I1922</f>
        <v>8</v>
      </c>
      <c r="H1922" s="15">
        <v>81358</v>
      </c>
      <c r="I1922" s="1">
        <v>46112</v>
      </c>
      <c r="J1922" s="1">
        <v>46113</v>
      </c>
      <c r="K1922" s="18" t="s">
        <v>638</v>
      </c>
      <c r="L1922" s="18" t="s">
        <v>18</v>
      </c>
      <c r="M1922" s="18" t="s">
        <v>19</v>
      </c>
      <c r="N1922" s="18" t="s">
        <v>662</v>
      </c>
      <c r="O1922">
        <v>30</v>
      </c>
    </row>
    <row r="1923" spans="1:15" x14ac:dyDescent="0.25">
      <c r="A1923" s="18" t="s">
        <v>7276</v>
      </c>
      <c r="B1923" s="18" t="s">
        <v>660</v>
      </c>
      <c r="C1923" s="18" t="s">
        <v>661</v>
      </c>
      <c r="D1923" s="18" t="s">
        <v>336</v>
      </c>
      <c r="E1923" s="18" t="s">
        <v>7043</v>
      </c>
      <c r="F1923" s="2">
        <f>+J1923-I1923</f>
        <v>1</v>
      </c>
      <c r="G1923" s="2">
        <f ca="1">+TODAY()-I1923</f>
        <v>11</v>
      </c>
      <c r="H1923" s="15">
        <v>54792</v>
      </c>
      <c r="I1923" s="1">
        <v>46109</v>
      </c>
      <c r="J1923" s="1">
        <v>46110</v>
      </c>
      <c r="K1923" s="18" t="s">
        <v>989</v>
      </c>
      <c r="L1923" s="18" t="s">
        <v>317</v>
      </c>
      <c r="M1923" s="18" t="s">
        <v>19</v>
      </c>
      <c r="N1923" s="18" t="s">
        <v>662</v>
      </c>
      <c r="O1923">
        <v>30</v>
      </c>
    </row>
    <row r="1924" spans="1:15" x14ac:dyDescent="0.25">
      <c r="A1924" s="18" t="s">
        <v>7276</v>
      </c>
      <c r="B1924" s="18" t="s">
        <v>2622</v>
      </c>
      <c r="C1924" s="18" t="s">
        <v>2623</v>
      </c>
      <c r="D1924" s="18" t="s">
        <v>854</v>
      </c>
      <c r="E1924" s="18" t="s">
        <v>5961</v>
      </c>
      <c r="F1924" s="2">
        <f>+J1924-I1924</f>
        <v>30</v>
      </c>
      <c r="G1924" s="2">
        <f ca="1">+TODAY()-I1924</f>
        <v>26</v>
      </c>
      <c r="H1924" s="15">
        <v>127252</v>
      </c>
      <c r="I1924" s="1">
        <v>46094</v>
      </c>
      <c r="J1924" s="1">
        <v>46124</v>
      </c>
      <c r="K1924" s="18" t="s">
        <v>845</v>
      </c>
      <c r="L1924" s="18" t="s">
        <v>18</v>
      </c>
      <c r="M1924" s="18" t="s">
        <v>19</v>
      </c>
      <c r="N1924" s="18" t="s">
        <v>2624</v>
      </c>
      <c r="O1924">
        <v>30</v>
      </c>
    </row>
    <row r="1925" spans="1:15" x14ac:dyDescent="0.25">
      <c r="A1925" s="18" t="s">
        <v>7276</v>
      </c>
      <c r="B1925" s="18" t="s">
        <v>4687</v>
      </c>
      <c r="C1925" s="18" t="s">
        <v>4688</v>
      </c>
      <c r="D1925" s="18" t="s">
        <v>1762</v>
      </c>
      <c r="E1925" s="18" t="s">
        <v>7607</v>
      </c>
      <c r="F1925" s="2">
        <f>+J1925-I1925</f>
        <v>1</v>
      </c>
      <c r="G1925" s="2">
        <f ca="1">+TODAY()-I1925</f>
        <v>7</v>
      </c>
      <c r="H1925" s="15">
        <v>632208</v>
      </c>
      <c r="I1925" s="1">
        <v>46113</v>
      </c>
      <c r="J1925" s="1">
        <v>46114</v>
      </c>
      <c r="K1925" s="18" t="s">
        <v>1758</v>
      </c>
      <c r="L1925" s="18" t="s">
        <v>207</v>
      </c>
      <c r="M1925" s="18" t="s">
        <v>19</v>
      </c>
      <c r="N1925" s="18" t="s">
        <v>4689</v>
      </c>
      <c r="O1925">
        <v>1</v>
      </c>
    </row>
    <row r="1926" spans="1:15" x14ac:dyDescent="0.25">
      <c r="A1926" s="18" t="s">
        <v>7276</v>
      </c>
      <c r="B1926" s="18" t="s">
        <v>4687</v>
      </c>
      <c r="C1926" s="18" t="s">
        <v>4688</v>
      </c>
      <c r="D1926" s="18" t="s">
        <v>1762</v>
      </c>
      <c r="E1926" s="18" t="s">
        <v>7608</v>
      </c>
      <c r="F1926" s="2">
        <f>+J1926-I1926</f>
        <v>1</v>
      </c>
      <c r="G1926" s="2">
        <f ca="1">+TODAY()-I1926</f>
        <v>7</v>
      </c>
      <c r="H1926" s="15">
        <v>1449581</v>
      </c>
      <c r="I1926" s="1">
        <v>46113</v>
      </c>
      <c r="J1926" s="1">
        <v>46114</v>
      </c>
      <c r="K1926" s="18" t="s">
        <v>1758</v>
      </c>
      <c r="L1926" s="18" t="s">
        <v>207</v>
      </c>
      <c r="M1926" s="18" t="s">
        <v>19</v>
      </c>
      <c r="N1926" s="18" t="s">
        <v>4689</v>
      </c>
      <c r="O1926">
        <v>1</v>
      </c>
    </row>
    <row r="1927" spans="1:15" x14ac:dyDescent="0.25">
      <c r="A1927" s="18" t="s">
        <v>7276</v>
      </c>
      <c r="B1927" s="18" t="s">
        <v>1667</v>
      </c>
      <c r="C1927" s="18" t="s">
        <v>1668</v>
      </c>
      <c r="D1927" s="18" t="s">
        <v>1587</v>
      </c>
      <c r="E1927" s="18" t="s">
        <v>5339</v>
      </c>
      <c r="F1927" s="2">
        <f>+J1927-I1927</f>
        <v>30</v>
      </c>
      <c r="G1927" s="2">
        <f ca="1">+TODAY()-I1927</f>
        <v>41</v>
      </c>
      <c r="H1927" s="15">
        <v>345650</v>
      </c>
      <c r="I1927" s="1">
        <v>46079</v>
      </c>
      <c r="J1927" s="1">
        <v>46109</v>
      </c>
      <c r="K1927" s="18" t="s">
        <v>1589</v>
      </c>
      <c r="L1927" s="18" t="s">
        <v>984</v>
      </c>
      <c r="M1927" s="18" t="s">
        <v>19</v>
      </c>
      <c r="N1927" s="18" t="s">
        <v>1669</v>
      </c>
      <c r="O1927">
        <v>30</v>
      </c>
    </row>
    <row r="1928" spans="1:15" x14ac:dyDescent="0.25">
      <c r="A1928" s="18" t="s">
        <v>7276</v>
      </c>
      <c r="B1928" s="18" t="s">
        <v>1667</v>
      </c>
      <c r="C1928" s="18" t="s">
        <v>1668</v>
      </c>
      <c r="D1928" s="18" t="s">
        <v>1587</v>
      </c>
      <c r="E1928" s="18" t="s">
        <v>6657</v>
      </c>
      <c r="F1928" s="2">
        <f>+J1928-I1928</f>
        <v>30</v>
      </c>
      <c r="G1928" s="2">
        <f ca="1">+TODAY()-I1928</f>
        <v>15</v>
      </c>
      <c r="H1928" s="15">
        <v>1100600</v>
      </c>
      <c r="I1928" s="1">
        <v>46105</v>
      </c>
      <c r="J1928" s="1">
        <v>46135</v>
      </c>
      <c r="K1928" s="18" t="s">
        <v>1589</v>
      </c>
      <c r="L1928" s="18" t="s">
        <v>984</v>
      </c>
      <c r="M1928" s="18" t="s">
        <v>19</v>
      </c>
      <c r="N1928" s="18" t="s">
        <v>1669</v>
      </c>
      <c r="O1928">
        <v>30</v>
      </c>
    </row>
    <row r="1929" spans="1:15" x14ac:dyDescent="0.25">
      <c r="A1929" s="18" t="s">
        <v>7276</v>
      </c>
      <c r="B1929" s="18" t="s">
        <v>1667</v>
      </c>
      <c r="C1929" s="18" t="s">
        <v>1668</v>
      </c>
      <c r="D1929" s="18" t="s">
        <v>1587</v>
      </c>
      <c r="E1929" s="18" t="s">
        <v>6658</v>
      </c>
      <c r="F1929" s="2">
        <f>+J1929-I1929</f>
        <v>30</v>
      </c>
      <c r="G1929" s="2">
        <f ca="1">+TODAY()-I1929</f>
        <v>15</v>
      </c>
      <c r="H1929" s="15">
        <v>605070</v>
      </c>
      <c r="I1929" s="1">
        <v>46105</v>
      </c>
      <c r="J1929" s="1">
        <v>46135</v>
      </c>
      <c r="K1929" s="18" t="s">
        <v>1589</v>
      </c>
      <c r="L1929" s="18" t="s">
        <v>984</v>
      </c>
      <c r="M1929" s="18" t="s">
        <v>19</v>
      </c>
      <c r="N1929" s="18" t="s">
        <v>1669</v>
      </c>
      <c r="O1929">
        <v>30</v>
      </c>
    </row>
    <row r="1930" spans="1:15" x14ac:dyDescent="0.25">
      <c r="A1930" s="18" t="s">
        <v>7276</v>
      </c>
      <c r="B1930" s="18" t="s">
        <v>4951</v>
      </c>
      <c r="C1930" s="18" t="s">
        <v>4952</v>
      </c>
      <c r="D1930" s="18" t="s">
        <v>1066</v>
      </c>
      <c r="E1930" s="18" t="s">
        <v>7056</v>
      </c>
      <c r="F1930" s="2">
        <f>+J1930-I1930</f>
        <v>1</v>
      </c>
      <c r="G1930" s="2">
        <f ca="1">+TODAY()-I1930</f>
        <v>9</v>
      </c>
      <c r="H1930" s="15">
        <v>51400</v>
      </c>
      <c r="I1930" s="1">
        <v>46111</v>
      </c>
      <c r="J1930" s="1">
        <v>46112</v>
      </c>
      <c r="K1930" s="18" t="s">
        <v>1068</v>
      </c>
      <c r="L1930" s="18" t="s">
        <v>321</v>
      </c>
      <c r="M1930" s="18" t="s">
        <v>19</v>
      </c>
      <c r="N1930" s="18" t="s">
        <v>4954</v>
      </c>
      <c r="O1930">
        <v>1</v>
      </c>
    </row>
    <row r="1931" spans="1:15" x14ac:dyDescent="0.25">
      <c r="A1931" s="18" t="s">
        <v>7276</v>
      </c>
      <c r="B1931" s="18" t="s">
        <v>2010</v>
      </c>
      <c r="C1931" s="18" t="s">
        <v>2011</v>
      </c>
      <c r="D1931" s="18" t="s">
        <v>15</v>
      </c>
      <c r="E1931" s="18" t="s">
        <v>6390</v>
      </c>
      <c r="F1931" s="2">
        <f>+J1931-I1931</f>
        <v>30</v>
      </c>
      <c r="G1931" s="2">
        <f ca="1">+TODAY()-I1931</f>
        <v>15</v>
      </c>
      <c r="H1931" s="15">
        <v>580000</v>
      </c>
      <c r="I1931" s="1">
        <v>46105</v>
      </c>
      <c r="J1931" s="1">
        <v>46135</v>
      </c>
      <c r="K1931" s="18" t="s">
        <v>17</v>
      </c>
      <c r="L1931" s="18" t="s">
        <v>32</v>
      </c>
      <c r="M1931" s="18" t="s">
        <v>19</v>
      </c>
      <c r="N1931" s="18" t="s">
        <v>2012</v>
      </c>
      <c r="O1931">
        <v>30</v>
      </c>
    </row>
    <row r="1932" spans="1:15" x14ac:dyDescent="0.25">
      <c r="A1932" s="18" t="s">
        <v>7276</v>
      </c>
      <c r="B1932" s="18" t="s">
        <v>2010</v>
      </c>
      <c r="C1932" s="18" t="s">
        <v>2011</v>
      </c>
      <c r="D1932" s="18" t="s">
        <v>15</v>
      </c>
      <c r="E1932" s="18" t="s">
        <v>6720</v>
      </c>
      <c r="F1932" s="2">
        <f>+J1932-I1932</f>
        <v>10</v>
      </c>
      <c r="G1932" s="2">
        <f ca="1">+TODAY()-I1932</f>
        <v>11</v>
      </c>
      <c r="H1932" s="15">
        <v>2425600</v>
      </c>
      <c r="I1932" s="1">
        <v>46109</v>
      </c>
      <c r="J1932" s="1">
        <v>46119</v>
      </c>
      <c r="K1932" s="18" t="s">
        <v>17</v>
      </c>
      <c r="L1932" s="18" t="s">
        <v>32</v>
      </c>
      <c r="M1932" s="18" t="s">
        <v>19</v>
      </c>
      <c r="N1932" s="18" t="s">
        <v>2012</v>
      </c>
      <c r="O1932">
        <v>30</v>
      </c>
    </row>
    <row r="1933" spans="1:15" x14ac:dyDescent="0.25">
      <c r="A1933" s="18" t="s">
        <v>7276</v>
      </c>
      <c r="B1933" s="18" t="s">
        <v>2468</v>
      </c>
      <c r="C1933" s="18" t="s">
        <v>2469</v>
      </c>
      <c r="D1933" s="18" t="s">
        <v>1323</v>
      </c>
      <c r="E1933" s="18" t="s">
        <v>5798</v>
      </c>
      <c r="F1933" s="2">
        <f>+J1933-I1933</f>
        <v>30</v>
      </c>
      <c r="G1933" s="2">
        <f ca="1">+TODAY()-I1933</f>
        <v>28</v>
      </c>
      <c r="H1933" s="15">
        <v>551694</v>
      </c>
      <c r="I1933" s="1">
        <v>46092</v>
      </c>
      <c r="J1933" s="1">
        <v>46122</v>
      </c>
      <c r="K1933" s="18" t="s">
        <v>1325</v>
      </c>
      <c r="L1933" s="18" t="s">
        <v>90</v>
      </c>
      <c r="M1933" s="18" t="s">
        <v>19</v>
      </c>
      <c r="N1933" s="18" t="s">
        <v>2471</v>
      </c>
      <c r="O1933">
        <v>30</v>
      </c>
    </row>
    <row r="1934" spans="1:15" x14ac:dyDescent="0.25">
      <c r="A1934" s="18" t="s">
        <v>7276</v>
      </c>
      <c r="B1934" s="18" t="s">
        <v>1932</v>
      </c>
      <c r="C1934" s="18" t="s">
        <v>1933</v>
      </c>
      <c r="D1934" s="18" t="s">
        <v>916</v>
      </c>
      <c r="E1934" s="18" t="s">
        <v>5240</v>
      </c>
      <c r="F1934" s="2">
        <f>+J1934-I1934</f>
        <v>30</v>
      </c>
      <c r="G1934" s="2">
        <f ca="1">+TODAY()-I1934</f>
        <v>43</v>
      </c>
      <c r="H1934" s="15">
        <v>420060</v>
      </c>
      <c r="I1934" s="1">
        <v>46077</v>
      </c>
      <c r="J1934" s="1">
        <v>46107</v>
      </c>
      <c r="K1934" s="18" t="s">
        <v>918</v>
      </c>
      <c r="L1934" s="18" t="s">
        <v>312</v>
      </c>
      <c r="M1934" s="18" t="s">
        <v>19</v>
      </c>
      <c r="N1934" s="18" t="s">
        <v>1934</v>
      </c>
      <c r="O1934">
        <v>30</v>
      </c>
    </row>
    <row r="1935" spans="1:15" x14ac:dyDescent="0.25">
      <c r="A1935" s="18" t="s">
        <v>7276</v>
      </c>
      <c r="B1935" s="18" t="s">
        <v>1932</v>
      </c>
      <c r="C1935" s="18" t="s">
        <v>1933</v>
      </c>
      <c r="D1935" s="18" t="s">
        <v>916</v>
      </c>
      <c r="E1935" s="18" t="s">
        <v>5709</v>
      </c>
      <c r="F1935" s="2">
        <f>+J1935-I1935</f>
        <v>30</v>
      </c>
      <c r="G1935" s="2">
        <f ca="1">+TODAY()-I1935</f>
        <v>29</v>
      </c>
      <c r="H1935" s="15">
        <v>686801</v>
      </c>
      <c r="I1935" s="1">
        <v>46091</v>
      </c>
      <c r="J1935" s="1">
        <v>46121</v>
      </c>
      <c r="K1935" s="18" t="s">
        <v>918</v>
      </c>
      <c r="L1935" s="18" t="s">
        <v>312</v>
      </c>
      <c r="M1935" s="18" t="s">
        <v>19</v>
      </c>
      <c r="N1935" s="18" t="s">
        <v>1934</v>
      </c>
      <c r="O1935">
        <v>30</v>
      </c>
    </row>
    <row r="1936" spans="1:15" x14ac:dyDescent="0.25">
      <c r="A1936" s="18" t="s">
        <v>7276</v>
      </c>
      <c r="B1936" s="18" t="s">
        <v>1932</v>
      </c>
      <c r="C1936" s="18" t="s">
        <v>1933</v>
      </c>
      <c r="D1936" s="18" t="s">
        <v>916</v>
      </c>
      <c r="E1936" s="18" t="s">
        <v>5710</v>
      </c>
      <c r="F1936" s="2">
        <f>+J1936-I1936</f>
        <v>15</v>
      </c>
      <c r="G1936" s="2">
        <f ca="1">+TODAY()-I1936</f>
        <v>29</v>
      </c>
      <c r="H1936" s="15">
        <v>290025</v>
      </c>
      <c r="I1936" s="1">
        <v>46091</v>
      </c>
      <c r="J1936" s="1">
        <v>46106</v>
      </c>
      <c r="K1936" s="18" t="s">
        <v>918</v>
      </c>
      <c r="L1936" s="18" t="s">
        <v>312</v>
      </c>
      <c r="M1936" s="18" t="s">
        <v>19</v>
      </c>
      <c r="N1936" s="18" t="s">
        <v>1934</v>
      </c>
      <c r="O1936">
        <v>30</v>
      </c>
    </row>
    <row r="1937" spans="1:15" x14ac:dyDescent="0.25">
      <c r="A1937" s="18" t="s">
        <v>7276</v>
      </c>
      <c r="B1937" s="18" t="s">
        <v>1932</v>
      </c>
      <c r="C1937" s="18" t="s">
        <v>1933</v>
      </c>
      <c r="D1937" s="18" t="s">
        <v>916</v>
      </c>
      <c r="E1937" s="18" t="s">
        <v>6488</v>
      </c>
      <c r="F1937" s="2">
        <f>+J1937-I1937</f>
        <v>30</v>
      </c>
      <c r="G1937" s="2">
        <f ca="1">+TODAY()-I1937</f>
        <v>15</v>
      </c>
      <c r="H1937" s="15">
        <v>634617</v>
      </c>
      <c r="I1937" s="1">
        <v>46105</v>
      </c>
      <c r="J1937" s="1">
        <v>46135</v>
      </c>
      <c r="K1937" s="18" t="s">
        <v>918</v>
      </c>
      <c r="L1937" s="18" t="s">
        <v>312</v>
      </c>
      <c r="M1937" s="18" t="s">
        <v>19</v>
      </c>
      <c r="N1937" s="18" t="s">
        <v>1934</v>
      </c>
      <c r="O1937">
        <v>30</v>
      </c>
    </row>
    <row r="1938" spans="1:15" x14ac:dyDescent="0.25">
      <c r="A1938" s="18" t="s">
        <v>7276</v>
      </c>
      <c r="B1938" s="18" t="s">
        <v>1932</v>
      </c>
      <c r="C1938" s="18" t="s">
        <v>1933</v>
      </c>
      <c r="D1938" s="18" t="s">
        <v>916</v>
      </c>
      <c r="E1938" s="18" t="s">
        <v>6489</v>
      </c>
      <c r="F1938" s="2">
        <f>+J1938-I1938</f>
        <v>15</v>
      </c>
      <c r="G1938" s="2">
        <f ca="1">+TODAY()-I1938</f>
        <v>15</v>
      </c>
      <c r="H1938" s="15">
        <v>142503</v>
      </c>
      <c r="I1938" s="1">
        <v>46105</v>
      </c>
      <c r="J1938" s="1">
        <v>46120</v>
      </c>
      <c r="K1938" s="18" t="s">
        <v>918</v>
      </c>
      <c r="L1938" s="18" t="s">
        <v>312</v>
      </c>
      <c r="M1938" s="18" t="s">
        <v>19</v>
      </c>
      <c r="N1938" s="18" t="s">
        <v>1934</v>
      </c>
      <c r="O1938">
        <v>30</v>
      </c>
    </row>
    <row r="1939" spans="1:15" x14ac:dyDescent="0.25">
      <c r="A1939" s="18" t="s">
        <v>7276</v>
      </c>
      <c r="B1939" s="18" t="s">
        <v>1932</v>
      </c>
      <c r="C1939" s="18" t="s">
        <v>1933</v>
      </c>
      <c r="D1939" s="18" t="s">
        <v>916</v>
      </c>
      <c r="E1939" s="18" t="s">
        <v>7726</v>
      </c>
      <c r="F1939" s="2">
        <f>+J1939-I1939</f>
        <v>30</v>
      </c>
      <c r="G1939" s="2">
        <f ca="1">+TODAY()-I1939</f>
        <v>1</v>
      </c>
      <c r="H1939" s="15">
        <v>919801</v>
      </c>
      <c r="I1939" s="1">
        <v>46119</v>
      </c>
      <c r="J1939" s="1">
        <v>46149</v>
      </c>
      <c r="K1939" s="18" t="s">
        <v>918</v>
      </c>
      <c r="L1939" s="18" t="s">
        <v>312</v>
      </c>
      <c r="M1939" s="18" t="s">
        <v>19</v>
      </c>
      <c r="N1939" s="18" t="s">
        <v>1934</v>
      </c>
      <c r="O1939">
        <v>30</v>
      </c>
    </row>
    <row r="1940" spans="1:15" x14ac:dyDescent="0.25">
      <c r="A1940" s="18" t="s">
        <v>7276</v>
      </c>
      <c r="B1940" s="18" t="s">
        <v>1932</v>
      </c>
      <c r="C1940" s="18" t="s">
        <v>1933</v>
      </c>
      <c r="D1940" s="18" t="s">
        <v>916</v>
      </c>
      <c r="E1940" s="18" t="s">
        <v>7727</v>
      </c>
      <c r="F1940" s="2">
        <f>+J1940-I1940</f>
        <v>15</v>
      </c>
      <c r="G1940" s="2">
        <f ca="1">+TODAY()-I1940</f>
        <v>1</v>
      </c>
      <c r="H1940" s="15">
        <v>403772</v>
      </c>
      <c r="I1940" s="1">
        <v>46119</v>
      </c>
      <c r="J1940" s="1">
        <v>46134</v>
      </c>
      <c r="K1940" s="18" t="s">
        <v>918</v>
      </c>
      <c r="L1940" s="18" t="s">
        <v>312</v>
      </c>
      <c r="M1940" s="18" t="s">
        <v>19</v>
      </c>
      <c r="N1940" s="18" t="s">
        <v>1934</v>
      </c>
      <c r="O1940">
        <v>30</v>
      </c>
    </row>
    <row r="1941" spans="1:15" x14ac:dyDescent="0.25">
      <c r="A1941" s="18" t="s">
        <v>7276</v>
      </c>
      <c r="B1941" s="18" t="s">
        <v>1395</v>
      </c>
      <c r="C1941" s="18" t="s">
        <v>1396</v>
      </c>
      <c r="D1941" s="18" t="s">
        <v>1323</v>
      </c>
      <c r="E1941" s="18" t="s">
        <v>1397</v>
      </c>
      <c r="F1941" s="2">
        <f>+J1941-I1941</f>
        <v>30</v>
      </c>
      <c r="G1941" s="2">
        <f ca="1">+TODAY()-I1941</f>
        <v>1300</v>
      </c>
      <c r="H1941" s="15">
        <v>695264</v>
      </c>
      <c r="I1941" s="1">
        <v>44820</v>
      </c>
      <c r="J1941" s="1">
        <v>44850</v>
      </c>
      <c r="K1941" s="18" t="s">
        <v>1325</v>
      </c>
      <c r="L1941" s="18" t="s">
        <v>90</v>
      </c>
      <c r="M1941" s="18" t="s">
        <v>19</v>
      </c>
      <c r="N1941" s="18" t="s">
        <v>1398</v>
      </c>
      <c r="O1941">
        <v>30</v>
      </c>
    </row>
    <row r="1942" spans="1:15" x14ac:dyDescent="0.25">
      <c r="A1942" s="18" t="s">
        <v>7276</v>
      </c>
      <c r="B1942" s="18" t="s">
        <v>2077</v>
      </c>
      <c r="C1942" s="18" t="s">
        <v>2078</v>
      </c>
      <c r="D1942" s="18" t="s">
        <v>1465</v>
      </c>
      <c r="E1942" s="18" t="s">
        <v>4632</v>
      </c>
      <c r="F1942" s="2">
        <f>+J1942-I1942</f>
        <v>30</v>
      </c>
      <c r="G1942" s="2">
        <f ca="1">+TODAY()-I1942</f>
        <v>75</v>
      </c>
      <c r="H1942" s="15">
        <v>405561</v>
      </c>
      <c r="I1942" s="1">
        <v>46045</v>
      </c>
      <c r="J1942" s="1">
        <v>46075</v>
      </c>
      <c r="K1942" s="18" t="s">
        <v>1466</v>
      </c>
      <c r="L1942" s="18" t="s">
        <v>981</v>
      </c>
      <c r="M1942" s="18" t="s">
        <v>19</v>
      </c>
      <c r="N1942" s="18" t="s">
        <v>2079</v>
      </c>
      <c r="O1942">
        <v>30</v>
      </c>
    </row>
    <row r="1943" spans="1:15" x14ac:dyDescent="0.25">
      <c r="A1943" s="18" t="s">
        <v>7276</v>
      </c>
      <c r="B1943" s="18" t="s">
        <v>2077</v>
      </c>
      <c r="C1943" s="18" t="s">
        <v>2078</v>
      </c>
      <c r="D1943" s="18" t="s">
        <v>1465</v>
      </c>
      <c r="E1943" s="18" t="s">
        <v>5134</v>
      </c>
      <c r="F1943" s="2">
        <f>+J1943-I1943</f>
        <v>30</v>
      </c>
      <c r="G1943" s="2">
        <f ca="1">+TODAY()-I1943</f>
        <v>54</v>
      </c>
      <c r="H1943" s="15">
        <v>518330</v>
      </c>
      <c r="I1943" s="1">
        <v>46066</v>
      </c>
      <c r="J1943" s="1">
        <v>46096</v>
      </c>
      <c r="K1943" s="18" t="s">
        <v>1466</v>
      </c>
      <c r="L1943" s="18" t="s">
        <v>981</v>
      </c>
      <c r="M1943" s="18" t="s">
        <v>19</v>
      </c>
      <c r="N1943" s="18" t="s">
        <v>2079</v>
      </c>
      <c r="O1943">
        <v>30</v>
      </c>
    </row>
    <row r="1944" spans="1:15" x14ac:dyDescent="0.25">
      <c r="A1944" s="18" t="s">
        <v>7276</v>
      </c>
      <c r="B1944" s="18" t="s">
        <v>1188</v>
      </c>
      <c r="C1944" s="18" t="s">
        <v>1189</v>
      </c>
      <c r="D1944" s="18" t="s">
        <v>1190</v>
      </c>
      <c r="E1944" s="18" t="s">
        <v>3857</v>
      </c>
      <c r="F1944" s="2">
        <f>+J1944-I1944</f>
        <v>30</v>
      </c>
      <c r="G1944" s="2">
        <f ca="1">+TODAY()-I1944</f>
        <v>85</v>
      </c>
      <c r="H1944" s="15">
        <v>2081724</v>
      </c>
      <c r="I1944" s="1">
        <v>46035</v>
      </c>
      <c r="J1944" s="1">
        <v>46065</v>
      </c>
      <c r="K1944" s="18" t="s">
        <v>1863</v>
      </c>
      <c r="L1944" s="18" t="s">
        <v>984</v>
      </c>
      <c r="M1944" s="18" t="s">
        <v>19</v>
      </c>
      <c r="N1944" s="18" t="s">
        <v>1191</v>
      </c>
      <c r="O1944">
        <v>30</v>
      </c>
    </row>
    <row r="1945" spans="1:15" x14ac:dyDescent="0.25">
      <c r="A1945" s="18" t="s">
        <v>7276</v>
      </c>
      <c r="B1945" s="18" t="s">
        <v>1188</v>
      </c>
      <c r="C1945" s="18" t="s">
        <v>1189</v>
      </c>
      <c r="D1945" s="18" t="s">
        <v>1190</v>
      </c>
      <c r="E1945" s="18" t="s">
        <v>3858</v>
      </c>
      <c r="F1945" s="2">
        <f>+J1945-I1945</f>
        <v>30</v>
      </c>
      <c r="G1945" s="2">
        <f ca="1">+TODAY()-I1945</f>
        <v>85</v>
      </c>
      <c r="H1945" s="15">
        <v>261438</v>
      </c>
      <c r="I1945" s="1">
        <v>46035</v>
      </c>
      <c r="J1945" s="1">
        <v>46065</v>
      </c>
      <c r="K1945" s="18" t="s">
        <v>1863</v>
      </c>
      <c r="L1945" s="18" t="s">
        <v>984</v>
      </c>
      <c r="M1945" s="18" t="s">
        <v>19</v>
      </c>
      <c r="N1945" s="18" t="s">
        <v>1191</v>
      </c>
      <c r="O1945">
        <v>30</v>
      </c>
    </row>
    <row r="1946" spans="1:15" x14ac:dyDescent="0.25">
      <c r="A1946" s="18" t="s">
        <v>7276</v>
      </c>
      <c r="B1946" s="18" t="s">
        <v>1188</v>
      </c>
      <c r="C1946" s="18" t="s">
        <v>1189</v>
      </c>
      <c r="D1946" s="18" t="s">
        <v>1190</v>
      </c>
      <c r="E1946" s="18" t="s">
        <v>5177</v>
      </c>
      <c r="F1946" s="2">
        <f>+J1946-I1946</f>
        <v>30</v>
      </c>
      <c r="G1946" s="2">
        <f ca="1">+TODAY()-I1946</f>
        <v>54</v>
      </c>
      <c r="H1946" s="15">
        <v>3099950</v>
      </c>
      <c r="I1946" s="1">
        <v>46066</v>
      </c>
      <c r="J1946" s="1">
        <v>46096</v>
      </c>
      <c r="K1946" s="18" t="s">
        <v>1863</v>
      </c>
      <c r="L1946" s="18" t="s">
        <v>984</v>
      </c>
      <c r="M1946" s="18" t="s">
        <v>19</v>
      </c>
      <c r="N1946" s="18" t="s">
        <v>1191</v>
      </c>
      <c r="O1946">
        <v>30</v>
      </c>
    </row>
    <row r="1947" spans="1:15" x14ac:dyDescent="0.25">
      <c r="A1947" s="18" t="s">
        <v>7276</v>
      </c>
      <c r="B1947" s="18" t="s">
        <v>1188</v>
      </c>
      <c r="C1947" s="18" t="s">
        <v>1189</v>
      </c>
      <c r="D1947" s="18" t="s">
        <v>1190</v>
      </c>
      <c r="E1947" s="18" t="s">
        <v>5178</v>
      </c>
      <c r="F1947" s="2">
        <f>+J1947-I1947</f>
        <v>30</v>
      </c>
      <c r="G1947" s="2">
        <f ca="1">+TODAY()-I1947</f>
        <v>54</v>
      </c>
      <c r="H1947" s="15">
        <v>3495817</v>
      </c>
      <c r="I1947" s="1">
        <v>46066</v>
      </c>
      <c r="J1947" s="1">
        <v>46096</v>
      </c>
      <c r="K1947" s="18" t="s">
        <v>1863</v>
      </c>
      <c r="L1947" s="18" t="s">
        <v>984</v>
      </c>
      <c r="M1947" s="18" t="s">
        <v>19</v>
      </c>
      <c r="N1947" s="18" t="s">
        <v>1191</v>
      </c>
      <c r="O1947">
        <v>30</v>
      </c>
    </row>
    <row r="1948" spans="1:15" x14ac:dyDescent="0.25">
      <c r="A1948" s="18" t="s">
        <v>7276</v>
      </c>
      <c r="B1948" s="18" t="s">
        <v>1188</v>
      </c>
      <c r="C1948" s="18" t="s">
        <v>1189</v>
      </c>
      <c r="D1948" s="18" t="s">
        <v>1190</v>
      </c>
      <c r="E1948" s="18" t="s">
        <v>5179</v>
      </c>
      <c r="F1948" s="2">
        <f>+J1948-I1948</f>
        <v>30</v>
      </c>
      <c r="G1948" s="2">
        <f ca="1">+TODAY()-I1948</f>
        <v>54</v>
      </c>
      <c r="H1948" s="15">
        <v>1652855</v>
      </c>
      <c r="I1948" s="1">
        <v>46066</v>
      </c>
      <c r="J1948" s="1">
        <v>46096</v>
      </c>
      <c r="K1948" s="18" t="s">
        <v>1863</v>
      </c>
      <c r="L1948" s="18" t="s">
        <v>984</v>
      </c>
      <c r="M1948" s="18" t="s">
        <v>19</v>
      </c>
      <c r="N1948" s="18" t="s">
        <v>1191</v>
      </c>
      <c r="O1948">
        <v>30</v>
      </c>
    </row>
    <row r="1949" spans="1:15" x14ac:dyDescent="0.25">
      <c r="A1949" s="18" t="s">
        <v>7276</v>
      </c>
      <c r="B1949" s="18" t="s">
        <v>1188</v>
      </c>
      <c r="C1949" s="18" t="s">
        <v>1189</v>
      </c>
      <c r="D1949" s="18" t="s">
        <v>1190</v>
      </c>
      <c r="E1949" s="18" t="s">
        <v>5180</v>
      </c>
      <c r="F1949" s="2">
        <f>+J1949-I1949</f>
        <v>30</v>
      </c>
      <c r="G1949" s="2">
        <f ca="1">+TODAY()-I1949</f>
        <v>54</v>
      </c>
      <c r="H1949" s="15">
        <v>2388018</v>
      </c>
      <c r="I1949" s="1">
        <v>46066</v>
      </c>
      <c r="J1949" s="1">
        <v>46096</v>
      </c>
      <c r="K1949" s="18" t="s">
        <v>1863</v>
      </c>
      <c r="L1949" s="18" t="s">
        <v>984</v>
      </c>
      <c r="M1949" s="18" t="s">
        <v>19</v>
      </c>
      <c r="N1949" s="18" t="s">
        <v>1191</v>
      </c>
      <c r="O1949">
        <v>30</v>
      </c>
    </row>
    <row r="1950" spans="1:15" x14ac:dyDescent="0.25">
      <c r="A1950" s="18" t="s">
        <v>7276</v>
      </c>
      <c r="B1950" s="18" t="s">
        <v>1188</v>
      </c>
      <c r="C1950" s="18" t="s">
        <v>1189</v>
      </c>
      <c r="D1950" s="18" t="s">
        <v>1190</v>
      </c>
      <c r="E1950" s="18" t="s">
        <v>5181</v>
      </c>
      <c r="F1950" s="2">
        <f>+J1950-I1950</f>
        <v>30</v>
      </c>
      <c r="G1950" s="2">
        <f ca="1">+TODAY()-I1950</f>
        <v>53</v>
      </c>
      <c r="H1950" s="15">
        <v>175200</v>
      </c>
      <c r="I1950" s="1">
        <v>46067</v>
      </c>
      <c r="J1950" s="1">
        <v>46097</v>
      </c>
      <c r="K1950" s="18" t="s">
        <v>1863</v>
      </c>
      <c r="L1950" s="18" t="s">
        <v>984</v>
      </c>
      <c r="M1950" s="18" t="s">
        <v>19</v>
      </c>
      <c r="N1950" s="18" t="s">
        <v>1191</v>
      </c>
      <c r="O1950">
        <v>30</v>
      </c>
    </row>
    <row r="1951" spans="1:15" x14ac:dyDescent="0.25">
      <c r="A1951" s="18" t="s">
        <v>7276</v>
      </c>
      <c r="B1951" s="18" t="s">
        <v>1188</v>
      </c>
      <c r="C1951" s="18" t="s">
        <v>1189</v>
      </c>
      <c r="D1951" s="18" t="s">
        <v>1190</v>
      </c>
      <c r="E1951" s="18" t="s">
        <v>5182</v>
      </c>
      <c r="F1951" s="2">
        <f>+J1951-I1951</f>
        <v>30</v>
      </c>
      <c r="G1951" s="2">
        <f ca="1">+TODAY()-I1951</f>
        <v>53</v>
      </c>
      <c r="H1951" s="15">
        <v>175200</v>
      </c>
      <c r="I1951" s="1">
        <v>46067</v>
      </c>
      <c r="J1951" s="1">
        <v>46097</v>
      </c>
      <c r="K1951" s="18" t="s">
        <v>1863</v>
      </c>
      <c r="L1951" s="18" t="s">
        <v>984</v>
      </c>
      <c r="M1951" s="18" t="s">
        <v>19</v>
      </c>
      <c r="N1951" s="18" t="s">
        <v>1191</v>
      </c>
      <c r="O1951">
        <v>30</v>
      </c>
    </row>
    <row r="1952" spans="1:15" x14ac:dyDescent="0.25">
      <c r="A1952" s="18" t="s">
        <v>7276</v>
      </c>
      <c r="B1952" s="18" t="s">
        <v>1188</v>
      </c>
      <c r="C1952" s="18" t="s">
        <v>1189</v>
      </c>
      <c r="D1952" s="18" t="s">
        <v>1190</v>
      </c>
      <c r="E1952" s="18" t="s">
        <v>5365</v>
      </c>
      <c r="F1952" s="2">
        <f>+J1952-I1952</f>
        <v>30</v>
      </c>
      <c r="G1952" s="2">
        <f ca="1">+TODAY()-I1952</f>
        <v>40</v>
      </c>
      <c r="H1952" s="15">
        <v>9820844</v>
      </c>
      <c r="I1952" s="1">
        <v>46080</v>
      </c>
      <c r="J1952" s="1">
        <v>46110</v>
      </c>
      <c r="K1952" s="18" t="s">
        <v>1863</v>
      </c>
      <c r="L1952" s="18" t="s">
        <v>984</v>
      </c>
      <c r="M1952" s="18" t="s">
        <v>19</v>
      </c>
      <c r="N1952" s="18" t="s">
        <v>1191</v>
      </c>
      <c r="O1952">
        <v>30</v>
      </c>
    </row>
    <row r="1953" spans="1:15" x14ac:dyDescent="0.25">
      <c r="A1953" s="18" t="s">
        <v>7276</v>
      </c>
      <c r="B1953" s="18" t="s">
        <v>1188</v>
      </c>
      <c r="C1953" s="18" t="s">
        <v>1189</v>
      </c>
      <c r="D1953" s="18" t="s">
        <v>1190</v>
      </c>
      <c r="E1953" s="18" t="s">
        <v>5503</v>
      </c>
      <c r="F1953" s="2">
        <f>+J1953-I1953</f>
        <v>30</v>
      </c>
      <c r="G1953" s="2">
        <f ca="1">+TODAY()-I1953</f>
        <v>35</v>
      </c>
      <c r="H1953" s="15">
        <v>3744612</v>
      </c>
      <c r="I1953" s="1">
        <v>46085</v>
      </c>
      <c r="J1953" s="1">
        <v>46115</v>
      </c>
      <c r="K1953" s="18" t="s">
        <v>1863</v>
      </c>
      <c r="L1953" s="18" t="s">
        <v>984</v>
      </c>
      <c r="M1953" s="18" t="s">
        <v>19</v>
      </c>
      <c r="N1953" s="18" t="s">
        <v>1191</v>
      </c>
      <c r="O1953">
        <v>30</v>
      </c>
    </row>
    <row r="1954" spans="1:15" x14ac:dyDescent="0.25">
      <c r="A1954" s="18" t="s">
        <v>7276</v>
      </c>
      <c r="B1954" s="18" t="s">
        <v>1188</v>
      </c>
      <c r="C1954" s="18" t="s">
        <v>1189</v>
      </c>
      <c r="D1954" s="18" t="s">
        <v>1190</v>
      </c>
      <c r="E1954" s="18" t="s">
        <v>5507</v>
      </c>
      <c r="F1954" s="2">
        <f>+J1954-I1954</f>
        <v>30</v>
      </c>
      <c r="G1954" s="2">
        <f ca="1">+TODAY()-I1954</f>
        <v>35</v>
      </c>
      <c r="H1954" s="15">
        <v>16475960</v>
      </c>
      <c r="I1954" s="1">
        <v>46085</v>
      </c>
      <c r="J1954" s="1">
        <v>46115</v>
      </c>
      <c r="K1954" s="18" t="s">
        <v>1863</v>
      </c>
      <c r="L1954" s="18" t="s">
        <v>984</v>
      </c>
      <c r="M1954" s="18" t="s">
        <v>19</v>
      </c>
      <c r="N1954" s="18" t="s">
        <v>1191</v>
      </c>
      <c r="O1954">
        <v>30</v>
      </c>
    </row>
    <row r="1955" spans="1:15" x14ac:dyDescent="0.25">
      <c r="A1955" s="18" t="s">
        <v>7276</v>
      </c>
      <c r="B1955" s="18" t="s">
        <v>1188</v>
      </c>
      <c r="C1955" s="18" t="s">
        <v>1189</v>
      </c>
      <c r="D1955" s="18" t="s">
        <v>1190</v>
      </c>
      <c r="E1955" s="18" t="s">
        <v>5571</v>
      </c>
      <c r="F1955" s="2">
        <f>+J1955-I1955</f>
        <v>30</v>
      </c>
      <c r="G1955" s="2">
        <f ca="1">+TODAY()-I1955</f>
        <v>34</v>
      </c>
      <c r="H1955" s="15">
        <v>3970900</v>
      </c>
      <c r="I1955" s="1">
        <v>46086</v>
      </c>
      <c r="J1955" s="1">
        <v>46116</v>
      </c>
      <c r="K1955" s="18" t="s">
        <v>1863</v>
      </c>
      <c r="L1955" s="18" t="s">
        <v>984</v>
      </c>
      <c r="M1955" s="18" t="s">
        <v>19</v>
      </c>
      <c r="N1955" s="18" t="s">
        <v>1191</v>
      </c>
      <c r="O1955">
        <v>30</v>
      </c>
    </row>
    <row r="1956" spans="1:15" x14ac:dyDescent="0.25">
      <c r="A1956" s="18" t="s">
        <v>7276</v>
      </c>
      <c r="B1956" s="18" t="s">
        <v>1188</v>
      </c>
      <c r="C1956" s="18" t="s">
        <v>1189</v>
      </c>
      <c r="D1956" s="18" t="s">
        <v>1190</v>
      </c>
      <c r="E1956" s="18" t="s">
        <v>5572</v>
      </c>
      <c r="F1956" s="2">
        <f>+J1956-I1956</f>
        <v>30</v>
      </c>
      <c r="G1956" s="2">
        <f ca="1">+TODAY()-I1956</f>
        <v>34</v>
      </c>
      <c r="H1956" s="15">
        <v>2272500</v>
      </c>
      <c r="I1956" s="1">
        <v>46086</v>
      </c>
      <c r="J1956" s="1">
        <v>46116</v>
      </c>
      <c r="K1956" s="18" t="s">
        <v>1863</v>
      </c>
      <c r="L1956" s="18" t="s">
        <v>984</v>
      </c>
      <c r="M1956" s="18" t="s">
        <v>19</v>
      </c>
      <c r="N1956" s="18" t="s">
        <v>1191</v>
      </c>
      <c r="O1956">
        <v>30</v>
      </c>
    </row>
    <row r="1957" spans="1:15" x14ac:dyDescent="0.25">
      <c r="A1957" s="18" t="s">
        <v>7276</v>
      </c>
      <c r="B1957" s="18" t="s">
        <v>1188</v>
      </c>
      <c r="C1957" s="18" t="s">
        <v>1189</v>
      </c>
      <c r="D1957" s="18" t="s">
        <v>1190</v>
      </c>
      <c r="E1957" s="18" t="s">
        <v>4718</v>
      </c>
      <c r="F1957" s="2">
        <f>+J1957-I1957</f>
        <v>30</v>
      </c>
      <c r="G1957" s="2">
        <f ca="1">+TODAY()-I1957</f>
        <v>75</v>
      </c>
      <c r="H1957" s="15">
        <v>7800030</v>
      </c>
      <c r="I1957" s="1">
        <v>46045</v>
      </c>
      <c r="J1957" s="1">
        <v>46075</v>
      </c>
      <c r="K1957" s="18" t="s">
        <v>1863</v>
      </c>
      <c r="L1957" s="18" t="s">
        <v>984</v>
      </c>
      <c r="M1957" s="18" t="s">
        <v>19</v>
      </c>
      <c r="N1957" s="18" t="s">
        <v>1191</v>
      </c>
      <c r="O1957">
        <v>30</v>
      </c>
    </row>
    <row r="1958" spans="1:15" x14ac:dyDescent="0.25">
      <c r="A1958" s="18" t="s">
        <v>7276</v>
      </c>
      <c r="B1958" s="18" t="s">
        <v>1188</v>
      </c>
      <c r="C1958" s="18" t="s">
        <v>1189</v>
      </c>
      <c r="D1958" s="18" t="s">
        <v>1190</v>
      </c>
      <c r="E1958" s="18" t="s">
        <v>5366</v>
      </c>
      <c r="F1958" s="2">
        <f>+J1958-I1958</f>
        <v>30</v>
      </c>
      <c r="G1958" s="2">
        <f ca="1">+TODAY()-I1958</f>
        <v>44</v>
      </c>
      <c r="H1958" s="15">
        <v>17550080</v>
      </c>
      <c r="I1958" s="1">
        <v>46076</v>
      </c>
      <c r="J1958" s="1">
        <v>46106</v>
      </c>
      <c r="K1958" s="18" t="s">
        <v>1863</v>
      </c>
      <c r="L1958" s="18" t="s">
        <v>984</v>
      </c>
      <c r="M1958" s="18" t="s">
        <v>19</v>
      </c>
      <c r="N1958" s="18" t="s">
        <v>1191</v>
      </c>
      <c r="O1958">
        <v>30</v>
      </c>
    </row>
    <row r="1959" spans="1:15" x14ac:dyDescent="0.25">
      <c r="A1959" s="18" t="s">
        <v>7276</v>
      </c>
      <c r="B1959" s="18" t="s">
        <v>1188</v>
      </c>
      <c r="C1959" s="18" t="s">
        <v>1189</v>
      </c>
      <c r="D1959" s="18" t="s">
        <v>1190</v>
      </c>
      <c r="E1959" s="18" t="s">
        <v>5367</v>
      </c>
      <c r="F1959" s="2">
        <f>+J1959-I1959</f>
        <v>30</v>
      </c>
      <c r="G1959" s="2">
        <f ca="1">+TODAY()-I1959</f>
        <v>44</v>
      </c>
      <c r="H1959" s="15">
        <v>5</v>
      </c>
      <c r="I1959" s="1">
        <v>46076</v>
      </c>
      <c r="J1959" s="1">
        <v>46106</v>
      </c>
      <c r="K1959" s="18" t="s">
        <v>1863</v>
      </c>
      <c r="L1959" s="18" t="s">
        <v>984</v>
      </c>
      <c r="M1959" s="18" t="s">
        <v>19</v>
      </c>
      <c r="N1959" s="18" t="s">
        <v>1191</v>
      </c>
      <c r="O1959">
        <v>30</v>
      </c>
    </row>
    <row r="1960" spans="1:15" x14ac:dyDescent="0.25">
      <c r="A1960" s="18" t="s">
        <v>7276</v>
      </c>
      <c r="B1960" s="18" t="s">
        <v>1188</v>
      </c>
      <c r="C1960" s="18" t="s">
        <v>1189</v>
      </c>
      <c r="D1960" s="18" t="s">
        <v>1190</v>
      </c>
      <c r="E1960" s="18" t="s">
        <v>5368</v>
      </c>
      <c r="F1960" s="2">
        <f>+J1960-I1960</f>
        <v>30</v>
      </c>
      <c r="G1960" s="2">
        <f ca="1">+TODAY()-I1960</f>
        <v>44</v>
      </c>
      <c r="H1960" s="15">
        <v>7220000</v>
      </c>
      <c r="I1960" s="1">
        <v>46076</v>
      </c>
      <c r="J1960" s="1">
        <v>46106</v>
      </c>
      <c r="K1960" s="18" t="s">
        <v>1863</v>
      </c>
      <c r="L1960" s="18" t="s">
        <v>984</v>
      </c>
      <c r="M1960" s="18" t="s">
        <v>19</v>
      </c>
      <c r="N1960" s="18" t="s">
        <v>1191</v>
      </c>
      <c r="O1960">
        <v>30</v>
      </c>
    </row>
    <row r="1961" spans="1:15" x14ac:dyDescent="0.25">
      <c r="A1961" s="18" t="s">
        <v>7276</v>
      </c>
      <c r="B1961" s="18" t="s">
        <v>4339</v>
      </c>
      <c r="C1961" s="18" t="s">
        <v>4340</v>
      </c>
      <c r="D1961" s="18" t="s">
        <v>336</v>
      </c>
      <c r="E1961" s="18" t="s">
        <v>5931</v>
      </c>
      <c r="F1961" s="2">
        <f>+J1961-I1961</f>
        <v>10</v>
      </c>
      <c r="G1961" s="2">
        <f ca="1">+TODAY()-I1961</f>
        <v>26</v>
      </c>
      <c r="H1961" s="15">
        <v>428000</v>
      </c>
      <c r="I1961" s="1">
        <v>46094</v>
      </c>
      <c r="J1961" s="1">
        <v>46104</v>
      </c>
      <c r="K1961" s="18" t="s">
        <v>638</v>
      </c>
      <c r="L1961" s="18" t="s">
        <v>317</v>
      </c>
      <c r="M1961" s="18" t="s">
        <v>19</v>
      </c>
      <c r="N1961" s="18" t="s">
        <v>4342</v>
      </c>
      <c r="O1961">
        <v>30</v>
      </c>
    </row>
    <row r="1962" spans="1:15" x14ac:dyDescent="0.25">
      <c r="A1962" s="18" t="s">
        <v>7276</v>
      </c>
      <c r="B1962" s="18" t="s">
        <v>4339</v>
      </c>
      <c r="C1962" s="18" t="s">
        <v>4340</v>
      </c>
      <c r="D1962" s="18" t="s">
        <v>336</v>
      </c>
      <c r="E1962" s="18" t="s">
        <v>6218</v>
      </c>
      <c r="F1962" s="2">
        <f>+J1962-I1962</f>
        <v>15</v>
      </c>
      <c r="G1962" s="2">
        <f ca="1">+TODAY()-I1962</f>
        <v>20</v>
      </c>
      <c r="H1962" s="15">
        <v>258271</v>
      </c>
      <c r="I1962" s="1">
        <v>46100</v>
      </c>
      <c r="J1962" s="1">
        <v>46115</v>
      </c>
      <c r="K1962" s="18" t="s">
        <v>638</v>
      </c>
      <c r="L1962" s="18" t="s">
        <v>317</v>
      </c>
      <c r="M1962" s="18" t="s">
        <v>19</v>
      </c>
      <c r="N1962" s="18" t="s">
        <v>4342</v>
      </c>
      <c r="O1962">
        <v>30</v>
      </c>
    </row>
    <row r="1963" spans="1:15" x14ac:dyDescent="0.25">
      <c r="A1963" s="18" t="s">
        <v>7276</v>
      </c>
      <c r="B1963" s="18" t="s">
        <v>4339</v>
      </c>
      <c r="C1963" s="18" t="s">
        <v>4340</v>
      </c>
      <c r="D1963" s="18" t="s">
        <v>336</v>
      </c>
      <c r="E1963" s="18" t="s">
        <v>6219</v>
      </c>
      <c r="F1963" s="2">
        <f>+J1963-I1963</f>
        <v>10</v>
      </c>
      <c r="G1963" s="2">
        <f ca="1">+TODAY()-I1963</f>
        <v>20</v>
      </c>
      <c r="H1963" s="15">
        <v>428000</v>
      </c>
      <c r="I1963" s="1">
        <v>46100</v>
      </c>
      <c r="J1963" s="1">
        <v>46110</v>
      </c>
      <c r="K1963" s="18" t="s">
        <v>638</v>
      </c>
      <c r="L1963" s="18" t="s">
        <v>317</v>
      </c>
      <c r="M1963" s="18" t="s">
        <v>19</v>
      </c>
      <c r="N1963" s="18" t="s">
        <v>4342</v>
      </c>
      <c r="O1963">
        <v>30</v>
      </c>
    </row>
    <row r="1964" spans="1:15" x14ac:dyDescent="0.25">
      <c r="A1964" s="18" t="s">
        <v>7276</v>
      </c>
      <c r="B1964" s="18" t="s">
        <v>1098</v>
      </c>
      <c r="C1964" s="18" t="s">
        <v>1099</v>
      </c>
      <c r="D1964" s="18" t="s">
        <v>1066</v>
      </c>
      <c r="E1964" s="18" t="s">
        <v>5438</v>
      </c>
      <c r="F1964" s="2">
        <f>+J1964-I1964</f>
        <v>30</v>
      </c>
      <c r="G1964" s="2">
        <f ca="1">+TODAY()-I1964</f>
        <v>35</v>
      </c>
      <c r="H1964" s="15">
        <v>1422046</v>
      </c>
      <c r="I1964" s="1">
        <v>46085</v>
      </c>
      <c r="J1964" s="1">
        <v>46115</v>
      </c>
      <c r="K1964" s="18" t="s">
        <v>1068</v>
      </c>
      <c r="L1964" s="18" t="s">
        <v>207</v>
      </c>
      <c r="M1964" s="18" t="s">
        <v>19</v>
      </c>
      <c r="N1964" s="18" t="s">
        <v>1100</v>
      </c>
      <c r="O1964">
        <v>30</v>
      </c>
    </row>
    <row r="1965" spans="1:15" x14ac:dyDescent="0.25">
      <c r="A1965" s="18" t="s">
        <v>7276</v>
      </c>
      <c r="B1965" s="18" t="s">
        <v>1098</v>
      </c>
      <c r="C1965" s="18" t="s">
        <v>1099</v>
      </c>
      <c r="D1965" s="18" t="s">
        <v>1066</v>
      </c>
      <c r="E1965" s="18" t="s">
        <v>5717</v>
      </c>
      <c r="F1965" s="2">
        <f>+J1965-I1965</f>
        <v>30</v>
      </c>
      <c r="G1965" s="2">
        <f ca="1">+TODAY()-I1965</f>
        <v>29</v>
      </c>
      <c r="H1965" s="15">
        <v>264910</v>
      </c>
      <c r="I1965" s="1">
        <v>46091</v>
      </c>
      <c r="J1965" s="1">
        <v>46121</v>
      </c>
      <c r="K1965" s="18" t="s">
        <v>1068</v>
      </c>
      <c r="L1965" s="18" t="s">
        <v>207</v>
      </c>
      <c r="M1965" s="18" t="s">
        <v>19</v>
      </c>
      <c r="N1965" s="18" t="s">
        <v>1100</v>
      </c>
      <c r="O1965">
        <v>30</v>
      </c>
    </row>
    <row r="1966" spans="1:15" x14ac:dyDescent="0.25">
      <c r="A1966" s="18" t="s">
        <v>7276</v>
      </c>
      <c r="B1966" s="18" t="s">
        <v>1098</v>
      </c>
      <c r="C1966" s="18" t="s">
        <v>1099</v>
      </c>
      <c r="D1966" s="18" t="s">
        <v>1066</v>
      </c>
      <c r="E1966" s="18" t="s">
        <v>5718</v>
      </c>
      <c r="F1966" s="2">
        <f>+J1966-I1966</f>
        <v>30</v>
      </c>
      <c r="G1966" s="2">
        <f ca="1">+TODAY()-I1966</f>
        <v>29</v>
      </c>
      <c r="H1966" s="15">
        <v>2349248</v>
      </c>
      <c r="I1966" s="1">
        <v>46091</v>
      </c>
      <c r="J1966" s="1">
        <v>46121</v>
      </c>
      <c r="K1966" s="18" t="s">
        <v>1068</v>
      </c>
      <c r="L1966" s="18" t="s">
        <v>207</v>
      </c>
      <c r="M1966" s="18" t="s">
        <v>19</v>
      </c>
      <c r="N1966" s="18" t="s">
        <v>1100</v>
      </c>
      <c r="O1966">
        <v>30</v>
      </c>
    </row>
    <row r="1967" spans="1:15" x14ac:dyDescent="0.25">
      <c r="A1967" s="18" t="s">
        <v>7276</v>
      </c>
      <c r="B1967" s="18" t="s">
        <v>1098</v>
      </c>
      <c r="C1967" s="18" t="s">
        <v>1099</v>
      </c>
      <c r="D1967" s="18" t="s">
        <v>1066</v>
      </c>
      <c r="E1967" s="18" t="s">
        <v>6254</v>
      </c>
      <c r="F1967" s="2">
        <f>+J1967-I1967</f>
        <v>30</v>
      </c>
      <c r="G1967" s="2">
        <f ca="1">+TODAY()-I1967</f>
        <v>22</v>
      </c>
      <c r="H1967" s="15">
        <v>724933</v>
      </c>
      <c r="I1967" s="1">
        <v>46098</v>
      </c>
      <c r="J1967" s="1">
        <v>46128</v>
      </c>
      <c r="K1967" s="18" t="s">
        <v>1068</v>
      </c>
      <c r="L1967" s="18" t="s">
        <v>207</v>
      </c>
      <c r="M1967" s="18" t="s">
        <v>19</v>
      </c>
      <c r="N1967" s="18" t="s">
        <v>1100</v>
      </c>
      <c r="O1967">
        <v>30</v>
      </c>
    </row>
    <row r="1968" spans="1:15" x14ac:dyDescent="0.25">
      <c r="A1968" s="18" t="s">
        <v>7276</v>
      </c>
      <c r="B1968" s="18" t="s">
        <v>1098</v>
      </c>
      <c r="C1968" s="18" t="s">
        <v>1099</v>
      </c>
      <c r="D1968" s="18" t="s">
        <v>1066</v>
      </c>
      <c r="E1968" s="18" t="s">
        <v>6502</v>
      </c>
      <c r="F1968" s="2">
        <f>+J1968-I1968</f>
        <v>30</v>
      </c>
      <c r="G1968" s="2">
        <f ca="1">+TODAY()-I1968</f>
        <v>13</v>
      </c>
      <c r="H1968" s="15">
        <v>1381803</v>
      </c>
      <c r="I1968" s="1">
        <v>46107</v>
      </c>
      <c r="J1968" s="1">
        <v>46137</v>
      </c>
      <c r="K1968" s="18" t="s">
        <v>1068</v>
      </c>
      <c r="L1968" s="18" t="s">
        <v>207</v>
      </c>
      <c r="M1968" s="18" t="s">
        <v>19</v>
      </c>
      <c r="N1968" s="18" t="s">
        <v>1100</v>
      </c>
      <c r="O1968">
        <v>30</v>
      </c>
    </row>
    <row r="1969" spans="1:15" x14ac:dyDescent="0.25">
      <c r="A1969" s="18" t="s">
        <v>7276</v>
      </c>
      <c r="B1969" s="18" t="s">
        <v>1098</v>
      </c>
      <c r="C1969" s="18" t="s">
        <v>1099</v>
      </c>
      <c r="D1969" s="18" t="s">
        <v>1066</v>
      </c>
      <c r="E1969" s="18" t="s">
        <v>6503</v>
      </c>
      <c r="F1969" s="2">
        <f>+J1969-I1969</f>
        <v>30</v>
      </c>
      <c r="G1969" s="2">
        <f ca="1">+TODAY()-I1969</f>
        <v>13</v>
      </c>
      <c r="H1969" s="15">
        <v>189599</v>
      </c>
      <c r="I1969" s="1">
        <v>46107</v>
      </c>
      <c r="J1969" s="1">
        <v>46137</v>
      </c>
      <c r="K1969" s="18" t="s">
        <v>1068</v>
      </c>
      <c r="L1969" s="18" t="s">
        <v>207</v>
      </c>
      <c r="M1969" s="18" t="s">
        <v>19</v>
      </c>
      <c r="N1969" s="18" t="s">
        <v>1100</v>
      </c>
      <c r="O1969">
        <v>30</v>
      </c>
    </row>
    <row r="1970" spans="1:15" x14ac:dyDescent="0.25">
      <c r="A1970" s="18" t="s">
        <v>7276</v>
      </c>
      <c r="B1970" s="18" t="s">
        <v>1098</v>
      </c>
      <c r="C1970" s="18" t="s">
        <v>1099</v>
      </c>
      <c r="D1970" s="18" t="s">
        <v>1066</v>
      </c>
      <c r="E1970" s="18" t="s">
        <v>7047</v>
      </c>
      <c r="F1970" s="2">
        <f>+J1970-I1970</f>
        <v>30</v>
      </c>
      <c r="G1970" s="2">
        <f ca="1">+TODAY()-I1970</f>
        <v>8</v>
      </c>
      <c r="H1970" s="15">
        <v>297399</v>
      </c>
      <c r="I1970" s="1">
        <v>46112</v>
      </c>
      <c r="J1970" s="1">
        <v>46142</v>
      </c>
      <c r="K1970" s="18" t="s">
        <v>1068</v>
      </c>
      <c r="L1970" s="18" t="s">
        <v>207</v>
      </c>
      <c r="M1970" s="18" t="s">
        <v>19</v>
      </c>
      <c r="N1970" s="18" t="s">
        <v>1100</v>
      </c>
      <c r="O1970">
        <v>30</v>
      </c>
    </row>
    <row r="1971" spans="1:15" x14ac:dyDescent="0.25">
      <c r="A1971" s="18" t="s">
        <v>7276</v>
      </c>
      <c r="B1971" s="18" t="s">
        <v>1098</v>
      </c>
      <c r="C1971" s="18" t="s">
        <v>1099</v>
      </c>
      <c r="D1971" s="18" t="s">
        <v>1066</v>
      </c>
      <c r="E1971" s="18" t="s">
        <v>7048</v>
      </c>
      <c r="F1971" s="2">
        <f>+J1971-I1971</f>
        <v>30</v>
      </c>
      <c r="G1971" s="2">
        <f ca="1">+TODAY()-I1971</f>
        <v>8</v>
      </c>
      <c r="H1971" s="15">
        <v>2594761</v>
      </c>
      <c r="I1971" s="1">
        <v>46112</v>
      </c>
      <c r="J1971" s="1">
        <v>46142</v>
      </c>
      <c r="K1971" s="18" t="s">
        <v>1068</v>
      </c>
      <c r="L1971" s="18" t="s">
        <v>207</v>
      </c>
      <c r="M1971" s="18" t="s">
        <v>19</v>
      </c>
      <c r="N1971" s="18" t="s">
        <v>1100</v>
      </c>
      <c r="O1971">
        <v>30</v>
      </c>
    </row>
    <row r="1972" spans="1:15" x14ac:dyDescent="0.25">
      <c r="A1972" s="18" t="s">
        <v>7276</v>
      </c>
      <c r="B1972" s="18" t="s">
        <v>4051</v>
      </c>
      <c r="C1972" s="18" t="s">
        <v>4052</v>
      </c>
      <c r="D1972" s="18" t="s">
        <v>320</v>
      </c>
      <c r="E1972" s="18" t="s">
        <v>7071</v>
      </c>
      <c r="F1972" s="2">
        <f>+J1972-I1972</f>
        <v>1</v>
      </c>
      <c r="G1972" s="2">
        <f ca="1">+TODAY()-I1972</f>
        <v>9</v>
      </c>
      <c r="H1972" s="15">
        <v>135000</v>
      </c>
      <c r="I1972" s="1">
        <v>46111</v>
      </c>
      <c r="J1972" s="1">
        <v>46112</v>
      </c>
      <c r="K1972" s="18" t="s">
        <v>1068</v>
      </c>
      <c r="L1972" s="18" t="s">
        <v>321</v>
      </c>
      <c r="M1972" s="18" t="s">
        <v>19</v>
      </c>
      <c r="N1972" s="18" t="s">
        <v>4053</v>
      </c>
      <c r="O1972">
        <v>1</v>
      </c>
    </row>
    <row r="1973" spans="1:15" x14ac:dyDescent="0.25">
      <c r="A1973" s="18" t="s">
        <v>7276</v>
      </c>
      <c r="B1973" s="18" t="s">
        <v>4051</v>
      </c>
      <c r="C1973" s="18" t="s">
        <v>4052</v>
      </c>
      <c r="D1973" s="18" t="s">
        <v>320</v>
      </c>
      <c r="E1973" s="18" t="s">
        <v>7072</v>
      </c>
      <c r="F1973" s="2">
        <f>+J1973-I1973</f>
        <v>1</v>
      </c>
      <c r="G1973" s="2">
        <f ca="1">+TODAY()-I1973</f>
        <v>9</v>
      </c>
      <c r="H1973" s="15">
        <v>28799</v>
      </c>
      <c r="I1973" s="1">
        <v>46111</v>
      </c>
      <c r="J1973" s="1">
        <v>46112</v>
      </c>
      <c r="K1973" s="18" t="s">
        <v>1068</v>
      </c>
      <c r="L1973" s="18" t="s">
        <v>321</v>
      </c>
      <c r="M1973" s="18" t="s">
        <v>19</v>
      </c>
      <c r="N1973" s="18" t="s">
        <v>4053</v>
      </c>
      <c r="O1973">
        <v>1</v>
      </c>
    </row>
    <row r="1974" spans="1:15" x14ac:dyDescent="0.25">
      <c r="A1974" s="18" t="s">
        <v>7276</v>
      </c>
      <c r="B1974" s="18" t="s">
        <v>2972</v>
      </c>
      <c r="C1974" s="18" t="s">
        <v>2973</v>
      </c>
      <c r="D1974" s="18" t="s">
        <v>837</v>
      </c>
      <c r="E1974" s="18" t="s">
        <v>6981</v>
      </c>
      <c r="F1974" s="2">
        <f>+J1974-I1974</f>
        <v>30</v>
      </c>
      <c r="G1974" s="2">
        <f ca="1">+TODAY()-I1974</f>
        <v>9</v>
      </c>
      <c r="H1974" s="15">
        <v>169263</v>
      </c>
      <c r="I1974" s="1">
        <v>46111</v>
      </c>
      <c r="J1974" s="1">
        <v>46141</v>
      </c>
      <c r="K1974" s="18" t="s">
        <v>839</v>
      </c>
      <c r="L1974" s="18" t="s">
        <v>18</v>
      </c>
      <c r="M1974" s="18" t="s">
        <v>19</v>
      </c>
      <c r="N1974" s="18" t="s">
        <v>2974</v>
      </c>
      <c r="O1974">
        <v>30</v>
      </c>
    </row>
    <row r="1975" spans="1:15" x14ac:dyDescent="0.25">
      <c r="A1975" s="18" t="s">
        <v>7276</v>
      </c>
      <c r="B1975" s="18" t="s">
        <v>1910</v>
      </c>
      <c r="C1975" s="18" t="s">
        <v>1911</v>
      </c>
      <c r="D1975" s="18" t="s">
        <v>916</v>
      </c>
      <c r="E1975" s="18" t="s">
        <v>5427</v>
      </c>
      <c r="F1975" s="2">
        <f>+J1975-I1975</f>
        <v>30</v>
      </c>
      <c r="G1975" s="2">
        <f ca="1">+TODAY()-I1975</f>
        <v>36</v>
      </c>
      <c r="H1975" s="15">
        <v>667038</v>
      </c>
      <c r="I1975" s="1">
        <v>46084</v>
      </c>
      <c r="J1975" s="1">
        <v>46114</v>
      </c>
      <c r="K1975" s="18" t="s">
        <v>918</v>
      </c>
      <c r="L1975" s="18" t="s">
        <v>312</v>
      </c>
      <c r="M1975" s="18" t="s">
        <v>19</v>
      </c>
      <c r="N1975" s="18" t="s">
        <v>1912</v>
      </c>
      <c r="O1975">
        <v>30</v>
      </c>
    </row>
    <row r="1976" spans="1:15" x14ac:dyDescent="0.25">
      <c r="A1976" s="18" t="s">
        <v>7276</v>
      </c>
      <c r="B1976" s="18" t="s">
        <v>1910</v>
      </c>
      <c r="C1976" s="18" t="s">
        <v>1911</v>
      </c>
      <c r="D1976" s="18" t="s">
        <v>916</v>
      </c>
      <c r="E1976" s="18" t="s">
        <v>5701</v>
      </c>
      <c r="F1976" s="2">
        <f>+J1976-I1976</f>
        <v>30</v>
      </c>
      <c r="G1976" s="2">
        <f ca="1">+TODAY()-I1976</f>
        <v>30</v>
      </c>
      <c r="H1976" s="15">
        <v>600382</v>
      </c>
      <c r="I1976" s="1">
        <v>46090</v>
      </c>
      <c r="J1976" s="1">
        <v>46120</v>
      </c>
      <c r="K1976" s="18" t="s">
        <v>918</v>
      </c>
      <c r="L1976" s="18" t="s">
        <v>312</v>
      </c>
      <c r="M1976" s="18" t="s">
        <v>19</v>
      </c>
      <c r="N1976" s="18" t="s">
        <v>1912</v>
      </c>
      <c r="O1976">
        <v>30</v>
      </c>
    </row>
    <row r="1977" spans="1:15" x14ac:dyDescent="0.25">
      <c r="A1977" s="18" t="s">
        <v>7276</v>
      </c>
      <c r="B1977" s="18" t="s">
        <v>1910</v>
      </c>
      <c r="C1977" s="18" t="s">
        <v>1911</v>
      </c>
      <c r="D1977" s="18" t="s">
        <v>916</v>
      </c>
      <c r="E1977" s="18" t="s">
        <v>5968</v>
      </c>
      <c r="F1977" s="2">
        <f>+J1977-I1977</f>
        <v>30</v>
      </c>
      <c r="G1977" s="2">
        <f ca="1">+TODAY()-I1977</f>
        <v>23</v>
      </c>
      <c r="H1977" s="15">
        <v>592486</v>
      </c>
      <c r="I1977" s="1">
        <v>46097</v>
      </c>
      <c r="J1977" s="1">
        <v>46127</v>
      </c>
      <c r="K1977" s="18" t="s">
        <v>918</v>
      </c>
      <c r="L1977" s="18" t="s">
        <v>312</v>
      </c>
      <c r="M1977" s="18" t="s">
        <v>19</v>
      </c>
      <c r="N1977" s="18" t="s">
        <v>1912</v>
      </c>
      <c r="O1977">
        <v>30</v>
      </c>
    </row>
    <row r="1978" spans="1:15" x14ac:dyDescent="0.25">
      <c r="A1978" s="18" t="s">
        <v>7276</v>
      </c>
      <c r="B1978" s="18" t="s">
        <v>1910</v>
      </c>
      <c r="C1978" s="18" t="s">
        <v>1911</v>
      </c>
      <c r="D1978" s="18" t="s">
        <v>916</v>
      </c>
      <c r="E1978" s="18" t="s">
        <v>7474</v>
      </c>
      <c r="F1978" s="2">
        <f>+J1978-I1978</f>
        <v>30</v>
      </c>
      <c r="G1978" s="2">
        <f ca="1">+TODAY()-I1978</f>
        <v>2</v>
      </c>
      <c r="H1978" s="15">
        <v>1395339</v>
      </c>
      <c r="I1978" s="1">
        <v>46118</v>
      </c>
      <c r="J1978" s="1">
        <v>46148</v>
      </c>
      <c r="K1978" s="18" t="s">
        <v>918</v>
      </c>
      <c r="L1978" s="18" t="s">
        <v>312</v>
      </c>
      <c r="M1978" s="18" t="s">
        <v>19</v>
      </c>
      <c r="N1978" s="18" t="s">
        <v>1912</v>
      </c>
      <c r="O1978">
        <v>30</v>
      </c>
    </row>
    <row r="1979" spans="1:15" x14ac:dyDescent="0.25">
      <c r="A1979" s="18" t="s">
        <v>7276</v>
      </c>
      <c r="B1979" s="18" t="s">
        <v>1910</v>
      </c>
      <c r="C1979" s="18" t="s">
        <v>1911</v>
      </c>
      <c r="D1979" s="18" t="s">
        <v>916</v>
      </c>
      <c r="E1979" s="18" t="s">
        <v>7484</v>
      </c>
      <c r="F1979" s="2">
        <f>+J1979-I1979</f>
        <v>30</v>
      </c>
      <c r="G1979" s="2">
        <f ca="1">+TODAY()-I1979</f>
        <v>2</v>
      </c>
      <c r="H1979" s="15">
        <v>315000</v>
      </c>
      <c r="I1979" s="1">
        <v>46118</v>
      </c>
      <c r="J1979" s="1">
        <v>46148</v>
      </c>
      <c r="K1979" s="18" t="s">
        <v>918</v>
      </c>
      <c r="L1979" s="18" t="s">
        <v>312</v>
      </c>
      <c r="M1979" s="18" t="s">
        <v>19</v>
      </c>
      <c r="N1979" s="18" t="s">
        <v>1912</v>
      </c>
      <c r="O1979">
        <v>30</v>
      </c>
    </row>
    <row r="1980" spans="1:15" x14ac:dyDescent="0.25">
      <c r="A1980" s="18" t="s">
        <v>7276</v>
      </c>
      <c r="B1980" s="18" t="s">
        <v>1185</v>
      </c>
      <c r="C1980" s="18" t="s">
        <v>1186</v>
      </c>
      <c r="D1980" s="18" t="s">
        <v>1181</v>
      </c>
      <c r="E1980" s="18" t="s">
        <v>5109</v>
      </c>
      <c r="F1980" s="2">
        <f>+J1980-I1980</f>
        <v>30</v>
      </c>
      <c r="G1980" s="2">
        <f ca="1">+TODAY()-I1980</f>
        <v>49</v>
      </c>
      <c r="H1980" s="15">
        <v>98865</v>
      </c>
      <c r="I1980" s="1">
        <v>46071</v>
      </c>
      <c r="J1980" s="1">
        <v>46101</v>
      </c>
      <c r="K1980" s="18" t="s">
        <v>1183</v>
      </c>
      <c r="L1980" s="18" t="s">
        <v>984</v>
      </c>
      <c r="M1980" s="18" t="s">
        <v>19</v>
      </c>
      <c r="N1980" s="18" t="s">
        <v>1187</v>
      </c>
      <c r="O1980">
        <v>30</v>
      </c>
    </row>
    <row r="1981" spans="1:15" x14ac:dyDescent="0.25">
      <c r="A1981" s="18" t="s">
        <v>7276</v>
      </c>
      <c r="B1981" s="18" t="s">
        <v>1185</v>
      </c>
      <c r="C1981" s="18" t="s">
        <v>1186</v>
      </c>
      <c r="D1981" s="18" t="s">
        <v>1181</v>
      </c>
      <c r="E1981" s="18" t="s">
        <v>5472</v>
      </c>
      <c r="F1981" s="2">
        <f>+J1981-I1981</f>
        <v>30</v>
      </c>
      <c r="G1981" s="2">
        <f ca="1">+TODAY()-I1981</f>
        <v>35</v>
      </c>
      <c r="H1981" s="15">
        <v>2726031</v>
      </c>
      <c r="I1981" s="1">
        <v>46085</v>
      </c>
      <c r="J1981" s="1">
        <v>46115</v>
      </c>
      <c r="K1981" s="18" t="s">
        <v>1183</v>
      </c>
      <c r="L1981" s="18" t="s">
        <v>984</v>
      </c>
      <c r="M1981" s="18" t="s">
        <v>19</v>
      </c>
      <c r="N1981" s="18" t="s">
        <v>1187</v>
      </c>
      <c r="O1981">
        <v>30</v>
      </c>
    </row>
    <row r="1982" spans="1:15" x14ac:dyDescent="0.25">
      <c r="A1982" s="18" t="s">
        <v>7276</v>
      </c>
      <c r="B1982" s="18" t="s">
        <v>1185</v>
      </c>
      <c r="C1982" s="18" t="s">
        <v>1186</v>
      </c>
      <c r="D1982" s="18" t="s">
        <v>1181</v>
      </c>
      <c r="E1982" s="18" t="s">
        <v>5473</v>
      </c>
      <c r="F1982" s="2">
        <f>+J1982-I1982</f>
        <v>30</v>
      </c>
      <c r="G1982" s="2">
        <f ca="1">+TODAY()-I1982</f>
        <v>35</v>
      </c>
      <c r="H1982" s="15">
        <v>1910001</v>
      </c>
      <c r="I1982" s="1">
        <v>46085</v>
      </c>
      <c r="J1982" s="1">
        <v>46115</v>
      </c>
      <c r="K1982" s="18" t="s">
        <v>1183</v>
      </c>
      <c r="L1982" s="18" t="s">
        <v>984</v>
      </c>
      <c r="M1982" s="18" t="s">
        <v>19</v>
      </c>
      <c r="N1982" s="18" t="s">
        <v>1187</v>
      </c>
      <c r="O1982">
        <v>30</v>
      </c>
    </row>
    <row r="1983" spans="1:15" x14ac:dyDescent="0.25">
      <c r="A1983" s="18" t="s">
        <v>7276</v>
      </c>
      <c r="B1983" s="18" t="s">
        <v>1185</v>
      </c>
      <c r="C1983" s="18" t="s">
        <v>1186</v>
      </c>
      <c r="D1983" s="18" t="s">
        <v>1181</v>
      </c>
      <c r="E1983" s="18" t="s">
        <v>7094</v>
      </c>
      <c r="F1983" s="2">
        <f>+J1983-I1983</f>
        <v>30</v>
      </c>
      <c r="G1983" s="2">
        <f ca="1">+TODAY()-I1983</f>
        <v>9</v>
      </c>
      <c r="H1983" s="15">
        <v>11512903</v>
      </c>
      <c r="I1983" s="1">
        <v>46111</v>
      </c>
      <c r="J1983" s="1">
        <v>46141</v>
      </c>
      <c r="K1983" s="18" t="s">
        <v>1183</v>
      </c>
      <c r="L1983" s="18" t="s">
        <v>984</v>
      </c>
      <c r="M1983" s="18" t="s">
        <v>19</v>
      </c>
      <c r="N1983" s="18" t="s">
        <v>1187</v>
      </c>
      <c r="O1983">
        <v>30</v>
      </c>
    </row>
    <row r="1984" spans="1:15" x14ac:dyDescent="0.25">
      <c r="A1984" s="18" t="s">
        <v>7276</v>
      </c>
      <c r="B1984" s="18" t="s">
        <v>1185</v>
      </c>
      <c r="C1984" s="18" t="s">
        <v>1186</v>
      </c>
      <c r="D1984" s="18" t="s">
        <v>1181</v>
      </c>
      <c r="E1984" s="18" t="s">
        <v>7096</v>
      </c>
      <c r="F1984" s="2">
        <f>+J1984-I1984</f>
        <v>30</v>
      </c>
      <c r="G1984" s="2">
        <f ca="1">+TODAY()-I1984</f>
        <v>9</v>
      </c>
      <c r="H1984" s="15">
        <v>4</v>
      </c>
      <c r="I1984" s="1">
        <v>46111</v>
      </c>
      <c r="J1984" s="1">
        <v>46141</v>
      </c>
      <c r="K1984" s="18" t="s">
        <v>1183</v>
      </c>
      <c r="L1984" s="18" t="s">
        <v>984</v>
      </c>
      <c r="M1984" s="18" t="s">
        <v>19</v>
      </c>
      <c r="N1984" s="18" t="s">
        <v>1187</v>
      </c>
      <c r="O1984">
        <v>30</v>
      </c>
    </row>
    <row r="1985" spans="1:15" x14ac:dyDescent="0.25">
      <c r="A1985" s="18" t="s">
        <v>7276</v>
      </c>
      <c r="B1985" s="18" t="s">
        <v>1185</v>
      </c>
      <c r="C1985" s="18" t="s">
        <v>1186</v>
      </c>
      <c r="D1985" s="18" t="s">
        <v>1181</v>
      </c>
      <c r="E1985" s="18" t="s">
        <v>7097</v>
      </c>
      <c r="F1985" s="2">
        <f>+J1985-I1985</f>
        <v>30</v>
      </c>
      <c r="G1985" s="2">
        <f ca="1">+TODAY()-I1985</f>
        <v>9</v>
      </c>
      <c r="H1985" s="15">
        <v>7640000</v>
      </c>
      <c r="I1985" s="1">
        <v>46111</v>
      </c>
      <c r="J1985" s="1">
        <v>46141</v>
      </c>
      <c r="K1985" s="18" t="s">
        <v>1183</v>
      </c>
      <c r="L1985" s="18" t="s">
        <v>984</v>
      </c>
      <c r="M1985" s="18" t="s">
        <v>19</v>
      </c>
      <c r="N1985" s="18" t="s">
        <v>1187</v>
      </c>
      <c r="O1985">
        <v>30</v>
      </c>
    </row>
    <row r="1986" spans="1:15" x14ac:dyDescent="0.25">
      <c r="A1986" s="18" t="s">
        <v>7276</v>
      </c>
      <c r="B1986" s="18" t="s">
        <v>1185</v>
      </c>
      <c r="C1986" s="18" t="s">
        <v>1186</v>
      </c>
      <c r="D1986" s="18" t="s">
        <v>1181</v>
      </c>
      <c r="E1986" s="18" t="s">
        <v>7098</v>
      </c>
      <c r="F1986" s="2">
        <f>+J1986-I1986</f>
        <v>30</v>
      </c>
      <c r="G1986" s="2">
        <f ca="1">+TODAY()-I1986</f>
        <v>9</v>
      </c>
      <c r="H1986" s="15">
        <v>96604</v>
      </c>
      <c r="I1986" s="1">
        <v>46111</v>
      </c>
      <c r="J1986" s="1">
        <v>46141</v>
      </c>
      <c r="K1986" s="18" t="s">
        <v>1183</v>
      </c>
      <c r="L1986" s="18" t="s">
        <v>984</v>
      </c>
      <c r="M1986" s="18" t="s">
        <v>19</v>
      </c>
      <c r="N1986" s="18" t="s">
        <v>1187</v>
      </c>
      <c r="O1986">
        <v>30</v>
      </c>
    </row>
    <row r="1987" spans="1:15" x14ac:dyDescent="0.25">
      <c r="A1987" s="18" t="s">
        <v>7276</v>
      </c>
      <c r="B1987" s="18" t="s">
        <v>1185</v>
      </c>
      <c r="C1987" s="18" t="s">
        <v>1186</v>
      </c>
      <c r="D1987" s="18" t="s">
        <v>1181</v>
      </c>
      <c r="E1987" s="18" t="s">
        <v>7099</v>
      </c>
      <c r="F1987" s="2">
        <f>+J1987-I1987</f>
        <v>30</v>
      </c>
      <c r="G1987" s="2">
        <f ca="1">+TODAY()-I1987</f>
        <v>9</v>
      </c>
      <c r="H1987" s="15">
        <v>7976046</v>
      </c>
      <c r="I1987" s="1">
        <v>46111</v>
      </c>
      <c r="J1987" s="1">
        <v>46141</v>
      </c>
      <c r="K1987" s="18" t="s">
        <v>1183</v>
      </c>
      <c r="L1987" s="18" t="s">
        <v>984</v>
      </c>
      <c r="M1987" s="18" t="s">
        <v>19</v>
      </c>
      <c r="N1987" s="18" t="s">
        <v>1187</v>
      </c>
      <c r="O1987">
        <v>30</v>
      </c>
    </row>
    <row r="1988" spans="1:15" x14ac:dyDescent="0.25">
      <c r="A1988" s="18" t="s">
        <v>7276</v>
      </c>
      <c r="B1988" s="18" t="s">
        <v>1185</v>
      </c>
      <c r="C1988" s="18" t="s">
        <v>1186</v>
      </c>
      <c r="D1988" s="18" t="s">
        <v>1181</v>
      </c>
      <c r="E1988" s="18" t="s">
        <v>5758</v>
      </c>
      <c r="F1988" s="2">
        <f>+J1988-I1988</f>
        <v>30</v>
      </c>
      <c r="G1988" s="2">
        <f ca="1">+TODAY()-I1988</f>
        <v>29</v>
      </c>
      <c r="H1988" s="15">
        <v>4</v>
      </c>
      <c r="I1988" s="1">
        <v>46091</v>
      </c>
      <c r="J1988" s="1">
        <v>46121</v>
      </c>
      <c r="K1988" s="18" t="s">
        <v>1183</v>
      </c>
      <c r="L1988" s="18" t="s">
        <v>984</v>
      </c>
      <c r="M1988" s="18" t="s">
        <v>19</v>
      </c>
      <c r="N1988" s="18" t="s">
        <v>1187</v>
      </c>
      <c r="O1988">
        <v>30</v>
      </c>
    </row>
    <row r="1989" spans="1:15" x14ac:dyDescent="0.25">
      <c r="A1989" s="18" t="s">
        <v>7276</v>
      </c>
      <c r="B1989" s="18" t="s">
        <v>1185</v>
      </c>
      <c r="C1989" s="18" t="s">
        <v>1186</v>
      </c>
      <c r="D1989" s="18" t="s">
        <v>1181</v>
      </c>
      <c r="E1989" s="18" t="s">
        <v>5759</v>
      </c>
      <c r="F1989" s="2">
        <f>+J1989-I1989</f>
        <v>30</v>
      </c>
      <c r="G1989" s="2">
        <f ca="1">+TODAY()-I1989</f>
        <v>29</v>
      </c>
      <c r="H1989" s="15">
        <v>9188000</v>
      </c>
      <c r="I1989" s="1">
        <v>46091</v>
      </c>
      <c r="J1989" s="1">
        <v>46121</v>
      </c>
      <c r="K1989" s="18" t="s">
        <v>1183</v>
      </c>
      <c r="L1989" s="18" t="s">
        <v>984</v>
      </c>
      <c r="M1989" s="18" t="s">
        <v>19</v>
      </c>
      <c r="N1989" s="18" t="s">
        <v>1187</v>
      </c>
      <c r="O1989">
        <v>30</v>
      </c>
    </row>
    <row r="1990" spans="1:15" x14ac:dyDescent="0.25">
      <c r="A1990" s="18" t="s">
        <v>7276</v>
      </c>
      <c r="B1990" s="18" t="s">
        <v>1185</v>
      </c>
      <c r="C1990" s="18" t="s">
        <v>1186</v>
      </c>
      <c r="D1990" s="18" t="s">
        <v>1181</v>
      </c>
      <c r="E1990" s="18" t="s">
        <v>5760</v>
      </c>
      <c r="F1990" s="2">
        <f>+J1990-I1990</f>
        <v>30</v>
      </c>
      <c r="G1990" s="2">
        <f ca="1">+TODAY()-I1990</f>
        <v>29</v>
      </c>
      <c r="H1990" s="15">
        <v>9289594</v>
      </c>
      <c r="I1990" s="1">
        <v>46091</v>
      </c>
      <c r="J1990" s="1">
        <v>46121</v>
      </c>
      <c r="K1990" s="18" t="s">
        <v>1183</v>
      </c>
      <c r="L1990" s="18" t="s">
        <v>984</v>
      </c>
      <c r="M1990" s="18" t="s">
        <v>19</v>
      </c>
      <c r="N1990" s="18" t="s">
        <v>1187</v>
      </c>
      <c r="O1990">
        <v>30</v>
      </c>
    </row>
    <row r="1991" spans="1:15" x14ac:dyDescent="0.25">
      <c r="A1991" s="18" t="s">
        <v>7276</v>
      </c>
      <c r="B1991" s="18" t="s">
        <v>1185</v>
      </c>
      <c r="C1991" s="18" t="s">
        <v>1186</v>
      </c>
      <c r="D1991" s="18" t="s">
        <v>1181</v>
      </c>
      <c r="E1991" s="18" t="s">
        <v>5761</v>
      </c>
      <c r="F1991" s="2">
        <f>+J1991-I1991</f>
        <v>30</v>
      </c>
      <c r="G1991" s="2">
        <f ca="1">+TODAY()-I1991</f>
        <v>29</v>
      </c>
      <c r="H1991" s="15">
        <v>10</v>
      </c>
      <c r="I1991" s="1">
        <v>46091</v>
      </c>
      <c r="J1991" s="1">
        <v>46121</v>
      </c>
      <c r="K1991" s="18" t="s">
        <v>1183</v>
      </c>
      <c r="L1991" s="18" t="s">
        <v>984</v>
      </c>
      <c r="M1991" s="18" t="s">
        <v>19</v>
      </c>
      <c r="N1991" s="18" t="s">
        <v>1187</v>
      </c>
      <c r="O1991">
        <v>30</v>
      </c>
    </row>
    <row r="1992" spans="1:15" x14ac:dyDescent="0.25">
      <c r="A1992" s="18" t="s">
        <v>7276</v>
      </c>
      <c r="B1992" s="18" t="s">
        <v>1185</v>
      </c>
      <c r="C1992" s="18" t="s">
        <v>1186</v>
      </c>
      <c r="D1992" s="18" t="s">
        <v>1181</v>
      </c>
      <c r="E1992" s="18" t="s">
        <v>5762</v>
      </c>
      <c r="F1992" s="2">
        <f>+J1992-I1992</f>
        <v>30</v>
      </c>
      <c r="G1992" s="2">
        <f ca="1">+TODAY()-I1992</f>
        <v>29</v>
      </c>
      <c r="H1992" s="15">
        <v>13240154</v>
      </c>
      <c r="I1992" s="1">
        <v>46091</v>
      </c>
      <c r="J1992" s="1">
        <v>46121</v>
      </c>
      <c r="K1992" s="18" t="s">
        <v>1183</v>
      </c>
      <c r="L1992" s="18" t="s">
        <v>984</v>
      </c>
      <c r="M1992" s="18" t="s">
        <v>19</v>
      </c>
      <c r="N1992" s="18" t="s">
        <v>1187</v>
      </c>
      <c r="O1992">
        <v>30</v>
      </c>
    </row>
    <row r="1993" spans="1:15" x14ac:dyDescent="0.25">
      <c r="A1993" s="18" t="s">
        <v>7276</v>
      </c>
      <c r="B1993" s="18" t="s">
        <v>940</v>
      </c>
      <c r="C1993" s="18" t="s">
        <v>941</v>
      </c>
      <c r="D1993" s="18" t="s">
        <v>930</v>
      </c>
      <c r="E1993" s="18" t="s">
        <v>5435</v>
      </c>
      <c r="F1993" s="2">
        <f>+J1993-I1993</f>
        <v>30</v>
      </c>
      <c r="G1993" s="2">
        <f ca="1">+TODAY()-I1993</f>
        <v>36</v>
      </c>
      <c r="H1993" s="15">
        <v>1355803</v>
      </c>
      <c r="I1993" s="1">
        <v>46084</v>
      </c>
      <c r="J1993" s="1">
        <v>46114</v>
      </c>
      <c r="K1993" s="18" t="s">
        <v>918</v>
      </c>
      <c r="L1993" s="18" t="s">
        <v>312</v>
      </c>
      <c r="M1993" s="18" t="s">
        <v>19</v>
      </c>
      <c r="N1993" s="18" t="s">
        <v>942</v>
      </c>
      <c r="O1993">
        <v>30</v>
      </c>
    </row>
    <row r="1994" spans="1:15" x14ac:dyDescent="0.25">
      <c r="A1994" s="18" t="s">
        <v>7276</v>
      </c>
      <c r="B1994" s="18" t="s">
        <v>940</v>
      </c>
      <c r="C1994" s="18" t="s">
        <v>941</v>
      </c>
      <c r="D1994" s="18" t="s">
        <v>930</v>
      </c>
      <c r="E1994" s="18" t="s">
        <v>7015</v>
      </c>
      <c r="F1994" s="2">
        <f>+J1994-I1994</f>
        <v>30</v>
      </c>
      <c r="G1994" s="2">
        <f ca="1">+TODAY()-I1994</f>
        <v>9</v>
      </c>
      <c r="H1994" s="15">
        <v>1366442</v>
      </c>
      <c r="I1994" s="1">
        <v>46111</v>
      </c>
      <c r="J1994" s="1">
        <v>46141</v>
      </c>
      <c r="K1994" s="18" t="s">
        <v>918</v>
      </c>
      <c r="L1994" s="18" t="s">
        <v>312</v>
      </c>
      <c r="M1994" s="18" t="s">
        <v>19</v>
      </c>
      <c r="N1994" s="18" t="s">
        <v>942</v>
      </c>
      <c r="O1994">
        <v>30</v>
      </c>
    </row>
    <row r="1995" spans="1:15" x14ac:dyDescent="0.25">
      <c r="A1995" s="18" t="s">
        <v>7276</v>
      </c>
      <c r="B1995" s="18" t="s">
        <v>952</v>
      </c>
      <c r="C1995" s="18" t="s">
        <v>953</v>
      </c>
      <c r="D1995" s="18" t="s">
        <v>930</v>
      </c>
      <c r="E1995" s="18" t="s">
        <v>5969</v>
      </c>
      <c r="F1995" s="2">
        <f>+J1995-I1995</f>
        <v>30</v>
      </c>
      <c r="G1995" s="2">
        <f ca="1">+TODAY()-I1995</f>
        <v>23</v>
      </c>
      <c r="H1995" s="15">
        <v>453006</v>
      </c>
      <c r="I1995" s="1">
        <v>46097</v>
      </c>
      <c r="J1995" s="1">
        <v>46127</v>
      </c>
      <c r="K1995" s="18" t="s">
        <v>918</v>
      </c>
      <c r="L1995" s="18" t="s">
        <v>312</v>
      </c>
      <c r="M1995" s="18" t="s">
        <v>19</v>
      </c>
      <c r="N1995" s="18" t="s">
        <v>954</v>
      </c>
      <c r="O1995">
        <v>30</v>
      </c>
    </row>
    <row r="1996" spans="1:15" x14ac:dyDescent="0.25">
      <c r="A1996" s="18" t="s">
        <v>7276</v>
      </c>
      <c r="B1996" s="18" t="s">
        <v>952</v>
      </c>
      <c r="C1996" s="18" t="s">
        <v>953</v>
      </c>
      <c r="D1996" s="18" t="s">
        <v>930</v>
      </c>
      <c r="E1996" s="18" t="s">
        <v>7477</v>
      </c>
      <c r="F1996" s="2">
        <f>+J1996-I1996</f>
        <v>30</v>
      </c>
      <c r="G1996" s="2">
        <f ca="1">+TODAY()-I1996</f>
        <v>2</v>
      </c>
      <c r="H1996" s="15">
        <v>190771</v>
      </c>
      <c r="I1996" s="1">
        <v>46118</v>
      </c>
      <c r="J1996" s="1">
        <v>46148</v>
      </c>
      <c r="K1996" s="18" t="s">
        <v>918</v>
      </c>
      <c r="L1996" s="18" t="s">
        <v>312</v>
      </c>
      <c r="M1996" s="18" t="s">
        <v>19</v>
      </c>
      <c r="N1996" s="18" t="s">
        <v>954</v>
      </c>
      <c r="O1996">
        <v>30</v>
      </c>
    </row>
    <row r="1997" spans="1:15" x14ac:dyDescent="0.25">
      <c r="A1997" s="18" t="s">
        <v>7276</v>
      </c>
      <c r="B1997" s="18" t="s">
        <v>186</v>
      </c>
      <c r="C1997" s="18" t="s">
        <v>187</v>
      </c>
      <c r="D1997" s="18" t="s">
        <v>46</v>
      </c>
      <c r="E1997" s="18" t="s">
        <v>5520</v>
      </c>
      <c r="F1997" s="2">
        <f>+J1997-I1997</f>
        <v>30</v>
      </c>
      <c r="G1997" s="2">
        <f ca="1">+TODAY()-I1997</f>
        <v>33</v>
      </c>
      <c r="H1997" s="15">
        <v>1369662</v>
      </c>
      <c r="I1997" s="1">
        <v>46087</v>
      </c>
      <c r="J1997" s="1">
        <v>46117</v>
      </c>
      <c r="K1997" s="18" t="s">
        <v>17</v>
      </c>
      <c r="L1997" s="18" t="s">
        <v>32</v>
      </c>
      <c r="M1997" s="18" t="s">
        <v>19</v>
      </c>
      <c r="N1997" s="18" t="s">
        <v>188</v>
      </c>
      <c r="O1997">
        <v>30</v>
      </c>
    </row>
    <row r="1998" spans="1:15" x14ac:dyDescent="0.25">
      <c r="A1998" s="18" t="s">
        <v>7276</v>
      </c>
      <c r="B1998" s="18" t="s">
        <v>186</v>
      </c>
      <c r="C1998" s="18" t="s">
        <v>187</v>
      </c>
      <c r="D1998" s="18" t="s">
        <v>46</v>
      </c>
      <c r="E1998" s="18" t="s">
        <v>5881</v>
      </c>
      <c r="F1998" s="2">
        <f>+J1998-I1998</f>
        <v>30</v>
      </c>
      <c r="G1998" s="2">
        <f ca="1">+TODAY()-I1998</f>
        <v>26</v>
      </c>
      <c r="H1998" s="15">
        <v>1177277</v>
      </c>
      <c r="I1998" s="1">
        <v>46094</v>
      </c>
      <c r="J1998" s="1">
        <v>46124</v>
      </c>
      <c r="K1998" s="18" t="s">
        <v>17</v>
      </c>
      <c r="L1998" s="18" t="s">
        <v>32</v>
      </c>
      <c r="M1998" s="18" t="s">
        <v>19</v>
      </c>
      <c r="N1998" s="18" t="s">
        <v>188</v>
      </c>
      <c r="O1998">
        <v>30</v>
      </c>
    </row>
    <row r="1999" spans="1:15" x14ac:dyDescent="0.25">
      <c r="A1999" s="18" t="s">
        <v>7276</v>
      </c>
      <c r="B1999" s="18" t="s">
        <v>7371</v>
      </c>
      <c r="C1999" s="18" t="s">
        <v>7372</v>
      </c>
      <c r="D1999" s="18" t="s">
        <v>15</v>
      </c>
      <c r="E1999" s="18" t="s">
        <v>7373</v>
      </c>
      <c r="F1999" s="2">
        <f>+J1999-I1999</f>
        <v>30</v>
      </c>
      <c r="G1999" s="2">
        <f ca="1">+TODAY()-I1999</f>
        <v>7</v>
      </c>
      <c r="H1999" s="15">
        <v>33000</v>
      </c>
      <c r="I1999" s="1">
        <v>46113</v>
      </c>
      <c r="J1999" s="1">
        <v>46143</v>
      </c>
      <c r="K1999" s="18" t="s">
        <v>17</v>
      </c>
      <c r="L1999" s="18" t="s">
        <v>109</v>
      </c>
      <c r="M1999" s="18" t="s">
        <v>19</v>
      </c>
      <c r="N1999" s="18" t="s">
        <v>7374</v>
      </c>
      <c r="O1999">
        <v>30</v>
      </c>
    </row>
    <row r="2000" spans="1:15" x14ac:dyDescent="0.25">
      <c r="A2000" s="18" t="s">
        <v>7276</v>
      </c>
      <c r="B2000" s="18" t="s">
        <v>1646</v>
      </c>
      <c r="C2000" s="18" t="s">
        <v>1647</v>
      </c>
      <c r="D2000" s="18" t="s">
        <v>1593</v>
      </c>
      <c r="E2000" s="18" t="s">
        <v>6093</v>
      </c>
      <c r="F2000" s="2">
        <f>+J2000-I2000</f>
        <v>30</v>
      </c>
      <c r="G2000" s="2">
        <f ca="1">+TODAY()-I2000</f>
        <v>27</v>
      </c>
      <c r="H2000" s="15">
        <v>418800</v>
      </c>
      <c r="I2000" s="1">
        <v>46093</v>
      </c>
      <c r="J2000" s="1">
        <v>46123</v>
      </c>
      <c r="K2000" s="18" t="s">
        <v>1589</v>
      </c>
      <c r="L2000" s="18" t="s">
        <v>984</v>
      </c>
      <c r="M2000" s="18" t="s">
        <v>19</v>
      </c>
      <c r="N2000" s="18" t="s">
        <v>1648</v>
      </c>
      <c r="O2000">
        <v>30</v>
      </c>
    </row>
    <row r="2001" spans="1:15" x14ac:dyDescent="0.25">
      <c r="A2001" s="18" t="s">
        <v>7276</v>
      </c>
      <c r="B2001" s="18" t="s">
        <v>1646</v>
      </c>
      <c r="C2001" s="18" t="s">
        <v>1647</v>
      </c>
      <c r="D2001" s="18" t="s">
        <v>1593</v>
      </c>
      <c r="E2001" s="18" t="s">
        <v>6094</v>
      </c>
      <c r="F2001" s="2">
        <f>+J2001-I2001</f>
        <v>30</v>
      </c>
      <c r="G2001" s="2">
        <f ca="1">+TODAY()-I2001</f>
        <v>27</v>
      </c>
      <c r="H2001" s="15">
        <v>1194772</v>
      </c>
      <c r="I2001" s="1">
        <v>46093</v>
      </c>
      <c r="J2001" s="1">
        <v>46123</v>
      </c>
      <c r="K2001" s="18" t="s">
        <v>1589</v>
      </c>
      <c r="L2001" s="18" t="s">
        <v>984</v>
      </c>
      <c r="M2001" s="18" t="s">
        <v>19</v>
      </c>
      <c r="N2001" s="18" t="s">
        <v>1648</v>
      </c>
      <c r="O2001">
        <v>30</v>
      </c>
    </row>
    <row r="2002" spans="1:15" x14ac:dyDescent="0.25">
      <c r="A2002" s="18" t="s">
        <v>7276</v>
      </c>
      <c r="B2002" s="18" t="s">
        <v>1646</v>
      </c>
      <c r="C2002" s="18" t="s">
        <v>1647</v>
      </c>
      <c r="D2002" s="18" t="s">
        <v>1593</v>
      </c>
      <c r="E2002" s="18" t="s">
        <v>6696</v>
      </c>
      <c r="F2002" s="2">
        <f>+J2002-I2002</f>
        <v>30</v>
      </c>
      <c r="G2002" s="2">
        <f ca="1">+TODAY()-I2002</f>
        <v>13</v>
      </c>
      <c r="H2002" s="15">
        <v>1447659</v>
      </c>
      <c r="I2002" s="1">
        <v>46107</v>
      </c>
      <c r="J2002" s="1">
        <v>46137</v>
      </c>
      <c r="K2002" s="18" t="s">
        <v>1589</v>
      </c>
      <c r="L2002" s="18" t="s">
        <v>984</v>
      </c>
      <c r="M2002" s="18" t="s">
        <v>19</v>
      </c>
      <c r="N2002" s="18" t="s">
        <v>1648</v>
      </c>
      <c r="O2002">
        <v>30</v>
      </c>
    </row>
    <row r="2003" spans="1:15" x14ac:dyDescent="0.25">
      <c r="A2003" s="18" t="s">
        <v>7276</v>
      </c>
      <c r="B2003" s="18" t="s">
        <v>1467</v>
      </c>
      <c r="C2003" s="18" t="s">
        <v>1468</v>
      </c>
      <c r="D2003" s="18" t="s">
        <v>341</v>
      </c>
      <c r="E2003" s="18" t="s">
        <v>1469</v>
      </c>
      <c r="F2003" s="2">
        <f>+J2003-I2003</f>
        <v>30</v>
      </c>
      <c r="G2003" s="2">
        <f ca="1">+TODAY()-I2003</f>
        <v>730</v>
      </c>
      <c r="H2003" s="15">
        <v>1079482</v>
      </c>
      <c r="I2003" s="1">
        <v>45390</v>
      </c>
      <c r="J2003" s="1">
        <v>45420</v>
      </c>
      <c r="K2003" s="18" t="s">
        <v>1470</v>
      </c>
      <c r="L2003" s="18" t="s">
        <v>981</v>
      </c>
      <c r="M2003" s="18" t="s">
        <v>19</v>
      </c>
      <c r="N2003" s="18" t="s">
        <v>1471</v>
      </c>
      <c r="O2003">
        <v>30</v>
      </c>
    </row>
    <row r="2004" spans="1:15" x14ac:dyDescent="0.25">
      <c r="A2004" s="18" t="s">
        <v>7276</v>
      </c>
      <c r="B2004" s="18" t="s">
        <v>1467</v>
      </c>
      <c r="C2004" s="18" t="s">
        <v>1468</v>
      </c>
      <c r="D2004" s="18" t="s">
        <v>341</v>
      </c>
      <c r="E2004" s="18" t="s">
        <v>1472</v>
      </c>
      <c r="F2004" s="2">
        <f>+J2004-I2004</f>
        <v>30</v>
      </c>
      <c r="G2004" s="2">
        <f ca="1">+TODAY()-I2004</f>
        <v>699</v>
      </c>
      <c r="H2004" s="15">
        <v>2309590</v>
      </c>
      <c r="I2004" s="1">
        <v>45421</v>
      </c>
      <c r="J2004" s="1">
        <v>45451</v>
      </c>
      <c r="K2004" s="18" t="s">
        <v>1470</v>
      </c>
      <c r="L2004" s="18" t="s">
        <v>981</v>
      </c>
      <c r="M2004" s="18" t="s">
        <v>19</v>
      </c>
      <c r="N2004" s="18" t="s">
        <v>1471</v>
      </c>
      <c r="O2004">
        <v>30</v>
      </c>
    </row>
    <row r="2005" spans="1:15" x14ac:dyDescent="0.25">
      <c r="A2005" s="18" t="s">
        <v>7276</v>
      </c>
      <c r="B2005" s="18" t="s">
        <v>1687</v>
      </c>
      <c r="C2005" s="18" t="s">
        <v>1688</v>
      </c>
      <c r="D2005" s="18" t="s">
        <v>1689</v>
      </c>
      <c r="E2005" s="18" t="s">
        <v>1690</v>
      </c>
      <c r="F2005" s="2">
        <f>+J2005-I2005</f>
        <v>30</v>
      </c>
      <c r="G2005" s="2">
        <f ca="1">+TODAY()-I2005</f>
        <v>937</v>
      </c>
      <c r="H2005" s="15">
        <v>260167</v>
      </c>
      <c r="I2005" s="1">
        <v>45183</v>
      </c>
      <c r="J2005" s="1">
        <v>45213</v>
      </c>
      <c r="K2005" s="18" t="s">
        <v>1691</v>
      </c>
      <c r="L2005" s="18" t="s">
        <v>90</v>
      </c>
      <c r="M2005" s="18" t="s">
        <v>19</v>
      </c>
      <c r="N2005" s="18" t="s">
        <v>1692</v>
      </c>
      <c r="O2005">
        <v>30</v>
      </c>
    </row>
    <row r="2006" spans="1:15" x14ac:dyDescent="0.25">
      <c r="A2006" s="18" t="s">
        <v>7276</v>
      </c>
      <c r="B2006" s="18" t="s">
        <v>1687</v>
      </c>
      <c r="C2006" s="18" t="s">
        <v>1688</v>
      </c>
      <c r="D2006" s="18" t="s">
        <v>1689</v>
      </c>
      <c r="E2006" s="18" t="s">
        <v>1693</v>
      </c>
      <c r="F2006" s="2">
        <f>+J2006-I2006</f>
        <v>30</v>
      </c>
      <c r="G2006" s="2">
        <f ca="1">+TODAY()-I2006</f>
        <v>908</v>
      </c>
      <c r="H2006" s="15">
        <v>1209400</v>
      </c>
      <c r="I2006" s="1">
        <v>45212</v>
      </c>
      <c r="J2006" s="1">
        <v>45242</v>
      </c>
      <c r="K2006" s="18" t="s">
        <v>1691</v>
      </c>
      <c r="L2006" s="18" t="s">
        <v>90</v>
      </c>
      <c r="M2006" s="18" t="s">
        <v>19</v>
      </c>
      <c r="N2006" s="18" t="s">
        <v>1692</v>
      </c>
      <c r="O2006">
        <v>30</v>
      </c>
    </row>
    <row r="2007" spans="1:15" x14ac:dyDescent="0.25">
      <c r="A2007" s="18" t="s">
        <v>7276</v>
      </c>
      <c r="B2007" s="18" t="s">
        <v>1687</v>
      </c>
      <c r="C2007" s="18" t="s">
        <v>1688</v>
      </c>
      <c r="D2007" s="18" t="s">
        <v>1689</v>
      </c>
      <c r="E2007" s="18" t="s">
        <v>1694</v>
      </c>
      <c r="F2007" s="2">
        <f>+J2007-I2007</f>
        <v>30</v>
      </c>
      <c r="G2007" s="2">
        <f ca="1">+TODAY()-I2007</f>
        <v>908</v>
      </c>
      <c r="H2007" s="15">
        <v>1926350</v>
      </c>
      <c r="I2007" s="1">
        <v>45212</v>
      </c>
      <c r="J2007" s="1">
        <v>45242</v>
      </c>
      <c r="K2007" s="18" t="s">
        <v>1691</v>
      </c>
      <c r="L2007" s="18" t="s">
        <v>90</v>
      </c>
      <c r="M2007" s="18" t="s">
        <v>19</v>
      </c>
      <c r="N2007" s="18" t="s">
        <v>1692</v>
      </c>
      <c r="O2007">
        <v>30</v>
      </c>
    </row>
    <row r="2008" spans="1:15" x14ac:dyDescent="0.25">
      <c r="A2008" s="18" t="s">
        <v>7276</v>
      </c>
      <c r="B2008" s="18" t="s">
        <v>6753</v>
      </c>
      <c r="C2008" s="18" t="s">
        <v>6754</v>
      </c>
      <c r="D2008" s="18" t="s">
        <v>15</v>
      </c>
      <c r="E2008" s="18" t="s">
        <v>6755</v>
      </c>
      <c r="F2008" s="2">
        <f>+J2008-I2008</f>
        <v>30</v>
      </c>
      <c r="G2008" s="2">
        <f ca="1">+TODAY()-I2008</f>
        <v>9</v>
      </c>
      <c r="H2008" s="15">
        <v>191500</v>
      </c>
      <c r="I2008" s="1">
        <v>46111</v>
      </c>
      <c r="J2008" s="1">
        <v>46141</v>
      </c>
      <c r="K2008" s="18" t="s">
        <v>17</v>
      </c>
      <c r="L2008" s="18" t="s">
        <v>109</v>
      </c>
      <c r="M2008" s="18" t="s">
        <v>19</v>
      </c>
      <c r="N2008" s="18" t="s">
        <v>6756</v>
      </c>
      <c r="O2008">
        <v>30</v>
      </c>
    </row>
    <row r="2009" spans="1:15" x14ac:dyDescent="0.25">
      <c r="A2009" s="18" t="s">
        <v>7276</v>
      </c>
      <c r="B2009" s="18" t="s">
        <v>1753</v>
      </c>
      <c r="C2009" s="18" t="s">
        <v>1754</v>
      </c>
      <c r="D2009" s="18" t="s">
        <v>1752</v>
      </c>
      <c r="E2009" s="18" t="s">
        <v>5578</v>
      </c>
      <c r="F2009" s="2">
        <f>+J2009-I2009</f>
        <v>30</v>
      </c>
      <c r="G2009" s="2">
        <f ca="1">+TODAY()-I2009</f>
        <v>33</v>
      </c>
      <c r="H2009" s="15">
        <v>2589174</v>
      </c>
      <c r="I2009" s="1">
        <v>46087</v>
      </c>
      <c r="J2009" s="1">
        <v>46117</v>
      </c>
      <c r="K2009" s="18" t="s">
        <v>1747</v>
      </c>
      <c r="L2009" s="18" t="s">
        <v>981</v>
      </c>
      <c r="M2009" s="18" t="s">
        <v>19</v>
      </c>
      <c r="N2009" s="18" t="s">
        <v>1755</v>
      </c>
      <c r="O2009">
        <v>30</v>
      </c>
    </row>
    <row r="2010" spans="1:15" x14ac:dyDescent="0.25">
      <c r="A2010" s="18" t="s">
        <v>7276</v>
      </c>
      <c r="B2010" s="18" t="s">
        <v>1753</v>
      </c>
      <c r="C2010" s="18" t="s">
        <v>1754</v>
      </c>
      <c r="D2010" s="18" t="s">
        <v>1752</v>
      </c>
      <c r="E2010" s="18" t="s">
        <v>5848</v>
      </c>
      <c r="F2010" s="2">
        <f>+J2010-I2010</f>
        <v>30</v>
      </c>
      <c r="G2010" s="2">
        <f ca="1">+TODAY()-I2010</f>
        <v>33</v>
      </c>
      <c r="H2010" s="15">
        <v>2929918</v>
      </c>
      <c r="I2010" s="1">
        <v>46087</v>
      </c>
      <c r="J2010" s="1">
        <v>46117</v>
      </c>
      <c r="K2010" s="18" t="s">
        <v>1747</v>
      </c>
      <c r="L2010" s="18" t="s">
        <v>981</v>
      </c>
      <c r="M2010" s="18" t="s">
        <v>19</v>
      </c>
      <c r="N2010" s="18" t="s">
        <v>1755</v>
      </c>
      <c r="O2010">
        <v>30</v>
      </c>
    </row>
    <row r="2011" spans="1:15" x14ac:dyDescent="0.25">
      <c r="A2011" s="18" t="s">
        <v>7276</v>
      </c>
      <c r="B2011" s="18" t="s">
        <v>6527</v>
      </c>
      <c r="C2011" s="18" t="s">
        <v>6528</v>
      </c>
      <c r="D2011" s="18" t="s">
        <v>1138</v>
      </c>
      <c r="E2011" s="18" t="s">
        <v>7519</v>
      </c>
      <c r="F2011" s="2">
        <f>+J2011-I2011</f>
        <v>1</v>
      </c>
      <c r="G2011" s="2">
        <f ca="1">+TODAY()-I2011</f>
        <v>7</v>
      </c>
      <c r="H2011" s="15">
        <v>31850</v>
      </c>
      <c r="I2011" s="1">
        <v>46113</v>
      </c>
      <c r="J2011" s="1">
        <v>46114</v>
      </c>
      <c r="K2011" s="18" t="s">
        <v>1144</v>
      </c>
      <c r="L2011" s="18" t="s">
        <v>321</v>
      </c>
      <c r="M2011" s="18" t="s">
        <v>19</v>
      </c>
      <c r="N2011" s="18" t="s">
        <v>6529</v>
      </c>
      <c r="O2011">
        <v>30</v>
      </c>
    </row>
    <row r="2012" spans="1:15" x14ac:dyDescent="0.25">
      <c r="A2012" s="18" t="s">
        <v>7276</v>
      </c>
      <c r="B2012" s="18" t="s">
        <v>931</v>
      </c>
      <c r="C2012" s="18" t="s">
        <v>932</v>
      </c>
      <c r="D2012" s="18" t="s">
        <v>916</v>
      </c>
      <c r="E2012" s="18" t="s">
        <v>5703</v>
      </c>
      <c r="F2012" s="2">
        <f>+J2012-I2012</f>
        <v>30</v>
      </c>
      <c r="G2012" s="2">
        <f ca="1">+TODAY()-I2012</f>
        <v>29</v>
      </c>
      <c r="H2012" s="15">
        <v>587034</v>
      </c>
      <c r="I2012" s="1">
        <v>46091</v>
      </c>
      <c r="J2012" s="1">
        <v>46121</v>
      </c>
      <c r="K2012" s="18" t="s">
        <v>918</v>
      </c>
      <c r="L2012" s="18" t="s">
        <v>312</v>
      </c>
      <c r="M2012" s="18" t="s">
        <v>19</v>
      </c>
      <c r="N2012" s="18" t="s">
        <v>933</v>
      </c>
      <c r="O2012">
        <v>30</v>
      </c>
    </row>
    <row r="2013" spans="1:15" x14ac:dyDescent="0.25">
      <c r="A2013" s="18" t="s">
        <v>7276</v>
      </c>
      <c r="B2013" s="18" t="s">
        <v>931</v>
      </c>
      <c r="C2013" s="18" t="s">
        <v>932</v>
      </c>
      <c r="D2013" s="18" t="s">
        <v>916</v>
      </c>
      <c r="E2013" s="18" t="s">
        <v>5978</v>
      </c>
      <c r="F2013" s="2">
        <f>+J2013-I2013</f>
        <v>30</v>
      </c>
      <c r="G2013" s="2">
        <f ca="1">+TODAY()-I2013</f>
        <v>22</v>
      </c>
      <c r="H2013" s="15">
        <v>428000</v>
      </c>
      <c r="I2013" s="1">
        <v>46098</v>
      </c>
      <c r="J2013" s="1">
        <v>46128</v>
      </c>
      <c r="K2013" s="18" t="s">
        <v>918</v>
      </c>
      <c r="L2013" s="18" t="s">
        <v>312</v>
      </c>
      <c r="M2013" s="18" t="s">
        <v>19</v>
      </c>
      <c r="N2013" s="18" t="s">
        <v>933</v>
      </c>
      <c r="O2013">
        <v>30</v>
      </c>
    </row>
    <row r="2014" spans="1:15" x14ac:dyDescent="0.25">
      <c r="A2014" s="18" t="s">
        <v>7276</v>
      </c>
      <c r="B2014" s="18" t="s">
        <v>931</v>
      </c>
      <c r="C2014" s="18" t="s">
        <v>932</v>
      </c>
      <c r="D2014" s="18" t="s">
        <v>916</v>
      </c>
      <c r="E2014" s="18" t="s">
        <v>6486</v>
      </c>
      <c r="F2014" s="2">
        <f>+J2014-I2014</f>
        <v>30</v>
      </c>
      <c r="G2014" s="2">
        <f ca="1">+TODAY()-I2014</f>
        <v>15</v>
      </c>
      <c r="H2014" s="15">
        <v>385310</v>
      </c>
      <c r="I2014" s="1">
        <v>46105</v>
      </c>
      <c r="J2014" s="1">
        <v>46135</v>
      </c>
      <c r="K2014" s="18" t="s">
        <v>918</v>
      </c>
      <c r="L2014" s="18" t="s">
        <v>312</v>
      </c>
      <c r="M2014" s="18" t="s">
        <v>19</v>
      </c>
      <c r="N2014" s="18" t="s">
        <v>933</v>
      </c>
      <c r="O2014">
        <v>30</v>
      </c>
    </row>
    <row r="2015" spans="1:15" x14ac:dyDescent="0.25">
      <c r="A2015" s="18" t="s">
        <v>7276</v>
      </c>
      <c r="B2015" s="18" t="s">
        <v>931</v>
      </c>
      <c r="C2015" s="18" t="s">
        <v>932</v>
      </c>
      <c r="D2015" s="18" t="s">
        <v>916</v>
      </c>
      <c r="E2015" s="18" t="s">
        <v>6487</v>
      </c>
      <c r="F2015" s="2">
        <f>+J2015-I2015</f>
        <v>15</v>
      </c>
      <c r="G2015" s="2">
        <f ca="1">+TODAY()-I2015</f>
        <v>15</v>
      </c>
      <c r="H2015" s="15">
        <v>140622</v>
      </c>
      <c r="I2015" s="1">
        <v>46105</v>
      </c>
      <c r="J2015" s="1">
        <v>46120</v>
      </c>
      <c r="K2015" s="18" t="s">
        <v>918</v>
      </c>
      <c r="L2015" s="18" t="s">
        <v>312</v>
      </c>
      <c r="M2015" s="18" t="s">
        <v>19</v>
      </c>
      <c r="N2015" s="18" t="s">
        <v>933</v>
      </c>
      <c r="O2015">
        <v>30</v>
      </c>
    </row>
    <row r="2016" spans="1:15" x14ac:dyDescent="0.25">
      <c r="A2016" s="18" t="s">
        <v>7276</v>
      </c>
      <c r="B2016" s="18" t="s">
        <v>931</v>
      </c>
      <c r="C2016" s="18" t="s">
        <v>932</v>
      </c>
      <c r="D2016" s="18" t="s">
        <v>916</v>
      </c>
      <c r="E2016" s="18" t="s">
        <v>7749</v>
      </c>
      <c r="F2016" s="2">
        <f>+J2016-I2016</f>
        <v>30</v>
      </c>
      <c r="G2016" s="2">
        <f ca="1">+TODAY()-I2016</f>
        <v>1</v>
      </c>
      <c r="H2016" s="15">
        <v>745016</v>
      </c>
      <c r="I2016" s="1">
        <v>46119</v>
      </c>
      <c r="J2016" s="1">
        <v>46149</v>
      </c>
      <c r="K2016" s="18" t="s">
        <v>918</v>
      </c>
      <c r="L2016" s="18" t="s">
        <v>312</v>
      </c>
      <c r="M2016" s="18" t="s">
        <v>19</v>
      </c>
      <c r="N2016" s="18" t="s">
        <v>933</v>
      </c>
      <c r="O2016">
        <v>30</v>
      </c>
    </row>
    <row r="2017" spans="1:15" x14ac:dyDescent="0.25">
      <c r="A2017" s="18" t="s">
        <v>7276</v>
      </c>
      <c r="B2017" s="18" t="s">
        <v>931</v>
      </c>
      <c r="C2017" s="18" t="s">
        <v>932</v>
      </c>
      <c r="D2017" s="18" t="s">
        <v>916</v>
      </c>
      <c r="E2017" s="18" t="s">
        <v>7750</v>
      </c>
      <c r="F2017" s="2">
        <f>+J2017-I2017</f>
        <v>15</v>
      </c>
      <c r="G2017" s="2">
        <f ca="1">+TODAY()-I2017</f>
        <v>1</v>
      </c>
      <c r="H2017" s="15">
        <v>151416</v>
      </c>
      <c r="I2017" s="1">
        <v>46119</v>
      </c>
      <c r="J2017" s="1">
        <v>46134</v>
      </c>
      <c r="K2017" s="18" t="s">
        <v>918</v>
      </c>
      <c r="L2017" s="18" t="s">
        <v>312</v>
      </c>
      <c r="M2017" s="18" t="s">
        <v>19</v>
      </c>
      <c r="N2017" s="18" t="s">
        <v>933</v>
      </c>
      <c r="O2017">
        <v>30</v>
      </c>
    </row>
    <row r="2018" spans="1:15" x14ac:dyDescent="0.25">
      <c r="A2018" s="18" t="s">
        <v>7276</v>
      </c>
      <c r="B2018" s="18" t="s">
        <v>1415</v>
      </c>
      <c r="C2018" s="18" t="s">
        <v>1416</v>
      </c>
      <c r="D2018" s="18" t="s">
        <v>875</v>
      </c>
      <c r="E2018" s="18" t="s">
        <v>6316</v>
      </c>
      <c r="F2018" s="2">
        <f>+J2018-I2018</f>
        <v>30</v>
      </c>
      <c r="G2018" s="2">
        <f ca="1">+TODAY()-I2018</f>
        <v>20</v>
      </c>
      <c r="H2018" s="15">
        <v>1248770</v>
      </c>
      <c r="I2018" s="1">
        <v>46100</v>
      </c>
      <c r="J2018" s="1">
        <v>46130</v>
      </c>
      <c r="K2018" s="18" t="s">
        <v>1403</v>
      </c>
      <c r="L2018" s="18" t="s">
        <v>90</v>
      </c>
      <c r="M2018" s="18" t="s">
        <v>19</v>
      </c>
      <c r="N2018" s="18" t="s">
        <v>1417</v>
      </c>
      <c r="O2018">
        <v>30</v>
      </c>
    </row>
    <row r="2019" spans="1:15" x14ac:dyDescent="0.25">
      <c r="A2019" s="18" t="s">
        <v>7276</v>
      </c>
      <c r="B2019" s="18" t="s">
        <v>6742</v>
      </c>
      <c r="C2019" s="18" t="s">
        <v>6743</v>
      </c>
      <c r="D2019" s="18" t="s">
        <v>46</v>
      </c>
      <c r="E2019" s="18" t="s">
        <v>6744</v>
      </c>
      <c r="F2019" s="2">
        <f>+J2019-I2019</f>
        <v>30</v>
      </c>
      <c r="G2019" s="2">
        <f ca="1">+TODAY()-I2019</f>
        <v>11</v>
      </c>
      <c r="H2019" s="15">
        <v>169650</v>
      </c>
      <c r="I2019" s="1">
        <v>46109</v>
      </c>
      <c r="J2019" s="1">
        <v>46139</v>
      </c>
      <c r="K2019" s="18" t="s">
        <v>17</v>
      </c>
      <c r="L2019" s="18" t="s">
        <v>47</v>
      </c>
      <c r="M2019" s="18" t="s">
        <v>19</v>
      </c>
      <c r="N2019" s="18" t="s">
        <v>6745</v>
      </c>
      <c r="O2019">
        <v>30</v>
      </c>
    </row>
    <row r="2020" spans="1:15" x14ac:dyDescent="0.25">
      <c r="A2020" s="18" t="s">
        <v>7276</v>
      </c>
      <c r="B2020" s="18" t="s">
        <v>934</v>
      </c>
      <c r="C2020" s="18" t="s">
        <v>935</v>
      </c>
      <c r="D2020" s="18" t="s">
        <v>930</v>
      </c>
      <c r="E2020" s="18" t="s">
        <v>5434</v>
      </c>
      <c r="F2020" s="2">
        <f>+J2020-I2020</f>
        <v>30</v>
      </c>
      <c r="G2020" s="2">
        <f ca="1">+TODAY()-I2020</f>
        <v>36</v>
      </c>
      <c r="H2020" s="15">
        <v>1637455</v>
      </c>
      <c r="I2020" s="1">
        <v>46084</v>
      </c>
      <c r="J2020" s="1">
        <v>46114</v>
      </c>
      <c r="K2020" s="18" t="s">
        <v>918</v>
      </c>
      <c r="L2020" s="18" t="s">
        <v>312</v>
      </c>
      <c r="M2020" s="18" t="s">
        <v>19</v>
      </c>
      <c r="N2020" s="18" t="s">
        <v>936</v>
      </c>
      <c r="O2020">
        <v>30</v>
      </c>
    </row>
    <row r="2021" spans="1:15" x14ac:dyDescent="0.25">
      <c r="A2021" s="18" t="s">
        <v>7276</v>
      </c>
      <c r="B2021" s="18" t="s">
        <v>934</v>
      </c>
      <c r="C2021" s="18" t="s">
        <v>935</v>
      </c>
      <c r="D2021" s="18" t="s">
        <v>930</v>
      </c>
      <c r="E2021" s="18" t="s">
        <v>5705</v>
      </c>
      <c r="F2021" s="2">
        <f>+J2021-I2021</f>
        <v>30</v>
      </c>
      <c r="G2021" s="2">
        <f ca="1">+TODAY()-I2021</f>
        <v>29</v>
      </c>
      <c r="H2021" s="15">
        <v>583465</v>
      </c>
      <c r="I2021" s="1">
        <v>46091</v>
      </c>
      <c r="J2021" s="1">
        <v>46121</v>
      </c>
      <c r="K2021" s="18" t="s">
        <v>918</v>
      </c>
      <c r="L2021" s="18" t="s">
        <v>312</v>
      </c>
      <c r="M2021" s="18" t="s">
        <v>19</v>
      </c>
      <c r="N2021" s="18" t="s">
        <v>936</v>
      </c>
      <c r="O2021">
        <v>30</v>
      </c>
    </row>
    <row r="2022" spans="1:15" x14ac:dyDescent="0.25">
      <c r="A2022" s="18" t="s">
        <v>7276</v>
      </c>
      <c r="B2022" s="18" t="s">
        <v>934</v>
      </c>
      <c r="C2022" s="18" t="s">
        <v>935</v>
      </c>
      <c r="D2022" s="18" t="s">
        <v>930</v>
      </c>
      <c r="E2022" s="18" t="s">
        <v>5706</v>
      </c>
      <c r="F2022" s="2">
        <f>+J2022-I2022</f>
        <v>30</v>
      </c>
      <c r="G2022" s="2">
        <f ca="1">+TODAY()-I2022</f>
        <v>29</v>
      </c>
      <c r="H2022" s="15">
        <v>1505446</v>
      </c>
      <c r="I2022" s="1">
        <v>46091</v>
      </c>
      <c r="J2022" s="1">
        <v>46121</v>
      </c>
      <c r="K2022" s="18" t="s">
        <v>918</v>
      </c>
      <c r="L2022" s="18" t="s">
        <v>312</v>
      </c>
      <c r="M2022" s="18" t="s">
        <v>19</v>
      </c>
      <c r="N2022" s="18" t="s">
        <v>936</v>
      </c>
      <c r="O2022">
        <v>30</v>
      </c>
    </row>
    <row r="2023" spans="1:15" x14ac:dyDescent="0.25">
      <c r="A2023" s="18" t="s">
        <v>7276</v>
      </c>
      <c r="B2023" s="18" t="s">
        <v>934</v>
      </c>
      <c r="C2023" s="18" t="s">
        <v>935</v>
      </c>
      <c r="D2023" s="18" t="s">
        <v>930</v>
      </c>
      <c r="E2023" s="18" t="s">
        <v>5975</v>
      </c>
      <c r="F2023" s="2">
        <f>+J2023-I2023</f>
        <v>30</v>
      </c>
      <c r="G2023" s="2">
        <f ca="1">+TODAY()-I2023</f>
        <v>22</v>
      </c>
      <c r="H2023" s="15">
        <v>1289296</v>
      </c>
      <c r="I2023" s="1">
        <v>46098</v>
      </c>
      <c r="J2023" s="1">
        <v>46128</v>
      </c>
      <c r="K2023" s="18" t="s">
        <v>918</v>
      </c>
      <c r="L2023" s="18" t="s">
        <v>312</v>
      </c>
      <c r="M2023" s="18" t="s">
        <v>19</v>
      </c>
      <c r="N2023" s="18" t="s">
        <v>936</v>
      </c>
      <c r="O2023">
        <v>30</v>
      </c>
    </row>
    <row r="2024" spans="1:15" x14ac:dyDescent="0.25">
      <c r="A2024" s="18" t="s">
        <v>7276</v>
      </c>
      <c r="B2024" s="18" t="s">
        <v>934</v>
      </c>
      <c r="C2024" s="18" t="s">
        <v>935</v>
      </c>
      <c r="D2024" s="18" t="s">
        <v>930</v>
      </c>
      <c r="E2024" s="18" t="s">
        <v>6483</v>
      </c>
      <c r="F2024" s="2">
        <f>+J2024-I2024</f>
        <v>30</v>
      </c>
      <c r="G2024" s="2">
        <f ca="1">+TODAY()-I2024</f>
        <v>15</v>
      </c>
      <c r="H2024" s="15">
        <v>661764</v>
      </c>
      <c r="I2024" s="1">
        <v>46105</v>
      </c>
      <c r="J2024" s="1">
        <v>46135</v>
      </c>
      <c r="K2024" s="18" t="s">
        <v>918</v>
      </c>
      <c r="L2024" s="18" t="s">
        <v>312</v>
      </c>
      <c r="M2024" s="18" t="s">
        <v>19</v>
      </c>
      <c r="N2024" s="18" t="s">
        <v>936</v>
      </c>
      <c r="O2024">
        <v>30</v>
      </c>
    </row>
    <row r="2025" spans="1:15" x14ac:dyDescent="0.25">
      <c r="A2025" s="18" t="s">
        <v>7276</v>
      </c>
      <c r="B2025" s="18" t="s">
        <v>934</v>
      </c>
      <c r="C2025" s="18" t="s">
        <v>935</v>
      </c>
      <c r="D2025" s="18" t="s">
        <v>930</v>
      </c>
      <c r="E2025" s="18" t="s">
        <v>6484</v>
      </c>
      <c r="F2025" s="2">
        <f>+J2025-I2025</f>
        <v>30</v>
      </c>
      <c r="G2025" s="2">
        <f ca="1">+TODAY()-I2025</f>
        <v>15</v>
      </c>
      <c r="H2025" s="15">
        <v>1375297</v>
      </c>
      <c r="I2025" s="1">
        <v>46105</v>
      </c>
      <c r="J2025" s="1">
        <v>46135</v>
      </c>
      <c r="K2025" s="18" t="s">
        <v>918</v>
      </c>
      <c r="L2025" s="18" t="s">
        <v>312</v>
      </c>
      <c r="M2025" s="18" t="s">
        <v>19</v>
      </c>
      <c r="N2025" s="18" t="s">
        <v>936</v>
      </c>
      <c r="O2025">
        <v>30</v>
      </c>
    </row>
    <row r="2026" spans="1:15" x14ac:dyDescent="0.25">
      <c r="A2026" s="18" t="s">
        <v>7276</v>
      </c>
      <c r="B2026" s="18" t="s">
        <v>934</v>
      </c>
      <c r="C2026" s="18" t="s">
        <v>935</v>
      </c>
      <c r="D2026" s="18" t="s">
        <v>930</v>
      </c>
      <c r="E2026" s="18" t="s">
        <v>6485</v>
      </c>
      <c r="F2026" s="2">
        <f>+J2026-I2026</f>
        <v>15</v>
      </c>
      <c r="G2026" s="2">
        <f ca="1">+TODAY()-I2026</f>
        <v>15</v>
      </c>
      <c r="H2026" s="15">
        <v>220568</v>
      </c>
      <c r="I2026" s="1">
        <v>46105</v>
      </c>
      <c r="J2026" s="1">
        <v>46120</v>
      </c>
      <c r="K2026" s="18" t="s">
        <v>918</v>
      </c>
      <c r="L2026" s="18" t="s">
        <v>312</v>
      </c>
      <c r="M2026" s="18" t="s">
        <v>19</v>
      </c>
      <c r="N2026" s="18" t="s">
        <v>936</v>
      </c>
      <c r="O2026">
        <v>30</v>
      </c>
    </row>
    <row r="2027" spans="1:15" x14ac:dyDescent="0.25">
      <c r="A2027" s="18" t="s">
        <v>7276</v>
      </c>
      <c r="B2027" s="18" t="s">
        <v>934</v>
      </c>
      <c r="C2027" s="18" t="s">
        <v>935</v>
      </c>
      <c r="D2027" s="18" t="s">
        <v>930</v>
      </c>
      <c r="E2027" s="18" t="s">
        <v>7009</v>
      </c>
      <c r="F2027" s="2">
        <f>+J2027-I2027</f>
        <v>30</v>
      </c>
      <c r="G2027" s="2">
        <f ca="1">+TODAY()-I2027</f>
        <v>9</v>
      </c>
      <c r="H2027" s="15">
        <v>936842</v>
      </c>
      <c r="I2027" s="1">
        <v>46111</v>
      </c>
      <c r="J2027" s="1">
        <v>46141</v>
      </c>
      <c r="K2027" s="18" t="s">
        <v>918</v>
      </c>
      <c r="L2027" s="18" t="s">
        <v>312</v>
      </c>
      <c r="M2027" s="18" t="s">
        <v>19</v>
      </c>
      <c r="N2027" s="18" t="s">
        <v>936</v>
      </c>
      <c r="O2027">
        <v>30</v>
      </c>
    </row>
    <row r="2028" spans="1:15" x14ac:dyDescent="0.25">
      <c r="A2028" s="18" t="s">
        <v>7276</v>
      </c>
      <c r="B2028" s="18" t="s">
        <v>934</v>
      </c>
      <c r="C2028" s="18" t="s">
        <v>935</v>
      </c>
      <c r="D2028" s="18" t="s">
        <v>930</v>
      </c>
      <c r="E2028" s="18" t="s">
        <v>7020</v>
      </c>
      <c r="F2028" s="2">
        <f>+J2028-I2028</f>
        <v>30</v>
      </c>
      <c r="G2028" s="2">
        <f ca="1">+TODAY()-I2028</f>
        <v>9</v>
      </c>
      <c r="H2028" s="15">
        <v>288000</v>
      </c>
      <c r="I2028" s="1">
        <v>46111</v>
      </c>
      <c r="J2028" s="1">
        <v>46141</v>
      </c>
      <c r="K2028" s="18" t="s">
        <v>918</v>
      </c>
      <c r="L2028" s="18" t="s">
        <v>312</v>
      </c>
      <c r="M2028" s="18" t="s">
        <v>19</v>
      </c>
      <c r="N2028" s="18" t="s">
        <v>936</v>
      </c>
      <c r="O2028">
        <v>30</v>
      </c>
    </row>
    <row r="2029" spans="1:15" x14ac:dyDescent="0.25">
      <c r="A2029" s="18" t="s">
        <v>7276</v>
      </c>
      <c r="B2029" s="18" t="s">
        <v>934</v>
      </c>
      <c r="C2029" s="18" t="s">
        <v>935</v>
      </c>
      <c r="D2029" s="18" t="s">
        <v>930</v>
      </c>
      <c r="E2029" s="18" t="s">
        <v>7755</v>
      </c>
      <c r="F2029" s="2">
        <f>+J2029-I2029</f>
        <v>30</v>
      </c>
      <c r="G2029" s="2">
        <f ca="1">+TODAY()-I2029</f>
        <v>1</v>
      </c>
      <c r="H2029" s="15">
        <v>339704</v>
      </c>
      <c r="I2029" s="1">
        <v>46119</v>
      </c>
      <c r="J2029" s="1">
        <v>46149</v>
      </c>
      <c r="K2029" s="18" t="s">
        <v>918</v>
      </c>
      <c r="L2029" s="18" t="s">
        <v>312</v>
      </c>
      <c r="M2029" s="18" t="s">
        <v>19</v>
      </c>
      <c r="N2029" s="18" t="s">
        <v>936</v>
      </c>
      <c r="O2029">
        <v>30</v>
      </c>
    </row>
    <row r="2030" spans="1:15" x14ac:dyDescent="0.25">
      <c r="A2030" s="18" t="s">
        <v>7276</v>
      </c>
      <c r="B2030" s="18" t="s">
        <v>934</v>
      </c>
      <c r="C2030" s="18" t="s">
        <v>935</v>
      </c>
      <c r="D2030" s="18" t="s">
        <v>930</v>
      </c>
      <c r="E2030" s="18" t="s">
        <v>7756</v>
      </c>
      <c r="F2030" s="2">
        <f>+J2030-I2030</f>
        <v>30</v>
      </c>
      <c r="G2030" s="2">
        <f ca="1">+TODAY()-I2030</f>
        <v>1</v>
      </c>
      <c r="H2030" s="15">
        <v>1217247</v>
      </c>
      <c r="I2030" s="1">
        <v>46119</v>
      </c>
      <c r="J2030" s="1">
        <v>46149</v>
      </c>
      <c r="K2030" s="18" t="s">
        <v>918</v>
      </c>
      <c r="L2030" s="18" t="s">
        <v>312</v>
      </c>
      <c r="M2030" s="18" t="s">
        <v>19</v>
      </c>
      <c r="N2030" s="18" t="s">
        <v>936</v>
      </c>
      <c r="O2030">
        <v>30</v>
      </c>
    </row>
    <row r="2031" spans="1:15" x14ac:dyDescent="0.25">
      <c r="A2031" s="18" t="s">
        <v>7276</v>
      </c>
      <c r="B2031" s="18" t="s">
        <v>934</v>
      </c>
      <c r="C2031" s="18" t="s">
        <v>935</v>
      </c>
      <c r="D2031" s="18" t="s">
        <v>930</v>
      </c>
      <c r="E2031" s="18" t="s">
        <v>7757</v>
      </c>
      <c r="F2031" s="2">
        <f>+J2031-I2031</f>
        <v>15</v>
      </c>
      <c r="G2031" s="2">
        <f ca="1">+TODAY()-I2031</f>
        <v>1</v>
      </c>
      <c r="H2031" s="15">
        <v>853566</v>
      </c>
      <c r="I2031" s="1">
        <v>46119</v>
      </c>
      <c r="J2031" s="1">
        <v>46134</v>
      </c>
      <c r="K2031" s="18" t="s">
        <v>918</v>
      </c>
      <c r="L2031" s="18" t="s">
        <v>312</v>
      </c>
      <c r="M2031" s="18" t="s">
        <v>19</v>
      </c>
      <c r="N2031" s="18" t="s">
        <v>936</v>
      </c>
      <c r="O2031">
        <v>30</v>
      </c>
    </row>
    <row r="2032" spans="1:15" x14ac:dyDescent="0.25">
      <c r="A2032" s="18" t="s">
        <v>7276</v>
      </c>
      <c r="B2032" s="18" t="s">
        <v>657</v>
      </c>
      <c r="C2032" s="18" t="s">
        <v>658</v>
      </c>
      <c r="D2032" s="18" t="s">
        <v>336</v>
      </c>
      <c r="E2032" s="18" t="s">
        <v>5537</v>
      </c>
      <c r="F2032" s="2">
        <f>+J2032-I2032</f>
        <v>30</v>
      </c>
      <c r="G2032" s="2">
        <f ca="1">+TODAY()-I2032</f>
        <v>34</v>
      </c>
      <c r="H2032" s="15">
        <v>1349877</v>
      </c>
      <c r="I2032" s="1">
        <v>46086</v>
      </c>
      <c r="J2032" s="1">
        <v>46116</v>
      </c>
      <c r="K2032" s="18" t="s">
        <v>638</v>
      </c>
      <c r="L2032" s="18" t="s">
        <v>18</v>
      </c>
      <c r="M2032" s="18" t="s">
        <v>19</v>
      </c>
      <c r="N2032" s="18" t="s">
        <v>659</v>
      </c>
      <c r="O2032">
        <v>30</v>
      </c>
    </row>
    <row r="2033" spans="1:15" x14ac:dyDescent="0.25">
      <c r="A2033" s="18" t="s">
        <v>7276</v>
      </c>
      <c r="B2033" s="18" t="s">
        <v>657</v>
      </c>
      <c r="C2033" s="18" t="s">
        <v>658</v>
      </c>
      <c r="D2033" s="18" t="s">
        <v>336</v>
      </c>
      <c r="E2033" s="18" t="s">
        <v>6208</v>
      </c>
      <c r="F2033" s="2">
        <f>+J2033-I2033</f>
        <v>30</v>
      </c>
      <c r="G2033" s="2">
        <f ca="1">+TODAY()-I2033</f>
        <v>21</v>
      </c>
      <c r="H2033" s="15">
        <v>1206655</v>
      </c>
      <c r="I2033" s="1">
        <v>46099</v>
      </c>
      <c r="J2033" s="1">
        <v>46129</v>
      </c>
      <c r="K2033" s="18" t="s">
        <v>638</v>
      </c>
      <c r="L2033" s="18" t="s">
        <v>18</v>
      </c>
      <c r="M2033" s="18" t="s">
        <v>19</v>
      </c>
      <c r="N2033" s="18" t="s">
        <v>659</v>
      </c>
      <c r="O2033">
        <v>30</v>
      </c>
    </row>
    <row r="2034" spans="1:15" x14ac:dyDescent="0.25">
      <c r="A2034" s="18" t="s">
        <v>7276</v>
      </c>
      <c r="B2034" s="18" t="s">
        <v>1569</v>
      </c>
      <c r="C2034" s="18" t="s">
        <v>1570</v>
      </c>
      <c r="D2034" s="18" t="s">
        <v>1563</v>
      </c>
      <c r="E2034" s="18" t="s">
        <v>5044</v>
      </c>
      <c r="F2034" s="2">
        <f>+J2034-I2034</f>
        <v>30</v>
      </c>
      <c r="G2034" s="2">
        <f ca="1">+TODAY()-I2034</f>
        <v>60</v>
      </c>
      <c r="H2034" s="15">
        <v>2535956</v>
      </c>
      <c r="I2034" s="1">
        <v>46060</v>
      </c>
      <c r="J2034" s="1">
        <v>46090</v>
      </c>
      <c r="K2034" s="18" t="s">
        <v>1564</v>
      </c>
      <c r="L2034" s="18" t="s">
        <v>984</v>
      </c>
      <c r="M2034" s="18" t="s">
        <v>19</v>
      </c>
      <c r="N2034" s="18" t="s">
        <v>1571</v>
      </c>
      <c r="O2034">
        <v>30</v>
      </c>
    </row>
    <row r="2035" spans="1:15" x14ac:dyDescent="0.25">
      <c r="A2035" s="18" t="s">
        <v>7276</v>
      </c>
      <c r="B2035" s="18" t="s">
        <v>1569</v>
      </c>
      <c r="C2035" s="18" t="s">
        <v>1570</v>
      </c>
      <c r="D2035" s="18" t="s">
        <v>1563</v>
      </c>
      <c r="E2035" s="18" t="s">
        <v>5045</v>
      </c>
      <c r="F2035" s="2">
        <f>+J2035-I2035</f>
        <v>30</v>
      </c>
      <c r="G2035" s="2">
        <f ca="1">+TODAY()-I2035</f>
        <v>60</v>
      </c>
      <c r="H2035" s="15">
        <v>3078876</v>
      </c>
      <c r="I2035" s="1">
        <v>46060</v>
      </c>
      <c r="J2035" s="1">
        <v>46090</v>
      </c>
      <c r="K2035" s="18" t="s">
        <v>1564</v>
      </c>
      <c r="L2035" s="18" t="s">
        <v>984</v>
      </c>
      <c r="M2035" s="18" t="s">
        <v>19</v>
      </c>
      <c r="N2035" s="18" t="s">
        <v>1571</v>
      </c>
      <c r="O2035">
        <v>30</v>
      </c>
    </row>
    <row r="2036" spans="1:15" x14ac:dyDescent="0.25">
      <c r="A2036" s="18" t="s">
        <v>7276</v>
      </c>
      <c r="B2036" s="18" t="s">
        <v>1569</v>
      </c>
      <c r="C2036" s="18" t="s">
        <v>1570</v>
      </c>
      <c r="D2036" s="18" t="s">
        <v>1563</v>
      </c>
      <c r="E2036" s="18" t="s">
        <v>5148</v>
      </c>
      <c r="F2036" s="2">
        <f>+J2036-I2036</f>
        <v>30</v>
      </c>
      <c r="G2036" s="2">
        <f ca="1">+TODAY()-I2036</f>
        <v>49</v>
      </c>
      <c r="H2036" s="15">
        <v>3218020</v>
      </c>
      <c r="I2036" s="1">
        <v>46071</v>
      </c>
      <c r="J2036" s="1">
        <v>46101</v>
      </c>
      <c r="K2036" s="18" t="s">
        <v>1564</v>
      </c>
      <c r="L2036" s="18" t="s">
        <v>984</v>
      </c>
      <c r="M2036" s="18" t="s">
        <v>19</v>
      </c>
      <c r="N2036" s="18" t="s">
        <v>1571</v>
      </c>
      <c r="O2036">
        <v>30</v>
      </c>
    </row>
    <row r="2037" spans="1:15" x14ac:dyDescent="0.25">
      <c r="A2037" s="18" t="s">
        <v>7276</v>
      </c>
      <c r="B2037" s="18" t="s">
        <v>1569</v>
      </c>
      <c r="C2037" s="18" t="s">
        <v>1570</v>
      </c>
      <c r="D2037" s="18" t="s">
        <v>1563</v>
      </c>
      <c r="E2037" s="18" t="s">
        <v>5149</v>
      </c>
      <c r="F2037" s="2">
        <f>+J2037-I2037</f>
        <v>30</v>
      </c>
      <c r="G2037" s="2">
        <f ca="1">+TODAY()-I2037</f>
        <v>49</v>
      </c>
      <c r="H2037" s="15">
        <v>1365292</v>
      </c>
      <c r="I2037" s="1">
        <v>46071</v>
      </c>
      <c r="J2037" s="1">
        <v>46101</v>
      </c>
      <c r="K2037" s="18" t="s">
        <v>1564</v>
      </c>
      <c r="L2037" s="18" t="s">
        <v>984</v>
      </c>
      <c r="M2037" s="18" t="s">
        <v>19</v>
      </c>
      <c r="N2037" s="18" t="s">
        <v>1571</v>
      </c>
      <c r="O2037">
        <v>30</v>
      </c>
    </row>
    <row r="2038" spans="1:15" x14ac:dyDescent="0.25">
      <c r="A2038" s="18" t="s">
        <v>7276</v>
      </c>
      <c r="B2038" s="18" t="s">
        <v>1569</v>
      </c>
      <c r="C2038" s="18" t="s">
        <v>1570</v>
      </c>
      <c r="D2038" s="18" t="s">
        <v>1563</v>
      </c>
      <c r="E2038" s="18" t="s">
        <v>5150</v>
      </c>
      <c r="F2038" s="2">
        <f>+J2038-I2038</f>
        <v>30</v>
      </c>
      <c r="G2038" s="2">
        <f ca="1">+TODAY()-I2038</f>
        <v>49</v>
      </c>
      <c r="H2038" s="15">
        <v>2107000</v>
      </c>
      <c r="I2038" s="1">
        <v>46071</v>
      </c>
      <c r="J2038" s="1">
        <v>46101</v>
      </c>
      <c r="K2038" s="18" t="s">
        <v>1564</v>
      </c>
      <c r="L2038" s="18" t="s">
        <v>984</v>
      </c>
      <c r="M2038" s="18" t="s">
        <v>19</v>
      </c>
      <c r="N2038" s="18" t="s">
        <v>1571</v>
      </c>
      <c r="O2038">
        <v>30</v>
      </c>
    </row>
    <row r="2039" spans="1:15" x14ac:dyDescent="0.25">
      <c r="A2039" s="18" t="s">
        <v>7276</v>
      </c>
      <c r="B2039" s="18" t="s">
        <v>1433</v>
      </c>
      <c r="C2039" s="18" t="s">
        <v>1434</v>
      </c>
      <c r="D2039" s="18" t="s">
        <v>875</v>
      </c>
      <c r="E2039" s="18" t="s">
        <v>6312</v>
      </c>
      <c r="F2039" s="2">
        <f>+J2039-I2039</f>
        <v>30</v>
      </c>
      <c r="G2039" s="2">
        <f ca="1">+TODAY()-I2039</f>
        <v>21</v>
      </c>
      <c r="H2039" s="15">
        <v>1000281</v>
      </c>
      <c r="I2039" s="1">
        <v>46099</v>
      </c>
      <c r="J2039" s="1">
        <v>46129</v>
      </c>
      <c r="K2039" s="18" t="s">
        <v>1403</v>
      </c>
      <c r="L2039" s="18" t="s">
        <v>90</v>
      </c>
      <c r="M2039" s="18" t="s">
        <v>19</v>
      </c>
      <c r="N2039" s="18" t="s">
        <v>6307</v>
      </c>
      <c r="O2039">
        <v>30</v>
      </c>
    </row>
    <row r="2040" spans="1:15" x14ac:dyDescent="0.25">
      <c r="A2040" s="18" t="s">
        <v>7276</v>
      </c>
      <c r="B2040" s="18" t="s">
        <v>1433</v>
      </c>
      <c r="C2040" s="18" t="s">
        <v>1434</v>
      </c>
      <c r="D2040" s="18" t="s">
        <v>875</v>
      </c>
      <c r="E2040" s="18" t="s">
        <v>7571</v>
      </c>
      <c r="F2040" s="2">
        <f>+J2040-I2040</f>
        <v>30</v>
      </c>
      <c r="G2040" s="2">
        <f ca="1">+TODAY()-I2040</f>
        <v>7</v>
      </c>
      <c r="H2040" s="15">
        <v>1398547</v>
      </c>
      <c r="I2040" s="1">
        <v>46113</v>
      </c>
      <c r="J2040" s="1">
        <v>46143</v>
      </c>
      <c r="K2040" s="18" t="s">
        <v>1403</v>
      </c>
      <c r="L2040" s="18" t="s">
        <v>90</v>
      </c>
      <c r="M2040" s="18" t="s">
        <v>19</v>
      </c>
      <c r="N2040" s="18" t="s">
        <v>6307</v>
      </c>
      <c r="O2040">
        <v>30</v>
      </c>
    </row>
    <row r="2041" spans="1:15" x14ac:dyDescent="0.25">
      <c r="A2041" s="18" t="s">
        <v>7276</v>
      </c>
      <c r="B2041" s="18" t="s">
        <v>1433</v>
      </c>
      <c r="C2041" s="18" t="s">
        <v>1434</v>
      </c>
      <c r="D2041" s="18" t="s">
        <v>875</v>
      </c>
      <c r="E2041" s="18" t="s">
        <v>7572</v>
      </c>
      <c r="F2041" s="2">
        <f>+J2041-I2041</f>
        <v>30</v>
      </c>
      <c r="G2041" s="2">
        <f ca="1">+TODAY()-I2041</f>
        <v>7</v>
      </c>
      <c r="H2041" s="15">
        <v>2709250</v>
      </c>
      <c r="I2041" s="1">
        <v>46113</v>
      </c>
      <c r="J2041" s="1">
        <v>46143</v>
      </c>
      <c r="K2041" s="18" t="s">
        <v>1403</v>
      </c>
      <c r="L2041" s="18" t="s">
        <v>90</v>
      </c>
      <c r="M2041" s="18" t="s">
        <v>19</v>
      </c>
      <c r="N2041" s="18" t="s">
        <v>6307</v>
      </c>
      <c r="O2041">
        <v>30</v>
      </c>
    </row>
    <row r="2042" spans="1:15" x14ac:dyDescent="0.25">
      <c r="A2042" s="18" t="s">
        <v>7276</v>
      </c>
      <c r="B2042" s="18" t="s">
        <v>1433</v>
      </c>
      <c r="C2042" s="18" t="s">
        <v>1434</v>
      </c>
      <c r="D2042" s="18" t="s">
        <v>875</v>
      </c>
      <c r="E2042" s="18" t="s">
        <v>7573</v>
      </c>
      <c r="F2042" s="2">
        <f>+J2042-I2042</f>
        <v>30</v>
      </c>
      <c r="G2042" s="2">
        <f ca="1">+TODAY()-I2042</f>
        <v>7</v>
      </c>
      <c r="H2042" s="15">
        <v>1179688</v>
      </c>
      <c r="I2042" s="1">
        <v>46113</v>
      </c>
      <c r="J2042" s="1">
        <v>46143</v>
      </c>
      <c r="K2042" s="18" t="s">
        <v>1403</v>
      </c>
      <c r="L2042" s="18" t="s">
        <v>90</v>
      </c>
      <c r="M2042" s="18" t="s">
        <v>19</v>
      </c>
      <c r="N2042" s="18" t="s">
        <v>6307</v>
      </c>
      <c r="O2042">
        <v>30</v>
      </c>
    </row>
    <row r="2043" spans="1:15" x14ac:dyDescent="0.25">
      <c r="A2043" s="18" t="s">
        <v>7276</v>
      </c>
      <c r="B2043" s="18" t="s">
        <v>4362</v>
      </c>
      <c r="C2043" s="18" t="s">
        <v>4363</v>
      </c>
      <c r="D2043" s="18" t="s">
        <v>336</v>
      </c>
      <c r="E2043" s="18" t="s">
        <v>5929</v>
      </c>
      <c r="F2043" s="2">
        <f>+J2043-I2043</f>
        <v>1</v>
      </c>
      <c r="G2043" s="2">
        <f ca="1">+TODAY()-I2043</f>
        <v>27</v>
      </c>
      <c r="H2043" s="15">
        <v>252000</v>
      </c>
      <c r="I2043" s="1">
        <v>46093</v>
      </c>
      <c r="J2043" s="1">
        <v>46094</v>
      </c>
      <c r="K2043" s="18" t="s">
        <v>638</v>
      </c>
      <c r="L2043" s="18" t="s">
        <v>317</v>
      </c>
      <c r="M2043" s="18" t="s">
        <v>19</v>
      </c>
      <c r="N2043" s="18" t="s">
        <v>4365</v>
      </c>
      <c r="O2043">
        <v>30</v>
      </c>
    </row>
    <row r="2044" spans="1:15" x14ac:dyDescent="0.25">
      <c r="A2044" s="18" t="s">
        <v>7276</v>
      </c>
      <c r="B2044" s="18" t="s">
        <v>4362</v>
      </c>
      <c r="C2044" s="18" t="s">
        <v>4363</v>
      </c>
      <c r="D2044" s="18" t="s">
        <v>336</v>
      </c>
      <c r="E2044" s="18" t="s">
        <v>5930</v>
      </c>
      <c r="F2044" s="2">
        <f>+J2044-I2044</f>
        <v>1</v>
      </c>
      <c r="G2044" s="2">
        <f ca="1">+TODAY()-I2044</f>
        <v>27</v>
      </c>
      <c r="H2044" s="15">
        <v>52040</v>
      </c>
      <c r="I2044" s="1">
        <v>46093</v>
      </c>
      <c r="J2044" s="1">
        <v>46094</v>
      </c>
      <c r="K2044" s="18" t="s">
        <v>638</v>
      </c>
      <c r="L2044" s="18" t="s">
        <v>317</v>
      </c>
      <c r="M2044" s="18" t="s">
        <v>19</v>
      </c>
      <c r="N2044" s="18" t="s">
        <v>4365</v>
      </c>
      <c r="O2044">
        <v>30</v>
      </c>
    </row>
    <row r="2045" spans="1:15" x14ac:dyDescent="0.25">
      <c r="A2045" s="18" t="s">
        <v>7276</v>
      </c>
      <c r="B2045" s="18" t="s">
        <v>7108</v>
      </c>
      <c r="C2045" s="18" t="s">
        <v>7109</v>
      </c>
      <c r="D2045" s="18" t="s">
        <v>1209</v>
      </c>
      <c r="E2045" s="18" t="s">
        <v>7110</v>
      </c>
      <c r="F2045" s="2">
        <f>+J2045-I2045</f>
        <v>1</v>
      </c>
      <c r="G2045" s="2">
        <f ca="1">+TODAY()-I2045</f>
        <v>8</v>
      </c>
      <c r="H2045" s="15">
        <v>74609</v>
      </c>
      <c r="I2045" s="1">
        <v>46112</v>
      </c>
      <c r="J2045" s="1">
        <v>46113</v>
      </c>
      <c r="K2045" s="18" t="s">
        <v>1202</v>
      </c>
      <c r="L2045" s="18" t="s">
        <v>321</v>
      </c>
      <c r="M2045" s="18" t="s">
        <v>19</v>
      </c>
      <c r="N2045" s="18" t="s">
        <v>7111</v>
      </c>
      <c r="O2045">
        <v>30</v>
      </c>
    </row>
    <row r="2046" spans="1:15" x14ac:dyDescent="0.25">
      <c r="A2046" s="18" t="s">
        <v>7276</v>
      </c>
      <c r="B2046" s="18" t="s">
        <v>1900</v>
      </c>
      <c r="C2046" s="18" t="s">
        <v>1901</v>
      </c>
      <c r="D2046" s="18" t="s">
        <v>1891</v>
      </c>
      <c r="E2046" s="18" t="s">
        <v>5376</v>
      </c>
      <c r="F2046" s="2">
        <f>+J2046-I2046</f>
        <v>30</v>
      </c>
      <c r="G2046" s="2">
        <f ca="1">+TODAY()-I2046</f>
        <v>44</v>
      </c>
      <c r="H2046" s="15">
        <v>164800</v>
      </c>
      <c r="I2046" s="1">
        <v>46076</v>
      </c>
      <c r="J2046" s="1">
        <v>46106</v>
      </c>
      <c r="K2046" s="18" t="s">
        <v>1892</v>
      </c>
      <c r="L2046" s="18" t="s">
        <v>981</v>
      </c>
      <c r="M2046" s="18" t="s">
        <v>19</v>
      </c>
      <c r="N2046" s="18" t="s">
        <v>1902</v>
      </c>
      <c r="O2046">
        <v>30</v>
      </c>
    </row>
    <row r="2047" spans="1:15" x14ac:dyDescent="0.25">
      <c r="A2047" s="18" t="s">
        <v>7276</v>
      </c>
      <c r="B2047" s="18" t="s">
        <v>1900</v>
      </c>
      <c r="C2047" s="18" t="s">
        <v>1901</v>
      </c>
      <c r="D2047" s="18" t="s">
        <v>1891</v>
      </c>
      <c r="E2047" s="18" t="s">
        <v>5377</v>
      </c>
      <c r="F2047" s="2">
        <f>+J2047-I2047</f>
        <v>30</v>
      </c>
      <c r="G2047" s="2">
        <f ca="1">+TODAY()-I2047</f>
        <v>44</v>
      </c>
      <c r="H2047" s="15">
        <v>154198</v>
      </c>
      <c r="I2047" s="1">
        <v>46076</v>
      </c>
      <c r="J2047" s="1">
        <v>46106</v>
      </c>
      <c r="K2047" s="18" t="s">
        <v>1892</v>
      </c>
      <c r="L2047" s="18" t="s">
        <v>981</v>
      </c>
      <c r="M2047" s="18" t="s">
        <v>19</v>
      </c>
      <c r="N2047" s="18" t="s">
        <v>1902</v>
      </c>
      <c r="O2047">
        <v>30</v>
      </c>
    </row>
    <row r="2048" spans="1:15" x14ac:dyDescent="0.25">
      <c r="A2048" s="18" t="s">
        <v>7276</v>
      </c>
      <c r="B2048" s="18" t="s">
        <v>1900</v>
      </c>
      <c r="C2048" s="18" t="s">
        <v>1901</v>
      </c>
      <c r="D2048" s="18" t="s">
        <v>1891</v>
      </c>
      <c r="E2048" s="18" t="s">
        <v>6131</v>
      </c>
      <c r="F2048" s="2">
        <f>+J2048-I2048</f>
        <v>30</v>
      </c>
      <c r="G2048" s="2">
        <f ca="1">+TODAY()-I2048</f>
        <v>23</v>
      </c>
      <c r="H2048" s="15">
        <v>458355</v>
      </c>
      <c r="I2048" s="1">
        <v>46097</v>
      </c>
      <c r="J2048" s="1">
        <v>46127</v>
      </c>
      <c r="K2048" s="18" t="s">
        <v>1892</v>
      </c>
      <c r="L2048" s="18" t="s">
        <v>981</v>
      </c>
      <c r="M2048" s="18" t="s">
        <v>19</v>
      </c>
      <c r="N2048" s="18" t="s">
        <v>1902</v>
      </c>
      <c r="O2048">
        <v>30</v>
      </c>
    </row>
    <row r="2049" spans="1:15" x14ac:dyDescent="0.25">
      <c r="A2049" s="18" t="s">
        <v>7276</v>
      </c>
      <c r="B2049" s="18" t="s">
        <v>1900</v>
      </c>
      <c r="C2049" s="18" t="s">
        <v>1901</v>
      </c>
      <c r="D2049" s="18" t="s">
        <v>1891</v>
      </c>
      <c r="E2049" s="18" t="s">
        <v>6132</v>
      </c>
      <c r="F2049" s="2">
        <f>+J2049-I2049</f>
        <v>30</v>
      </c>
      <c r="G2049" s="2">
        <f ca="1">+TODAY()-I2049</f>
        <v>23</v>
      </c>
      <c r="H2049" s="15">
        <v>164800</v>
      </c>
      <c r="I2049" s="1">
        <v>46097</v>
      </c>
      <c r="J2049" s="1">
        <v>46127</v>
      </c>
      <c r="K2049" s="18" t="s">
        <v>1892</v>
      </c>
      <c r="L2049" s="18" t="s">
        <v>981</v>
      </c>
      <c r="M2049" s="18" t="s">
        <v>19</v>
      </c>
      <c r="N2049" s="18" t="s">
        <v>1902</v>
      </c>
      <c r="O2049">
        <v>30</v>
      </c>
    </row>
    <row r="2050" spans="1:15" x14ac:dyDescent="0.25">
      <c r="A2050" s="18" t="s">
        <v>7276</v>
      </c>
      <c r="B2050" s="18" t="s">
        <v>1391</v>
      </c>
      <c r="C2050" s="18" t="s">
        <v>1392</v>
      </c>
      <c r="D2050" s="18" t="s">
        <v>1323</v>
      </c>
      <c r="E2050" s="18" t="s">
        <v>1393</v>
      </c>
      <c r="F2050" s="2">
        <f>+J2050-I2050</f>
        <v>30</v>
      </c>
      <c r="G2050" s="2">
        <f ca="1">+TODAY()-I2050</f>
        <v>1355</v>
      </c>
      <c r="H2050" s="15">
        <v>79027</v>
      </c>
      <c r="I2050" s="1">
        <v>44765</v>
      </c>
      <c r="J2050" s="1">
        <v>44795</v>
      </c>
      <c r="K2050" s="18" t="s">
        <v>1325</v>
      </c>
      <c r="L2050" s="18" t="s">
        <v>90</v>
      </c>
      <c r="M2050" s="18" t="s">
        <v>19</v>
      </c>
      <c r="N2050" s="18" t="s">
        <v>1394</v>
      </c>
      <c r="O2050">
        <v>30</v>
      </c>
    </row>
    <row r="2051" spans="1:15" x14ac:dyDescent="0.25">
      <c r="A2051" s="18" t="s">
        <v>7276</v>
      </c>
      <c r="B2051" s="18" t="s">
        <v>345</v>
      </c>
      <c r="C2051" s="18" t="s">
        <v>346</v>
      </c>
      <c r="D2051" s="18" t="s">
        <v>347</v>
      </c>
      <c r="E2051" s="18" t="s">
        <v>348</v>
      </c>
      <c r="F2051" s="2">
        <f>+J2051-I2051</f>
        <v>30</v>
      </c>
      <c r="G2051" s="2">
        <f ca="1">+TODAY()-I2051</f>
        <v>908</v>
      </c>
      <c r="H2051" s="15">
        <v>4742825</v>
      </c>
      <c r="I2051" s="1">
        <v>45212</v>
      </c>
      <c r="J2051" s="1">
        <v>45242</v>
      </c>
      <c r="K2051" s="18" t="s">
        <v>343</v>
      </c>
      <c r="L2051" s="18" t="s">
        <v>18</v>
      </c>
      <c r="M2051" s="18" t="s">
        <v>19</v>
      </c>
      <c r="N2051" s="18" t="s">
        <v>6200</v>
      </c>
      <c r="O2051">
        <v>25</v>
      </c>
    </row>
    <row r="2052" spans="1:15" x14ac:dyDescent="0.25">
      <c r="A2052" s="18" t="s">
        <v>7276</v>
      </c>
      <c r="B2052" s="18" t="s">
        <v>345</v>
      </c>
      <c r="C2052" s="18" t="s">
        <v>346</v>
      </c>
      <c r="D2052" s="18" t="s">
        <v>347</v>
      </c>
      <c r="E2052" s="18" t="s">
        <v>350</v>
      </c>
      <c r="F2052" s="2">
        <f>+J2052-I2052</f>
        <v>30</v>
      </c>
      <c r="G2052" s="2">
        <f ca="1">+TODAY()-I2052</f>
        <v>908</v>
      </c>
      <c r="H2052" s="15">
        <v>2758707</v>
      </c>
      <c r="I2052" s="1">
        <v>45212</v>
      </c>
      <c r="J2052" s="1">
        <v>45242</v>
      </c>
      <c r="K2052" s="18" t="s">
        <v>343</v>
      </c>
      <c r="L2052" s="18" t="s">
        <v>18</v>
      </c>
      <c r="M2052" s="18" t="s">
        <v>19</v>
      </c>
      <c r="N2052" s="18" t="s">
        <v>6200</v>
      </c>
      <c r="O2052">
        <v>25</v>
      </c>
    </row>
    <row r="2053" spans="1:15" x14ac:dyDescent="0.25">
      <c r="A2053" s="18" t="s">
        <v>7276</v>
      </c>
      <c r="B2053" s="18" t="s">
        <v>345</v>
      </c>
      <c r="C2053" s="18" t="s">
        <v>346</v>
      </c>
      <c r="D2053" s="18" t="s">
        <v>347</v>
      </c>
      <c r="E2053" s="18" t="s">
        <v>635</v>
      </c>
      <c r="F2053" s="2">
        <f>+J2053-I2053</f>
        <v>30</v>
      </c>
      <c r="G2053" s="2">
        <f ca="1">+TODAY()-I2053</f>
        <v>982</v>
      </c>
      <c r="H2053" s="15">
        <v>8864311</v>
      </c>
      <c r="I2053" s="1">
        <v>45138</v>
      </c>
      <c r="J2053" s="1">
        <v>45168</v>
      </c>
      <c r="K2053" s="18" t="s">
        <v>343</v>
      </c>
      <c r="L2053" s="18" t="s">
        <v>18</v>
      </c>
      <c r="M2053" s="18" t="s">
        <v>19</v>
      </c>
      <c r="N2053" s="18" t="s">
        <v>6200</v>
      </c>
      <c r="O2053">
        <v>25</v>
      </c>
    </row>
    <row r="2054" spans="1:15" x14ac:dyDescent="0.25">
      <c r="A2054" s="18" t="s">
        <v>7276</v>
      </c>
      <c r="B2054" s="18" t="s">
        <v>345</v>
      </c>
      <c r="C2054" s="18" t="s">
        <v>346</v>
      </c>
      <c r="D2054" s="18" t="s">
        <v>347</v>
      </c>
      <c r="E2054" s="18" t="s">
        <v>636</v>
      </c>
      <c r="F2054" s="2">
        <f>+J2054-I2054</f>
        <v>30</v>
      </c>
      <c r="G2054" s="2">
        <f ca="1">+TODAY()-I2054</f>
        <v>982</v>
      </c>
      <c r="H2054" s="15">
        <v>8755995</v>
      </c>
      <c r="I2054" s="1">
        <v>45138</v>
      </c>
      <c r="J2054" s="1">
        <v>45168</v>
      </c>
      <c r="K2054" s="18" t="s">
        <v>343</v>
      </c>
      <c r="L2054" s="18" t="s">
        <v>18</v>
      </c>
      <c r="M2054" s="18" t="s">
        <v>19</v>
      </c>
      <c r="N2054" s="18" t="s">
        <v>6200</v>
      </c>
      <c r="O2054">
        <v>25</v>
      </c>
    </row>
    <row r="2055" spans="1:15" x14ac:dyDescent="0.25">
      <c r="A2055" s="18" t="s">
        <v>7276</v>
      </c>
      <c r="B2055" s="18" t="s">
        <v>1948</v>
      </c>
      <c r="C2055" s="18" t="s">
        <v>1949</v>
      </c>
      <c r="D2055" s="18" t="s">
        <v>1401</v>
      </c>
      <c r="E2055" s="18" t="s">
        <v>5300</v>
      </c>
      <c r="F2055" s="2">
        <f>+J2055-I2055</f>
        <v>30</v>
      </c>
      <c r="G2055" s="2">
        <f ca="1">+TODAY()-I2055</f>
        <v>47</v>
      </c>
      <c r="H2055" s="15">
        <v>79560</v>
      </c>
      <c r="I2055" s="1">
        <v>46073</v>
      </c>
      <c r="J2055" s="1">
        <v>46103</v>
      </c>
      <c r="K2055" s="18" t="s">
        <v>1403</v>
      </c>
      <c r="L2055" s="18" t="s">
        <v>90</v>
      </c>
      <c r="M2055" s="18" t="s">
        <v>391</v>
      </c>
      <c r="N2055" s="18" t="s">
        <v>1950</v>
      </c>
      <c r="O2055">
        <v>30</v>
      </c>
    </row>
    <row r="2056" spans="1:15" x14ac:dyDescent="0.25">
      <c r="A2056" s="18" t="s">
        <v>7276</v>
      </c>
      <c r="B2056" s="18" t="s">
        <v>1948</v>
      </c>
      <c r="C2056" s="18" t="s">
        <v>1949</v>
      </c>
      <c r="D2056" s="18" t="s">
        <v>1401</v>
      </c>
      <c r="E2056" s="18" t="s">
        <v>5301</v>
      </c>
      <c r="F2056" s="2">
        <f>+J2056-I2056</f>
        <v>30</v>
      </c>
      <c r="G2056" s="2">
        <f ca="1">+TODAY()-I2056</f>
        <v>47</v>
      </c>
      <c r="H2056" s="15">
        <v>34999</v>
      </c>
      <c r="I2056" s="1">
        <v>46073</v>
      </c>
      <c r="J2056" s="1">
        <v>46103</v>
      </c>
      <c r="K2056" s="18" t="s">
        <v>1403</v>
      </c>
      <c r="L2056" s="18" t="s">
        <v>90</v>
      </c>
      <c r="M2056" s="18" t="s">
        <v>391</v>
      </c>
      <c r="N2056" s="18" t="s">
        <v>1950</v>
      </c>
      <c r="O2056">
        <v>30</v>
      </c>
    </row>
    <row r="2057" spans="1:15" x14ac:dyDescent="0.25">
      <c r="A2057" s="18" t="s">
        <v>7276</v>
      </c>
      <c r="B2057" s="18" t="s">
        <v>1948</v>
      </c>
      <c r="C2057" s="18" t="s">
        <v>1949</v>
      </c>
      <c r="D2057" s="18" t="s">
        <v>1401</v>
      </c>
      <c r="E2057" s="18" t="s">
        <v>5560</v>
      </c>
      <c r="F2057" s="2">
        <f>+J2057-I2057</f>
        <v>30</v>
      </c>
      <c r="G2057" s="2">
        <f ca="1">+TODAY()-I2057</f>
        <v>34</v>
      </c>
      <c r="H2057" s="15">
        <v>712501</v>
      </c>
      <c r="I2057" s="1">
        <v>46086</v>
      </c>
      <c r="J2057" s="1">
        <v>46116</v>
      </c>
      <c r="K2057" s="18" t="s">
        <v>1403</v>
      </c>
      <c r="L2057" s="18" t="s">
        <v>90</v>
      </c>
      <c r="M2057" s="18" t="s">
        <v>391</v>
      </c>
      <c r="N2057" s="18" t="s">
        <v>1950</v>
      </c>
      <c r="O2057">
        <v>30</v>
      </c>
    </row>
    <row r="2058" spans="1:15" x14ac:dyDescent="0.25">
      <c r="A2058" s="18" t="s">
        <v>7276</v>
      </c>
      <c r="B2058" s="18" t="s">
        <v>1948</v>
      </c>
      <c r="C2058" s="18" t="s">
        <v>1949</v>
      </c>
      <c r="D2058" s="18" t="s">
        <v>1401</v>
      </c>
      <c r="E2058" s="18" t="s">
        <v>5568</v>
      </c>
      <c r="F2058" s="2">
        <f>+J2058-I2058</f>
        <v>30</v>
      </c>
      <c r="G2058" s="2">
        <f ca="1">+TODAY()-I2058</f>
        <v>33</v>
      </c>
      <c r="H2058" s="15">
        <v>9106689</v>
      </c>
      <c r="I2058" s="1">
        <v>46087</v>
      </c>
      <c r="J2058" s="1">
        <v>46117</v>
      </c>
      <c r="K2058" s="18" t="s">
        <v>1403</v>
      </c>
      <c r="L2058" s="18" t="s">
        <v>90</v>
      </c>
      <c r="M2058" s="18" t="s">
        <v>391</v>
      </c>
      <c r="N2058" s="18" t="s">
        <v>1950</v>
      </c>
      <c r="O2058">
        <v>30</v>
      </c>
    </row>
    <row r="2059" spans="1:15" x14ac:dyDescent="0.25">
      <c r="A2059" s="18" t="s">
        <v>7276</v>
      </c>
      <c r="B2059" s="18" t="s">
        <v>1948</v>
      </c>
      <c r="C2059" s="18" t="s">
        <v>1949</v>
      </c>
      <c r="D2059" s="18" t="s">
        <v>1401</v>
      </c>
      <c r="E2059" s="18" t="s">
        <v>5569</v>
      </c>
      <c r="F2059" s="2">
        <f>+J2059-I2059</f>
        <v>30</v>
      </c>
      <c r="G2059" s="2">
        <f ca="1">+TODAY()-I2059</f>
        <v>33</v>
      </c>
      <c r="H2059" s="15">
        <v>19277641</v>
      </c>
      <c r="I2059" s="1">
        <v>46087</v>
      </c>
      <c r="J2059" s="1">
        <v>46117</v>
      </c>
      <c r="K2059" s="18" t="s">
        <v>1403</v>
      </c>
      <c r="L2059" s="18" t="s">
        <v>90</v>
      </c>
      <c r="M2059" s="18" t="s">
        <v>391</v>
      </c>
      <c r="N2059" s="18" t="s">
        <v>1950</v>
      </c>
      <c r="O2059">
        <v>30</v>
      </c>
    </row>
    <row r="2060" spans="1:15" x14ac:dyDescent="0.25">
      <c r="A2060" s="18" t="s">
        <v>7276</v>
      </c>
      <c r="B2060" s="18" t="s">
        <v>1948</v>
      </c>
      <c r="C2060" s="18" t="s">
        <v>1949</v>
      </c>
      <c r="D2060" s="18" t="s">
        <v>1401</v>
      </c>
      <c r="E2060" s="18" t="s">
        <v>5570</v>
      </c>
      <c r="F2060" s="2">
        <f>+J2060-I2060</f>
        <v>30</v>
      </c>
      <c r="G2060" s="2">
        <f ca="1">+TODAY()-I2060</f>
        <v>33</v>
      </c>
      <c r="H2060" s="15">
        <v>563850</v>
      </c>
      <c r="I2060" s="1">
        <v>46087</v>
      </c>
      <c r="J2060" s="1">
        <v>46117</v>
      </c>
      <c r="K2060" s="18" t="s">
        <v>1403</v>
      </c>
      <c r="L2060" s="18" t="s">
        <v>90</v>
      </c>
      <c r="M2060" s="18" t="s">
        <v>391</v>
      </c>
      <c r="N2060" s="18" t="s">
        <v>1950</v>
      </c>
      <c r="O2060">
        <v>30</v>
      </c>
    </row>
    <row r="2061" spans="1:15" x14ac:dyDescent="0.25">
      <c r="A2061" s="18" t="s">
        <v>7276</v>
      </c>
      <c r="B2061" s="18" t="s">
        <v>1948</v>
      </c>
      <c r="C2061" s="18" t="s">
        <v>1949</v>
      </c>
      <c r="D2061" s="18" t="s">
        <v>1401</v>
      </c>
      <c r="E2061" s="18" t="s">
        <v>5799</v>
      </c>
      <c r="F2061" s="2">
        <f>+J2061-I2061</f>
        <v>30</v>
      </c>
      <c r="G2061" s="2">
        <f ca="1">+TODAY()-I2061</f>
        <v>33</v>
      </c>
      <c r="H2061" s="15">
        <v>1711201</v>
      </c>
      <c r="I2061" s="1">
        <v>46087</v>
      </c>
      <c r="J2061" s="1">
        <v>46117</v>
      </c>
      <c r="K2061" s="18" t="s">
        <v>1403</v>
      </c>
      <c r="L2061" s="18" t="s">
        <v>90</v>
      </c>
      <c r="M2061" s="18" t="s">
        <v>391</v>
      </c>
      <c r="N2061" s="18" t="s">
        <v>1950</v>
      </c>
      <c r="O2061">
        <v>30</v>
      </c>
    </row>
    <row r="2062" spans="1:15" x14ac:dyDescent="0.25">
      <c r="A2062" s="18" t="s">
        <v>7276</v>
      </c>
      <c r="B2062" s="18" t="s">
        <v>1948</v>
      </c>
      <c r="C2062" s="18" t="s">
        <v>1949</v>
      </c>
      <c r="D2062" s="18" t="s">
        <v>1401</v>
      </c>
      <c r="E2062" s="18" t="s">
        <v>5800</v>
      </c>
      <c r="F2062" s="2">
        <f>+J2062-I2062</f>
        <v>30</v>
      </c>
      <c r="G2062" s="2">
        <f ca="1">+TODAY()-I2062</f>
        <v>33</v>
      </c>
      <c r="H2062" s="15">
        <v>1832719</v>
      </c>
      <c r="I2062" s="1">
        <v>46087</v>
      </c>
      <c r="J2062" s="1">
        <v>46117</v>
      </c>
      <c r="K2062" s="18" t="s">
        <v>1403</v>
      </c>
      <c r="L2062" s="18" t="s">
        <v>90</v>
      </c>
      <c r="M2062" s="18" t="s">
        <v>391</v>
      </c>
      <c r="N2062" s="18" t="s">
        <v>1950</v>
      </c>
      <c r="O2062">
        <v>30</v>
      </c>
    </row>
    <row r="2063" spans="1:15" x14ac:dyDescent="0.25">
      <c r="A2063" s="18" t="s">
        <v>7276</v>
      </c>
      <c r="B2063" s="18" t="s">
        <v>1948</v>
      </c>
      <c r="C2063" s="18" t="s">
        <v>1949</v>
      </c>
      <c r="D2063" s="18" t="s">
        <v>1401</v>
      </c>
      <c r="E2063" s="18" t="s">
        <v>5802</v>
      </c>
      <c r="F2063" s="2">
        <f>+J2063-I2063</f>
        <v>30</v>
      </c>
      <c r="G2063" s="2">
        <f ca="1">+TODAY()-I2063</f>
        <v>33</v>
      </c>
      <c r="H2063" s="15">
        <v>1711201</v>
      </c>
      <c r="I2063" s="1">
        <v>46087</v>
      </c>
      <c r="J2063" s="1">
        <v>46117</v>
      </c>
      <c r="K2063" s="18" t="s">
        <v>1403</v>
      </c>
      <c r="L2063" s="18" t="s">
        <v>90</v>
      </c>
      <c r="M2063" s="18" t="s">
        <v>391</v>
      </c>
      <c r="N2063" s="18" t="s">
        <v>1950</v>
      </c>
      <c r="O2063">
        <v>30</v>
      </c>
    </row>
    <row r="2064" spans="1:15" x14ac:dyDescent="0.25">
      <c r="A2064" s="18" t="s">
        <v>7276</v>
      </c>
      <c r="B2064" s="18" t="s">
        <v>1948</v>
      </c>
      <c r="C2064" s="18" t="s">
        <v>1949</v>
      </c>
      <c r="D2064" s="18" t="s">
        <v>1401</v>
      </c>
      <c r="E2064" s="18" t="s">
        <v>6324</v>
      </c>
      <c r="F2064" s="2">
        <f>+J2064-I2064</f>
        <v>30</v>
      </c>
      <c r="G2064" s="2">
        <f ca="1">+TODAY()-I2064</f>
        <v>19</v>
      </c>
      <c r="H2064" s="15">
        <v>4578309</v>
      </c>
      <c r="I2064" s="1">
        <v>46101</v>
      </c>
      <c r="J2064" s="1">
        <v>46131</v>
      </c>
      <c r="K2064" s="18" t="s">
        <v>1403</v>
      </c>
      <c r="L2064" s="18" t="s">
        <v>90</v>
      </c>
      <c r="M2064" s="18" t="s">
        <v>391</v>
      </c>
      <c r="N2064" s="18" t="s">
        <v>1950</v>
      </c>
      <c r="O2064">
        <v>30</v>
      </c>
    </row>
    <row r="2065" spans="1:15" x14ac:dyDescent="0.25">
      <c r="A2065" s="18" t="s">
        <v>7276</v>
      </c>
      <c r="B2065" s="18" t="s">
        <v>1948</v>
      </c>
      <c r="C2065" s="18" t="s">
        <v>1949</v>
      </c>
      <c r="D2065" s="18" t="s">
        <v>1401</v>
      </c>
      <c r="E2065" s="18" t="s">
        <v>6325</v>
      </c>
      <c r="F2065" s="2">
        <f>+J2065-I2065</f>
        <v>30</v>
      </c>
      <c r="G2065" s="2">
        <f ca="1">+TODAY()-I2065</f>
        <v>19</v>
      </c>
      <c r="H2065" s="15">
        <v>8102177</v>
      </c>
      <c r="I2065" s="1">
        <v>46101</v>
      </c>
      <c r="J2065" s="1">
        <v>46131</v>
      </c>
      <c r="K2065" s="18" t="s">
        <v>1403</v>
      </c>
      <c r="L2065" s="18" t="s">
        <v>90</v>
      </c>
      <c r="M2065" s="18" t="s">
        <v>391</v>
      </c>
      <c r="N2065" s="18" t="s">
        <v>1950</v>
      </c>
      <c r="O2065">
        <v>30</v>
      </c>
    </row>
    <row r="2066" spans="1:15" x14ac:dyDescent="0.25">
      <c r="A2066" s="18" t="s">
        <v>7276</v>
      </c>
      <c r="B2066" s="18" t="s">
        <v>1948</v>
      </c>
      <c r="C2066" s="18" t="s">
        <v>1949</v>
      </c>
      <c r="D2066" s="18" t="s">
        <v>1401</v>
      </c>
      <c r="E2066" s="18" t="s">
        <v>6329</v>
      </c>
      <c r="F2066" s="2">
        <f>+J2066-I2066</f>
        <v>30</v>
      </c>
      <c r="G2066" s="2">
        <f ca="1">+TODAY()-I2066</f>
        <v>19</v>
      </c>
      <c r="H2066" s="15">
        <v>1586943</v>
      </c>
      <c r="I2066" s="1">
        <v>46101</v>
      </c>
      <c r="J2066" s="1">
        <v>46131</v>
      </c>
      <c r="K2066" s="18" t="s">
        <v>1403</v>
      </c>
      <c r="L2066" s="18" t="s">
        <v>90</v>
      </c>
      <c r="M2066" s="18" t="s">
        <v>391</v>
      </c>
      <c r="N2066" s="18" t="s">
        <v>1950</v>
      </c>
      <c r="O2066">
        <v>30</v>
      </c>
    </row>
    <row r="2067" spans="1:15" x14ac:dyDescent="0.25">
      <c r="A2067" s="18" t="s">
        <v>7276</v>
      </c>
      <c r="B2067" s="18" t="s">
        <v>1948</v>
      </c>
      <c r="C2067" s="18" t="s">
        <v>1949</v>
      </c>
      <c r="D2067" s="18" t="s">
        <v>1401</v>
      </c>
      <c r="E2067" s="18" t="s">
        <v>6330</v>
      </c>
      <c r="F2067" s="2">
        <f>+J2067-I2067</f>
        <v>30</v>
      </c>
      <c r="G2067" s="2">
        <f ca="1">+TODAY()-I2067</f>
        <v>19</v>
      </c>
      <c r="H2067" s="15">
        <v>2593769</v>
      </c>
      <c r="I2067" s="1">
        <v>46101</v>
      </c>
      <c r="J2067" s="1">
        <v>46131</v>
      </c>
      <c r="K2067" s="18" t="s">
        <v>1403</v>
      </c>
      <c r="L2067" s="18" t="s">
        <v>90</v>
      </c>
      <c r="M2067" s="18" t="s">
        <v>391</v>
      </c>
      <c r="N2067" s="18" t="s">
        <v>1950</v>
      </c>
      <c r="O2067">
        <v>30</v>
      </c>
    </row>
    <row r="2068" spans="1:15" x14ac:dyDescent="0.25">
      <c r="A2068" s="18" t="s">
        <v>7276</v>
      </c>
      <c r="B2068" s="18" t="s">
        <v>1948</v>
      </c>
      <c r="C2068" s="18" t="s">
        <v>1949</v>
      </c>
      <c r="D2068" s="18" t="s">
        <v>1401</v>
      </c>
      <c r="E2068" s="18" t="s">
        <v>6334</v>
      </c>
      <c r="F2068" s="2">
        <f>+J2068-I2068</f>
        <v>30</v>
      </c>
      <c r="G2068" s="2">
        <f ca="1">+TODAY()-I2068</f>
        <v>19</v>
      </c>
      <c r="H2068" s="15">
        <v>350381</v>
      </c>
      <c r="I2068" s="1">
        <v>46101</v>
      </c>
      <c r="J2068" s="1">
        <v>46131</v>
      </c>
      <c r="K2068" s="18" t="s">
        <v>1403</v>
      </c>
      <c r="L2068" s="18" t="s">
        <v>90</v>
      </c>
      <c r="M2068" s="18" t="s">
        <v>391</v>
      </c>
      <c r="N2068" s="18" t="s">
        <v>1950</v>
      </c>
      <c r="O2068">
        <v>30</v>
      </c>
    </row>
    <row r="2069" spans="1:15" x14ac:dyDescent="0.25">
      <c r="A2069" s="18" t="s">
        <v>7276</v>
      </c>
      <c r="B2069" s="18" t="s">
        <v>1948</v>
      </c>
      <c r="C2069" s="18" t="s">
        <v>1949</v>
      </c>
      <c r="D2069" s="18" t="s">
        <v>1401</v>
      </c>
      <c r="E2069" s="18" t="s">
        <v>6335</v>
      </c>
      <c r="F2069" s="2">
        <f>+J2069-I2069</f>
        <v>30</v>
      </c>
      <c r="G2069" s="2">
        <f ca="1">+TODAY()-I2069</f>
        <v>19</v>
      </c>
      <c r="H2069" s="15">
        <v>8457000</v>
      </c>
      <c r="I2069" s="1">
        <v>46101</v>
      </c>
      <c r="J2069" s="1">
        <v>46131</v>
      </c>
      <c r="K2069" s="18" t="s">
        <v>1403</v>
      </c>
      <c r="L2069" s="18" t="s">
        <v>90</v>
      </c>
      <c r="M2069" s="18" t="s">
        <v>391</v>
      </c>
      <c r="N2069" s="18" t="s">
        <v>1950</v>
      </c>
      <c r="O2069">
        <v>30</v>
      </c>
    </row>
    <row r="2070" spans="1:15" x14ac:dyDescent="0.25">
      <c r="A2070" s="18" t="s">
        <v>7276</v>
      </c>
      <c r="B2070" s="18" t="s">
        <v>1948</v>
      </c>
      <c r="C2070" s="18" t="s">
        <v>1949</v>
      </c>
      <c r="D2070" s="18" t="s">
        <v>1401</v>
      </c>
      <c r="E2070" s="18" t="s">
        <v>6336</v>
      </c>
      <c r="F2070" s="2">
        <f>+J2070-I2070</f>
        <v>30</v>
      </c>
      <c r="G2070" s="2">
        <f ca="1">+TODAY()-I2070</f>
        <v>19</v>
      </c>
      <c r="H2070" s="15">
        <v>1430428</v>
      </c>
      <c r="I2070" s="1">
        <v>46101</v>
      </c>
      <c r="J2070" s="1">
        <v>46131</v>
      </c>
      <c r="K2070" s="18" t="s">
        <v>1403</v>
      </c>
      <c r="L2070" s="18" t="s">
        <v>18</v>
      </c>
      <c r="M2070" s="18" t="s">
        <v>391</v>
      </c>
      <c r="N2070" s="18" t="s">
        <v>1950</v>
      </c>
      <c r="O2070">
        <v>30</v>
      </c>
    </row>
    <row r="2071" spans="1:15" x14ac:dyDescent="0.25">
      <c r="A2071" s="18" t="s">
        <v>7276</v>
      </c>
      <c r="B2071" s="18" t="s">
        <v>1948</v>
      </c>
      <c r="C2071" s="18" t="s">
        <v>1949</v>
      </c>
      <c r="D2071" s="18" t="s">
        <v>1401</v>
      </c>
      <c r="E2071" s="18" t="s">
        <v>7575</v>
      </c>
      <c r="F2071" s="2">
        <f>+J2071-I2071</f>
        <v>30</v>
      </c>
      <c r="G2071" s="2">
        <f ca="1">+TODAY()-I2071</f>
        <v>7</v>
      </c>
      <c r="H2071" s="15">
        <v>6056882</v>
      </c>
      <c r="I2071" s="1">
        <v>46113</v>
      </c>
      <c r="J2071" s="1">
        <v>46143</v>
      </c>
      <c r="K2071" s="18" t="s">
        <v>1403</v>
      </c>
      <c r="L2071" s="18" t="s">
        <v>90</v>
      </c>
      <c r="M2071" s="18" t="s">
        <v>391</v>
      </c>
      <c r="N2071" s="18" t="s">
        <v>1950</v>
      </c>
      <c r="O2071">
        <v>30</v>
      </c>
    </row>
    <row r="2072" spans="1:15" x14ac:dyDescent="0.25">
      <c r="A2072" s="18" t="s">
        <v>7276</v>
      </c>
      <c r="B2072" s="18" t="s">
        <v>1948</v>
      </c>
      <c r="C2072" s="18" t="s">
        <v>1949</v>
      </c>
      <c r="D2072" s="18" t="s">
        <v>1401</v>
      </c>
      <c r="E2072" s="18" t="s">
        <v>7576</v>
      </c>
      <c r="F2072" s="2">
        <f>+J2072-I2072</f>
        <v>30</v>
      </c>
      <c r="G2072" s="2">
        <f ca="1">+TODAY()-I2072</f>
        <v>7</v>
      </c>
      <c r="H2072" s="15">
        <v>36365927</v>
      </c>
      <c r="I2072" s="1">
        <v>46113</v>
      </c>
      <c r="J2072" s="1">
        <v>46143</v>
      </c>
      <c r="K2072" s="18" t="s">
        <v>1403</v>
      </c>
      <c r="L2072" s="18" t="s">
        <v>90</v>
      </c>
      <c r="M2072" s="18" t="s">
        <v>391</v>
      </c>
      <c r="N2072" s="18" t="s">
        <v>1950</v>
      </c>
      <c r="O2072">
        <v>30</v>
      </c>
    </row>
    <row r="2073" spans="1:15" x14ac:dyDescent="0.25">
      <c r="A2073" s="18" t="s">
        <v>7276</v>
      </c>
      <c r="B2073" s="18" t="s">
        <v>1948</v>
      </c>
      <c r="C2073" s="18" t="s">
        <v>1949</v>
      </c>
      <c r="D2073" s="18" t="s">
        <v>1401</v>
      </c>
      <c r="E2073" s="18" t="s">
        <v>7579</v>
      </c>
      <c r="F2073" s="2">
        <f>+J2073-I2073</f>
        <v>30</v>
      </c>
      <c r="G2073" s="2">
        <f ca="1">+TODAY()-I2073</f>
        <v>7</v>
      </c>
      <c r="H2073" s="15">
        <v>163192</v>
      </c>
      <c r="I2073" s="1">
        <v>46113</v>
      </c>
      <c r="J2073" s="1">
        <v>46143</v>
      </c>
      <c r="K2073" s="18" t="s">
        <v>1403</v>
      </c>
      <c r="L2073" s="18" t="s">
        <v>90</v>
      </c>
      <c r="M2073" s="18" t="s">
        <v>391</v>
      </c>
      <c r="N2073" s="18" t="s">
        <v>1950</v>
      </c>
      <c r="O2073">
        <v>30</v>
      </c>
    </row>
    <row r="2074" spans="1:15" x14ac:dyDescent="0.25">
      <c r="A2074" s="18" t="s">
        <v>7276</v>
      </c>
      <c r="B2074" s="18" t="s">
        <v>1948</v>
      </c>
      <c r="C2074" s="18" t="s">
        <v>1949</v>
      </c>
      <c r="D2074" s="18" t="s">
        <v>1401</v>
      </c>
      <c r="E2074" s="18" t="s">
        <v>7580</v>
      </c>
      <c r="F2074" s="2">
        <f>+J2074-I2074</f>
        <v>30</v>
      </c>
      <c r="G2074" s="2">
        <f ca="1">+TODAY()-I2074</f>
        <v>7</v>
      </c>
      <c r="H2074" s="15">
        <v>4008156</v>
      </c>
      <c r="I2074" s="1">
        <v>46113</v>
      </c>
      <c r="J2074" s="1">
        <v>46143</v>
      </c>
      <c r="K2074" s="18" t="s">
        <v>1403</v>
      </c>
      <c r="L2074" s="18" t="s">
        <v>90</v>
      </c>
      <c r="M2074" s="18" t="s">
        <v>391</v>
      </c>
      <c r="N2074" s="18" t="s">
        <v>1950</v>
      </c>
      <c r="O2074">
        <v>30</v>
      </c>
    </row>
    <row r="2075" spans="1:15" x14ac:dyDescent="0.25">
      <c r="A2075" s="18" t="s">
        <v>7276</v>
      </c>
      <c r="B2075" s="18" t="s">
        <v>1948</v>
      </c>
      <c r="C2075" s="18" t="s">
        <v>1949</v>
      </c>
      <c r="D2075" s="18" t="s">
        <v>1401</v>
      </c>
      <c r="E2075" s="18" t="s">
        <v>6605</v>
      </c>
      <c r="F2075" s="2">
        <f>+J2075-I2075</f>
        <v>30</v>
      </c>
      <c r="G2075" s="2">
        <f ca="1">+TODAY()-I2075</f>
        <v>15</v>
      </c>
      <c r="H2075" s="15">
        <v>737587</v>
      </c>
      <c r="I2075" s="1">
        <v>46105</v>
      </c>
      <c r="J2075" s="1">
        <v>46135</v>
      </c>
      <c r="K2075" s="18" t="s">
        <v>1403</v>
      </c>
      <c r="L2075" s="18" t="s">
        <v>90</v>
      </c>
      <c r="M2075" s="18" t="s">
        <v>391</v>
      </c>
      <c r="N2075" s="18" t="s">
        <v>1950</v>
      </c>
      <c r="O2075">
        <v>30</v>
      </c>
    </row>
    <row r="2076" spans="1:15" x14ac:dyDescent="0.25">
      <c r="A2076" s="18" t="s">
        <v>7276</v>
      </c>
      <c r="B2076" s="18" t="s">
        <v>1948</v>
      </c>
      <c r="C2076" s="18" t="s">
        <v>1949</v>
      </c>
      <c r="D2076" s="18" t="s">
        <v>1401</v>
      </c>
      <c r="E2076" s="18" t="s">
        <v>6606</v>
      </c>
      <c r="F2076" s="2">
        <f>+J2076-I2076</f>
        <v>30</v>
      </c>
      <c r="G2076" s="2">
        <f ca="1">+TODAY()-I2076</f>
        <v>15</v>
      </c>
      <c r="H2076" s="15">
        <v>2565000</v>
      </c>
      <c r="I2076" s="1">
        <v>46105</v>
      </c>
      <c r="J2076" s="1">
        <v>46135</v>
      </c>
      <c r="K2076" s="18" t="s">
        <v>1403</v>
      </c>
      <c r="L2076" s="18" t="s">
        <v>90</v>
      </c>
      <c r="M2076" s="18" t="s">
        <v>391</v>
      </c>
      <c r="N2076" s="18" t="s">
        <v>1950</v>
      </c>
      <c r="O2076">
        <v>30</v>
      </c>
    </row>
    <row r="2077" spans="1:15" x14ac:dyDescent="0.25">
      <c r="A2077" s="18" t="s">
        <v>7276</v>
      </c>
      <c r="B2077" s="18" t="s">
        <v>5875</v>
      </c>
      <c r="C2077" s="18" t="s">
        <v>5876</v>
      </c>
      <c r="D2077" s="18" t="s">
        <v>15</v>
      </c>
      <c r="E2077" s="18" t="s">
        <v>5877</v>
      </c>
      <c r="F2077" s="2">
        <f>+J2077-I2077</f>
        <v>30</v>
      </c>
      <c r="G2077" s="2">
        <f ca="1">+TODAY()-I2077</f>
        <v>26</v>
      </c>
      <c r="H2077" s="15">
        <v>560693</v>
      </c>
      <c r="I2077" s="1">
        <v>46094</v>
      </c>
      <c r="J2077" s="1">
        <v>46124</v>
      </c>
      <c r="K2077" s="18" t="s">
        <v>17</v>
      </c>
      <c r="L2077" s="18" t="s">
        <v>109</v>
      </c>
      <c r="M2077" s="18" t="s">
        <v>19</v>
      </c>
      <c r="N2077" s="18" t="s">
        <v>5878</v>
      </c>
      <c r="O2077">
        <v>30</v>
      </c>
    </row>
    <row r="2078" spans="1:15" x14ac:dyDescent="0.25">
      <c r="A2078" s="18" t="s">
        <v>7276</v>
      </c>
      <c r="B2078" s="18" t="s">
        <v>1679</v>
      </c>
      <c r="C2078" s="18" t="s">
        <v>1680</v>
      </c>
      <c r="D2078" s="18" t="s">
        <v>1593</v>
      </c>
      <c r="E2078" s="18" t="s">
        <v>5155</v>
      </c>
      <c r="F2078" s="2">
        <f>+J2078-I2078</f>
        <v>30</v>
      </c>
      <c r="G2078" s="2">
        <f ca="1">+TODAY()-I2078</f>
        <v>54</v>
      </c>
      <c r="H2078" s="15">
        <v>551701</v>
      </c>
      <c r="I2078" s="1">
        <v>46066</v>
      </c>
      <c r="J2078" s="1">
        <v>46096</v>
      </c>
      <c r="K2078" s="18" t="s">
        <v>1589</v>
      </c>
      <c r="L2078" s="18" t="s">
        <v>984</v>
      </c>
      <c r="M2078" s="18" t="s">
        <v>19</v>
      </c>
      <c r="N2078" s="18" t="s">
        <v>1681</v>
      </c>
      <c r="O2078">
        <v>30</v>
      </c>
    </row>
    <row r="2079" spans="1:15" x14ac:dyDescent="0.25">
      <c r="A2079" s="18" t="s">
        <v>7276</v>
      </c>
      <c r="B2079" s="18" t="s">
        <v>1679</v>
      </c>
      <c r="C2079" s="18" t="s">
        <v>1680</v>
      </c>
      <c r="D2079" s="18" t="s">
        <v>1593</v>
      </c>
      <c r="E2079" s="18" t="s">
        <v>5316</v>
      </c>
      <c r="F2079" s="2">
        <f>+J2079-I2079</f>
        <v>30</v>
      </c>
      <c r="G2079" s="2">
        <f ca="1">+TODAY()-I2079</f>
        <v>44</v>
      </c>
      <c r="H2079" s="15">
        <v>654000</v>
      </c>
      <c r="I2079" s="1">
        <v>46076</v>
      </c>
      <c r="J2079" s="1">
        <v>46106</v>
      </c>
      <c r="K2079" s="18" t="s">
        <v>1589</v>
      </c>
      <c r="L2079" s="18" t="s">
        <v>984</v>
      </c>
      <c r="M2079" s="18" t="s">
        <v>19</v>
      </c>
      <c r="N2079" s="18" t="s">
        <v>1681</v>
      </c>
      <c r="O2079">
        <v>30</v>
      </c>
    </row>
    <row r="2080" spans="1:15" x14ac:dyDescent="0.25">
      <c r="A2080" s="18" t="s">
        <v>7276</v>
      </c>
      <c r="B2080" s="18" t="s">
        <v>1679</v>
      </c>
      <c r="C2080" s="18" t="s">
        <v>1680</v>
      </c>
      <c r="D2080" s="18" t="s">
        <v>1593</v>
      </c>
      <c r="E2080" s="18" t="s">
        <v>5317</v>
      </c>
      <c r="F2080" s="2">
        <f>+J2080-I2080</f>
        <v>30</v>
      </c>
      <c r="G2080" s="2">
        <f ca="1">+TODAY()-I2080</f>
        <v>44</v>
      </c>
      <c r="H2080" s="15">
        <v>1931308</v>
      </c>
      <c r="I2080" s="1">
        <v>46076</v>
      </c>
      <c r="J2080" s="1">
        <v>46106</v>
      </c>
      <c r="K2080" s="18" t="s">
        <v>1589</v>
      </c>
      <c r="L2080" s="18" t="s">
        <v>984</v>
      </c>
      <c r="M2080" s="18" t="s">
        <v>19</v>
      </c>
      <c r="N2080" s="18" t="s">
        <v>1681</v>
      </c>
      <c r="O2080">
        <v>30</v>
      </c>
    </row>
    <row r="2081" spans="1:15" x14ac:dyDescent="0.25">
      <c r="A2081" s="18" t="s">
        <v>7276</v>
      </c>
      <c r="B2081" s="18" t="s">
        <v>1679</v>
      </c>
      <c r="C2081" s="18" t="s">
        <v>1680</v>
      </c>
      <c r="D2081" s="18" t="s">
        <v>1593</v>
      </c>
      <c r="E2081" s="18" t="s">
        <v>5318</v>
      </c>
      <c r="F2081" s="2">
        <f>+J2081-I2081</f>
        <v>30</v>
      </c>
      <c r="G2081" s="2">
        <f ca="1">+TODAY()-I2081</f>
        <v>43</v>
      </c>
      <c r="H2081" s="15">
        <v>453280</v>
      </c>
      <c r="I2081" s="1">
        <v>46077</v>
      </c>
      <c r="J2081" s="1">
        <v>46107</v>
      </c>
      <c r="K2081" s="18" t="s">
        <v>1589</v>
      </c>
      <c r="L2081" s="18" t="s">
        <v>984</v>
      </c>
      <c r="M2081" s="18" t="s">
        <v>19</v>
      </c>
      <c r="N2081" s="18" t="s">
        <v>1681</v>
      </c>
      <c r="O2081">
        <v>30</v>
      </c>
    </row>
    <row r="2082" spans="1:15" x14ac:dyDescent="0.25">
      <c r="A2082" s="18" t="s">
        <v>7276</v>
      </c>
      <c r="B2082" s="18" t="s">
        <v>1679</v>
      </c>
      <c r="C2082" s="18" t="s">
        <v>1680</v>
      </c>
      <c r="D2082" s="18" t="s">
        <v>1593</v>
      </c>
      <c r="E2082" s="18" t="s">
        <v>5342</v>
      </c>
      <c r="F2082" s="2">
        <f>+J2082-I2082</f>
        <v>30</v>
      </c>
      <c r="G2082" s="2">
        <f ca="1">+TODAY()-I2082</f>
        <v>41</v>
      </c>
      <c r="H2082" s="15">
        <v>512465</v>
      </c>
      <c r="I2082" s="1">
        <v>46079</v>
      </c>
      <c r="J2082" s="1">
        <v>46109</v>
      </c>
      <c r="K2082" s="18" t="s">
        <v>1589</v>
      </c>
      <c r="L2082" s="18" t="s">
        <v>984</v>
      </c>
      <c r="M2082" s="18" t="s">
        <v>19</v>
      </c>
      <c r="N2082" s="18" t="s">
        <v>1681</v>
      </c>
      <c r="O2082">
        <v>30</v>
      </c>
    </row>
    <row r="2083" spans="1:15" x14ac:dyDescent="0.25">
      <c r="A2083" s="18" t="s">
        <v>7276</v>
      </c>
      <c r="B2083" s="18" t="s">
        <v>1679</v>
      </c>
      <c r="C2083" s="18" t="s">
        <v>1680</v>
      </c>
      <c r="D2083" s="18" t="s">
        <v>1593</v>
      </c>
      <c r="E2083" s="18" t="s">
        <v>5836</v>
      </c>
      <c r="F2083" s="2">
        <f>+J2083-I2083</f>
        <v>30</v>
      </c>
      <c r="G2083" s="2">
        <f ca="1">+TODAY()-I2083</f>
        <v>29</v>
      </c>
      <c r="H2083" s="15">
        <v>1545401</v>
      </c>
      <c r="I2083" s="1">
        <v>46091</v>
      </c>
      <c r="J2083" s="1">
        <v>46121</v>
      </c>
      <c r="K2083" s="18" t="s">
        <v>1589</v>
      </c>
      <c r="L2083" s="18" t="s">
        <v>984</v>
      </c>
      <c r="M2083" s="18" t="s">
        <v>19</v>
      </c>
      <c r="N2083" s="18" t="s">
        <v>1681</v>
      </c>
      <c r="O2083">
        <v>30</v>
      </c>
    </row>
    <row r="2084" spans="1:15" x14ac:dyDescent="0.25">
      <c r="A2084" s="18" t="s">
        <v>7276</v>
      </c>
      <c r="B2084" s="18" t="s">
        <v>1679</v>
      </c>
      <c r="C2084" s="18" t="s">
        <v>1680</v>
      </c>
      <c r="D2084" s="18" t="s">
        <v>1593</v>
      </c>
      <c r="E2084" s="18" t="s">
        <v>5842</v>
      </c>
      <c r="F2084" s="2">
        <f>+J2084-I2084</f>
        <v>30</v>
      </c>
      <c r="G2084" s="2">
        <f ca="1">+TODAY()-I2084</f>
        <v>28</v>
      </c>
      <c r="H2084" s="15">
        <v>567016</v>
      </c>
      <c r="I2084" s="1">
        <v>46092</v>
      </c>
      <c r="J2084" s="1">
        <v>46122</v>
      </c>
      <c r="K2084" s="18" t="s">
        <v>1589</v>
      </c>
      <c r="L2084" s="18" t="s">
        <v>984</v>
      </c>
      <c r="M2084" s="18" t="s">
        <v>19</v>
      </c>
      <c r="N2084" s="18" t="s">
        <v>1681</v>
      </c>
      <c r="O2084">
        <v>30</v>
      </c>
    </row>
    <row r="2085" spans="1:15" x14ac:dyDescent="0.25">
      <c r="A2085" s="18" t="s">
        <v>7276</v>
      </c>
      <c r="B2085" s="18" t="s">
        <v>1679</v>
      </c>
      <c r="C2085" s="18" t="s">
        <v>1680</v>
      </c>
      <c r="D2085" s="18" t="s">
        <v>1593</v>
      </c>
      <c r="E2085" s="18" t="s">
        <v>6662</v>
      </c>
      <c r="F2085" s="2">
        <f>+J2085-I2085</f>
        <v>30</v>
      </c>
      <c r="G2085" s="2">
        <f ca="1">+TODAY()-I2085</f>
        <v>14</v>
      </c>
      <c r="H2085" s="15">
        <v>629156</v>
      </c>
      <c r="I2085" s="1">
        <v>46106</v>
      </c>
      <c r="J2085" s="1">
        <v>46136</v>
      </c>
      <c r="K2085" s="18" t="s">
        <v>1589</v>
      </c>
      <c r="L2085" s="18" t="s">
        <v>984</v>
      </c>
      <c r="M2085" s="18" t="s">
        <v>19</v>
      </c>
      <c r="N2085" s="18" t="s">
        <v>1681</v>
      </c>
      <c r="O2085">
        <v>30</v>
      </c>
    </row>
    <row r="2086" spans="1:15" x14ac:dyDescent="0.25">
      <c r="A2086" s="18" t="s">
        <v>7276</v>
      </c>
      <c r="B2086" s="18" t="s">
        <v>1679</v>
      </c>
      <c r="C2086" s="18" t="s">
        <v>1680</v>
      </c>
      <c r="D2086" s="18" t="s">
        <v>1593</v>
      </c>
      <c r="E2086" s="18" t="s">
        <v>6674</v>
      </c>
      <c r="F2086" s="2">
        <f>+J2086-I2086</f>
        <v>30</v>
      </c>
      <c r="G2086" s="2">
        <f ca="1">+TODAY()-I2086</f>
        <v>14</v>
      </c>
      <c r="H2086" s="15">
        <v>795072</v>
      </c>
      <c r="I2086" s="1">
        <v>46106</v>
      </c>
      <c r="J2086" s="1">
        <v>46136</v>
      </c>
      <c r="K2086" s="18" t="s">
        <v>1589</v>
      </c>
      <c r="L2086" s="18" t="s">
        <v>984</v>
      </c>
      <c r="M2086" s="18" t="s">
        <v>19</v>
      </c>
      <c r="N2086" s="18" t="s">
        <v>1681</v>
      </c>
      <c r="O2086">
        <v>30</v>
      </c>
    </row>
    <row r="2087" spans="1:15" x14ac:dyDescent="0.25">
      <c r="A2087" s="18" t="s">
        <v>7276</v>
      </c>
      <c r="B2087" s="18" t="s">
        <v>1192</v>
      </c>
      <c r="C2087" s="18" t="s">
        <v>1193</v>
      </c>
      <c r="D2087" s="18" t="s">
        <v>1181</v>
      </c>
      <c r="E2087" s="18" t="s">
        <v>5022</v>
      </c>
      <c r="F2087" s="2">
        <f>+J2087-I2087</f>
        <v>30</v>
      </c>
      <c r="G2087" s="2">
        <f ca="1">+TODAY()-I2087</f>
        <v>63</v>
      </c>
      <c r="H2087" s="15">
        <v>403055</v>
      </c>
      <c r="I2087" s="1">
        <v>46057</v>
      </c>
      <c r="J2087" s="1">
        <v>46087</v>
      </c>
      <c r="K2087" s="18" t="s">
        <v>1183</v>
      </c>
      <c r="L2087" s="18" t="s">
        <v>984</v>
      </c>
      <c r="M2087" s="18" t="s">
        <v>19</v>
      </c>
      <c r="N2087" s="18" t="s">
        <v>1194</v>
      </c>
      <c r="O2087">
        <v>30</v>
      </c>
    </row>
    <row r="2088" spans="1:15" x14ac:dyDescent="0.25">
      <c r="A2088" s="18" t="s">
        <v>7276</v>
      </c>
      <c r="B2088" s="18" t="s">
        <v>1192</v>
      </c>
      <c r="C2088" s="18" t="s">
        <v>1193</v>
      </c>
      <c r="D2088" s="18" t="s">
        <v>1181</v>
      </c>
      <c r="E2088" s="18" t="s">
        <v>5023</v>
      </c>
      <c r="F2088" s="2">
        <f>+J2088-I2088</f>
        <v>30</v>
      </c>
      <c r="G2088" s="2">
        <f ca="1">+TODAY()-I2088</f>
        <v>63</v>
      </c>
      <c r="H2088" s="15">
        <v>802578</v>
      </c>
      <c r="I2088" s="1">
        <v>46057</v>
      </c>
      <c r="J2088" s="1">
        <v>46087</v>
      </c>
      <c r="K2088" s="18" t="s">
        <v>1183</v>
      </c>
      <c r="L2088" s="18" t="s">
        <v>984</v>
      </c>
      <c r="M2088" s="18" t="s">
        <v>19</v>
      </c>
      <c r="N2088" s="18" t="s">
        <v>1194</v>
      </c>
      <c r="O2088">
        <v>30</v>
      </c>
    </row>
    <row r="2089" spans="1:15" x14ac:dyDescent="0.25">
      <c r="A2089" s="18" t="s">
        <v>7276</v>
      </c>
      <c r="B2089" s="18" t="s">
        <v>1192</v>
      </c>
      <c r="C2089" s="18" t="s">
        <v>1193</v>
      </c>
      <c r="D2089" s="18" t="s">
        <v>1181</v>
      </c>
      <c r="E2089" s="18" t="s">
        <v>5474</v>
      </c>
      <c r="F2089" s="2">
        <f>+J2089-I2089</f>
        <v>30</v>
      </c>
      <c r="G2089" s="2">
        <f ca="1">+TODAY()-I2089</f>
        <v>35</v>
      </c>
      <c r="H2089" s="15">
        <v>1028933</v>
      </c>
      <c r="I2089" s="1">
        <v>46085</v>
      </c>
      <c r="J2089" s="1">
        <v>46115</v>
      </c>
      <c r="K2089" s="18" t="s">
        <v>1183</v>
      </c>
      <c r="L2089" s="18" t="s">
        <v>984</v>
      </c>
      <c r="M2089" s="18" t="s">
        <v>19</v>
      </c>
      <c r="N2089" s="18" t="s">
        <v>1194</v>
      </c>
      <c r="O2089">
        <v>30</v>
      </c>
    </row>
    <row r="2090" spans="1:15" x14ac:dyDescent="0.25">
      <c r="A2090" s="18" t="s">
        <v>7276</v>
      </c>
      <c r="B2090" s="18" t="s">
        <v>1192</v>
      </c>
      <c r="C2090" s="18" t="s">
        <v>1193</v>
      </c>
      <c r="D2090" s="18" t="s">
        <v>1181</v>
      </c>
      <c r="E2090" s="18" t="s">
        <v>7095</v>
      </c>
      <c r="F2090" s="2">
        <f>+J2090-I2090</f>
        <v>30</v>
      </c>
      <c r="G2090" s="2">
        <f ca="1">+TODAY()-I2090</f>
        <v>9</v>
      </c>
      <c r="H2090" s="15">
        <v>828702</v>
      </c>
      <c r="I2090" s="1">
        <v>46111</v>
      </c>
      <c r="J2090" s="1">
        <v>46141</v>
      </c>
      <c r="K2090" s="18" t="s">
        <v>1183</v>
      </c>
      <c r="L2090" s="18" t="s">
        <v>984</v>
      </c>
      <c r="M2090" s="18" t="s">
        <v>19</v>
      </c>
      <c r="N2090" s="18" t="s">
        <v>1194</v>
      </c>
      <c r="O2090">
        <v>30</v>
      </c>
    </row>
    <row r="2091" spans="1:15" x14ac:dyDescent="0.25">
      <c r="A2091" s="18" t="s">
        <v>7276</v>
      </c>
      <c r="B2091" s="18" t="s">
        <v>1496</v>
      </c>
      <c r="C2091" s="18" t="s">
        <v>1497</v>
      </c>
      <c r="D2091" s="18" t="s">
        <v>1498</v>
      </c>
      <c r="E2091" s="18" t="s">
        <v>1499</v>
      </c>
      <c r="F2091" s="2">
        <f>+J2091-I2091</f>
        <v>1</v>
      </c>
      <c r="G2091" s="2">
        <f ca="1">+TODAY()-I2091</f>
        <v>481</v>
      </c>
      <c r="H2091" s="15">
        <v>5005966</v>
      </c>
      <c r="I2091" s="1">
        <v>45639</v>
      </c>
      <c r="J2091" s="1">
        <v>45640</v>
      </c>
      <c r="K2091" s="18" t="s">
        <v>1500</v>
      </c>
      <c r="L2091" s="18" t="s">
        <v>984</v>
      </c>
      <c r="M2091" s="18" t="s">
        <v>19</v>
      </c>
      <c r="N2091" s="18" t="s">
        <v>1501</v>
      </c>
      <c r="O2091">
        <v>30</v>
      </c>
    </row>
    <row r="2092" spans="1:15" x14ac:dyDescent="0.25">
      <c r="A2092" s="18" t="s">
        <v>7276</v>
      </c>
      <c r="B2092" s="18" t="s">
        <v>2241</v>
      </c>
      <c r="C2092" s="18" t="s">
        <v>2242</v>
      </c>
      <c r="D2092" s="18" t="s">
        <v>930</v>
      </c>
      <c r="E2092" s="18" t="s">
        <v>6996</v>
      </c>
      <c r="F2092" s="2">
        <f>+J2092-I2092</f>
        <v>30</v>
      </c>
      <c r="G2092" s="2">
        <f ca="1">+TODAY()-I2092</f>
        <v>9</v>
      </c>
      <c r="H2092" s="15">
        <v>1136928</v>
      </c>
      <c r="I2092" s="1">
        <v>46111</v>
      </c>
      <c r="J2092" s="1">
        <v>46141</v>
      </c>
      <c r="K2092" s="18" t="s">
        <v>918</v>
      </c>
      <c r="L2092" s="18" t="s">
        <v>312</v>
      </c>
      <c r="M2092" s="18" t="s">
        <v>19</v>
      </c>
      <c r="N2092" s="18" t="s">
        <v>2243</v>
      </c>
      <c r="O2092">
        <v>30</v>
      </c>
    </row>
    <row r="2093" spans="1:15" x14ac:dyDescent="0.25">
      <c r="A2093" s="18" t="s">
        <v>7276</v>
      </c>
      <c r="B2093" s="18" t="s">
        <v>2241</v>
      </c>
      <c r="C2093" s="18" t="s">
        <v>2242</v>
      </c>
      <c r="D2093" s="18" t="s">
        <v>930</v>
      </c>
      <c r="E2093" s="18" t="s">
        <v>6997</v>
      </c>
      <c r="F2093" s="2">
        <f>+J2093-I2093</f>
        <v>30</v>
      </c>
      <c r="G2093" s="2">
        <f ca="1">+TODAY()-I2093</f>
        <v>9</v>
      </c>
      <c r="H2093" s="15">
        <v>2310335</v>
      </c>
      <c r="I2093" s="1">
        <v>46111</v>
      </c>
      <c r="J2093" s="1">
        <v>46141</v>
      </c>
      <c r="K2093" s="18" t="s">
        <v>918</v>
      </c>
      <c r="L2093" s="18" t="s">
        <v>312</v>
      </c>
      <c r="M2093" s="18" t="s">
        <v>19</v>
      </c>
      <c r="N2093" s="18" t="s">
        <v>2243</v>
      </c>
      <c r="O2093">
        <v>30</v>
      </c>
    </row>
    <row r="2094" spans="1:15" x14ac:dyDescent="0.25">
      <c r="A2094" s="18" t="s">
        <v>7276</v>
      </c>
      <c r="B2094" s="18" t="s">
        <v>2241</v>
      </c>
      <c r="C2094" s="18" t="s">
        <v>2242</v>
      </c>
      <c r="D2094" s="18" t="s">
        <v>930</v>
      </c>
      <c r="E2094" s="18" t="s">
        <v>6998</v>
      </c>
      <c r="F2094" s="2">
        <f>+J2094-I2094</f>
        <v>15</v>
      </c>
      <c r="G2094" s="2">
        <f ca="1">+TODAY()-I2094</f>
        <v>9</v>
      </c>
      <c r="H2094" s="15">
        <v>561528</v>
      </c>
      <c r="I2094" s="1">
        <v>46111</v>
      </c>
      <c r="J2094" s="1">
        <v>46126</v>
      </c>
      <c r="K2094" s="18" t="s">
        <v>918</v>
      </c>
      <c r="L2094" s="18" t="s">
        <v>312</v>
      </c>
      <c r="M2094" s="18" t="s">
        <v>19</v>
      </c>
      <c r="N2094" s="18" t="s">
        <v>2243</v>
      </c>
      <c r="O2094">
        <v>30</v>
      </c>
    </row>
    <row r="2095" spans="1:15" x14ac:dyDescent="0.25">
      <c r="A2095" s="18" t="s">
        <v>7276</v>
      </c>
      <c r="B2095" s="18" t="s">
        <v>2241</v>
      </c>
      <c r="C2095" s="18" t="s">
        <v>2242</v>
      </c>
      <c r="D2095" s="18" t="s">
        <v>930</v>
      </c>
      <c r="E2095" s="18" t="s">
        <v>7483</v>
      </c>
      <c r="F2095" s="2">
        <f>+J2095-I2095</f>
        <v>30</v>
      </c>
      <c r="G2095" s="2">
        <f ca="1">+TODAY()-I2095</f>
        <v>2</v>
      </c>
      <c r="H2095" s="15">
        <v>1918230</v>
      </c>
      <c r="I2095" s="1">
        <v>46118</v>
      </c>
      <c r="J2095" s="1">
        <v>46148</v>
      </c>
      <c r="K2095" s="18" t="s">
        <v>918</v>
      </c>
      <c r="L2095" s="18" t="s">
        <v>312</v>
      </c>
      <c r="M2095" s="18" t="s">
        <v>19</v>
      </c>
      <c r="N2095" s="18" t="s">
        <v>2243</v>
      </c>
      <c r="O2095">
        <v>30</v>
      </c>
    </row>
    <row r="2096" spans="1:15" x14ac:dyDescent="0.25">
      <c r="A2096" s="18" t="s">
        <v>7276</v>
      </c>
      <c r="B2096" s="18" t="s">
        <v>1557</v>
      </c>
      <c r="C2096" s="18" t="s">
        <v>1558</v>
      </c>
      <c r="D2096" s="18" t="s">
        <v>1527</v>
      </c>
      <c r="E2096" s="18" t="s">
        <v>1559</v>
      </c>
      <c r="F2096" s="2">
        <f>+J2096-I2096</f>
        <v>15</v>
      </c>
      <c r="G2096" s="2">
        <f ca="1">+TODAY()-I2096</f>
        <v>999</v>
      </c>
      <c r="H2096" s="15">
        <v>342030</v>
      </c>
      <c r="I2096" s="1">
        <v>45121</v>
      </c>
      <c r="J2096" s="1">
        <v>45136</v>
      </c>
      <c r="K2096" s="18" t="s">
        <v>1528</v>
      </c>
      <c r="L2096" s="18" t="s">
        <v>207</v>
      </c>
      <c r="M2096" s="18" t="s">
        <v>19</v>
      </c>
      <c r="N2096" s="18" t="s">
        <v>1560</v>
      </c>
      <c r="O2096">
        <v>15</v>
      </c>
    </row>
    <row r="2097" spans="1:15" x14ac:dyDescent="0.25">
      <c r="A2097" s="18" t="s">
        <v>7276</v>
      </c>
      <c r="B2097" s="18" t="s">
        <v>1979</v>
      </c>
      <c r="C2097" s="18" t="s">
        <v>1980</v>
      </c>
      <c r="D2097" s="18" t="s">
        <v>844</v>
      </c>
      <c r="E2097" s="18" t="s">
        <v>5943</v>
      </c>
      <c r="F2097" s="2">
        <f>+J2097-I2097</f>
        <v>30</v>
      </c>
      <c r="G2097" s="2">
        <f ca="1">+TODAY()-I2097</f>
        <v>26</v>
      </c>
      <c r="H2097" s="15">
        <v>3266035</v>
      </c>
      <c r="I2097" s="1">
        <v>46094</v>
      </c>
      <c r="J2097" s="1">
        <v>46124</v>
      </c>
      <c r="K2097" s="18" t="s">
        <v>845</v>
      </c>
      <c r="L2097" s="18" t="s">
        <v>18</v>
      </c>
      <c r="M2097" s="18" t="s">
        <v>19</v>
      </c>
      <c r="N2097" s="18" t="s">
        <v>1981</v>
      </c>
      <c r="O2097">
        <v>30</v>
      </c>
    </row>
    <row r="2098" spans="1:15" x14ac:dyDescent="0.25">
      <c r="A2098" s="18" t="s">
        <v>7276</v>
      </c>
      <c r="B2098" s="18" t="s">
        <v>1979</v>
      </c>
      <c r="C2098" s="18" t="s">
        <v>1980</v>
      </c>
      <c r="D2098" s="18" t="s">
        <v>844</v>
      </c>
      <c r="E2098" s="18" t="s">
        <v>6985</v>
      </c>
      <c r="F2098" s="2">
        <f>+J2098-I2098</f>
        <v>30</v>
      </c>
      <c r="G2098" s="2">
        <f ca="1">+TODAY()-I2098</f>
        <v>8</v>
      </c>
      <c r="H2098" s="15">
        <v>12827924</v>
      </c>
      <c r="I2098" s="1">
        <v>46112</v>
      </c>
      <c r="J2098" s="1">
        <v>46142</v>
      </c>
      <c r="K2098" s="18" t="s">
        <v>845</v>
      </c>
      <c r="L2098" s="18" t="s">
        <v>18</v>
      </c>
      <c r="M2098" s="18" t="s">
        <v>19</v>
      </c>
      <c r="N2098" s="18" t="s">
        <v>1981</v>
      </c>
      <c r="O2098">
        <v>30</v>
      </c>
    </row>
    <row r="2099" spans="1:15" x14ac:dyDescent="0.25">
      <c r="A2099" s="18" t="s">
        <v>7276</v>
      </c>
      <c r="B2099" s="18" t="s">
        <v>1979</v>
      </c>
      <c r="C2099" s="18" t="s">
        <v>1980</v>
      </c>
      <c r="D2099" s="18" t="s">
        <v>844</v>
      </c>
      <c r="E2099" s="18" t="s">
        <v>6986</v>
      </c>
      <c r="F2099" s="2">
        <f>+J2099-I2099</f>
        <v>30</v>
      </c>
      <c r="G2099" s="2">
        <f ca="1">+TODAY()-I2099</f>
        <v>8</v>
      </c>
      <c r="H2099" s="15">
        <v>7</v>
      </c>
      <c r="I2099" s="1">
        <v>46112</v>
      </c>
      <c r="J2099" s="1">
        <v>46142</v>
      </c>
      <c r="K2099" s="18" t="s">
        <v>845</v>
      </c>
      <c r="L2099" s="18" t="s">
        <v>18</v>
      </c>
      <c r="M2099" s="18" t="s">
        <v>19</v>
      </c>
      <c r="N2099" s="18" t="s">
        <v>1981</v>
      </c>
      <c r="O2099">
        <v>30</v>
      </c>
    </row>
    <row r="2100" spans="1:15" x14ac:dyDescent="0.25">
      <c r="A2100" s="18" t="s">
        <v>7276</v>
      </c>
      <c r="B2100" s="18" t="s">
        <v>1979</v>
      </c>
      <c r="C2100" s="18" t="s">
        <v>1980</v>
      </c>
      <c r="D2100" s="18" t="s">
        <v>844</v>
      </c>
      <c r="E2100" s="18" t="s">
        <v>6987</v>
      </c>
      <c r="F2100" s="2">
        <f>+J2100-I2100</f>
        <v>30</v>
      </c>
      <c r="G2100" s="2">
        <f ca="1">+TODAY()-I2100</f>
        <v>8</v>
      </c>
      <c r="H2100" s="15">
        <v>3540000</v>
      </c>
      <c r="I2100" s="1">
        <v>46112</v>
      </c>
      <c r="J2100" s="1">
        <v>46142</v>
      </c>
      <c r="K2100" s="18" t="s">
        <v>845</v>
      </c>
      <c r="L2100" s="18" t="s">
        <v>18</v>
      </c>
      <c r="M2100" s="18" t="s">
        <v>19</v>
      </c>
      <c r="N2100" s="18" t="s">
        <v>1981</v>
      </c>
      <c r="O2100">
        <v>30</v>
      </c>
    </row>
    <row r="2101" spans="1:15" x14ac:dyDescent="0.25">
      <c r="A2101" s="18" t="s">
        <v>7276</v>
      </c>
      <c r="B2101" s="18" t="s">
        <v>7064</v>
      </c>
      <c r="C2101" s="18" t="s">
        <v>7065</v>
      </c>
      <c r="D2101" s="18" t="s">
        <v>320</v>
      </c>
      <c r="E2101" s="18" t="s">
        <v>7066</v>
      </c>
      <c r="F2101" s="2">
        <f>+J2101-I2101</f>
        <v>1</v>
      </c>
      <c r="G2101" s="2">
        <f ca="1">+TODAY()-I2101</f>
        <v>9</v>
      </c>
      <c r="H2101" s="15">
        <v>67999</v>
      </c>
      <c r="I2101" s="1">
        <v>46111</v>
      </c>
      <c r="J2101" s="1">
        <v>46112</v>
      </c>
      <c r="K2101" s="18" t="s">
        <v>1068</v>
      </c>
      <c r="L2101" s="18" t="s">
        <v>321</v>
      </c>
      <c r="M2101" s="18" t="s">
        <v>19</v>
      </c>
      <c r="N2101" s="18" t="s">
        <v>7067</v>
      </c>
      <c r="O2101">
        <v>1</v>
      </c>
    </row>
    <row r="2102" spans="1:15" x14ac:dyDescent="0.25">
      <c r="A2102" s="18" t="s">
        <v>7276</v>
      </c>
      <c r="B2102" s="18" t="s">
        <v>7064</v>
      </c>
      <c r="C2102" s="18" t="s">
        <v>7065</v>
      </c>
      <c r="D2102" s="18" t="s">
        <v>320</v>
      </c>
      <c r="E2102" s="18" t="s">
        <v>7068</v>
      </c>
      <c r="F2102" s="2">
        <f>+J2102-I2102</f>
        <v>1</v>
      </c>
      <c r="G2102" s="2">
        <f ca="1">+TODAY()-I2102</f>
        <v>9</v>
      </c>
      <c r="H2102" s="15">
        <v>103750</v>
      </c>
      <c r="I2102" s="1">
        <v>46111</v>
      </c>
      <c r="J2102" s="1">
        <v>46112</v>
      </c>
      <c r="K2102" s="18" t="s">
        <v>1068</v>
      </c>
      <c r="L2102" s="18" t="s">
        <v>321</v>
      </c>
      <c r="M2102" s="18" t="s">
        <v>19</v>
      </c>
      <c r="N2102" s="18" t="s">
        <v>7067</v>
      </c>
      <c r="O2102">
        <v>1</v>
      </c>
    </row>
    <row r="2103" spans="1:15" x14ac:dyDescent="0.25">
      <c r="A2103" s="18" t="s">
        <v>7276</v>
      </c>
      <c r="B2103" s="18" t="s">
        <v>1719</v>
      </c>
      <c r="C2103" s="18" t="s">
        <v>1720</v>
      </c>
      <c r="D2103" s="18" t="s">
        <v>1705</v>
      </c>
      <c r="E2103" s="18" t="s">
        <v>6112</v>
      </c>
      <c r="F2103" s="2">
        <f>+J2103-I2103</f>
        <v>30</v>
      </c>
      <c r="G2103" s="2">
        <f ca="1">+TODAY()-I2103</f>
        <v>26</v>
      </c>
      <c r="H2103" s="15">
        <v>2415114</v>
      </c>
      <c r="I2103" s="1">
        <v>46094</v>
      </c>
      <c r="J2103" s="1">
        <v>46124</v>
      </c>
      <c r="K2103" s="18" t="s">
        <v>1706</v>
      </c>
      <c r="L2103" s="18" t="s">
        <v>90</v>
      </c>
      <c r="M2103" s="18" t="s">
        <v>19</v>
      </c>
      <c r="N2103" s="18" t="s">
        <v>1721</v>
      </c>
      <c r="O2103">
        <v>30</v>
      </c>
    </row>
    <row r="2104" spans="1:15" x14ac:dyDescent="0.25">
      <c r="A2104" s="18" t="s">
        <v>7276</v>
      </c>
      <c r="B2104" s="18" t="s">
        <v>1719</v>
      </c>
      <c r="C2104" s="18" t="s">
        <v>1720</v>
      </c>
      <c r="D2104" s="18" t="s">
        <v>1705</v>
      </c>
      <c r="E2104" s="18" t="s">
        <v>6113</v>
      </c>
      <c r="F2104" s="2">
        <f>+J2104-I2104</f>
        <v>30</v>
      </c>
      <c r="G2104" s="2">
        <f ca="1">+TODAY()-I2104</f>
        <v>26</v>
      </c>
      <c r="H2104" s="15">
        <v>1224486</v>
      </c>
      <c r="I2104" s="1">
        <v>46094</v>
      </c>
      <c r="J2104" s="1">
        <v>46124</v>
      </c>
      <c r="K2104" s="18" t="s">
        <v>1706</v>
      </c>
      <c r="L2104" s="18" t="s">
        <v>90</v>
      </c>
      <c r="M2104" s="18" t="s">
        <v>19</v>
      </c>
      <c r="N2104" s="18" t="s">
        <v>1721</v>
      </c>
      <c r="O2104">
        <v>30</v>
      </c>
    </row>
    <row r="2105" spans="1:15" x14ac:dyDescent="0.25">
      <c r="A2105" s="18" t="s">
        <v>7276</v>
      </c>
      <c r="B2105" s="18" t="s">
        <v>1719</v>
      </c>
      <c r="C2105" s="18" t="s">
        <v>1720</v>
      </c>
      <c r="D2105" s="18" t="s">
        <v>1705</v>
      </c>
      <c r="E2105" s="18" t="s">
        <v>7244</v>
      </c>
      <c r="F2105" s="2">
        <f>+J2105-I2105</f>
        <v>30</v>
      </c>
      <c r="G2105" s="2">
        <f ca="1">+TODAY()-I2105</f>
        <v>9</v>
      </c>
      <c r="H2105" s="15">
        <v>2974935</v>
      </c>
      <c r="I2105" s="1">
        <v>46111</v>
      </c>
      <c r="J2105" s="1">
        <v>46141</v>
      </c>
      <c r="K2105" s="18" t="s">
        <v>1706</v>
      </c>
      <c r="L2105" s="18" t="s">
        <v>90</v>
      </c>
      <c r="M2105" s="18" t="s">
        <v>19</v>
      </c>
      <c r="N2105" s="18" t="s">
        <v>1721</v>
      </c>
      <c r="O2105">
        <v>30</v>
      </c>
    </row>
    <row r="2106" spans="1:15" x14ac:dyDescent="0.25">
      <c r="A2106" s="18" t="s">
        <v>7276</v>
      </c>
      <c r="B2106" s="18" t="s">
        <v>1719</v>
      </c>
      <c r="C2106" s="18" t="s">
        <v>1720</v>
      </c>
      <c r="D2106" s="18" t="s">
        <v>1705</v>
      </c>
      <c r="E2106" s="18" t="s">
        <v>7245</v>
      </c>
      <c r="F2106" s="2">
        <f>+J2106-I2106</f>
        <v>30</v>
      </c>
      <c r="G2106" s="2">
        <f ca="1">+TODAY()-I2106</f>
        <v>9</v>
      </c>
      <c r="H2106" s="15">
        <v>5153500</v>
      </c>
      <c r="I2106" s="1">
        <v>46111</v>
      </c>
      <c r="J2106" s="1">
        <v>46141</v>
      </c>
      <c r="K2106" s="18" t="s">
        <v>1706</v>
      </c>
      <c r="L2106" s="18" t="s">
        <v>90</v>
      </c>
      <c r="M2106" s="18" t="s">
        <v>19</v>
      </c>
      <c r="N2106" s="18" t="s">
        <v>1721</v>
      </c>
      <c r="O2106">
        <v>30</v>
      </c>
    </row>
    <row r="2107" spans="1:15" x14ac:dyDescent="0.25">
      <c r="A2107" s="18" t="s">
        <v>7276</v>
      </c>
      <c r="B2107" s="18" t="s">
        <v>5662</v>
      </c>
      <c r="C2107" s="18" t="s">
        <v>5663</v>
      </c>
      <c r="D2107" s="18" t="s">
        <v>15</v>
      </c>
      <c r="E2107" s="18" t="s">
        <v>5666</v>
      </c>
      <c r="F2107" s="2">
        <f>+J2107-I2107</f>
        <v>30</v>
      </c>
      <c r="G2107" s="2">
        <f ca="1">+TODAY()-I2107</f>
        <v>28</v>
      </c>
      <c r="H2107" s="15">
        <v>500000</v>
      </c>
      <c r="I2107" s="1">
        <v>46092</v>
      </c>
      <c r="J2107" s="1">
        <v>46122</v>
      </c>
      <c r="K2107" s="18" t="s">
        <v>5664</v>
      </c>
      <c r="L2107" s="18" t="s">
        <v>109</v>
      </c>
      <c r="M2107" s="18" t="s">
        <v>19</v>
      </c>
      <c r="N2107" s="18" t="s">
        <v>5665</v>
      </c>
      <c r="O2107">
        <v>1</v>
      </c>
    </row>
    <row r="2108" spans="1:15" x14ac:dyDescent="0.25">
      <c r="A2108" s="18" t="s">
        <v>7276</v>
      </c>
      <c r="B2108" s="18" t="s">
        <v>5662</v>
      </c>
      <c r="C2108" s="18" t="s">
        <v>5663</v>
      </c>
      <c r="D2108" s="18" t="s">
        <v>15</v>
      </c>
      <c r="E2108" s="18" t="s">
        <v>5667</v>
      </c>
      <c r="F2108" s="2">
        <f>+J2108-I2108</f>
        <v>30</v>
      </c>
      <c r="G2108" s="2">
        <f ca="1">+TODAY()-I2108</f>
        <v>28</v>
      </c>
      <c r="H2108" s="15">
        <v>500000</v>
      </c>
      <c r="I2108" s="1">
        <v>46092</v>
      </c>
      <c r="J2108" s="1">
        <v>46122</v>
      </c>
      <c r="K2108" s="18" t="s">
        <v>5664</v>
      </c>
      <c r="L2108" s="18" t="s">
        <v>109</v>
      </c>
      <c r="M2108" s="18" t="s">
        <v>19</v>
      </c>
      <c r="N2108" s="18" t="s">
        <v>5665</v>
      </c>
      <c r="O2108">
        <v>1</v>
      </c>
    </row>
    <row r="2109" spans="1:15" x14ac:dyDescent="0.25">
      <c r="A2109" s="18" t="s">
        <v>7276</v>
      </c>
      <c r="B2109" s="18" t="s">
        <v>5662</v>
      </c>
      <c r="C2109" s="18" t="s">
        <v>5663</v>
      </c>
      <c r="D2109" s="18" t="s">
        <v>15</v>
      </c>
      <c r="E2109" s="18" t="s">
        <v>5668</v>
      </c>
      <c r="F2109" s="2">
        <f>+J2109-I2109</f>
        <v>30</v>
      </c>
      <c r="G2109" s="2">
        <f ca="1">+TODAY()-I2109</f>
        <v>28</v>
      </c>
      <c r="H2109" s="15">
        <v>500000</v>
      </c>
      <c r="I2109" s="1">
        <v>46092</v>
      </c>
      <c r="J2109" s="1">
        <v>46122</v>
      </c>
      <c r="K2109" s="18" t="s">
        <v>5664</v>
      </c>
      <c r="L2109" s="18" t="s">
        <v>109</v>
      </c>
      <c r="M2109" s="18" t="s">
        <v>19</v>
      </c>
      <c r="N2109" s="18" t="s">
        <v>5665</v>
      </c>
      <c r="O2109">
        <v>1</v>
      </c>
    </row>
    <row r="2110" spans="1:15" x14ac:dyDescent="0.25">
      <c r="A2110" s="18" t="s">
        <v>7276</v>
      </c>
      <c r="B2110" s="18" t="s">
        <v>5662</v>
      </c>
      <c r="C2110" s="18" t="s">
        <v>5663</v>
      </c>
      <c r="D2110" s="18" t="s">
        <v>15</v>
      </c>
      <c r="E2110" s="18" t="s">
        <v>5669</v>
      </c>
      <c r="F2110" s="2">
        <f>+J2110-I2110</f>
        <v>30</v>
      </c>
      <c r="G2110" s="2">
        <f ca="1">+TODAY()-I2110</f>
        <v>28</v>
      </c>
      <c r="H2110" s="15">
        <v>500000</v>
      </c>
      <c r="I2110" s="1">
        <v>46092</v>
      </c>
      <c r="J2110" s="1">
        <v>46122</v>
      </c>
      <c r="K2110" s="18" t="s">
        <v>5664</v>
      </c>
      <c r="L2110" s="18" t="s">
        <v>109</v>
      </c>
      <c r="M2110" s="18" t="s">
        <v>19</v>
      </c>
      <c r="N2110" s="18" t="s">
        <v>5665</v>
      </c>
      <c r="O2110">
        <v>1</v>
      </c>
    </row>
    <row r="2111" spans="1:15" x14ac:dyDescent="0.25">
      <c r="A2111" s="18" t="s">
        <v>7276</v>
      </c>
      <c r="B2111" s="18" t="s">
        <v>3513</v>
      </c>
      <c r="C2111" s="18" t="s">
        <v>3514</v>
      </c>
      <c r="D2111" s="18" t="s">
        <v>930</v>
      </c>
      <c r="E2111" s="18" t="s">
        <v>7770</v>
      </c>
      <c r="F2111" s="2">
        <f>+J2111-I2111</f>
        <v>1</v>
      </c>
      <c r="G2111" s="2">
        <f ca="1">+TODAY()-I2111</f>
        <v>1</v>
      </c>
      <c r="H2111" s="15">
        <v>143807</v>
      </c>
      <c r="I2111" s="1">
        <v>46119</v>
      </c>
      <c r="J2111" s="1">
        <v>46120</v>
      </c>
      <c r="K2111" s="18" t="s">
        <v>918</v>
      </c>
      <c r="L2111" s="18" t="s">
        <v>312</v>
      </c>
      <c r="M2111" s="18" t="s">
        <v>19</v>
      </c>
      <c r="N2111" s="18" t="s">
        <v>3516</v>
      </c>
      <c r="O2111">
        <v>0</v>
      </c>
    </row>
    <row r="2112" spans="1:15" x14ac:dyDescent="0.25">
      <c r="A2112" s="18" t="s">
        <v>7276</v>
      </c>
      <c r="B2112" s="18" t="s">
        <v>6897</v>
      </c>
      <c r="C2112" s="18" t="s">
        <v>6898</v>
      </c>
      <c r="D2112" s="18" t="s">
        <v>15</v>
      </c>
      <c r="E2112" s="18" t="s">
        <v>7302</v>
      </c>
      <c r="F2112" s="2">
        <f>+J2112-I2112</f>
        <v>30</v>
      </c>
      <c r="G2112" s="2">
        <f ca="1">+TODAY()-I2112</f>
        <v>7</v>
      </c>
      <c r="H2112" s="15">
        <v>127000</v>
      </c>
      <c r="I2112" s="1">
        <v>46113</v>
      </c>
      <c r="J2112" s="1">
        <v>46143</v>
      </c>
      <c r="K2112" s="18" t="s">
        <v>17</v>
      </c>
      <c r="L2112" s="18" t="s">
        <v>109</v>
      </c>
      <c r="M2112" s="18" t="s">
        <v>19</v>
      </c>
      <c r="N2112" s="18" t="s">
        <v>6900</v>
      </c>
      <c r="O2112">
        <v>30</v>
      </c>
    </row>
    <row r="2113" spans="1:15" x14ac:dyDescent="0.25">
      <c r="A2113" s="18" t="s">
        <v>7276</v>
      </c>
      <c r="B2113" s="18" t="s">
        <v>6897</v>
      </c>
      <c r="C2113" s="18" t="s">
        <v>6898</v>
      </c>
      <c r="D2113" s="18" t="s">
        <v>15</v>
      </c>
      <c r="E2113" s="18" t="s">
        <v>7346</v>
      </c>
      <c r="F2113" s="2">
        <f>+J2113-I2113</f>
        <v>30</v>
      </c>
      <c r="G2113" s="2">
        <f ca="1">+TODAY()-I2113</f>
        <v>2</v>
      </c>
      <c r="H2113" s="15">
        <v>87753</v>
      </c>
      <c r="I2113" s="1">
        <v>46118</v>
      </c>
      <c r="J2113" s="1">
        <v>46148</v>
      </c>
      <c r="K2113" s="18" t="s">
        <v>17</v>
      </c>
      <c r="L2113" s="18" t="s">
        <v>109</v>
      </c>
      <c r="M2113" s="18" t="s">
        <v>19</v>
      </c>
      <c r="N2113" s="18" t="s">
        <v>6900</v>
      </c>
      <c r="O2113">
        <v>30</v>
      </c>
    </row>
    <row r="2114" spans="1:15" x14ac:dyDescent="0.25">
      <c r="A2114" s="18" t="s">
        <v>7276</v>
      </c>
      <c r="B2114" s="18" t="s">
        <v>6897</v>
      </c>
      <c r="C2114" s="18" t="s">
        <v>6898</v>
      </c>
      <c r="D2114" s="18" t="s">
        <v>15</v>
      </c>
      <c r="E2114" s="18" t="s">
        <v>6899</v>
      </c>
      <c r="F2114" s="2">
        <f>+J2114-I2114</f>
        <v>30</v>
      </c>
      <c r="G2114" s="2">
        <f ca="1">+TODAY()-I2114</f>
        <v>8</v>
      </c>
      <c r="H2114" s="15">
        <v>10000</v>
      </c>
      <c r="I2114" s="1">
        <v>46112</v>
      </c>
      <c r="J2114" s="1">
        <v>46142</v>
      </c>
      <c r="K2114" s="18" t="s">
        <v>17</v>
      </c>
      <c r="L2114" s="18" t="s">
        <v>109</v>
      </c>
      <c r="M2114" s="18" t="s">
        <v>19</v>
      </c>
      <c r="N2114" s="18" t="s">
        <v>6900</v>
      </c>
      <c r="O2114">
        <v>30</v>
      </c>
    </row>
    <row r="2115" spans="1:15" x14ac:dyDescent="0.25">
      <c r="A2115" s="18" t="s">
        <v>7276</v>
      </c>
      <c r="B2115" s="18" t="s">
        <v>4972</v>
      </c>
      <c r="C2115" s="18" t="s">
        <v>4973</v>
      </c>
      <c r="D2115" s="18" t="s">
        <v>15</v>
      </c>
      <c r="E2115" s="18" t="s">
        <v>5209</v>
      </c>
      <c r="F2115" s="2">
        <f>+J2115-I2115</f>
        <v>30</v>
      </c>
      <c r="G2115" s="2">
        <f ca="1">+TODAY()-I2115</f>
        <v>39</v>
      </c>
      <c r="H2115" s="15">
        <v>609553</v>
      </c>
      <c r="I2115" s="1">
        <v>46081</v>
      </c>
      <c r="J2115" s="1">
        <v>46111</v>
      </c>
      <c r="K2115" s="18" t="s">
        <v>17</v>
      </c>
      <c r="L2115" s="18" t="s">
        <v>47</v>
      </c>
      <c r="M2115" s="18" t="s">
        <v>19</v>
      </c>
      <c r="N2115" s="18" t="s">
        <v>4974</v>
      </c>
      <c r="O2115">
        <v>30</v>
      </c>
    </row>
    <row r="2116" spans="1:15" x14ac:dyDescent="0.25">
      <c r="A2116" s="18" t="s">
        <v>7276</v>
      </c>
      <c r="B2116" s="18" t="s">
        <v>648</v>
      </c>
      <c r="C2116" s="18" t="s">
        <v>649</v>
      </c>
      <c r="D2116" s="18" t="s">
        <v>336</v>
      </c>
      <c r="E2116" s="18" t="s">
        <v>5089</v>
      </c>
      <c r="F2116" s="2">
        <f>+J2116-I2116</f>
        <v>30</v>
      </c>
      <c r="G2116" s="2">
        <f ca="1">+TODAY()-I2116</f>
        <v>50</v>
      </c>
      <c r="H2116" s="15">
        <v>258482</v>
      </c>
      <c r="I2116" s="1">
        <v>46070</v>
      </c>
      <c r="J2116" s="1">
        <v>46100</v>
      </c>
      <c r="K2116" s="18" t="s">
        <v>638</v>
      </c>
      <c r="L2116" s="18" t="s">
        <v>47</v>
      </c>
      <c r="M2116" s="18" t="s">
        <v>19</v>
      </c>
      <c r="N2116" s="18" t="s">
        <v>650</v>
      </c>
      <c r="O2116">
        <v>30</v>
      </c>
    </row>
    <row r="2117" spans="1:15" x14ac:dyDescent="0.25">
      <c r="A2117" s="18" t="s">
        <v>7276</v>
      </c>
      <c r="B2117" s="18" t="s">
        <v>1119</v>
      </c>
      <c r="C2117" s="18" t="s">
        <v>1120</v>
      </c>
      <c r="D2117" s="18" t="s">
        <v>1066</v>
      </c>
      <c r="E2117" s="18" t="s">
        <v>5253</v>
      </c>
      <c r="F2117" s="2">
        <f>+J2117-I2117</f>
        <v>30</v>
      </c>
      <c r="G2117" s="2">
        <f ca="1">+TODAY()-I2117</f>
        <v>42</v>
      </c>
      <c r="H2117" s="15">
        <v>3029824</v>
      </c>
      <c r="I2117" s="1">
        <v>46078</v>
      </c>
      <c r="J2117" s="1">
        <v>46108</v>
      </c>
      <c r="K2117" s="18" t="s">
        <v>1068</v>
      </c>
      <c r="L2117" s="18" t="s">
        <v>207</v>
      </c>
      <c r="M2117" s="18" t="s">
        <v>19</v>
      </c>
      <c r="N2117" s="18" t="s">
        <v>1121</v>
      </c>
      <c r="O2117">
        <v>30</v>
      </c>
    </row>
    <row r="2118" spans="1:15" x14ac:dyDescent="0.25">
      <c r="A2118" s="18" t="s">
        <v>7276</v>
      </c>
      <c r="B2118" s="18" t="s">
        <v>1119</v>
      </c>
      <c r="C2118" s="18" t="s">
        <v>1120</v>
      </c>
      <c r="D2118" s="18" t="s">
        <v>1066</v>
      </c>
      <c r="E2118" s="18" t="s">
        <v>5255</v>
      </c>
      <c r="F2118" s="2">
        <f>+J2118-I2118</f>
        <v>30</v>
      </c>
      <c r="G2118" s="2">
        <f ca="1">+TODAY()-I2118</f>
        <v>42</v>
      </c>
      <c r="H2118" s="15">
        <v>139500</v>
      </c>
      <c r="I2118" s="1">
        <v>46078</v>
      </c>
      <c r="J2118" s="1">
        <v>46108</v>
      </c>
      <c r="K2118" s="18" t="s">
        <v>1068</v>
      </c>
      <c r="L2118" s="18" t="s">
        <v>207</v>
      </c>
      <c r="M2118" s="18" t="s">
        <v>19</v>
      </c>
      <c r="N2118" s="18" t="s">
        <v>1121</v>
      </c>
      <c r="O2118">
        <v>30</v>
      </c>
    </row>
    <row r="2119" spans="1:15" x14ac:dyDescent="0.25">
      <c r="A2119" s="18" t="s">
        <v>7276</v>
      </c>
      <c r="B2119" s="18" t="s">
        <v>1119</v>
      </c>
      <c r="C2119" s="18" t="s">
        <v>1120</v>
      </c>
      <c r="D2119" s="18" t="s">
        <v>1066</v>
      </c>
      <c r="E2119" s="18" t="s">
        <v>5443</v>
      </c>
      <c r="F2119" s="2">
        <f>+J2119-I2119</f>
        <v>30</v>
      </c>
      <c r="G2119" s="2">
        <f ca="1">+TODAY()-I2119</f>
        <v>35</v>
      </c>
      <c r="H2119" s="15">
        <v>458902</v>
      </c>
      <c r="I2119" s="1">
        <v>46085</v>
      </c>
      <c r="J2119" s="1">
        <v>46115</v>
      </c>
      <c r="K2119" s="18" t="s">
        <v>1068</v>
      </c>
      <c r="L2119" s="18" t="s">
        <v>207</v>
      </c>
      <c r="M2119" s="18" t="s">
        <v>19</v>
      </c>
      <c r="N2119" s="18" t="s">
        <v>1121</v>
      </c>
      <c r="O2119">
        <v>30</v>
      </c>
    </row>
    <row r="2120" spans="1:15" x14ac:dyDescent="0.25">
      <c r="A2120" s="18" t="s">
        <v>7276</v>
      </c>
      <c r="B2120" s="18" t="s">
        <v>1119</v>
      </c>
      <c r="C2120" s="18" t="s">
        <v>1120</v>
      </c>
      <c r="D2120" s="18" t="s">
        <v>1066</v>
      </c>
      <c r="E2120" s="18" t="s">
        <v>5722</v>
      </c>
      <c r="F2120" s="2">
        <f>+J2120-I2120</f>
        <v>30</v>
      </c>
      <c r="G2120" s="2">
        <f ca="1">+TODAY()-I2120</f>
        <v>28</v>
      </c>
      <c r="H2120" s="15">
        <v>1573236</v>
      </c>
      <c r="I2120" s="1">
        <v>46092</v>
      </c>
      <c r="J2120" s="1">
        <v>46122</v>
      </c>
      <c r="K2120" s="18" t="s">
        <v>1068</v>
      </c>
      <c r="L2120" s="18" t="s">
        <v>207</v>
      </c>
      <c r="M2120" s="18" t="s">
        <v>19</v>
      </c>
      <c r="N2120" s="18" t="s">
        <v>1121</v>
      </c>
      <c r="O2120">
        <v>30</v>
      </c>
    </row>
    <row r="2121" spans="1:15" x14ac:dyDescent="0.25">
      <c r="A2121" s="18" t="s">
        <v>7276</v>
      </c>
      <c r="B2121" s="18" t="s">
        <v>1119</v>
      </c>
      <c r="C2121" s="18" t="s">
        <v>1120</v>
      </c>
      <c r="D2121" s="18" t="s">
        <v>1066</v>
      </c>
      <c r="E2121" s="18" t="s">
        <v>6261</v>
      </c>
      <c r="F2121" s="2">
        <f>+J2121-I2121</f>
        <v>30</v>
      </c>
      <c r="G2121" s="2">
        <f ca="1">+TODAY()-I2121</f>
        <v>21</v>
      </c>
      <c r="H2121" s="15">
        <v>686861</v>
      </c>
      <c r="I2121" s="1">
        <v>46099</v>
      </c>
      <c r="J2121" s="1">
        <v>46129</v>
      </c>
      <c r="K2121" s="18" t="s">
        <v>1068</v>
      </c>
      <c r="L2121" s="18" t="s">
        <v>207</v>
      </c>
      <c r="M2121" s="18" t="s">
        <v>19</v>
      </c>
      <c r="N2121" s="18" t="s">
        <v>1121</v>
      </c>
      <c r="O2121">
        <v>30</v>
      </c>
    </row>
    <row r="2122" spans="1:15" x14ac:dyDescent="0.25">
      <c r="A2122" s="18" t="s">
        <v>7276</v>
      </c>
      <c r="B2122" s="18" t="s">
        <v>1119</v>
      </c>
      <c r="C2122" s="18" t="s">
        <v>1120</v>
      </c>
      <c r="D2122" s="18" t="s">
        <v>1066</v>
      </c>
      <c r="E2122" s="18" t="s">
        <v>6262</v>
      </c>
      <c r="F2122" s="2">
        <f>+J2122-I2122</f>
        <v>30</v>
      </c>
      <c r="G2122" s="2">
        <f ca="1">+TODAY()-I2122</f>
        <v>21</v>
      </c>
      <c r="H2122" s="15">
        <v>1359032</v>
      </c>
      <c r="I2122" s="1">
        <v>46099</v>
      </c>
      <c r="J2122" s="1">
        <v>46129</v>
      </c>
      <c r="K2122" s="18" t="s">
        <v>1068</v>
      </c>
      <c r="L2122" s="18" t="s">
        <v>207</v>
      </c>
      <c r="M2122" s="18" t="s">
        <v>19</v>
      </c>
      <c r="N2122" s="18" t="s">
        <v>1121</v>
      </c>
      <c r="O2122">
        <v>30</v>
      </c>
    </row>
    <row r="2123" spans="1:15" x14ac:dyDescent="0.25">
      <c r="A2123" s="18" t="s">
        <v>7276</v>
      </c>
      <c r="B2123" s="18" t="s">
        <v>3598</v>
      </c>
      <c r="C2123" s="18" t="s">
        <v>3599</v>
      </c>
      <c r="D2123" s="18" t="s">
        <v>1138</v>
      </c>
      <c r="E2123" s="18" t="s">
        <v>5265</v>
      </c>
      <c r="F2123" s="2">
        <f>+J2123-I2123</f>
        <v>15</v>
      </c>
      <c r="G2123" s="2">
        <f ca="1">+TODAY()-I2123</f>
        <v>40</v>
      </c>
      <c r="H2123" s="15">
        <v>329308</v>
      </c>
      <c r="I2123" s="1">
        <v>46080</v>
      </c>
      <c r="J2123" s="1">
        <v>46095</v>
      </c>
      <c r="K2123" s="18" t="s">
        <v>1144</v>
      </c>
      <c r="L2123" s="18" t="s">
        <v>321</v>
      </c>
      <c r="M2123" s="18" t="s">
        <v>19</v>
      </c>
      <c r="N2123" s="18" t="s">
        <v>3601</v>
      </c>
      <c r="O2123">
        <v>15</v>
      </c>
    </row>
    <row r="2124" spans="1:15" x14ac:dyDescent="0.25">
      <c r="A2124" s="18" t="s">
        <v>7276</v>
      </c>
      <c r="B2124" s="18" t="s">
        <v>1784</v>
      </c>
      <c r="C2124" s="18" t="s">
        <v>1785</v>
      </c>
      <c r="D2124" s="18" t="s">
        <v>1775</v>
      </c>
      <c r="E2124" s="18" t="s">
        <v>1786</v>
      </c>
      <c r="F2124" s="2">
        <f>+J2124-I2124</f>
        <v>30</v>
      </c>
      <c r="G2124" s="2">
        <f ca="1">+TODAY()-I2124</f>
        <v>2483</v>
      </c>
      <c r="H2124" s="15">
        <v>228000</v>
      </c>
      <c r="I2124" s="1">
        <v>43637</v>
      </c>
      <c r="J2124" s="1">
        <v>43667</v>
      </c>
      <c r="K2124" s="18" t="s">
        <v>1777</v>
      </c>
      <c r="L2124" s="18" t="s">
        <v>1778</v>
      </c>
      <c r="M2124" s="18" t="s">
        <v>19</v>
      </c>
      <c r="N2124" s="18" t="s">
        <v>1787</v>
      </c>
      <c r="O2124">
        <v>30</v>
      </c>
    </row>
    <row r="2125" spans="1:15" x14ac:dyDescent="0.25">
      <c r="A2125" s="18" t="s">
        <v>7276</v>
      </c>
      <c r="B2125" s="18" t="s">
        <v>1784</v>
      </c>
      <c r="C2125" s="18" t="s">
        <v>1785</v>
      </c>
      <c r="D2125" s="18" t="s">
        <v>1775</v>
      </c>
      <c r="E2125" s="18" t="s">
        <v>1788</v>
      </c>
      <c r="F2125" s="2">
        <f>+J2125-I2125</f>
        <v>30</v>
      </c>
      <c r="G2125" s="2">
        <f ca="1">+TODAY()-I2125</f>
        <v>2483</v>
      </c>
      <c r="H2125" s="15">
        <v>132260</v>
      </c>
      <c r="I2125" s="1">
        <v>43637</v>
      </c>
      <c r="J2125" s="1">
        <v>43667</v>
      </c>
      <c r="K2125" s="18" t="s">
        <v>1777</v>
      </c>
      <c r="L2125" s="18" t="s">
        <v>1778</v>
      </c>
      <c r="M2125" s="18" t="s">
        <v>19</v>
      </c>
      <c r="N2125" s="18" t="s">
        <v>1787</v>
      </c>
      <c r="O2125">
        <v>30</v>
      </c>
    </row>
    <row r="2126" spans="1:15" x14ac:dyDescent="0.25">
      <c r="A2126" s="18" t="s">
        <v>7276</v>
      </c>
      <c r="B2126" s="18" t="s">
        <v>326</v>
      </c>
      <c r="C2126" s="18" t="s">
        <v>327</v>
      </c>
      <c r="D2126" s="18" t="s">
        <v>15</v>
      </c>
      <c r="E2126" s="18" t="s">
        <v>5659</v>
      </c>
      <c r="F2126" s="2">
        <f>+J2126-I2126</f>
        <v>30</v>
      </c>
      <c r="G2126" s="2">
        <f ca="1">+TODAY()-I2126</f>
        <v>27</v>
      </c>
      <c r="H2126" s="15">
        <v>523202</v>
      </c>
      <c r="I2126" s="1">
        <v>46093</v>
      </c>
      <c r="J2126" s="1">
        <v>46123</v>
      </c>
      <c r="K2126" s="18" t="s">
        <v>17</v>
      </c>
      <c r="L2126" s="18" t="s">
        <v>312</v>
      </c>
      <c r="M2126" s="18" t="s">
        <v>19</v>
      </c>
      <c r="N2126" s="18" t="s">
        <v>328</v>
      </c>
      <c r="O2126">
        <v>30</v>
      </c>
    </row>
    <row r="2127" spans="1:15" x14ac:dyDescent="0.25">
      <c r="A2127" s="18" t="s">
        <v>7276</v>
      </c>
      <c r="B2127" s="18" t="s">
        <v>326</v>
      </c>
      <c r="C2127" s="18" t="s">
        <v>327</v>
      </c>
      <c r="D2127" s="18" t="s">
        <v>15</v>
      </c>
      <c r="E2127" s="18" t="s">
        <v>6195</v>
      </c>
      <c r="F2127" s="2">
        <f>+J2127-I2127</f>
        <v>15</v>
      </c>
      <c r="G2127" s="2">
        <f ca="1">+TODAY()-I2127</f>
        <v>19</v>
      </c>
      <c r="H2127" s="15">
        <v>365409</v>
      </c>
      <c r="I2127" s="1">
        <v>46101</v>
      </c>
      <c r="J2127" s="1">
        <v>46116</v>
      </c>
      <c r="K2127" s="18" t="s">
        <v>17</v>
      </c>
      <c r="L2127" s="18" t="s">
        <v>312</v>
      </c>
      <c r="M2127" s="18" t="s">
        <v>19</v>
      </c>
      <c r="N2127" s="18" t="s">
        <v>328</v>
      </c>
      <c r="O2127">
        <v>30</v>
      </c>
    </row>
    <row r="2128" spans="1:15" x14ac:dyDescent="0.25">
      <c r="A2128" s="18" t="s">
        <v>7276</v>
      </c>
      <c r="B2128" s="18" t="s">
        <v>326</v>
      </c>
      <c r="C2128" s="18" t="s">
        <v>327</v>
      </c>
      <c r="D2128" s="18" t="s">
        <v>15</v>
      </c>
      <c r="E2128" s="18" t="s">
        <v>6431</v>
      </c>
      <c r="F2128" s="2">
        <f>+J2128-I2128</f>
        <v>10</v>
      </c>
      <c r="G2128" s="2">
        <f ca="1">+TODAY()-I2128</f>
        <v>15</v>
      </c>
      <c r="H2128" s="15">
        <v>358746</v>
      </c>
      <c r="I2128" s="1">
        <v>46105</v>
      </c>
      <c r="J2128" s="1">
        <v>46115</v>
      </c>
      <c r="K2128" s="18" t="s">
        <v>17</v>
      </c>
      <c r="L2128" s="18" t="s">
        <v>312</v>
      </c>
      <c r="M2128" s="18" t="s">
        <v>19</v>
      </c>
      <c r="N2128" s="18" t="s">
        <v>328</v>
      </c>
      <c r="O2128">
        <v>30</v>
      </c>
    </row>
    <row r="2129" spans="1:15" x14ac:dyDescent="0.25">
      <c r="A2129" s="18" t="s">
        <v>7276</v>
      </c>
      <c r="B2129" s="18" t="s">
        <v>326</v>
      </c>
      <c r="C2129" s="18" t="s">
        <v>327</v>
      </c>
      <c r="D2129" s="18" t="s">
        <v>15</v>
      </c>
      <c r="E2129" s="18" t="s">
        <v>6440</v>
      </c>
      <c r="F2129" s="2">
        <f>+J2129-I2129</f>
        <v>30</v>
      </c>
      <c r="G2129" s="2">
        <f ca="1">+TODAY()-I2129</f>
        <v>14</v>
      </c>
      <c r="H2129" s="15">
        <v>471574</v>
      </c>
      <c r="I2129" s="1">
        <v>46106</v>
      </c>
      <c r="J2129" s="1">
        <v>46136</v>
      </c>
      <c r="K2129" s="18" t="s">
        <v>17</v>
      </c>
      <c r="L2129" s="18" t="s">
        <v>312</v>
      </c>
      <c r="M2129" s="18" t="s">
        <v>19</v>
      </c>
      <c r="N2129" s="18" t="s">
        <v>328</v>
      </c>
      <c r="O2129">
        <v>30</v>
      </c>
    </row>
    <row r="2130" spans="1:15" x14ac:dyDescent="0.25">
      <c r="A2130" s="18" t="s">
        <v>7276</v>
      </c>
      <c r="B2130" s="18" t="s">
        <v>326</v>
      </c>
      <c r="C2130" s="18" t="s">
        <v>327</v>
      </c>
      <c r="D2130" s="18" t="s">
        <v>15</v>
      </c>
      <c r="E2130" s="18" t="s">
        <v>6441</v>
      </c>
      <c r="F2130" s="2">
        <f>+J2130-I2130</f>
        <v>15</v>
      </c>
      <c r="G2130" s="2">
        <f ca="1">+TODAY()-I2130</f>
        <v>14</v>
      </c>
      <c r="H2130" s="15">
        <v>335990</v>
      </c>
      <c r="I2130" s="1">
        <v>46106</v>
      </c>
      <c r="J2130" s="1">
        <v>46121</v>
      </c>
      <c r="K2130" s="18" t="s">
        <v>17</v>
      </c>
      <c r="L2130" s="18" t="s">
        <v>312</v>
      </c>
      <c r="M2130" s="18" t="s">
        <v>19</v>
      </c>
      <c r="N2130" s="18" t="s">
        <v>328</v>
      </c>
      <c r="O2130">
        <v>30</v>
      </c>
    </row>
    <row r="2131" spans="1:15" x14ac:dyDescent="0.25">
      <c r="A2131" s="18" t="s">
        <v>7276</v>
      </c>
      <c r="B2131" s="18" t="s">
        <v>326</v>
      </c>
      <c r="C2131" s="18" t="s">
        <v>327</v>
      </c>
      <c r="D2131" s="18" t="s">
        <v>15</v>
      </c>
      <c r="E2131" s="18" t="s">
        <v>7671</v>
      </c>
      <c r="F2131" s="2">
        <f>+J2131-I2131</f>
        <v>30</v>
      </c>
      <c r="G2131" s="2">
        <f ca="1">+TODAY()-I2131</f>
        <v>1</v>
      </c>
      <c r="H2131" s="15">
        <v>530565</v>
      </c>
      <c r="I2131" s="1">
        <v>46119</v>
      </c>
      <c r="J2131" s="1">
        <v>46149</v>
      </c>
      <c r="K2131" s="18" t="s">
        <v>17</v>
      </c>
      <c r="L2131" s="18" t="s">
        <v>312</v>
      </c>
      <c r="M2131" s="18" t="s">
        <v>19</v>
      </c>
      <c r="N2131" s="18" t="s">
        <v>328</v>
      </c>
      <c r="O2131">
        <v>30</v>
      </c>
    </row>
    <row r="2132" spans="1:15" x14ac:dyDescent="0.25">
      <c r="A2132" s="18" t="s">
        <v>7276</v>
      </c>
      <c r="B2132" s="18" t="s">
        <v>326</v>
      </c>
      <c r="C2132" s="18" t="s">
        <v>327</v>
      </c>
      <c r="D2132" s="18" t="s">
        <v>15</v>
      </c>
      <c r="E2132" s="18" t="s">
        <v>7672</v>
      </c>
      <c r="F2132" s="2">
        <f>+J2132-I2132</f>
        <v>1</v>
      </c>
      <c r="G2132" s="2">
        <f ca="1">+TODAY()-I2132</f>
        <v>1</v>
      </c>
      <c r="H2132" s="15">
        <v>193297</v>
      </c>
      <c r="I2132" s="1">
        <v>46119</v>
      </c>
      <c r="J2132" s="1">
        <v>46120</v>
      </c>
      <c r="K2132" s="18" t="s">
        <v>17</v>
      </c>
      <c r="L2132" s="18" t="s">
        <v>312</v>
      </c>
      <c r="M2132" s="18" t="s">
        <v>19</v>
      </c>
      <c r="N2132" s="18" t="s">
        <v>328</v>
      </c>
      <c r="O2132">
        <v>30</v>
      </c>
    </row>
    <row r="2133" spans="1:15" x14ac:dyDescent="0.25">
      <c r="A2133" s="18" t="s">
        <v>7276</v>
      </c>
      <c r="B2133" s="18" t="s">
        <v>970</v>
      </c>
      <c r="C2133" s="18" t="s">
        <v>971</v>
      </c>
      <c r="D2133" s="18" t="s">
        <v>916</v>
      </c>
      <c r="E2133" s="18" t="s">
        <v>5094</v>
      </c>
      <c r="F2133" s="2">
        <f>+J2133-I2133</f>
        <v>30</v>
      </c>
      <c r="G2133" s="2">
        <f ca="1">+TODAY()-I2133</f>
        <v>50</v>
      </c>
      <c r="H2133" s="15">
        <v>300000</v>
      </c>
      <c r="I2133" s="1">
        <v>46070</v>
      </c>
      <c r="J2133" s="1">
        <v>46100</v>
      </c>
      <c r="K2133" s="18" t="s">
        <v>918</v>
      </c>
      <c r="L2133" s="18" t="s">
        <v>312</v>
      </c>
      <c r="M2133" s="18" t="s">
        <v>19</v>
      </c>
      <c r="N2133" s="18" t="s">
        <v>972</v>
      </c>
      <c r="O2133">
        <v>30</v>
      </c>
    </row>
    <row r="2134" spans="1:15" x14ac:dyDescent="0.25">
      <c r="A2134" s="18" t="s">
        <v>7276</v>
      </c>
      <c r="B2134" s="18" t="s">
        <v>970</v>
      </c>
      <c r="C2134" s="18" t="s">
        <v>971</v>
      </c>
      <c r="D2134" s="18" t="s">
        <v>916</v>
      </c>
      <c r="E2134" s="18" t="s">
        <v>5241</v>
      </c>
      <c r="F2134" s="2">
        <f>+J2134-I2134</f>
        <v>30</v>
      </c>
      <c r="G2134" s="2">
        <f ca="1">+TODAY()-I2134</f>
        <v>43</v>
      </c>
      <c r="H2134" s="15">
        <v>541298</v>
      </c>
      <c r="I2134" s="1">
        <v>46077</v>
      </c>
      <c r="J2134" s="1">
        <v>46107</v>
      </c>
      <c r="K2134" s="18" t="s">
        <v>918</v>
      </c>
      <c r="L2134" s="18" t="s">
        <v>312</v>
      </c>
      <c r="M2134" s="18" t="s">
        <v>19</v>
      </c>
      <c r="N2134" s="18" t="s">
        <v>972</v>
      </c>
      <c r="O2134">
        <v>30</v>
      </c>
    </row>
    <row r="2135" spans="1:15" x14ac:dyDescent="0.25">
      <c r="A2135" s="18" t="s">
        <v>7276</v>
      </c>
      <c r="B2135" s="18" t="s">
        <v>970</v>
      </c>
      <c r="C2135" s="18" t="s">
        <v>971</v>
      </c>
      <c r="D2135" s="18" t="s">
        <v>916</v>
      </c>
      <c r="E2135" s="18" t="s">
        <v>5428</v>
      </c>
      <c r="F2135" s="2">
        <f>+J2135-I2135</f>
        <v>30</v>
      </c>
      <c r="G2135" s="2">
        <f ca="1">+TODAY()-I2135</f>
        <v>36</v>
      </c>
      <c r="H2135" s="15">
        <v>800251</v>
      </c>
      <c r="I2135" s="1">
        <v>46084</v>
      </c>
      <c r="J2135" s="1">
        <v>46114</v>
      </c>
      <c r="K2135" s="18" t="s">
        <v>918</v>
      </c>
      <c r="L2135" s="18" t="s">
        <v>312</v>
      </c>
      <c r="M2135" s="18" t="s">
        <v>19</v>
      </c>
      <c r="N2135" s="18" t="s">
        <v>972</v>
      </c>
      <c r="O2135">
        <v>30</v>
      </c>
    </row>
    <row r="2136" spans="1:15" x14ac:dyDescent="0.25">
      <c r="A2136" s="18" t="s">
        <v>7276</v>
      </c>
      <c r="B2136" s="18" t="s">
        <v>970</v>
      </c>
      <c r="C2136" s="18" t="s">
        <v>971</v>
      </c>
      <c r="D2136" s="18" t="s">
        <v>916</v>
      </c>
      <c r="E2136" s="18" t="s">
        <v>5702</v>
      </c>
      <c r="F2136" s="2">
        <f>+J2136-I2136</f>
        <v>30</v>
      </c>
      <c r="G2136" s="2">
        <f ca="1">+TODAY()-I2136</f>
        <v>29</v>
      </c>
      <c r="H2136" s="15">
        <v>826707</v>
      </c>
      <c r="I2136" s="1">
        <v>46091</v>
      </c>
      <c r="J2136" s="1">
        <v>46121</v>
      </c>
      <c r="K2136" s="18" t="s">
        <v>918</v>
      </c>
      <c r="L2136" s="18" t="s">
        <v>312</v>
      </c>
      <c r="M2136" s="18" t="s">
        <v>19</v>
      </c>
      <c r="N2136" s="18" t="s">
        <v>972</v>
      </c>
      <c r="O2136">
        <v>30</v>
      </c>
    </row>
    <row r="2137" spans="1:15" x14ac:dyDescent="0.25">
      <c r="A2137" s="18" t="s">
        <v>7276</v>
      </c>
      <c r="B2137" s="18" t="s">
        <v>970</v>
      </c>
      <c r="C2137" s="18" t="s">
        <v>971</v>
      </c>
      <c r="D2137" s="18" t="s">
        <v>916</v>
      </c>
      <c r="E2137" s="18" t="s">
        <v>7792</v>
      </c>
      <c r="F2137" s="2">
        <f>+J2137-I2137</f>
        <v>30</v>
      </c>
      <c r="G2137" s="2">
        <f ca="1">+TODAY()-I2137</f>
        <v>1</v>
      </c>
      <c r="H2137" s="15">
        <v>1000007</v>
      </c>
      <c r="I2137" s="1">
        <v>46119</v>
      </c>
      <c r="J2137" s="1">
        <v>46149</v>
      </c>
      <c r="K2137" s="18" t="s">
        <v>918</v>
      </c>
      <c r="L2137" s="18" t="s">
        <v>312</v>
      </c>
      <c r="M2137" s="18" t="s">
        <v>19</v>
      </c>
      <c r="N2137" s="18" t="s">
        <v>972</v>
      </c>
      <c r="O2137">
        <v>30</v>
      </c>
    </row>
    <row r="2138" spans="1:15" x14ac:dyDescent="0.25">
      <c r="A2138" s="18" t="s">
        <v>7276</v>
      </c>
      <c r="B2138" s="18" t="s">
        <v>2060</v>
      </c>
      <c r="C2138" s="18" t="s">
        <v>2061</v>
      </c>
      <c r="D2138" s="18" t="s">
        <v>46</v>
      </c>
      <c r="E2138" s="18" t="s">
        <v>6925</v>
      </c>
      <c r="F2138" s="2">
        <f>+J2138-I2138</f>
        <v>15</v>
      </c>
      <c r="G2138" s="2">
        <f ca="1">+TODAY()-I2138</f>
        <v>8</v>
      </c>
      <c r="H2138" s="15">
        <v>2949709</v>
      </c>
      <c r="I2138" s="1">
        <v>46112</v>
      </c>
      <c r="J2138" s="1">
        <v>46127</v>
      </c>
      <c r="K2138" s="18" t="s">
        <v>17</v>
      </c>
      <c r="L2138" s="18" t="s">
        <v>317</v>
      </c>
      <c r="M2138" s="18" t="s">
        <v>19</v>
      </c>
      <c r="N2138" s="18" t="s">
        <v>2062</v>
      </c>
      <c r="O2138">
        <v>15</v>
      </c>
    </row>
    <row r="2139" spans="1:15" x14ac:dyDescent="0.25">
      <c r="A2139" s="18" t="s">
        <v>7276</v>
      </c>
      <c r="B2139" s="18" t="s">
        <v>2060</v>
      </c>
      <c r="C2139" s="18" t="s">
        <v>2061</v>
      </c>
      <c r="D2139" s="18" t="s">
        <v>46</v>
      </c>
      <c r="E2139" s="18" t="s">
        <v>6926</v>
      </c>
      <c r="F2139" s="2">
        <f>+J2139-I2139</f>
        <v>15</v>
      </c>
      <c r="G2139" s="2">
        <f ca="1">+TODAY()-I2139</f>
        <v>8</v>
      </c>
      <c r="H2139" s="15">
        <v>1006979</v>
      </c>
      <c r="I2139" s="1">
        <v>46112</v>
      </c>
      <c r="J2139" s="1">
        <v>46127</v>
      </c>
      <c r="K2139" s="18" t="s">
        <v>17</v>
      </c>
      <c r="L2139" s="18" t="s">
        <v>317</v>
      </c>
      <c r="M2139" s="18" t="s">
        <v>19</v>
      </c>
      <c r="N2139" s="18" t="s">
        <v>2062</v>
      </c>
      <c r="O2139">
        <v>15</v>
      </c>
    </row>
    <row r="2140" spans="1:15" x14ac:dyDescent="0.25">
      <c r="A2140" s="18" t="s">
        <v>7276</v>
      </c>
      <c r="B2140" s="18" t="s">
        <v>2060</v>
      </c>
      <c r="C2140" s="18" t="s">
        <v>2061</v>
      </c>
      <c r="D2140" s="18" t="s">
        <v>46</v>
      </c>
      <c r="E2140" s="18" t="s">
        <v>6927</v>
      </c>
      <c r="F2140" s="2">
        <f>+J2140-I2140</f>
        <v>15</v>
      </c>
      <c r="G2140" s="2">
        <f ca="1">+TODAY()-I2140</f>
        <v>8</v>
      </c>
      <c r="H2140" s="15">
        <v>1050000</v>
      </c>
      <c r="I2140" s="1">
        <v>46112</v>
      </c>
      <c r="J2140" s="1">
        <v>46127</v>
      </c>
      <c r="K2140" s="18" t="s">
        <v>17</v>
      </c>
      <c r="L2140" s="18" t="s">
        <v>317</v>
      </c>
      <c r="M2140" s="18" t="s">
        <v>19</v>
      </c>
      <c r="N2140" s="18" t="s">
        <v>2062</v>
      </c>
      <c r="O2140">
        <v>15</v>
      </c>
    </row>
    <row r="2141" spans="1:15" x14ac:dyDescent="0.25">
      <c r="A2141" s="18" t="s">
        <v>7276</v>
      </c>
      <c r="B2141" s="18" t="s">
        <v>1457</v>
      </c>
      <c r="C2141" s="18" t="s">
        <v>1458</v>
      </c>
      <c r="D2141" s="18" t="s">
        <v>1401</v>
      </c>
      <c r="E2141" s="18" t="s">
        <v>7204</v>
      </c>
      <c r="F2141" s="2">
        <f>+J2141-I2141</f>
        <v>30</v>
      </c>
      <c r="G2141" s="2">
        <f ca="1">+TODAY()-I2141</f>
        <v>8</v>
      </c>
      <c r="H2141" s="15">
        <v>711622</v>
      </c>
      <c r="I2141" s="1">
        <v>46112</v>
      </c>
      <c r="J2141" s="1">
        <v>46142</v>
      </c>
      <c r="K2141" s="18" t="s">
        <v>1403</v>
      </c>
      <c r="L2141" s="18" t="s">
        <v>90</v>
      </c>
      <c r="M2141" s="18" t="s">
        <v>19</v>
      </c>
      <c r="N2141" s="18" t="s">
        <v>1459</v>
      </c>
      <c r="O2141">
        <v>30</v>
      </c>
    </row>
    <row r="2142" spans="1:15" x14ac:dyDescent="0.25">
      <c r="A2142" s="18" t="s">
        <v>7276</v>
      </c>
      <c r="B2142" s="18" t="s">
        <v>2370</v>
      </c>
      <c r="C2142" s="18" t="s">
        <v>2371</v>
      </c>
      <c r="D2142" s="18" t="s">
        <v>46</v>
      </c>
      <c r="E2142" s="18" t="s">
        <v>5606</v>
      </c>
      <c r="F2142" s="2">
        <f>+J2142-I2142</f>
        <v>30</v>
      </c>
      <c r="G2142" s="2">
        <f ca="1">+TODAY()-I2142</f>
        <v>33</v>
      </c>
      <c r="H2142" s="15">
        <v>1021447</v>
      </c>
      <c r="I2142" s="1">
        <v>46087</v>
      </c>
      <c r="J2142" s="1">
        <v>46117</v>
      </c>
      <c r="K2142" s="18" t="s">
        <v>17</v>
      </c>
      <c r="L2142" s="18" t="s">
        <v>18</v>
      </c>
      <c r="M2142" s="18" t="s">
        <v>19</v>
      </c>
      <c r="N2142" s="18" t="s">
        <v>2372</v>
      </c>
      <c r="O2142">
        <v>30</v>
      </c>
    </row>
    <row r="2143" spans="1:15" x14ac:dyDescent="0.25">
      <c r="A2143" s="18" t="s">
        <v>7276</v>
      </c>
      <c r="B2143" s="18" t="s">
        <v>2370</v>
      </c>
      <c r="C2143" s="18" t="s">
        <v>2371</v>
      </c>
      <c r="D2143" s="18" t="s">
        <v>46</v>
      </c>
      <c r="E2143" s="18" t="s">
        <v>7369</v>
      </c>
      <c r="F2143" s="2">
        <f>+J2143-I2143</f>
        <v>30</v>
      </c>
      <c r="G2143" s="2">
        <f ca="1">+TODAY()-I2143</f>
        <v>1</v>
      </c>
      <c r="H2143" s="15">
        <v>1171741</v>
      </c>
      <c r="I2143" s="1">
        <v>46119</v>
      </c>
      <c r="J2143" s="1">
        <v>46149</v>
      </c>
      <c r="K2143" s="18" t="s">
        <v>17</v>
      </c>
      <c r="L2143" s="18" t="s">
        <v>18</v>
      </c>
      <c r="M2143" s="18" t="s">
        <v>19</v>
      </c>
      <c r="N2143" s="18" t="s">
        <v>2372</v>
      </c>
      <c r="O2143">
        <v>30</v>
      </c>
    </row>
    <row r="2144" spans="1:15" x14ac:dyDescent="0.25">
      <c r="A2144" s="18" t="s">
        <v>7276</v>
      </c>
      <c r="B2144" s="18" t="s">
        <v>6956</v>
      </c>
      <c r="C2144" s="18" t="s">
        <v>6957</v>
      </c>
      <c r="D2144" s="18" t="s">
        <v>642</v>
      </c>
      <c r="E2144" s="18" t="s">
        <v>6958</v>
      </c>
      <c r="F2144" s="2">
        <f>+J2144-I2144</f>
        <v>1</v>
      </c>
      <c r="G2144" s="2">
        <f ca="1">+TODAY()-I2144</f>
        <v>9</v>
      </c>
      <c r="H2144" s="15">
        <v>299400</v>
      </c>
      <c r="I2144" s="1">
        <v>46111</v>
      </c>
      <c r="J2144" s="1">
        <v>46112</v>
      </c>
      <c r="K2144" s="18" t="s">
        <v>638</v>
      </c>
      <c r="L2144" s="18" t="s">
        <v>18</v>
      </c>
      <c r="M2144" s="18" t="s">
        <v>19</v>
      </c>
      <c r="N2144" s="18" t="s">
        <v>6959</v>
      </c>
      <c r="O2144">
        <v>1</v>
      </c>
    </row>
    <row r="2145" spans="1:15" x14ac:dyDescent="0.25">
      <c r="A2145" s="18" t="s">
        <v>7276</v>
      </c>
      <c r="B2145" s="18" t="s">
        <v>7532</v>
      </c>
      <c r="C2145" s="18" t="s">
        <v>7533</v>
      </c>
      <c r="D2145" s="18" t="s">
        <v>1138</v>
      </c>
      <c r="E2145" s="18" t="s">
        <v>7534</v>
      </c>
      <c r="F2145" s="2">
        <f>+J2145-I2145</f>
        <v>1</v>
      </c>
      <c r="G2145" s="2">
        <f ca="1">+TODAY()-I2145</f>
        <v>7</v>
      </c>
      <c r="H2145" s="15">
        <v>58219</v>
      </c>
      <c r="I2145" s="1">
        <v>46113</v>
      </c>
      <c r="J2145" s="1">
        <v>46114</v>
      </c>
      <c r="K2145" s="18" t="s">
        <v>1144</v>
      </c>
      <c r="L2145" s="18" t="s">
        <v>321</v>
      </c>
      <c r="M2145" s="18" t="s">
        <v>19</v>
      </c>
      <c r="N2145" s="18" t="s">
        <v>7535</v>
      </c>
      <c r="O2145">
        <v>1</v>
      </c>
    </row>
    <row r="2146" spans="1:15" x14ac:dyDescent="0.25">
      <c r="A2146" s="18" t="s">
        <v>7276</v>
      </c>
      <c r="B2146" s="18" t="s">
        <v>3647</v>
      </c>
      <c r="C2146" s="18" t="s">
        <v>3648</v>
      </c>
      <c r="D2146" s="18" t="s">
        <v>1271</v>
      </c>
      <c r="E2146" s="18" t="s">
        <v>5283</v>
      </c>
      <c r="F2146" s="2">
        <f>+J2146-I2146</f>
        <v>30</v>
      </c>
      <c r="G2146" s="2">
        <f ca="1">+TODAY()-I2146</f>
        <v>40</v>
      </c>
      <c r="H2146" s="15">
        <v>624501</v>
      </c>
      <c r="I2146" s="1">
        <v>46080</v>
      </c>
      <c r="J2146" s="1">
        <v>46110</v>
      </c>
      <c r="K2146" s="18" t="s">
        <v>1260</v>
      </c>
      <c r="L2146" s="18" t="s">
        <v>981</v>
      </c>
      <c r="M2146" s="18" t="s">
        <v>19</v>
      </c>
      <c r="N2146" s="18" t="s">
        <v>3650</v>
      </c>
      <c r="O2146">
        <v>30</v>
      </c>
    </row>
    <row r="2147" spans="1:15" x14ac:dyDescent="0.25">
      <c r="A2147" s="18" t="s">
        <v>7276</v>
      </c>
      <c r="B2147" s="18" t="s">
        <v>1726</v>
      </c>
      <c r="C2147" s="18" t="s">
        <v>1727</v>
      </c>
      <c r="D2147" s="18" t="s">
        <v>1705</v>
      </c>
      <c r="E2147" s="18" t="s">
        <v>7239</v>
      </c>
      <c r="F2147" s="2">
        <f>+J2147-I2147</f>
        <v>30</v>
      </c>
      <c r="G2147" s="2">
        <f ca="1">+TODAY()-I2147</f>
        <v>9</v>
      </c>
      <c r="H2147" s="15">
        <v>428000</v>
      </c>
      <c r="I2147" s="1">
        <v>46111</v>
      </c>
      <c r="J2147" s="1">
        <v>46141</v>
      </c>
      <c r="K2147" s="18" t="s">
        <v>1706</v>
      </c>
      <c r="L2147" s="18" t="s">
        <v>90</v>
      </c>
      <c r="M2147" s="18" t="s">
        <v>19</v>
      </c>
      <c r="N2147" s="18" t="s">
        <v>1728</v>
      </c>
      <c r="O2147">
        <v>30</v>
      </c>
    </row>
    <row r="2148" spans="1:15" x14ac:dyDescent="0.25">
      <c r="A2148" s="18" t="s">
        <v>7276</v>
      </c>
      <c r="B2148" s="18" t="s">
        <v>2297</v>
      </c>
      <c r="C2148" s="18" t="s">
        <v>2298</v>
      </c>
      <c r="D2148" s="18" t="s">
        <v>916</v>
      </c>
      <c r="E2148" s="18" t="s">
        <v>7010</v>
      </c>
      <c r="F2148" s="2">
        <f>+J2148-I2148</f>
        <v>8</v>
      </c>
      <c r="G2148" s="2">
        <f ca="1">+TODAY()-I2148</f>
        <v>9</v>
      </c>
      <c r="H2148" s="15">
        <v>111600</v>
      </c>
      <c r="I2148" s="1">
        <v>46111</v>
      </c>
      <c r="J2148" s="1">
        <v>46119</v>
      </c>
      <c r="K2148" s="18" t="s">
        <v>918</v>
      </c>
      <c r="L2148" s="18" t="s">
        <v>312</v>
      </c>
      <c r="M2148" s="18" t="s">
        <v>19</v>
      </c>
      <c r="N2148" s="18" t="s">
        <v>2299</v>
      </c>
      <c r="O2148">
        <v>15</v>
      </c>
    </row>
    <row r="2149" spans="1:15" x14ac:dyDescent="0.25">
      <c r="A2149" s="18" t="s">
        <v>7276</v>
      </c>
      <c r="B2149" s="18" t="s">
        <v>2297</v>
      </c>
      <c r="C2149" s="18" t="s">
        <v>2298</v>
      </c>
      <c r="D2149" s="18" t="s">
        <v>916</v>
      </c>
      <c r="E2149" s="18" t="s">
        <v>7764</v>
      </c>
      <c r="F2149" s="2">
        <f>+J2149-I2149</f>
        <v>15</v>
      </c>
      <c r="G2149" s="2">
        <f ca="1">+TODAY()-I2149</f>
        <v>1</v>
      </c>
      <c r="H2149" s="15">
        <v>352003</v>
      </c>
      <c r="I2149" s="1">
        <v>46119</v>
      </c>
      <c r="J2149" s="1">
        <v>46134</v>
      </c>
      <c r="K2149" s="18" t="s">
        <v>918</v>
      </c>
      <c r="L2149" s="18" t="s">
        <v>312</v>
      </c>
      <c r="M2149" s="18" t="s">
        <v>19</v>
      </c>
      <c r="N2149" s="18" t="s">
        <v>2299</v>
      </c>
      <c r="O2149">
        <v>15</v>
      </c>
    </row>
    <row r="2150" spans="1:15" x14ac:dyDescent="0.25">
      <c r="A2150" s="18" t="s">
        <v>7276</v>
      </c>
      <c r="B2150" s="18" t="s">
        <v>4013</v>
      </c>
      <c r="C2150" s="18" t="s">
        <v>4014</v>
      </c>
      <c r="D2150" s="18" t="s">
        <v>916</v>
      </c>
      <c r="E2150" s="18" t="s">
        <v>4017</v>
      </c>
      <c r="F2150" s="2">
        <f>+J2150-I2150</f>
        <v>30</v>
      </c>
      <c r="G2150" s="2">
        <f ca="1">+TODAY()-I2150</f>
        <v>78</v>
      </c>
      <c r="H2150" s="15">
        <v>555889</v>
      </c>
      <c r="I2150" s="1">
        <v>46042</v>
      </c>
      <c r="J2150" s="1">
        <v>46072</v>
      </c>
      <c r="K2150" s="18" t="s">
        <v>918</v>
      </c>
      <c r="L2150" s="18" t="s">
        <v>312</v>
      </c>
      <c r="M2150" s="18" t="s">
        <v>19</v>
      </c>
      <c r="N2150" s="18" t="s">
        <v>4016</v>
      </c>
      <c r="O2150">
        <v>30</v>
      </c>
    </row>
    <row r="2151" spans="1:15" x14ac:dyDescent="0.25">
      <c r="A2151" s="18" t="s">
        <v>7276</v>
      </c>
      <c r="B2151" s="18" t="s">
        <v>4013</v>
      </c>
      <c r="C2151" s="18" t="s">
        <v>4014</v>
      </c>
      <c r="D2151" s="18" t="s">
        <v>916</v>
      </c>
      <c r="E2151" s="18" t="s">
        <v>5000</v>
      </c>
      <c r="F2151" s="2">
        <f>+J2151-I2151</f>
        <v>30</v>
      </c>
      <c r="G2151" s="2">
        <f ca="1">+TODAY()-I2151</f>
        <v>64</v>
      </c>
      <c r="H2151" s="15">
        <v>663826</v>
      </c>
      <c r="I2151" s="1">
        <v>46056</v>
      </c>
      <c r="J2151" s="1">
        <v>46086</v>
      </c>
      <c r="K2151" s="18" t="s">
        <v>918</v>
      </c>
      <c r="L2151" s="18" t="s">
        <v>312</v>
      </c>
      <c r="M2151" s="18" t="s">
        <v>19</v>
      </c>
      <c r="N2151" s="18" t="s">
        <v>4016</v>
      </c>
      <c r="O2151">
        <v>30</v>
      </c>
    </row>
    <row r="2152" spans="1:15" x14ac:dyDescent="0.25">
      <c r="A2152" s="18" t="s">
        <v>7276</v>
      </c>
      <c r="B2152" s="18" t="s">
        <v>4013</v>
      </c>
      <c r="C2152" s="18" t="s">
        <v>4014</v>
      </c>
      <c r="D2152" s="18" t="s">
        <v>916</v>
      </c>
      <c r="E2152" s="18" t="s">
        <v>5014</v>
      </c>
      <c r="F2152" s="2">
        <f>+J2152-I2152</f>
        <v>30</v>
      </c>
      <c r="G2152" s="2">
        <f ca="1">+TODAY()-I2152</f>
        <v>57</v>
      </c>
      <c r="H2152" s="15">
        <v>595192</v>
      </c>
      <c r="I2152" s="1">
        <v>46063</v>
      </c>
      <c r="J2152" s="1">
        <v>46093</v>
      </c>
      <c r="K2152" s="18" t="s">
        <v>918</v>
      </c>
      <c r="L2152" s="18" t="s">
        <v>312</v>
      </c>
      <c r="M2152" s="18" t="s">
        <v>19</v>
      </c>
      <c r="N2152" s="18" t="s">
        <v>4016</v>
      </c>
      <c r="O2152">
        <v>30</v>
      </c>
    </row>
    <row r="2153" spans="1:15" x14ac:dyDescent="0.25">
      <c r="A2153" s="18" t="s">
        <v>7276</v>
      </c>
      <c r="B2153" s="18" t="s">
        <v>1849</v>
      </c>
      <c r="C2153" s="18" t="s">
        <v>1850</v>
      </c>
      <c r="D2153" s="18" t="s">
        <v>1266</v>
      </c>
      <c r="E2153" s="18" t="s">
        <v>5101</v>
      </c>
      <c r="F2153" s="2">
        <f>+J2153-I2153</f>
        <v>30</v>
      </c>
      <c r="G2153" s="2">
        <f ca="1">+TODAY()-I2153</f>
        <v>55</v>
      </c>
      <c r="H2153" s="15">
        <v>249995</v>
      </c>
      <c r="I2153" s="1">
        <v>46065</v>
      </c>
      <c r="J2153" s="1">
        <v>46095</v>
      </c>
      <c r="K2153" s="18" t="s">
        <v>980</v>
      </c>
      <c r="L2153" s="18" t="s">
        <v>981</v>
      </c>
      <c r="M2153" s="18" t="s">
        <v>19</v>
      </c>
      <c r="N2153" s="18" t="s">
        <v>1851</v>
      </c>
      <c r="O2153">
        <v>30</v>
      </c>
    </row>
    <row r="2154" spans="1:15" x14ac:dyDescent="0.25">
      <c r="A2154" s="18" t="s">
        <v>7276</v>
      </c>
      <c r="B2154" s="18" t="s">
        <v>1849</v>
      </c>
      <c r="C2154" s="18" t="s">
        <v>1850</v>
      </c>
      <c r="D2154" s="18" t="s">
        <v>1266</v>
      </c>
      <c r="E2154" s="18" t="s">
        <v>5482</v>
      </c>
      <c r="F2154" s="2">
        <f>+J2154-I2154</f>
        <v>30</v>
      </c>
      <c r="G2154" s="2">
        <f ca="1">+TODAY()-I2154</f>
        <v>35</v>
      </c>
      <c r="H2154" s="15">
        <v>1807877</v>
      </c>
      <c r="I2154" s="1">
        <v>46085</v>
      </c>
      <c r="J2154" s="1">
        <v>46115</v>
      </c>
      <c r="K2154" s="18" t="s">
        <v>1466</v>
      </c>
      <c r="L2154" s="18" t="s">
        <v>981</v>
      </c>
      <c r="M2154" s="18" t="s">
        <v>19</v>
      </c>
      <c r="N2154" s="18" t="s">
        <v>1851</v>
      </c>
      <c r="O2154">
        <v>30</v>
      </c>
    </row>
    <row r="2155" spans="1:15" x14ac:dyDescent="0.25">
      <c r="A2155" s="18" t="s">
        <v>7276</v>
      </c>
      <c r="B2155" s="18" t="s">
        <v>1849</v>
      </c>
      <c r="C2155" s="18" t="s">
        <v>1850</v>
      </c>
      <c r="D2155" s="18" t="s">
        <v>1266</v>
      </c>
      <c r="E2155" s="18" t="s">
        <v>5169</v>
      </c>
      <c r="F2155" s="2">
        <f>+J2155-I2155</f>
        <v>30</v>
      </c>
      <c r="G2155" s="2">
        <f ca="1">+TODAY()-I2155</f>
        <v>55</v>
      </c>
      <c r="H2155" s="15">
        <v>949665</v>
      </c>
      <c r="I2155" s="1">
        <v>46065</v>
      </c>
      <c r="J2155" s="1">
        <v>46095</v>
      </c>
      <c r="K2155" s="18" t="s">
        <v>1854</v>
      </c>
      <c r="L2155" s="18" t="s">
        <v>981</v>
      </c>
      <c r="M2155" s="18" t="s">
        <v>19</v>
      </c>
      <c r="N2155" s="18" t="s">
        <v>1851</v>
      </c>
      <c r="O2155">
        <v>30</v>
      </c>
    </row>
    <row r="2156" spans="1:15" x14ac:dyDescent="0.25">
      <c r="A2156" s="18" t="s">
        <v>7276</v>
      </c>
      <c r="B2156" s="18" t="s">
        <v>1849</v>
      </c>
      <c r="C2156" s="18" t="s">
        <v>1850</v>
      </c>
      <c r="D2156" s="18" t="s">
        <v>1266</v>
      </c>
      <c r="E2156" s="18" t="s">
        <v>5170</v>
      </c>
      <c r="F2156" s="2">
        <f>+J2156-I2156</f>
        <v>30</v>
      </c>
      <c r="G2156" s="2">
        <f ca="1">+TODAY()-I2156</f>
        <v>55</v>
      </c>
      <c r="H2156" s="15">
        <v>3067243</v>
      </c>
      <c r="I2156" s="1">
        <v>46065</v>
      </c>
      <c r="J2156" s="1">
        <v>46095</v>
      </c>
      <c r="K2156" s="18" t="s">
        <v>1854</v>
      </c>
      <c r="L2156" s="18" t="s">
        <v>981</v>
      </c>
      <c r="M2156" s="18" t="s">
        <v>19</v>
      </c>
      <c r="N2156" s="18" t="s">
        <v>1851</v>
      </c>
      <c r="O2156">
        <v>30</v>
      </c>
    </row>
    <row r="2157" spans="1:15" x14ac:dyDescent="0.25">
      <c r="A2157" s="18" t="s">
        <v>7276</v>
      </c>
      <c r="B2157" s="18" t="s">
        <v>1849</v>
      </c>
      <c r="C2157" s="18" t="s">
        <v>1850</v>
      </c>
      <c r="D2157" s="18" t="s">
        <v>1266</v>
      </c>
      <c r="E2157" s="18" t="s">
        <v>5363</v>
      </c>
      <c r="F2157" s="2">
        <f>+J2157-I2157</f>
        <v>30</v>
      </c>
      <c r="G2157" s="2">
        <f ca="1">+TODAY()-I2157</f>
        <v>40</v>
      </c>
      <c r="H2157" s="15">
        <v>892316</v>
      </c>
      <c r="I2157" s="1">
        <v>46080</v>
      </c>
      <c r="J2157" s="1">
        <v>46110</v>
      </c>
      <c r="K2157" s="18" t="s">
        <v>1854</v>
      </c>
      <c r="L2157" s="18" t="s">
        <v>981</v>
      </c>
      <c r="M2157" s="18" t="s">
        <v>19</v>
      </c>
      <c r="N2157" s="18" t="s">
        <v>1851</v>
      </c>
      <c r="O2157">
        <v>30</v>
      </c>
    </row>
    <row r="2158" spans="1:15" x14ac:dyDescent="0.25">
      <c r="A2158" s="18" t="s">
        <v>7276</v>
      </c>
      <c r="B2158" s="18" t="s">
        <v>1060</v>
      </c>
      <c r="C2158" s="18" t="s">
        <v>1061</v>
      </c>
      <c r="D2158" s="18" t="s">
        <v>994</v>
      </c>
      <c r="E2158" s="18" t="s">
        <v>7025</v>
      </c>
      <c r="F2158" s="2">
        <f>+J2158-I2158</f>
        <v>1</v>
      </c>
      <c r="G2158" s="2">
        <f ca="1">+TODAY()-I2158</f>
        <v>8</v>
      </c>
      <c r="H2158" s="15">
        <v>150000</v>
      </c>
      <c r="I2158" s="1">
        <v>46112</v>
      </c>
      <c r="J2158" s="1">
        <v>46113</v>
      </c>
      <c r="K2158" s="18" t="s">
        <v>989</v>
      </c>
      <c r="L2158" s="18" t="s">
        <v>18</v>
      </c>
      <c r="M2158" s="18" t="s">
        <v>19</v>
      </c>
      <c r="N2158" s="18" t="s">
        <v>1062</v>
      </c>
      <c r="O2158">
        <v>30</v>
      </c>
    </row>
    <row r="2159" spans="1:15" x14ac:dyDescent="0.25">
      <c r="A2159" s="18" t="s">
        <v>7276</v>
      </c>
      <c r="B2159" s="18" t="s">
        <v>1060</v>
      </c>
      <c r="C2159" s="18" t="s">
        <v>1061</v>
      </c>
      <c r="D2159" s="18" t="s">
        <v>994</v>
      </c>
      <c r="E2159" s="18" t="s">
        <v>7026</v>
      </c>
      <c r="F2159" s="2">
        <f>+J2159-I2159</f>
        <v>1</v>
      </c>
      <c r="G2159" s="2">
        <f ca="1">+TODAY()-I2159</f>
        <v>8</v>
      </c>
      <c r="H2159" s="15">
        <v>239545</v>
      </c>
      <c r="I2159" s="1">
        <v>46112</v>
      </c>
      <c r="J2159" s="1">
        <v>46113</v>
      </c>
      <c r="K2159" s="18" t="s">
        <v>989</v>
      </c>
      <c r="L2159" s="18" t="s">
        <v>18</v>
      </c>
      <c r="M2159" s="18" t="s">
        <v>19</v>
      </c>
      <c r="N2159" s="18" t="s">
        <v>1062</v>
      </c>
      <c r="O2159">
        <v>30</v>
      </c>
    </row>
    <row r="2160" spans="1:15" x14ac:dyDescent="0.25">
      <c r="A2160" s="18" t="s">
        <v>7276</v>
      </c>
      <c r="B2160" s="18" t="s">
        <v>1060</v>
      </c>
      <c r="C2160" s="18" t="s">
        <v>1061</v>
      </c>
      <c r="D2160" s="18" t="s">
        <v>994</v>
      </c>
      <c r="E2160" s="18" t="s">
        <v>7027</v>
      </c>
      <c r="F2160" s="2">
        <f>+J2160-I2160</f>
        <v>1</v>
      </c>
      <c r="G2160" s="2">
        <f ca="1">+TODAY()-I2160</f>
        <v>8</v>
      </c>
      <c r="H2160" s="15">
        <v>3481800</v>
      </c>
      <c r="I2160" s="1">
        <v>46112</v>
      </c>
      <c r="J2160" s="1">
        <v>46113</v>
      </c>
      <c r="K2160" s="18" t="s">
        <v>989</v>
      </c>
      <c r="L2160" s="18" t="s">
        <v>18</v>
      </c>
      <c r="M2160" s="18" t="s">
        <v>19</v>
      </c>
      <c r="N2160" s="18" t="s">
        <v>1062</v>
      </c>
      <c r="O2160">
        <v>30</v>
      </c>
    </row>
    <row r="2161" spans="1:15" x14ac:dyDescent="0.25">
      <c r="A2161" s="18" t="s">
        <v>7276</v>
      </c>
      <c r="B2161" s="18" t="s">
        <v>1060</v>
      </c>
      <c r="C2161" s="18" t="s">
        <v>1061</v>
      </c>
      <c r="D2161" s="18" t="s">
        <v>994</v>
      </c>
      <c r="E2161" s="18" t="s">
        <v>5574</v>
      </c>
      <c r="F2161" s="2">
        <f>+J2161-I2161</f>
        <v>15</v>
      </c>
      <c r="G2161" s="2">
        <f ca="1">+TODAY()-I2161</f>
        <v>33</v>
      </c>
      <c r="H2161" s="15">
        <v>418494</v>
      </c>
      <c r="I2161" s="1">
        <v>46087</v>
      </c>
      <c r="J2161" s="1">
        <v>46102</v>
      </c>
      <c r="K2161" s="18" t="s">
        <v>989</v>
      </c>
      <c r="L2161" s="18" t="s">
        <v>317</v>
      </c>
      <c r="M2161" s="18" t="s">
        <v>19</v>
      </c>
      <c r="N2161" s="18" t="s">
        <v>1062</v>
      </c>
      <c r="O2161">
        <v>30</v>
      </c>
    </row>
    <row r="2162" spans="1:15" x14ac:dyDescent="0.25">
      <c r="A2162" s="18" t="s">
        <v>7276</v>
      </c>
      <c r="B2162" s="18" t="s">
        <v>1060</v>
      </c>
      <c r="C2162" s="18" t="s">
        <v>1061</v>
      </c>
      <c r="D2162" s="18" t="s">
        <v>994</v>
      </c>
      <c r="E2162" s="18" t="s">
        <v>5712</v>
      </c>
      <c r="F2162" s="2">
        <f>+J2162-I2162</f>
        <v>15</v>
      </c>
      <c r="G2162" s="2">
        <f ca="1">+TODAY()-I2162</f>
        <v>32</v>
      </c>
      <c r="H2162" s="15">
        <v>245702</v>
      </c>
      <c r="I2162" s="1">
        <v>46088</v>
      </c>
      <c r="J2162" s="1">
        <v>46103</v>
      </c>
      <c r="K2162" s="18" t="s">
        <v>989</v>
      </c>
      <c r="L2162" s="18" t="s">
        <v>317</v>
      </c>
      <c r="M2162" s="18" t="s">
        <v>19</v>
      </c>
      <c r="N2162" s="18" t="s">
        <v>1062</v>
      </c>
      <c r="O2162">
        <v>30</v>
      </c>
    </row>
    <row r="2163" spans="1:15" x14ac:dyDescent="0.25">
      <c r="A2163" s="18" t="s">
        <v>7276</v>
      </c>
      <c r="B2163" s="18" t="s">
        <v>1060</v>
      </c>
      <c r="C2163" s="18" t="s">
        <v>1061</v>
      </c>
      <c r="D2163" s="18" t="s">
        <v>994</v>
      </c>
      <c r="E2163" s="18" t="s">
        <v>6245</v>
      </c>
      <c r="F2163" s="2">
        <f>+J2163-I2163</f>
        <v>15</v>
      </c>
      <c r="G2163" s="2">
        <f ca="1">+TODAY()-I2163</f>
        <v>19</v>
      </c>
      <c r="H2163" s="15">
        <v>712924</v>
      </c>
      <c r="I2163" s="1">
        <v>46101</v>
      </c>
      <c r="J2163" s="1">
        <v>46116</v>
      </c>
      <c r="K2163" s="18" t="s">
        <v>989</v>
      </c>
      <c r="L2163" s="18" t="s">
        <v>317</v>
      </c>
      <c r="M2163" s="18" t="s">
        <v>19</v>
      </c>
      <c r="N2163" s="18" t="s">
        <v>1062</v>
      </c>
      <c r="O2163">
        <v>30</v>
      </c>
    </row>
    <row r="2164" spans="1:15" x14ac:dyDescent="0.25">
      <c r="A2164" s="18" t="s">
        <v>7276</v>
      </c>
      <c r="B2164" s="18" t="s">
        <v>1716</v>
      </c>
      <c r="C2164" s="18" t="s">
        <v>1717</v>
      </c>
      <c r="D2164" s="18" t="s">
        <v>1705</v>
      </c>
      <c r="E2164" s="18" t="s">
        <v>6116</v>
      </c>
      <c r="F2164" s="2">
        <f>+J2164-I2164</f>
        <v>30</v>
      </c>
      <c r="G2164" s="2">
        <f ca="1">+TODAY()-I2164</f>
        <v>26</v>
      </c>
      <c r="H2164" s="15">
        <v>664352</v>
      </c>
      <c r="I2164" s="1">
        <v>46094</v>
      </c>
      <c r="J2164" s="1">
        <v>46124</v>
      </c>
      <c r="K2164" s="18" t="s">
        <v>1706</v>
      </c>
      <c r="L2164" s="18" t="s">
        <v>90</v>
      </c>
      <c r="M2164" s="18" t="s">
        <v>19</v>
      </c>
      <c r="N2164" s="18" t="s">
        <v>1718</v>
      </c>
      <c r="O2164">
        <v>30</v>
      </c>
    </row>
    <row r="2165" spans="1:15" x14ac:dyDescent="0.25">
      <c r="A2165" s="18" t="s">
        <v>7276</v>
      </c>
      <c r="B2165" s="18" t="s">
        <v>1716</v>
      </c>
      <c r="C2165" s="18" t="s">
        <v>1717</v>
      </c>
      <c r="D2165" s="18" t="s">
        <v>1705</v>
      </c>
      <c r="E2165" s="18" t="s">
        <v>7236</v>
      </c>
      <c r="F2165" s="2">
        <f>+J2165-I2165</f>
        <v>30</v>
      </c>
      <c r="G2165" s="2">
        <f ca="1">+TODAY()-I2165</f>
        <v>9</v>
      </c>
      <c r="H2165" s="15">
        <v>1850688</v>
      </c>
      <c r="I2165" s="1">
        <v>46111</v>
      </c>
      <c r="J2165" s="1">
        <v>46141</v>
      </c>
      <c r="K2165" s="18" t="s">
        <v>1706</v>
      </c>
      <c r="L2165" s="18" t="s">
        <v>90</v>
      </c>
      <c r="M2165" s="18" t="s">
        <v>19</v>
      </c>
      <c r="N2165" s="18" t="s">
        <v>1718</v>
      </c>
      <c r="O2165">
        <v>30</v>
      </c>
    </row>
    <row r="2166" spans="1:15" x14ac:dyDescent="0.25">
      <c r="A2166" s="18" t="s">
        <v>7276</v>
      </c>
      <c r="B2166" s="18" t="s">
        <v>1716</v>
      </c>
      <c r="C2166" s="18" t="s">
        <v>1717</v>
      </c>
      <c r="D2166" s="18" t="s">
        <v>1705</v>
      </c>
      <c r="E2166" s="18" t="s">
        <v>7237</v>
      </c>
      <c r="F2166" s="2">
        <f>+J2166-I2166</f>
        <v>30</v>
      </c>
      <c r="G2166" s="2">
        <f ca="1">+TODAY()-I2166</f>
        <v>9</v>
      </c>
      <c r="H2166" s="15">
        <v>1253149</v>
      </c>
      <c r="I2166" s="1">
        <v>46111</v>
      </c>
      <c r="J2166" s="1">
        <v>46141</v>
      </c>
      <c r="K2166" s="18" t="s">
        <v>1706</v>
      </c>
      <c r="L2166" s="18" t="s">
        <v>90</v>
      </c>
      <c r="M2166" s="18" t="s">
        <v>19</v>
      </c>
      <c r="N2166" s="18" t="s">
        <v>1718</v>
      </c>
      <c r="O2166">
        <v>30</v>
      </c>
    </row>
    <row r="2167" spans="1:15" x14ac:dyDescent="0.25">
      <c r="A2167" s="18" t="s">
        <v>7276</v>
      </c>
      <c r="B2167" s="18" t="s">
        <v>3392</v>
      </c>
      <c r="C2167" s="18" t="s">
        <v>3393</v>
      </c>
      <c r="D2167" s="18" t="s">
        <v>15</v>
      </c>
      <c r="E2167" s="18" t="s">
        <v>6847</v>
      </c>
      <c r="F2167" s="2">
        <f>+J2167-I2167</f>
        <v>15</v>
      </c>
      <c r="G2167" s="2">
        <f ca="1">+TODAY()-I2167</f>
        <v>11</v>
      </c>
      <c r="H2167" s="15">
        <v>683997</v>
      </c>
      <c r="I2167" s="1">
        <v>46109</v>
      </c>
      <c r="J2167" s="1">
        <v>46124</v>
      </c>
      <c r="K2167" s="18" t="s">
        <v>17</v>
      </c>
      <c r="L2167" s="18" t="s">
        <v>317</v>
      </c>
      <c r="M2167" s="18" t="s">
        <v>19</v>
      </c>
      <c r="N2167" s="18" t="s">
        <v>3394</v>
      </c>
      <c r="O2167">
        <v>30</v>
      </c>
    </row>
    <row r="2168" spans="1:15" x14ac:dyDescent="0.25">
      <c r="A2168" s="18" t="s">
        <v>7276</v>
      </c>
      <c r="B2168" s="18" t="s">
        <v>967</v>
      </c>
      <c r="C2168" s="18" t="s">
        <v>968</v>
      </c>
      <c r="D2168" s="18" t="s">
        <v>930</v>
      </c>
      <c r="E2168" s="18" t="s">
        <v>6994</v>
      </c>
      <c r="F2168" s="2">
        <f>+J2168-I2168</f>
        <v>30</v>
      </c>
      <c r="G2168" s="2">
        <f ca="1">+TODAY()-I2168</f>
        <v>8</v>
      </c>
      <c r="H2168" s="15">
        <v>296000</v>
      </c>
      <c r="I2168" s="1">
        <v>46112</v>
      </c>
      <c r="J2168" s="1">
        <v>46142</v>
      </c>
      <c r="K2168" s="18" t="s">
        <v>918</v>
      </c>
      <c r="L2168" s="18" t="s">
        <v>312</v>
      </c>
      <c r="M2168" s="18" t="s">
        <v>19</v>
      </c>
      <c r="N2168" s="18" t="s">
        <v>969</v>
      </c>
      <c r="O2168">
        <v>30</v>
      </c>
    </row>
    <row r="2169" spans="1:15" x14ac:dyDescent="0.25">
      <c r="A2169" s="18" t="s">
        <v>7276</v>
      </c>
      <c r="B2169" s="18" t="s">
        <v>967</v>
      </c>
      <c r="C2169" s="18" t="s">
        <v>968</v>
      </c>
      <c r="D2169" s="18" t="s">
        <v>930</v>
      </c>
      <c r="E2169" s="18" t="s">
        <v>7016</v>
      </c>
      <c r="F2169" s="2">
        <f>+J2169-I2169</f>
        <v>30</v>
      </c>
      <c r="G2169" s="2">
        <f ca="1">+TODAY()-I2169</f>
        <v>9</v>
      </c>
      <c r="H2169" s="15">
        <v>976367</v>
      </c>
      <c r="I2169" s="1">
        <v>46111</v>
      </c>
      <c r="J2169" s="1">
        <v>46141</v>
      </c>
      <c r="K2169" s="18" t="s">
        <v>918</v>
      </c>
      <c r="L2169" s="18" t="s">
        <v>312</v>
      </c>
      <c r="M2169" s="18" t="s">
        <v>19</v>
      </c>
      <c r="N2169" s="18" t="s">
        <v>969</v>
      </c>
      <c r="O2169">
        <v>30</v>
      </c>
    </row>
    <row r="2170" spans="1:15" x14ac:dyDescent="0.25">
      <c r="A2170" s="18" t="s">
        <v>7276</v>
      </c>
      <c r="B2170" s="18" t="s">
        <v>2449</v>
      </c>
      <c r="C2170" s="18" t="s">
        <v>2450</v>
      </c>
      <c r="D2170" s="18" t="s">
        <v>1066</v>
      </c>
      <c r="E2170" s="18" t="s">
        <v>7057</v>
      </c>
      <c r="F2170" s="2">
        <f>+J2170-I2170</f>
        <v>8</v>
      </c>
      <c r="G2170" s="2">
        <f ca="1">+TODAY()-I2170</f>
        <v>9</v>
      </c>
      <c r="H2170" s="15">
        <v>325207</v>
      </c>
      <c r="I2170" s="1">
        <v>46111</v>
      </c>
      <c r="J2170" s="1">
        <v>46119</v>
      </c>
      <c r="K2170" s="18" t="s">
        <v>1068</v>
      </c>
      <c r="L2170" s="18" t="s">
        <v>321</v>
      </c>
      <c r="M2170" s="18" t="s">
        <v>19</v>
      </c>
      <c r="N2170" s="18" t="s">
        <v>2451</v>
      </c>
      <c r="O2170">
        <v>8</v>
      </c>
    </row>
    <row r="2171" spans="1:15" x14ac:dyDescent="0.25">
      <c r="A2171" s="18" t="s">
        <v>7276</v>
      </c>
      <c r="B2171" s="18" t="s">
        <v>2449</v>
      </c>
      <c r="C2171" s="18" t="s">
        <v>2450</v>
      </c>
      <c r="D2171" s="18" t="s">
        <v>1066</v>
      </c>
      <c r="E2171" s="18" t="s">
        <v>7058</v>
      </c>
      <c r="F2171" s="2">
        <f>+J2171-I2171</f>
        <v>8</v>
      </c>
      <c r="G2171" s="2">
        <f ca="1">+TODAY()-I2171</f>
        <v>9</v>
      </c>
      <c r="H2171" s="15">
        <v>326384</v>
      </c>
      <c r="I2171" s="1">
        <v>46111</v>
      </c>
      <c r="J2171" s="1">
        <v>46119</v>
      </c>
      <c r="K2171" s="18" t="s">
        <v>1068</v>
      </c>
      <c r="L2171" s="18" t="s">
        <v>321</v>
      </c>
      <c r="M2171" s="18" t="s">
        <v>19</v>
      </c>
      <c r="N2171" s="18" t="s">
        <v>2451</v>
      </c>
      <c r="O2171">
        <v>8</v>
      </c>
    </row>
    <row r="2172" spans="1:15" x14ac:dyDescent="0.25">
      <c r="A2172" s="18" t="s">
        <v>7276</v>
      </c>
      <c r="B2172" s="18" t="s">
        <v>1581</v>
      </c>
      <c r="C2172" s="18" t="s">
        <v>1582</v>
      </c>
      <c r="D2172" s="18" t="s">
        <v>1583</v>
      </c>
      <c r="E2172" s="18" t="s">
        <v>5495</v>
      </c>
      <c r="F2172" s="2">
        <f>+J2172-I2172</f>
        <v>30</v>
      </c>
      <c r="G2172" s="2">
        <f ca="1">+TODAY()-I2172</f>
        <v>35</v>
      </c>
      <c r="H2172" s="15">
        <v>858912</v>
      </c>
      <c r="I2172" s="1">
        <v>46085</v>
      </c>
      <c r="J2172" s="1">
        <v>46115</v>
      </c>
      <c r="K2172" s="18" t="s">
        <v>1564</v>
      </c>
      <c r="L2172" s="18" t="s">
        <v>984</v>
      </c>
      <c r="M2172" s="18" t="s">
        <v>19</v>
      </c>
      <c r="N2172" s="18" t="s">
        <v>1584</v>
      </c>
      <c r="O2172">
        <v>1</v>
      </c>
    </row>
    <row r="2173" spans="1:15" x14ac:dyDescent="0.25">
      <c r="A2173" s="18" t="s">
        <v>7276</v>
      </c>
      <c r="B2173" s="18" t="s">
        <v>1581</v>
      </c>
      <c r="C2173" s="18" t="s">
        <v>1582</v>
      </c>
      <c r="D2173" s="18" t="s">
        <v>1583</v>
      </c>
      <c r="E2173" s="18" t="s">
        <v>6630</v>
      </c>
      <c r="F2173" s="2">
        <f>+J2173-I2173</f>
        <v>1</v>
      </c>
      <c r="G2173" s="2">
        <f ca="1">+TODAY()-I2173</f>
        <v>12</v>
      </c>
      <c r="H2173" s="15">
        <v>625940</v>
      </c>
      <c r="I2173" s="1">
        <v>46108</v>
      </c>
      <c r="J2173" s="1">
        <v>46109</v>
      </c>
      <c r="K2173" s="18" t="s">
        <v>1564</v>
      </c>
      <c r="L2173" s="18" t="s">
        <v>984</v>
      </c>
      <c r="M2173" s="18" t="s">
        <v>19</v>
      </c>
      <c r="N2173" s="18" t="s">
        <v>1584</v>
      </c>
      <c r="O2173">
        <v>1</v>
      </c>
    </row>
    <row r="2174" spans="1:15" x14ac:dyDescent="0.25">
      <c r="A2174" s="18" t="s">
        <v>7276</v>
      </c>
      <c r="B2174" s="18" t="s">
        <v>7449</v>
      </c>
      <c r="C2174" s="18" t="s">
        <v>7450</v>
      </c>
      <c r="D2174" s="18" t="s">
        <v>15</v>
      </c>
      <c r="E2174" s="18" t="s">
        <v>7451</v>
      </c>
      <c r="F2174" s="2">
        <f>+J2174-I2174</f>
        <v>1</v>
      </c>
      <c r="G2174" s="2">
        <f ca="1">+TODAY()-I2174</f>
        <v>1</v>
      </c>
      <c r="H2174" s="15">
        <v>67002</v>
      </c>
      <c r="I2174" s="1">
        <v>46119</v>
      </c>
      <c r="J2174" s="1">
        <v>46120</v>
      </c>
      <c r="K2174" s="18" t="s">
        <v>17</v>
      </c>
      <c r="L2174" s="18" t="s">
        <v>317</v>
      </c>
      <c r="M2174" s="18" t="s">
        <v>19</v>
      </c>
      <c r="N2174" s="18" t="s">
        <v>7452</v>
      </c>
      <c r="O2174">
        <v>30</v>
      </c>
    </row>
    <row r="2175" spans="1:15" x14ac:dyDescent="0.25">
      <c r="A2175" s="18" t="s">
        <v>7276</v>
      </c>
      <c r="B2175" s="18" t="s">
        <v>1339</v>
      </c>
      <c r="C2175" s="18" t="s">
        <v>1340</v>
      </c>
      <c r="D2175" s="18" t="s">
        <v>1323</v>
      </c>
      <c r="E2175" s="18" t="s">
        <v>5782</v>
      </c>
      <c r="F2175" s="2">
        <f>+J2175-I2175</f>
        <v>30</v>
      </c>
      <c r="G2175" s="2">
        <f ca="1">+TODAY()-I2175</f>
        <v>29</v>
      </c>
      <c r="H2175" s="15">
        <v>2263438</v>
      </c>
      <c r="I2175" s="1">
        <v>46091</v>
      </c>
      <c r="J2175" s="1">
        <v>46121</v>
      </c>
      <c r="K2175" s="18" t="s">
        <v>1325</v>
      </c>
      <c r="L2175" s="18" t="s">
        <v>90</v>
      </c>
      <c r="M2175" s="18" t="s">
        <v>19</v>
      </c>
      <c r="N2175" s="18" t="s">
        <v>1341</v>
      </c>
      <c r="O2175">
        <v>1</v>
      </c>
    </row>
    <row r="2176" spans="1:15" x14ac:dyDescent="0.25">
      <c r="A2176" s="18" t="s">
        <v>7276</v>
      </c>
      <c r="B2176" s="18" t="s">
        <v>1339</v>
      </c>
      <c r="C2176" s="18" t="s">
        <v>1340</v>
      </c>
      <c r="D2176" s="18" t="s">
        <v>1323</v>
      </c>
      <c r="E2176" s="18" t="s">
        <v>5783</v>
      </c>
      <c r="F2176" s="2">
        <f>+J2176-I2176</f>
        <v>30</v>
      </c>
      <c r="G2176" s="2">
        <f ca="1">+TODAY()-I2176</f>
        <v>29</v>
      </c>
      <c r="H2176" s="15">
        <v>2295270</v>
      </c>
      <c r="I2176" s="1">
        <v>46091</v>
      </c>
      <c r="J2176" s="1">
        <v>46121</v>
      </c>
      <c r="K2176" s="18" t="s">
        <v>1325</v>
      </c>
      <c r="L2176" s="18" t="s">
        <v>90</v>
      </c>
      <c r="M2176" s="18" t="s">
        <v>19</v>
      </c>
      <c r="N2176" s="18" t="s">
        <v>1341</v>
      </c>
      <c r="O2176">
        <v>1</v>
      </c>
    </row>
    <row r="2177" spans="1:15" x14ac:dyDescent="0.25">
      <c r="A2177" s="18" t="s">
        <v>7276</v>
      </c>
      <c r="B2177" s="18" t="s">
        <v>1339</v>
      </c>
      <c r="C2177" s="18" t="s">
        <v>1340</v>
      </c>
      <c r="D2177" s="18" t="s">
        <v>1323</v>
      </c>
      <c r="E2177" s="18" t="s">
        <v>6053</v>
      </c>
      <c r="F2177" s="2">
        <f>+J2177-I2177</f>
        <v>30</v>
      </c>
      <c r="G2177" s="2">
        <f ca="1">+TODAY()-I2177</f>
        <v>26</v>
      </c>
      <c r="H2177" s="15">
        <v>262800</v>
      </c>
      <c r="I2177" s="1">
        <v>46094</v>
      </c>
      <c r="J2177" s="1">
        <v>46124</v>
      </c>
      <c r="K2177" s="18" t="s">
        <v>1325</v>
      </c>
      <c r="L2177" s="18" t="s">
        <v>90</v>
      </c>
      <c r="M2177" s="18" t="s">
        <v>19</v>
      </c>
      <c r="N2177" s="18" t="s">
        <v>1341</v>
      </c>
      <c r="O2177">
        <v>1</v>
      </c>
    </row>
    <row r="2178" spans="1:15" x14ac:dyDescent="0.25">
      <c r="A2178" s="18" t="s">
        <v>7276</v>
      </c>
      <c r="B2178" s="18" t="s">
        <v>1339</v>
      </c>
      <c r="C2178" s="18" t="s">
        <v>1340</v>
      </c>
      <c r="D2178" s="18" t="s">
        <v>1323</v>
      </c>
      <c r="E2178" s="18" t="s">
        <v>6567</v>
      </c>
      <c r="F2178" s="2">
        <f>+J2178-I2178</f>
        <v>30</v>
      </c>
      <c r="G2178" s="2">
        <f ca="1">+TODAY()-I2178</f>
        <v>14</v>
      </c>
      <c r="H2178" s="15">
        <v>4644124</v>
      </c>
      <c r="I2178" s="1">
        <v>46106</v>
      </c>
      <c r="J2178" s="1">
        <v>46136</v>
      </c>
      <c r="K2178" s="18" t="s">
        <v>1325</v>
      </c>
      <c r="L2178" s="18" t="s">
        <v>90</v>
      </c>
      <c r="M2178" s="18" t="s">
        <v>19</v>
      </c>
      <c r="N2178" s="18" t="s">
        <v>1341</v>
      </c>
      <c r="O2178">
        <v>1</v>
      </c>
    </row>
    <row r="2179" spans="1:15" x14ac:dyDescent="0.25">
      <c r="A2179" s="18" t="s">
        <v>7276</v>
      </c>
      <c r="B2179" s="18" t="s">
        <v>1339</v>
      </c>
      <c r="C2179" s="18" t="s">
        <v>1340</v>
      </c>
      <c r="D2179" s="18" t="s">
        <v>1323</v>
      </c>
      <c r="E2179" s="18" t="s">
        <v>6574</v>
      </c>
      <c r="F2179" s="2">
        <f>+J2179-I2179</f>
        <v>30</v>
      </c>
      <c r="G2179" s="2">
        <f ca="1">+TODAY()-I2179</f>
        <v>13</v>
      </c>
      <c r="H2179" s="15">
        <v>660000</v>
      </c>
      <c r="I2179" s="1">
        <v>46107</v>
      </c>
      <c r="J2179" s="1">
        <v>46137</v>
      </c>
      <c r="K2179" s="18" t="s">
        <v>1325</v>
      </c>
      <c r="L2179" s="18" t="s">
        <v>90</v>
      </c>
      <c r="M2179" s="18" t="s">
        <v>19</v>
      </c>
      <c r="N2179" s="18" t="s">
        <v>1341</v>
      </c>
      <c r="O2179">
        <v>1</v>
      </c>
    </row>
    <row r="2180" spans="1:15" x14ac:dyDescent="0.25">
      <c r="A2180" s="18" t="s">
        <v>7276</v>
      </c>
      <c r="B2180" s="18" t="s">
        <v>1339</v>
      </c>
      <c r="C2180" s="18" t="s">
        <v>1340</v>
      </c>
      <c r="D2180" s="18" t="s">
        <v>1323</v>
      </c>
      <c r="E2180" s="18" t="s">
        <v>6597</v>
      </c>
      <c r="F2180" s="2">
        <f>+J2180-I2180</f>
        <v>30</v>
      </c>
      <c r="G2180" s="2">
        <f ca="1">+TODAY()-I2180</f>
        <v>12</v>
      </c>
      <c r="H2180" s="15">
        <v>2801430</v>
      </c>
      <c r="I2180" s="1">
        <v>46108</v>
      </c>
      <c r="J2180" s="1">
        <v>46138</v>
      </c>
      <c r="K2180" s="18" t="s">
        <v>1325</v>
      </c>
      <c r="L2180" s="18" t="s">
        <v>90</v>
      </c>
      <c r="M2180" s="18" t="s">
        <v>19</v>
      </c>
      <c r="N2180" s="18" t="s">
        <v>1341</v>
      </c>
      <c r="O2180">
        <v>1</v>
      </c>
    </row>
    <row r="2181" spans="1:15" x14ac:dyDescent="0.25">
      <c r="A2181" s="18" t="s">
        <v>7276</v>
      </c>
      <c r="B2181" s="18" t="s">
        <v>1339</v>
      </c>
      <c r="C2181" s="18" t="s">
        <v>1340</v>
      </c>
      <c r="D2181" s="18" t="s">
        <v>1323</v>
      </c>
      <c r="E2181" s="18" t="s">
        <v>6598</v>
      </c>
      <c r="F2181" s="2">
        <f>+J2181-I2181</f>
        <v>30</v>
      </c>
      <c r="G2181" s="2">
        <f ca="1">+TODAY()-I2181</f>
        <v>12</v>
      </c>
      <c r="H2181" s="15">
        <v>7030035</v>
      </c>
      <c r="I2181" s="1">
        <v>46108</v>
      </c>
      <c r="J2181" s="1">
        <v>46138</v>
      </c>
      <c r="K2181" s="18" t="s">
        <v>1325</v>
      </c>
      <c r="L2181" s="18" t="s">
        <v>90</v>
      </c>
      <c r="M2181" s="18" t="s">
        <v>19</v>
      </c>
      <c r="N2181" s="18" t="s">
        <v>1341</v>
      </c>
      <c r="O2181">
        <v>1</v>
      </c>
    </row>
    <row r="2182" spans="1:15" x14ac:dyDescent="0.25">
      <c r="A2182" s="18" t="s">
        <v>7276</v>
      </c>
      <c r="B2182" s="18" t="s">
        <v>1339</v>
      </c>
      <c r="C2182" s="18" t="s">
        <v>1340</v>
      </c>
      <c r="D2182" s="18" t="s">
        <v>1323</v>
      </c>
      <c r="E2182" s="18" t="s">
        <v>6599</v>
      </c>
      <c r="F2182" s="2">
        <f>+J2182-I2182</f>
        <v>30</v>
      </c>
      <c r="G2182" s="2">
        <f ca="1">+TODAY()-I2182</f>
        <v>12</v>
      </c>
      <c r="H2182" s="15">
        <v>1348001</v>
      </c>
      <c r="I2182" s="1">
        <v>46108</v>
      </c>
      <c r="J2182" s="1">
        <v>46138</v>
      </c>
      <c r="K2182" s="18" t="s">
        <v>1325</v>
      </c>
      <c r="L2182" s="18" t="s">
        <v>90</v>
      </c>
      <c r="M2182" s="18" t="s">
        <v>19</v>
      </c>
      <c r="N2182" s="18" t="s">
        <v>1341</v>
      </c>
      <c r="O2182">
        <v>1</v>
      </c>
    </row>
    <row r="2183" spans="1:15" x14ac:dyDescent="0.25">
      <c r="A2183" s="18" t="s">
        <v>7276</v>
      </c>
      <c r="B2183" s="18" t="s">
        <v>1339</v>
      </c>
      <c r="C2183" s="18" t="s">
        <v>1340</v>
      </c>
      <c r="D2183" s="18" t="s">
        <v>1323</v>
      </c>
      <c r="E2183" s="18" t="s">
        <v>7189</v>
      </c>
      <c r="F2183" s="2">
        <f>+J2183-I2183</f>
        <v>24</v>
      </c>
      <c r="G2183" s="2">
        <f ca="1">+TODAY()-I2183</f>
        <v>8</v>
      </c>
      <c r="H2183" s="15">
        <v>8205020</v>
      </c>
      <c r="I2183" s="1">
        <v>46112</v>
      </c>
      <c r="J2183" s="1">
        <v>46136</v>
      </c>
      <c r="K2183" s="18" t="s">
        <v>1325</v>
      </c>
      <c r="L2183" s="18" t="s">
        <v>90</v>
      </c>
      <c r="M2183" s="18" t="s">
        <v>19</v>
      </c>
      <c r="N2183" s="18" t="s">
        <v>1341</v>
      </c>
      <c r="O2183">
        <v>1</v>
      </c>
    </row>
    <row r="2184" spans="1:15" x14ac:dyDescent="0.25">
      <c r="A2184" s="18" t="s">
        <v>7276</v>
      </c>
      <c r="B2184" s="18" t="s">
        <v>6892</v>
      </c>
      <c r="C2184" s="18" t="s">
        <v>6893</v>
      </c>
      <c r="D2184" s="18" t="s">
        <v>46</v>
      </c>
      <c r="E2184" s="18" t="s">
        <v>6894</v>
      </c>
      <c r="F2184" s="2">
        <f>+J2184-I2184</f>
        <v>1</v>
      </c>
      <c r="G2184" s="2">
        <f ca="1">+TODAY()-I2184</f>
        <v>8</v>
      </c>
      <c r="H2184" s="15">
        <v>44158</v>
      </c>
      <c r="I2184" s="1">
        <v>46112</v>
      </c>
      <c r="J2184" s="1">
        <v>46113</v>
      </c>
      <c r="K2184" s="18" t="s">
        <v>17</v>
      </c>
      <c r="L2184" s="18" t="s">
        <v>317</v>
      </c>
      <c r="M2184" s="18" t="s">
        <v>19</v>
      </c>
      <c r="N2184" s="18" t="s">
        <v>6895</v>
      </c>
      <c r="O2184">
        <v>1</v>
      </c>
    </row>
    <row r="2185" spans="1:15" x14ac:dyDescent="0.25">
      <c r="A2185" s="18" t="s">
        <v>7276</v>
      </c>
      <c r="B2185" s="18" t="s">
        <v>5196</v>
      </c>
      <c r="C2185" s="18" t="s">
        <v>5197</v>
      </c>
      <c r="D2185" s="18" t="s">
        <v>46</v>
      </c>
      <c r="E2185" s="18" t="s">
        <v>5198</v>
      </c>
      <c r="F2185" s="2">
        <f>+J2185-I2185</f>
        <v>30</v>
      </c>
      <c r="G2185" s="2">
        <f ca="1">+TODAY()-I2185</f>
        <v>42</v>
      </c>
      <c r="H2185" s="15">
        <v>196778</v>
      </c>
      <c r="I2185" s="1">
        <v>46078</v>
      </c>
      <c r="J2185" s="1">
        <v>46108</v>
      </c>
      <c r="K2185" s="18" t="s">
        <v>17</v>
      </c>
      <c r="L2185" s="18" t="s">
        <v>109</v>
      </c>
      <c r="M2185" s="18" t="s">
        <v>19</v>
      </c>
      <c r="N2185" s="18" t="s">
        <v>5199</v>
      </c>
      <c r="O2185">
        <v>30</v>
      </c>
    </row>
    <row r="2186" spans="1:15" x14ac:dyDescent="0.25">
      <c r="A2186" s="18" t="s">
        <v>7276</v>
      </c>
      <c r="B2186" s="18" t="s">
        <v>6227</v>
      </c>
      <c r="C2186" s="18" t="s">
        <v>6228</v>
      </c>
      <c r="D2186" s="18" t="s">
        <v>6229</v>
      </c>
      <c r="E2186" s="18" t="s">
        <v>6230</v>
      </c>
      <c r="F2186" s="2">
        <f>+J2186-I2186</f>
        <v>1</v>
      </c>
      <c r="G2186" s="2">
        <f ca="1">+TODAY()-I2186</f>
        <v>22</v>
      </c>
      <c r="H2186" s="15">
        <v>6850</v>
      </c>
      <c r="I2186" s="1">
        <v>46098</v>
      </c>
      <c r="J2186" s="1">
        <v>46099</v>
      </c>
      <c r="K2186" s="18" t="s">
        <v>766</v>
      </c>
      <c r="L2186" s="18" t="s">
        <v>18</v>
      </c>
      <c r="M2186" s="18" t="s">
        <v>19</v>
      </c>
      <c r="N2186" s="18" t="s">
        <v>6231</v>
      </c>
      <c r="O2186">
        <v>1</v>
      </c>
    </row>
    <row r="2187" spans="1:15" x14ac:dyDescent="0.25">
      <c r="A2187" s="18" t="s">
        <v>7276</v>
      </c>
      <c r="B2187" s="18" t="s">
        <v>6227</v>
      </c>
      <c r="C2187" s="18" t="s">
        <v>6228</v>
      </c>
      <c r="D2187" s="18" t="s">
        <v>6229</v>
      </c>
      <c r="E2187" s="18" t="s">
        <v>6973</v>
      </c>
      <c r="F2187" s="2">
        <f>+J2187-I2187</f>
        <v>1</v>
      </c>
      <c r="G2187" s="2">
        <f ca="1">+TODAY()-I2187</f>
        <v>9</v>
      </c>
      <c r="H2187" s="15">
        <v>55755</v>
      </c>
      <c r="I2187" s="1">
        <v>46111</v>
      </c>
      <c r="J2187" s="1">
        <v>46112</v>
      </c>
      <c r="K2187" s="18" t="s">
        <v>766</v>
      </c>
      <c r="L2187" s="18" t="s">
        <v>18</v>
      </c>
      <c r="M2187" s="18" t="s">
        <v>19</v>
      </c>
      <c r="N2187" s="18" t="s">
        <v>6231</v>
      </c>
      <c r="O2187">
        <v>1</v>
      </c>
    </row>
    <row r="2188" spans="1:15" x14ac:dyDescent="0.25">
      <c r="A2188" s="18" t="s">
        <v>7276</v>
      </c>
      <c r="B2188" s="18" t="s">
        <v>205</v>
      </c>
      <c r="C2188" s="18" t="s">
        <v>206</v>
      </c>
      <c r="D2188" s="18" t="s">
        <v>15</v>
      </c>
      <c r="E2188" s="18" t="s">
        <v>6789</v>
      </c>
      <c r="F2188" s="2">
        <f>+J2188-I2188</f>
        <v>1</v>
      </c>
      <c r="G2188" s="2">
        <f ca="1">+TODAY()-I2188</f>
        <v>8</v>
      </c>
      <c r="H2188" s="15">
        <v>375000</v>
      </c>
      <c r="I2188" s="1">
        <v>46112</v>
      </c>
      <c r="J2188" s="1">
        <v>46113</v>
      </c>
      <c r="K2188" s="18" t="s">
        <v>17</v>
      </c>
      <c r="L2188" s="18" t="s">
        <v>109</v>
      </c>
      <c r="M2188" s="18" t="s">
        <v>19</v>
      </c>
      <c r="N2188" s="18" t="s">
        <v>149</v>
      </c>
      <c r="O2188">
        <v>1</v>
      </c>
    </row>
    <row r="2189" spans="1:15" x14ac:dyDescent="0.25">
      <c r="A2189" s="18" t="s">
        <v>7276</v>
      </c>
      <c r="B2189" s="18" t="s">
        <v>205</v>
      </c>
      <c r="C2189" s="18" t="s">
        <v>206</v>
      </c>
      <c r="D2189" s="18" t="s">
        <v>15</v>
      </c>
      <c r="E2189" s="18" t="s">
        <v>6801</v>
      </c>
      <c r="F2189" s="2">
        <f>+J2189-I2189</f>
        <v>1</v>
      </c>
      <c r="G2189" s="2">
        <f ca="1">+TODAY()-I2189</f>
        <v>8</v>
      </c>
      <c r="H2189" s="15">
        <v>1800580</v>
      </c>
      <c r="I2189" s="1">
        <v>46112</v>
      </c>
      <c r="J2189" s="1">
        <v>46113</v>
      </c>
      <c r="K2189" s="18" t="s">
        <v>17</v>
      </c>
      <c r="L2189" s="18" t="s">
        <v>109</v>
      </c>
      <c r="M2189" s="18" t="s">
        <v>19</v>
      </c>
      <c r="N2189" s="18" t="s">
        <v>149</v>
      </c>
      <c r="O2189">
        <v>1</v>
      </c>
    </row>
    <row r="2190" spans="1:15" x14ac:dyDescent="0.25">
      <c r="A2190" s="18" t="s">
        <v>7276</v>
      </c>
      <c r="B2190" s="18" t="s">
        <v>205</v>
      </c>
      <c r="C2190" s="18" t="s">
        <v>206</v>
      </c>
      <c r="D2190" s="18" t="s">
        <v>15</v>
      </c>
      <c r="E2190" s="18" t="s">
        <v>6803</v>
      </c>
      <c r="F2190" s="2">
        <f>+J2190-I2190</f>
        <v>1</v>
      </c>
      <c r="G2190" s="2">
        <f ca="1">+TODAY()-I2190</f>
        <v>8</v>
      </c>
      <c r="H2190" s="15">
        <v>476996</v>
      </c>
      <c r="I2190" s="1">
        <v>46112</v>
      </c>
      <c r="J2190" s="1">
        <v>46113</v>
      </c>
      <c r="K2190" s="18" t="s">
        <v>17</v>
      </c>
      <c r="L2190" s="18" t="s">
        <v>90</v>
      </c>
      <c r="M2190" s="18" t="s">
        <v>19</v>
      </c>
      <c r="N2190" s="18" t="s">
        <v>149</v>
      </c>
      <c r="O2190">
        <v>1</v>
      </c>
    </row>
    <row r="2191" spans="1:15" x14ac:dyDescent="0.25">
      <c r="A2191" s="18" t="s">
        <v>7276</v>
      </c>
      <c r="B2191" s="18" t="s">
        <v>205</v>
      </c>
      <c r="C2191" s="18" t="s">
        <v>206</v>
      </c>
      <c r="D2191" s="18" t="s">
        <v>15</v>
      </c>
      <c r="E2191" s="18" t="s">
        <v>6804</v>
      </c>
      <c r="F2191" s="2">
        <f>+J2191-I2191</f>
        <v>1</v>
      </c>
      <c r="G2191" s="2">
        <f ca="1">+TODAY()-I2191</f>
        <v>8</v>
      </c>
      <c r="H2191" s="15">
        <v>4615804</v>
      </c>
      <c r="I2191" s="1">
        <v>46112</v>
      </c>
      <c r="J2191" s="1">
        <v>46113</v>
      </c>
      <c r="K2191" s="18" t="s">
        <v>17</v>
      </c>
      <c r="L2191" s="18" t="s">
        <v>90</v>
      </c>
      <c r="M2191" s="18" t="s">
        <v>19</v>
      </c>
      <c r="N2191" s="18" t="s">
        <v>149</v>
      </c>
      <c r="O2191">
        <v>1</v>
      </c>
    </row>
    <row r="2192" spans="1:15" x14ac:dyDescent="0.25">
      <c r="A2192" s="18" t="s">
        <v>7276</v>
      </c>
      <c r="B2192" s="18" t="s">
        <v>205</v>
      </c>
      <c r="C2192" s="18" t="s">
        <v>206</v>
      </c>
      <c r="D2192" s="18" t="s">
        <v>15</v>
      </c>
      <c r="E2192" s="18" t="s">
        <v>6812</v>
      </c>
      <c r="F2192" s="2">
        <f>+J2192-I2192</f>
        <v>1</v>
      </c>
      <c r="G2192" s="2">
        <f ca="1">+TODAY()-I2192</f>
        <v>8</v>
      </c>
      <c r="H2192" s="15">
        <v>630000</v>
      </c>
      <c r="I2192" s="1">
        <v>46112</v>
      </c>
      <c r="J2192" s="1">
        <v>46113</v>
      </c>
      <c r="K2192" s="18" t="s">
        <v>17</v>
      </c>
      <c r="L2192" s="18" t="s">
        <v>109</v>
      </c>
      <c r="M2192" s="18" t="s">
        <v>19</v>
      </c>
      <c r="N2192" s="18" t="s">
        <v>149</v>
      </c>
      <c r="O2192">
        <v>1</v>
      </c>
    </row>
    <row r="2193" spans="1:15" x14ac:dyDescent="0.25">
      <c r="A2193" s="18" t="s">
        <v>7276</v>
      </c>
      <c r="B2193" s="18" t="s">
        <v>205</v>
      </c>
      <c r="C2193" s="18" t="s">
        <v>206</v>
      </c>
      <c r="D2193" s="18" t="s">
        <v>15</v>
      </c>
      <c r="E2193" s="18" t="s">
        <v>7301</v>
      </c>
      <c r="F2193" s="2">
        <f>+J2193-I2193</f>
        <v>1</v>
      </c>
      <c r="G2193" s="2">
        <f ca="1">+TODAY()-I2193</f>
        <v>7</v>
      </c>
      <c r="H2193" s="15">
        <v>474050</v>
      </c>
      <c r="I2193" s="1">
        <v>46113</v>
      </c>
      <c r="J2193" s="1">
        <v>46114</v>
      </c>
      <c r="K2193" s="18" t="s">
        <v>17</v>
      </c>
      <c r="L2193" s="18" t="s">
        <v>109</v>
      </c>
      <c r="M2193" s="18" t="s">
        <v>19</v>
      </c>
      <c r="N2193" s="18" t="s">
        <v>149</v>
      </c>
      <c r="O2193">
        <v>1</v>
      </c>
    </row>
    <row r="2194" spans="1:15" x14ac:dyDescent="0.25">
      <c r="A2194" s="18" t="s">
        <v>7276</v>
      </c>
      <c r="B2194" s="18" t="s">
        <v>205</v>
      </c>
      <c r="C2194" s="18" t="s">
        <v>206</v>
      </c>
      <c r="D2194" s="18" t="s">
        <v>15</v>
      </c>
      <c r="E2194" s="18" t="s">
        <v>7326</v>
      </c>
      <c r="F2194" s="2">
        <f>+J2194-I2194</f>
        <v>1</v>
      </c>
      <c r="G2194" s="2">
        <f ca="1">+TODAY()-I2194</f>
        <v>2</v>
      </c>
      <c r="H2194" s="15">
        <v>129000</v>
      </c>
      <c r="I2194" s="1">
        <v>46118</v>
      </c>
      <c r="J2194" s="1">
        <v>46119</v>
      </c>
      <c r="K2194" s="18" t="s">
        <v>17</v>
      </c>
      <c r="L2194" s="18" t="s">
        <v>109</v>
      </c>
      <c r="M2194" s="18" t="s">
        <v>19</v>
      </c>
      <c r="N2194" s="18" t="s">
        <v>149</v>
      </c>
      <c r="O2194">
        <v>1</v>
      </c>
    </row>
    <row r="2195" spans="1:15" x14ac:dyDescent="0.25">
      <c r="A2195" s="18" t="s">
        <v>7276</v>
      </c>
      <c r="B2195" s="18" t="s">
        <v>205</v>
      </c>
      <c r="C2195" s="18" t="s">
        <v>206</v>
      </c>
      <c r="D2195" s="18" t="s">
        <v>15</v>
      </c>
      <c r="E2195" s="18" t="s">
        <v>7327</v>
      </c>
      <c r="F2195" s="2">
        <f>+J2195-I2195</f>
        <v>1</v>
      </c>
      <c r="G2195" s="2">
        <f ca="1">+TODAY()-I2195</f>
        <v>2</v>
      </c>
      <c r="H2195" s="15">
        <v>129000</v>
      </c>
      <c r="I2195" s="1">
        <v>46118</v>
      </c>
      <c r="J2195" s="1">
        <v>46119</v>
      </c>
      <c r="K2195" s="18" t="s">
        <v>17</v>
      </c>
      <c r="L2195" s="18" t="s">
        <v>109</v>
      </c>
      <c r="M2195" s="18" t="s">
        <v>19</v>
      </c>
      <c r="N2195" s="18" t="s">
        <v>149</v>
      </c>
      <c r="O2195">
        <v>1</v>
      </c>
    </row>
    <row r="2196" spans="1:15" x14ac:dyDescent="0.25">
      <c r="A2196" s="18" t="s">
        <v>7276</v>
      </c>
      <c r="B2196" s="18" t="s">
        <v>205</v>
      </c>
      <c r="C2196" s="18" t="s">
        <v>206</v>
      </c>
      <c r="D2196" s="18" t="s">
        <v>15</v>
      </c>
      <c r="E2196" s="18" t="s">
        <v>7332</v>
      </c>
      <c r="F2196" s="2">
        <f>+J2196-I2196</f>
        <v>1</v>
      </c>
      <c r="G2196" s="2">
        <f ca="1">+TODAY()-I2196</f>
        <v>2</v>
      </c>
      <c r="H2196" s="15">
        <v>840000</v>
      </c>
      <c r="I2196" s="1">
        <v>46118</v>
      </c>
      <c r="J2196" s="1">
        <v>46119</v>
      </c>
      <c r="K2196" s="18" t="s">
        <v>17</v>
      </c>
      <c r="L2196" s="18" t="s">
        <v>109</v>
      </c>
      <c r="M2196" s="18" t="s">
        <v>19</v>
      </c>
      <c r="N2196" s="18" t="s">
        <v>149</v>
      </c>
      <c r="O2196">
        <v>1</v>
      </c>
    </row>
    <row r="2197" spans="1:15" x14ac:dyDescent="0.25">
      <c r="A2197" s="18" t="s">
        <v>7276</v>
      </c>
      <c r="B2197" s="18" t="s">
        <v>205</v>
      </c>
      <c r="C2197" s="18" t="s">
        <v>206</v>
      </c>
      <c r="D2197" s="18" t="s">
        <v>15</v>
      </c>
      <c r="E2197" s="18" t="s">
        <v>7333</v>
      </c>
      <c r="F2197" s="2">
        <f>+J2197-I2197</f>
        <v>1</v>
      </c>
      <c r="G2197" s="2">
        <f ca="1">+TODAY()-I2197</f>
        <v>2</v>
      </c>
      <c r="H2197" s="15">
        <v>2520000</v>
      </c>
      <c r="I2197" s="1">
        <v>46118</v>
      </c>
      <c r="J2197" s="1">
        <v>46119</v>
      </c>
      <c r="K2197" s="18" t="s">
        <v>17</v>
      </c>
      <c r="L2197" s="18" t="s">
        <v>109</v>
      </c>
      <c r="M2197" s="18" t="s">
        <v>19</v>
      </c>
      <c r="N2197" s="18" t="s">
        <v>149</v>
      </c>
      <c r="O2197">
        <v>1</v>
      </c>
    </row>
    <row r="2198" spans="1:15" x14ac:dyDescent="0.25">
      <c r="A2198" s="18" t="s">
        <v>7276</v>
      </c>
      <c r="B2198" s="18" t="s">
        <v>205</v>
      </c>
      <c r="C2198" s="18" t="s">
        <v>206</v>
      </c>
      <c r="D2198" s="18" t="s">
        <v>15</v>
      </c>
      <c r="E2198" s="18" t="s">
        <v>7342</v>
      </c>
      <c r="F2198" s="2">
        <f>+J2198-I2198</f>
        <v>1</v>
      </c>
      <c r="G2198" s="2">
        <f ca="1">+TODAY()-I2198</f>
        <v>2</v>
      </c>
      <c r="H2198" s="15">
        <v>20000</v>
      </c>
      <c r="I2198" s="1">
        <v>46118</v>
      </c>
      <c r="J2198" s="1">
        <v>46119</v>
      </c>
      <c r="K2198" s="18" t="s">
        <v>17</v>
      </c>
      <c r="L2198" s="18" t="s">
        <v>28</v>
      </c>
      <c r="M2198" s="18" t="s">
        <v>19</v>
      </c>
      <c r="N2198" s="18" t="s">
        <v>149</v>
      </c>
      <c r="O2198">
        <v>1</v>
      </c>
    </row>
    <row r="2199" spans="1:15" x14ac:dyDescent="0.25">
      <c r="A2199" s="18" t="s">
        <v>7276</v>
      </c>
      <c r="B2199" s="18" t="s">
        <v>205</v>
      </c>
      <c r="C2199" s="18" t="s">
        <v>206</v>
      </c>
      <c r="D2199" s="18" t="s">
        <v>15</v>
      </c>
      <c r="E2199" s="18" t="s">
        <v>7343</v>
      </c>
      <c r="F2199" s="2">
        <f>+J2199-I2199</f>
        <v>1</v>
      </c>
      <c r="G2199" s="2">
        <f ca="1">+TODAY()-I2199</f>
        <v>2</v>
      </c>
      <c r="H2199" s="15">
        <v>8000</v>
      </c>
      <c r="I2199" s="1">
        <v>46118</v>
      </c>
      <c r="J2199" s="1">
        <v>46119</v>
      </c>
      <c r="K2199" s="18" t="s">
        <v>17</v>
      </c>
      <c r="L2199" s="18" t="s">
        <v>28</v>
      </c>
      <c r="M2199" s="18" t="s">
        <v>19</v>
      </c>
      <c r="N2199" s="18" t="s">
        <v>149</v>
      </c>
      <c r="O2199">
        <v>1</v>
      </c>
    </row>
    <row r="2200" spans="1:15" x14ac:dyDescent="0.25">
      <c r="A2200" s="18" t="s">
        <v>7276</v>
      </c>
      <c r="B2200" s="18" t="s">
        <v>205</v>
      </c>
      <c r="C2200" s="18" t="s">
        <v>206</v>
      </c>
      <c r="D2200" s="18" t="s">
        <v>15</v>
      </c>
      <c r="E2200" s="18" t="s">
        <v>7344</v>
      </c>
      <c r="F2200" s="2">
        <f>+J2200-I2200</f>
        <v>1</v>
      </c>
      <c r="G2200" s="2">
        <f ca="1">+TODAY()-I2200</f>
        <v>2</v>
      </c>
      <c r="H2200" s="15">
        <v>129000</v>
      </c>
      <c r="I2200" s="1">
        <v>46118</v>
      </c>
      <c r="J2200" s="1">
        <v>46119</v>
      </c>
      <c r="K2200" s="18" t="s">
        <v>17</v>
      </c>
      <c r="L2200" s="18" t="s">
        <v>109</v>
      </c>
      <c r="M2200" s="18" t="s">
        <v>19</v>
      </c>
      <c r="N2200" s="18" t="s">
        <v>149</v>
      </c>
      <c r="O2200">
        <v>1</v>
      </c>
    </row>
    <row r="2201" spans="1:15" x14ac:dyDescent="0.25">
      <c r="A2201" s="18" t="s">
        <v>7276</v>
      </c>
      <c r="B2201" s="18" t="s">
        <v>205</v>
      </c>
      <c r="C2201" s="18" t="s">
        <v>206</v>
      </c>
      <c r="D2201" s="18" t="s">
        <v>15</v>
      </c>
      <c r="E2201" s="18" t="s">
        <v>7345</v>
      </c>
      <c r="F2201" s="2">
        <f>+J2201-I2201</f>
        <v>1</v>
      </c>
      <c r="G2201" s="2">
        <f ca="1">+TODAY()-I2201</f>
        <v>2</v>
      </c>
      <c r="H2201" s="15">
        <v>17800</v>
      </c>
      <c r="I2201" s="1">
        <v>46118</v>
      </c>
      <c r="J2201" s="1">
        <v>46119</v>
      </c>
      <c r="K2201" s="18" t="s">
        <v>17</v>
      </c>
      <c r="L2201" s="18" t="s">
        <v>109</v>
      </c>
      <c r="M2201" s="18" t="s">
        <v>19</v>
      </c>
      <c r="N2201" s="18" t="s">
        <v>149</v>
      </c>
      <c r="O2201">
        <v>1</v>
      </c>
    </row>
    <row r="2202" spans="1:15" x14ac:dyDescent="0.25">
      <c r="A2202" s="18" t="s">
        <v>7276</v>
      </c>
      <c r="B2202" s="18" t="s">
        <v>205</v>
      </c>
      <c r="C2202" s="18" t="s">
        <v>206</v>
      </c>
      <c r="D2202" s="18" t="s">
        <v>15</v>
      </c>
      <c r="E2202" s="18" t="s">
        <v>7347</v>
      </c>
      <c r="F2202" s="2">
        <f>+J2202-I2202</f>
        <v>1</v>
      </c>
      <c r="G2202" s="2">
        <f ca="1">+TODAY()-I2202</f>
        <v>2</v>
      </c>
      <c r="H2202" s="15">
        <v>140000</v>
      </c>
      <c r="I2202" s="1">
        <v>46118</v>
      </c>
      <c r="J2202" s="1">
        <v>46119</v>
      </c>
      <c r="K2202" s="18" t="s">
        <v>17</v>
      </c>
      <c r="L2202" s="18" t="s">
        <v>32</v>
      </c>
      <c r="M2202" s="18" t="s">
        <v>19</v>
      </c>
      <c r="N2202" s="18" t="s">
        <v>149</v>
      </c>
      <c r="O2202">
        <v>1</v>
      </c>
    </row>
    <row r="2203" spans="1:15" x14ac:dyDescent="0.25">
      <c r="A2203" s="18" t="s">
        <v>7276</v>
      </c>
      <c r="B2203" s="18" t="s">
        <v>205</v>
      </c>
      <c r="C2203" s="18" t="s">
        <v>206</v>
      </c>
      <c r="D2203" s="18" t="s">
        <v>15</v>
      </c>
      <c r="E2203" s="18" t="s">
        <v>7368</v>
      </c>
      <c r="F2203" s="2">
        <f>+J2203-I2203</f>
        <v>1</v>
      </c>
      <c r="G2203" s="2">
        <f ca="1">+TODAY()-I2203</f>
        <v>1</v>
      </c>
      <c r="H2203" s="15">
        <v>42000</v>
      </c>
      <c r="I2203" s="1">
        <v>46119</v>
      </c>
      <c r="J2203" s="1">
        <v>46120</v>
      </c>
      <c r="K2203" s="18" t="s">
        <v>17</v>
      </c>
      <c r="L2203" s="18" t="s">
        <v>109</v>
      </c>
      <c r="M2203" s="18" t="s">
        <v>19</v>
      </c>
      <c r="N2203" s="18" t="s">
        <v>149</v>
      </c>
      <c r="O2203">
        <v>1</v>
      </c>
    </row>
    <row r="2204" spans="1:15" x14ac:dyDescent="0.25">
      <c r="A2204" s="18" t="s">
        <v>7276</v>
      </c>
      <c r="B2204" s="18" t="s">
        <v>205</v>
      </c>
      <c r="C2204" s="18" t="s">
        <v>206</v>
      </c>
      <c r="D2204" s="18" t="s">
        <v>15</v>
      </c>
      <c r="E2204" s="18" t="s">
        <v>7370</v>
      </c>
      <c r="F2204" s="2">
        <f>+J2204-I2204</f>
        <v>1</v>
      </c>
      <c r="G2204" s="2">
        <f ca="1">+TODAY()-I2204</f>
        <v>1</v>
      </c>
      <c r="H2204" s="15">
        <v>42000</v>
      </c>
      <c r="I2204" s="1">
        <v>46119</v>
      </c>
      <c r="J2204" s="1">
        <v>46120</v>
      </c>
      <c r="K2204" s="18" t="s">
        <v>17</v>
      </c>
      <c r="L2204" s="18" t="s">
        <v>109</v>
      </c>
      <c r="M2204" s="18" t="s">
        <v>19</v>
      </c>
      <c r="N2204" s="18" t="s">
        <v>149</v>
      </c>
      <c r="O2204">
        <v>1</v>
      </c>
    </row>
    <row r="2205" spans="1:15" x14ac:dyDescent="0.25">
      <c r="A2205" s="18" t="s">
        <v>7276</v>
      </c>
      <c r="B2205" s="18" t="s">
        <v>205</v>
      </c>
      <c r="C2205" s="18" t="s">
        <v>206</v>
      </c>
      <c r="D2205" s="18" t="s">
        <v>15</v>
      </c>
      <c r="E2205" s="18" t="s">
        <v>7622</v>
      </c>
      <c r="F2205" s="2">
        <f>+J2205-I2205</f>
        <v>1</v>
      </c>
      <c r="G2205" s="2">
        <f ca="1">+TODAY()-I2205</f>
        <v>1</v>
      </c>
      <c r="H2205" s="15">
        <v>128000</v>
      </c>
      <c r="I2205" s="1">
        <v>46119</v>
      </c>
      <c r="J2205" s="1">
        <v>46120</v>
      </c>
      <c r="K2205" s="18" t="s">
        <v>17</v>
      </c>
      <c r="L2205" s="18" t="s">
        <v>109</v>
      </c>
      <c r="M2205" s="18" t="s">
        <v>19</v>
      </c>
      <c r="N2205" s="18" t="s">
        <v>149</v>
      </c>
      <c r="O2205">
        <v>1</v>
      </c>
    </row>
    <row r="2206" spans="1:15" x14ac:dyDescent="0.25">
      <c r="A2206" s="18" t="s">
        <v>7276</v>
      </c>
      <c r="B2206" s="18" t="s">
        <v>205</v>
      </c>
      <c r="C2206" s="18" t="s">
        <v>206</v>
      </c>
      <c r="D2206" s="18" t="s">
        <v>15</v>
      </c>
      <c r="E2206" s="18" t="s">
        <v>7628</v>
      </c>
      <c r="F2206" s="2">
        <f>+J2206-I2206</f>
        <v>1</v>
      </c>
      <c r="G2206" s="2">
        <f ca="1">+TODAY()-I2206</f>
        <v>1</v>
      </c>
      <c r="H2206" s="15">
        <v>64000</v>
      </c>
      <c r="I2206" s="1">
        <v>46119</v>
      </c>
      <c r="J2206" s="1">
        <v>46120</v>
      </c>
      <c r="K2206" s="18" t="s">
        <v>17</v>
      </c>
      <c r="L2206" s="18" t="s">
        <v>109</v>
      </c>
      <c r="M2206" s="18" t="s">
        <v>19</v>
      </c>
      <c r="N2206" s="18" t="s">
        <v>149</v>
      </c>
      <c r="O2206">
        <v>1</v>
      </c>
    </row>
    <row r="2207" spans="1:15" x14ac:dyDescent="0.25">
      <c r="A2207" s="18" t="s">
        <v>7276</v>
      </c>
      <c r="B2207" s="18" t="s">
        <v>205</v>
      </c>
      <c r="C2207" s="18" t="s">
        <v>206</v>
      </c>
      <c r="D2207" s="18" t="s">
        <v>15</v>
      </c>
      <c r="E2207" s="18" t="s">
        <v>7646</v>
      </c>
      <c r="F2207" s="2">
        <f>+J2207-I2207</f>
        <v>1</v>
      </c>
      <c r="G2207" s="2">
        <f ca="1">+TODAY()-I2207</f>
        <v>1</v>
      </c>
      <c r="H2207" s="15">
        <v>123000</v>
      </c>
      <c r="I2207" s="1">
        <v>46119</v>
      </c>
      <c r="J2207" s="1">
        <v>46120</v>
      </c>
      <c r="K2207" s="18" t="s">
        <v>17</v>
      </c>
      <c r="L2207" s="18" t="s">
        <v>109</v>
      </c>
      <c r="M2207" s="18" t="s">
        <v>19</v>
      </c>
      <c r="N2207" s="18" t="s">
        <v>149</v>
      </c>
      <c r="O2207">
        <v>1</v>
      </c>
    </row>
    <row r="2208" spans="1:15" x14ac:dyDescent="0.25">
      <c r="A2208" s="18" t="s">
        <v>7276</v>
      </c>
      <c r="B2208" s="18" t="s">
        <v>205</v>
      </c>
      <c r="C2208" s="18" t="s">
        <v>206</v>
      </c>
      <c r="D2208" s="18" t="s">
        <v>15</v>
      </c>
      <c r="E2208" s="18" t="s">
        <v>7647</v>
      </c>
      <c r="F2208" s="2">
        <f>+J2208-I2208</f>
        <v>1</v>
      </c>
      <c r="G2208" s="2">
        <f ca="1">+TODAY()-I2208</f>
        <v>1</v>
      </c>
      <c r="H2208" s="15">
        <v>473700</v>
      </c>
      <c r="I2208" s="1">
        <v>46119</v>
      </c>
      <c r="J2208" s="1">
        <v>46120</v>
      </c>
      <c r="K2208" s="18" t="s">
        <v>17</v>
      </c>
      <c r="L2208" s="18" t="s">
        <v>109</v>
      </c>
      <c r="M2208" s="18" t="s">
        <v>19</v>
      </c>
      <c r="N2208" s="18" t="s">
        <v>149</v>
      </c>
      <c r="O2208">
        <v>1</v>
      </c>
    </row>
    <row r="2209" spans="1:15" x14ac:dyDescent="0.25">
      <c r="A2209" s="18" t="s">
        <v>7276</v>
      </c>
      <c r="B2209" s="18" t="s">
        <v>205</v>
      </c>
      <c r="C2209" s="18" t="s">
        <v>206</v>
      </c>
      <c r="D2209" s="18" t="s">
        <v>15</v>
      </c>
      <c r="E2209" s="18" t="s">
        <v>7652</v>
      </c>
      <c r="F2209" s="2">
        <f>+J2209-I2209</f>
        <v>1</v>
      </c>
      <c r="G2209" s="2">
        <f ca="1">+TODAY()-I2209</f>
        <v>1</v>
      </c>
      <c r="H2209" s="15">
        <v>129600</v>
      </c>
      <c r="I2209" s="1">
        <v>46119</v>
      </c>
      <c r="J2209" s="1">
        <v>46120</v>
      </c>
      <c r="K2209" s="18" t="s">
        <v>17</v>
      </c>
      <c r="L2209" s="18" t="s">
        <v>109</v>
      </c>
      <c r="M2209" s="18" t="s">
        <v>19</v>
      </c>
      <c r="N2209" s="18" t="s">
        <v>149</v>
      </c>
      <c r="O2209">
        <v>1</v>
      </c>
    </row>
    <row r="2210" spans="1:15" x14ac:dyDescent="0.25">
      <c r="A2210" s="18" t="s">
        <v>7276</v>
      </c>
      <c r="B2210" s="18" t="s">
        <v>205</v>
      </c>
      <c r="C2210" s="18" t="s">
        <v>206</v>
      </c>
      <c r="D2210" s="18" t="s">
        <v>15</v>
      </c>
      <c r="E2210" s="18" t="s">
        <v>7654</v>
      </c>
      <c r="F2210" s="2">
        <f>+J2210-I2210</f>
        <v>1</v>
      </c>
      <c r="G2210" s="2">
        <f ca="1">+TODAY()-I2210</f>
        <v>1</v>
      </c>
      <c r="H2210" s="15">
        <v>75000</v>
      </c>
      <c r="I2210" s="1">
        <v>46119</v>
      </c>
      <c r="J2210" s="1">
        <v>46120</v>
      </c>
      <c r="K2210" s="18" t="s">
        <v>17</v>
      </c>
      <c r="L2210" s="18" t="s">
        <v>109</v>
      </c>
      <c r="M2210" s="18" t="s">
        <v>19</v>
      </c>
      <c r="N2210" s="18" t="s">
        <v>149</v>
      </c>
      <c r="O2210">
        <v>1</v>
      </c>
    </row>
    <row r="2211" spans="1:15" x14ac:dyDescent="0.25">
      <c r="A2211" s="18" t="s">
        <v>7276</v>
      </c>
      <c r="B2211" s="18" t="s">
        <v>205</v>
      </c>
      <c r="C2211" s="18" t="s">
        <v>206</v>
      </c>
      <c r="D2211" s="18" t="s">
        <v>15</v>
      </c>
      <c r="E2211" s="18" t="s">
        <v>7658</v>
      </c>
      <c r="F2211" s="2">
        <f>+J2211-I2211</f>
        <v>1</v>
      </c>
      <c r="G2211" s="2">
        <f ca="1">+TODAY()-I2211</f>
        <v>1</v>
      </c>
      <c r="H2211" s="15">
        <v>15000</v>
      </c>
      <c r="I2211" s="1">
        <v>46119</v>
      </c>
      <c r="J2211" s="1">
        <v>46120</v>
      </c>
      <c r="K2211" s="18" t="s">
        <v>17</v>
      </c>
      <c r="L2211" s="18" t="s">
        <v>109</v>
      </c>
      <c r="M2211" s="18" t="s">
        <v>19</v>
      </c>
      <c r="N2211" s="18" t="s">
        <v>149</v>
      </c>
      <c r="O2211">
        <v>1</v>
      </c>
    </row>
    <row r="2212" spans="1:15" x14ac:dyDescent="0.25">
      <c r="A2212" s="18" t="s">
        <v>7276</v>
      </c>
      <c r="B2212" s="18" t="s">
        <v>205</v>
      </c>
      <c r="C2212" s="18" t="s">
        <v>206</v>
      </c>
      <c r="D2212" s="18" t="s">
        <v>15</v>
      </c>
      <c r="E2212" s="18" t="s">
        <v>7660</v>
      </c>
      <c r="F2212" s="2">
        <f>+J2212-I2212</f>
        <v>1</v>
      </c>
      <c r="G2212" s="2">
        <f ca="1">+TODAY()-I2212</f>
        <v>1</v>
      </c>
      <c r="H2212" s="15">
        <v>476000</v>
      </c>
      <c r="I2212" s="1">
        <v>46119</v>
      </c>
      <c r="J2212" s="1">
        <v>46120</v>
      </c>
      <c r="K2212" s="18" t="s">
        <v>17</v>
      </c>
      <c r="L2212" s="18" t="s">
        <v>28</v>
      </c>
      <c r="M2212" s="18" t="s">
        <v>19</v>
      </c>
      <c r="N2212" s="18" t="s">
        <v>149</v>
      </c>
      <c r="O2212">
        <v>1</v>
      </c>
    </row>
    <row r="2213" spans="1:15" x14ac:dyDescent="0.25">
      <c r="A2213" s="18" t="s">
        <v>7276</v>
      </c>
      <c r="B2213" s="18" t="s">
        <v>205</v>
      </c>
      <c r="C2213" s="18" t="s">
        <v>206</v>
      </c>
      <c r="D2213" s="18" t="s">
        <v>15</v>
      </c>
      <c r="E2213" s="18" t="s">
        <v>7661</v>
      </c>
      <c r="F2213" s="2">
        <f>+J2213-I2213</f>
        <v>1</v>
      </c>
      <c r="G2213" s="2">
        <f ca="1">+TODAY()-I2213</f>
        <v>1</v>
      </c>
      <c r="H2213" s="15">
        <v>42000</v>
      </c>
      <c r="I2213" s="1">
        <v>46119</v>
      </c>
      <c r="J2213" s="1">
        <v>46120</v>
      </c>
      <c r="K2213" s="18" t="s">
        <v>17</v>
      </c>
      <c r="L2213" s="18" t="s">
        <v>109</v>
      </c>
      <c r="M2213" s="18" t="s">
        <v>19</v>
      </c>
      <c r="N2213" s="18" t="s">
        <v>149</v>
      </c>
      <c r="O2213">
        <v>1</v>
      </c>
    </row>
    <row r="2214" spans="1:15" x14ac:dyDescent="0.25">
      <c r="A2214" s="18" t="s">
        <v>7276</v>
      </c>
      <c r="B2214" s="18" t="s">
        <v>205</v>
      </c>
      <c r="C2214" s="18" t="s">
        <v>206</v>
      </c>
      <c r="D2214" s="18" t="s">
        <v>15</v>
      </c>
      <c r="E2214" s="18" t="s">
        <v>7663</v>
      </c>
      <c r="F2214" s="2">
        <f>+J2214-I2214</f>
        <v>1</v>
      </c>
      <c r="G2214" s="2">
        <f ca="1">+TODAY()-I2214</f>
        <v>1</v>
      </c>
      <c r="H2214" s="15">
        <v>37803</v>
      </c>
      <c r="I2214" s="1">
        <v>46119</v>
      </c>
      <c r="J2214" s="1">
        <v>46120</v>
      </c>
      <c r="K2214" s="18" t="s">
        <v>17</v>
      </c>
      <c r="L2214" s="18" t="s">
        <v>109</v>
      </c>
      <c r="M2214" s="18" t="s">
        <v>19</v>
      </c>
      <c r="N2214" s="18" t="s">
        <v>149</v>
      </c>
      <c r="O2214">
        <v>1</v>
      </c>
    </row>
    <row r="2215" spans="1:15" x14ac:dyDescent="0.25">
      <c r="A2215" s="18" t="s">
        <v>7276</v>
      </c>
      <c r="B2215" s="18" t="s">
        <v>205</v>
      </c>
      <c r="C2215" s="18" t="s">
        <v>206</v>
      </c>
      <c r="D2215" s="18" t="s">
        <v>15</v>
      </c>
      <c r="E2215" s="18" t="s">
        <v>7664</v>
      </c>
      <c r="F2215" s="2">
        <f>+J2215-I2215</f>
        <v>1</v>
      </c>
      <c r="G2215" s="2">
        <f ca="1">+TODAY()-I2215</f>
        <v>1</v>
      </c>
      <c r="H2215" s="15">
        <v>23200</v>
      </c>
      <c r="I2215" s="1">
        <v>46119</v>
      </c>
      <c r="J2215" s="1">
        <v>46120</v>
      </c>
      <c r="K2215" s="18" t="s">
        <v>17</v>
      </c>
      <c r="L2215" s="18" t="s">
        <v>28</v>
      </c>
      <c r="M2215" s="18" t="s">
        <v>19</v>
      </c>
      <c r="N2215" s="18" t="s">
        <v>149</v>
      </c>
      <c r="O2215">
        <v>1</v>
      </c>
    </row>
    <row r="2216" spans="1:15" x14ac:dyDescent="0.25">
      <c r="A2216" s="18" t="s">
        <v>7276</v>
      </c>
      <c r="B2216" s="18" t="s">
        <v>205</v>
      </c>
      <c r="C2216" s="18" t="s">
        <v>206</v>
      </c>
      <c r="D2216" s="18" t="s">
        <v>15</v>
      </c>
      <c r="E2216" s="18" t="s">
        <v>6868</v>
      </c>
      <c r="F2216" s="2">
        <f>+J2216-I2216</f>
        <v>1</v>
      </c>
      <c r="G2216" s="2">
        <f ca="1">+TODAY()-I2216</f>
        <v>8</v>
      </c>
      <c r="H2216" s="15">
        <v>289800</v>
      </c>
      <c r="I2216" s="1">
        <v>46112</v>
      </c>
      <c r="J2216" s="1">
        <v>46113</v>
      </c>
      <c r="K2216" s="18" t="s">
        <v>17</v>
      </c>
      <c r="L2216" s="18" t="s">
        <v>312</v>
      </c>
      <c r="M2216" s="18" t="s">
        <v>19</v>
      </c>
      <c r="N2216" s="18" t="s">
        <v>149</v>
      </c>
      <c r="O2216">
        <v>1</v>
      </c>
    </row>
    <row r="2217" spans="1:15" x14ac:dyDescent="0.25">
      <c r="A2217" s="18" t="s">
        <v>7276</v>
      </c>
      <c r="B2217" s="18" t="s">
        <v>205</v>
      </c>
      <c r="C2217" s="18" t="s">
        <v>206</v>
      </c>
      <c r="D2217" s="18" t="s">
        <v>15</v>
      </c>
      <c r="E2217" s="18" t="s">
        <v>6869</v>
      </c>
      <c r="F2217" s="2">
        <f>+J2217-I2217</f>
        <v>1</v>
      </c>
      <c r="G2217" s="2">
        <f ca="1">+TODAY()-I2217</f>
        <v>8</v>
      </c>
      <c r="H2217" s="15">
        <v>172800</v>
      </c>
      <c r="I2217" s="1">
        <v>46112</v>
      </c>
      <c r="J2217" s="1">
        <v>46113</v>
      </c>
      <c r="K2217" s="18" t="s">
        <v>17</v>
      </c>
      <c r="L2217" s="18" t="s">
        <v>312</v>
      </c>
      <c r="M2217" s="18" t="s">
        <v>19</v>
      </c>
      <c r="N2217" s="18" t="s">
        <v>149</v>
      </c>
      <c r="O2217">
        <v>1</v>
      </c>
    </row>
    <row r="2218" spans="1:15" x14ac:dyDescent="0.25">
      <c r="A2218" s="18" t="s">
        <v>7276</v>
      </c>
      <c r="B2218" s="18" t="s">
        <v>205</v>
      </c>
      <c r="C2218" s="18" t="s">
        <v>206</v>
      </c>
      <c r="D2218" s="18" t="s">
        <v>15</v>
      </c>
      <c r="E2218" s="18" t="s">
        <v>7384</v>
      </c>
      <c r="F2218" s="2">
        <f>+J2218-I2218</f>
        <v>1</v>
      </c>
      <c r="G2218" s="2">
        <f ca="1">+TODAY()-I2218</f>
        <v>2</v>
      </c>
      <c r="H2218" s="15">
        <v>410973</v>
      </c>
      <c r="I2218" s="1">
        <v>46118</v>
      </c>
      <c r="J2218" s="1">
        <v>46119</v>
      </c>
      <c r="K2218" s="18" t="s">
        <v>17</v>
      </c>
      <c r="L2218" s="18" t="s">
        <v>312</v>
      </c>
      <c r="M2218" s="18" t="s">
        <v>19</v>
      </c>
      <c r="N2218" s="18" t="s">
        <v>149</v>
      </c>
      <c r="O2218">
        <v>1</v>
      </c>
    </row>
    <row r="2219" spans="1:15" x14ac:dyDescent="0.25">
      <c r="A2219" s="18" t="s">
        <v>7276</v>
      </c>
      <c r="B2219" s="18" t="s">
        <v>205</v>
      </c>
      <c r="C2219" s="18" t="s">
        <v>206</v>
      </c>
      <c r="D2219" s="18" t="s">
        <v>15</v>
      </c>
      <c r="E2219" s="18" t="s">
        <v>7385</v>
      </c>
      <c r="F2219" s="2">
        <f>+J2219-I2219</f>
        <v>1</v>
      </c>
      <c r="G2219" s="2">
        <f ca="1">+TODAY()-I2219</f>
        <v>2</v>
      </c>
      <c r="H2219" s="15">
        <v>103381</v>
      </c>
      <c r="I2219" s="1">
        <v>46118</v>
      </c>
      <c r="J2219" s="1">
        <v>46119</v>
      </c>
      <c r="K2219" s="18" t="s">
        <v>17</v>
      </c>
      <c r="L2219" s="18" t="s">
        <v>312</v>
      </c>
      <c r="M2219" s="18" t="s">
        <v>19</v>
      </c>
      <c r="N2219" s="18" t="s">
        <v>149</v>
      </c>
      <c r="O2219">
        <v>1</v>
      </c>
    </row>
    <row r="2220" spans="1:15" x14ac:dyDescent="0.25">
      <c r="A2220" s="18" t="s">
        <v>7276</v>
      </c>
      <c r="B2220" s="18" t="s">
        <v>205</v>
      </c>
      <c r="C2220" s="18" t="s">
        <v>206</v>
      </c>
      <c r="D2220" s="18" t="s">
        <v>15</v>
      </c>
      <c r="E2220" s="18" t="s">
        <v>7388</v>
      </c>
      <c r="F2220" s="2">
        <f>+J2220-I2220</f>
        <v>1</v>
      </c>
      <c r="G2220" s="2">
        <f ca="1">+TODAY()-I2220</f>
        <v>2</v>
      </c>
      <c r="H2220" s="15">
        <v>547672</v>
      </c>
      <c r="I2220" s="1">
        <v>46118</v>
      </c>
      <c r="J2220" s="1">
        <v>46119</v>
      </c>
      <c r="K2220" s="18" t="s">
        <v>17</v>
      </c>
      <c r="L2220" s="18" t="s">
        <v>312</v>
      </c>
      <c r="M2220" s="18" t="s">
        <v>19</v>
      </c>
      <c r="N2220" s="18" t="s">
        <v>149</v>
      </c>
      <c r="O2220">
        <v>1</v>
      </c>
    </row>
    <row r="2221" spans="1:15" x14ac:dyDescent="0.25">
      <c r="A2221" s="18" t="s">
        <v>7276</v>
      </c>
      <c r="B2221" s="18" t="s">
        <v>205</v>
      </c>
      <c r="C2221" s="18" t="s">
        <v>206</v>
      </c>
      <c r="D2221" s="18" t="s">
        <v>15</v>
      </c>
      <c r="E2221" s="18" t="s">
        <v>7686</v>
      </c>
      <c r="F2221" s="2">
        <f>+J2221-I2221</f>
        <v>1</v>
      </c>
      <c r="G2221" s="2">
        <f ca="1">+TODAY()-I2221</f>
        <v>1</v>
      </c>
      <c r="H2221" s="15">
        <v>42000</v>
      </c>
      <c r="I2221" s="1">
        <v>46119</v>
      </c>
      <c r="J2221" s="1">
        <v>46120</v>
      </c>
      <c r="K2221" s="18" t="s">
        <v>17</v>
      </c>
      <c r="L2221" s="18" t="s">
        <v>109</v>
      </c>
      <c r="M2221" s="18" t="s">
        <v>19</v>
      </c>
      <c r="N2221" s="18" t="s">
        <v>149</v>
      </c>
      <c r="O2221">
        <v>1</v>
      </c>
    </row>
    <row r="2222" spans="1:15" x14ac:dyDescent="0.25">
      <c r="A2222" s="18" t="s">
        <v>7276</v>
      </c>
      <c r="B2222" s="18" t="s">
        <v>205</v>
      </c>
      <c r="C2222" s="18" t="s">
        <v>206</v>
      </c>
      <c r="D2222" s="18" t="s">
        <v>15</v>
      </c>
      <c r="E2222" s="18" t="s">
        <v>6935</v>
      </c>
      <c r="F2222" s="2">
        <f>+J2222-I2222</f>
        <v>1</v>
      </c>
      <c r="G2222" s="2">
        <f ca="1">+TODAY()-I2222</f>
        <v>9</v>
      </c>
      <c r="H2222" s="15">
        <v>19495</v>
      </c>
      <c r="I2222" s="1">
        <v>46111</v>
      </c>
      <c r="J2222" s="1">
        <v>46112</v>
      </c>
      <c r="K2222" s="18" t="s">
        <v>343</v>
      </c>
      <c r="L2222" s="18" t="s">
        <v>18</v>
      </c>
      <c r="M2222" s="18" t="s">
        <v>19</v>
      </c>
      <c r="N2222" s="18" t="s">
        <v>149</v>
      </c>
      <c r="O2222">
        <v>1</v>
      </c>
    </row>
    <row r="2223" spans="1:15" x14ac:dyDescent="0.25">
      <c r="A2223" s="18" t="s">
        <v>7276</v>
      </c>
      <c r="B2223" s="18" t="s">
        <v>205</v>
      </c>
      <c r="C2223" s="18" t="s">
        <v>206</v>
      </c>
      <c r="D2223" s="18" t="s">
        <v>15</v>
      </c>
      <c r="E2223" s="18" t="s">
        <v>6945</v>
      </c>
      <c r="F2223" s="2">
        <f>+J2223-I2223</f>
        <v>1</v>
      </c>
      <c r="G2223" s="2">
        <f ca="1">+TODAY()-I2223</f>
        <v>9</v>
      </c>
      <c r="H2223" s="15">
        <v>659551</v>
      </c>
      <c r="I2223" s="1">
        <v>46111</v>
      </c>
      <c r="J2223" s="1">
        <v>46112</v>
      </c>
      <c r="K2223" s="18" t="s">
        <v>638</v>
      </c>
      <c r="L2223" s="18" t="s">
        <v>18</v>
      </c>
      <c r="M2223" s="18" t="s">
        <v>19</v>
      </c>
      <c r="N2223" s="18" t="s">
        <v>149</v>
      </c>
      <c r="O2223">
        <v>1</v>
      </c>
    </row>
    <row r="2224" spans="1:15" x14ac:dyDescent="0.25">
      <c r="A2224" s="18" t="s">
        <v>7276</v>
      </c>
      <c r="B2224" s="18" t="s">
        <v>205</v>
      </c>
      <c r="C2224" s="18" t="s">
        <v>206</v>
      </c>
      <c r="D2224" s="18" t="s">
        <v>15</v>
      </c>
      <c r="E2224" s="18" t="s">
        <v>6946</v>
      </c>
      <c r="F2224" s="2">
        <f>+J2224-I2224</f>
        <v>1</v>
      </c>
      <c r="G2224" s="2">
        <f ca="1">+TODAY()-I2224</f>
        <v>9</v>
      </c>
      <c r="H2224" s="15">
        <v>407272</v>
      </c>
      <c r="I2224" s="1">
        <v>46111</v>
      </c>
      <c r="J2224" s="1">
        <v>46112</v>
      </c>
      <c r="K2224" s="18" t="s">
        <v>638</v>
      </c>
      <c r="L2224" s="18" t="s">
        <v>18</v>
      </c>
      <c r="M2224" s="18" t="s">
        <v>19</v>
      </c>
      <c r="N2224" s="18" t="s">
        <v>149</v>
      </c>
      <c r="O2224">
        <v>1</v>
      </c>
    </row>
    <row r="2225" spans="1:15" x14ac:dyDescent="0.25">
      <c r="A2225" s="18" t="s">
        <v>7276</v>
      </c>
      <c r="B2225" s="18" t="s">
        <v>205</v>
      </c>
      <c r="C2225" s="18" t="s">
        <v>206</v>
      </c>
      <c r="D2225" s="18" t="s">
        <v>15</v>
      </c>
      <c r="E2225" s="18" t="s">
        <v>6951</v>
      </c>
      <c r="F2225" s="2">
        <f>+J2225-I2225</f>
        <v>1</v>
      </c>
      <c r="G2225" s="2">
        <f ca="1">+TODAY()-I2225</f>
        <v>9</v>
      </c>
      <c r="H2225" s="15">
        <v>1078875</v>
      </c>
      <c r="I2225" s="1">
        <v>46111</v>
      </c>
      <c r="J2225" s="1">
        <v>46112</v>
      </c>
      <c r="K2225" s="18" t="s">
        <v>638</v>
      </c>
      <c r="L2225" s="18" t="s">
        <v>18</v>
      </c>
      <c r="M2225" s="18" t="s">
        <v>19</v>
      </c>
      <c r="N2225" s="18" t="s">
        <v>149</v>
      </c>
      <c r="O2225">
        <v>1</v>
      </c>
    </row>
    <row r="2226" spans="1:15" x14ac:dyDescent="0.25">
      <c r="A2226" s="18" t="s">
        <v>7276</v>
      </c>
      <c r="B2226" s="18" t="s">
        <v>205</v>
      </c>
      <c r="C2226" s="18" t="s">
        <v>206</v>
      </c>
      <c r="D2226" s="18" t="s">
        <v>15</v>
      </c>
      <c r="E2226" s="18" t="s">
        <v>6962</v>
      </c>
      <c r="F2226" s="2">
        <f>+J2226-I2226</f>
        <v>1</v>
      </c>
      <c r="G2226" s="2">
        <f ca="1">+TODAY()-I2226</f>
        <v>8</v>
      </c>
      <c r="H2226" s="15">
        <v>436004</v>
      </c>
      <c r="I2226" s="1">
        <v>46112</v>
      </c>
      <c r="J2226" s="1">
        <v>46113</v>
      </c>
      <c r="K2226" s="18" t="s">
        <v>638</v>
      </c>
      <c r="L2226" s="18" t="s">
        <v>117</v>
      </c>
      <c r="M2226" s="18" t="s">
        <v>19</v>
      </c>
      <c r="N2226" s="18" t="s">
        <v>149</v>
      </c>
      <c r="O2226">
        <v>1</v>
      </c>
    </row>
    <row r="2227" spans="1:15" x14ac:dyDescent="0.25">
      <c r="A2227" s="18" t="s">
        <v>7276</v>
      </c>
      <c r="B2227" s="18" t="s">
        <v>205</v>
      </c>
      <c r="C2227" s="18" t="s">
        <v>206</v>
      </c>
      <c r="D2227" s="18" t="s">
        <v>15</v>
      </c>
      <c r="E2227" s="18" t="s">
        <v>6963</v>
      </c>
      <c r="F2227" s="2">
        <f>+J2227-I2227</f>
        <v>1</v>
      </c>
      <c r="G2227" s="2">
        <f ca="1">+TODAY()-I2227</f>
        <v>8</v>
      </c>
      <c r="H2227" s="15">
        <v>143028</v>
      </c>
      <c r="I2227" s="1">
        <v>46112</v>
      </c>
      <c r="J2227" s="1">
        <v>46113</v>
      </c>
      <c r="K2227" s="18" t="s">
        <v>638</v>
      </c>
      <c r="L2227" s="18" t="s">
        <v>18</v>
      </c>
      <c r="M2227" s="18" t="s">
        <v>19</v>
      </c>
      <c r="N2227" s="18" t="s">
        <v>149</v>
      </c>
      <c r="O2227">
        <v>1</v>
      </c>
    </row>
    <row r="2228" spans="1:15" x14ac:dyDescent="0.25">
      <c r="A2228" s="18" t="s">
        <v>7276</v>
      </c>
      <c r="B2228" s="18" t="s">
        <v>205</v>
      </c>
      <c r="C2228" s="18" t="s">
        <v>206</v>
      </c>
      <c r="D2228" s="18" t="s">
        <v>15</v>
      </c>
      <c r="E2228" s="18" t="s">
        <v>6964</v>
      </c>
      <c r="F2228" s="2">
        <f>+J2228-I2228</f>
        <v>1</v>
      </c>
      <c r="G2228" s="2">
        <f ca="1">+TODAY()-I2228</f>
        <v>8</v>
      </c>
      <c r="H2228" s="15">
        <v>288000</v>
      </c>
      <c r="I2228" s="1">
        <v>46112</v>
      </c>
      <c r="J2228" s="1">
        <v>46113</v>
      </c>
      <c r="K2228" s="18" t="s">
        <v>638</v>
      </c>
      <c r="L2228" s="18" t="s">
        <v>18</v>
      </c>
      <c r="M2228" s="18" t="s">
        <v>19</v>
      </c>
      <c r="N2228" s="18" t="s">
        <v>149</v>
      </c>
      <c r="O2228">
        <v>1</v>
      </c>
    </row>
    <row r="2229" spans="1:15" x14ac:dyDescent="0.25">
      <c r="A2229" s="18" t="s">
        <v>7276</v>
      </c>
      <c r="B2229" s="18" t="s">
        <v>205</v>
      </c>
      <c r="C2229" s="18" t="s">
        <v>206</v>
      </c>
      <c r="D2229" s="18" t="s">
        <v>15</v>
      </c>
      <c r="E2229" s="18" t="s">
        <v>6966</v>
      </c>
      <c r="F2229" s="2">
        <f>+J2229-I2229</f>
        <v>1</v>
      </c>
      <c r="G2229" s="2">
        <f ca="1">+TODAY()-I2229</f>
        <v>8</v>
      </c>
      <c r="H2229" s="15">
        <v>1242805</v>
      </c>
      <c r="I2229" s="1">
        <v>46112</v>
      </c>
      <c r="J2229" s="1">
        <v>46113</v>
      </c>
      <c r="K2229" s="18" t="s">
        <v>638</v>
      </c>
      <c r="L2229" s="18" t="s">
        <v>117</v>
      </c>
      <c r="M2229" s="18" t="s">
        <v>19</v>
      </c>
      <c r="N2229" s="18" t="s">
        <v>149</v>
      </c>
      <c r="O2229">
        <v>1</v>
      </c>
    </row>
    <row r="2230" spans="1:15" x14ac:dyDescent="0.25">
      <c r="A2230" s="18" t="s">
        <v>7276</v>
      </c>
      <c r="B2230" s="18" t="s">
        <v>205</v>
      </c>
      <c r="C2230" s="18" t="s">
        <v>206</v>
      </c>
      <c r="D2230" s="18" t="s">
        <v>15</v>
      </c>
      <c r="E2230" s="18" t="s">
        <v>6968</v>
      </c>
      <c r="F2230" s="2">
        <f>+J2230-I2230</f>
        <v>1</v>
      </c>
      <c r="G2230" s="2">
        <f ca="1">+TODAY()-I2230</f>
        <v>9</v>
      </c>
      <c r="H2230" s="15">
        <v>885000</v>
      </c>
      <c r="I2230" s="1">
        <v>46111</v>
      </c>
      <c r="J2230" s="1">
        <v>46112</v>
      </c>
      <c r="K2230" s="18" t="s">
        <v>716</v>
      </c>
      <c r="L2230" s="18" t="s">
        <v>18</v>
      </c>
      <c r="M2230" s="18" t="s">
        <v>19</v>
      </c>
      <c r="N2230" s="18" t="s">
        <v>149</v>
      </c>
      <c r="O2230">
        <v>1</v>
      </c>
    </row>
    <row r="2231" spans="1:15" x14ac:dyDescent="0.25">
      <c r="A2231" s="18" t="s">
        <v>7276</v>
      </c>
      <c r="B2231" s="18" t="s">
        <v>205</v>
      </c>
      <c r="C2231" s="18" t="s">
        <v>206</v>
      </c>
      <c r="D2231" s="18" t="s">
        <v>15</v>
      </c>
      <c r="E2231" s="18" t="s">
        <v>6989</v>
      </c>
      <c r="F2231" s="2">
        <f>+J2231-I2231</f>
        <v>1</v>
      </c>
      <c r="G2231" s="2">
        <f ca="1">+TODAY()-I2231</f>
        <v>11</v>
      </c>
      <c r="H2231" s="15">
        <v>83187</v>
      </c>
      <c r="I2231" s="1">
        <v>46109</v>
      </c>
      <c r="J2231" s="1">
        <v>46110</v>
      </c>
      <c r="K2231" s="18" t="s">
        <v>845</v>
      </c>
      <c r="L2231" s="18" t="s">
        <v>18</v>
      </c>
      <c r="M2231" s="18" t="s">
        <v>19</v>
      </c>
      <c r="N2231" s="18" t="s">
        <v>149</v>
      </c>
      <c r="O2231">
        <v>1</v>
      </c>
    </row>
    <row r="2232" spans="1:15" x14ac:dyDescent="0.25">
      <c r="A2232" s="18" t="s">
        <v>7276</v>
      </c>
      <c r="B2232" s="18" t="s">
        <v>205</v>
      </c>
      <c r="C2232" s="18" t="s">
        <v>206</v>
      </c>
      <c r="D2232" s="18" t="s">
        <v>15</v>
      </c>
      <c r="E2232" s="18" t="s">
        <v>7004</v>
      </c>
      <c r="F2232" s="2">
        <f>+J2232-I2232</f>
        <v>1</v>
      </c>
      <c r="G2232" s="2">
        <f ca="1">+TODAY()-I2232</f>
        <v>9</v>
      </c>
      <c r="H2232" s="15">
        <v>709802</v>
      </c>
      <c r="I2232" s="1">
        <v>46111</v>
      </c>
      <c r="J2232" s="1">
        <v>46112</v>
      </c>
      <c r="K2232" s="18" t="s">
        <v>918</v>
      </c>
      <c r="L2232" s="18" t="s">
        <v>312</v>
      </c>
      <c r="M2232" s="18" t="s">
        <v>19</v>
      </c>
      <c r="N2232" s="18" t="s">
        <v>149</v>
      </c>
      <c r="O2232">
        <v>1</v>
      </c>
    </row>
    <row r="2233" spans="1:15" x14ac:dyDescent="0.25">
      <c r="A2233" s="18" t="s">
        <v>7276</v>
      </c>
      <c r="B2233" s="18" t="s">
        <v>205</v>
      </c>
      <c r="C2233" s="18" t="s">
        <v>206</v>
      </c>
      <c r="D2233" s="18" t="s">
        <v>15</v>
      </c>
      <c r="E2233" s="18" t="s">
        <v>7014</v>
      </c>
      <c r="F2233" s="2">
        <f>+J2233-I2233</f>
        <v>1</v>
      </c>
      <c r="G2233" s="2">
        <f ca="1">+TODAY()-I2233</f>
        <v>9</v>
      </c>
      <c r="H2233" s="15">
        <v>38748</v>
      </c>
      <c r="I2233" s="1">
        <v>46111</v>
      </c>
      <c r="J2233" s="1">
        <v>46112</v>
      </c>
      <c r="K2233" s="18" t="s">
        <v>918</v>
      </c>
      <c r="L2233" s="18" t="s">
        <v>312</v>
      </c>
      <c r="M2233" s="18" t="s">
        <v>19</v>
      </c>
      <c r="N2233" s="18" t="s">
        <v>149</v>
      </c>
      <c r="O2233">
        <v>1</v>
      </c>
    </row>
    <row r="2234" spans="1:15" x14ac:dyDescent="0.25">
      <c r="A2234" s="18" t="s">
        <v>7276</v>
      </c>
      <c r="B2234" s="18" t="s">
        <v>205</v>
      </c>
      <c r="C2234" s="18" t="s">
        <v>206</v>
      </c>
      <c r="D2234" s="18" t="s">
        <v>15</v>
      </c>
      <c r="E2234" s="18" t="s">
        <v>7467</v>
      </c>
      <c r="F2234" s="2">
        <f>+J2234-I2234</f>
        <v>1</v>
      </c>
      <c r="G2234" s="2">
        <f ca="1">+TODAY()-I2234</f>
        <v>2</v>
      </c>
      <c r="H2234" s="15">
        <v>470800</v>
      </c>
      <c r="I2234" s="1">
        <v>46118</v>
      </c>
      <c r="J2234" s="1">
        <v>46119</v>
      </c>
      <c r="K2234" s="18" t="s">
        <v>918</v>
      </c>
      <c r="L2234" s="18" t="s">
        <v>312</v>
      </c>
      <c r="M2234" s="18" t="s">
        <v>19</v>
      </c>
      <c r="N2234" s="18" t="s">
        <v>149</v>
      </c>
      <c r="O2234">
        <v>1</v>
      </c>
    </row>
    <row r="2235" spans="1:15" x14ac:dyDescent="0.25">
      <c r="A2235" s="18" t="s">
        <v>7276</v>
      </c>
      <c r="B2235" s="18" t="s">
        <v>205</v>
      </c>
      <c r="C2235" s="18" t="s">
        <v>206</v>
      </c>
      <c r="D2235" s="18" t="s">
        <v>15</v>
      </c>
      <c r="E2235" s="18" t="s">
        <v>7471</v>
      </c>
      <c r="F2235" s="2">
        <f>+J2235-I2235</f>
        <v>1</v>
      </c>
      <c r="G2235" s="2">
        <f ca="1">+TODAY()-I2235</f>
        <v>2</v>
      </c>
      <c r="H2235" s="15">
        <v>71000</v>
      </c>
      <c r="I2235" s="1">
        <v>46118</v>
      </c>
      <c r="J2235" s="1">
        <v>46119</v>
      </c>
      <c r="K2235" s="18" t="s">
        <v>918</v>
      </c>
      <c r="L2235" s="18" t="s">
        <v>312</v>
      </c>
      <c r="M2235" s="18" t="s">
        <v>19</v>
      </c>
      <c r="N2235" s="18" t="s">
        <v>149</v>
      </c>
      <c r="O2235">
        <v>1</v>
      </c>
    </row>
    <row r="2236" spans="1:15" x14ac:dyDescent="0.25">
      <c r="A2236" s="18" t="s">
        <v>7276</v>
      </c>
      <c r="B2236" s="18" t="s">
        <v>205</v>
      </c>
      <c r="C2236" s="18" t="s">
        <v>206</v>
      </c>
      <c r="D2236" s="18" t="s">
        <v>15</v>
      </c>
      <c r="E2236" s="18" t="s">
        <v>7472</v>
      </c>
      <c r="F2236" s="2">
        <f>+J2236-I2236</f>
        <v>1</v>
      </c>
      <c r="G2236" s="2">
        <f ca="1">+TODAY()-I2236</f>
        <v>2</v>
      </c>
      <c r="H2236" s="15">
        <v>77539</v>
      </c>
      <c r="I2236" s="1">
        <v>46118</v>
      </c>
      <c r="J2236" s="1">
        <v>46119</v>
      </c>
      <c r="K2236" s="18" t="s">
        <v>918</v>
      </c>
      <c r="L2236" s="18" t="s">
        <v>312</v>
      </c>
      <c r="M2236" s="18" t="s">
        <v>19</v>
      </c>
      <c r="N2236" s="18" t="s">
        <v>149</v>
      </c>
      <c r="O2236">
        <v>1</v>
      </c>
    </row>
    <row r="2237" spans="1:15" x14ac:dyDescent="0.25">
      <c r="A2237" s="18" t="s">
        <v>7276</v>
      </c>
      <c r="B2237" s="18" t="s">
        <v>205</v>
      </c>
      <c r="C2237" s="18" t="s">
        <v>206</v>
      </c>
      <c r="D2237" s="18" t="s">
        <v>15</v>
      </c>
      <c r="E2237" s="18" t="s">
        <v>7480</v>
      </c>
      <c r="F2237" s="2">
        <f>+J2237-I2237</f>
        <v>1</v>
      </c>
      <c r="G2237" s="2">
        <f ca="1">+TODAY()-I2237</f>
        <v>2</v>
      </c>
      <c r="H2237" s="15">
        <v>10</v>
      </c>
      <c r="I2237" s="1">
        <v>46118</v>
      </c>
      <c r="J2237" s="1">
        <v>46119</v>
      </c>
      <c r="K2237" s="18" t="s">
        <v>918</v>
      </c>
      <c r="L2237" s="18" t="s">
        <v>312</v>
      </c>
      <c r="M2237" s="18" t="s">
        <v>19</v>
      </c>
      <c r="N2237" s="18" t="s">
        <v>149</v>
      </c>
      <c r="O2237">
        <v>1</v>
      </c>
    </row>
    <row r="2238" spans="1:15" x14ac:dyDescent="0.25">
      <c r="A2238" s="18" t="s">
        <v>7276</v>
      </c>
      <c r="B2238" s="18" t="s">
        <v>205</v>
      </c>
      <c r="C2238" s="18" t="s">
        <v>206</v>
      </c>
      <c r="D2238" s="18" t="s">
        <v>15</v>
      </c>
      <c r="E2238" s="18" t="s">
        <v>7481</v>
      </c>
      <c r="F2238" s="2">
        <f>+J2238-I2238</f>
        <v>1</v>
      </c>
      <c r="G2238" s="2">
        <f ca="1">+TODAY()-I2238</f>
        <v>2</v>
      </c>
      <c r="H2238" s="15">
        <v>2033739</v>
      </c>
      <c r="I2238" s="1">
        <v>46118</v>
      </c>
      <c r="J2238" s="1">
        <v>46119</v>
      </c>
      <c r="K2238" s="18" t="s">
        <v>918</v>
      </c>
      <c r="L2238" s="18" t="s">
        <v>312</v>
      </c>
      <c r="M2238" s="18" t="s">
        <v>19</v>
      </c>
      <c r="N2238" s="18" t="s">
        <v>149</v>
      </c>
      <c r="O2238">
        <v>1</v>
      </c>
    </row>
    <row r="2239" spans="1:15" x14ac:dyDescent="0.25">
      <c r="A2239" s="18" t="s">
        <v>7276</v>
      </c>
      <c r="B2239" s="18" t="s">
        <v>205</v>
      </c>
      <c r="C2239" s="18" t="s">
        <v>206</v>
      </c>
      <c r="D2239" s="18" t="s">
        <v>15</v>
      </c>
      <c r="E2239" s="18" t="s">
        <v>7482</v>
      </c>
      <c r="F2239" s="2">
        <f>+J2239-I2239</f>
        <v>1</v>
      </c>
      <c r="G2239" s="2">
        <f ca="1">+TODAY()-I2239</f>
        <v>2</v>
      </c>
      <c r="H2239" s="15">
        <v>387160</v>
      </c>
      <c r="I2239" s="1">
        <v>46118</v>
      </c>
      <c r="J2239" s="1">
        <v>46119</v>
      </c>
      <c r="K2239" s="18" t="s">
        <v>918</v>
      </c>
      <c r="L2239" s="18" t="s">
        <v>312</v>
      </c>
      <c r="M2239" s="18" t="s">
        <v>19</v>
      </c>
      <c r="N2239" s="18" t="s">
        <v>149</v>
      </c>
      <c r="O2239">
        <v>1</v>
      </c>
    </row>
    <row r="2240" spans="1:15" x14ac:dyDescent="0.25">
      <c r="A2240" s="18" t="s">
        <v>7276</v>
      </c>
      <c r="B2240" s="18" t="s">
        <v>205</v>
      </c>
      <c r="C2240" s="18" t="s">
        <v>206</v>
      </c>
      <c r="D2240" s="18" t="s">
        <v>15</v>
      </c>
      <c r="E2240" s="18" t="s">
        <v>7487</v>
      </c>
      <c r="F2240" s="2">
        <f>+J2240-I2240</f>
        <v>1</v>
      </c>
      <c r="G2240" s="2">
        <f ca="1">+TODAY()-I2240</f>
        <v>2</v>
      </c>
      <c r="H2240" s="15">
        <v>188199</v>
      </c>
      <c r="I2240" s="1">
        <v>46118</v>
      </c>
      <c r="J2240" s="1">
        <v>46119</v>
      </c>
      <c r="K2240" s="18" t="s">
        <v>918</v>
      </c>
      <c r="L2240" s="18" t="s">
        <v>312</v>
      </c>
      <c r="M2240" s="18" t="s">
        <v>19</v>
      </c>
      <c r="N2240" s="18" t="s">
        <v>149</v>
      </c>
      <c r="O2240">
        <v>1</v>
      </c>
    </row>
    <row r="2241" spans="1:15" x14ac:dyDescent="0.25">
      <c r="A2241" s="18" t="s">
        <v>7276</v>
      </c>
      <c r="B2241" s="18" t="s">
        <v>205</v>
      </c>
      <c r="C2241" s="18" t="s">
        <v>206</v>
      </c>
      <c r="D2241" s="18" t="s">
        <v>15</v>
      </c>
      <c r="E2241" s="18" t="s">
        <v>7488</v>
      </c>
      <c r="F2241" s="2">
        <f>+J2241-I2241</f>
        <v>1</v>
      </c>
      <c r="G2241" s="2">
        <f ca="1">+TODAY()-I2241</f>
        <v>2</v>
      </c>
      <c r="H2241" s="15">
        <v>41530</v>
      </c>
      <c r="I2241" s="1">
        <v>46118</v>
      </c>
      <c r="J2241" s="1">
        <v>46119</v>
      </c>
      <c r="K2241" s="18" t="s">
        <v>918</v>
      </c>
      <c r="L2241" s="18" t="s">
        <v>312</v>
      </c>
      <c r="M2241" s="18" t="s">
        <v>19</v>
      </c>
      <c r="N2241" s="18" t="s">
        <v>149</v>
      </c>
      <c r="O2241">
        <v>1</v>
      </c>
    </row>
    <row r="2242" spans="1:15" x14ac:dyDescent="0.25">
      <c r="A2242" s="18" t="s">
        <v>7276</v>
      </c>
      <c r="B2242" s="18" t="s">
        <v>205</v>
      </c>
      <c r="C2242" s="18" t="s">
        <v>206</v>
      </c>
      <c r="D2242" s="18" t="s">
        <v>15</v>
      </c>
      <c r="E2242" s="18" t="s">
        <v>7741</v>
      </c>
      <c r="F2242" s="2">
        <f>+J2242-I2242</f>
        <v>1</v>
      </c>
      <c r="G2242" s="2">
        <f ca="1">+TODAY()-I2242</f>
        <v>1</v>
      </c>
      <c r="H2242" s="15">
        <v>736604</v>
      </c>
      <c r="I2242" s="1">
        <v>46119</v>
      </c>
      <c r="J2242" s="1">
        <v>46120</v>
      </c>
      <c r="K2242" s="18" t="s">
        <v>918</v>
      </c>
      <c r="L2242" s="18" t="s">
        <v>312</v>
      </c>
      <c r="M2242" s="18" t="s">
        <v>19</v>
      </c>
      <c r="N2242" s="18" t="s">
        <v>149</v>
      </c>
      <c r="O2242">
        <v>1</v>
      </c>
    </row>
    <row r="2243" spans="1:15" x14ac:dyDescent="0.25">
      <c r="A2243" s="18" t="s">
        <v>7276</v>
      </c>
      <c r="B2243" s="18" t="s">
        <v>205</v>
      </c>
      <c r="C2243" s="18" t="s">
        <v>206</v>
      </c>
      <c r="D2243" s="18" t="s">
        <v>15</v>
      </c>
      <c r="E2243" s="18" t="s">
        <v>7743</v>
      </c>
      <c r="F2243" s="2">
        <f>+J2243-I2243</f>
        <v>1</v>
      </c>
      <c r="G2243" s="2">
        <f ca="1">+TODAY()-I2243</f>
        <v>1</v>
      </c>
      <c r="H2243" s="15">
        <v>437240</v>
      </c>
      <c r="I2243" s="1">
        <v>46119</v>
      </c>
      <c r="J2243" s="1">
        <v>46120</v>
      </c>
      <c r="K2243" s="18" t="s">
        <v>918</v>
      </c>
      <c r="L2243" s="18" t="s">
        <v>312</v>
      </c>
      <c r="M2243" s="18" t="s">
        <v>19</v>
      </c>
      <c r="N2243" s="18" t="s">
        <v>149</v>
      </c>
      <c r="O2243">
        <v>1</v>
      </c>
    </row>
    <row r="2244" spans="1:15" x14ac:dyDescent="0.25">
      <c r="A2244" s="18" t="s">
        <v>7276</v>
      </c>
      <c r="B2244" s="18" t="s">
        <v>205</v>
      </c>
      <c r="C2244" s="18" t="s">
        <v>206</v>
      </c>
      <c r="D2244" s="18" t="s">
        <v>15</v>
      </c>
      <c r="E2244" s="18" t="s">
        <v>7753</v>
      </c>
      <c r="F2244" s="2">
        <f>+J2244-I2244</f>
        <v>1</v>
      </c>
      <c r="G2244" s="2">
        <f ca="1">+TODAY()-I2244</f>
        <v>1</v>
      </c>
      <c r="H2244" s="15">
        <v>109001</v>
      </c>
      <c r="I2244" s="1">
        <v>46119</v>
      </c>
      <c r="J2244" s="1">
        <v>46120</v>
      </c>
      <c r="K2244" s="18" t="s">
        <v>918</v>
      </c>
      <c r="L2244" s="18" t="s">
        <v>312</v>
      </c>
      <c r="M2244" s="18" t="s">
        <v>19</v>
      </c>
      <c r="N2244" s="18" t="s">
        <v>149</v>
      </c>
      <c r="O2244">
        <v>1</v>
      </c>
    </row>
    <row r="2245" spans="1:15" x14ac:dyDescent="0.25">
      <c r="A2245" s="18" t="s">
        <v>7276</v>
      </c>
      <c r="B2245" s="18" t="s">
        <v>205</v>
      </c>
      <c r="C2245" s="18" t="s">
        <v>206</v>
      </c>
      <c r="D2245" s="18" t="s">
        <v>15</v>
      </c>
      <c r="E2245" s="18" t="s">
        <v>7778</v>
      </c>
      <c r="F2245" s="2">
        <f>+J2245-I2245</f>
        <v>1</v>
      </c>
      <c r="G2245" s="2">
        <f ca="1">+TODAY()-I2245</f>
        <v>1</v>
      </c>
      <c r="H2245" s="15">
        <v>102685</v>
      </c>
      <c r="I2245" s="1">
        <v>46119</v>
      </c>
      <c r="J2245" s="1">
        <v>46120</v>
      </c>
      <c r="K2245" s="18" t="s">
        <v>918</v>
      </c>
      <c r="L2245" s="18" t="s">
        <v>312</v>
      </c>
      <c r="M2245" s="18" t="s">
        <v>19</v>
      </c>
      <c r="N2245" s="18" t="s">
        <v>149</v>
      </c>
      <c r="O2245">
        <v>1</v>
      </c>
    </row>
    <row r="2246" spans="1:15" x14ac:dyDescent="0.25">
      <c r="A2246" s="18" t="s">
        <v>7276</v>
      </c>
      <c r="B2246" s="18" t="s">
        <v>205</v>
      </c>
      <c r="C2246" s="18" t="s">
        <v>206</v>
      </c>
      <c r="D2246" s="18" t="s">
        <v>15</v>
      </c>
      <c r="E2246" s="18" t="s">
        <v>7787</v>
      </c>
      <c r="F2246" s="2">
        <f>+J2246-I2246</f>
        <v>1</v>
      </c>
      <c r="G2246" s="2">
        <f ca="1">+TODAY()-I2246</f>
        <v>1</v>
      </c>
      <c r="H2246" s="15">
        <v>2427600</v>
      </c>
      <c r="I2246" s="1">
        <v>46119</v>
      </c>
      <c r="J2246" s="1">
        <v>46120</v>
      </c>
      <c r="K2246" s="18" t="s">
        <v>918</v>
      </c>
      <c r="L2246" s="18" t="s">
        <v>312</v>
      </c>
      <c r="M2246" s="18" t="s">
        <v>19</v>
      </c>
      <c r="N2246" s="18" t="s">
        <v>149</v>
      </c>
      <c r="O2246">
        <v>1</v>
      </c>
    </row>
    <row r="2247" spans="1:15" x14ac:dyDescent="0.25">
      <c r="A2247" s="18" t="s">
        <v>7276</v>
      </c>
      <c r="B2247" s="18" t="s">
        <v>205</v>
      </c>
      <c r="C2247" s="18" t="s">
        <v>206</v>
      </c>
      <c r="D2247" s="18" t="s">
        <v>15</v>
      </c>
      <c r="E2247" s="18" t="s">
        <v>7788</v>
      </c>
      <c r="F2247" s="2">
        <f>+J2247-I2247</f>
        <v>1</v>
      </c>
      <c r="G2247" s="2">
        <f ca="1">+TODAY()-I2247</f>
        <v>1</v>
      </c>
      <c r="H2247" s="15">
        <v>2074517</v>
      </c>
      <c r="I2247" s="1">
        <v>46119</v>
      </c>
      <c r="J2247" s="1">
        <v>46120</v>
      </c>
      <c r="K2247" s="18" t="s">
        <v>918</v>
      </c>
      <c r="L2247" s="18" t="s">
        <v>312</v>
      </c>
      <c r="M2247" s="18" t="s">
        <v>19</v>
      </c>
      <c r="N2247" s="18" t="s">
        <v>149</v>
      </c>
      <c r="O2247">
        <v>1</v>
      </c>
    </row>
    <row r="2248" spans="1:15" x14ac:dyDescent="0.25">
      <c r="A2248" s="18" t="s">
        <v>7276</v>
      </c>
      <c r="B2248" s="18" t="s">
        <v>205</v>
      </c>
      <c r="C2248" s="18" t="s">
        <v>206</v>
      </c>
      <c r="D2248" s="18" t="s">
        <v>15</v>
      </c>
      <c r="E2248" s="18" t="s">
        <v>7789</v>
      </c>
      <c r="F2248" s="2">
        <f>+J2248-I2248</f>
        <v>1</v>
      </c>
      <c r="G2248" s="2">
        <f ca="1">+TODAY()-I2248</f>
        <v>1</v>
      </c>
      <c r="H2248" s="15">
        <v>147365</v>
      </c>
      <c r="I2248" s="1">
        <v>46119</v>
      </c>
      <c r="J2248" s="1">
        <v>46120</v>
      </c>
      <c r="K2248" s="18" t="s">
        <v>918</v>
      </c>
      <c r="L2248" s="18" t="s">
        <v>312</v>
      </c>
      <c r="M2248" s="18" t="s">
        <v>19</v>
      </c>
      <c r="N2248" s="18" t="s">
        <v>149</v>
      </c>
      <c r="O2248">
        <v>1</v>
      </c>
    </row>
    <row r="2249" spans="1:15" x14ac:dyDescent="0.25">
      <c r="A2249" s="18" t="s">
        <v>7276</v>
      </c>
      <c r="B2249" s="18" t="s">
        <v>205</v>
      </c>
      <c r="C2249" s="18" t="s">
        <v>206</v>
      </c>
      <c r="D2249" s="18" t="s">
        <v>15</v>
      </c>
      <c r="E2249" s="18" t="s">
        <v>7790</v>
      </c>
      <c r="F2249" s="2">
        <f>+J2249-I2249</f>
        <v>1</v>
      </c>
      <c r="G2249" s="2">
        <f ca="1">+TODAY()-I2249</f>
        <v>1</v>
      </c>
      <c r="H2249" s="15">
        <v>2100000</v>
      </c>
      <c r="I2249" s="1">
        <v>46119</v>
      </c>
      <c r="J2249" s="1">
        <v>46120</v>
      </c>
      <c r="K2249" s="18" t="s">
        <v>918</v>
      </c>
      <c r="L2249" s="18" t="s">
        <v>312</v>
      </c>
      <c r="M2249" s="18" t="s">
        <v>19</v>
      </c>
      <c r="N2249" s="18" t="s">
        <v>149</v>
      </c>
      <c r="O2249">
        <v>1</v>
      </c>
    </row>
    <row r="2250" spans="1:15" x14ac:dyDescent="0.25">
      <c r="A2250" s="18" t="s">
        <v>7276</v>
      </c>
      <c r="B2250" s="18" t="s">
        <v>205</v>
      </c>
      <c r="C2250" s="18" t="s">
        <v>206</v>
      </c>
      <c r="D2250" s="18" t="s">
        <v>15</v>
      </c>
      <c r="E2250" s="18" t="s">
        <v>7791</v>
      </c>
      <c r="F2250" s="2">
        <f>+J2250-I2250</f>
        <v>1</v>
      </c>
      <c r="G2250" s="2">
        <f ca="1">+TODAY()-I2250</f>
        <v>1</v>
      </c>
      <c r="H2250" s="15">
        <v>250643</v>
      </c>
      <c r="I2250" s="1">
        <v>46119</v>
      </c>
      <c r="J2250" s="1">
        <v>46120</v>
      </c>
      <c r="K2250" s="18" t="s">
        <v>918</v>
      </c>
      <c r="L2250" s="18" t="s">
        <v>312</v>
      </c>
      <c r="M2250" s="18" t="s">
        <v>19</v>
      </c>
      <c r="N2250" s="18" t="s">
        <v>149</v>
      </c>
      <c r="O2250">
        <v>1</v>
      </c>
    </row>
    <row r="2251" spans="1:15" x14ac:dyDescent="0.25">
      <c r="A2251" s="18" t="s">
        <v>7276</v>
      </c>
      <c r="B2251" s="18" t="s">
        <v>205</v>
      </c>
      <c r="C2251" s="18" t="s">
        <v>206</v>
      </c>
      <c r="D2251" s="18" t="s">
        <v>15</v>
      </c>
      <c r="E2251" s="18" t="s">
        <v>7793</v>
      </c>
      <c r="F2251" s="2">
        <f>+J2251-I2251</f>
        <v>1</v>
      </c>
      <c r="G2251" s="2">
        <f ca="1">+TODAY()-I2251</f>
        <v>1</v>
      </c>
      <c r="H2251" s="15">
        <v>136705</v>
      </c>
      <c r="I2251" s="1">
        <v>46119</v>
      </c>
      <c r="J2251" s="1">
        <v>46120</v>
      </c>
      <c r="K2251" s="18" t="s">
        <v>918</v>
      </c>
      <c r="L2251" s="18" t="s">
        <v>312</v>
      </c>
      <c r="M2251" s="18" t="s">
        <v>19</v>
      </c>
      <c r="N2251" s="18" t="s">
        <v>149</v>
      </c>
      <c r="O2251">
        <v>1</v>
      </c>
    </row>
    <row r="2252" spans="1:15" x14ac:dyDescent="0.25">
      <c r="A2252" s="18" t="s">
        <v>7276</v>
      </c>
      <c r="B2252" s="18" t="s">
        <v>205</v>
      </c>
      <c r="C2252" s="18" t="s">
        <v>206</v>
      </c>
      <c r="D2252" s="18" t="s">
        <v>15</v>
      </c>
      <c r="E2252" s="18" t="s">
        <v>7037</v>
      </c>
      <c r="F2252" s="2">
        <f>+J2252-I2252</f>
        <v>1</v>
      </c>
      <c r="G2252" s="2">
        <f ca="1">+TODAY()-I2252</f>
        <v>8</v>
      </c>
      <c r="H2252" s="15">
        <v>795725</v>
      </c>
      <c r="I2252" s="1">
        <v>46112</v>
      </c>
      <c r="J2252" s="1">
        <v>46113</v>
      </c>
      <c r="K2252" s="18" t="s">
        <v>989</v>
      </c>
      <c r="L2252" s="18" t="s">
        <v>18</v>
      </c>
      <c r="M2252" s="18" t="s">
        <v>19</v>
      </c>
      <c r="N2252" s="18" t="s">
        <v>149</v>
      </c>
      <c r="O2252">
        <v>1</v>
      </c>
    </row>
    <row r="2253" spans="1:15" x14ac:dyDescent="0.25">
      <c r="A2253" s="18" t="s">
        <v>7276</v>
      </c>
      <c r="B2253" s="18" t="s">
        <v>205</v>
      </c>
      <c r="C2253" s="18" t="s">
        <v>206</v>
      </c>
      <c r="D2253" s="18" t="s">
        <v>15</v>
      </c>
      <c r="E2253" s="18" t="s">
        <v>7040</v>
      </c>
      <c r="F2253" s="2">
        <f>+J2253-I2253</f>
        <v>1</v>
      </c>
      <c r="G2253" s="2">
        <f ca="1">+TODAY()-I2253</f>
        <v>8</v>
      </c>
      <c r="H2253" s="15">
        <v>797300</v>
      </c>
      <c r="I2253" s="1">
        <v>46112</v>
      </c>
      <c r="J2253" s="1">
        <v>46113</v>
      </c>
      <c r="K2253" s="18" t="s">
        <v>989</v>
      </c>
      <c r="L2253" s="18" t="s">
        <v>18</v>
      </c>
      <c r="M2253" s="18" t="s">
        <v>19</v>
      </c>
      <c r="N2253" s="18" t="s">
        <v>149</v>
      </c>
      <c r="O2253">
        <v>1</v>
      </c>
    </row>
    <row r="2254" spans="1:15" x14ac:dyDescent="0.25">
      <c r="A2254" s="18" t="s">
        <v>7276</v>
      </c>
      <c r="B2254" s="18" t="s">
        <v>205</v>
      </c>
      <c r="C2254" s="18" t="s">
        <v>206</v>
      </c>
      <c r="D2254" s="18" t="s">
        <v>15</v>
      </c>
      <c r="E2254" s="18" t="s">
        <v>7041</v>
      </c>
      <c r="F2254" s="2">
        <f>+J2254-I2254</f>
        <v>1</v>
      </c>
      <c r="G2254" s="2">
        <f ca="1">+TODAY()-I2254</f>
        <v>8</v>
      </c>
      <c r="H2254" s="15">
        <v>21</v>
      </c>
      <c r="I2254" s="1">
        <v>46112</v>
      </c>
      <c r="J2254" s="1">
        <v>46113</v>
      </c>
      <c r="K2254" s="18" t="s">
        <v>989</v>
      </c>
      <c r="L2254" s="18" t="s">
        <v>18</v>
      </c>
      <c r="M2254" s="18" t="s">
        <v>19</v>
      </c>
      <c r="N2254" s="18" t="s">
        <v>149</v>
      </c>
      <c r="O2254">
        <v>1</v>
      </c>
    </row>
    <row r="2255" spans="1:15" x14ac:dyDescent="0.25">
      <c r="A2255" s="18" t="s">
        <v>7276</v>
      </c>
      <c r="B2255" s="18" t="s">
        <v>205</v>
      </c>
      <c r="C2255" s="18" t="s">
        <v>206</v>
      </c>
      <c r="D2255" s="18" t="s">
        <v>15</v>
      </c>
      <c r="E2255" s="18" t="s">
        <v>7042</v>
      </c>
      <c r="F2255" s="2">
        <f>+J2255-I2255</f>
        <v>1</v>
      </c>
      <c r="G2255" s="2">
        <f ca="1">+TODAY()-I2255</f>
        <v>8</v>
      </c>
      <c r="H2255" s="15">
        <v>5112072</v>
      </c>
      <c r="I2255" s="1">
        <v>46112</v>
      </c>
      <c r="J2255" s="1">
        <v>46113</v>
      </c>
      <c r="K2255" s="18" t="s">
        <v>989</v>
      </c>
      <c r="L2255" s="18" t="s">
        <v>18</v>
      </c>
      <c r="M2255" s="18" t="s">
        <v>19</v>
      </c>
      <c r="N2255" s="18" t="s">
        <v>149</v>
      </c>
      <c r="O2255">
        <v>1</v>
      </c>
    </row>
    <row r="2256" spans="1:15" x14ac:dyDescent="0.25">
      <c r="A2256" s="18" t="s">
        <v>7276</v>
      </c>
      <c r="B2256" s="18" t="s">
        <v>205</v>
      </c>
      <c r="C2256" s="18" t="s">
        <v>206</v>
      </c>
      <c r="D2256" s="18" t="s">
        <v>15</v>
      </c>
      <c r="E2256" s="18" t="s">
        <v>5104</v>
      </c>
      <c r="F2256" s="2">
        <f>+J2256-I2256</f>
        <v>1</v>
      </c>
      <c r="G2256" s="2">
        <f ca="1">+TODAY()-I2256</f>
        <v>54</v>
      </c>
      <c r="H2256" s="15">
        <v>38504</v>
      </c>
      <c r="I2256" s="1">
        <v>46066</v>
      </c>
      <c r="J2256" s="1">
        <v>46067</v>
      </c>
      <c r="K2256" s="18" t="s">
        <v>1063</v>
      </c>
      <c r="L2256" s="18" t="s">
        <v>981</v>
      </c>
      <c r="M2256" s="18" t="s">
        <v>19</v>
      </c>
      <c r="N2256" s="18" t="s">
        <v>149</v>
      </c>
      <c r="O2256">
        <v>1</v>
      </c>
    </row>
    <row r="2257" spans="1:15" x14ac:dyDescent="0.25">
      <c r="A2257" s="18" t="s">
        <v>7276</v>
      </c>
      <c r="B2257" s="18" t="s">
        <v>205</v>
      </c>
      <c r="C2257" s="18" t="s">
        <v>206</v>
      </c>
      <c r="D2257" s="18" t="s">
        <v>15</v>
      </c>
      <c r="E2257" s="18" t="s">
        <v>6493</v>
      </c>
      <c r="F2257" s="2">
        <f>+J2257-I2257</f>
        <v>1</v>
      </c>
      <c r="G2257" s="2">
        <f ca="1">+TODAY()-I2257</f>
        <v>14</v>
      </c>
      <c r="H2257" s="15">
        <v>1871628</v>
      </c>
      <c r="I2257" s="1">
        <v>46106</v>
      </c>
      <c r="J2257" s="1">
        <v>46107</v>
      </c>
      <c r="K2257" s="18" t="s">
        <v>1063</v>
      </c>
      <c r="L2257" s="18" t="s">
        <v>981</v>
      </c>
      <c r="M2257" s="18" t="s">
        <v>19</v>
      </c>
      <c r="N2257" s="18" t="s">
        <v>149</v>
      </c>
      <c r="O2257">
        <v>1</v>
      </c>
    </row>
    <row r="2258" spans="1:15" x14ac:dyDescent="0.25">
      <c r="A2258" s="18" t="s">
        <v>7276</v>
      </c>
      <c r="B2258" s="18" t="s">
        <v>205</v>
      </c>
      <c r="C2258" s="18" t="s">
        <v>206</v>
      </c>
      <c r="D2258" s="18" t="s">
        <v>15</v>
      </c>
      <c r="E2258" s="18" t="s">
        <v>6494</v>
      </c>
      <c r="F2258" s="2">
        <f>+J2258-I2258</f>
        <v>1</v>
      </c>
      <c r="G2258" s="2">
        <f ca="1">+TODAY()-I2258</f>
        <v>14</v>
      </c>
      <c r="H2258" s="15">
        <v>5337282</v>
      </c>
      <c r="I2258" s="1">
        <v>46106</v>
      </c>
      <c r="J2258" s="1">
        <v>46107</v>
      </c>
      <c r="K2258" s="18" t="s">
        <v>1063</v>
      </c>
      <c r="L2258" s="18" t="s">
        <v>981</v>
      </c>
      <c r="M2258" s="18" t="s">
        <v>19</v>
      </c>
      <c r="N2258" s="18" t="s">
        <v>149</v>
      </c>
      <c r="O2258">
        <v>1</v>
      </c>
    </row>
    <row r="2259" spans="1:15" x14ac:dyDescent="0.25">
      <c r="A2259" s="18" t="s">
        <v>7276</v>
      </c>
      <c r="B2259" s="18" t="s">
        <v>205</v>
      </c>
      <c r="C2259" s="18" t="s">
        <v>206</v>
      </c>
      <c r="D2259" s="18" t="s">
        <v>15</v>
      </c>
      <c r="E2259" s="18" t="s">
        <v>7506</v>
      </c>
      <c r="F2259" s="2">
        <f>+J2259-I2259</f>
        <v>1</v>
      </c>
      <c r="G2259" s="2">
        <f ca="1">+TODAY()-I2259</f>
        <v>2</v>
      </c>
      <c r="H2259" s="15">
        <v>88188</v>
      </c>
      <c r="I2259" s="1">
        <v>46118</v>
      </c>
      <c r="J2259" s="1">
        <v>46119</v>
      </c>
      <c r="K2259" s="18" t="s">
        <v>1068</v>
      </c>
      <c r="L2259" s="18" t="s">
        <v>321</v>
      </c>
      <c r="M2259" s="18" t="s">
        <v>19</v>
      </c>
      <c r="N2259" s="18" t="s">
        <v>149</v>
      </c>
      <c r="O2259">
        <v>1</v>
      </c>
    </row>
    <row r="2260" spans="1:15" x14ac:dyDescent="0.25">
      <c r="A2260" s="18" t="s">
        <v>7276</v>
      </c>
      <c r="B2260" s="18" t="s">
        <v>205</v>
      </c>
      <c r="C2260" s="18" t="s">
        <v>206</v>
      </c>
      <c r="D2260" s="18" t="s">
        <v>15</v>
      </c>
      <c r="E2260" s="18" t="s">
        <v>7548</v>
      </c>
      <c r="F2260" s="2">
        <f>+J2260-I2260</f>
        <v>1</v>
      </c>
      <c r="G2260" s="2">
        <f ca="1">+TODAY()-I2260</f>
        <v>2</v>
      </c>
      <c r="H2260" s="15">
        <v>156001</v>
      </c>
      <c r="I2260" s="1">
        <v>46118</v>
      </c>
      <c r="J2260" s="1">
        <v>46119</v>
      </c>
      <c r="K2260" s="18" t="s">
        <v>1144</v>
      </c>
      <c r="L2260" s="18" t="s">
        <v>207</v>
      </c>
      <c r="M2260" s="18" t="s">
        <v>19</v>
      </c>
      <c r="N2260" s="18" t="s">
        <v>149</v>
      </c>
      <c r="O2260">
        <v>1</v>
      </c>
    </row>
    <row r="2261" spans="1:15" x14ac:dyDescent="0.25">
      <c r="A2261" s="18" t="s">
        <v>7276</v>
      </c>
      <c r="B2261" s="18" t="s">
        <v>205</v>
      </c>
      <c r="C2261" s="18" t="s">
        <v>206</v>
      </c>
      <c r="D2261" s="18" t="s">
        <v>15</v>
      </c>
      <c r="E2261" s="18" t="s">
        <v>7549</v>
      </c>
      <c r="F2261" s="2">
        <f>+J2261-I2261</f>
        <v>1</v>
      </c>
      <c r="G2261" s="2">
        <f ca="1">+TODAY()-I2261</f>
        <v>2</v>
      </c>
      <c r="H2261" s="15">
        <v>3792816</v>
      </c>
      <c r="I2261" s="1">
        <v>46118</v>
      </c>
      <c r="J2261" s="1">
        <v>46119</v>
      </c>
      <c r="K2261" s="18" t="s">
        <v>1144</v>
      </c>
      <c r="L2261" s="18" t="s">
        <v>207</v>
      </c>
      <c r="M2261" s="18" t="s">
        <v>19</v>
      </c>
      <c r="N2261" s="18" t="s">
        <v>149</v>
      </c>
      <c r="O2261">
        <v>1</v>
      </c>
    </row>
    <row r="2262" spans="1:15" x14ac:dyDescent="0.25">
      <c r="A2262" s="18" t="s">
        <v>7276</v>
      </c>
      <c r="B2262" s="18" t="s">
        <v>205</v>
      </c>
      <c r="C2262" s="18" t="s">
        <v>206</v>
      </c>
      <c r="D2262" s="18" t="s">
        <v>15</v>
      </c>
      <c r="E2262" s="18" t="s">
        <v>7138</v>
      </c>
      <c r="F2262" s="2">
        <f>+J2262-I2262</f>
        <v>1</v>
      </c>
      <c r="G2262" s="2">
        <f ca="1">+TODAY()-I2262</f>
        <v>8</v>
      </c>
      <c r="H2262" s="15">
        <v>13</v>
      </c>
      <c r="I2262" s="1">
        <v>46112</v>
      </c>
      <c r="J2262" s="1">
        <v>46113</v>
      </c>
      <c r="K2262" s="18" t="s">
        <v>1233</v>
      </c>
      <c r="L2262" s="18" t="s">
        <v>18</v>
      </c>
      <c r="M2262" s="18" t="s">
        <v>19</v>
      </c>
      <c r="N2262" s="18" t="s">
        <v>149</v>
      </c>
      <c r="O2262">
        <v>1</v>
      </c>
    </row>
    <row r="2263" spans="1:15" x14ac:dyDescent="0.25">
      <c r="A2263" s="18" t="s">
        <v>7276</v>
      </c>
      <c r="B2263" s="18" t="s">
        <v>205</v>
      </c>
      <c r="C2263" s="18" t="s">
        <v>206</v>
      </c>
      <c r="D2263" s="18" t="s">
        <v>15</v>
      </c>
      <c r="E2263" s="18" t="s">
        <v>7139</v>
      </c>
      <c r="F2263" s="2">
        <f>+J2263-I2263</f>
        <v>1</v>
      </c>
      <c r="G2263" s="2">
        <f ca="1">+TODAY()-I2263</f>
        <v>8</v>
      </c>
      <c r="H2263" s="15">
        <v>3067243</v>
      </c>
      <c r="I2263" s="1">
        <v>46112</v>
      </c>
      <c r="J2263" s="1">
        <v>46113</v>
      </c>
      <c r="K2263" s="18" t="s">
        <v>1233</v>
      </c>
      <c r="L2263" s="18" t="s">
        <v>18</v>
      </c>
      <c r="M2263" s="18" t="s">
        <v>19</v>
      </c>
      <c r="N2263" s="18" t="s">
        <v>149</v>
      </c>
      <c r="O2263">
        <v>1</v>
      </c>
    </row>
    <row r="2264" spans="1:15" x14ac:dyDescent="0.25">
      <c r="A2264" s="18" t="s">
        <v>7276</v>
      </c>
      <c r="B2264" s="18" t="s">
        <v>205</v>
      </c>
      <c r="C2264" s="18" t="s">
        <v>206</v>
      </c>
      <c r="D2264" s="18" t="s">
        <v>15</v>
      </c>
      <c r="E2264" s="18" t="s">
        <v>7140</v>
      </c>
      <c r="F2264" s="2">
        <f>+J2264-I2264</f>
        <v>1</v>
      </c>
      <c r="G2264" s="2">
        <f ca="1">+TODAY()-I2264</f>
        <v>8</v>
      </c>
      <c r="H2264" s="15">
        <v>1709485</v>
      </c>
      <c r="I2264" s="1">
        <v>46112</v>
      </c>
      <c r="J2264" s="1">
        <v>46113</v>
      </c>
      <c r="K2264" s="18" t="s">
        <v>1233</v>
      </c>
      <c r="L2264" s="18" t="s">
        <v>117</v>
      </c>
      <c r="M2264" s="18" t="s">
        <v>19</v>
      </c>
      <c r="N2264" s="18" t="s">
        <v>149</v>
      </c>
      <c r="O2264">
        <v>1</v>
      </c>
    </row>
    <row r="2265" spans="1:15" x14ac:dyDescent="0.25">
      <c r="A2265" s="18" t="s">
        <v>7276</v>
      </c>
      <c r="B2265" s="18" t="s">
        <v>205</v>
      </c>
      <c r="C2265" s="18" t="s">
        <v>206</v>
      </c>
      <c r="D2265" s="18" t="s">
        <v>15</v>
      </c>
      <c r="E2265" s="18" t="s">
        <v>7141</v>
      </c>
      <c r="F2265" s="2">
        <f>+J2265-I2265</f>
        <v>1</v>
      </c>
      <c r="G2265" s="2">
        <f ca="1">+TODAY()-I2265</f>
        <v>8</v>
      </c>
      <c r="H2265" s="15">
        <v>746729</v>
      </c>
      <c r="I2265" s="1">
        <v>46112</v>
      </c>
      <c r="J2265" s="1">
        <v>46113</v>
      </c>
      <c r="K2265" s="18" t="s">
        <v>1233</v>
      </c>
      <c r="L2265" s="18" t="s">
        <v>47</v>
      </c>
      <c r="M2265" s="18" t="s">
        <v>19</v>
      </c>
      <c r="N2265" s="18" t="s">
        <v>149</v>
      </c>
      <c r="O2265">
        <v>1</v>
      </c>
    </row>
    <row r="2266" spans="1:15" x14ac:dyDescent="0.25">
      <c r="A2266" s="18" t="s">
        <v>7276</v>
      </c>
      <c r="B2266" s="18" t="s">
        <v>205</v>
      </c>
      <c r="C2266" s="18" t="s">
        <v>206</v>
      </c>
      <c r="D2266" s="18" t="s">
        <v>15</v>
      </c>
      <c r="E2266" s="18" t="s">
        <v>7798</v>
      </c>
      <c r="F2266" s="2">
        <f>+J2266-I2266</f>
        <v>1</v>
      </c>
      <c r="G2266" s="2">
        <f ca="1">+TODAY()-I2266</f>
        <v>1</v>
      </c>
      <c r="H2266" s="15">
        <v>2530428</v>
      </c>
      <c r="I2266" s="1">
        <v>46119</v>
      </c>
      <c r="J2266" s="1">
        <v>46120</v>
      </c>
      <c r="K2266" s="18" t="s">
        <v>1300</v>
      </c>
      <c r="L2266" s="18" t="s">
        <v>90</v>
      </c>
      <c r="M2266" s="18" t="s">
        <v>19</v>
      </c>
      <c r="N2266" s="18" t="s">
        <v>149</v>
      </c>
      <c r="O2266">
        <v>1</v>
      </c>
    </row>
    <row r="2267" spans="1:15" x14ac:dyDescent="0.25">
      <c r="A2267" s="18" t="s">
        <v>7276</v>
      </c>
      <c r="B2267" s="18" t="s">
        <v>205</v>
      </c>
      <c r="C2267" s="18" t="s">
        <v>206</v>
      </c>
      <c r="D2267" s="18" t="s">
        <v>15</v>
      </c>
      <c r="E2267" s="18" t="s">
        <v>7802</v>
      </c>
      <c r="F2267" s="2">
        <f>+J2267-I2267</f>
        <v>1</v>
      </c>
      <c r="G2267" s="2">
        <f ca="1">+TODAY()-I2267</f>
        <v>1</v>
      </c>
      <c r="H2267" s="15">
        <v>445809</v>
      </c>
      <c r="I2267" s="1">
        <v>46119</v>
      </c>
      <c r="J2267" s="1">
        <v>46120</v>
      </c>
      <c r="K2267" s="18" t="s">
        <v>1300</v>
      </c>
      <c r="L2267" s="18" t="s">
        <v>90</v>
      </c>
      <c r="M2267" s="18" t="s">
        <v>19</v>
      </c>
      <c r="N2267" s="18" t="s">
        <v>149</v>
      </c>
      <c r="O2267">
        <v>1</v>
      </c>
    </row>
    <row r="2268" spans="1:15" x14ac:dyDescent="0.25">
      <c r="A2268" s="18" t="s">
        <v>7276</v>
      </c>
      <c r="B2268" s="18" t="s">
        <v>205</v>
      </c>
      <c r="C2268" s="18" t="s">
        <v>206</v>
      </c>
      <c r="D2268" s="18" t="s">
        <v>15</v>
      </c>
      <c r="E2268" s="18" t="s">
        <v>6563</v>
      </c>
      <c r="F2268" s="2">
        <f>+J2268-I2268</f>
        <v>1</v>
      </c>
      <c r="G2268" s="2">
        <f ca="1">+TODAY()-I2268</f>
        <v>14</v>
      </c>
      <c r="H2268" s="15">
        <v>19128</v>
      </c>
      <c r="I2268" s="1">
        <v>46106</v>
      </c>
      <c r="J2268" s="1">
        <v>46107</v>
      </c>
      <c r="K2268" s="18" t="s">
        <v>1325</v>
      </c>
      <c r="L2268" s="18" t="s">
        <v>90</v>
      </c>
      <c r="M2268" s="18" t="s">
        <v>19</v>
      </c>
      <c r="N2268" s="18" t="s">
        <v>149</v>
      </c>
      <c r="O2268">
        <v>1</v>
      </c>
    </row>
    <row r="2269" spans="1:15" x14ac:dyDescent="0.25">
      <c r="A2269" s="18" t="s">
        <v>7276</v>
      </c>
      <c r="B2269" s="18" t="s">
        <v>205</v>
      </c>
      <c r="C2269" s="18" t="s">
        <v>206</v>
      </c>
      <c r="D2269" s="18" t="s">
        <v>15</v>
      </c>
      <c r="E2269" s="18" t="s">
        <v>6576</v>
      </c>
      <c r="F2269" s="2">
        <f>+J2269-I2269</f>
        <v>1</v>
      </c>
      <c r="G2269" s="2">
        <f ca="1">+TODAY()-I2269</f>
        <v>13</v>
      </c>
      <c r="H2269" s="15">
        <v>78500</v>
      </c>
      <c r="I2269" s="1">
        <v>46107</v>
      </c>
      <c r="J2269" s="1">
        <v>46108</v>
      </c>
      <c r="K2269" s="18" t="s">
        <v>1325</v>
      </c>
      <c r="L2269" s="18" t="s">
        <v>90</v>
      </c>
      <c r="M2269" s="18" t="s">
        <v>19</v>
      </c>
      <c r="N2269" s="18" t="s">
        <v>149</v>
      </c>
      <c r="O2269">
        <v>1</v>
      </c>
    </row>
    <row r="2270" spans="1:15" x14ac:dyDescent="0.25">
      <c r="A2270" s="18" t="s">
        <v>7276</v>
      </c>
      <c r="B2270" s="18" t="s">
        <v>205</v>
      </c>
      <c r="C2270" s="18" t="s">
        <v>206</v>
      </c>
      <c r="D2270" s="18" t="s">
        <v>15</v>
      </c>
      <c r="E2270" s="18" t="s">
        <v>6581</v>
      </c>
      <c r="F2270" s="2">
        <f>+J2270-I2270</f>
        <v>1</v>
      </c>
      <c r="G2270" s="2">
        <f ca="1">+TODAY()-I2270</f>
        <v>13</v>
      </c>
      <c r="H2270" s="15">
        <v>1688135</v>
      </c>
      <c r="I2270" s="1">
        <v>46107</v>
      </c>
      <c r="J2270" s="1">
        <v>46108</v>
      </c>
      <c r="K2270" s="18" t="s">
        <v>1325</v>
      </c>
      <c r="L2270" s="18" t="s">
        <v>90</v>
      </c>
      <c r="M2270" s="18" t="s">
        <v>19</v>
      </c>
      <c r="N2270" s="18" t="s">
        <v>149</v>
      </c>
      <c r="O2270">
        <v>1</v>
      </c>
    </row>
    <row r="2271" spans="1:15" x14ac:dyDescent="0.25">
      <c r="A2271" s="18" t="s">
        <v>7276</v>
      </c>
      <c r="B2271" s="18" t="s">
        <v>205</v>
      </c>
      <c r="C2271" s="18" t="s">
        <v>206</v>
      </c>
      <c r="D2271" s="18" t="s">
        <v>15</v>
      </c>
      <c r="E2271" s="18" t="s">
        <v>7197</v>
      </c>
      <c r="F2271" s="2">
        <f>+J2271-I2271</f>
        <v>1</v>
      </c>
      <c r="G2271" s="2">
        <f ca="1">+TODAY()-I2271</f>
        <v>8</v>
      </c>
      <c r="H2271" s="15">
        <v>257547</v>
      </c>
      <c r="I2271" s="1">
        <v>46112</v>
      </c>
      <c r="J2271" s="1">
        <v>46113</v>
      </c>
      <c r="K2271" s="18" t="s">
        <v>1403</v>
      </c>
      <c r="L2271" s="18" t="s">
        <v>90</v>
      </c>
      <c r="M2271" s="18" t="s">
        <v>19</v>
      </c>
      <c r="N2271" s="18" t="s">
        <v>149</v>
      </c>
      <c r="O2271">
        <v>1</v>
      </c>
    </row>
    <row r="2272" spans="1:15" x14ac:dyDescent="0.25">
      <c r="A2272" s="18" t="s">
        <v>7276</v>
      </c>
      <c r="B2272" s="18" t="s">
        <v>205</v>
      </c>
      <c r="C2272" s="18" t="s">
        <v>206</v>
      </c>
      <c r="D2272" s="18" t="s">
        <v>15</v>
      </c>
      <c r="E2272" s="18" t="s">
        <v>7203</v>
      </c>
      <c r="F2272" s="2">
        <f>+J2272-I2272</f>
        <v>1</v>
      </c>
      <c r="G2272" s="2">
        <f ca="1">+TODAY()-I2272</f>
        <v>8</v>
      </c>
      <c r="H2272" s="15">
        <v>448429</v>
      </c>
      <c r="I2272" s="1">
        <v>46112</v>
      </c>
      <c r="J2272" s="1">
        <v>46113</v>
      </c>
      <c r="K2272" s="18" t="s">
        <v>1403</v>
      </c>
      <c r="L2272" s="18" t="s">
        <v>90</v>
      </c>
      <c r="M2272" s="18" t="s">
        <v>19</v>
      </c>
      <c r="N2272" s="18" t="s">
        <v>149</v>
      </c>
      <c r="O2272">
        <v>1</v>
      </c>
    </row>
    <row r="2273" spans="1:15" x14ac:dyDescent="0.25">
      <c r="A2273" s="18" t="s">
        <v>7276</v>
      </c>
      <c r="B2273" s="18" t="s">
        <v>205</v>
      </c>
      <c r="C2273" s="18" t="s">
        <v>206</v>
      </c>
      <c r="D2273" s="18" t="s">
        <v>15</v>
      </c>
      <c r="E2273" s="18" t="s">
        <v>2677</v>
      </c>
      <c r="F2273" s="2">
        <f>+J2273-I2273</f>
        <v>1</v>
      </c>
      <c r="G2273" s="2">
        <f ca="1">+TODAY()-I2273</f>
        <v>110</v>
      </c>
      <c r="H2273" s="15">
        <v>120000</v>
      </c>
      <c r="I2273" s="1">
        <v>46010</v>
      </c>
      <c r="J2273" s="1">
        <v>46011</v>
      </c>
      <c r="K2273" s="18" t="s">
        <v>1470</v>
      </c>
      <c r="L2273" s="18" t="s">
        <v>981</v>
      </c>
      <c r="M2273" s="18" t="s">
        <v>19</v>
      </c>
      <c r="N2273" s="18" t="s">
        <v>149</v>
      </c>
      <c r="O2273">
        <v>1</v>
      </c>
    </row>
    <row r="2274" spans="1:15" x14ac:dyDescent="0.25">
      <c r="A2274" s="18" t="s">
        <v>7276</v>
      </c>
      <c r="B2274" s="18" t="s">
        <v>205</v>
      </c>
      <c r="C2274" s="18" t="s">
        <v>206</v>
      </c>
      <c r="D2274" s="18" t="s">
        <v>15</v>
      </c>
      <c r="E2274" s="18" t="s">
        <v>7213</v>
      </c>
      <c r="F2274" s="2">
        <f>+J2274-I2274</f>
        <v>1</v>
      </c>
      <c r="G2274" s="2">
        <f ca="1">+TODAY()-I2274</f>
        <v>8</v>
      </c>
      <c r="H2274" s="15">
        <v>110214</v>
      </c>
      <c r="I2274" s="1">
        <v>46112</v>
      </c>
      <c r="J2274" s="1">
        <v>46113</v>
      </c>
      <c r="K2274" s="18" t="s">
        <v>1470</v>
      </c>
      <c r="L2274" s="18" t="s">
        <v>981</v>
      </c>
      <c r="M2274" s="18" t="s">
        <v>19</v>
      </c>
      <c r="N2274" s="18" t="s">
        <v>149</v>
      </c>
      <c r="O2274">
        <v>1</v>
      </c>
    </row>
    <row r="2275" spans="1:15" x14ac:dyDescent="0.25">
      <c r="A2275" s="18" t="s">
        <v>7276</v>
      </c>
      <c r="B2275" s="18" t="s">
        <v>205</v>
      </c>
      <c r="C2275" s="18" t="s">
        <v>206</v>
      </c>
      <c r="D2275" s="18" t="s">
        <v>15</v>
      </c>
      <c r="E2275" s="18" t="s">
        <v>7214</v>
      </c>
      <c r="F2275" s="2">
        <f>+J2275-I2275</f>
        <v>1</v>
      </c>
      <c r="G2275" s="2">
        <f ca="1">+TODAY()-I2275</f>
        <v>8</v>
      </c>
      <c r="H2275" s="15">
        <v>1659907</v>
      </c>
      <c r="I2275" s="1">
        <v>46112</v>
      </c>
      <c r="J2275" s="1">
        <v>46113</v>
      </c>
      <c r="K2275" s="18" t="s">
        <v>1470</v>
      </c>
      <c r="L2275" s="18" t="s">
        <v>981</v>
      </c>
      <c r="M2275" s="18" t="s">
        <v>19</v>
      </c>
      <c r="N2275" s="18" t="s">
        <v>149</v>
      </c>
      <c r="O2275">
        <v>1</v>
      </c>
    </row>
    <row r="2276" spans="1:15" x14ac:dyDescent="0.25">
      <c r="A2276" s="18" t="s">
        <v>7276</v>
      </c>
      <c r="B2276" s="18" t="s">
        <v>205</v>
      </c>
      <c r="C2276" s="18" t="s">
        <v>206</v>
      </c>
      <c r="D2276" s="18" t="s">
        <v>15</v>
      </c>
      <c r="E2276" s="18" t="s">
        <v>6659</v>
      </c>
      <c r="F2276" s="2">
        <f>+J2276-I2276</f>
        <v>1</v>
      </c>
      <c r="G2276" s="2">
        <f ca="1">+TODAY()-I2276</f>
        <v>14</v>
      </c>
      <c r="H2276" s="15">
        <v>342400</v>
      </c>
      <c r="I2276" s="1">
        <v>46106</v>
      </c>
      <c r="J2276" s="1">
        <v>46107</v>
      </c>
      <c r="K2276" s="18" t="s">
        <v>1589</v>
      </c>
      <c r="L2276" s="18" t="s">
        <v>984</v>
      </c>
      <c r="M2276" s="18" t="s">
        <v>19</v>
      </c>
      <c r="N2276" s="18" t="s">
        <v>149</v>
      </c>
      <c r="O2276">
        <v>1</v>
      </c>
    </row>
    <row r="2277" spans="1:15" x14ac:dyDescent="0.25">
      <c r="A2277" s="18" t="s">
        <v>7276</v>
      </c>
      <c r="B2277" s="18" t="s">
        <v>205</v>
      </c>
      <c r="C2277" s="18" t="s">
        <v>206</v>
      </c>
      <c r="D2277" s="18" t="s">
        <v>15</v>
      </c>
      <c r="E2277" s="18" t="s">
        <v>7226</v>
      </c>
      <c r="F2277" s="2">
        <f>+J2277-I2277</f>
        <v>1</v>
      </c>
      <c r="G2277" s="2">
        <f ca="1">+TODAY()-I2277</f>
        <v>11</v>
      </c>
      <c r="H2277" s="15">
        <v>13408</v>
      </c>
      <c r="I2277" s="1">
        <v>46109</v>
      </c>
      <c r="J2277" s="1">
        <v>46110</v>
      </c>
      <c r="K2277" s="18" t="s">
        <v>1589</v>
      </c>
      <c r="L2277" s="18" t="s">
        <v>984</v>
      </c>
      <c r="M2277" s="18" t="s">
        <v>19</v>
      </c>
      <c r="N2277" s="18" t="s">
        <v>149</v>
      </c>
      <c r="O2277">
        <v>1</v>
      </c>
    </row>
    <row r="2278" spans="1:15" x14ac:dyDescent="0.25">
      <c r="A2278" s="18" t="s">
        <v>7276</v>
      </c>
      <c r="B2278" s="18" t="s">
        <v>205</v>
      </c>
      <c r="C2278" s="18" t="s">
        <v>206</v>
      </c>
      <c r="D2278" s="18" t="s">
        <v>15</v>
      </c>
      <c r="E2278" s="18" t="s">
        <v>7227</v>
      </c>
      <c r="F2278" s="2">
        <f>+J2278-I2278</f>
        <v>1</v>
      </c>
      <c r="G2278" s="2">
        <f ca="1">+TODAY()-I2278</f>
        <v>11</v>
      </c>
      <c r="H2278" s="15">
        <v>45588</v>
      </c>
      <c r="I2278" s="1">
        <v>46109</v>
      </c>
      <c r="J2278" s="1">
        <v>46110</v>
      </c>
      <c r="K2278" s="18" t="s">
        <v>1589</v>
      </c>
      <c r="L2278" s="18" t="s">
        <v>984</v>
      </c>
      <c r="M2278" s="18" t="s">
        <v>19</v>
      </c>
      <c r="N2278" s="18" t="s">
        <v>149</v>
      </c>
      <c r="O2278">
        <v>1</v>
      </c>
    </row>
    <row r="2279" spans="1:15" x14ac:dyDescent="0.25">
      <c r="A2279" s="18" t="s">
        <v>7276</v>
      </c>
      <c r="B2279" s="18" t="s">
        <v>205</v>
      </c>
      <c r="C2279" s="18" t="s">
        <v>206</v>
      </c>
      <c r="D2279" s="18" t="s">
        <v>15</v>
      </c>
      <c r="E2279" s="18" t="s">
        <v>7816</v>
      </c>
      <c r="F2279" s="2">
        <f>+J2279-I2279</f>
        <v>1</v>
      </c>
      <c r="G2279" s="2">
        <f ca="1">+TODAY()-I2279</f>
        <v>1</v>
      </c>
      <c r="H2279" s="15">
        <v>406899</v>
      </c>
      <c r="I2279" s="1">
        <v>46119</v>
      </c>
      <c r="J2279" s="1">
        <v>46120</v>
      </c>
      <c r="K2279" s="18" t="s">
        <v>1589</v>
      </c>
      <c r="L2279" s="18" t="s">
        <v>984</v>
      </c>
      <c r="M2279" s="18" t="s">
        <v>19</v>
      </c>
      <c r="N2279" s="18" t="s">
        <v>149</v>
      </c>
      <c r="O2279">
        <v>1</v>
      </c>
    </row>
    <row r="2280" spans="1:15" x14ac:dyDescent="0.25">
      <c r="A2280" s="18" t="s">
        <v>7276</v>
      </c>
      <c r="B2280" s="18" t="s">
        <v>205</v>
      </c>
      <c r="C2280" s="18" t="s">
        <v>206</v>
      </c>
      <c r="D2280" s="18" t="s">
        <v>15</v>
      </c>
      <c r="E2280" s="18" t="s">
        <v>7824</v>
      </c>
      <c r="F2280" s="2">
        <f>+J2280-I2280</f>
        <v>1</v>
      </c>
      <c r="G2280" s="2">
        <f ca="1">+TODAY()-I2280</f>
        <v>1</v>
      </c>
      <c r="H2280" s="15">
        <v>1451520</v>
      </c>
      <c r="I2280" s="1">
        <v>46119</v>
      </c>
      <c r="J2280" s="1">
        <v>46120</v>
      </c>
      <c r="K2280" s="18" t="s">
        <v>1589</v>
      </c>
      <c r="L2280" s="18" t="s">
        <v>984</v>
      </c>
      <c r="M2280" s="18" t="s">
        <v>19</v>
      </c>
      <c r="N2280" s="18" t="s">
        <v>149</v>
      </c>
      <c r="O2280">
        <v>1</v>
      </c>
    </row>
    <row r="2281" spans="1:15" x14ac:dyDescent="0.25">
      <c r="A2281" s="18" t="s">
        <v>7276</v>
      </c>
      <c r="B2281" s="18" t="s">
        <v>205</v>
      </c>
      <c r="C2281" s="18" t="s">
        <v>206</v>
      </c>
      <c r="D2281" s="18" t="s">
        <v>15</v>
      </c>
      <c r="E2281" s="18" t="s">
        <v>7825</v>
      </c>
      <c r="F2281" s="2">
        <f>+J2281-I2281</f>
        <v>1</v>
      </c>
      <c r="G2281" s="2">
        <f ca="1">+TODAY()-I2281</f>
        <v>1</v>
      </c>
      <c r="H2281" s="15">
        <v>611552</v>
      </c>
      <c r="I2281" s="1">
        <v>46119</v>
      </c>
      <c r="J2281" s="1">
        <v>46120</v>
      </c>
      <c r="K2281" s="18" t="s">
        <v>1589</v>
      </c>
      <c r="L2281" s="18" t="s">
        <v>984</v>
      </c>
      <c r="M2281" s="18" t="s">
        <v>19</v>
      </c>
      <c r="N2281" s="18" t="s">
        <v>149</v>
      </c>
      <c r="O2281">
        <v>1</v>
      </c>
    </row>
    <row r="2282" spans="1:15" x14ac:dyDescent="0.25">
      <c r="A2282" s="18" t="s">
        <v>7276</v>
      </c>
      <c r="B2282" s="18" t="s">
        <v>205</v>
      </c>
      <c r="C2282" s="18" t="s">
        <v>206</v>
      </c>
      <c r="D2282" s="18" t="s">
        <v>15</v>
      </c>
      <c r="E2282" s="18" t="s">
        <v>7837</v>
      </c>
      <c r="F2282" s="2">
        <f>+J2282-I2282</f>
        <v>1</v>
      </c>
      <c r="G2282" s="2">
        <f ca="1">+TODAY()-I2282</f>
        <v>1</v>
      </c>
      <c r="H2282" s="15">
        <v>338937</v>
      </c>
      <c r="I2282" s="1">
        <v>46119</v>
      </c>
      <c r="J2282" s="1">
        <v>46120</v>
      </c>
      <c r="K2282" s="18" t="s">
        <v>1589</v>
      </c>
      <c r="L2282" s="18" t="s">
        <v>984</v>
      </c>
      <c r="M2282" s="18" t="s">
        <v>19</v>
      </c>
      <c r="N2282" s="18" t="s">
        <v>149</v>
      </c>
      <c r="O2282">
        <v>1</v>
      </c>
    </row>
    <row r="2283" spans="1:15" x14ac:dyDescent="0.25">
      <c r="A2283" s="18" t="s">
        <v>7276</v>
      </c>
      <c r="B2283" s="18" t="s">
        <v>205</v>
      </c>
      <c r="C2283" s="18" t="s">
        <v>206</v>
      </c>
      <c r="D2283" s="18" t="s">
        <v>15</v>
      </c>
      <c r="E2283" s="18" t="s">
        <v>7264</v>
      </c>
      <c r="F2283" s="2">
        <f>+J2283-I2283</f>
        <v>1</v>
      </c>
      <c r="G2283" s="2">
        <f ca="1">+TODAY()-I2283</f>
        <v>8</v>
      </c>
      <c r="H2283" s="15">
        <v>84859</v>
      </c>
      <c r="I2283" s="1">
        <v>46112</v>
      </c>
      <c r="J2283" s="1">
        <v>46113</v>
      </c>
      <c r="K2283" s="18" t="s">
        <v>1734</v>
      </c>
      <c r="L2283" s="18" t="s">
        <v>321</v>
      </c>
      <c r="M2283" s="18" t="s">
        <v>19</v>
      </c>
      <c r="N2283" s="18" t="s">
        <v>149</v>
      </c>
      <c r="O2283">
        <v>1</v>
      </c>
    </row>
    <row r="2284" spans="1:15" x14ac:dyDescent="0.25">
      <c r="A2284" s="18" t="s">
        <v>7276</v>
      </c>
      <c r="B2284" s="18" t="s">
        <v>205</v>
      </c>
      <c r="C2284" s="18" t="s">
        <v>206</v>
      </c>
      <c r="D2284" s="18" t="s">
        <v>15</v>
      </c>
      <c r="E2284" s="18" t="s">
        <v>7614</v>
      </c>
      <c r="F2284" s="2">
        <f>+J2284-I2284</f>
        <v>1</v>
      </c>
      <c r="G2284" s="2">
        <f ca="1">+TODAY()-I2284</f>
        <v>7</v>
      </c>
      <c r="H2284" s="15">
        <v>1814294</v>
      </c>
      <c r="I2284" s="1">
        <v>46113</v>
      </c>
      <c r="J2284" s="1">
        <v>46114</v>
      </c>
      <c r="K2284" s="18" t="s">
        <v>1758</v>
      </c>
      <c r="L2284" s="18" t="s">
        <v>207</v>
      </c>
      <c r="M2284" s="18" t="s">
        <v>19</v>
      </c>
      <c r="N2284" s="18" t="s">
        <v>149</v>
      </c>
      <c r="O2284">
        <v>1</v>
      </c>
    </row>
    <row r="2285" spans="1:15" x14ac:dyDescent="0.25">
      <c r="A2285" s="18" t="s">
        <v>7276</v>
      </c>
      <c r="B2285" s="18" t="s">
        <v>6759</v>
      </c>
      <c r="C2285" s="18" t="s">
        <v>6760</v>
      </c>
      <c r="D2285" s="18" t="s">
        <v>15</v>
      </c>
      <c r="E2285" s="18" t="s">
        <v>6817</v>
      </c>
      <c r="F2285" s="2">
        <f>+J2285-I2285</f>
        <v>1</v>
      </c>
      <c r="G2285" s="2">
        <f ca="1">+TODAY()-I2285</f>
        <v>8</v>
      </c>
      <c r="H2285" s="15">
        <v>420000</v>
      </c>
      <c r="I2285" s="1">
        <v>46112</v>
      </c>
      <c r="J2285" s="1">
        <v>46113</v>
      </c>
      <c r="K2285" s="18" t="s">
        <v>17</v>
      </c>
      <c r="L2285" s="18" t="s">
        <v>32</v>
      </c>
      <c r="M2285" s="18" t="s">
        <v>19</v>
      </c>
      <c r="N2285" s="18" t="s">
        <v>20</v>
      </c>
      <c r="O2285">
        <v>1</v>
      </c>
    </row>
    <row r="2286" spans="1:15" x14ac:dyDescent="0.25">
      <c r="A2286" s="18" t="s">
        <v>7276</v>
      </c>
      <c r="B2286" s="18" t="s">
        <v>6759</v>
      </c>
      <c r="C2286" s="18" t="s">
        <v>6760</v>
      </c>
      <c r="D2286" s="18" t="s">
        <v>15</v>
      </c>
      <c r="E2286" s="18" t="s">
        <v>7360</v>
      </c>
      <c r="F2286" s="2">
        <f>+J2286-I2286</f>
        <v>1</v>
      </c>
      <c r="G2286" s="2">
        <f ca="1">+TODAY()-I2286</f>
        <v>1</v>
      </c>
      <c r="H2286" s="15">
        <v>127200</v>
      </c>
      <c r="I2286" s="1">
        <v>46119</v>
      </c>
      <c r="J2286" s="1">
        <v>46120</v>
      </c>
      <c r="K2286" s="18" t="s">
        <v>17</v>
      </c>
      <c r="L2286" s="18" t="s">
        <v>32</v>
      </c>
      <c r="M2286" s="18" t="s">
        <v>19</v>
      </c>
      <c r="N2286" s="18" t="s">
        <v>20</v>
      </c>
      <c r="O2286">
        <v>1</v>
      </c>
    </row>
    <row r="2287" spans="1:15" x14ac:dyDescent="0.25">
      <c r="A2287" s="18" t="s">
        <v>7276</v>
      </c>
      <c r="B2287" s="18" t="s">
        <v>6759</v>
      </c>
      <c r="C2287" s="18" t="s">
        <v>6760</v>
      </c>
      <c r="D2287" s="18" t="s">
        <v>15</v>
      </c>
      <c r="E2287" s="18" t="s">
        <v>7651</v>
      </c>
      <c r="F2287" s="2">
        <f>+J2287-I2287</f>
        <v>1</v>
      </c>
      <c r="G2287" s="2">
        <f ca="1">+TODAY()-I2287</f>
        <v>1</v>
      </c>
      <c r="H2287" s="15">
        <v>140000</v>
      </c>
      <c r="I2287" s="1">
        <v>46119</v>
      </c>
      <c r="J2287" s="1">
        <v>46120</v>
      </c>
      <c r="K2287" s="18" t="s">
        <v>17</v>
      </c>
      <c r="L2287" s="18" t="s">
        <v>32</v>
      </c>
      <c r="M2287" s="18" t="s">
        <v>19</v>
      </c>
      <c r="N2287" s="18" t="s">
        <v>20</v>
      </c>
      <c r="O2287">
        <v>1</v>
      </c>
    </row>
    <row r="2288" spans="1:15" x14ac:dyDescent="0.25">
      <c r="A2288" s="18" t="s">
        <v>7276</v>
      </c>
      <c r="B2288" s="18" t="s">
        <v>2081</v>
      </c>
      <c r="C2288" s="18" t="s">
        <v>2082</v>
      </c>
      <c r="D2288" s="18" t="s">
        <v>1689</v>
      </c>
      <c r="E2288" s="18" t="s">
        <v>7228</v>
      </c>
      <c r="F2288" s="2">
        <f>+J2288-I2288</f>
        <v>30</v>
      </c>
      <c r="G2288" s="2">
        <f ca="1">+TODAY()-I2288</f>
        <v>11</v>
      </c>
      <c r="H2288" s="15">
        <v>1787000</v>
      </c>
      <c r="I2288" s="1">
        <v>46109</v>
      </c>
      <c r="J2288" s="1">
        <v>46139</v>
      </c>
      <c r="K2288" s="18" t="s">
        <v>1691</v>
      </c>
      <c r="L2288" s="18" t="s">
        <v>984</v>
      </c>
      <c r="M2288" s="18" t="s">
        <v>19</v>
      </c>
      <c r="N2288" s="18" t="s">
        <v>2083</v>
      </c>
      <c r="O2288">
        <v>30</v>
      </c>
    </row>
    <row r="2289" spans="1:15" x14ac:dyDescent="0.25">
      <c r="A2289" s="18" t="s">
        <v>7276</v>
      </c>
      <c r="B2289" s="18" t="s">
        <v>2081</v>
      </c>
      <c r="C2289" s="18" t="s">
        <v>2082</v>
      </c>
      <c r="D2289" s="18" t="s">
        <v>1689</v>
      </c>
      <c r="E2289" s="18" t="s">
        <v>7229</v>
      </c>
      <c r="F2289" s="2">
        <f>+J2289-I2289</f>
        <v>30</v>
      </c>
      <c r="G2289" s="2">
        <f ca="1">+TODAY()-I2289</f>
        <v>11</v>
      </c>
      <c r="H2289" s="15">
        <v>2713382</v>
      </c>
      <c r="I2289" s="1">
        <v>46109</v>
      </c>
      <c r="J2289" s="1">
        <v>46139</v>
      </c>
      <c r="K2289" s="18" t="s">
        <v>1691</v>
      </c>
      <c r="L2289" s="18" t="s">
        <v>984</v>
      </c>
      <c r="M2289" s="18" t="s">
        <v>19</v>
      </c>
      <c r="N2289" s="18" t="s">
        <v>2083</v>
      </c>
      <c r="O2289">
        <v>30</v>
      </c>
    </row>
    <row r="2290" spans="1:15" x14ac:dyDescent="0.25">
      <c r="A2290" s="18" t="s">
        <v>7276</v>
      </c>
      <c r="B2290" s="18" t="s">
        <v>1702</v>
      </c>
      <c r="C2290" s="18" t="s">
        <v>1703</v>
      </c>
      <c r="D2290" s="18" t="s">
        <v>1689</v>
      </c>
      <c r="E2290" s="18" t="s">
        <v>6103</v>
      </c>
      <c r="F2290" s="2">
        <f>+J2290-I2290</f>
        <v>30</v>
      </c>
      <c r="G2290" s="2">
        <f ca="1">+TODAY()-I2290</f>
        <v>27</v>
      </c>
      <c r="H2290" s="15">
        <v>1330000</v>
      </c>
      <c r="I2290" s="1">
        <v>46093</v>
      </c>
      <c r="J2290" s="1">
        <v>46123</v>
      </c>
      <c r="K2290" s="18" t="s">
        <v>1691</v>
      </c>
      <c r="L2290" s="18" t="s">
        <v>984</v>
      </c>
      <c r="M2290" s="18" t="s">
        <v>19</v>
      </c>
      <c r="N2290" s="18" t="s">
        <v>1704</v>
      </c>
      <c r="O2290">
        <v>30</v>
      </c>
    </row>
    <row r="2291" spans="1:15" x14ac:dyDescent="0.25">
      <c r="A2291" s="18" t="s">
        <v>7276</v>
      </c>
      <c r="B2291" s="18" t="s">
        <v>1702</v>
      </c>
      <c r="C2291" s="18" t="s">
        <v>1703</v>
      </c>
      <c r="D2291" s="18" t="s">
        <v>1689</v>
      </c>
      <c r="E2291" s="18" t="s">
        <v>6104</v>
      </c>
      <c r="F2291" s="2">
        <f>+J2291-I2291</f>
        <v>30</v>
      </c>
      <c r="G2291" s="2">
        <f ca="1">+TODAY()-I2291</f>
        <v>27</v>
      </c>
      <c r="H2291" s="15">
        <v>3344059</v>
      </c>
      <c r="I2291" s="1">
        <v>46093</v>
      </c>
      <c r="J2291" s="1">
        <v>46123</v>
      </c>
      <c r="K2291" s="18" t="s">
        <v>1691</v>
      </c>
      <c r="L2291" s="18" t="s">
        <v>984</v>
      </c>
      <c r="M2291" s="18" t="s">
        <v>19</v>
      </c>
      <c r="N2291" s="18" t="s">
        <v>1704</v>
      </c>
      <c r="O2291">
        <v>30</v>
      </c>
    </row>
    <row r="2292" spans="1:15" x14ac:dyDescent="0.25">
      <c r="A2292" s="18" t="s">
        <v>7276</v>
      </c>
      <c r="B2292" s="18" t="s">
        <v>1702</v>
      </c>
      <c r="C2292" s="18" t="s">
        <v>1703</v>
      </c>
      <c r="D2292" s="18" t="s">
        <v>1689</v>
      </c>
      <c r="E2292" s="18" t="s">
        <v>6105</v>
      </c>
      <c r="F2292" s="2">
        <f>+J2292-I2292</f>
        <v>30</v>
      </c>
      <c r="G2292" s="2">
        <f ca="1">+TODAY()-I2292</f>
        <v>27</v>
      </c>
      <c r="H2292" s="15">
        <v>1646724</v>
      </c>
      <c r="I2292" s="1">
        <v>46093</v>
      </c>
      <c r="J2292" s="1">
        <v>46123</v>
      </c>
      <c r="K2292" s="18" t="s">
        <v>1691</v>
      </c>
      <c r="L2292" s="18" t="s">
        <v>984</v>
      </c>
      <c r="M2292" s="18" t="s">
        <v>19</v>
      </c>
      <c r="N2292" s="18" t="s">
        <v>1704</v>
      </c>
      <c r="O2292">
        <v>30</v>
      </c>
    </row>
    <row r="2293" spans="1:15" x14ac:dyDescent="0.25">
      <c r="A2293" s="18" t="s">
        <v>7276</v>
      </c>
      <c r="B2293" s="18" t="s">
        <v>1702</v>
      </c>
      <c r="C2293" s="18" t="s">
        <v>1703</v>
      </c>
      <c r="D2293" s="18" t="s">
        <v>1689</v>
      </c>
      <c r="E2293" s="18" t="s">
        <v>7230</v>
      </c>
      <c r="F2293" s="2">
        <f>+J2293-I2293</f>
        <v>30</v>
      </c>
      <c r="G2293" s="2">
        <f ca="1">+TODAY()-I2293</f>
        <v>11</v>
      </c>
      <c r="H2293" s="15">
        <v>901041</v>
      </c>
      <c r="I2293" s="1">
        <v>46109</v>
      </c>
      <c r="J2293" s="1">
        <v>46139</v>
      </c>
      <c r="K2293" s="18" t="s">
        <v>1691</v>
      </c>
      <c r="L2293" s="18" t="s">
        <v>984</v>
      </c>
      <c r="M2293" s="18" t="s">
        <v>19</v>
      </c>
      <c r="N2293" s="18" t="s">
        <v>1704</v>
      </c>
      <c r="O2293">
        <v>30</v>
      </c>
    </row>
    <row r="2294" spans="1:15" x14ac:dyDescent="0.25">
      <c r="A2294" s="18" t="s">
        <v>7276</v>
      </c>
      <c r="B2294" s="18" t="s">
        <v>1702</v>
      </c>
      <c r="C2294" s="18" t="s">
        <v>1703</v>
      </c>
      <c r="D2294" s="18" t="s">
        <v>1689</v>
      </c>
      <c r="E2294" s="18" t="s">
        <v>7231</v>
      </c>
      <c r="F2294" s="2">
        <f>+J2294-I2294</f>
        <v>30</v>
      </c>
      <c r="G2294" s="2">
        <f ca="1">+TODAY()-I2294</f>
        <v>11</v>
      </c>
      <c r="H2294" s="15">
        <v>1</v>
      </c>
      <c r="I2294" s="1">
        <v>46109</v>
      </c>
      <c r="J2294" s="1">
        <v>46139</v>
      </c>
      <c r="K2294" s="18" t="s">
        <v>1691</v>
      </c>
      <c r="L2294" s="18" t="s">
        <v>984</v>
      </c>
      <c r="M2294" s="18" t="s">
        <v>19</v>
      </c>
      <c r="N2294" s="18" t="s">
        <v>1704</v>
      </c>
      <c r="O2294">
        <v>30</v>
      </c>
    </row>
    <row r="2295" spans="1:15" x14ac:dyDescent="0.25">
      <c r="A2295" s="18" t="s">
        <v>7276</v>
      </c>
      <c r="B2295" s="18" t="s">
        <v>1702</v>
      </c>
      <c r="C2295" s="18" t="s">
        <v>1703</v>
      </c>
      <c r="D2295" s="18" t="s">
        <v>1689</v>
      </c>
      <c r="E2295" s="18" t="s">
        <v>7232</v>
      </c>
      <c r="F2295" s="2">
        <f>+J2295-I2295</f>
        <v>30</v>
      </c>
      <c r="G2295" s="2">
        <f ca="1">+TODAY()-I2295</f>
        <v>11</v>
      </c>
      <c r="H2295" s="15">
        <v>1503620</v>
      </c>
      <c r="I2295" s="1">
        <v>46109</v>
      </c>
      <c r="J2295" s="1">
        <v>46139</v>
      </c>
      <c r="K2295" s="18" t="s">
        <v>1691</v>
      </c>
      <c r="L2295" s="18" t="s">
        <v>984</v>
      </c>
      <c r="M2295" s="18" t="s">
        <v>19</v>
      </c>
      <c r="N2295" s="18" t="s">
        <v>1704</v>
      </c>
      <c r="O2295">
        <v>30</v>
      </c>
    </row>
    <row r="2296" spans="1:15" x14ac:dyDescent="0.25">
      <c r="A2296" s="18" t="s">
        <v>7276</v>
      </c>
      <c r="B2296" s="18" t="s">
        <v>1702</v>
      </c>
      <c r="C2296" s="18" t="s">
        <v>1703</v>
      </c>
      <c r="D2296" s="18" t="s">
        <v>1689</v>
      </c>
      <c r="E2296" s="18" t="s">
        <v>7233</v>
      </c>
      <c r="F2296" s="2">
        <f>+J2296-I2296</f>
        <v>30</v>
      </c>
      <c r="G2296" s="2">
        <f ca="1">+TODAY()-I2296</f>
        <v>11</v>
      </c>
      <c r="H2296" s="15">
        <v>1526379</v>
      </c>
      <c r="I2296" s="1">
        <v>46109</v>
      </c>
      <c r="J2296" s="1">
        <v>46139</v>
      </c>
      <c r="K2296" s="18" t="s">
        <v>1691</v>
      </c>
      <c r="L2296" s="18" t="s">
        <v>984</v>
      </c>
      <c r="M2296" s="18" t="s">
        <v>19</v>
      </c>
      <c r="N2296" s="18" t="s">
        <v>1704</v>
      </c>
      <c r="O2296">
        <v>30</v>
      </c>
    </row>
    <row r="2297" spans="1:15" x14ac:dyDescent="0.25">
      <c r="A2297" s="18" t="s">
        <v>7276</v>
      </c>
      <c r="B2297" s="18" t="s">
        <v>3081</v>
      </c>
      <c r="C2297" s="18" t="s">
        <v>3082</v>
      </c>
      <c r="D2297" s="18" t="s">
        <v>1209</v>
      </c>
      <c r="E2297" s="18" t="s">
        <v>5763</v>
      </c>
      <c r="F2297" s="2">
        <f>+J2297-I2297</f>
        <v>20</v>
      </c>
      <c r="G2297" s="2">
        <f ca="1">+TODAY()-I2297</f>
        <v>28</v>
      </c>
      <c r="H2297" s="15">
        <v>244989</v>
      </c>
      <c r="I2297" s="1">
        <v>46092</v>
      </c>
      <c r="J2297" s="1">
        <v>46112</v>
      </c>
      <c r="K2297" s="18" t="s">
        <v>1202</v>
      </c>
      <c r="L2297" s="18" t="s">
        <v>321</v>
      </c>
      <c r="M2297" s="18" t="s">
        <v>19</v>
      </c>
      <c r="N2297" s="18" t="s">
        <v>149</v>
      </c>
      <c r="O2297">
        <v>30</v>
      </c>
    </row>
    <row r="2298" spans="1:15" x14ac:dyDescent="0.25">
      <c r="A2298" s="18" t="s">
        <v>7276</v>
      </c>
      <c r="B2298" s="18" t="s">
        <v>3081</v>
      </c>
      <c r="C2298" s="18" t="s">
        <v>3082</v>
      </c>
      <c r="D2298" s="18" t="s">
        <v>1209</v>
      </c>
      <c r="E2298" s="18" t="s">
        <v>6282</v>
      </c>
      <c r="F2298" s="2">
        <f>+J2298-I2298</f>
        <v>20</v>
      </c>
      <c r="G2298" s="2">
        <f ca="1">+TODAY()-I2298</f>
        <v>21</v>
      </c>
      <c r="H2298" s="15">
        <v>216780</v>
      </c>
      <c r="I2298" s="1">
        <v>46099</v>
      </c>
      <c r="J2298" s="1">
        <v>46119</v>
      </c>
      <c r="K2298" s="18" t="s">
        <v>1202</v>
      </c>
      <c r="L2298" s="18" t="s">
        <v>321</v>
      </c>
      <c r="M2298" s="18" t="s">
        <v>19</v>
      </c>
      <c r="N2298" s="18" t="s">
        <v>149</v>
      </c>
      <c r="O2298">
        <v>30</v>
      </c>
    </row>
    <row r="2299" spans="1:15" x14ac:dyDescent="0.25">
      <c r="A2299" s="18" t="s">
        <v>7276</v>
      </c>
      <c r="B2299" s="18" t="s">
        <v>3081</v>
      </c>
      <c r="C2299" s="18" t="s">
        <v>3082</v>
      </c>
      <c r="D2299" s="18" t="s">
        <v>1209</v>
      </c>
      <c r="E2299" s="18" t="s">
        <v>6531</v>
      </c>
      <c r="F2299" s="2">
        <f>+J2299-I2299</f>
        <v>20</v>
      </c>
      <c r="G2299" s="2">
        <f ca="1">+TODAY()-I2299</f>
        <v>14</v>
      </c>
      <c r="H2299" s="15">
        <v>301579</v>
      </c>
      <c r="I2299" s="1">
        <v>46106</v>
      </c>
      <c r="J2299" s="1">
        <v>46126</v>
      </c>
      <c r="K2299" s="18" t="s">
        <v>1202</v>
      </c>
      <c r="L2299" s="18" t="s">
        <v>321</v>
      </c>
      <c r="M2299" s="18" t="s">
        <v>19</v>
      </c>
      <c r="N2299" s="18" t="s">
        <v>149</v>
      </c>
      <c r="O2299">
        <v>30</v>
      </c>
    </row>
    <row r="2300" spans="1:15" x14ac:dyDescent="0.25">
      <c r="A2300" s="18" t="s">
        <v>7276</v>
      </c>
      <c r="B2300" s="18" t="s">
        <v>1489</v>
      </c>
      <c r="C2300" s="18" t="s">
        <v>1490</v>
      </c>
      <c r="D2300" s="18" t="s">
        <v>1478</v>
      </c>
      <c r="E2300" s="18" t="s">
        <v>1491</v>
      </c>
      <c r="F2300" s="2">
        <f>+J2300-I2300</f>
        <v>30</v>
      </c>
      <c r="G2300" s="2">
        <f ca="1">+TODAY()-I2300</f>
        <v>1757</v>
      </c>
      <c r="H2300" s="15">
        <v>3399936</v>
      </c>
      <c r="I2300" s="1">
        <v>44363</v>
      </c>
      <c r="J2300" s="1">
        <v>44393</v>
      </c>
      <c r="K2300" s="18" t="s">
        <v>1470</v>
      </c>
      <c r="L2300" s="18" t="s">
        <v>981</v>
      </c>
      <c r="M2300" s="18" t="s">
        <v>19</v>
      </c>
      <c r="N2300" s="18" t="s">
        <v>1492</v>
      </c>
      <c r="O2300">
        <v>30</v>
      </c>
    </row>
    <row r="2301" spans="1:15" x14ac:dyDescent="0.25">
      <c r="A2301" s="18" t="s">
        <v>7276</v>
      </c>
      <c r="B2301" s="18" t="s">
        <v>1483</v>
      </c>
      <c r="C2301" s="18" t="s">
        <v>1484</v>
      </c>
      <c r="D2301" s="18" t="s">
        <v>341</v>
      </c>
      <c r="E2301" s="18" t="s">
        <v>6341</v>
      </c>
      <c r="F2301" s="2">
        <f>+J2301-I2301</f>
        <v>30</v>
      </c>
      <c r="G2301" s="2">
        <f ca="1">+TODAY()-I2301</f>
        <v>20</v>
      </c>
      <c r="H2301" s="15">
        <v>294525</v>
      </c>
      <c r="I2301" s="1">
        <v>46100</v>
      </c>
      <c r="J2301" s="1">
        <v>46130</v>
      </c>
      <c r="K2301" s="18" t="s">
        <v>1470</v>
      </c>
      <c r="L2301" s="18" t="s">
        <v>981</v>
      </c>
      <c r="M2301" s="18" t="s">
        <v>19</v>
      </c>
      <c r="N2301" s="18" t="s">
        <v>1485</v>
      </c>
      <c r="O2301">
        <v>30</v>
      </c>
    </row>
    <row r="2302" spans="1:15" x14ac:dyDescent="0.25">
      <c r="A2302" s="18" t="s">
        <v>7276</v>
      </c>
      <c r="B2302" s="18" t="s">
        <v>1483</v>
      </c>
      <c r="C2302" s="18" t="s">
        <v>1484</v>
      </c>
      <c r="D2302" s="18" t="s">
        <v>341</v>
      </c>
      <c r="E2302" s="18" t="s">
        <v>6378</v>
      </c>
      <c r="F2302" s="2">
        <f>+J2302-I2302</f>
        <v>30</v>
      </c>
      <c r="G2302" s="2">
        <f ca="1">+TODAY()-I2302</f>
        <v>19</v>
      </c>
      <c r="H2302" s="15">
        <v>572930</v>
      </c>
      <c r="I2302" s="1">
        <v>46101</v>
      </c>
      <c r="J2302" s="1">
        <v>46131</v>
      </c>
      <c r="K2302" s="18" t="s">
        <v>1875</v>
      </c>
      <c r="L2302" s="18" t="s">
        <v>981</v>
      </c>
      <c r="M2302" s="18" t="s">
        <v>19</v>
      </c>
      <c r="N2302" s="18" t="s">
        <v>1485</v>
      </c>
      <c r="O2302">
        <v>30</v>
      </c>
    </row>
    <row r="2303" spans="1:15" x14ac:dyDescent="0.25">
      <c r="A2303" s="18" t="s">
        <v>7276</v>
      </c>
      <c r="B2303" s="18" t="s">
        <v>7494</v>
      </c>
      <c r="C2303" s="18" t="s">
        <v>7495</v>
      </c>
      <c r="D2303" s="18" t="s">
        <v>1066</v>
      </c>
      <c r="E2303" s="18" t="s">
        <v>7496</v>
      </c>
      <c r="F2303" s="2">
        <f>+J2303-I2303</f>
        <v>30</v>
      </c>
      <c r="G2303" s="2">
        <f ca="1">+TODAY()-I2303</f>
        <v>7</v>
      </c>
      <c r="H2303" s="15">
        <v>48300</v>
      </c>
      <c r="I2303" s="1">
        <v>46113</v>
      </c>
      <c r="J2303" s="1">
        <v>46143</v>
      </c>
      <c r="K2303" s="18" t="s">
        <v>1068</v>
      </c>
      <c r="L2303" s="18" t="s">
        <v>117</v>
      </c>
      <c r="M2303" s="18" t="s">
        <v>19</v>
      </c>
      <c r="N2303" s="18" t="s">
        <v>7497</v>
      </c>
      <c r="O2303">
        <v>30</v>
      </c>
    </row>
    <row r="2304" spans="1:15" x14ac:dyDescent="0.25">
      <c r="A2304" s="18" t="s">
        <v>7276</v>
      </c>
      <c r="B2304" s="18" t="s">
        <v>3990</v>
      </c>
      <c r="C2304" s="18" t="s">
        <v>3991</v>
      </c>
      <c r="D2304" s="18" t="s">
        <v>916</v>
      </c>
      <c r="E2304" s="18" t="s">
        <v>7011</v>
      </c>
      <c r="F2304" s="2">
        <f>+J2304-I2304</f>
        <v>1</v>
      </c>
      <c r="G2304" s="2">
        <f ca="1">+TODAY()-I2304</f>
        <v>9</v>
      </c>
      <c r="H2304" s="15">
        <v>102217</v>
      </c>
      <c r="I2304" s="1">
        <v>46111</v>
      </c>
      <c r="J2304" s="1">
        <v>46112</v>
      </c>
      <c r="K2304" s="18" t="s">
        <v>918</v>
      </c>
      <c r="L2304" s="18" t="s">
        <v>312</v>
      </c>
      <c r="M2304" s="18" t="s">
        <v>19</v>
      </c>
      <c r="N2304" s="18" t="s">
        <v>3992</v>
      </c>
      <c r="O2304">
        <v>30</v>
      </c>
    </row>
    <row r="2305" spans="1:15" x14ac:dyDescent="0.25">
      <c r="A2305" s="18" t="s">
        <v>7276</v>
      </c>
      <c r="B2305" s="18" t="s">
        <v>3990</v>
      </c>
      <c r="C2305" s="18" t="s">
        <v>3991</v>
      </c>
      <c r="D2305" s="18" t="s">
        <v>916</v>
      </c>
      <c r="E2305" s="18" t="s">
        <v>7490</v>
      </c>
      <c r="F2305" s="2">
        <f>+J2305-I2305</f>
        <v>1</v>
      </c>
      <c r="G2305" s="2">
        <f ca="1">+TODAY()-I2305</f>
        <v>2</v>
      </c>
      <c r="H2305" s="15">
        <v>100838</v>
      </c>
      <c r="I2305" s="1">
        <v>46118</v>
      </c>
      <c r="J2305" s="1">
        <v>46119</v>
      </c>
      <c r="K2305" s="18" t="s">
        <v>918</v>
      </c>
      <c r="L2305" s="18" t="s">
        <v>312</v>
      </c>
      <c r="M2305" s="18" t="s">
        <v>19</v>
      </c>
      <c r="N2305" s="18" t="s">
        <v>3992</v>
      </c>
      <c r="O2305">
        <v>30</v>
      </c>
    </row>
    <row r="2306" spans="1:15" x14ac:dyDescent="0.25">
      <c r="A2306" s="18" t="s">
        <v>7276</v>
      </c>
      <c r="B2306" s="18" t="s">
        <v>7429</v>
      </c>
      <c r="C2306" s="18" t="s">
        <v>7430</v>
      </c>
      <c r="D2306" s="18" t="s">
        <v>46</v>
      </c>
      <c r="E2306" s="18" t="s">
        <v>7431</v>
      </c>
      <c r="F2306" s="2">
        <f>+J2306-I2306</f>
        <v>15</v>
      </c>
      <c r="G2306" s="2">
        <f ca="1">+TODAY()-I2306</f>
        <v>2</v>
      </c>
      <c r="H2306" s="15">
        <v>620097</v>
      </c>
      <c r="I2306" s="1">
        <v>46118</v>
      </c>
      <c r="J2306" s="1">
        <v>46133</v>
      </c>
      <c r="K2306" s="18" t="s">
        <v>17</v>
      </c>
      <c r="L2306" s="18" t="s">
        <v>317</v>
      </c>
      <c r="M2306" s="18" t="s">
        <v>19</v>
      </c>
      <c r="N2306" s="18" t="s">
        <v>7432</v>
      </c>
      <c r="O2306">
        <v>30</v>
      </c>
    </row>
    <row r="2307" spans="1:15" x14ac:dyDescent="0.25">
      <c r="A2307" s="18" t="s">
        <v>7276</v>
      </c>
      <c r="B2307" s="18" t="s">
        <v>7429</v>
      </c>
      <c r="C2307" s="18" t="s">
        <v>7430</v>
      </c>
      <c r="D2307" s="18" t="s">
        <v>46</v>
      </c>
      <c r="E2307" s="18" t="s">
        <v>7433</v>
      </c>
      <c r="F2307" s="2">
        <f>+J2307-I2307</f>
        <v>15</v>
      </c>
      <c r="G2307" s="2">
        <f ca="1">+TODAY()-I2307</f>
        <v>2</v>
      </c>
      <c r="H2307" s="15">
        <v>112900</v>
      </c>
      <c r="I2307" s="1">
        <v>46118</v>
      </c>
      <c r="J2307" s="1">
        <v>46133</v>
      </c>
      <c r="K2307" s="18" t="s">
        <v>17</v>
      </c>
      <c r="L2307" s="18" t="s">
        <v>317</v>
      </c>
      <c r="M2307" s="18" t="s">
        <v>19</v>
      </c>
      <c r="N2307" s="18" t="s">
        <v>7432</v>
      </c>
      <c r="O2307">
        <v>30</v>
      </c>
    </row>
    <row r="2308" spans="1:15" x14ac:dyDescent="0.25">
      <c r="A2308" s="18" t="s">
        <v>7276</v>
      </c>
      <c r="B2308" s="18" t="s">
        <v>6435</v>
      </c>
      <c r="C2308" s="18" t="s">
        <v>6436</v>
      </c>
      <c r="D2308" s="18" t="s">
        <v>46</v>
      </c>
      <c r="E2308" s="18" t="s">
        <v>6922</v>
      </c>
      <c r="F2308" s="2">
        <f>+J2308-I2308</f>
        <v>1</v>
      </c>
      <c r="G2308" s="2">
        <f ca="1">+TODAY()-I2308</f>
        <v>8</v>
      </c>
      <c r="H2308" s="15">
        <v>60198</v>
      </c>
      <c r="I2308" s="1">
        <v>46112</v>
      </c>
      <c r="J2308" s="1">
        <v>46113</v>
      </c>
      <c r="K2308" s="18" t="s">
        <v>17</v>
      </c>
      <c r="L2308" s="18" t="s">
        <v>317</v>
      </c>
      <c r="M2308" s="18" t="s">
        <v>19</v>
      </c>
      <c r="N2308" s="18" t="s">
        <v>6437</v>
      </c>
      <c r="O2308">
        <v>1</v>
      </c>
    </row>
    <row r="2309" spans="1:15" x14ac:dyDescent="0.25">
      <c r="A2309" s="18" t="s">
        <v>7276</v>
      </c>
      <c r="B2309" s="18" t="s">
        <v>92</v>
      </c>
      <c r="C2309" s="18" t="s">
        <v>93</v>
      </c>
      <c r="D2309" s="18" t="s">
        <v>46</v>
      </c>
      <c r="E2309" s="18" t="s">
        <v>6160</v>
      </c>
      <c r="F2309" s="2">
        <f>+J2309-I2309</f>
        <v>30</v>
      </c>
      <c r="G2309" s="2">
        <f ca="1">+TODAY()-I2309</f>
        <v>21</v>
      </c>
      <c r="H2309" s="15">
        <v>321502</v>
      </c>
      <c r="I2309" s="1">
        <v>46099</v>
      </c>
      <c r="J2309" s="1">
        <v>46129</v>
      </c>
      <c r="K2309" s="18" t="s">
        <v>17</v>
      </c>
      <c r="L2309" s="18" t="s">
        <v>32</v>
      </c>
      <c r="M2309" s="18" t="s">
        <v>19</v>
      </c>
      <c r="N2309" s="18" t="s">
        <v>94</v>
      </c>
      <c r="O2309">
        <v>0</v>
      </c>
    </row>
    <row r="2310" spans="1:15" x14ac:dyDescent="0.25">
      <c r="A2310" s="18" t="s">
        <v>7276</v>
      </c>
      <c r="B2310" s="18" t="s">
        <v>92</v>
      </c>
      <c r="C2310" s="18" t="s">
        <v>93</v>
      </c>
      <c r="D2310" s="18" t="s">
        <v>46</v>
      </c>
      <c r="E2310" s="18" t="s">
        <v>6161</v>
      </c>
      <c r="F2310" s="2">
        <f>+J2310-I2310</f>
        <v>30</v>
      </c>
      <c r="G2310" s="2">
        <f ca="1">+TODAY()-I2310</f>
        <v>21</v>
      </c>
      <c r="H2310" s="15">
        <v>1320320</v>
      </c>
      <c r="I2310" s="1">
        <v>46099</v>
      </c>
      <c r="J2310" s="1">
        <v>46129</v>
      </c>
      <c r="K2310" s="18" t="s">
        <v>17</v>
      </c>
      <c r="L2310" s="18" t="s">
        <v>32</v>
      </c>
      <c r="M2310" s="18" t="s">
        <v>19</v>
      </c>
      <c r="N2310" s="18" t="s">
        <v>94</v>
      </c>
      <c r="O2310">
        <v>0</v>
      </c>
    </row>
    <row r="2311" spans="1:15" x14ac:dyDescent="0.25">
      <c r="A2311" s="18" t="s">
        <v>7276</v>
      </c>
      <c r="B2311" s="18" t="s">
        <v>92</v>
      </c>
      <c r="C2311" s="18" t="s">
        <v>93</v>
      </c>
      <c r="D2311" s="18" t="s">
        <v>46</v>
      </c>
      <c r="E2311" s="18" t="s">
        <v>6822</v>
      </c>
      <c r="F2311" s="2">
        <f>+J2311-I2311</f>
        <v>10</v>
      </c>
      <c r="G2311" s="2">
        <f ca="1">+TODAY()-I2311</f>
        <v>8</v>
      </c>
      <c r="H2311" s="15">
        <v>1050000</v>
      </c>
      <c r="I2311" s="1">
        <v>46112</v>
      </c>
      <c r="J2311" s="1">
        <v>46122</v>
      </c>
      <c r="K2311" s="18" t="s">
        <v>17</v>
      </c>
      <c r="L2311" s="18" t="s">
        <v>32</v>
      </c>
      <c r="M2311" s="18" t="s">
        <v>19</v>
      </c>
      <c r="N2311" s="18" t="s">
        <v>94</v>
      </c>
      <c r="O2311">
        <v>0</v>
      </c>
    </row>
    <row r="2312" spans="1:15" x14ac:dyDescent="0.25">
      <c r="A2312" s="18" t="s">
        <v>7276</v>
      </c>
      <c r="B2312" s="18" t="s">
        <v>92</v>
      </c>
      <c r="C2312" s="18" t="s">
        <v>93</v>
      </c>
      <c r="D2312" s="18" t="s">
        <v>46</v>
      </c>
      <c r="E2312" s="18" t="s">
        <v>6823</v>
      </c>
      <c r="F2312" s="2">
        <f>+J2312-I2312</f>
        <v>30</v>
      </c>
      <c r="G2312" s="2">
        <f ca="1">+TODAY()-I2312</f>
        <v>8</v>
      </c>
      <c r="H2312" s="15">
        <v>1479900</v>
      </c>
      <c r="I2312" s="1">
        <v>46112</v>
      </c>
      <c r="J2312" s="1">
        <v>46142</v>
      </c>
      <c r="K2312" s="18" t="s">
        <v>17</v>
      </c>
      <c r="L2312" s="18" t="s">
        <v>32</v>
      </c>
      <c r="M2312" s="18" t="s">
        <v>19</v>
      </c>
      <c r="N2312" s="18" t="s">
        <v>94</v>
      </c>
      <c r="O2312">
        <v>0</v>
      </c>
    </row>
    <row r="2313" spans="1:15" x14ac:dyDescent="0.25">
      <c r="A2313" s="18" t="s">
        <v>7276</v>
      </c>
      <c r="B2313" s="18" t="s">
        <v>92</v>
      </c>
      <c r="C2313" s="18" t="s">
        <v>93</v>
      </c>
      <c r="D2313" s="18" t="s">
        <v>46</v>
      </c>
      <c r="E2313" s="18" t="s">
        <v>6824</v>
      </c>
      <c r="F2313" s="2">
        <f>+J2313-I2313</f>
        <v>1</v>
      </c>
      <c r="G2313" s="2">
        <f ca="1">+TODAY()-I2313</f>
        <v>8</v>
      </c>
      <c r="H2313" s="15">
        <v>35000</v>
      </c>
      <c r="I2313" s="1">
        <v>46112</v>
      </c>
      <c r="J2313" s="1">
        <v>46113</v>
      </c>
      <c r="K2313" s="18" t="s">
        <v>17</v>
      </c>
      <c r="L2313" s="18" t="s">
        <v>32</v>
      </c>
      <c r="M2313" s="18" t="s">
        <v>19</v>
      </c>
      <c r="N2313" s="18" t="s">
        <v>94</v>
      </c>
      <c r="O2313">
        <v>0</v>
      </c>
    </row>
    <row r="2314" spans="1:15" x14ac:dyDescent="0.25">
      <c r="A2314" s="18" t="s">
        <v>7276</v>
      </c>
      <c r="B2314" s="18" t="s">
        <v>92</v>
      </c>
      <c r="C2314" s="18" t="s">
        <v>93</v>
      </c>
      <c r="D2314" s="18" t="s">
        <v>46</v>
      </c>
      <c r="E2314" s="18" t="s">
        <v>7676</v>
      </c>
      <c r="F2314" s="2">
        <f>+J2314-I2314</f>
        <v>15</v>
      </c>
      <c r="G2314" s="2">
        <f ca="1">+TODAY()-I2314</f>
        <v>1</v>
      </c>
      <c r="H2314" s="15">
        <v>405110</v>
      </c>
      <c r="I2314" s="1">
        <v>46119</v>
      </c>
      <c r="J2314" s="1">
        <v>46134</v>
      </c>
      <c r="K2314" s="18" t="s">
        <v>17</v>
      </c>
      <c r="L2314" s="18" t="s">
        <v>317</v>
      </c>
      <c r="M2314" s="18" t="s">
        <v>19</v>
      </c>
      <c r="N2314" s="18" t="s">
        <v>94</v>
      </c>
      <c r="O2314">
        <v>0</v>
      </c>
    </row>
    <row r="2315" spans="1:15" x14ac:dyDescent="0.25">
      <c r="A2315" s="18" t="s">
        <v>7276</v>
      </c>
      <c r="B2315" s="18" t="s">
        <v>6750</v>
      </c>
      <c r="C2315" s="18" t="s">
        <v>6751</v>
      </c>
      <c r="D2315" s="18" t="s">
        <v>15</v>
      </c>
      <c r="E2315" s="18" t="s">
        <v>7349</v>
      </c>
      <c r="F2315" s="2">
        <f>+J2315-I2315</f>
        <v>1</v>
      </c>
      <c r="G2315" s="2">
        <f ca="1">+TODAY()-I2315</f>
        <v>2</v>
      </c>
      <c r="H2315" s="15">
        <v>108000</v>
      </c>
      <c r="I2315" s="1">
        <v>46118</v>
      </c>
      <c r="J2315" s="1">
        <v>46119</v>
      </c>
      <c r="K2315" s="18" t="s">
        <v>17</v>
      </c>
      <c r="L2315" s="18" t="s">
        <v>109</v>
      </c>
      <c r="M2315" s="18" t="s">
        <v>19</v>
      </c>
      <c r="N2315" s="18" t="s">
        <v>6752</v>
      </c>
      <c r="O2315">
        <v>1</v>
      </c>
    </row>
    <row r="2316" spans="1:15" x14ac:dyDescent="0.25">
      <c r="A2316" s="18" t="s">
        <v>7276</v>
      </c>
      <c r="B2316" s="18" t="s">
        <v>6283</v>
      </c>
      <c r="C2316" s="18" t="s">
        <v>6284</v>
      </c>
      <c r="D2316" s="18" t="s">
        <v>1201</v>
      </c>
      <c r="E2316" s="18" t="s">
        <v>7123</v>
      </c>
      <c r="F2316" s="2">
        <f>+J2316-I2316</f>
        <v>1</v>
      </c>
      <c r="G2316" s="2">
        <f ca="1">+TODAY()-I2316</f>
        <v>8</v>
      </c>
      <c r="H2316" s="15">
        <v>53860</v>
      </c>
      <c r="I2316" s="1">
        <v>46112</v>
      </c>
      <c r="J2316" s="1">
        <v>46113</v>
      </c>
      <c r="K2316" s="18" t="s">
        <v>1202</v>
      </c>
      <c r="L2316" s="18" t="s">
        <v>321</v>
      </c>
      <c r="M2316" s="18" t="s">
        <v>19</v>
      </c>
      <c r="N2316" s="18" t="s">
        <v>6285</v>
      </c>
      <c r="O2316">
        <v>30</v>
      </c>
    </row>
    <row r="2317" spans="1:15" x14ac:dyDescent="0.25">
      <c r="A2317" s="18" t="s">
        <v>7276</v>
      </c>
      <c r="B2317" s="18" t="s">
        <v>7716</v>
      </c>
      <c r="C2317" s="18" t="s">
        <v>7717</v>
      </c>
      <c r="D2317" s="18" t="s">
        <v>204</v>
      </c>
      <c r="E2317" s="18" t="s">
        <v>7718</v>
      </c>
      <c r="F2317" s="2">
        <f>+J2317-I2317</f>
        <v>1</v>
      </c>
      <c r="G2317" s="2">
        <f ca="1">+TODAY()-I2317</f>
        <v>1</v>
      </c>
      <c r="H2317" s="15">
        <v>475533</v>
      </c>
      <c r="I2317" s="1">
        <v>46119</v>
      </c>
      <c r="J2317" s="1">
        <v>46120</v>
      </c>
      <c r="K2317" s="18" t="s">
        <v>343</v>
      </c>
      <c r="L2317" s="18" t="s">
        <v>18</v>
      </c>
      <c r="M2317" s="18" t="s">
        <v>19</v>
      </c>
      <c r="N2317" s="18" t="s">
        <v>7719</v>
      </c>
      <c r="O2317">
        <v>1</v>
      </c>
    </row>
    <row r="2318" spans="1:15" x14ac:dyDescent="0.25">
      <c r="A2318" s="18" t="s">
        <v>7276</v>
      </c>
      <c r="B2318" s="18" t="s">
        <v>7401</v>
      </c>
      <c r="C2318" s="18" t="s">
        <v>7402</v>
      </c>
      <c r="D2318" s="18" t="s">
        <v>15</v>
      </c>
      <c r="E2318" s="18" t="s">
        <v>7403</v>
      </c>
      <c r="F2318" s="2">
        <f>+J2318-I2318</f>
        <v>1</v>
      </c>
      <c r="G2318" s="2">
        <f ca="1">+TODAY()-I2318</f>
        <v>2</v>
      </c>
      <c r="H2318" s="15">
        <v>286806</v>
      </c>
      <c r="I2318" s="1">
        <v>46118</v>
      </c>
      <c r="J2318" s="1">
        <v>46119</v>
      </c>
      <c r="K2318" s="18" t="s">
        <v>17</v>
      </c>
      <c r="L2318" s="18" t="s">
        <v>317</v>
      </c>
      <c r="M2318" s="18" t="s">
        <v>19</v>
      </c>
      <c r="N2318" s="18" t="s">
        <v>7404</v>
      </c>
      <c r="O2318">
        <v>1</v>
      </c>
    </row>
    <row r="2319" spans="1:15" x14ac:dyDescent="0.25">
      <c r="A2319" s="18" t="s">
        <v>7276</v>
      </c>
      <c r="B2319" s="18" t="s">
        <v>6808</v>
      </c>
      <c r="C2319" s="18" t="s">
        <v>6809</v>
      </c>
      <c r="D2319" s="18" t="s">
        <v>15</v>
      </c>
      <c r="E2319" s="18" t="s">
        <v>6810</v>
      </c>
      <c r="F2319" s="2">
        <f>+J2319-I2319</f>
        <v>30</v>
      </c>
      <c r="G2319" s="2">
        <f ca="1">+TODAY()-I2319</f>
        <v>8</v>
      </c>
      <c r="H2319" s="15">
        <v>110000</v>
      </c>
      <c r="I2319" s="1">
        <v>46112</v>
      </c>
      <c r="J2319" s="1">
        <v>46142</v>
      </c>
      <c r="K2319" s="18" t="s">
        <v>17</v>
      </c>
      <c r="L2319" s="18" t="s">
        <v>109</v>
      </c>
      <c r="M2319" s="18" t="s">
        <v>19</v>
      </c>
      <c r="N2319" s="18" t="s">
        <v>6811</v>
      </c>
      <c r="O2319">
        <v>30</v>
      </c>
    </row>
    <row r="2320" spans="1:15" x14ac:dyDescent="0.25">
      <c r="A2320" s="18" t="s">
        <v>7276</v>
      </c>
      <c r="B2320" s="18" t="s">
        <v>6808</v>
      </c>
      <c r="C2320" s="18" t="s">
        <v>6809</v>
      </c>
      <c r="D2320" s="18" t="s">
        <v>15</v>
      </c>
      <c r="E2320" s="18" t="s">
        <v>7665</v>
      </c>
      <c r="F2320" s="2">
        <f>+J2320-I2320</f>
        <v>30</v>
      </c>
      <c r="G2320" s="2">
        <f ca="1">+TODAY()-I2320</f>
        <v>1</v>
      </c>
      <c r="H2320" s="15">
        <v>53200</v>
      </c>
      <c r="I2320" s="1">
        <v>46119</v>
      </c>
      <c r="J2320" s="1">
        <v>46149</v>
      </c>
      <c r="K2320" s="18" t="s">
        <v>17</v>
      </c>
      <c r="L2320" s="18" t="s">
        <v>109</v>
      </c>
      <c r="M2320" s="18" t="s">
        <v>19</v>
      </c>
      <c r="N2320" s="18" t="s">
        <v>6811</v>
      </c>
      <c r="O2320">
        <v>30</v>
      </c>
    </row>
    <row r="2321" spans="1:15" x14ac:dyDescent="0.25">
      <c r="A2321" s="18" t="s">
        <v>7276</v>
      </c>
      <c r="B2321" s="18" t="s">
        <v>1876</v>
      </c>
      <c r="C2321" s="18" t="s">
        <v>1877</v>
      </c>
      <c r="D2321" s="18" t="s">
        <v>1878</v>
      </c>
      <c r="E2321" s="18" t="s">
        <v>5188</v>
      </c>
      <c r="F2321" s="2">
        <f>+J2321-I2321</f>
        <v>30</v>
      </c>
      <c r="G2321" s="2">
        <f ca="1">+TODAY()-I2321</f>
        <v>48</v>
      </c>
      <c r="H2321" s="15">
        <v>3420240</v>
      </c>
      <c r="I2321" s="1">
        <v>46072</v>
      </c>
      <c r="J2321" s="1">
        <v>46102</v>
      </c>
      <c r="K2321" s="18" t="s">
        <v>1879</v>
      </c>
      <c r="L2321" s="18" t="s">
        <v>984</v>
      </c>
      <c r="M2321" s="18" t="s">
        <v>19</v>
      </c>
      <c r="N2321" s="18" t="s">
        <v>1880</v>
      </c>
      <c r="O2321">
        <v>30</v>
      </c>
    </row>
    <row r="2322" spans="1:15" x14ac:dyDescent="0.25">
      <c r="A2322" s="18" t="s">
        <v>7276</v>
      </c>
      <c r="B2322" s="18" t="s">
        <v>1876</v>
      </c>
      <c r="C2322" s="18" t="s">
        <v>1877</v>
      </c>
      <c r="D2322" s="18" t="s">
        <v>1878</v>
      </c>
      <c r="E2322" s="18" t="s">
        <v>5189</v>
      </c>
      <c r="F2322" s="2">
        <f>+J2322-I2322</f>
        <v>30</v>
      </c>
      <c r="G2322" s="2">
        <f ca="1">+TODAY()-I2322</f>
        <v>48</v>
      </c>
      <c r="H2322" s="15">
        <v>1022414</v>
      </c>
      <c r="I2322" s="1">
        <v>46072</v>
      </c>
      <c r="J2322" s="1">
        <v>46102</v>
      </c>
      <c r="K2322" s="18" t="s">
        <v>1879</v>
      </c>
      <c r="L2322" s="18" t="s">
        <v>984</v>
      </c>
      <c r="M2322" s="18" t="s">
        <v>19</v>
      </c>
      <c r="N2322" s="18" t="s">
        <v>1880</v>
      </c>
      <c r="O2322">
        <v>30</v>
      </c>
    </row>
    <row r="2323" spans="1:15" x14ac:dyDescent="0.25">
      <c r="A2323" s="18" t="s">
        <v>7276</v>
      </c>
      <c r="B2323" s="18" t="s">
        <v>1876</v>
      </c>
      <c r="C2323" s="18" t="s">
        <v>1877</v>
      </c>
      <c r="D2323" s="18" t="s">
        <v>1878</v>
      </c>
      <c r="E2323" s="18" t="s">
        <v>5192</v>
      </c>
      <c r="F2323" s="2">
        <f>+J2323-I2323</f>
        <v>30</v>
      </c>
      <c r="G2323" s="2">
        <f ca="1">+TODAY()-I2323</f>
        <v>47</v>
      </c>
      <c r="H2323" s="15">
        <v>1272000</v>
      </c>
      <c r="I2323" s="1">
        <v>46073</v>
      </c>
      <c r="J2323" s="1">
        <v>46103</v>
      </c>
      <c r="K2323" s="18" t="s">
        <v>1879</v>
      </c>
      <c r="L2323" s="18" t="s">
        <v>984</v>
      </c>
      <c r="M2323" s="18" t="s">
        <v>19</v>
      </c>
      <c r="N2323" s="18" t="s">
        <v>1880</v>
      </c>
      <c r="O2323">
        <v>30</v>
      </c>
    </row>
    <row r="2324" spans="1:15" x14ac:dyDescent="0.25">
      <c r="A2324" s="18" t="s">
        <v>7276</v>
      </c>
      <c r="B2324" s="18" t="s">
        <v>1876</v>
      </c>
      <c r="C2324" s="18" t="s">
        <v>1877</v>
      </c>
      <c r="D2324" s="18" t="s">
        <v>1878</v>
      </c>
      <c r="E2324" s="18" t="s">
        <v>6379</v>
      </c>
      <c r="F2324" s="2">
        <f>+J2324-I2324</f>
        <v>30</v>
      </c>
      <c r="G2324" s="2">
        <f ca="1">+TODAY()-I2324</f>
        <v>20</v>
      </c>
      <c r="H2324" s="15">
        <v>1235417</v>
      </c>
      <c r="I2324" s="1">
        <v>46100</v>
      </c>
      <c r="J2324" s="1">
        <v>46130</v>
      </c>
      <c r="K2324" s="18" t="s">
        <v>1879</v>
      </c>
      <c r="L2324" s="18" t="s">
        <v>984</v>
      </c>
      <c r="M2324" s="18" t="s">
        <v>19</v>
      </c>
      <c r="N2324" s="18" t="s">
        <v>1880</v>
      </c>
      <c r="O2324">
        <v>30</v>
      </c>
    </row>
    <row r="2325" spans="1:15" x14ac:dyDescent="0.25">
      <c r="A2325" s="18" t="s">
        <v>7276</v>
      </c>
      <c r="B2325" s="18" t="s">
        <v>1876</v>
      </c>
      <c r="C2325" s="18" t="s">
        <v>1877</v>
      </c>
      <c r="D2325" s="18" t="s">
        <v>1878</v>
      </c>
      <c r="E2325" s="18" t="s">
        <v>6380</v>
      </c>
      <c r="F2325" s="2">
        <f>+J2325-I2325</f>
        <v>30</v>
      </c>
      <c r="G2325" s="2">
        <f ca="1">+TODAY()-I2325</f>
        <v>19</v>
      </c>
      <c r="H2325" s="15">
        <v>657566</v>
      </c>
      <c r="I2325" s="1">
        <v>46101</v>
      </c>
      <c r="J2325" s="1">
        <v>46131</v>
      </c>
      <c r="K2325" s="18" t="s">
        <v>1879</v>
      </c>
      <c r="L2325" s="18" t="s">
        <v>984</v>
      </c>
      <c r="M2325" s="18" t="s">
        <v>19</v>
      </c>
      <c r="N2325" s="18" t="s">
        <v>1880</v>
      </c>
      <c r="O2325">
        <v>30</v>
      </c>
    </row>
    <row r="2326" spans="1:15" x14ac:dyDescent="0.25">
      <c r="A2326" s="18" t="s">
        <v>7276</v>
      </c>
      <c r="B2326" s="18" t="s">
        <v>1876</v>
      </c>
      <c r="C2326" s="18" t="s">
        <v>1877</v>
      </c>
      <c r="D2326" s="18" t="s">
        <v>1878</v>
      </c>
      <c r="E2326" s="18" t="s">
        <v>7271</v>
      </c>
      <c r="F2326" s="2">
        <f>+J2326-I2326</f>
        <v>30</v>
      </c>
      <c r="G2326" s="2">
        <f ca="1">+TODAY()-I2326</f>
        <v>8</v>
      </c>
      <c r="H2326" s="15">
        <v>1551614</v>
      </c>
      <c r="I2326" s="1">
        <v>46112</v>
      </c>
      <c r="J2326" s="1">
        <v>46142</v>
      </c>
      <c r="K2326" s="18" t="s">
        <v>1879</v>
      </c>
      <c r="L2326" s="18" t="s">
        <v>984</v>
      </c>
      <c r="M2326" s="18" t="s">
        <v>19</v>
      </c>
      <c r="N2326" s="18" t="s">
        <v>1880</v>
      </c>
      <c r="O2326">
        <v>30</v>
      </c>
    </row>
    <row r="2327" spans="1:15" x14ac:dyDescent="0.25">
      <c r="A2327" s="18" t="s">
        <v>7276</v>
      </c>
      <c r="B2327" s="18" t="s">
        <v>1876</v>
      </c>
      <c r="C2327" s="18" t="s">
        <v>1877</v>
      </c>
      <c r="D2327" s="18" t="s">
        <v>1878</v>
      </c>
      <c r="E2327" s="18" t="s">
        <v>7272</v>
      </c>
      <c r="F2327" s="2">
        <f>+J2327-I2327</f>
        <v>30</v>
      </c>
      <c r="G2327" s="2">
        <f ca="1">+TODAY()-I2327</f>
        <v>8</v>
      </c>
      <c r="H2327" s="15">
        <v>40900</v>
      </c>
      <c r="I2327" s="1">
        <v>46112</v>
      </c>
      <c r="J2327" s="1">
        <v>46142</v>
      </c>
      <c r="K2327" s="18" t="s">
        <v>1879</v>
      </c>
      <c r="L2327" s="18" t="s">
        <v>984</v>
      </c>
      <c r="M2327" s="18" t="s">
        <v>19</v>
      </c>
      <c r="N2327" s="18" t="s">
        <v>1880</v>
      </c>
      <c r="O2327">
        <v>30</v>
      </c>
    </row>
    <row r="2328" spans="1:15" x14ac:dyDescent="0.25">
      <c r="A2328" s="18" t="s">
        <v>7276</v>
      </c>
      <c r="B2328" s="18" t="s">
        <v>13</v>
      </c>
      <c r="C2328" s="18" t="s">
        <v>14</v>
      </c>
      <c r="D2328" s="18" t="s">
        <v>15</v>
      </c>
      <c r="E2328" s="18" t="s">
        <v>16</v>
      </c>
      <c r="F2328" s="2">
        <f>+J2328-I2328</f>
        <v>30</v>
      </c>
      <c r="G2328" s="2">
        <f ca="1">+TODAY()-I2328</f>
        <v>1378</v>
      </c>
      <c r="H2328" s="15">
        <v>1634000</v>
      </c>
      <c r="I2328" s="1">
        <v>44742</v>
      </c>
      <c r="J2328" s="1">
        <v>44772</v>
      </c>
      <c r="K2328" s="18" t="s">
        <v>17</v>
      </c>
      <c r="L2328" s="18" t="s">
        <v>18</v>
      </c>
      <c r="M2328" s="18" t="s">
        <v>19</v>
      </c>
      <c r="N2328" s="18" t="s">
        <v>20</v>
      </c>
      <c r="O2328">
        <v>30</v>
      </c>
    </row>
    <row r="2329" spans="1:15" x14ac:dyDescent="0.25">
      <c r="A2329" s="18" t="s">
        <v>7276</v>
      </c>
      <c r="B2329" s="18" t="s">
        <v>13</v>
      </c>
      <c r="C2329" s="18" t="s">
        <v>14</v>
      </c>
      <c r="D2329" s="18" t="s">
        <v>15</v>
      </c>
      <c r="E2329" s="18" t="s">
        <v>21</v>
      </c>
      <c r="F2329" s="2">
        <f>+J2329-I2329</f>
        <v>30</v>
      </c>
      <c r="G2329" s="2">
        <f ca="1">+TODAY()-I2329</f>
        <v>1378</v>
      </c>
      <c r="H2329" s="15">
        <v>8898695</v>
      </c>
      <c r="I2329" s="1">
        <v>44742</v>
      </c>
      <c r="J2329" s="1">
        <v>44772</v>
      </c>
      <c r="K2329" s="18" t="s">
        <v>17</v>
      </c>
      <c r="L2329" s="18" t="s">
        <v>18</v>
      </c>
      <c r="M2329" s="18" t="s">
        <v>19</v>
      </c>
      <c r="N2329" s="18" t="s">
        <v>20</v>
      </c>
      <c r="O2329">
        <v>30</v>
      </c>
    </row>
    <row r="2330" spans="1:15" x14ac:dyDescent="0.25">
      <c r="A2330" s="18" t="s">
        <v>7276</v>
      </c>
      <c r="B2330" s="18" t="s">
        <v>13</v>
      </c>
      <c r="C2330" s="18" t="s">
        <v>14</v>
      </c>
      <c r="D2330" s="18" t="s">
        <v>15</v>
      </c>
      <c r="E2330" s="18" t="s">
        <v>22</v>
      </c>
      <c r="F2330" s="2">
        <f>+J2330-I2330</f>
        <v>30</v>
      </c>
      <c r="G2330" s="2">
        <f ca="1">+TODAY()-I2330</f>
        <v>1651</v>
      </c>
      <c r="H2330" s="15">
        <v>11924282</v>
      </c>
      <c r="I2330" s="1">
        <v>44469</v>
      </c>
      <c r="J2330" s="1">
        <v>44499</v>
      </c>
      <c r="K2330" s="18" t="s">
        <v>17</v>
      </c>
      <c r="L2330" s="18" t="s">
        <v>18</v>
      </c>
      <c r="M2330" s="18" t="s">
        <v>19</v>
      </c>
      <c r="N2330" s="18" t="s">
        <v>20</v>
      </c>
      <c r="O2330">
        <v>30</v>
      </c>
    </row>
    <row r="2331" spans="1:15" x14ac:dyDescent="0.25">
      <c r="A2331" s="18" t="s">
        <v>7276</v>
      </c>
      <c r="B2331" s="18" t="s">
        <v>13</v>
      </c>
      <c r="C2331" s="18" t="s">
        <v>14</v>
      </c>
      <c r="D2331" s="18" t="s">
        <v>15</v>
      </c>
      <c r="E2331" s="18" t="s">
        <v>23</v>
      </c>
      <c r="F2331" s="2">
        <f>+J2331-I2331</f>
        <v>30</v>
      </c>
      <c r="G2331" s="2">
        <f ca="1">+TODAY()-I2331</f>
        <v>1547</v>
      </c>
      <c r="H2331" s="15">
        <v>1955099</v>
      </c>
      <c r="I2331" s="1">
        <v>44573</v>
      </c>
      <c r="J2331" s="1">
        <v>44603</v>
      </c>
      <c r="K2331" s="18" t="s">
        <v>17</v>
      </c>
      <c r="L2331" s="18" t="s">
        <v>18</v>
      </c>
      <c r="M2331" s="18" t="s">
        <v>19</v>
      </c>
      <c r="N2331" s="18" t="s">
        <v>20</v>
      </c>
      <c r="O2331">
        <v>30</v>
      </c>
    </row>
    <row r="2332" spans="1:15" x14ac:dyDescent="0.25">
      <c r="A2332" s="18" t="s">
        <v>7276</v>
      </c>
      <c r="B2332" s="18" t="s">
        <v>13</v>
      </c>
      <c r="C2332" s="18" t="s">
        <v>14</v>
      </c>
      <c r="D2332" s="18" t="s">
        <v>15</v>
      </c>
      <c r="E2332" s="18" t="s">
        <v>24</v>
      </c>
      <c r="F2332" s="2">
        <f>+J2332-I2332</f>
        <v>30</v>
      </c>
      <c r="G2332" s="2">
        <f ca="1">+TODAY()-I2332</f>
        <v>1547</v>
      </c>
      <c r="H2332" s="15">
        <v>3944067</v>
      </c>
      <c r="I2332" s="1">
        <v>44573</v>
      </c>
      <c r="J2332" s="1">
        <v>44603</v>
      </c>
      <c r="K2332" s="18" t="s">
        <v>17</v>
      </c>
      <c r="L2332" s="18" t="s">
        <v>18</v>
      </c>
      <c r="M2332" s="18" t="s">
        <v>19</v>
      </c>
      <c r="N2332" s="18" t="s">
        <v>20</v>
      </c>
      <c r="O2332">
        <v>30</v>
      </c>
    </row>
    <row r="2333" spans="1:15" x14ac:dyDescent="0.25">
      <c r="A2333" s="18" t="s">
        <v>7276</v>
      </c>
      <c r="B2333" s="18" t="s">
        <v>13</v>
      </c>
      <c r="C2333" s="18" t="s">
        <v>14</v>
      </c>
      <c r="D2333" s="18" t="s">
        <v>15</v>
      </c>
      <c r="E2333" s="18" t="s">
        <v>25</v>
      </c>
      <c r="F2333" s="2">
        <f>+J2333-I2333</f>
        <v>30</v>
      </c>
      <c r="G2333" s="2">
        <f ca="1">+TODAY()-I2333</f>
        <v>1546</v>
      </c>
      <c r="H2333" s="15">
        <v>1076569</v>
      </c>
      <c r="I2333" s="1">
        <v>44574</v>
      </c>
      <c r="J2333" s="1">
        <v>44604</v>
      </c>
      <c r="K2333" s="18" t="s">
        <v>17</v>
      </c>
      <c r="L2333" s="18" t="s">
        <v>18</v>
      </c>
      <c r="M2333" s="18" t="s">
        <v>19</v>
      </c>
      <c r="N2333" s="18" t="s">
        <v>20</v>
      </c>
      <c r="O2333">
        <v>30</v>
      </c>
    </row>
    <row r="2334" spans="1:15" x14ac:dyDescent="0.25">
      <c r="A2334" s="18" t="s">
        <v>7276</v>
      </c>
      <c r="B2334" s="18" t="s">
        <v>13</v>
      </c>
      <c r="C2334" s="18" t="s">
        <v>14</v>
      </c>
      <c r="D2334" s="18" t="s">
        <v>15</v>
      </c>
      <c r="E2334" s="18" t="s">
        <v>26</v>
      </c>
      <c r="F2334" s="2">
        <f>+J2334-I2334</f>
        <v>30</v>
      </c>
      <c r="G2334" s="2">
        <f ca="1">+TODAY()-I2334</f>
        <v>1546</v>
      </c>
      <c r="H2334" s="15">
        <v>21473908</v>
      </c>
      <c r="I2334" s="1">
        <v>44574</v>
      </c>
      <c r="J2334" s="1">
        <v>44604</v>
      </c>
      <c r="K2334" s="18" t="s">
        <v>17</v>
      </c>
      <c r="L2334" s="18" t="s">
        <v>18</v>
      </c>
      <c r="M2334" s="18" t="s">
        <v>19</v>
      </c>
      <c r="N2334" s="18" t="s">
        <v>20</v>
      </c>
      <c r="O2334">
        <v>30</v>
      </c>
    </row>
    <row r="2335" spans="1:15" x14ac:dyDescent="0.25">
      <c r="A2335" s="18" t="s">
        <v>7276</v>
      </c>
      <c r="B2335" s="18" t="s">
        <v>13</v>
      </c>
      <c r="C2335" s="18" t="s">
        <v>14</v>
      </c>
      <c r="D2335" s="18" t="s">
        <v>15</v>
      </c>
      <c r="E2335" s="18" t="s">
        <v>27</v>
      </c>
      <c r="F2335" s="2">
        <f>+J2335-I2335</f>
        <v>30</v>
      </c>
      <c r="G2335" s="2">
        <f ca="1">+TODAY()-I2335</f>
        <v>1378</v>
      </c>
      <c r="H2335" s="15">
        <v>16200012</v>
      </c>
      <c r="I2335" s="1">
        <v>44742</v>
      </c>
      <c r="J2335" s="1">
        <v>44772</v>
      </c>
      <c r="K2335" s="18" t="s">
        <v>17</v>
      </c>
      <c r="L2335" s="18" t="s">
        <v>18</v>
      </c>
      <c r="M2335" s="18" t="s">
        <v>19</v>
      </c>
      <c r="N2335" s="18" t="s">
        <v>20</v>
      </c>
      <c r="O2335">
        <v>30</v>
      </c>
    </row>
    <row r="2336" spans="1:15" x14ac:dyDescent="0.25">
      <c r="A2336" s="18" t="s">
        <v>7276</v>
      </c>
      <c r="B2336" s="18" t="s">
        <v>13</v>
      </c>
      <c r="C2336" s="18" t="s">
        <v>14</v>
      </c>
      <c r="D2336" s="18" t="s">
        <v>15</v>
      </c>
      <c r="E2336" s="18" t="s">
        <v>213</v>
      </c>
      <c r="F2336" s="2">
        <f>+J2336-I2336</f>
        <v>30</v>
      </c>
      <c r="G2336" s="2">
        <f ca="1">+TODAY()-I2336</f>
        <v>1678</v>
      </c>
      <c r="H2336" s="15">
        <v>16745564</v>
      </c>
      <c r="I2336" s="1">
        <v>44442</v>
      </c>
      <c r="J2336" s="1">
        <v>44472</v>
      </c>
      <c r="K2336" s="18" t="s">
        <v>17</v>
      </c>
      <c r="L2336" s="18" t="s">
        <v>18</v>
      </c>
      <c r="M2336" s="18" t="s">
        <v>19</v>
      </c>
      <c r="N2336" s="18" t="s">
        <v>20</v>
      </c>
      <c r="O2336">
        <v>30</v>
      </c>
    </row>
    <row r="2337" spans="1:15" x14ac:dyDescent="0.25">
      <c r="A2337" s="18" t="s">
        <v>7276</v>
      </c>
      <c r="B2337" s="18" t="s">
        <v>13</v>
      </c>
      <c r="C2337" s="18" t="s">
        <v>14</v>
      </c>
      <c r="D2337" s="18" t="s">
        <v>15</v>
      </c>
      <c r="E2337" s="18" t="s">
        <v>214</v>
      </c>
      <c r="F2337" s="2">
        <f>+J2337-I2337</f>
        <v>30</v>
      </c>
      <c r="G2337" s="2">
        <f ca="1">+TODAY()-I2337</f>
        <v>1678</v>
      </c>
      <c r="H2337" s="15">
        <v>3601335</v>
      </c>
      <c r="I2337" s="1">
        <v>44442</v>
      </c>
      <c r="J2337" s="1">
        <v>44472</v>
      </c>
      <c r="K2337" s="18" t="s">
        <v>17</v>
      </c>
      <c r="L2337" s="18" t="s">
        <v>18</v>
      </c>
      <c r="M2337" s="18" t="s">
        <v>19</v>
      </c>
      <c r="N2337" s="18" t="s">
        <v>20</v>
      </c>
      <c r="O2337">
        <v>30</v>
      </c>
    </row>
    <row r="2338" spans="1:15" x14ac:dyDescent="0.25">
      <c r="A2338" s="18" t="s">
        <v>7276</v>
      </c>
      <c r="B2338" s="18" t="s">
        <v>13</v>
      </c>
      <c r="C2338" s="18" t="s">
        <v>14</v>
      </c>
      <c r="D2338" s="18" t="s">
        <v>15</v>
      </c>
      <c r="E2338" s="18" t="s">
        <v>215</v>
      </c>
      <c r="F2338" s="2">
        <f>+J2338-I2338</f>
        <v>30</v>
      </c>
      <c r="G2338" s="2">
        <f ca="1">+TODAY()-I2338</f>
        <v>1678</v>
      </c>
      <c r="H2338" s="15">
        <v>1990017</v>
      </c>
      <c r="I2338" s="1">
        <v>44442</v>
      </c>
      <c r="J2338" s="1">
        <v>44472</v>
      </c>
      <c r="K2338" s="18" t="s">
        <v>17</v>
      </c>
      <c r="L2338" s="18" t="s">
        <v>18</v>
      </c>
      <c r="M2338" s="18" t="s">
        <v>19</v>
      </c>
      <c r="N2338" s="18" t="s">
        <v>20</v>
      </c>
      <c r="O2338">
        <v>30</v>
      </c>
    </row>
    <row r="2339" spans="1:15" x14ac:dyDescent="0.25">
      <c r="A2339" s="18" t="s">
        <v>7276</v>
      </c>
      <c r="B2339" s="18" t="s">
        <v>13</v>
      </c>
      <c r="C2339" s="18" t="s">
        <v>14</v>
      </c>
      <c r="D2339" s="18" t="s">
        <v>15</v>
      </c>
      <c r="E2339" s="18" t="s">
        <v>216</v>
      </c>
      <c r="F2339" s="2">
        <f>+J2339-I2339</f>
        <v>30</v>
      </c>
      <c r="G2339" s="2">
        <f ca="1">+TODAY()-I2339</f>
        <v>1675</v>
      </c>
      <c r="H2339" s="15">
        <v>6052437</v>
      </c>
      <c r="I2339" s="1">
        <v>44445</v>
      </c>
      <c r="J2339" s="1">
        <v>44475</v>
      </c>
      <c r="K2339" s="18" t="s">
        <v>17</v>
      </c>
      <c r="L2339" s="18" t="s">
        <v>47</v>
      </c>
      <c r="M2339" s="18" t="s">
        <v>19</v>
      </c>
      <c r="N2339" s="18" t="s">
        <v>20</v>
      </c>
      <c r="O2339">
        <v>30</v>
      </c>
    </row>
    <row r="2340" spans="1:15" x14ac:dyDescent="0.25">
      <c r="A2340" s="18" t="s">
        <v>7276</v>
      </c>
      <c r="B2340" s="18" t="s">
        <v>13</v>
      </c>
      <c r="C2340" s="18" t="s">
        <v>14</v>
      </c>
      <c r="D2340" s="18" t="s">
        <v>15</v>
      </c>
      <c r="E2340" s="18" t="s">
        <v>217</v>
      </c>
      <c r="F2340" s="2">
        <f>+J2340-I2340</f>
        <v>30</v>
      </c>
      <c r="G2340" s="2">
        <f ca="1">+TODAY()-I2340</f>
        <v>1673</v>
      </c>
      <c r="H2340" s="15">
        <v>1036602</v>
      </c>
      <c r="I2340" s="1">
        <v>44447</v>
      </c>
      <c r="J2340" s="1">
        <v>44477</v>
      </c>
      <c r="K2340" s="18" t="s">
        <v>17</v>
      </c>
      <c r="L2340" s="18" t="s">
        <v>47</v>
      </c>
      <c r="M2340" s="18" t="s">
        <v>19</v>
      </c>
      <c r="N2340" s="18" t="s">
        <v>20</v>
      </c>
      <c r="O2340">
        <v>30</v>
      </c>
    </row>
    <row r="2341" spans="1:15" x14ac:dyDescent="0.25">
      <c r="A2341" s="18" t="s">
        <v>7276</v>
      </c>
      <c r="B2341" s="18" t="s">
        <v>13</v>
      </c>
      <c r="C2341" s="18" t="s">
        <v>14</v>
      </c>
      <c r="D2341" s="18" t="s">
        <v>15</v>
      </c>
      <c r="E2341" s="18" t="s">
        <v>218</v>
      </c>
      <c r="F2341" s="2">
        <f>+J2341-I2341</f>
        <v>30</v>
      </c>
      <c r="G2341" s="2">
        <f ca="1">+TODAY()-I2341</f>
        <v>1664</v>
      </c>
      <c r="H2341" s="15">
        <v>14996668</v>
      </c>
      <c r="I2341" s="1">
        <v>44456</v>
      </c>
      <c r="J2341" s="1">
        <v>44486</v>
      </c>
      <c r="K2341" s="18" t="s">
        <v>17</v>
      </c>
      <c r="L2341" s="18" t="s">
        <v>18</v>
      </c>
      <c r="M2341" s="18" t="s">
        <v>19</v>
      </c>
      <c r="N2341" s="18" t="s">
        <v>20</v>
      </c>
      <c r="O2341">
        <v>30</v>
      </c>
    </row>
    <row r="2342" spans="1:15" x14ac:dyDescent="0.25">
      <c r="A2342" s="18" t="s">
        <v>7276</v>
      </c>
      <c r="B2342" s="18" t="s">
        <v>13</v>
      </c>
      <c r="C2342" s="18" t="s">
        <v>14</v>
      </c>
      <c r="D2342" s="18" t="s">
        <v>15</v>
      </c>
      <c r="E2342" s="18" t="s">
        <v>219</v>
      </c>
      <c r="F2342" s="2">
        <f>+J2342-I2342</f>
        <v>30</v>
      </c>
      <c r="G2342" s="2">
        <f ca="1">+TODAY()-I2342</f>
        <v>1638</v>
      </c>
      <c r="H2342" s="15">
        <v>41492761</v>
      </c>
      <c r="I2342" s="1">
        <v>44482</v>
      </c>
      <c r="J2342" s="1">
        <v>44512</v>
      </c>
      <c r="K2342" s="18" t="s">
        <v>17</v>
      </c>
      <c r="L2342" s="18" t="s">
        <v>18</v>
      </c>
      <c r="M2342" s="18" t="s">
        <v>19</v>
      </c>
      <c r="N2342" s="18" t="s">
        <v>20</v>
      </c>
      <c r="O2342">
        <v>30</v>
      </c>
    </row>
    <row r="2343" spans="1:15" x14ac:dyDescent="0.25">
      <c r="A2343" s="18" t="s">
        <v>7276</v>
      </c>
      <c r="B2343" s="18" t="s">
        <v>13</v>
      </c>
      <c r="C2343" s="18" t="s">
        <v>14</v>
      </c>
      <c r="D2343" s="18" t="s">
        <v>15</v>
      </c>
      <c r="E2343" s="18" t="s">
        <v>220</v>
      </c>
      <c r="F2343" s="2">
        <f>+J2343-I2343</f>
        <v>30</v>
      </c>
      <c r="G2343" s="2">
        <f ca="1">+TODAY()-I2343</f>
        <v>1628</v>
      </c>
      <c r="H2343" s="15">
        <v>16749179</v>
      </c>
      <c r="I2343" s="1">
        <v>44492</v>
      </c>
      <c r="J2343" s="1">
        <v>44522</v>
      </c>
      <c r="K2343" s="18" t="s">
        <v>17</v>
      </c>
      <c r="L2343" s="18" t="s">
        <v>18</v>
      </c>
      <c r="M2343" s="18" t="s">
        <v>19</v>
      </c>
      <c r="N2343" s="18" t="s">
        <v>20</v>
      </c>
      <c r="O2343">
        <v>30</v>
      </c>
    </row>
    <row r="2344" spans="1:15" x14ac:dyDescent="0.25">
      <c r="A2344" s="18" t="s">
        <v>7276</v>
      </c>
      <c r="B2344" s="18" t="s">
        <v>13</v>
      </c>
      <c r="C2344" s="18" t="s">
        <v>14</v>
      </c>
      <c r="D2344" s="18" t="s">
        <v>15</v>
      </c>
      <c r="E2344" s="18" t="s">
        <v>221</v>
      </c>
      <c r="F2344" s="2">
        <f>+J2344-I2344</f>
        <v>30</v>
      </c>
      <c r="G2344" s="2">
        <f ca="1">+TODAY()-I2344</f>
        <v>1628</v>
      </c>
      <c r="H2344" s="15">
        <v>6131240</v>
      </c>
      <c r="I2344" s="1">
        <v>44492</v>
      </c>
      <c r="J2344" s="1">
        <v>44522</v>
      </c>
      <c r="K2344" s="18" t="s">
        <v>17</v>
      </c>
      <c r="L2344" s="18" t="s">
        <v>18</v>
      </c>
      <c r="M2344" s="18" t="s">
        <v>19</v>
      </c>
      <c r="N2344" s="18" t="s">
        <v>20</v>
      </c>
      <c r="O2344">
        <v>30</v>
      </c>
    </row>
    <row r="2345" spans="1:15" x14ac:dyDescent="0.25">
      <c r="A2345" s="18" t="s">
        <v>7276</v>
      </c>
      <c r="B2345" s="18" t="s">
        <v>13</v>
      </c>
      <c r="C2345" s="18" t="s">
        <v>14</v>
      </c>
      <c r="D2345" s="18" t="s">
        <v>15</v>
      </c>
      <c r="E2345" s="18" t="s">
        <v>222</v>
      </c>
      <c r="F2345" s="2">
        <f>+J2345-I2345</f>
        <v>30</v>
      </c>
      <c r="G2345" s="2">
        <f ca="1">+TODAY()-I2345</f>
        <v>1616</v>
      </c>
      <c r="H2345" s="15">
        <v>14166124</v>
      </c>
      <c r="I2345" s="1">
        <v>44504</v>
      </c>
      <c r="J2345" s="1">
        <v>44534</v>
      </c>
      <c r="K2345" s="18" t="s">
        <v>17</v>
      </c>
      <c r="L2345" s="18" t="s">
        <v>18</v>
      </c>
      <c r="M2345" s="18" t="s">
        <v>19</v>
      </c>
      <c r="N2345" s="18" t="s">
        <v>20</v>
      </c>
      <c r="O2345">
        <v>30</v>
      </c>
    </row>
    <row r="2346" spans="1:15" x14ac:dyDescent="0.25">
      <c r="A2346" s="18" t="s">
        <v>7276</v>
      </c>
      <c r="B2346" s="18" t="s">
        <v>13</v>
      </c>
      <c r="C2346" s="18" t="s">
        <v>14</v>
      </c>
      <c r="D2346" s="18" t="s">
        <v>15</v>
      </c>
      <c r="E2346" s="18" t="s">
        <v>223</v>
      </c>
      <c r="F2346" s="2">
        <f>+J2346-I2346</f>
        <v>30</v>
      </c>
      <c r="G2346" s="2">
        <f ca="1">+TODAY()-I2346</f>
        <v>1614</v>
      </c>
      <c r="H2346" s="15">
        <v>4458973</v>
      </c>
      <c r="I2346" s="1">
        <v>44506</v>
      </c>
      <c r="J2346" s="1">
        <v>44536</v>
      </c>
      <c r="K2346" s="18" t="s">
        <v>17</v>
      </c>
      <c r="L2346" s="18" t="s">
        <v>47</v>
      </c>
      <c r="M2346" s="18" t="s">
        <v>19</v>
      </c>
      <c r="N2346" s="18" t="s">
        <v>20</v>
      </c>
      <c r="O2346">
        <v>30</v>
      </c>
    </row>
    <row r="2347" spans="1:15" x14ac:dyDescent="0.25">
      <c r="A2347" s="18" t="s">
        <v>7276</v>
      </c>
      <c r="B2347" s="18" t="s">
        <v>13</v>
      </c>
      <c r="C2347" s="18" t="s">
        <v>14</v>
      </c>
      <c r="D2347" s="18" t="s">
        <v>15</v>
      </c>
      <c r="E2347" s="18" t="s">
        <v>224</v>
      </c>
      <c r="F2347" s="2">
        <f>+J2347-I2347</f>
        <v>30</v>
      </c>
      <c r="G2347" s="2">
        <f ca="1">+TODAY()-I2347</f>
        <v>1614</v>
      </c>
      <c r="H2347" s="15">
        <v>2138352</v>
      </c>
      <c r="I2347" s="1">
        <v>44506</v>
      </c>
      <c r="J2347" s="1">
        <v>44536</v>
      </c>
      <c r="K2347" s="18" t="s">
        <v>17</v>
      </c>
      <c r="L2347" s="18" t="s">
        <v>47</v>
      </c>
      <c r="M2347" s="18" t="s">
        <v>19</v>
      </c>
      <c r="N2347" s="18" t="s">
        <v>20</v>
      </c>
      <c r="O2347">
        <v>30</v>
      </c>
    </row>
    <row r="2348" spans="1:15" x14ac:dyDescent="0.25">
      <c r="A2348" s="18" t="s">
        <v>7276</v>
      </c>
      <c r="B2348" s="18" t="s">
        <v>13</v>
      </c>
      <c r="C2348" s="18" t="s">
        <v>14</v>
      </c>
      <c r="D2348" s="18" t="s">
        <v>15</v>
      </c>
      <c r="E2348" s="18" t="s">
        <v>225</v>
      </c>
      <c r="F2348" s="2">
        <f>+J2348-I2348</f>
        <v>30</v>
      </c>
      <c r="G2348" s="2">
        <f ca="1">+TODAY()-I2348</f>
        <v>1611</v>
      </c>
      <c r="H2348" s="15">
        <v>1707544</v>
      </c>
      <c r="I2348" s="1">
        <v>44509</v>
      </c>
      <c r="J2348" s="1">
        <v>44539</v>
      </c>
      <c r="K2348" s="18" t="s">
        <v>17</v>
      </c>
      <c r="L2348" s="18" t="s">
        <v>18</v>
      </c>
      <c r="M2348" s="18" t="s">
        <v>19</v>
      </c>
      <c r="N2348" s="18" t="s">
        <v>20</v>
      </c>
      <c r="O2348">
        <v>30</v>
      </c>
    </row>
    <row r="2349" spans="1:15" x14ac:dyDescent="0.25">
      <c r="A2349" s="18" t="s">
        <v>7276</v>
      </c>
      <c r="B2349" s="18" t="s">
        <v>13</v>
      </c>
      <c r="C2349" s="18" t="s">
        <v>14</v>
      </c>
      <c r="D2349" s="18" t="s">
        <v>15</v>
      </c>
      <c r="E2349" s="18" t="s">
        <v>226</v>
      </c>
      <c r="F2349" s="2">
        <f>+J2349-I2349</f>
        <v>30</v>
      </c>
      <c r="G2349" s="2">
        <f ca="1">+TODAY()-I2349</f>
        <v>1604</v>
      </c>
      <c r="H2349" s="15">
        <v>5449984</v>
      </c>
      <c r="I2349" s="1">
        <v>44516</v>
      </c>
      <c r="J2349" s="1">
        <v>44546</v>
      </c>
      <c r="K2349" s="18" t="s">
        <v>17</v>
      </c>
      <c r="L2349" s="18" t="s">
        <v>18</v>
      </c>
      <c r="M2349" s="18" t="s">
        <v>19</v>
      </c>
      <c r="N2349" s="18" t="s">
        <v>20</v>
      </c>
      <c r="O2349">
        <v>30</v>
      </c>
    </row>
    <row r="2350" spans="1:15" x14ac:dyDescent="0.25">
      <c r="A2350" s="18" t="s">
        <v>7276</v>
      </c>
      <c r="B2350" s="18" t="s">
        <v>13</v>
      </c>
      <c r="C2350" s="18" t="s">
        <v>14</v>
      </c>
      <c r="D2350" s="18" t="s">
        <v>15</v>
      </c>
      <c r="E2350" s="18" t="s">
        <v>227</v>
      </c>
      <c r="F2350" s="2">
        <f>+J2350-I2350</f>
        <v>30</v>
      </c>
      <c r="G2350" s="2">
        <f ca="1">+TODAY()-I2350</f>
        <v>1604</v>
      </c>
      <c r="H2350" s="15">
        <v>1685170</v>
      </c>
      <c r="I2350" s="1">
        <v>44516</v>
      </c>
      <c r="J2350" s="1">
        <v>44546</v>
      </c>
      <c r="K2350" s="18" t="s">
        <v>17</v>
      </c>
      <c r="L2350" s="18" t="s">
        <v>47</v>
      </c>
      <c r="M2350" s="18" t="s">
        <v>19</v>
      </c>
      <c r="N2350" s="18" t="s">
        <v>20</v>
      </c>
      <c r="O2350">
        <v>30</v>
      </c>
    </row>
    <row r="2351" spans="1:15" x14ac:dyDescent="0.25">
      <c r="A2351" s="18" t="s">
        <v>7276</v>
      </c>
      <c r="B2351" s="18" t="s">
        <v>13</v>
      </c>
      <c r="C2351" s="18" t="s">
        <v>14</v>
      </c>
      <c r="D2351" s="18" t="s">
        <v>15</v>
      </c>
      <c r="E2351" s="18" t="s">
        <v>228</v>
      </c>
      <c r="F2351" s="2">
        <f>+J2351-I2351</f>
        <v>30</v>
      </c>
      <c r="G2351" s="2">
        <f ca="1">+TODAY()-I2351</f>
        <v>1604</v>
      </c>
      <c r="H2351" s="15">
        <v>1654243</v>
      </c>
      <c r="I2351" s="1">
        <v>44516</v>
      </c>
      <c r="J2351" s="1">
        <v>44546</v>
      </c>
      <c r="K2351" s="18" t="s">
        <v>17</v>
      </c>
      <c r="L2351" s="18" t="s">
        <v>18</v>
      </c>
      <c r="M2351" s="18" t="s">
        <v>19</v>
      </c>
      <c r="N2351" s="18" t="s">
        <v>20</v>
      </c>
      <c r="O2351">
        <v>30</v>
      </c>
    </row>
    <row r="2352" spans="1:15" x14ac:dyDescent="0.25">
      <c r="A2352" s="18" t="s">
        <v>7276</v>
      </c>
      <c r="B2352" s="18" t="s">
        <v>13</v>
      </c>
      <c r="C2352" s="18" t="s">
        <v>14</v>
      </c>
      <c r="D2352" s="18" t="s">
        <v>15</v>
      </c>
      <c r="E2352" s="18" t="s">
        <v>229</v>
      </c>
      <c r="F2352" s="2">
        <f>+J2352-I2352</f>
        <v>30</v>
      </c>
      <c r="G2352" s="2">
        <f ca="1">+TODAY()-I2352</f>
        <v>1602</v>
      </c>
      <c r="H2352" s="15">
        <v>265890</v>
      </c>
      <c r="I2352" s="1">
        <v>44518</v>
      </c>
      <c r="J2352" s="1">
        <v>44548</v>
      </c>
      <c r="K2352" s="18" t="s">
        <v>17</v>
      </c>
      <c r="L2352" s="18" t="s">
        <v>47</v>
      </c>
      <c r="M2352" s="18" t="s">
        <v>19</v>
      </c>
      <c r="N2352" s="18" t="s">
        <v>20</v>
      </c>
      <c r="O2352">
        <v>30</v>
      </c>
    </row>
    <row r="2353" spans="1:15" x14ac:dyDescent="0.25">
      <c r="A2353" s="18" t="s">
        <v>7276</v>
      </c>
      <c r="B2353" s="18" t="s">
        <v>13</v>
      </c>
      <c r="C2353" s="18" t="s">
        <v>14</v>
      </c>
      <c r="D2353" s="18" t="s">
        <v>15</v>
      </c>
      <c r="E2353" s="18" t="s">
        <v>230</v>
      </c>
      <c r="F2353" s="2">
        <f>+J2353-I2353</f>
        <v>30</v>
      </c>
      <c r="G2353" s="2">
        <f ca="1">+TODAY()-I2353</f>
        <v>1600</v>
      </c>
      <c r="H2353" s="15">
        <v>2341731</v>
      </c>
      <c r="I2353" s="1">
        <v>44520</v>
      </c>
      <c r="J2353" s="1">
        <v>44550</v>
      </c>
      <c r="K2353" s="18" t="s">
        <v>17</v>
      </c>
      <c r="L2353" s="18" t="s">
        <v>18</v>
      </c>
      <c r="M2353" s="18" t="s">
        <v>19</v>
      </c>
      <c r="N2353" s="18" t="s">
        <v>20</v>
      </c>
      <c r="O2353">
        <v>30</v>
      </c>
    </row>
    <row r="2354" spans="1:15" x14ac:dyDescent="0.25">
      <c r="A2354" s="18" t="s">
        <v>7276</v>
      </c>
      <c r="B2354" s="18" t="s">
        <v>13</v>
      </c>
      <c r="C2354" s="18" t="s">
        <v>14</v>
      </c>
      <c r="D2354" s="18" t="s">
        <v>15</v>
      </c>
      <c r="E2354" s="18" t="s">
        <v>231</v>
      </c>
      <c r="F2354" s="2">
        <f>+J2354-I2354</f>
        <v>30</v>
      </c>
      <c r="G2354" s="2">
        <f ca="1">+TODAY()-I2354</f>
        <v>1591</v>
      </c>
      <c r="H2354" s="15">
        <v>18120000</v>
      </c>
      <c r="I2354" s="1">
        <v>44529</v>
      </c>
      <c r="J2354" s="1">
        <v>44559</v>
      </c>
      <c r="K2354" s="18" t="s">
        <v>17</v>
      </c>
      <c r="L2354" s="18" t="s">
        <v>18</v>
      </c>
      <c r="M2354" s="18" t="s">
        <v>19</v>
      </c>
      <c r="N2354" s="18" t="s">
        <v>20</v>
      </c>
      <c r="O2354">
        <v>30</v>
      </c>
    </row>
    <row r="2355" spans="1:15" x14ac:dyDescent="0.25">
      <c r="A2355" s="18" t="s">
        <v>7276</v>
      </c>
      <c r="B2355" s="18" t="s">
        <v>13</v>
      </c>
      <c r="C2355" s="18" t="s">
        <v>14</v>
      </c>
      <c r="D2355" s="18" t="s">
        <v>15</v>
      </c>
      <c r="E2355" s="18" t="s">
        <v>232</v>
      </c>
      <c r="F2355" s="2">
        <f>+J2355-I2355</f>
        <v>30</v>
      </c>
      <c r="G2355" s="2">
        <f ca="1">+TODAY()-I2355</f>
        <v>1590</v>
      </c>
      <c r="H2355" s="15">
        <v>11905051</v>
      </c>
      <c r="I2355" s="1">
        <v>44530</v>
      </c>
      <c r="J2355" s="1">
        <v>44560</v>
      </c>
      <c r="K2355" s="18" t="s">
        <v>17</v>
      </c>
      <c r="L2355" s="18" t="s">
        <v>18</v>
      </c>
      <c r="M2355" s="18" t="s">
        <v>19</v>
      </c>
      <c r="N2355" s="18" t="s">
        <v>20</v>
      </c>
      <c r="O2355">
        <v>30</v>
      </c>
    </row>
    <row r="2356" spans="1:15" x14ac:dyDescent="0.25">
      <c r="A2356" s="18" t="s">
        <v>7276</v>
      </c>
      <c r="B2356" s="18" t="s">
        <v>13</v>
      </c>
      <c r="C2356" s="18" t="s">
        <v>14</v>
      </c>
      <c r="D2356" s="18" t="s">
        <v>15</v>
      </c>
      <c r="E2356" s="18" t="s">
        <v>233</v>
      </c>
      <c r="F2356" s="2">
        <f>+J2356-I2356</f>
        <v>30</v>
      </c>
      <c r="G2356" s="2">
        <f ca="1">+TODAY()-I2356</f>
        <v>1574</v>
      </c>
      <c r="H2356" s="15">
        <v>67159734</v>
      </c>
      <c r="I2356" s="1">
        <v>44546</v>
      </c>
      <c r="J2356" s="1">
        <v>44576</v>
      </c>
      <c r="K2356" s="18" t="s">
        <v>17</v>
      </c>
      <c r="L2356" s="18" t="s">
        <v>18</v>
      </c>
      <c r="M2356" s="18" t="s">
        <v>19</v>
      </c>
      <c r="N2356" s="18" t="s">
        <v>20</v>
      </c>
      <c r="O2356">
        <v>30</v>
      </c>
    </row>
    <row r="2357" spans="1:15" x14ac:dyDescent="0.25">
      <c r="A2357" s="18" t="s">
        <v>7276</v>
      </c>
      <c r="B2357" s="18" t="s">
        <v>13</v>
      </c>
      <c r="C2357" s="18" t="s">
        <v>14</v>
      </c>
      <c r="D2357" s="18" t="s">
        <v>15</v>
      </c>
      <c r="E2357" s="18" t="s">
        <v>234</v>
      </c>
      <c r="F2357" s="2">
        <f>+J2357-I2357</f>
        <v>30</v>
      </c>
      <c r="G2357" s="2">
        <f ca="1">+TODAY()-I2357</f>
        <v>1574</v>
      </c>
      <c r="H2357" s="15">
        <v>9851764</v>
      </c>
      <c r="I2357" s="1">
        <v>44546</v>
      </c>
      <c r="J2357" s="1">
        <v>44576</v>
      </c>
      <c r="K2357" s="18" t="s">
        <v>17</v>
      </c>
      <c r="L2357" s="18" t="s">
        <v>18</v>
      </c>
      <c r="M2357" s="18" t="s">
        <v>19</v>
      </c>
      <c r="N2357" s="18" t="s">
        <v>20</v>
      </c>
      <c r="O2357">
        <v>30</v>
      </c>
    </row>
    <row r="2358" spans="1:15" x14ac:dyDescent="0.25">
      <c r="A2358" s="18" t="s">
        <v>7276</v>
      </c>
      <c r="B2358" s="18" t="s">
        <v>13</v>
      </c>
      <c r="C2358" s="18" t="s">
        <v>14</v>
      </c>
      <c r="D2358" s="18" t="s">
        <v>15</v>
      </c>
      <c r="E2358" s="18" t="s">
        <v>235</v>
      </c>
      <c r="F2358" s="2">
        <f>+J2358-I2358</f>
        <v>30</v>
      </c>
      <c r="G2358" s="2">
        <f ca="1">+TODAY()-I2358</f>
        <v>1573</v>
      </c>
      <c r="H2358" s="15">
        <v>5115086</v>
      </c>
      <c r="I2358" s="1">
        <v>44547</v>
      </c>
      <c r="J2358" s="1">
        <v>44577</v>
      </c>
      <c r="K2358" s="18" t="s">
        <v>17</v>
      </c>
      <c r="L2358" s="18" t="s">
        <v>18</v>
      </c>
      <c r="M2358" s="18" t="s">
        <v>19</v>
      </c>
      <c r="N2358" s="18" t="s">
        <v>20</v>
      </c>
      <c r="O2358">
        <v>30</v>
      </c>
    </row>
    <row r="2359" spans="1:15" x14ac:dyDescent="0.25">
      <c r="A2359" s="18" t="s">
        <v>7276</v>
      </c>
      <c r="B2359" s="18" t="s">
        <v>13</v>
      </c>
      <c r="C2359" s="18" t="s">
        <v>14</v>
      </c>
      <c r="D2359" s="18" t="s">
        <v>15</v>
      </c>
      <c r="E2359" s="18" t="s">
        <v>236</v>
      </c>
      <c r="F2359" s="2">
        <f>+J2359-I2359</f>
        <v>30</v>
      </c>
      <c r="G2359" s="2">
        <f ca="1">+TODAY()-I2359</f>
        <v>1556</v>
      </c>
      <c r="H2359" s="15">
        <v>25064457</v>
      </c>
      <c r="I2359" s="1">
        <v>44564</v>
      </c>
      <c r="J2359" s="1">
        <v>44594</v>
      </c>
      <c r="K2359" s="18" t="s">
        <v>17</v>
      </c>
      <c r="L2359" s="18" t="s">
        <v>18</v>
      </c>
      <c r="M2359" s="18" t="s">
        <v>19</v>
      </c>
      <c r="N2359" s="18" t="s">
        <v>20</v>
      </c>
      <c r="O2359">
        <v>30</v>
      </c>
    </row>
    <row r="2360" spans="1:15" x14ac:dyDescent="0.25">
      <c r="A2360" s="18" t="s">
        <v>7276</v>
      </c>
      <c r="B2360" s="18" t="s">
        <v>13</v>
      </c>
      <c r="C2360" s="18" t="s">
        <v>14</v>
      </c>
      <c r="D2360" s="18" t="s">
        <v>15</v>
      </c>
      <c r="E2360" s="18" t="s">
        <v>237</v>
      </c>
      <c r="F2360" s="2">
        <f>+J2360-I2360</f>
        <v>30</v>
      </c>
      <c r="G2360" s="2">
        <f ca="1">+TODAY()-I2360</f>
        <v>1545</v>
      </c>
      <c r="H2360" s="15">
        <v>7963174</v>
      </c>
      <c r="I2360" s="1">
        <v>44575</v>
      </c>
      <c r="J2360" s="1">
        <v>44605</v>
      </c>
      <c r="K2360" s="18" t="s">
        <v>17</v>
      </c>
      <c r="L2360" s="18" t="s">
        <v>47</v>
      </c>
      <c r="M2360" s="18" t="s">
        <v>19</v>
      </c>
      <c r="N2360" s="18" t="s">
        <v>20</v>
      </c>
      <c r="O2360">
        <v>30</v>
      </c>
    </row>
    <row r="2361" spans="1:15" x14ac:dyDescent="0.25">
      <c r="A2361" s="18" t="s">
        <v>7276</v>
      </c>
      <c r="B2361" s="18" t="s">
        <v>13</v>
      </c>
      <c r="C2361" s="18" t="s">
        <v>14</v>
      </c>
      <c r="D2361" s="18" t="s">
        <v>15</v>
      </c>
      <c r="E2361" s="18" t="s">
        <v>238</v>
      </c>
      <c r="F2361" s="2">
        <f>+J2361-I2361</f>
        <v>30</v>
      </c>
      <c r="G2361" s="2">
        <f ca="1">+TODAY()-I2361</f>
        <v>1545</v>
      </c>
      <c r="H2361" s="15">
        <v>3783586</v>
      </c>
      <c r="I2361" s="1">
        <v>44575</v>
      </c>
      <c r="J2361" s="1">
        <v>44605</v>
      </c>
      <c r="K2361" s="18" t="s">
        <v>17</v>
      </c>
      <c r="L2361" s="18" t="s">
        <v>47</v>
      </c>
      <c r="M2361" s="18" t="s">
        <v>19</v>
      </c>
      <c r="N2361" s="18" t="s">
        <v>20</v>
      </c>
      <c r="O2361">
        <v>30</v>
      </c>
    </row>
    <row r="2362" spans="1:15" x14ac:dyDescent="0.25">
      <c r="A2362" s="18" t="s">
        <v>7276</v>
      </c>
      <c r="B2362" s="18" t="s">
        <v>13</v>
      </c>
      <c r="C2362" s="18" t="s">
        <v>14</v>
      </c>
      <c r="D2362" s="18" t="s">
        <v>15</v>
      </c>
      <c r="E2362" s="18" t="s">
        <v>239</v>
      </c>
      <c r="F2362" s="2">
        <f>+J2362-I2362</f>
        <v>30</v>
      </c>
      <c r="G2362" s="2">
        <f ca="1">+TODAY()-I2362</f>
        <v>1542</v>
      </c>
      <c r="H2362" s="15">
        <v>1264315</v>
      </c>
      <c r="I2362" s="1">
        <v>44578</v>
      </c>
      <c r="J2362" s="1">
        <v>44608</v>
      </c>
      <c r="K2362" s="18" t="s">
        <v>17</v>
      </c>
      <c r="L2362" s="18" t="s">
        <v>18</v>
      </c>
      <c r="M2362" s="18" t="s">
        <v>19</v>
      </c>
      <c r="N2362" s="18" t="s">
        <v>20</v>
      </c>
      <c r="O2362">
        <v>30</v>
      </c>
    </row>
    <row r="2363" spans="1:15" x14ac:dyDescent="0.25">
      <c r="A2363" s="18" t="s">
        <v>7276</v>
      </c>
      <c r="B2363" s="18" t="s">
        <v>13</v>
      </c>
      <c r="C2363" s="18" t="s">
        <v>14</v>
      </c>
      <c r="D2363" s="18" t="s">
        <v>15</v>
      </c>
      <c r="E2363" s="18" t="s">
        <v>240</v>
      </c>
      <c r="F2363" s="2">
        <f>+J2363-I2363</f>
        <v>30</v>
      </c>
      <c r="G2363" s="2">
        <f ca="1">+TODAY()-I2363</f>
        <v>1532</v>
      </c>
      <c r="H2363" s="15">
        <v>22920883</v>
      </c>
      <c r="I2363" s="1">
        <v>44588</v>
      </c>
      <c r="J2363" s="1">
        <v>44618</v>
      </c>
      <c r="K2363" s="18" t="s">
        <v>17</v>
      </c>
      <c r="L2363" s="18" t="s">
        <v>18</v>
      </c>
      <c r="M2363" s="18" t="s">
        <v>19</v>
      </c>
      <c r="N2363" s="18" t="s">
        <v>20</v>
      </c>
      <c r="O2363">
        <v>30</v>
      </c>
    </row>
    <row r="2364" spans="1:15" x14ac:dyDescent="0.25">
      <c r="A2364" s="18" t="s">
        <v>7276</v>
      </c>
      <c r="B2364" s="18" t="s">
        <v>13</v>
      </c>
      <c r="C2364" s="18" t="s">
        <v>14</v>
      </c>
      <c r="D2364" s="18" t="s">
        <v>15</v>
      </c>
      <c r="E2364" s="18" t="s">
        <v>241</v>
      </c>
      <c r="F2364" s="2">
        <f>+J2364-I2364</f>
        <v>30</v>
      </c>
      <c r="G2364" s="2">
        <f ca="1">+TODAY()-I2364</f>
        <v>1532</v>
      </c>
      <c r="H2364" s="15">
        <v>1130093</v>
      </c>
      <c r="I2364" s="1">
        <v>44588</v>
      </c>
      <c r="J2364" s="1">
        <v>44618</v>
      </c>
      <c r="K2364" s="18" t="s">
        <v>17</v>
      </c>
      <c r="L2364" s="18" t="s">
        <v>18</v>
      </c>
      <c r="M2364" s="18" t="s">
        <v>19</v>
      </c>
      <c r="N2364" s="18" t="s">
        <v>20</v>
      </c>
      <c r="O2364">
        <v>30</v>
      </c>
    </row>
    <row r="2365" spans="1:15" x14ac:dyDescent="0.25">
      <c r="A2365" s="18" t="s">
        <v>7276</v>
      </c>
      <c r="B2365" s="18" t="s">
        <v>13</v>
      </c>
      <c r="C2365" s="18" t="s">
        <v>14</v>
      </c>
      <c r="D2365" s="18" t="s">
        <v>15</v>
      </c>
      <c r="E2365" s="18" t="s">
        <v>242</v>
      </c>
      <c r="F2365" s="2">
        <f>+J2365-I2365</f>
        <v>30</v>
      </c>
      <c r="G2365" s="2">
        <f ca="1">+TODAY()-I2365</f>
        <v>1520</v>
      </c>
      <c r="H2365" s="15">
        <v>13770787</v>
      </c>
      <c r="I2365" s="1">
        <v>44600</v>
      </c>
      <c r="J2365" s="1">
        <v>44630</v>
      </c>
      <c r="K2365" s="18" t="s">
        <v>17</v>
      </c>
      <c r="L2365" s="18" t="s">
        <v>18</v>
      </c>
      <c r="M2365" s="18" t="s">
        <v>19</v>
      </c>
      <c r="N2365" s="18" t="s">
        <v>20</v>
      </c>
      <c r="O2365">
        <v>30</v>
      </c>
    </row>
    <row r="2366" spans="1:15" x14ac:dyDescent="0.25">
      <c r="A2366" s="18" t="s">
        <v>7276</v>
      </c>
      <c r="B2366" s="18" t="s">
        <v>13</v>
      </c>
      <c r="C2366" s="18" t="s">
        <v>14</v>
      </c>
      <c r="D2366" s="18" t="s">
        <v>15</v>
      </c>
      <c r="E2366" s="18" t="s">
        <v>243</v>
      </c>
      <c r="F2366" s="2">
        <f>+J2366-I2366</f>
        <v>30</v>
      </c>
      <c r="G2366" s="2">
        <f ca="1">+TODAY()-I2366</f>
        <v>1520</v>
      </c>
      <c r="H2366" s="15">
        <v>732386</v>
      </c>
      <c r="I2366" s="1">
        <v>44600</v>
      </c>
      <c r="J2366" s="1">
        <v>44630</v>
      </c>
      <c r="K2366" s="18" t="s">
        <v>17</v>
      </c>
      <c r="L2366" s="18" t="s">
        <v>18</v>
      </c>
      <c r="M2366" s="18" t="s">
        <v>19</v>
      </c>
      <c r="N2366" s="18" t="s">
        <v>20</v>
      </c>
      <c r="O2366">
        <v>30</v>
      </c>
    </row>
    <row r="2367" spans="1:15" x14ac:dyDescent="0.25">
      <c r="A2367" s="18" t="s">
        <v>7276</v>
      </c>
      <c r="B2367" s="18" t="s">
        <v>13</v>
      </c>
      <c r="C2367" s="18" t="s">
        <v>14</v>
      </c>
      <c r="D2367" s="18" t="s">
        <v>15</v>
      </c>
      <c r="E2367" s="18" t="s">
        <v>244</v>
      </c>
      <c r="F2367" s="2">
        <f>+J2367-I2367</f>
        <v>30</v>
      </c>
      <c r="G2367" s="2">
        <f ca="1">+TODAY()-I2367</f>
        <v>1520</v>
      </c>
      <c r="H2367" s="15">
        <v>261600</v>
      </c>
      <c r="I2367" s="1">
        <v>44600</v>
      </c>
      <c r="J2367" s="1">
        <v>44630</v>
      </c>
      <c r="K2367" s="18" t="s">
        <v>17</v>
      </c>
      <c r="L2367" s="18" t="s">
        <v>18</v>
      </c>
      <c r="M2367" s="18" t="s">
        <v>19</v>
      </c>
      <c r="N2367" s="18" t="s">
        <v>20</v>
      </c>
      <c r="O2367">
        <v>30</v>
      </c>
    </row>
    <row r="2368" spans="1:15" x14ac:dyDescent="0.25">
      <c r="A2368" s="18" t="s">
        <v>7276</v>
      </c>
      <c r="B2368" s="18" t="s">
        <v>13</v>
      </c>
      <c r="C2368" s="18" t="s">
        <v>14</v>
      </c>
      <c r="D2368" s="18" t="s">
        <v>15</v>
      </c>
      <c r="E2368" s="18" t="s">
        <v>245</v>
      </c>
      <c r="F2368" s="2">
        <f>+J2368-I2368</f>
        <v>30</v>
      </c>
      <c r="G2368" s="2">
        <f ca="1">+TODAY()-I2368</f>
        <v>1516</v>
      </c>
      <c r="H2368" s="15">
        <v>11631263</v>
      </c>
      <c r="I2368" s="1">
        <v>44604</v>
      </c>
      <c r="J2368" s="1">
        <v>44634</v>
      </c>
      <c r="K2368" s="18" t="s">
        <v>17</v>
      </c>
      <c r="L2368" s="18" t="s">
        <v>18</v>
      </c>
      <c r="M2368" s="18" t="s">
        <v>19</v>
      </c>
      <c r="N2368" s="18" t="s">
        <v>20</v>
      </c>
      <c r="O2368">
        <v>30</v>
      </c>
    </row>
    <row r="2369" spans="1:15" x14ac:dyDescent="0.25">
      <c r="A2369" s="18" t="s">
        <v>7276</v>
      </c>
      <c r="B2369" s="18" t="s">
        <v>13</v>
      </c>
      <c r="C2369" s="18" t="s">
        <v>14</v>
      </c>
      <c r="D2369" s="18" t="s">
        <v>15</v>
      </c>
      <c r="E2369" s="18" t="s">
        <v>246</v>
      </c>
      <c r="F2369" s="2">
        <f>+J2369-I2369</f>
        <v>30</v>
      </c>
      <c r="G2369" s="2">
        <f ca="1">+TODAY()-I2369</f>
        <v>1513</v>
      </c>
      <c r="H2369" s="15">
        <v>720125</v>
      </c>
      <c r="I2369" s="1">
        <v>44607</v>
      </c>
      <c r="J2369" s="1">
        <v>44637</v>
      </c>
      <c r="K2369" s="18" t="s">
        <v>17</v>
      </c>
      <c r="L2369" s="18" t="s">
        <v>18</v>
      </c>
      <c r="M2369" s="18" t="s">
        <v>19</v>
      </c>
      <c r="N2369" s="18" t="s">
        <v>20</v>
      </c>
      <c r="O2369">
        <v>30</v>
      </c>
    </row>
    <row r="2370" spans="1:15" x14ac:dyDescent="0.25">
      <c r="A2370" s="18" t="s">
        <v>7276</v>
      </c>
      <c r="B2370" s="18" t="s">
        <v>13</v>
      </c>
      <c r="C2370" s="18" t="s">
        <v>14</v>
      </c>
      <c r="D2370" s="18" t="s">
        <v>15</v>
      </c>
      <c r="E2370" s="18" t="s">
        <v>247</v>
      </c>
      <c r="F2370" s="2">
        <f>+J2370-I2370</f>
        <v>30</v>
      </c>
      <c r="G2370" s="2">
        <f ca="1">+TODAY()-I2370</f>
        <v>1503</v>
      </c>
      <c r="H2370" s="15">
        <v>26869061</v>
      </c>
      <c r="I2370" s="1">
        <v>44617</v>
      </c>
      <c r="J2370" s="1">
        <v>44647</v>
      </c>
      <c r="K2370" s="18" t="s">
        <v>17</v>
      </c>
      <c r="L2370" s="18" t="s">
        <v>18</v>
      </c>
      <c r="M2370" s="18" t="s">
        <v>19</v>
      </c>
      <c r="N2370" s="18" t="s">
        <v>20</v>
      </c>
      <c r="O2370">
        <v>30</v>
      </c>
    </row>
    <row r="2371" spans="1:15" x14ac:dyDescent="0.25">
      <c r="A2371" s="18" t="s">
        <v>7276</v>
      </c>
      <c r="B2371" s="18" t="s">
        <v>13</v>
      </c>
      <c r="C2371" s="18" t="s">
        <v>14</v>
      </c>
      <c r="D2371" s="18" t="s">
        <v>15</v>
      </c>
      <c r="E2371" s="18" t="s">
        <v>248</v>
      </c>
      <c r="F2371" s="2">
        <f>+J2371-I2371</f>
        <v>30</v>
      </c>
      <c r="G2371" s="2">
        <f ca="1">+TODAY()-I2371</f>
        <v>1500</v>
      </c>
      <c r="H2371" s="15">
        <v>29539512</v>
      </c>
      <c r="I2371" s="1">
        <v>44620</v>
      </c>
      <c r="J2371" s="1">
        <v>44650</v>
      </c>
      <c r="K2371" s="18" t="s">
        <v>17</v>
      </c>
      <c r="L2371" s="18" t="s">
        <v>18</v>
      </c>
      <c r="M2371" s="18" t="s">
        <v>19</v>
      </c>
      <c r="N2371" s="18" t="s">
        <v>20</v>
      </c>
      <c r="O2371">
        <v>30</v>
      </c>
    </row>
    <row r="2372" spans="1:15" x14ac:dyDescent="0.25">
      <c r="A2372" s="18" t="s">
        <v>7276</v>
      </c>
      <c r="B2372" s="18" t="s">
        <v>13</v>
      </c>
      <c r="C2372" s="18" t="s">
        <v>14</v>
      </c>
      <c r="D2372" s="18" t="s">
        <v>15</v>
      </c>
      <c r="E2372" s="18" t="s">
        <v>249</v>
      </c>
      <c r="F2372" s="2">
        <f>+J2372-I2372</f>
        <v>30</v>
      </c>
      <c r="G2372" s="2">
        <f ca="1">+TODAY()-I2372</f>
        <v>1495</v>
      </c>
      <c r="H2372" s="15">
        <v>2688505</v>
      </c>
      <c r="I2372" s="1">
        <v>44625</v>
      </c>
      <c r="J2372" s="1">
        <v>44655</v>
      </c>
      <c r="K2372" s="18" t="s">
        <v>17</v>
      </c>
      <c r="L2372" s="18" t="s">
        <v>18</v>
      </c>
      <c r="M2372" s="18" t="s">
        <v>19</v>
      </c>
      <c r="N2372" s="18" t="s">
        <v>20</v>
      </c>
      <c r="O2372">
        <v>30</v>
      </c>
    </row>
    <row r="2373" spans="1:15" x14ac:dyDescent="0.25">
      <c r="A2373" s="18" t="s">
        <v>7276</v>
      </c>
      <c r="B2373" s="18" t="s">
        <v>13</v>
      </c>
      <c r="C2373" s="18" t="s">
        <v>14</v>
      </c>
      <c r="D2373" s="18" t="s">
        <v>15</v>
      </c>
      <c r="E2373" s="18" t="s">
        <v>250</v>
      </c>
      <c r="F2373" s="2">
        <f>+J2373-I2373</f>
        <v>30</v>
      </c>
      <c r="G2373" s="2">
        <f ca="1">+TODAY()-I2373</f>
        <v>1491</v>
      </c>
      <c r="H2373" s="15">
        <v>4239891</v>
      </c>
      <c r="I2373" s="1">
        <v>44629</v>
      </c>
      <c r="J2373" s="1">
        <v>44659</v>
      </c>
      <c r="K2373" s="18" t="s">
        <v>17</v>
      </c>
      <c r="L2373" s="18" t="s">
        <v>18</v>
      </c>
      <c r="M2373" s="18" t="s">
        <v>19</v>
      </c>
      <c r="N2373" s="18" t="s">
        <v>20</v>
      </c>
      <c r="O2373">
        <v>30</v>
      </c>
    </row>
    <row r="2374" spans="1:15" x14ac:dyDescent="0.25">
      <c r="A2374" s="18" t="s">
        <v>7276</v>
      </c>
      <c r="B2374" s="18" t="s">
        <v>13</v>
      </c>
      <c r="C2374" s="18" t="s">
        <v>14</v>
      </c>
      <c r="D2374" s="18" t="s">
        <v>15</v>
      </c>
      <c r="E2374" s="18" t="s">
        <v>251</v>
      </c>
      <c r="F2374" s="2">
        <f>+J2374-I2374</f>
        <v>30</v>
      </c>
      <c r="G2374" s="2">
        <f ca="1">+TODAY()-I2374</f>
        <v>1488</v>
      </c>
      <c r="H2374" s="15">
        <v>9676128</v>
      </c>
      <c r="I2374" s="1">
        <v>44632</v>
      </c>
      <c r="J2374" s="1">
        <v>44662</v>
      </c>
      <c r="K2374" s="18" t="s">
        <v>17</v>
      </c>
      <c r="L2374" s="18" t="s">
        <v>18</v>
      </c>
      <c r="M2374" s="18" t="s">
        <v>19</v>
      </c>
      <c r="N2374" s="18" t="s">
        <v>20</v>
      </c>
      <c r="O2374">
        <v>30</v>
      </c>
    </row>
    <row r="2375" spans="1:15" x14ac:dyDescent="0.25">
      <c r="A2375" s="18" t="s">
        <v>7276</v>
      </c>
      <c r="B2375" s="18" t="s">
        <v>13</v>
      </c>
      <c r="C2375" s="18" t="s">
        <v>14</v>
      </c>
      <c r="D2375" s="18" t="s">
        <v>15</v>
      </c>
      <c r="E2375" s="18" t="s">
        <v>252</v>
      </c>
      <c r="F2375" s="2">
        <f>+J2375-I2375</f>
        <v>30</v>
      </c>
      <c r="G2375" s="2">
        <f ca="1">+TODAY()-I2375</f>
        <v>1477</v>
      </c>
      <c r="H2375" s="15">
        <v>1582170</v>
      </c>
      <c r="I2375" s="1">
        <v>44643</v>
      </c>
      <c r="J2375" s="1">
        <v>44673</v>
      </c>
      <c r="K2375" s="18" t="s">
        <v>17</v>
      </c>
      <c r="L2375" s="18" t="s">
        <v>18</v>
      </c>
      <c r="M2375" s="18" t="s">
        <v>19</v>
      </c>
      <c r="N2375" s="18" t="s">
        <v>20</v>
      </c>
      <c r="O2375">
        <v>30</v>
      </c>
    </row>
    <row r="2376" spans="1:15" x14ac:dyDescent="0.25">
      <c r="A2376" s="18" t="s">
        <v>7276</v>
      </c>
      <c r="B2376" s="18" t="s">
        <v>13</v>
      </c>
      <c r="C2376" s="18" t="s">
        <v>14</v>
      </c>
      <c r="D2376" s="18" t="s">
        <v>15</v>
      </c>
      <c r="E2376" s="18" t="s">
        <v>253</v>
      </c>
      <c r="F2376" s="2">
        <f>+J2376-I2376</f>
        <v>30</v>
      </c>
      <c r="G2376" s="2">
        <f ca="1">+TODAY()-I2376</f>
        <v>1476</v>
      </c>
      <c r="H2376" s="15">
        <v>1244997</v>
      </c>
      <c r="I2376" s="1">
        <v>44644</v>
      </c>
      <c r="J2376" s="1">
        <v>44674</v>
      </c>
      <c r="K2376" s="18" t="s">
        <v>17</v>
      </c>
      <c r="L2376" s="18" t="s">
        <v>18</v>
      </c>
      <c r="M2376" s="18" t="s">
        <v>19</v>
      </c>
      <c r="N2376" s="18" t="s">
        <v>20</v>
      </c>
      <c r="O2376">
        <v>30</v>
      </c>
    </row>
    <row r="2377" spans="1:15" x14ac:dyDescent="0.25">
      <c r="A2377" s="18" t="s">
        <v>7276</v>
      </c>
      <c r="B2377" s="18" t="s">
        <v>13</v>
      </c>
      <c r="C2377" s="18" t="s">
        <v>14</v>
      </c>
      <c r="D2377" s="18" t="s">
        <v>15</v>
      </c>
      <c r="E2377" s="18" t="s">
        <v>254</v>
      </c>
      <c r="F2377" s="2">
        <f>+J2377-I2377</f>
        <v>30</v>
      </c>
      <c r="G2377" s="2">
        <f ca="1">+TODAY()-I2377</f>
        <v>1474</v>
      </c>
      <c r="H2377" s="15">
        <v>8827204</v>
      </c>
      <c r="I2377" s="1">
        <v>44646</v>
      </c>
      <c r="J2377" s="1">
        <v>44676</v>
      </c>
      <c r="K2377" s="18" t="s">
        <v>17</v>
      </c>
      <c r="L2377" s="18" t="s">
        <v>18</v>
      </c>
      <c r="M2377" s="18" t="s">
        <v>19</v>
      </c>
      <c r="N2377" s="18" t="s">
        <v>20</v>
      </c>
      <c r="O2377">
        <v>30</v>
      </c>
    </row>
    <row r="2378" spans="1:15" x14ac:dyDescent="0.25">
      <c r="A2378" s="18" t="s">
        <v>7276</v>
      </c>
      <c r="B2378" s="18" t="s">
        <v>13</v>
      </c>
      <c r="C2378" s="18" t="s">
        <v>14</v>
      </c>
      <c r="D2378" s="18" t="s">
        <v>15</v>
      </c>
      <c r="E2378" s="18" t="s">
        <v>255</v>
      </c>
      <c r="F2378" s="2">
        <f>+J2378-I2378</f>
        <v>30</v>
      </c>
      <c r="G2378" s="2">
        <f ca="1">+TODAY()-I2378</f>
        <v>1464</v>
      </c>
      <c r="H2378" s="15">
        <v>1789950</v>
      </c>
      <c r="I2378" s="1">
        <v>44656</v>
      </c>
      <c r="J2378" s="1">
        <v>44686</v>
      </c>
      <c r="K2378" s="18" t="s">
        <v>17</v>
      </c>
      <c r="L2378" s="18" t="s">
        <v>47</v>
      </c>
      <c r="M2378" s="18" t="s">
        <v>19</v>
      </c>
      <c r="N2378" s="18" t="s">
        <v>20</v>
      </c>
      <c r="O2378">
        <v>30</v>
      </c>
    </row>
    <row r="2379" spans="1:15" x14ac:dyDescent="0.25">
      <c r="A2379" s="18" t="s">
        <v>7276</v>
      </c>
      <c r="B2379" s="18" t="s">
        <v>13</v>
      </c>
      <c r="C2379" s="18" t="s">
        <v>14</v>
      </c>
      <c r="D2379" s="18" t="s">
        <v>15</v>
      </c>
      <c r="E2379" s="18" t="s">
        <v>256</v>
      </c>
      <c r="F2379" s="2">
        <f>+J2379-I2379</f>
        <v>30</v>
      </c>
      <c r="G2379" s="2">
        <f ca="1">+TODAY()-I2379</f>
        <v>1461</v>
      </c>
      <c r="H2379" s="15">
        <v>2657984</v>
      </c>
      <c r="I2379" s="1">
        <v>44659</v>
      </c>
      <c r="J2379" s="1">
        <v>44689</v>
      </c>
      <c r="K2379" s="18" t="s">
        <v>17</v>
      </c>
      <c r="L2379" s="18" t="s">
        <v>18</v>
      </c>
      <c r="M2379" s="18" t="s">
        <v>19</v>
      </c>
      <c r="N2379" s="18" t="s">
        <v>20</v>
      </c>
      <c r="O2379">
        <v>30</v>
      </c>
    </row>
    <row r="2380" spans="1:15" x14ac:dyDescent="0.25">
      <c r="A2380" s="18" t="s">
        <v>7276</v>
      </c>
      <c r="B2380" s="18" t="s">
        <v>13</v>
      </c>
      <c r="C2380" s="18" t="s">
        <v>14</v>
      </c>
      <c r="D2380" s="18" t="s">
        <v>15</v>
      </c>
      <c r="E2380" s="18" t="s">
        <v>257</v>
      </c>
      <c r="F2380" s="2">
        <f>+J2380-I2380</f>
        <v>30</v>
      </c>
      <c r="G2380" s="2">
        <f ca="1">+TODAY()-I2380</f>
        <v>1448</v>
      </c>
      <c r="H2380" s="15">
        <v>4767690</v>
      </c>
      <c r="I2380" s="1">
        <v>44672</v>
      </c>
      <c r="J2380" s="1">
        <v>44702</v>
      </c>
      <c r="K2380" s="18" t="s">
        <v>17</v>
      </c>
      <c r="L2380" s="18" t="s">
        <v>18</v>
      </c>
      <c r="M2380" s="18" t="s">
        <v>19</v>
      </c>
      <c r="N2380" s="18" t="s">
        <v>20</v>
      </c>
      <c r="O2380">
        <v>30</v>
      </c>
    </row>
    <row r="2381" spans="1:15" x14ac:dyDescent="0.25">
      <c r="A2381" s="18" t="s">
        <v>7276</v>
      </c>
      <c r="B2381" s="18" t="s">
        <v>13</v>
      </c>
      <c r="C2381" s="18" t="s">
        <v>14</v>
      </c>
      <c r="D2381" s="18" t="s">
        <v>15</v>
      </c>
      <c r="E2381" s="18" t="s">
        <v>258</v>
      </c>
      <c r="F2381" s="2">
        <f>+J2381-I2381</f>
        <v>30</v>
      </c>
      <c r="G2381" s="2">
        <f ca="1">+TODAY()-I2381</f>
        <v>1446</v>
      </c>
      <c r="H2381" s="15">
        <v>3911559</v>
      </c>
      <c r="I2381" s="1">
        <v>44674</v>
      </c>
      <c r="J2381" s="1">
        <v>44704</v>
      </c>
      <c r="K2381" s="18" t="s">
        <v>17</v>
      </c>
      <c r="L2381" s="18" t="s">
        <v>18</v>
      </c>
      <c r="M2381" s="18" t="s">
        <v>19</v>
      </c>
      <c r="N2381" s="18" t="s">
        <v>20</v>
      </c>
      <c r="O2381">
        <v>30</v>
      </c>
    </row>
    <row r="2382" spans="1:15" x14ac:dyDescent="0.25">
      <c r="A2382" s="18" t="s">
        <v>7276</v>
      </c>
      <c r="B2382" s="18" t="s">
        <v>13</v>
      </c>
      <c r="C2382" s="18" t="s">
        <v>14</v>
      </c>
      <c r="D2382" s="18" t="s">
        <v>15</v>
      </c>
      <c r="E2382" s="18" t="s">
        <v>259</v>
      </c>
      <c r="F2382" s="2">
        <f>+J2382-I2382</f>
        <v>30</v>
      </c>
      <c r="G2382" s="2">
        <f ca="1">+TODAY()-I2382</f>
        <v>1444</v>
      </c>
      <c r="H2382" s="15">
        <v>4469164</v>
      </c>
      <c r="I2382" s="1">
        <v>44676</v>
      </c>
      <c r="J2382" s="1">
        <v>44706</v>
      </c>
      <c r="K2382" s="18" t="s">
        <v>17</v>
      </c>
      <c r="L2382" s="18" t="s">
        <v>18</v>
      </c>
      <c r="M2382" s="18" t="s">
        <v>19</v>
      </c>
      <c r="N2382" s="18" t="s">
        <v>20</v>
      </c>
      <c r="O2382">
        <v>30</v>
      </c>
    </row>
    <row r="2383" spans="1:15" x14ac:dyDescent="0.25">
      <c r="A2383" s="18" t="s">
        <v>7276</v>
      </c>
      <c r="B2383" s="18" t="s">
        <v>13</v>
      </c>
      <c r="C2383" s="18" t="s">
        <v>14</v>
      </c>
      <c r="D2383" s="18" t="s">
        <v>15</v>
      </c>
      <c r="E2383" s="18" t="s">
        <v>260</v>
      </c>
      <c r="F2383" s="2">
        <f>+J2383-I2383</f>
        <v>30</v>
      </c>
      <c r="G2383" s="2">
        <f ca="1">+TODAY()-I2383</f>
        <v>1440</v>
      </c>
      <c r="H2383" s="15">
        <v>24166469</v>
      </c>
      <c r="I2383" s="1">
        <v>44680</v>
      </c>
      <c r="J2383" s="1">
        <v>44710</v>
      </c>
      <c r="K2383" s="18" t="s">
        <v>17</v>
      </c>
      <c r="L2383" s="18" t="s">
        <v>18</v>
      </c>
      <c r="M2383" s="18" t="s">
        <v>19</v>
      </c>
      <c r="N2383" s="18" t="s">
        <v>20</v>
      </c>
      <c r="O2383">
        <v>30</v>
      </c>
    </row>
    <row r="2384" spans="1:15" x14ac:dyDescent="0.25">
      <c r="A2384" s="18" t="s">
        <v>7276</v>
      </c>
      <c r="B2384" s="18" t="s">
        <v>13</v>
      </c>
      <c r="C2384" s="18" t="s">
        <v>14</v>
      </c>
      <c r="D2384" s="18" t="s">
        <v>15</v>
      </c>
      <c r="E2384" s="18" t="s">
        <v>261</v>
      </c>
      <c r="F2384" s="2">
        <f>+J2384-I2384</f>
        <v>30</v>
      </c>
      <c r="G2384" s="2">
        <f ca="1">+TODAY()-I2384</f>
        <v>1430</v>
      </c>
      <c r="H2384" s="15">
        <v>1296072</v>
      </c>
      <c r="I2384" s="1">
        <v>44690</v>
      </c>
      <c r="J2384" s="1">
        <v>44720</v>
      </c>
      <c r="K2384" s="18" t="s">
        <v>17</v>
      </c>
      <c r="L2384" s="18" t="s">
        <v>18</v>
      </c>
      <c r="M2384" s="18" t="s">
        <v>19</v>
      </c>
      <c r="N2384" s="18" t="s">
        <v>20</v>
      </c>
      <c r="O2384">
        <v>30</v>
      </c>
    </row>
    <row r="2385" spans="1:15" x14ac:dyDescent="0.25">
      <c r="A2385" s="18" t="s">
        <v>7276</v>
      </c>
      <c r="B2385" s="18" t="s">
        <v>13</v>
      </c>
      <c r="C2385" s="18" t="s">
        <v>14</v>
      </c>
      <c r="D2385" s="18" t="s">
        <v>15</v>
      </c>
      <c r="E2385" s="18" t="s">
        <v>262</v>
      </c>
      <c r="F2385" s="2">
        <f>+J2385-I2385</f>
        <v>30</v>
      </c>
      <c r="G2385" s="2">
        <f ca="1">+TODAY()-I2385</f>
        <v>1430</v>
      </c>
      <c r="H2385" s="15">
        <v>7284068</v>
      </c>
      <c r="I2385" s="1">
        <v>44690</v>
      </c>
      <c r="J2385" s="1">
        <v>44720</v>
      </c>
      <c r="K2385" s="18" t="s">
        <v>17</v>
      </c>
      <c r="L2385" s="18" t="s">
        <v>18</v>
      </c>
      <c r="M2385" s="18" t="s">
        <v>19</v>
      </c>
      <c r="N2385" s="18" t="s">
        <v>20</v>
      </c>
      <c r="O2385">
        <v>30</v>
      </c>
    </row>
    <row r="2386" spans="1:15" x14ac:dyDescent="0.25">
      <c r="A2386" s="18" t="s">
        <v>7276</v>
      </c>
      <c r="B2386" s="18" t="s">
        <v>13</v>
      </c>
      <c r="C2386" s="18" t="s">
        <v>14</v>
      </c>
      <c r="D2386" s="18" t="s">
        <v>15</v>
      </c>
      <c r="E2386" s="18" t="s">
        <v>263</v>
      </c>
      <c r="F2386" s="2">
        <f>+J2386-I2386</f>
        <v>30</v>
      </c>
      <c r="G2386" s="2">
        <f ca="1">+TODAY()-I2386</f>
        <v>1427</v>
      </c>
      <c r="H2386" s="15">
        <v>10646908</v>
      </c>
      <c r="I2386" s="1">
        <v>44693</v>
      </c>
      <c r="J2386" s="1">
        <v>44723</v>
      </c>
      <c r="K2386" s="18" t="s">
        <v>17</v>
      </c>
      <c r="L2386" s="18" t="s">
        <v>18</v>
      </c>
      <c r="M2386" s="18" t="s">
        <v>19</v>
      </c>
      <c r="N2386" s="18" t="s">
        <v>20</v>
      </c>
      <c r="O2386">
        <v>30</v>
      </c>
    </row>
    <row r="2387" spans="1:15" x14ac:dyDescent="0.25">
      <c r="A2387" s="18" t="s">
        <v>7276</v>
      </c>
      <c r="B2387" s="18" t="s">
        <v>13</v>
      </c>
      <c r="C2387" s="18" t="s">
        <v>14</v>
      </c>
      <c r="D2387" s="18" t="s">
        <v>15</v>
      </c>
      <c r="E2387" s="18" t="s">
        <v>264</v>
      </c>
      <c r="F2387" s="2">
        <f>+J2387-I2387</f>
        <v>30</v>
      </c>
      <c r="G2387" s="2">
        <f ca="1">+TODAY()-I2387</f>
        <v>1427</v>
      </c>
      <c r="H2387" s="15">
        <v>61461600</v>
      </c>
      <c r="I2387" s="1">
        <v>44693</v>
      </c>
      <c r="J2387" s="1">
        <v>44723</v>
      </c>
      <c r="K2387" s="18" t="s">
        <v>17</v>
      </c>
      <c r="L2387" s="18" t="s">
        <v>18</v>
      </c>
      <c r="M2387" s="18" t="s">
        <v>19</v>
      </c>
      <c r="N2387" s="18" t="s">
        <v>20</v>
      </c>
      <c r="O2387">
        <v>30</v>
      </c>
    </row>
    <row r="2388" spans="1:15" x14ac:dyDescent="0.25">
      <c r="A2388" s="18" t="s">
        <v>7276</v>
      </c>
      <c r="B2388" s="18" t="s">
        <v>13</v>
      </c>
      <c r="C2388" s="18" t="s">
        <v>14</v>
      </c>
      <c r="D2388" s="18" t="s">
        <v>15</v>
      </c>
      <c r="E2388" s="18" t="s">
        <v>265</v>
      </c>
      <c r="F2388" s="2">
        <f>+J2388-I2388</f>
        <v>30</v>
      </c>
      <c r="G2388" s="2">
        <f ca="1">+TODAY()-I2388</f>
        <v>1423</v>
      </c>
      <c r="H2388" s="15">
        <v>589410</v>
      </c>
      <c r="I2388" s="1">
        <v>44697</v>
      </c>
      <c r="J2388" s="1">
        <v>44727</v>
      </c>
      <c r="K2388" s="18" t="s">
        <v>17</v>
      </c>
      <c r="L2388" s="18" t="s">
        <v>18</v>
      </c>
      <c r="M2388" s="18" t="s">
        <v>19</v>
      </c>
      <c r="N2388" s="18" t="s">
        <v>20</v>
      </c>
      <c r="O2388">
        <v>30</v>
      </c>
    </row>
    <row r="2389" spans="1:15" x14ac:dyDescent="0.25">
      <c r="A2389" s="18" t="s">
        <v>7276</v>
      </c>
      <c r="B2389" s="18" t="s">
        <v>13</v>
      </c>
      <c r="C2389" s="18" t="s">
        <v>14</v>
      </c>
      <c r="D2389" s="18" t="s">
        <v>15</v>
      </c>
      <c r="E2389" s="18" t="s">
        <v>266</v>
      </c>
      <c r="F2389" s="2">
        <f>+J2389-I2389</f>
        <v>30</v>
      </c>
      <c r="G2389" s="2">
        <f ca="1">+TODAY()-I2389</f>
        <v>1421</v>
      </c>
      <c r="H2389" s="15">
        <v>7730988</v>
      </c>
      <c r="I2389" s="1">
        <v>44699</v>
      </c>
      <c r="J2389" s="1">
        <v>44729</v>
      </c>
      <c r="K2389" s="18" t="s">
        <v>17</v>
      </c>
      <c r="L2389" s="18" t="s">
        <v>18</v>
      </c>
      <c r="M2389" s="18" t="s">
        <v>19</v>
      </c>
      <c r="N2389" s="18" t="s">
        <v>20</v>
      </c>
      <c r="O2389">
        <v>30</v>
      </c>
    </row>
    <row r="2390" spans="1:15" x14ac:dyDescent="0.25">
      <c r="A2390" s="18" t="s">
        <v>7276</v>
      </c>
      <c r="B2390" s="18" t="s">
        <v>13</v>
      </c>
      <c r="C2390" s="18" t="s">
        <v>14</v>
      </c>
      <c r="D2390" s="18" t="s">
        <v>15</v>
      </c>
      <c r="E2390" s="18" t="s">
        <v>267</v>
      </c>
      <c r="F2390" s="2">
        <f>+J2390-I2390</f>
        <v>30</v>
      </c>
      <c r="G2390" s="2">
        <f ca="1">+TODAY()-I2390</f>
        <v>1419</v>
      </c>
      <c r="H2390" s="15">
        <v>10340000</v>
      </c>
      <c r="I2390" s="1">
        <v>44701</v>
      </c>
      <c r="J2390" s="1">
        <v>44731</v>
      </c>
      <c r="K2390" s="18" t="s">
        <v>17</v>
      </c>
      <c r="L2390" s="18" t="s">
        <v>18</v>
      </c>
      <c r="M2390" s="18" t="s">
        <v>19</v>
      </c>
      <c r="N2390" s="18" t="s">
        <v>20</v>
      </c>
      <c r="O2390">
        <v>30</v>
      </c>
    </row>
    <row r="2391" spans="1:15" x14ac:dyDescent="0.25">
      <c r="A2391" s="18" t="s">
        <v>7276</v>
      </c>
      <c r="B2391" s="18" t="s">
        <v>13</v>
      </c>
      <c r="C2391" s="18" t="s">
        <v>14</v>
      </c>
      <c r="D2391" s="18" t="s">
        <v>15</v>
      </c>
      <c r="E2391" s="18" t="s">
        <v>268</v>
      </c>
      <c r="F2391" s="2">
        <f>+J2391-I2391</f>
        <v>30</v>
      </c>
      <c r="G2391" s="2">
        <f ca="1">+TODAY()-I2391</f>
        <v>1419</v>
      </c>
      <c r="H2391" s="15">
        <v>7632000</v>
      </c>
      <c r="I2391" s="1">
        <v>44701</v>
      </c>
      <c r="J2391" s="1">
        <v>44731</v>
      </c>
      <c r="K2391" s="18" t="s">
        <v>17</v>
      </c>
      <c r="L2391" s="18" t="s">
        <v>18</v>
      </c>
      <c r="M2391" s="18" t="s">
        <v>19</v>
      </c>
      <c r="N2391" s="18" t="s">
        <v>20</v>
      </c>
      <c r="O2391">
        <v>30</v>
      </c>
    </row>
    <row r="2392" spans="1:15" x14ac:dyDescent="0.25">
      <c r="A2392" s="18" t="s">
        <v>7276</v>
      </c>
      <c r="B2392" s="18" t="s">
        <v>13</v>
      </c>
      <c r="C2392" s="18" t="s">
        <v>14</v>
      </c>
      <c r="D2392" s="18" t="s">
        <v>15</v>
      </c>
      <c r="E2392" s="18" t="s">
        <v>269</v>
      </c>
      <c r="F2392" s="2">
        <f>+J2392-I2392</f>
        <v>30</v>
      </c>
      <c r="G2392" s="2">
        <f ca="1">+TODAY()-I2392</f>
        <v>1418</v>
      </c>
      <c r="H2392" s="15">
        <v>5458838</v>
      </c>
      <c r="I2392" s="1">
        <v>44702</v>
      </c>
      <c r="J2392" s="1">
        <v>44732</v>
      </c>
      <c r="K2392" s="18" t="s">
        <v>17</v>
      </c>
      <c r="L2392" s="18" t="s">
        <v>18</v>
      </c>
      <c r="M2392" s="18" t="s">
        <v>19</v>
      </c>
      <c r="N2392" s="18" t="s">
        <v>20</v>
      </c>
      <c r="O2392">
        <v>30</v>
      </c>
    </row>
    <row r="2393" spans="1:15" x14ac:dyDescent="0.25">
      <c r="A2393" s="18" t="s">
        <v>7276</v>
      </c>
      <c r="B2393" s="18" t="s">
        <v>13</v>
      </c>
      <c r="C2393" s="18" t="s">
        <v>14</v>
      </c>
      <c r="D2393" s="18" t="s">
        <v>15</v>
      </c>
      <c r="E2393" s="18" t="s">
        <v>270</v>
      </c>
      <c r="F2393" s="2">
        <f>+J2393-I2393</f>
        <v>30</v>
      </c>
      <c r="G2393" s="2">
        <f ca="1">+TODAY()-I2393</f>
        <v>1414</v>
      </c>
      <c r="H2393" s="15">
        <v>1062075</v>
      </c>
      <c r="I2393" s="1">
        <v>44706</v>
      </c>
      <c r="J2393" s="1">
        <v>44736</v>
      </c>
      <c r="K2393" s="18" t="s">
        <v>17</v>
      </c>
      <c r="L2393" s="18" t="s">
        <v>18</v>
      </c>
      <c r="M2393" s="18" t="s">
        <v>19</v>
      </c>
      <c r="N2393" s="18" t="s">
        <v>20</v>
      </c>
      <c r="O2393">
        <v>30</v>
      </c>
    </row>
    <row r="2394" spans="1:15" x14ac:dyDescent="0.25">
      <c r="A2394" s="18" t="s">
        <v>7276</v>
      </c>
      <c r="B2394" s="18" t="s">
        <v>13</v>
      </c>
      <c r="C2394" s="18" t="s">
        <v>14</v>
      </c>
      <c r="D2394" s="18" t="s">
        <v>15</v>
      </c>
      <c r="E2394" s="18" t="s">
        <v>271</v>
      </c>
      <c r="F2394" s="2">
        <f>+J2394-I2394</f>
        <v>30</v>
      </c>
      <c r="G2394" s="2">
        <f ca="1">+TODAY()-I2394</f>
        <v>1408</v>
      </c>
      <c r="H2394" s="15">
        <v>1180442</v>
      </c>
      <c r="I2394" s="1">
        <v>44712</v>
      </c>
      <c r="J2394" s="1">
        <v>44742</v>
      </c>
      <c r="K2394" s="18" t="s">
        <v>17</v>
      </c>
      <c r="L2394" s="18" t="s">
        <v>18</v>
      </c>
      <c r="M2394" s="18" t="s">
        <v>19</v>
      </c>
      <c r="N2394" s="18" t="s">
        <v>20</v>
      </c>
      <c r="O2394">
        <v>30</v>
      </c>
    </row>
    <row r="2395" spans="1:15" x14ac:dyDescent="0.25">
      <c r="A2395" s="18" t="s">
        <v>7276</v>
      </c>
      <c r="B2395" s="18" t="s">
        <v>13</v>
      </c>
      <c r="C2395" s="18" t="s">
        <v>14</v>
      </c>
      <c r="D2395" s="18" t="s">
        <v>15</v>
      </c>
      <c r="E2395" s="18" t="s">
        <v>272</v>
      </c>
      <c r="F2395" s="2">
        <f>+J2395-I2395</f>
        <v>30</v>
      </c>
      <c r="G2395" s="2">
        <f ca="1">+TODAY()-I2395</f>
        <v>1406</v>
      </c>
      <c r="H2395" s="15">
        <v>3824608</v>
      </c>
      <c r="I2395" s="1">
        <v>44714</v>
      </c>
      <c r="J2395" s="1">
        <v>44744</v>
      </c>
      <c r="K2395" s="18" t="s">
        <v>17</v>
      </c>
      <c r="L2395" s="18" t="s">
        <v>18</v>
      </c>
      <c r="M2395" s="18" t="s">
        <v>19</v>
      </c>
      <c r="N2395" s="18" t="s">
        <v>20</v>
      </c>
      <c r="O2395">
        <v>30</v>
      </c>
    </row>
    <row r="2396" spans="1:15" x14ac:dyDescent="0.25">
      <c r="A2396" s="18" t="s">
        <v>7276</v>
      </c>
      <c r="B2396" s="18" t="s">
        <v>13</v>
      </c>
      <c r="C2396" s="18" t="s">
        <v>14</v>
      </c>
      <c r="D2396" s="18" t="s">
        <v>15</v>
      </c>
      <c r="E2396" s="18" t="s">
        <v>273</v>
      </c>
      <c r="F2396" s="2">
        <f>+J2396-I2396</f>
        <v>30</v>
      </c>
      <c r="G2396" s="2">
        <f ca="1">+TODAY()-I2396</f>
        <v>1404</v>
      </c>
      <c r="H2396" s="15">
        <v>6735577</v>
      </c>
      <c r="I2396" s="1">
        <v>44716</v>
      </c>
      <c r="J2396" s="1">
        <v>44746</v>
      </c>
      <c r="K2396" s="18" t="s">
        <v>17</v>
      </c>
      <c r="L2396" s="18" t="s">
        <v>18</v>
      </c>
      <c r="M2396" s="18" t="s">
        <v>19</v>
      </c>
      <c r="N2396" s="18" t="s">
        <v>20</v>
      </c>
      <c r="O2396">
        <v>30</v>
      </c>
    </row>
    <row r="2397" spans="1:15" x14ac:dyDescent="0.25">
      <c r="A2397" s="18" t="s">
        <v>7276</v>
      </c>
      <c r="B2397" s="18" t="s">
        <v>13</v>
      </c>
      <c r="C2397" s="18" t="s">
        <v>14</v>
      </c>
      <c r="D2397" s="18" t="s">
        <v>15</v>
      </c>
      <c r="E2397" s="18" t="s">
        <v>274</v>
      </c>
      <c r="F2397" s="2">
        <f>+J2397-I2397</f>
        <v>30</v>
      </c>
      <c r="G2397" s="2">
        <f ca="1">+TODAY()-I2397</f>
        <v>1390</v>
      </c>
      <c r="H2397" s="15">
        <v>8280006</v>
      </c>
      <c r="I2397" s="1">
        <v>44730</v>
      </c>
      <c r="J2397" s="1">
        <v>44760</v>
      </c>
      <c r="K2397" s="18" t="s">
        <v>17</v>
      </c>
      <c r="L2397" s="18" t="s">
        <v>18</v>
      </c>
      <c r="M2397" s="18" t="s">
        <v>19</v>
      </c>
      <c r="N2397" s="18" t="s">
        <v>20</v>
      </c>
      <c r="O2397">
        <v>30</v>
      </c>
    </row>
    <row r="2398" spans="1:15" x14ac:dyDescent="0.25">
      <c r="A2398" s="18" t="s">
        <v>7276</v>
      </c>
      <c r="B2398" s="18" t="s">
        <v>13</v>
      </c>
      <c r="C2398" s="18" t="s">
        <v>14</v>
      </c>
      <c r="D2398" s="18" t="s">
        <v>15</v>
      </c>
      <c r="E2398" s="18" t="s">
        <v>275</v>
      </c>
      <c r="F2398" s="2">
        <f>+J2398-I2398</f>
        <v>30</v>
      </c>
      <c r="G2398" s="2">
        <f ca="1">+TODAY()-I2398</f>
        <v>1387</v>
      </c>
      <c r="H2398" s="15">
        <v>15949736</v>
      </c>
      <c r="I2398" s="1">
        <v>44733</v>
      </c>
      <c r="J2398" s="1">
        <v>44763</v>
      </c>
      <c r="K2398" s="18" t="s">
        <v>17</v>
      </c>
      <c r="L2398" s="18" t="s">
        <v>18</v>
      </c>
      <c r="M2398" s="18" t="s">
        <v>19</v>
      </c>
      <c r="N2398" s="18" t="s">
        <v>20</v>
      </c>
      <c r="O2398">
        <v>30</v>
      </c>
    </row>
    <row r="2399" spans="1:15" x14ac:dyDescent="0.25">
      <c r="A2399" s="18" t="s">
        <v>7276</v>
      </c>
      <c r="B2399" s="18" t="s">
        <v>13</v>
      </c>
      <c r="C2399" s="18" t="s">
        <v>14</v>
      </c>
      <c r="D2399" s="18" t="s">
        <v>15</v>
      </c>
      <c r="E2399" s="18" t="s">
        <v>276</v>
      </c>
      <c r="F2399" s="2">
        <f>+J2399-I2399</f>
        <v>30</v>
      </c>
      <c r="G2399" s="2">
        <f ca="1">+TODAY()-I2399</f>
        <v>1379</v>
      </c>
      <c r="H2399" s="15">
        <v>6662382</v>
      </c>
      <c r="I2399" s="1">
        <v>44741</v>
      </c>
      <c r="J2399" s="1">
        <v>44771</v>
      </c>
      <c r="K2399" s="18" t="s">
        <v>17</v>
      </c>
      <c r="L2399" s="18" t="s">
        <v>18</v>
      </c>
      <c r="M2399" s="18" t="s">
        <v>19</v>
      </c>
      <c r="N2399" s="18" t="s">
        <v>20</v>
      </c>
      <c r="O2399">
        <v>30</v>
      </c>
    </row>
    <row r="2400" spans="1:15" x14ac:dyDescent="0.25">
      <c r="A2400" s="18" t="s">
        <v>7276</v>
      </c>
      <c r="B2400" s="18" t="s">
        <v>13</v>
      </c>
      <c r="C2400" s="18" t="s">
        <v>14</v>
      </c>
      <c r="D2400" s="18" t="s">
        <v>15</v>
      </c>
      <c r="E2400" s="18" t="s">
        <v>277</v>
      </c>
      <c r="F2400" s="2">
        <f>+J2400-I2400</f>
        <v>30</v>
      </c>
      <c r="G2400" s="2">
        <f ca="1">+TODAY()-I2400</f>
        <v>1378</v>
      </c>
      <c r="H2400" s="15">
        <v>94380000</v>
      </c>
      <c r="I2400" s="1">
        <v>44742</v>
      </c>
      <c r="J2400" s="1">
        <v>44772</v>
      </c>
      <c r="K2400" s="18" t="s">
        <v>17</v>
      </c>
      <c r="L2400" s="18" t="s">
        <v>18</v>
      </c>
      <c r="M2400" s="18" t="s">
        <v>19</v>
      </c>
      <c r="N2400" s="18" t="s">
        <v>20</v>
      </c>
      <c r="O2400">
        <v>30</v>
      </c>
    </row>
    <row r="2401" spans="1:15" x14ac:dyDescent="0.25">
      <c r="A2401" s="18" t="s">
        <v>7276</v>
      </c>
      <c r="B2401" s="18" t="s">
        <v>13</v>
      </c>
      <c r="C2401" s="18" t="s">
        <v>14</v>
      </c>
      <c r="D2401" s="18" t="s">
        <v>15</v>
      </c>
      <c r="E2401" s="18" t="s">
        <v>278</v>
      </c>
      <c r="F2401" s="2">
        <f>+J2401-I2401</f>
        <v>30</v>
      </c>
      <c r="G2401" s="2">
        <f ca="1">+TODAY()-I2401</f>
        <v>1360</v>
      </c>
      <c r="H2401" s="15">
        <v>14296980</v>
      </c>
      <c r="I2401" s="1">
        <v>44760</v>
      </c>
      <c r="J2401" s="1">
        <v>44790</v>
      </c>
      <c r="K2401" s="18" t="s">
        <v>17</v>
      </c>
      <c r="L2401" s="18" t="s">
        <v>18</v>
      </c>
      <c r="M2401" s="18" t="s">
        <v>19</v>
      </c>
      <c r="N2401" s="18" t="s">
        <v>20</v>
      </c>
      <c r="O2401">
        <v>30</v>
      </c>
    </row>
    <row r="2402" spans="1:15" x14ac:dyDescent="0.25">
      <c r="A2402" s="18" t="s">
        <v>7276</v>
      </c>
      <c r="B2402" s="18" t="s">
        <v>13</v>
      </c>
      <c r="C2402" s="18" t="s">
        <v>14</v>
      </c>
      <c r="D2402" s="18" t="s">
        <v>15</v>
      </c>
      <c r="E2402" s="18" t="s">
        <v>279</v>
      </c>
      <c r="F2402" s="2">
        <f>+J2402-I2402</f>
        <v>30</v>
      </c>
      <c r="G2402" s="2">
        <f ca="1">+TODAY()-I2402</f>
        <v>1348</v>
      </c>
      <c r="H2402" s="15">
        <v>16257000</v>
      </c>
      <c r="I2402" s="1">
        <v>44772</v>
      </c>
      <c r="J2402" s="1">
        <v>44802</v>
      </c>
      <c r="K2402" s="18" t="s">
        <v>17</v>
      </c>
      <c r="L2402" s="18" t="s">
        <v>18</v>
      </c>
      <c r="M2402" s="18" t="s">
        <v>19</v>
      </c>
      <c r="N2402" s="18" t="s">
        <v>20</v>
      </c>
      <c r="O2402">
        <v>30</v>
      </c>
    </row>
    <row r="2403" spans="1:15" x14ac:dyDescent="0.25">
      <c r="A2403" s="18" t="s">
        <v>7276</v>
      </c>
      <c r="B2403" s="18" t="s">
        <v>13</v>
      </c>
      <c r="C2403" s="18" t="s">
        <v>14</v>
      </c>
      <c r="D2403" s="18" t="s">
        <v>15</v>
      </c>
      <c r="E2403" s="18" t="s">
        <v>280</v>
      </c>
      <c r="F2403" s="2">
        <f>+J2403-I2403</f>
        <v>30</v>
      </c>
      <c r="G2403" s="2">
        <f ca="1">+TODAY()-I2403</f>
        <v>1348</v>
      </c>
      <c r="H2403" s="15">
        <v>5866795</v>
      </c>
      <c r="I2403" s="1">
        <v>44772</v>
      </c>
      <c r="J2403" s="1">
        <v>44802</v>
      </c>
      <c r="K2403" s="18" t="s">
        <v>17</v>
      </c>
      <c r="L2403" s="18" t="s">
        <v>18</v>
      </c>
      <c r="M2403" s="18" t="s">
        <v>19</v>
      </c>
      <c r="N2403" s="18" t="s">
        <v>20</v>
      </c>
      <c r="O2403">
        <v>30</v>
      </c>
    </row>
    <row r="2404" spans="1:15" x14ac:dyDescent="0.25">
      <c r="A2404" s="18" t="s">
        <v>7276</v>
      </c>
      <c r="B2404" s="18" t="s">
        <v>13</v>
      </c>
      <c r="C2404" s="18" t="s">
        <v>14</v>
      </c>
      <c r="D2404" s="18" t="s">
        <v>15</v>
      </c>
      <c r="E2404" s="18" t="s">
        <v>281</v>
      </c>
      <c r="F2404" s="2">
        <f>+J2404-I2404</f>
        <v>30</v>
      </c>
      <c r="G2404" s="2">
        <f ca="1">+TODAY()-I2404</f>
        <v>1341</v>
      </c>
      <c r="H2404" s="15">
        <v>1587740</v>
      </c>
      <c r="I2404" s="1">
        <v>44779</v>
      </c>
      <c r="J2404" s="1">
        <v>44809</v>
      </c>
      <c r="K2404" s="18" t="s">
        <v>17</v>
      </c>
      <c r="L2404" s="18" t="s">
        <v>18</v>
      </c>
      <c r="M2404" s="18" t="s">
        <v>19</v>
      </c>
      <c r="N2404" s="18" t="s">
        <v>20</v>
      </c>
      <c r="O2404">
        <v>30</v>
      </c>
    </row>
    <row r="2405" spans="1:15" x14ac:dyDescent="0.25">
      <c r="A2405" s="18" t="s">
        <v>7276</v>
      </c>
      <c r="B2405" s="18" t="s">
        <v>13</v>
      </c>
      <c r="C2405" s="18" t="s">
        <v>14</v>
      </c>
      <c r="D2405" s="18" t="s">
        <v>15</v>
      </c>
      <c r="E2405" s="18" t="s">
        <v>282</v>
      </c>
      <c r="F2405" s="2">
        <f>+J2405-I2405</f>
        <v>30</v>
      </c>
      <c r="G2405" s="2">
        <f ca="1">+TODAY()-I2405</f>
        <v>1335</v>
      </c>
      <c r="H2405" s="15">
        <v>850857</v>
      </c>
      <c r="I2405" s="1">
        <v>44785</v>
      </c>
      <c r="J2405" s="1">
        <v>44815</v>
      </c>
      <c r="K2405" s="18" t="s">
        <v>17</v>
      </c>
      <c r="L2405" s="18" t="s">
        <v>18</v>
      </c>
      <c r="M2405" s="18" t="s">
        <v>19</v>
      </c>
      <c r="N2405" s="18" t="s">
        <v>20</v>
      </c>
      <c r="O2405">
        <v>30</v>
      </c>
    </row>
    <row r="2406" spans="1:15" x14ac:dyDescent="0.25">
      <c r="A2406" s="18" t="s">
        <v>7276</v>
      </c>
      <c r="B2406" s="18" t="s">
        <v>13</v>
      </c>
      <c r="C2406" s="18" t="s">
        <v>14</v>
      </c>
      <c r="D2406" s="18" t="s">
        <v>15</v>
      </c>
      <c r="E2406" s="18" t="s">
        <v>283</v>
      </c>
      <c r="F2406" s="2">
        <f>+J2406-I2406</f>
        <v>30</v>
      </c>
      <c r="G2406" s="2">
        <f ca="1">+TODAY()-I2406</f>
        <v>1334</v>
      </c>
      <c r="H2406" s="15">
        <v>2350805</v>
      </c>
      <c r="I2406" s="1">
        <v>44786</v>
      </c>
      <c r="J2406" s="1">
        <v>44816</v>
      </c>
      <c r="K2406" s="18" t="s">
        <v>17</v>
      </c>
      <c r="L2406" s="18" t="s">
        <v>18</v>
      </c>
      <c r="M2406" s="18" t="s">
        <v>19</v>
      </c>
      <c r="N2406" s="18" t="s">
        <v>20</v>
      </c>
      <c r="O2406">
        <v>30</v>
      </c>
    </row>
    <row r="2407" spans="1:15" x14ac:dyDescent="0.25">
      <c r="A2407" s="18" t="s">
        <v>7276</v>
      </c>
      <c r="B2407" s="18" t="s">
        <v>13</v>
      </c>
      <c r="C2407" s="18" t="s">
        <v>14</v>
      </c>
      <c r="D2407" s="18" t="s">
        <v>15</v>
      </c>
      <c r="E2407" s="18" t="s">
        <v>284</v>
      </c>
      <c r="F2407" s="2">
        <f>+J2407-I2407</f>
        <v>30</v>
      </c>
      <c r="G2407" s="2">
        <f ca="1">+TODAY()-I2407</f>
        <v>1334</v>
      </c>
      <c r="H2407" s="15">
        <v>511393</v>
      </c>
      <c r="I2407" s="1">
        <v>44786</v>
      </c>
      <c r="J2407" s="1">
        <v>44816</v>
      </c>
      <c r="K2407" s="18" t="s">
        <v>17</v>
      </c>
      <c r="L2407" s="18" t="s">
        <v>18</v>
      </c>
      <c r="M2407" s="18" t="s">
        <v>19</v>
      </c>
      <c r="N2407" s="18" t="s">
        <v>20</v>
      </c>
      <c r="O2407">
        <v>30</v>
      </c>
    </row>
    <row r="2408" spans="1:15" x14ac:dyDescent="0.25">
      <c r="A2408" s="18" t="s">
        <v>7276</v>
      </c>
      <c r="B2408" s="18" t="s">
        <v>13</v>
      </c>
      <c r="C2408" s="18" t="s">
        <v>14</v>
      </c>
      <c r="D2408" s="18" t="s">
        <v>15</v>
      </c>
      <c r="E2408" s="18" t="s">
        <v>285</v>
      </c>
      <c r="F2408" s="2">
        <f>+J2408-I2408</f>
        <v>30</v>
      </c>
      <c r="G2408" s="2">
        <f ca="1">+TODAY()-I2408</f>
        <v>1323</v>
      </c>
      <c r="H2408" s="15">
        <v>6905348</v>
      </c>
      <c r="I2408" s="1">
        <v>44797</v>
      </c>
      <c r="J2408" s="1">
        <v>44827</v>
      </c>
      <c r="K2408" s="18" t="s">
        <v>17</v>
      </c>
      <c r="L2408" s="18" t="s">
        <v>18</v>
      </c>
      <c r="M2408" s="18" t="s">
        <v>19</v>
      </c>
      <c r="N2408" s="18" t="s">
        <v>20</v>
      </c>
      <c r="O2408">
        <v>30</v>
      </c>
    </row>
    <row r="2409" spans="1:15" x14ac:dyDescent="0.25">
      <c r="A2409" s="18" t="s">
        <v>7276</v>
      </c>
      <c r="B2409" s="18" t="s">
        <v>13</v>
      </c>
      <c r="C2409" s="18" t="s">
        <v>14</v>
      </c>
      <c r="D2409" s="18" t="s">
        <v>15</v>
      </c>
      <c r="E2409" s="18" t="s">
        <v>286</v>
      </c>
      <c r="F2409" s="2">
        <f>+J2409-I2409</f>
        <v>30</v>
      </c>
      <c r="G2409" s="2">
        <f ca="1">+TODAY()-I2409</f>
        <v>1323</v>
      </c>
      <c r="H2409" s="15">
        <v>1195944</v>
      </c>
      <c r="I2409" s="1">
        <v>44797</v>
      </c>
      <c r="J2409" s="1">
        <v>44827</v>
      </c>
      <c r="K2409" s="18" t="s">
        <v>17</v>
      </c>
      <c r="L2409" s="18" t="s">
        <v>18</v>
      </c>
      <c r="M2409" s="18" t="s">
        <v>19</v>
      </c>
      <c r="N2409" s="18" t="s">
        <v>20</v>
      </c>
      <c r="O2409">
        <v>30</v>
      </c>
    </row>
    <row r="2410" spans="1:15" x14ac:dyDescent="0.25">
      <c r="A2410" s="18" t="s">
        <v>7276</v>
      </c>
      <c r="B2410" s="18" t="s">
        <v>13</v>
      </c>
      <c r="C2410" s="18" t="s">
        <v>14</v>
      </c>
      <c r="D2410" s="18" t="s">
        <v>15</v>
      </c>
      <c r="E2410" s="18" t="s">
        <v>287</v>
      </c>
      <c r="F2410" s="2">
        <f>+J2410-I2410</f>
        <v>30</v>
      </c>
      <c r="G2410" s="2">
        <f ca="1">+TODAY()-I2410</f>
        <v>1320</v>
      </c>
      <c r="H2410" s="15">
        <v>19734689</v>
      </c>
      <c r="I2410" s="1">
        <v>44800</v>
      </c>
      <c r="J2410" s="1">
        <v>44830</v>
      </c>
      <c r="K2410" s="18" t="s">
        <v>17</v>
      </c>
      <c r="L2410" s="18" t="s">
        <v>18</v>
      </c>
      <c r="M2410" s="18" t="s">
        <v>19</v>
      </c>
      <c r="N2410" s="18" t="s">
        <v>20</v>
      </c>
      <c r="O2410">
        <v>30</v>
      </c>
    </row>
    <row r="2411" spans="1:15" x14ac:dyDescent="0.25">
      <c r="A2411" s="18" t="s">
        <v>7276</v>
      </c>
      <c r="B2411" s="18" t="s">
        <v>13</v>
      </c>
      <c r="C2411" s="18" t="s">
        <v>14</v>
      </c>
      <c r="D2411" s="18" t="s">
        <v>15</v>
      </c>
      <c r="E2411" s="18" t="s">
        <v>288</v>
      </c>
      <c r="F2411" s="2">
        <f>+J2411-I2411</f>
        <v>30</v>
      </c>
      <c r="G2411" s="2">
        <f ca="1">+TODAY()-I2411</f>
        <v>1320</v>
      </c>
      <c r="H2411" s="15">
        <v>1858000</v>
      </c>
      <c r="I2411" s="1">
        <v>44800</v>
      </c>
      <c r="J2411" s="1">
        <v>44830</v>
      </c>
      <c r="K2411" s="18" t="s">
        <v>17</v>
      </c>
      <c r="L2411" s="18" t="s">
        <v>18</v>
      </c>
      <c r="M2411" s="18" t="s">
        <v>19</v>
      </c>
      <c r="N2411" s="18" t="s">
        <v>20</v>
      </c>
      <c r="O2411">
        <v>30</v>
      </c>
    </row>
    <row r="2412" spans="1:15" x14ac:dyDescent="0.25">
      <c r="A2412" s="18" t="s">
        <v>7276</v>
      </c>
      <c r="B2412" s="18" t="s">
        <v>13</v>
      </c>
      <c r="C2412" s="18" t="s">
        <v>14</v>
      </c>
      <c r="D2412" s="18" t="s">
        <v>15</v>
      </c>
      <c r="E2412" s="18" t="s">
        <v>289</v>
      </c>
      <c r="F2412" s="2">
        <f>+J2412-I2412</f>
        <v>30</v>
      </c>
      <c r="G2412" s="2">
        <f ca="1">+TODAY()-I2412</f>
        <v>1320</v>
      </c>
      <c r="H2412" s="15">
        <v>2009958</v>
      </c>
      <c r="I2412" s="1">
        <v>44800</v>
      </c>
      <c r="J2412" s="1">
        <v>44830</v>
      </c>
      <c r="K2412" s="18" t="s">
        <v>17</v>
      </c>
      <c r="L2412" s="18" t="s">
        <v>18</v>
      </c>
      <c r="M2412" s="18" t="s">
        <v>19</v>
      </c>
      <c r="N2412" s="18" t="s">
        <v>20</v>
      </c>
      <c r="O2412">
        <v>30</v>
      </c>
    </row>
    <row r="2413" spans="1:15" x14ac:dyDescent="0.25">
      <c r="A2413" s="18" t="s">
        <v>7276</v>
      </c>
      <c r="B2413" s="18" t="s">
        <v>13</v>
      </c>
      <c r="C2413" s="18" t="s">
        <v>14</v>
      </c>
      <c r="D2413" s="18" t="s">
        <v>15</v>
      </c>
      <c r="E2413" s="18" t="s">
        <v>290</v>
      </c>
      <c r="F2413" s="2">
        <f>+J2413-I2413</f>
        <v>30</v>
      </c>
      <c r="G2413" s="2">
        <f ca="1">+TODAY()-I2413</f>
        <v>1320</v>
      </c>
      <c r="H2413" s="15">
        <v>699150</v>
      </c>
      <c r="I2413" s="1">
        <v>44800</v>
      </c>
      <c r="J2413" s="1">
        <v>44830</v>
      </c>
      <c r="K2413" s="18" t="s">
        <v>17</v>
      </c>
      <c r="L2413" s="18" t="s">
        <v>18</v>
      </c>
      <c r="M2413" s="18" t="s">
        <v>19</v>
      </c>
      <c r="N2413" s="18" t="s">
        <v>20</v>
      </c>
      <c r="O2413">
        <v>30</v>
      </c>
    </row>
    <row r="2414" spans="1:15" x14ac:dyDescent="0.25">
      <c r="A2414" s="18" t="s">
        <v>7276</v>
      </c>
      <c r="B2414" s="18" t="s">
        <v>13</v>
      </c>
      <c r="C2414" s="18" t="s">
        <v>14</v>
      </c>
      <c r="D2414" s="18" t="s">
        <v>15</v>
      </c>
      <c r="E2414" s="18" t="s">
        <v>291</v>
      </c>
      <c r="F2414" s="2">
        <f>+J2414-I2414</f>
        <v>30</v>
      </c>
      <c r="G2414" s="2">
        <f ca="1">+TODAY()-I2414</f>
        <v>1307</v>
      </c>
      <c r="H2414" s="15">
        <v>6841869</v>
      </c>
      <c r="I2414" s="1">
        <v>44813</v>
      </c>
      <c r="J2414" s="1">
        <v>44843</v>
      </c>
      <c r="K2414" s="18" t="s">
        <v>17</v>
      </c>
      <c r="L2414" s="18" t="s">
        <v>18</v>
      </c>
      <c r="M2414" s="18" t="s">
        <v>19</v>
      </c>
      <c r="N2414" s="18" t="s">
        <v>20</v>
      </c>
      <c r="O2414">
        <v>30</v>
      </c>
    </row>
    <row r="2415" spans="1:15" x14ac:dyDescent="0.25">
      <c r="A2415" s="18" t="s">
        <v>7276</v>
      </c>
      <c r="B2415" s="18" t="s">
        <v>13</v>
      </c>
      <c r="C2415" s="18" t="s">
        <v>14</v>
      </c>
      <c r="D2415" s="18" t="s">
        <v>15</v>
      </c>
      <c r="E2415" s="18" t="s">
        <v>292</v>
      </c>
      <c r="F2415" s="2">
        <f>+J2415-I2415</f>
        <v>30</v>
      </c>
      <c r="G2415" s="2">
        <f ca="1">+TODAY()-I2415</f>
        <v>1307</v>
      </c>
      <c r="H2415" s="15">
        <v>1858000</v>
      </c>
      <c r="I2415" s="1">
        <v>44813</v>
      </c>
      <c r="J2415" s="1">
        <v>44843</v>
      </c>
      <c r="K2415" s="18" t="s">
        <v>17</v>
      </c>
      <c r="L2415" s="18" t="s">
        <v>18</v>
      </c>
      <c r="M2415" s="18" t="s">
        <v>19</v>
      </c>
      <c r="N2415" s="18" t="s">
        <v>20</v>
      </c>
      <c r="O2415">
        <v>30</v>
      </c>
    </row>
    <row r="2416" spans="1:15" x14ac:dyDescent="0.25">
      <c r="A2416" s="18" t="s">
        <v>7276</v>
      </c>
      <c r="B2416" s="18" t="s">
        <v>13</v>
      </c>
      <c r="C2416" s="18" t="s">
        <v>14</v>
      </c>
      <c r="D2416" s="18" t="s">
        <v>15</v>
      </c>
      <c r="E2416" s="18" t="s">
        <v>293</v>
      </c>
      <c r="F2416" s="2">
        <f>+J2416-I2416</f>
        <v>30</v>
      </c>
      <c r="G2416" s="2">
        <f ca="1">+TODAY()-I2416</f>
        <v>1297</v>
      </c>
      <c r="H2416" s="15">
        <v>15688000</v>
      </c>
      <c r="I2416" s="1">
        <v>44823</v>
      </c>
      <c r="J2416" s="1">
        <v>44853</v>
      </c>
      <c r="K2416" s="18" t="s">
        <v>17</v>
      </c>
      <c r="L2416" s="18" t="s">
        <v>18</v>
      </c>
      <c r="M2416" s="18" t="s">
        <v>19</v>
      </c>
      <c r="N2416" s="18" t="s">
        <v>20</v>
      </c>
      <c r="O2416">
        <v>30</v>
      </c>
    </row>
    <row r="2417" spans="1:15" x14ac:dyDescent="0.25">
      <c r="A2417" s="18" t="s">
        <v>7276</v>
      </c>
      <c r="B2417" s="18" t="s">
        <v>13</v>
      </c>
      <c r="C2417" s="18" t="s">
        <v>14</v>
      </c>
      <c r="D2417" s="18" t="s">
        <v>15</v>
      </c>
      <c r="E2417" s="18" t="s">
        <v>294</v>
      </c>
      <c r="F2417" s="2">
        <f>+J2417-I2417</f>
        <v>30</v>
      </c>
      <c r="G2417" s="2">
        <f ca="1">+TODAY()-I2417</f>
        <v>1293</v>
      </c>
      <c r="H2417" s="15">
        <v>47207550</v>
      </c>
      <c r="I2417" s="1">
        <v>44827</v>
      </c>
      <c r="J2417" s="1">
        <v>44857</v>
      </c>
      <c r="K2417" s="18" t="s">
        <v>17</v>
      </c>
      <c r="L2417" s="18" t="s">
        <v>18</v>
      </c>
      <c r="M2417" s="18" t="s">
        <v>19</v>
      </c>
      <c r="N2417" s="18" t="s">
        <v>20</v>
      </c>
      <c r="O2417">
        <v>30</v>
      </c>
    </row>
    <row r="2418" spans="1:15" x14ac:dyDescent="0.25">
      <c r="A2418" s="18" t="s">
        <v>7276</v>
      </c>
      <c r="B2418" s="18" t="s">
        <v>13</v>
      </c>
      <c r="C2418" s="18" t="s">
        <v>14</v>
      </c>
      <c r="D2418" s="18" t="s">
        <v>15</v>
      </c>
      <c r="E2418" s="18" t="s">
        <v>295</v>
      </c>
      <c r="F2418" s="2">
        <f>+J2418-I2418</f>
        <v>30</v>
      </c>
      <c r="G2418" s="2">
        <f ca="1">+TODAY()-I2418</f>
        <v>1278</v>
      </c>
      <c r="H2418" s="15">
        <v>1073095</v>
      </c>
      <c r="I2418" s="1">
        <v>44842</v>
      </c>
      <c r="J2418" s="1">
        <v>44872</v>
      </c>
      <c r="K2418" s="18" t="s">
        <v>17</v>
      </c>
      <c r="L2418" s="18" t="s">
        <v>18</v>
      </c>
      <c r="M2418" s="18" t="s">
        <v>19</v>
      </c>
      <c r="N2418" s="18" t="s">
        <v>20</v>
      </c>
      <c r="O2418">
        <v>30</v>
      </c>
    </row>
    <row r="2419" spans="1:15" x14ac:dyDescent="0.25">
      <c r="A2419" s="18" t="s">
        <v>7276</v>
      </c>
      <c r="B2419" s="18" t="s">
        <v>13</v>
      </c>
      <c r="C2419" s="18" t="s">
        <v>14</v>
      </c>
      <c r="D2419" s="18" t="s">
        <v>15</v>
      </c>
      <c r="E2419" s="18" t="s">
        <v>296</v>
      </c>
      <c r="F2419" s="2">
        <f>+J2419-I2419</f>
        <v>30</v>
      </c>
      <c r="G2419" s="2">
        <f ca="1">+TODAY()-I2419</f>
        <v>1278</v>
      </c>
      <c r="H2419" s="15">
        <v>1150800</v>
      </c>
      <c r="I2419" s="1">
        <v>44842</v>
      </c>
      <c r="J2419" s="1">
        <v>44872</v>
      </c>
      <c r="K2419" s="18" t="s">
        <v>17</v>
      </c>
      <c r="L2419" s="18" t="s">
        <v>18</v>
      </c>
      <c r="M2419" s="18" t="s">
        <v>19</v>
      </c>
      <c r="N2419" s="18" t="s">
        <v>20</v>
      </c>
      <c r="O2419">
        <v>30</v>
      </c>
    </row>
    <row r="2420" spans="1:15" x14ac:dyDescent="0.25">
      <c r="A2420" s="18" t="s">
        <v>7276</v>
      </c>
      <c r="B2420" s="18" t="s">
        <v>13</v>
      </c>
      <c r="C2420" s="18" t="s">
        <v>14</v>
      </c>
      <c r="D2420" s="18" t="s">
        <v>15</v>
      </c>
      <c r="E2420" s="18" t="s">
        <v>297</v>
      </c>
      <c r="F2420" s="2">
        <f>+J2420-I2420</f>
        <v>30</v>
      </c>
      <c r="G2420" s="2">
        <f ca="1">+TODAY()-I2420</f>
        <v>1278</v>
      </c>
      <c r="H2420" s="15">
        <v>45220095</v>
      </c>
      <c r="I2420" s="1">
        <v>44842</v>
      </c>
      <c r="J2420" s="1">
        <v>44872</v>
      </c>
      <c r="K2420" s="18" t="s">
        <v>17</v>
      </c>
      <c r="L2420" s="18" t="s">
        <v>18</v>
      </c>
      <c r="M2420" s="18" t="s">
        <v>19</v>
      </c>
      <c r="N2420" s="18" t="s">
        <v>20</v>
      </c>
      <c r="O2420">
        <v>30</v>
      </c>
    </row>
    <row r="2421" spans="1:15" x14ac:dyDescent="0.25">
      <c r="A2421" s="18" t="s">
        <v>7276</v>
      </c>
      <c r="B2421" s="18" t="s">
        <v>13</v>
      </c>
      <c r="C2421" s="18" t="s">
        <v>14</v>
      </c>
      <c r="D2421" s="18" t="s">
        <v>15</v>
      </c>
      <c r="E2421" s="18" t="s">
        <v>298</v>
      </c>
      <c r="F2421" s="2">
        <f>+J2421-I2421</f>
        <v>30</v>
      </c>
      <c r="G2421" s="2">
        <f ca="1">+TODAY()-I2421</f>
        <v>1271</v>
      </c>
      <c r="H2421" s="15">
        <v>7604990</v>
      </c>
      <c r="I2421" s="1">
        <v>44849</v>
      </c>
      <c r="J2421" s="1">
        <v>44879</v>
      </c>
      <c r="K2421" s="18" t="s">
        <v>17</v>
      </c>
      <c r="L2421" s="18" t="s">
        <v>18</v>
      </c>
      <c r="M2421" s="18" t="s">
        <v>19</v>
      </c>
      <c r="N2421" s="18" t="s">
        <v>20</v>
      </c>
      <c r="O2421">
        <v>30</v>
      </c>
    </row>
    <row r="2422" spans="1:15" x14ac:dyDescent="0.25">
      <c r="A2422" s="18" t="s">
        <v>7276</v>
      </c>
      <c r="B2422" s="18" t="s">
        <v>13</v>
      </c>
      <c r="C2422" s="18" t="s">
        <v>14</v>
      </c>
      <c r="D2422" s="18" t="s">
        <v>15</v>
      </c>
      <c r="E2422" s="18" t="s">
        <v>299</v>
      </c>
      <c r="F2422" s="2">
        <f>+J2422-I2422</f>
        <v>30</v>
      </c>
      <c r="G2422" s="2">
        <f ca="1">+TODAY()-I2422</f>
        <v>1268</v>
      </c>
      <c r="H2422" s="15">
        <v>9520000</v>
      </c>
      <c r="I2422" s="1">
        <v>44852</v>
      </c>
      <c r="J2422" s="1">
        <v>44882</v>
      </c>
      <c r="K2422" s="18" t="s">
        <v>17</v>
      </c>
      <c r="L2422" s="18" t="s">
        <v>18</v>
      </c>
      <c r="M2422" s="18" t="s">
        <v>19</v>
      </c>
      <c r="N2422" s="18" t="s">
        <v>20</v>
      </c>
      <c r="O2422">
        <v>30</v>
      </c>
    </row>
    <row r="2423" spans="1:15" x14ac:dyDescent="0.25">
      <c r="A2423" s="18" t="s">
        <v>7276</v>
      </c>
      <c r="B2423" s="18" t="s">
        <v>13</v>
      </c>
      <c r="C2423" s="18" t="s">
        <v>14</v>
      </c>
      <c r="D2423" s="18" t="s">
        <v>15</v>
      </c>
      <c r="E2423" s="18" t="s">
        <v>300</v>
      </c>
      <c r="F2423" s="2">
        <f>+J2423-I2423</f>
        <v>30</v>
      </c>
      <c r="G2423" s="2">
        <f ca="1">+TODAY()-I2423</f>
        <v>1267</v>
      </c>
      <c r="H2423" s="15">
        <v>1942032</v>
      </c>
      <c r="I2423" s="1">
        <v>44853</v>
      </c>
      <c r="J2423" s="1">
        <v>44883</v>
      </c>
      <c r="K2423" s="18" t="s">
        <v>17</v>
      </c>
      <c r="L2423" s="18" t="s">
        <v>18</v>
      </c>
      <c r="M2423" s="18" t="s">
        <v>19</v>
      </c>
      <c r="N2423" s="18" t="s">
        <v>20</v>
      </c>
      <c r="O2423">
        <v>30</v>
      </c>
    </row>
    <row r="2424" spans="1:15" x14ac:dyDescent="0.25">
      <c r="A2424" s="18" t="s">
        <v>7276</v>
      </c>
      <c r="B2424" s="18" t="s">
        <v>13</v>
      </c>
      <c r="C2424" s="18" t="s">
        <v>14</v>
      </c>
      <c r="D2424" s="18" t="s">
        <v>15</v>
      </c>
      <c r="E2424" s="18" t="s">
        <v>301</v>
      </c>
      <c r="F2424" s="2">
        <f>+J2424-I2424</f>
        <v>30</v>
      </c>
      <c r="G2424" s="2">
        <f ca="1">+TODAY()-I2424</f>
        <v>1264</v>
      </c>
      <c r="H2424" s="15">
        <v>9108391</v>
      </c>
      <c r="I2424" s="1">
        <v>44856</v>
      </c>
      <c r="J2424" s="1">
        <v>44886</v>
      </c>
      <c r="K2424" s="18" t="s">
        <v>17</v>
      </c>
      <c r="L2424" s="18" t="s">
        <v>18</v>
      </c>
      <c r="M2424" s="18" t="s">
        <v>19</v>
      </c>
      <c r="N2424" s="18" t="s">
        <v>20</v>
      </c>
      <c r="O2424">
        <v>30</v>
      </c>
    </row>
    <row r="2425" spans="1:15" x14ac:dyDescent="0.25">
      <c r="A2425" s="18" t="s">
        <v>7276</v>
      </c>
      <c r="B2425" s="18" t="s">
        <v>13</v>
      </c>
      <c r="C2425" s="18" t="s">
        <v>14</v>
      </c>
      <c r="D2425" s="18" t="s">
        <v>15</v>
      </c>
      <c r="E2425" s="18" t="s">
        <v>302</v>
      </c>
      <c r="F2425" s="2">
        <f>+J2425-I2425</f>
        <v>30</v>
      </c>
      <c r="G2425" s="2">
        <f ca="1">+TODAY()-I2425</f>
        <v>1250</v>
      </c>
      <c r="H2425" s="15">
        <v>60951775</v>
      </c>
      <c r="I2425" s="1">
        <v>44870</v>
      </c>
      <c r="J2425" s="1">
        <v>44900</v>
      </c>
      <c r="K2425" s="18" t="s">
        <v>17</v>
      </c>
      <c r="L2425" s="18" t="s">
        <v>18</v>
      </c>
      <c r="M2425" s="18" t="s">
        <v>19</v>
      </c>
      <c r="N2425" s="18" t="s">
        <v>20</v>
      </c>
      <c r="O2425">
        <v>30</v>
      </c>
    </row>
    <row r="2426" spans="1:15" x14ac:dyDescent="0.25">
      <c r="A2426" s="18" t="s">
        <v>7276</v>
      </c>
      <c r="B2426" s="18" t="s">
        <v>13</v>
      </c>
      <c r="C2426" s="18" t="s">
        <v>14</v>
      </c>
      <c r="D2426" s="18" t="s">
        <v>15</v>
      </c>
      <c r="E2426" s="18" t="s">
        <v>308</v>
      </c>
      <c r="F2426" s="2">
        <f>+J2426-I2426</f>
        <v>30</v>
      </c>
      <c r="G2426" s="2">
        <f ca="1">+TODAY()-I2426</f>
        <v>1236</v>
      </c>
      <c r="H2426" s="15">
        <v>3038121</v>
      </c>
      <c r="I2426" s="1">
        <v>44884</v>
      </c>
      <c r="J2426" s="1">
        <v>44914</v>
      </c>
      <c r="K2426" s="18" t="s">
        <v>17</v>
      </c>
      <c r="L2426" s="18" t="s">
        <v>18</v>
      </c>
      <c r="M2426" s="18" t="s">
        <v>19</v>
      </c>
      <c r="N2426" s="18" t="s">
        <v>20</v>
      </c>
      <c r="O2426">
        <v>30</v>
      </c>
    </row>
    <row r="2427" spans="1:15" x14ac:dyDescent="0.25">
      <c r="A2427" s="18" t="s">
        <v>7276</v>
      </c>
      <c r="B2427" s="18" t="s">
        <v>13</v>
      </c>
      <c r="C2427" s="18" t="s">
        <v>14</v>
      </c>
      <c r="D2427" s="18" t="s">
        <v>15</v>
      </c>
      <c r="E2427" s="18" t="s">
        <v>309</v>
      </c>
      <c r="F2427" s="2">
        <f>+J2427-I2427</f>
        <v>30</v>
      </c>
      <c r="G2427" s="2">
        <f ca="1">+TODAY()-I2427</f>
        <v>1233</v>
      </c>
      <c r="H2427" s="15">
        <v>2509724</v>
      </c>
      <c r="I2427" s="1">
        <v>44887</v>
      </c>
      <c r="J2427" s="1">
        <v>44917</v>
      </c>
      <c r="K2427" s="18" t="s">
        <v>17</v>
      </c>
      <c r="L2427" s="18" t="s">
        <v>18</v>
      </c>
      <c r="M2427" s="18" t="s">
        <v>19</v>
      </c>
      <c r="N2427" s="18" t="s">
        <v>20</v>
      </c>
      <c r="O2427">
        <v>30</v>
      </c>
    </row>
    <row r="2428" spans="1:15" x14ac:dyDescent="0.25">
      <c r="A2428" s="18" t="s">
        <v>7276</v>
      </c>
      <c r="B2428" s="18" t="s">
        <v>13</v>
      </c>
      <c r="C2428" s="18" t="s">
        <v>14</v>
      </c>
      <c r="D2428" s="18" t="s">
        <v>15</v>
      </c>
      <c r="E2428" s="18" t="s">
        <v>342</v>
      </c>
      <c r="F2428" s="2">
        <f>+J2428-I2428</f>
        <v>30</v>
      </c>
      <c r="G2428" s="2">
        <f ca="1">+TODAY()-I2428</f>
        <v>1651</v>
      </c>
      <c r="H2428" s="15">
        <v>1560006</v>
      </c>
      <c r="I2428" s="1">
        <v>44469</v>
      </c>
      <c r="J2428" s="1">
        <v>44499</v>
      </c>
      <c r="K2428" s="18" t="s">
        <v>343</v>
      </c>
      <c r="L2428" s="18" t="s">
        <v>18</v>
      </c>
      <c r="M2428" s="18" t="s">
        <v>19</v>
      </c>
      <c r="N2428" s="18" t="s">
        <v>20</v>
      </c>
      <c r="O2428">
        <v>30</v>
      </c>
    </row>
    <row r="2429" spans="1:15" x14ac:dyDescent="0.25">
      <c r="A2429" s="18" t="s">
        <v>7276</v>
      </c>
      <c r="B2429" s="18" t="s">
        <v>13</v>
      </c>
      <c r="C2429" s="18" t="s">
        <v>14</v>
      </c>
      <c r="D2429" s="18" t="s">
        <v>15</v>
      </c>
      <c r="E2429" s="18" t="s">
        <v>344</v>
      </c>
      <c r="F2429" s="2">
        <f>+J2429-I2429</f>
        <v>30</v>
      </c>
      <c r="G2429" s="2">
        <f ca="1">+TODAY()-I2429</f>
        <v>1469</v>
      </c>
      <c r="H2429" s="15">
        <v>1219226</v>
      </c>
      <c r="I2429" s="1">
        <v>44651</v>
      </c>
      <c r="J2429" s="1">
        <v>44681</v>
      </c>
      <c r="K2429" s="18" t="s">
        <v>343</v>
      </c>
      <c r="L2429" s="18" t="s">
        <v>18</v>
      </c>
      <c r="M2429" s="18" t="s">
        <v>19</v>
      </c>
      <c r="N2429" s="18" t="s">
        <v>20</v>
      </c>
      <c r="O2429">
        <v>30</v>
      </c>
    </row>
    <row r="2430" spans="1:15" x14ac:dyDescent="0.25">
      <c r="A2430" s="18" t="s">
        <v>7276</v>
      </c>
      <c r="B2430" s="18" t="s">
        <v>13</v>
      </c>
      <c r="C2430" s="18" t="s">
        <v>14</v>
      </c>
      <c r="D2430" s="18" t="s">
        <v>15</v>
      </c>
      <c r="E2430" s="18" t="s">
        <v>392</v>
      </c>
      <c r="F2430" s="2">
        <f>+J2430-I2430</f>
        <v>30</v>
      </c>
      <c r="G2430" s="2">
        <f ca="1">+TODAY()-I2430</f>
        <v>1849</v>
      </c>
      <c r="H2430" s="15">
        <v>2582646</v>
      </c>
      <c r="I2430" s="1">
        <v>44271</v>
      </c>
      <c r="J2430" s="1">
        <v>44301</v>
      </c>
      <c r="K2430" s="18" t="s">
        <v>343</v>
      </c>
      <c r="L2430" s="18" t="s">
        <v>18</v>
      </c>
      <c r="M2430" s="18" t="s">
        <v>19</v>
      </c>
      <c r="N2430" s="18" t="s">
        <v>20</v>
      </c>
      <c r="O2430">
        <v>30</v>
      </c>
    </row>
    <row r="2431" spans="1:15" x14ac:dyDescent="0.25">
      <c r="A2431" s="18" t="s">
        <v>7276</v>
      </c>
      <c r="B2431" s="18" t="s">
        <v>13</v>
      </c>
      <c r="C2431" s="18" t="s">
        <v>14</v>
      </c>
      <c r="D2431" s="18" t="s">
        <v>15</v>
      </c>
      <c r="E2431" s="18" t="s">
        <v>393</v>
      </c>
      <c r="F2431" s="2">
        <f>+J2431-I2431</f>
        <v>30</v>
      </c>
      <c r="G2431" s="2">
        <f ca="1">+TODAY()-I2431</f>
        <v>1849</v>
      </c>
      <c r="H2431" s="15">
        <v>3368689</v>
      </c>
      <c r="I2431" s="1">
        <v>44271</v>
      </c>
      <c r="J2431" s="1">
        <v>44301</v>
      </c>
      <c r="K2431" s="18" t="s">
        <v>343</v>
      </c>
      <c r="L2431" s="18" t="s">
        <v>18</v>
      </c>
      <c r="M2431" s="18" t="s">
        <v>19</v>
      </c>
      <c r="N2431" s="18" t="s">
        <v>20</v>
      </c>
      <c r="O2431">
        <v>30</v>
      </c>
    </row>
    <row r="2432" spans="1:15" x14ac:dyDescent="0.25">
      <c r="A2432" s="18" t="s">
        <v>7276</v>
      </c>
      <c r="B2432" s="18" t="s">
        <v>13</v>
      </c>
      <c r="C2432" s="18" t="s">
        <v>14</v>
      </c>
      <c r="D2432" s="18" t="s">
        <v>15</v>
      </c>
      <c r="E2432" s="18" t="s">
        <v>394</v>
      </c>
      <c r="F2432" s="2">
        <f>+J2432-I2432</f>
        <v>30</v>
      </c>
      <c r="G2432" s="2">
        <f ca="1">+TODAY()-I2432</f>
        <v>1839</v>
      </c>
      <c r="H2432" s="15">
        <v>25080000</v>
      </c>
      <c r="I2432" s="1">
        <v>44281</v>
      </c>
      <c r="J2432" s="1">
        <v>44311</v>
      </c>
      <c r="K2432" s="18" t="s">
        <v>343</v>
      </c>
      <c r="L2432" s="18" t="s">
        <v>18</v>
      </c>
      <c r="M2432" s="18" t="s">
        <v>19</v>
      </c>
      <c r="N2432" s="18" t="s">
        <v>20</v>
      </c>
      <c r="O2432">
        <v>30</v>
      </c>
    </row>
    <row r="2433" spans="1:15" x14ac:dyDescent="0.25">
      <c r="A2433" s="18" t="s">
        <v>7276</v>
      </c>
      <c r="B2433" s="18" t="s">
        <v>13</v>
      </c>
      <c r="C2433" s="18" t="s">
        <v>14</v>
      </c>
      <c r="D2433" s="18" t="s">
        <v>15</v>
      </c>
      <c r="E2433" s="18" t="s">
        <v>395</v>
      </c>
      <c r="F2433" s="2">
        <f>+J2433-I2433</f>
        <v>30</v>
      </c>
      <c r="G2433" s="2">
        <f ca="1">+TODAY()-I2433</f>
        <v>1835</v>
      </c>
      <c r="H2433" s="15">
        <v>2260613</v>
      </c>
      <c r="I2433" s="1">
        <v>44285</v>
      </c>
      <c r="J2433" s="1">
        <v>44315</v>
      </c>
      <c r="K2433" s="18" t="s">
        <v>343</v>
      </c>
      <c r="L2433" s="18" t="s">
        <v>18</v>
      </c>
      <c r="M2433" s="18" t="s">
        <v>19</v>
      </c>
      <c r="N2433" s="18" t="s">
        <v>20</v>
      </c>
      <c r="O2433">
        <v>30</v>
      </c>
    </row>
    <row r="2434" spans="1:15" x14ac:dyDescent="0.25">
      <c r="A2434" s="18" t="s">
        <v>7276</v>
      </c>
      <c r="B2434" s="18" t="s">
        <v>13</v>
      </c>
      <c r="C2434" s="18" t="s">
        <v>14</v>
      </c>
      <c r="D2434" s="18" t="s">
        <v>15</v>
      </c>
      <c r="E2434" s="18" t="s">
        <v>396</v>
      </c>
      <c r="F2434" s="2">
        <f>+J2434-I2434</f>
        <v>30</v>
      </c>
      <c r="G2434" s="2">
        <f ca="1">+TODAY()-I2434</f>
        <v>1835</v>
      </c>
      <c r="H2434" s="15">
        <v>4676067</v>
      </c>
      <c r="I2434" s="1">
        <v>44285</v>
      </c>
      <c r="J2434" s="1">
        <v>44315</v>
      </c>
      <c r="K2434" s="18" t="s">
        <v>343</v>
      </c>
      <c r="L2434" s="18" t="s">
        <v>18</v>
      </c>
      <c r="M2434" s="18" t="s">
        <v>19</v>
      </c>
      <c r="N2434" s="18" t="s">
        <v>20</v>
      </c>
      <c r="O2434">
        <v>30</v>
      </c>
    </row>
    <row r="2435" spans="1:15" x14ac:dyDescent="0.25">
      <c r="A2435" s="18" t="s">
        <v>7276</v>
      </c>
      <c r="B2435" s="18" t="s">
        <v>13</v>
      </c>
      <c r="C2435" s="18" t="s">
        <v>14</v>
      </c>
      <c r="D2435" s="18" t="s">
        <v>15</v>
      </c>
      <c r="E2435" s="18" t="s">
        <v>397</v>
      </c>
      <c r="F2435" s="2">
        <f>+J2435-I2435</f>
        <v>30</v>
      </c>
      <c r="G2435" s="2">
        <f ca="1">+TODAY()-I2435</f>
        <v>1835</v>
      </c>
      <c r="H2435" s="15">
        <v>1156935</v>
      </c>
      <c r="I2435" s="1">
        <v>44285</v>
      </c>
      <c r="J2435" s="1">
        <v>44315</v>
      </c>
      <c r="K2435" s="18" t="s">
        <v>343</v>
      </c>
      <c r="L2435" s="18" t="s">
        <v>18</v>
      </c>
      <c r="M2435" s="18" t="s">
        <v>19</v>
      </c>
      <c r="N2435" s="18" t="s">
        <v>20</v>
      </c>
      <c r="O2435">
        <v>30</v>
      </c>
    </row>
    <row r="2436" spans="1:15" x14ac:dyDescent="0.25">
      <c r="A2436" s="18" t="s">
        <v>7276</v>
      </c>
      <c r="B2436" s="18" t="s">
        <v>13</v>
      </c>
      <c r="C2436" s="18" t="s">
        <v>14</v>
      </c>
      <c r="D2436" s="18" t="s">
        <v>15</v>
      </c>
      <c r="E2436" s="18" t="s">
        <v>398</v>
      </c>
      <c r="F2436" s="2">
        <f>+J2436-I2436</f>
        <v>30</v>
      </c>
      <c r="G2436" s="2">
        <f ca="1">+TODAY()-I2436</f>
        <v>1821</v>
      </c>
      <c r="H2436" s="15">
        <v>3706728</v>
      </c>
      <c r="I2436" s="1">
        <v>44299</v>
      </c>
      <c r="J2436" s="1">
        <v>44329</v>
      </c>
      <c r="K2436" s="18" t="s">
        <v>343</v>
      </c>
      <c r="L2436" s="18" t="s">
        <v>18</v>
      </c>
      <c r="M2436" s="18" t="s">
        <v>19</v>
      </c>
      <c r="N2436" s="18" t="s">
        <v>20</v>
      </c>
      <c r="O2436">
        <v>30</v>
      </c>
    </row>
    <row r="2437" spans="1:15" x14ac:dyDescent="0.25">
      <c r="A2437" s="18" t="s">
        <v>7276</v>
      </c>
      <c r="B2437" s="18" t="s">
        <v>13</v>
      </c>
      <c r="C2437" s="18" t="s">
        <v>14</v>
      </c>
      <c r="D2437" s="18" t="s">
        <v>15</v>
      </c>
      <c r="E2437" s="18" t="s">
        <v>399</v>
      </c>
      <c r="F2437" s="2">
        <f>+J2437-I2437</f>
        <v>30</v>
      </c>
      <c r="G2437" s="2">
        <f ca="1">+TODAY()-I2437</f>
        <v>1821</v>
      </c>
      <c r="H2437" s="15">
        <v>2310861</v>
      </c>
      <c r="I2437" s="1">
        <v>44299</v>
      </c>
      <c r="J2437" s="1">
        <v>44329</v>
      </c>
      <c r="K2437" s="18" t="s">
        <v>343</v>
      </c>
      <c r="L2437" s="18" t="s">
        <v>18</v>
      </c>
      <c r="M2437" s="18" t="s">
        <v>19</v>
      </c>
      <c r="N2437" s="18" t="s">
        <v>20</v>
      </c>
      <c r="O2437">
        <v>30</v>
      </c>
    </row>
    <row r="2438" spans="1:15" x14ac:dyDescent="0.25">
      <c r="A2438" s="18" t="s">
        <v>7276</v>
      </c>
      <c r="B2438" s="18" t="s">
        <v>13</v>
      </c>
      <c r="C2438" s="18" t="s">
        <v>14</v>
      </c>
      <c r="D2438" s="18" t="s">
        <v>15</v>
      </c>
      <c r="E2438" s="18" t="s">
        <v>400</v>
      </c>
      <c r="F2438" s="2">
        <f>+J2438-I2438</f>
        <v>30</v>
      </c>
      <c r="G2438" s="2">
        <f ca="1">+TODAY()-I2438</f>
        <v>1821</v>
      </c>
      <c r="H2438" s="15">
        <v>5832225</v>
      </c>
      <c r="I2438" s="1">
        <v>44299</v>
      </c>
      <c r="J2438" s="1">
        <v>44329</v>
      </c>
      <c r="K2438" s="18" t="s">
        <v>343</v>
      </c>
      <c r="L2438" s="18" t="s">
        <v>18</v>
      </c>
      <c r="M2438" s="18" t="s">
        <v>19</v>
      </c>
      <c r="N2438" s="18" t="s">
        <v>20</v>
      </c>
      <c r="O2438">
        <v>30</v>
      </c>
    </row>
    <row r="2439" spans="1:15" x14ac:dyDescent="0.25">
      <c r="A2439" s="18" t="s">
        <v>7276</v>
      </c>
      <c r="B2439" s="18" t="s">
        <v>13</v>
      </c>
      <c r="C2439" s="18" t="s">
        <v>14</v>
      </c>
      <c r="D2439" s="18" t="s">
        <v>15</v>
      </c>
      <c r="E2439" s="18" t="s">
        <v>401</v>
      </c>
      <c r="F2439" s="2">
        <f>+J2439-I2439</f>
        <v>30</v>
      </c>
      <c r="G2439" s="2">
        <f ca="1">+TODAY()-I2439</f>
        <v>1818</v>
      </c>
      <c r="H2439" s="15">
        <v>112500</v>
      </c>
      <c r="I2439" s="1">
        <v>44302</v>
      </c>
      <c r="J2439" s="1">
        <v>44332</v>
      </c>
      <c r="K2439" s="18" t="s">
        <v>343</v>
      </c>
      <c r="L2439" s="18" t="s">
        <v>18</v>
      </c>
      <c r="M2439" s="18" t="s">
        <v>19</v>
      </c>
      <c r="N2439" s="18" t="s">
        <v>20</v>
      </c>
      <c r="O2439">
        <v>30</v>
      </c>
    </row>
    <row r="2440" spans="1:15" x14ac:dyDescent="0.25">
      <c r="A2440" s="18" t="s">
        <v>7276</v>
      </c>
      <c r="B2440" s="18" t="s">
        <v>13</v>
      </c>
      <c r="C2440" s="18" t="s">
        <v>14</v>
      </c>
      <c r="D2440" s="18" t="s">
        <v>15</v>
      </c>
      <c r="E2440" s="18" t="s">
        <v>402</v>
      </c>
      <c r="F2440" s="2">
        <f>+J2440-I2440</f>
        <v>30</v>
      </c>
      <c r="G2440" s="2">
        <f ca="1">+TODAY()-I2440</f>
        <v>1807</v>
      </c>
      <c r="H2440" s="15">
        <v>1888591</v>
      </c>
      <c r="I2440" s="1">
        <v>44313</v>
      </c>
      <c r="J2440" s="1">
        <v>44343</v>
      </c>
      <c r="K2440" s="18" t="s">
        <v>343</v>
      </c>
      <c r="L2440" s="18" t="s">
        <v>18</v>
      </c>
      <c r="M2440" s="18" t="s">
        <v>19</v>
      </c>
      <c r="N2440" s="18" t="s">
        <v>20</v>
      </c>
      <c r="O2440">
        <v>30</v>
      </c>
    </row>
    <row r="2441" spans="1:15" x14ac:dyDescent="0.25">
      <c r="A2441" s="18" t="s">
        <v>7276</v>
      </c>
      <c r="B2441" s="18" t="s">
        <v>13</v>
      </c>
      <c r="C2441" s="18" t="s">
        <v>14</v>
      </c>
      <c r="D2441" s="18" t="s">
        <v>15</v>
      </c>
      <c r="E2441" s="18" t="s">
        <v>403</v>
      </c>
      <c r="F2441" s="2">
        <f>+J2441-I2441</f>
        <v>30</v>
      </c>
      <c r="G2441" s="2">
        <f ca="1">+TODAY()-I2441</f>
        <v>1807</v>
      </c>
      <c r="H2441" s="15">
        <v>5106846</v>
      </c>
      <c r="I2441" s="1">
        <v>44313</v>
      </c>
      <c r="J2441" s="1">
        <v>44343</v>
      </c>
      <c r="K2441" s="18" t="s">
        <v>343</v>
      </c>
      <c r="L2441" s="18" t="s">
        <v>18</v>
      </c>
      <c r="M2441" s="18" t="s">
        <v>19</v>
      </c>
      <c r="N2441" s="18" t="s">
        <v>20</v>
      </c>
      <c r="O2441">
        <v>30</v>
      </c>
    </row>
    <row r="2442" spans="1:15" x14ac:dyDescent="0.25">
      <c r="A2442" s="18" t="s">
        <v>7276</v>
      </c>
      <c r="B2442" s="18" t="s">
        <v>13</v>
      </c>
      <c r="C2442" s="18" t="s">
        <v>14</v>
      </c>
      <c r="D2442" s="18" t="s">
        <v>15</v>
      </c>
      <c r="E2442" s="18" t="s">
        <v>404</v>
      </c>
      <c r="F2442" s="2">
        <f>+J2442-I2442</f>
        <v>30</v>
      </c>
      <c r="G2442" s="2">
        <f ca="1">+TODAY()-I2442</f>
        <v>1807</v>
      </c>
      <c r="H2442" s="15">
        <v>1178323</v>
      </c>
      <c r="I2442" s="1">
        <v>44313</v>
      </c>
      <c r="J2442" s="1">
        <v>44343</v>
      </c>
      <c r="K2442" s="18" t="s">
        <v>343</v>
      </c>
      <c r="L2442" s="18" t="s">
        <v>18</v>
      </c>
      <c r="M2442" s="18" t="s">
        <v>19</v>
      </c>
      <c r="N2442" s="18" t="s">
        <v>20</v>
      </c>
      <c r="O2442">
        <v>30</v>
      </c>
    </row>
    <row r="2443" spans="1:15" x14ac:dyDescent="0.25">
      <c r="A2443" s="18" t="s">
        <v>7276</v>
      </c>
      <c r="B2443" s="18" t="s">
        <v>13</v>
      </c>
      <c r="C2443" s="18" t="s">
        <v>14</v>
      </c>
      <c r="D2443" s="18" t="s">
        <v>15</v>
      </c>
      <c r="E2443" s="18" t="s">
        <v>405</v>
      </c>
      <c r="F2443" s="2">
        <f>+J2443-I2443</f>
        <v>30</v>
      </c>
      <c r="G2443" s="2">
        <f ca="1">+TODAY()-I2443</f>
        <v>1804</v>
      </c>
      <c r="H2443" s="15">
        <v>830000</v>
      </c>
      <c r="I2443" s="1">
        <v>44316</v>
      </c>
      <c r="J2443" s="1">
        <v>44346</v>
      </c>
      <c r="K2443" s="18" t="s">
        <v>343</v>
      </c>
      <c r="L2443" s="18" t="s">
        <v>18</v>
      </c>
      <c r="M2443" s="18" t="s">
        <v>19</v>
      </c>
      <c r="N2443" s="18" t="s">
        <v>20</v>
      </c>
      <c r="O2443">
        <v>30</v>
      </c>
    </row>
    <row r="2444" spans="1:15" x14ac:dyDescent="0.25">
      <c r="A2444" s="18" t="s">
        <v>7276</v>
      </c>
      <c r="B2444" s="18" t="s">
        <v>13</v>
      </c>
      <c r="C2444" s="18" t="s">
        <v>14</v>
      </c>
      <c r="D2444" s="18" t="s">
        <v>15</v>
      </c>
      <c r="E2444" s="18" t="s">
        <v>406</v>
      </c>
      <c r="F2444" s="2">
        <f>+J2444-I2444</f>
        <v>30</v>
      </c>
      <c r="G2444" s="2">
        <f ca="1">+TODAY()-I2444</f>
        <v>1804</v>
      </c>
      <c r="H2444" s="15">
        <v>830000</v>
      </c>
      <c r="I2444" s="1">
        <v>44316</v>
      </c>
      <c r="J2444" s="1">
        <v>44346</v>
      </c>
      <c r="K2444" s="18" t="s">
        <v>343</v>
      </c>
      <c r="L2444" s="18" t="s">
        <v>18</v>
      </c>
      <c r="M2444" s="18" t="s">
        <v>19</v>
      </c>
      <c r="N2444" s="18" t="s">
        <v>20</v>
      </c>
      <c r="O2444">
        <v>30</v>
      </c>
    </row>
    <row r="2445" spans="1:15" x14ac:dyDescent="0.25">
      <c r="A2445" s="18" t="s">
        <v>7276</v>
      </c>
      <c r="B2445" s="18" t="s">
        <v>13</v>
      </c>
      <c r="C2445" s="18" t="s">
        <v>14</v>
      </c>
      <c r="D2445" s="18" t="s">
        <v>15</v>
      </c>
      <c r="E2445" s="18" t="s">
        <v>407</v>
      </c>
      <c r="F2445" s="2">
        <f>+J2445-I2445</f>
        <v>30</v>
      </c>
      <c r="G2445" s="2">
        <f ca="1">+TODAY()-I2445</f>
        <v>1801</v>
      </c>
      <c r="H2445" s="15">
        <v>2971642</v>
      </c>
      <c r="I2445" s="1">
        <v>44319</v>
      </c>
      <c r="J2445" s="1">
        <v>44349</v>
      </c>
      <c r="K2445" s="18" t="s">
        <v>343</v>
      </c>
      <c r="L2445" s="18" t="s">
        <v>18</v>
      </c>
      <c r="M2445" s="18" t="s">
        <v>19</v>
      </c>
      <c r="N2445" s="18" t="s">
        <v>20</v>
      </c>
      <c r="O2445">
        <v>30</v>
      </c>
    </row>
    <row r="2446" spans="1:15" x14ac:dyDescent="0.25">
      <c r="A2446" s="18" t="s">
        <v>7276</v>
      </c>
      <c r="B2446" s="18" t="s">
        <v>13</v>
      </c>
      <c r="C2446" s="18" t="s">
        <v>14</v>
      </c>
      <c r="D2446" s="18" t="s">
        <v>15</v>
      </c>
      <c r="E2446" s="18" t="s">
        <v>408</v>
      </c>
      <c r="F2446" s="2">
        <f>+J2446-I2446</f>
        <v>30</v>
      </c>
      <c r="G2446" s="2">
        <f ca="1">+TODAY()-I2446</f>
        <v>1792</v>
      </c>
      <c r="H2446" s="15">
        <v>6439807</v>
      </c>
      <c r="I2446" s="1">
        <v>44328</v>
      </c>
      <c r="J2446" s="1">
        <v>44358</v>
      </c>
      <c r="K2446" s="18" t="s">
        <v>343</v>
      </c>
      <c r="L2446" s="18" t="s">
        <v>18</v>
      </c>
      <c r="M2446" s="18" t="s">
        <v>19</v>
      </c>
      <c r="N2446" s="18" t="s">
        <v>20</v>
      </c>
      <c r="O2446">
        <v>30</v>
      </c>
    </row>
    <row r="2447" spans="1:15" x14ac:dyDescent="0.25">
      <c r="A2447" s="18" t="s">
        <v>7276</v>
      </c>
      <c r="B2447" s="18" t="s">
        <v>13</v>
      </c>
      <c r="C2447" s="18" t="s">
        <v>14</v>
      </c>
      <c r="D2447" s="18" t="s">
        <v>15</v>
      </c>
      <c r="E2447" s="18" t="s">
        <v>409</v>
      </c>
      <c r="F2447" s="2">
        <f>+J2447-I2447</f>
        <v>30</v>
      </c>
      <c r="G2447" s="2">
        <f ca="1">+TODAY()-I2447</f>
        <v>1792</v>
      </c>
      <c r="H2447" s="15">
        <v>6693404</v>
      </c>
      <c r="I2447" s="1">
        <v>44328</v>
      </c>
      <c r="J2447" s="1">
        <v>44358</v>
      </c>
      <c r="K2447" s="18" t="s">
        <v>343</v>
      </c>
      <c r="L2447" s="18" t="s">
        <v>18</v>
      </c>
      <c r="M2447" s="18" t="s">
        <v>19</v>
      </c>
      <c r="N2447" s="18" t="s">
        <v>20</v>
      </c>
      <c r="O2447">
        <v>30</v>
      </c>
    </row>
    <row r="2448" spans="1:15" x14ac:dyDescent="0.25">
      <c r="A2448" s="18" t="s">
        <v>7276</v>
      </c>
      <c r="B2448" s="18" t="s">
        <v>13</v>
      </c>
      <c r="C2448" s="18" t="s">
        <v>14</v>
      </c>
      <c r="D2448" s="18" t="s">
        <v>15</v>
      </c>
      <c r="E2448" s="18" t="s">
        <v>410</v>
      </c>
      <c r="F2448" s="2">
        <f>+J2448-I2448</f>
        <v>30</v>
      </c>
      <c r="G2448" s="2">
        <f ca="1">+TODAY()-I2448</f>
        <v>1792</v>
      </c>
      <c r="H2448" s="15">
        <v>811842</v>
      </c>
      <c r="I2448" s="1">
        <v>44328</v>
      </c>
      <c r="J2448" s="1">
        <v>44358</v>
      </c>
      <c r="K2448" s="18" t="s">
        <v>343</v>
      </c>
      <c r="L2448" s="18" t="s">
        <v>18</v>
      </c>
      <c r="M2448" s="18" t="s">
        <v>19</v>
      </c>
      <c r="N2448" s="18" t="s">
        <v>20</v>
      </c>
      <c r="O2448">
        <v>30</v>
      </c>
    </row>
    <row r="2449" spans="1:15" x14ac:dyDescent="0.25">
      <c r="A2449" s="18" t="s">
        <v>7276</v>
      </c>
      <c r="B2449" s="18" t="s">
        <v>13</v>
      </c>
      <c r="C2449" s="18" t="s">
        <v>14</v>
      </c>
      <c r="D2449" s="18" t="s">
        <v>15</v>
      </c>
      <c r="E2449" s="18" t="s">
        <v>411</v>
      </c>
      <c r="F2449" s="2">
        <f>+J2449-I2449</f>
        <v>30</v>
      </c>
      <c r="G2449" s="2">
        <f ca="1">+TODAY()-I2449</f>
        <v>1792</v>
      </c>
      <c r="H2449" s="15">
        <v>259004</v>
      </c>
      <c r="I2449" s="1">
        <v>44328</v>
      </c>
      <c r="J2449" s="1">
        <v>44358</v>
      </c>
      <c r="K2449" s="18" t="s">
        <v>343</v>
      </c>
      <c r="L2449" s="18" t="s">
        <v>18</v>
      </c>
      <c r="M2449" s="18" t="s">
        <v>19</v>
      </c>
      <c r="N2449" s="18" t="s">
        <v>20</v>
      </c>
      <c r="O2449">
        <v>30</v>
      </c>
    </row>
    <row r="2450" spans="1:15" x14ac:dyDescent="0.25">
      <c r="A2450" s="18" t="s">
        <v>7276</v>
      </c>
      <c r="B2450" s="18" t="s">
        <v>13</v>
      </c>
      <c r="C2450" s="18" t="s">
        <v>14</v>
      </c>
      <c r="D2450" s="18" t="s">
        <v>15</v>
      </c>
      <c r="E2450" s="18" t="s">
        <v>412</v>
      </c>
      <c r="F2450" s="2">
        <f>+J2450-I2450</f>
        <v>30</v>
      </c>
      <c r="G2450" s="2">
        <f ca="1">+TODAY()-I2450</f>
        <v>1779</v>
      </c>
      <c r="H2450" s="15">
        <v>508320</v>
      </c>
      <c r="I2450" s="1">
        <v>44341</v>
      </c>
      <c r="J2450" s="1">
        <v>44371</v>
      </c>
      <c r="K2450" s="18" t="s">
        <v>343</v>
      </c>
      <c r="L2450" s="18" t="s">
        <v>18</v>
      </c>
      <c r="M2450" s="18" t="s">
        <v>19</v>
      </c>
      <c r="N2450" s="18" t="s">
        <v>20</v>
      </c>
      <c r="O2450">
        <v>30</v>
      </c>
    </row>
    <row r="2451" spans="1:15" x14ac:dyDescent="0.25">
      <c r="A2451" s="18" t="s">
        <v>7276</v>
      </c>
      <c r="B2451" s="18" t="s">
        <v>13</v>
      </c>
      <c r="C2451" s="18" t="s">
        <v>14</v>
      </c>
      <c r="D2451" s="18" t="s">
        <v>15</v>
      </c>
      <c r="E2451" s="18" t="s">
        <v>413</v>
      </c>
      <c r="F2451" s="2">
        <f>+J2451-I2451</f>
        <v>30</v>
      </c>
      <c r="G2451" s="2">
        <f ca="1">+TODAY()-I2451</f>
        <v>1778</v>
      </c>
      <c r="H2451" s="15">
        <v>9583028</v>
      </c>
      <c r="I2451" s="1">
        <v>44342</v>
      </c>
      <c r="J2451" s="1">
        <v>44372</v>
      </c>
      <c r="K2451" s="18" t="s">
        <v>343</v>
      </c>
      <c r="L2451" s="18" t="s">
        <v>18</v>
      </c>
      <c r="M2451" s="18" t="s">
        <v>19</v>
      </c>
      <c r="N2451" s="18" t="s">
        <v>20</v>
      </c>
      <c r="O2451">
        <v>30</v>
      </c>
    </row>
    <row r="2452" spans="1:15" x14ac:dyDescent="0.25">
      <c r="A2452" s="18" t="s">
        <v>7276</v>
      </c>
      <c r="B2452" s="18" t="s">
        <v>13</v>
      </c>
      <c r="C2452" s="18" t="s">
        <v>14</v>
      </c>
      <c r="D2452" s="18" t="s">
        <v>15</v>
      </c>
      <c r="E2452" s="18" t="s">
        <v>414</v>
      </c>
      <c r="F2452" s="2">
        <f>+J2452-I2452</f>
        <v>30</v>
      </c>
      <c r="G2452" s="2">
        <f ca="1">+TODAY()-I2452</f>
        <v>1778</v>
      </c>
      <c r="H2452" s="15">
        <v>4397761</v>
      </c>
      <c r="I2452" s="1">
        <v>44342</v>
      </c>
      <c r="J2452" s="1">
        <v>44372</v>
      </c>
      <c r="K2452" s="18" t="s">
        <v>343</v>
      </c>
      <c r="L2452" s="18" t="s">
        <v>18</v>
      </c>
      <c r="M2452" s="18" t="s">
        <v>19</v>
      </c>
      <c r="N2452" s="18" t="s">
        <v>20</v>
      </c>
      <c r="O2452">
        <v>30</v>
      </c>
    </row>
    <row r="2453" spans="1:15" x14ac:dyDescent="0.25">
      <c r="A2453" s="18" t="s">
        <v>7276</v>
      </c>
      <c r="B2453" s="18" t="s">
        <v>13</v>
      </c>
      <c r="C2453" s="18" t="s">
        <v>14</v>
      </c>
      <c r="D2453" s="18" t="s">
        <v>15</v>
      </c>
      <c r="E2453" s="18" t="s">
        <v>415</v>
      </c>
      <c r="F2453" s="2">
        <f>+J2453-I2453</f>
        <v>30</v>
      </c>
      <c r="G2453" s="2">
        <f ca="1">+TODAY()-I2453</f>
        <v>1778</v>
      </c>
      <c r="H2453" s="15">
        <v>128254</v>
      </c>
      <c r="I2453" s="1">
        <v>44342</v>
      </c>
      <c r="J2453" s="1">
        <v>44372</v>
      </c>
      <c r="K2453" s="18" t="s">
        <v>343</v>
      </c>
      <c r="L2453" s="18" t="s">
        <v>18</v>
      </c>
      <c r="M2453" s="18" t="s">
        <v>19</v>
      </c>
      <c r="N2453" s="18" t="s">
        <v>20</v>
      </c>
      <c r="O2453">
        <v>30</v>
      </c>
    </row>
    <row r="2454" spans="1:15" x14ac:dyDescent="0.25">
      <c r="A2454" s="18" t="s">
        <v>7276</v>
      </c>
      <c r="B2454" s="18" t="s">
        <v>13</v>
      </c>
      <c r="C2454" s="18" t="s">
        <v>14</v>
      </c>
      <c r="D2454" s="18" t="s">
        <v>15</v>
      </c>
      <c r="E2454" s="18" t="s">
        <v>416</v>
      </c>
      <c r="F2454" s="2">
        <f>+J2454-I2454</f>
        <v>30</v>
      </c>
      <c r="G2454" s="2">
        <f ca="1">+TODAY()-I2454</f>
        <v>1777</v>
      </c>
      <c r="H2454" s="15">
        <v>858816</v>
      </c>
      <c r="I2454" s="1">
        <v>44343</v>
      </c>
      <c r="J2454" s="1">
        <v>44373</v>
      </c>
      <c r="K2454" s="18" t="s">
        <v>343</v>
      </c>
      <c r="L2454" s="18" t="s">
        <v>18</v>
      </c>
      <c r="M2454" s="18" t="s">
        <v>19</v>
      </c>
      <c r="N2454" s="18" t="s">
        <v>20</v>
      </c>
      <c r="O2454">
        <v>30</v>
      </c>
    </row>
    <row r="2455" spans="1:15" x14ac:dyDescent="0.25">
      <c r="A2455" s="18" t="s">
        <v>7276</v>
      </c>
      <c r="B2455" s="18" t="s">
        <v>13</v>
      </c>
      <c r="C2455" s="18" t="s">
        <v>14</v>
      </c>
      <c r="D2455" s="18" t="s">
        <v>15</v>
      </c>
      <c r="E2455" s="18" t="s">
        <v>417</v>
      </c>
      <c r="F2455" s="2">
        <f>+J2455-I2455</f>
        <v>30</v>
      </c>
      <c r="G2455" s="2">
        <f ca="1">+TODAY()-I2455</f>
        <v>1764</v>
      </c>
      <c r="H2455" s="15">
        <v>3530592</v>
      </c>
      <c r="I2455" s="1">
        <v>44356</v>
      </c>
      <c r="J2455" s="1">
        <v>44386</v>
      </c>
      <c r="K2455" s="18" t="s">
        <v>343</v>
      </c>
      <c r="L2455" s="18" t="s">
        <v>18</v>
      </c>
      <c r="M2455" s="18" t="s">
        <v>19</v>
      </c>
      <c r="N2455" s="18" t="s">
        <v>20</v>
      </c>
      <c r="O2455">
        <v>30</v>
      </c>
    </row>
    <row r="2456" spans="1:15" x14ac:dyDescent="0.25">
      <c r="A2456" s="18" t="s">
        <v>7276</v>
      </c>
      <c r="B2456" s="18" t="s">
        <v>13</v>
      </c>
      <c r="C2456" s="18" t="s">
        <v>14</v>
      </c>
      <c r="D2456" s="18" t="s">
        <v>15</v>
      </c>
      <c r="E2456" s="18" t="s">
        <v>418</v>
      </c>
      <c r="F2456" s="2">
        <f>+J2456-I2456</f>
        <v>30</v>
      </c>
      <c r="G2456" s="2">
        <f ca="1">+TODAY()-I2456</f>
        <v>1764</v>
      </c>
      <c r="H2456" s="15">
        <v>3590833</v>
      </c>
      <c r="I2456" s="1">
        <v>44356</v>
      </c>
      <c r="J2456" s="1">
        <v>44386</v>
      </c>
      <c r="K2456" s="18" t="s">
        <v>343</v>
      </c>
      <c r="L2456" s="18" t="s">
        <v>18</v>
      </c>
      <c r="M2456" s="18" t="s">
        <v>19</v>
      </c>
      <c r="N2456" s="18" t="s">
        <v>20</v>
      </c>
      <c r="O2456">
        <v>30</v>
      </c>
    </row>
    <row r="2457" spans="1:15" x14ac:dyDescent="0.25">
      <c r="A2457" s="18" t="s">
        <v>7276</v>
      </c>
      <c r="B2457" s="18" t="s">
        <v>13</v>
      </c>
      <c r="C2457" s="18" t="s">
        <v>14</v>
      </c>
      <c r="D2457" s="18" t="s">
        <v>15</v>
      </c>
      <c r="E2457" s="18" t="s">
        <v>419</v>
      </c>
      <c r="F2457" s="2">
        <f>+J2457-I2457</f>
        <v>30</v>
      </c>
      <c r="G2457" s="2">
        <f ca="1">+TODAY()-I2457</f>
        <v>1764</v>
      </c>
      <c r="H2457" s="15">
        <v>714560</v>
      </c>
      <c r="I2457" s="1">
        <v>44356</v>
      </c>
      <c r="J2457" s="1">
        <v>44386</v>
      </c>
      <c r="K2457" s="18" t="s">
        <v>343</v>
      </c>
      <c r="L2457" s="18" t="s">
        <v>18</v>
      </c>
      <c r="M2457" s="18" t="s">
        <v>19</v>
      </c>
      <c r="N2457" s="18" t="s">
        <v>20</v>
      </c>
      <c r="O2457">
        <v>30</v>
      </c>
    </row>
    <row r="2458" spans="1:15" x14ac:dyDescent="0.25">
      <c r="A2458" s="18" t="s">
        <v>7276</v>
      </c>
      <c r="B2458" s="18" t="s">
        <v>13</v>
      </c>
      <c r="C2458" s="18" t="s">
        <v>14</v>
      </c>
      <c r="D2458" s="18" t="s">
        <v>15</v>
      </c>
      <c r="E2458" s="18" t="s">
        <v>420</v>
      </c>
      <c r="F2458" s="2">
        <f>+J2458-I2458</f>
        <v>30</v>
      </c>
      <c r="G2458" s="2">
        <f ca="1">+TODAY()-I2458</f>
        <v>1763</v>
      </c>
      <c r="H2458" s="15">
        <v>996069</v>
      </c>
      <c r="I2458" s="1">
        <v>44357</v>
      </c>
      <c r="J2458" s="1">
        <v>44387</v>
      </c>
      <c r="K2458" s="18" t="s">
        <v>343</v>
      </c>
      <c r="L2458" s="18" t="s">
        <v>47</v>
      </c>
      <c r="M2458" s="18" t="s">
        <v>19</v>
      </c>
      <c r="N2458" s="18" t="s">
        <v>20</v>
      </c>
      <c r="O2458">
        <v>30</v>
      </c>
    </row>
    <row r="2459" spans="1:15" x14ac:dyDescent="0.25">
      <c r="A2459" s="18" t="s">
        <v>7276</v>
      </c>
      <c r="B2459" s="18" t="s">
        <v>13</v>
      </c>
      <c r="C2459" s="18" t="s">
        <v>14</v>
      </c>
      <c r="D2459" s="18" t="s">
        <v>15</v>
      </c>
      <c r="E2459" s="18" t="s">
        <v>421</v>
      </c>
      <c r="F2459" s="2">
        <f>+J2459-I2459</f>
        <v>30</v>
      </c>
      <c r="G2459" s="2">
        <f ca="1">+TODAY()-I2459</f>
        <v>1749</v>
      </c>
      <c r="H2459" s="15">
        <v>7377848</v>
      </c>
      <c r="I2459" s="1">
        <v>44371</v>
      </c>
      <c r="J2459" s="1">
        <v>44401</v>
      </c>
      <c r="K2459" s="18" t="s">
        <v>343</v>
      </c>
      <c r="L2459" s="18" t="s">
        <v>18</v>
      </c>
      <c r="M2459" s="18" t="s">
        <v>19</v>
      </c>
      <c r="N2459" s="18" t="s">
        <v>20</v>
      </c>
      <c r="O2459">
        <v>30</v>
      </c>
    </row>
    <row r="2460" spans="1:15" x14ac:dyDescent="0.25">
      <c r="A2460" s="18" t="s">
        <v>7276</v>
      </c>
      <c r="B2460" s="18" t="s">
        <v>13</v>
      </c>
      <c r="C2460" s="18" t="s">
        <v>14</v>
      </c>
      <c r="D2460" s="18" t="s">
        <v>15</v>
      </c>
      <c r="E2460" s="18" t="s">
        <v>422</v>
      </c>
      <c r="F2460" s="2">
        <f>+J2460-I2460</f>
        <v>30</v>
      </c>
      <c r="G2460" s="2">
        <f ca="1">+TODAY()-I2460</f>
        <v>1749</v>
      </c>
      <c r="H2460" s="15">
        <v>3005542</v>
      </c>
      <c r="I2460" s="1">
        <v>44371</v>
      </c>
      <c r="J2460" s="1">
        <v>44401</v>
      </c>
      <c r="K2460" s="18" t="s">
        <v>343</v>
      </c>
      <c r="L2460" s="18" t="s">
        <v>18</v>
      </c>
      <c r="M2460" s="18" t="s">
        <v>19</v>
      </c>
      <c r="N2460" s="18" t="s">
        <v>20</v>
      </c>
      <c r="O2460">
        <v>30</v>
      </c>
    </row>
    <row r="2461" spans="1:15" x14ac:dyDescent="0.25">
      <c r="A2461" s="18" t="s">
        <v>7276</v>
      </c>
      <c r="B2461" s="18" t="s">
        <v>13</v>
      </c>
      <c r="C2461" s="18" t="s">
        <v>14</v>
      </c>
      <c r="D2461" s="18" t="s">
        <v>15</v>
      </c>
      <c r="E2461" s="18" t="s">
        <v>423</v>
      </c>
      <c r="F2461" s="2">
        <f>+J2461-I2461</f>
        <v>30</v>
      </c>
      <c r="G2461" s="2">
        <f ca="1">+TODAY()-I2461</f>
        <v>1749</v>
      </c>
      <c r="H2461" s="15">
        <v>769024</v>
      </c>
      <c r="I2461" s="1">
        <v>44371</v>
      </c>
      <c r="J2461" s="1">
        <v>44401</v>
      </c>
      <c r="K2461" s="18" t="s">
        <v>343</v>
      </c>
      <c r="L2461" s="18" t="s">
        <v>18</v>
      </c>
      <c r="M2461" s="18" t="s">
        <v>19</v>
      </c>
      <c r="N2461" s="18" t="s">
        <v>20</v>
      </c>
      <c r="O2461">
        <v>30</v>
      </c>
    </row>
    <row r="2462" spans="1:15" x14ac:dyDescent="0.25">
      <c r="A2462" s="18" t="s">
        <v>7276</v>
      </c>
      <c r="B2462" s="18" t="s">
        <v>13</v>
      </c>
      <c r="C2462" s="18" t="s">
        <v>14</v>
      </c>
      <c r="D2462" s="18" t="s">
        <v>15</v>
      </c>
      <c r="E2462" s="18" t="s">
        <v>424</v>
      </c>
      <c r="F2462" s="2">
        <f>+J2462-I2462</f>
        <v>30</v>
      </c>
      <c r="G2462" s="2">
        <f ca="1">+TODAY()-I2462</f>
        <v>1735</v>
      </c>
      <c r="H2462" s="15">
        <v>6240459</v>
      </c>
      <c r="I2462" s="1">
        <v>44385</v>
      </c>
      <c r="J2462" s="1">
        <v>44415</v>
      </c>
      <c r="K2462" s="18" t="s">
        <v>343</v>
      </c>
      <c r="L2462" s="18" t="s">
        <v>18</v>
      </c>
      <c r="M2462" s="18" t="s">
        <v>19</v>
      </c>
      <c r="N2462" s="18" t="s">
        <v>20</v>
      </c>
      <c r="O2462">
        <v>30</v>
      </c>
    </row>
    <row r="2463" spans="1:15" x14ac:dyDescent="0.25">
      <c r="A2463" s="18" t="s">
        <v>7276</v>
      </c>
      <c r="B2463" s="18" t="s">
        <v>13</v>
      </c>
      <c r="C2463" s="18" t="s">
        <v>14</v>
      </c>
      <c r="D2463" s="18" t="s">
        <v>15</v>
      </c>
      <c r="E2463" s="18" t="s">
        <v>425</v>
      </c>
      <c r="F2463" s="2">
        <f>+J2463-I2463</f>
        <v>30</v>
      </c>
      <c r="G2463" s="2">
        <f ca="1">+TODAY()-I2463</f>
        <v>1735</v>
      </c>
      <c r="H2463" s="15">
        <v>2287827</v>
      </c>
      <c r="I2463" s="1">
        <v>44385</v>
      </c>
      <c r="J2463" s="1">
        <v>44415</v>
      </c>
      <c r="K2463" s="18" t="s">
        <v>343</v>
      </c>
      <c r="L2463" s="18" t="s">
        <v>18</v>
      </c>
      <c r="M2463" s="18" t="s">
        <v>19</v>
      </c>
      <c r="N2463" s="18" t="s">
        <v>20</v>
      </c>
      <c r="O2463">
        <v>30</v>
      </c>
    </row>
    <row r="2464" spans="1:15" x14ac:dyDescent="0.25">
      <c r="A2464" s="18" t="s">
        <v>7276</v>
      </c>
      <c r="B2464" s="18" t="s">
        <v>13</v>
      </c>
      <c r="C2464" s="18" t="s">
        <v>14</v>
      </c>
      <c r="D2464" s="18" t="s">
        <v>15</v>
      </c>
      <c r="E2464" s="18" t="s">
        <v>426</v>
      </c>
      <c r="F2464" s="2">
        <f>+J2464-I2464</f>
        <v>30</v>
      </c>
      <c r="G2464" s="2">
        <f ca="1">+TODAY()-I2464</f>
        <v>1735</v>
      </c>
      <c r="H2464" s="15">
        <v>3555732</v>
      </c>
      <c r="I2464" s="1">
        <v>44385</v>
      </c>
      <c r="J2464" s="1">
        <v>44415</v>
      </c>
      <c r="K2464" s="18" t="s">
        <v>343</v>
      </c>
      <c r="L2464" s="18" t="s">
        <v>18</v>
      </c>
      <c r="M2464" s="18" t="s">
        <v>19</v>
      </c>
      <c r="N2464" s="18" t="s">
        <v>20</v>
      </c>
      <c r="O2464">
        <v>30</v>
      </c>
    </row>
    <row r="2465" spans="1:15" x14ac:dyDescent="0.25">
      <c r="A2465" s="18" t="s">
        <v>7276</v>
      </c>
      <c r="B2465" s="18" t="s">
        <v>13</v>
      </c>
      <c r="C2465" s="18" t="s">
        <v>14</v>
      </c>
      <c r="D2465" s="18" t="s">
        <v>15</v>
      </c>
      <c r="E2465" s="18" t="s">
        <v>427</v>
      </c>
      <c r="F2465" s="2">
        <f>+J2465-I2465</f>
        <v>30</v>
      </c>
      <c r="G2465" s="2">
        <f ca="1">+TODAY()-I2465</f>
        <v>1735</v>
      </c>
      <c r="H2465" s="15">
        <v>338266</v>
      </c>
      <c r="I2465" s="1">
        <v>44385</v>
      </c>
      <c r="J2465" s="1">
        <v>44415</v>
      </c>
      <c r="K2465" s="18" t="s">
        <v>343</v>
      </c>
      <c r="L2465" s="18" t="s">
        <v>18</v>
      </c>
      <c r="M2465" s="18" t="s">
        <v>19</v>
      </c>
      <c r="N2465" s="18" t="s">
        <v>20</v>
      </c>
      <c r="O2465">
        <v>30</v>
      </c>
    </row>
    <row r="2466" spans="1:15" x14ac:dyDescent="0.25">
      <c r="A2466" s="18" t="s">
        <v>7276</v>
      </c>
      <c r="B2466" s="18" t="s">
        <v>13</v>
      </c>
      <c r="C2466" s="18" t="s">
        <v>14</v>
      </c>
      <c r="D2466" s="18" t="s">
        <v>15</v>
      </c>
      <c r="E2466" s="18" t="s">
        <v>428</v>
      </c>
      <c r="F2466" s="2">
        <f>+J2466-I2466</f>
        <v>30</v>
      </c>
      <c r="G2466" s="2">
        <f ca="1">+TODAY()-I2466</f>
        <v>1734</v>
      </c>
      <c r="H2466" s="15">
        <v>478250</v>
      </c>
      <c r="I2466" s="1">
        <v>44386</v>
      </c>
      <c r="J2466" s="1">
        <v>44416</v>
      </c>
      <c r="K2466" s="18" t="s">
        <v>343</v>
      </c>
      <c r="L2466" s="18" t="s">
        <v>47</v>
      </c>
      <c r="M2466" s="18" t="s">
        <v>19</v>
      </c>
      <c r="N2466" s="18" t="s">
        <v>20</v>
      </c>
      <c r="O2466">
        <v>30</v>
      </c>
    </row>
    <row r="2467" spans="1:15" x14ac:dyDescent="0.25">
      <c r="A2467" s="18" t="s">
        <v>7276</v>
      </c>
      <c r="B2467" s="18" t="s">
        <v>13</v>
      </c>
      <c r="C2467" s="18" t="s">
        <v>14</v>
      </c>
      <c r="D2467" s="18" t="s">
        <v>15</v>
      </c>
      <c r="E2467" s="18" t="s">
        <v>429</v>
      </c>
      <c r="F2467" s="2">
        <f>+J2467-I2467</f>
        <v>30</v>
      </c>
      <c r="G2467" s="2">
        <f ca="1">+TODAY()-I2467</f>
        <v>1723</v>
      </c>
      <c r="H2467" s="15">
        <v>8225486</v>
      </c>
      <c r="I2467" s="1">
        <v>44397</v>
      </c>
      <c r="J2467" s="1">
        <v>44427</v>
      </c>
      <c r="K2467" s="18" t="s">
        <v>343</v>
      </c>
      <c r="L2467" s="18" t="s">
        <v>18</v>
      </c>
      <c r="M2467" s="18" t="s">
        <v>19</v>
      </c>
      <c r="N2467" s="18" t="s">
        <v>20</v>
      </c>
      <c r="O2467">
        <v>30</v>
      </c>
    </row>
    <row r="2468" spans="1:15" x14ac:dyDescent="0.25">
      <c r="A2468" s="18" t="s">
        <v>7276</v>
      </c>
      <c r="B2468" s="18" t="s">
        <v>13</v>
      </c>
      <c r="C2468" s="18" t="s">
        <v>14</v>
      </c>
      <c r="D2468" s="18" t="s">
        <v>15</v>
      </c>
      <c r="E2468" s="18" t="s">
        <v>430</v>
      </c>
      <c r="F2468" s="2">
        <f>+J2468-I2468</f>
        <v>30</v>
      </c>
      <c r="G2468" s="2">
        <f ca="1">+TODAY()-I2468</f>
        <v>1723</v>
      </c>
      <c r="H2468" s="15">
        <v>2030581</v>
      </c>
      <c r="I2468" s="1">
        <v>44397</v>
      </c>
      <c r="J2468" s="1">
        <v>44427</v>
      </c>
      <c r="K2468" s="18" t="s">
        <v>343</v>
      </c>
      <c r="L2468" s="18" t="s">
        <v>18</v>
      </c>
      <c r="M2468" s="18" t="s">
        <v>19</v>
      </c>
      <c r="N2468" s="18" t="s">
        <v>20</v>
      </c>
      <c r="O2468">
        <v>30</v>
      </c>
    </row>
    <row r="2469" spans="1:15" x14ac:dyDescent="0.25">
      <c r="A2469" s="18" t="s">
        <v>7276</v>
      </c>
      <c r="B2469" s="18" t="s">
        <v>13</v>
      </c>
      <c r="C2469" s="18" t="s">
        <v>14</v>
      </c>
      <c r="D2469" s="18" t="s">
        <v>15</v>
      </c>
      <c r="E2469" s="18" t="s">
        <v>431</v>
      </c>
      <c r="F2469" s="2">
        <f>+J2469-I2469</f>
        <v>30</v>
      </c>
      <c r="G2469" s="2">
        <f ca="1">+TODAY()-I2469</f>
        <v>1723</v>
      </c>
      <c r="H2469" s="15">
        <v>2811032</v>
      </c>
      <c r="I2469" s="1">
        <v>44397</v>
      </c>
      <c r="J2469" s="1">
        <v>44427</v>
      </c>
      <c r="K2469" s="18" t="s">
        <v>343</v>
      </c>
      <c r="L2469" s="18" t="s">
        <v>18</v>
      </c>
      <c r="M2469" s="18" t="s">
        <v>19</v>
      </c>
      <c r="N2469" s="18" t="s">
        <v>20</v>
      </c>
      <c r="O2469">
        <v>30</v>
      </c>
    </row>
    <row r="2470" spans="1:15" x14ac:dyDescent="0.25">
      <c r="A2470" s="18" t="s">
        <v>7276</v>
      </c>
      <c r="B2470" s="18" t="s">
        <v>13</v>
      </c>
      <c r="C2470" s="18" t="s">
        <v>14</v>
      </c>
      <c r="D2470" s="18" t="s">
        <v>15</v>
      </c>
      <c r="E2470" s="18" t="s">
        <v>432</v>
      </c>
      <c r="F2470" s="2">
        <f>+J2470-I2470</f>
        <v>30</v>
      </c>
      <c r="G2470" s="2">
        <f ca="1">+TODAY()-I2470</f>
        <v>1723</v>
      </c>
      <c r="H2470" s="15">
        <v>119695</v>
      </c>
      <c r="I2470" s="1">
        <v>44397</v>
      </c>
      <c r="J2470" s="1">
        <v>44427</v>
      </c>
      <c r="K2470" s="18" t="s">
        <v>343</v>
      </c>
      <c r="L2470" s="18" t="s">
        <v>47</v>
      </c>
      <c r="M2470" s="18" t="s">
        <v>19</v>
      </c>
      <c r="N2470" s="18" t="s">
        <v>20</v>
      </c>
      <c r="O2470">
        <v>30</v>
      </c>
    </row>
    <row r="2471" spans="1:15" x14ac:dyDescent="0.25">
      <c r="A2471" s="18" t="s">
        <v>7276</v>
      </c>
      <c r="B2471" s="18" t="s">
        <v>13</v>
      </c>
      <c r="C2471" s="18" t="s">
        <v>14</v>
      </c>
      <c r="D2471" s="18" t="s">
        <v>15</v>
      </c>
      <c r="E2471" s="18" t="s">
        <v>433</v>
      </c>
      <c r="F2471" s="2">
        <f>+J2471-I2471</f>
        <v>30</v>
      </c>
      <c r="G2471" s="2">
        <f ca="1">+TODAY()-I2471</f>
        <v>1708</v>
      </c>
      <c r="H2471" s="15">
        <v>1744664</v>
      </c>
      <c r="I2471" s="1">
        <v>44412</v>
      </c>
      <c r="J2471" s="1">
        <v>44442</v>
      </c>
      <c r="K2471" s="18" t="s">
        <v>343</v>
      </c>
      <c r="L2471" s="18" t="s">
        <v>47</v>
      </c>
      <c r="M2471" s="18" t="s">
        <v>19</v>
      </c>
      <c r="N2471" s="18" t="s">
        <v>20</v>
      </c>
      <c r="O2471">
        <v>30</v>
      </c>
    </row>
    <row r="2472" spans="1:15" x14ac:dyDescent="0.25">
      <c r="A2472" s="18" t="s">
        <v>7276</v>
      </c>
      <c r="B2472" s="18" t="s">
        <v>13</v>
      </c>
      <c r="C2472" s="18" t="s">
        <v>14</v>
      </c>
      <c r="D2472" s="18" t="s">
        <v>15</v>
      </c>
      <c r="E2472" s="18" t="s">
        <v>434</v>
      </c>
      <c r="F2472" s="2">
        <f>+J2472-I2472</f>
        <v>30</v>
      </c>
      <c r="G2472" s="2">
        <f ca="1">+TODAY()-I2472</f>
        <v>1708</v>
      </c>
      <c r="H2472" s="15">
        <v>3588189</v>
      </c>
      <c r="I2472" s="1">
        <v>44412</v>
      </c>
      <c r="J2472" s="1">
        <v>44442</v>
      </c>
      <c r="K2472" s="18" t="s">
        <v>343</v>
      </c>
      <c r="L2472" s="18" t="s">
        <v>18</v>
      </c>
      <c r="M2472" s="18" t="s">
        <v>19</v>
      </c>
      <c r="N2472" s="18" t="s">
        <v>20</v>
      </c>
      <c r="O2472">
        <v>30</v>
      </c>
    </row>
    <row r="2473" spans="1:15" x14ac:dyDescent="0.25">
      <c r="A2473" s="18" t="s">
        <v>7276</v>
      </c>
      <c r="B2473" s="18" t="s">
        <v>13</v>
      </c>
      <c r="C2473" s="18" t="s">
        <v>14</v>
      </c>
      <c r="D2473" s="18" t="s">
        <v>15</v>
      </c>
      <c r="E2473" s="18" t="s">
        <v>435</v>
      </c>
      <c r="F2473" s="2">
        <f>+J2473-I2473</f>
        <v>30</v>
      </c>
      <c r="G2473" s="2">
        <f ca="1">+TODAY()-I2473</f>
        <v>1708</v>
      </c>
      <c r="H2473" s="15">
        <v>2285734</v>
      </c>
      <c r="I2473" s="1">
        <v>44412</v>
      </c>
      <c r="J2473" s="1">
        <v>44442</v>
      </c>
      <c r="K2473" s="18" t="s">
        <v>343</v>
      </c>
      <c r="L2473" s="18" t="s">
        <v>18</v>
      </c>
      <c r="M2473" s="18" t="s">
        <v>19</v>
      </c>
      <c r="N2473" s="18" t="s">
        <v>20</v>
      </c>
      <c r="O2473">
        <v>30</v>
      </c>
    </row>
    <row r="2474" spans="1:15" x14ac:dyDescent="0.25">
      <c r="A2474" s="18" t="s">
        <v>7276</v>
      </c>
      <c r="B2474" s="18" t="s">
        <v>13</v>
      </c>
      <c r="C2474" s="18" t="s">
        <v>14</v>
      </c>
      <c r="D2474" s="18" t="s">
        <v>15</v>
      </c>
      <c r="E2474" s="18" t="s">
        <v>436</v>
      </c>
      <c r="F2474" s="2">
        <f>+J2474-I2474</f>
        <v>30</v>
      </c>
      <c r="G2474" s="2">
        <f ca="1">+TODAY()-I2474</f>
        <v>1706</v>
      </c>
      <c r="H2474" s="15">
        <v>754301</v>
      </c>
      <c r="I2474" s="1">
        <v>44414</v>
      </c>
      <c r="J2474" s="1">
        <v>44444</v>
      </c>
      <c r="K2474" s="18" t="s">
        <v>343</v>
      </c>
      <c r="L2474" s="18" t="s">
        <v>18</v>
      </c>
      <c r="M2474" s="18" t="s">
        <v>19</v>
      </c>
      <c r="N2474" s="18" t="s">
        <v>20</v>
      </c>
      <c r="O2474">
        <v>30</v>
      </c>
    </row>
    <row r="2475" spans="1:15" x14ac:dyDescent="0.25">
      <c r="A2475" s="18" t="s">
        <v>7276</v>
      </c>
      <c r="B2475" s="18" t="s">
        <v>13</v>
      </c>
      <c r="C2475" s="18" t="s">
        <v>14</v>
      </c>
      <c r="D2475" s="18" t="s">
        <v>15</v>
      </c>
      <c r="E2475" s="18" t="s">
        <v>437</v>
      </c>
      <c r="F2475" s="2">
        <f>+J2475-I2475</f>
        <v>30</v>
      </c>
      <c r="G2475" s="2">
        <f ca="1">+TODAY()-I2475</f>
        <v>1694</v>
      </c>
      <c r="H2475" s="15">
        <v>941001</v>
      </c>
      <c r="I2475" s="1">
        <v>44426</v>
      </c>
      <c r="J2475" s="1">
        <v>44456</v>
      </c>
      <c r="K2475" s="18" t="s">
        <v>343</v>
      </c>
      <c r="L2475" s="18" t="s">
        <v>47</v>
      </c>
      <c r="M2475" s="18" t="s">
        <v>19</v>
      </c>
      <c r="N2475" s="18" t="s">
        <v>20</v>
      </c>
      <c r="O2475">
        <v>30</v>
      </c>
    </row>
    <row r="2476" spans="1:15" x14ac:dyDescent="0.25">
      <c r="A2476" s="18" t="s">
        <v>7276</v>
      </c>
      <c r="B2476" s="18" t="s">
        <v>13</v>
      </c>
      <c r="C2476" s="18" t="s">
        <v>14</v>
      </c>
      <c r="D2476" s="18" t="s">
        <v>15</v>
      </c>
      <c r="E2476" s="18" t="s">
        <v>438</v>
      </c>
      <c r="F2476" s="2">
        <f>+J2476-I2476</f>
        <v>30</v>
      </c>
      <c r="G2476" s="2">
        <f ca="1">+TODAY()-I2476</f>
        <v>1692</v>
      </c>
      <c r="H2476" s="15">
        <v>5245654</v>
      </c>
      <c r="I2476" s="1">
        <v>44428</v>
      </c>
      <c r="J2476" s="1">
        <v>44458</v>
      </c>
      <c r="K2476" s="18" t="s">
        <v>343</v>
      </c>
      <c r="L2476" s="18" t="s">
        <v>18</v>
      </c>
      <c r="M2476" s="18" t="s">
        <v>19</v>
      </c>
      <c r="N2476" s="18" t="s">
        <v>20</v>
      </c>
      <c r="O2476">
        <v>30</v>
      </c>
    </row>
    <row r="2477" spans="1:15" x14ac:dyDescent="0.25">
      <c r="A2477" s="18" t="s">
        <v>7276</v>
      </c>
      <c r="B2477" s="18" t="s">
        <v>13</v>
      </c>
      <c r="C2477" s="18" t="s">
        <v>14</v>
      </c>
      <c r="D2477" s="18" t="s">
        <v>15</v>
      </c>
      <c r="E2477" s="18" t="s">
        <v>439</v>
      </c>
      <c r="F2477" s="2">
        <f>+J2477-I2477</f>
        <v>30</v>
      </c>
      <c r="G2477" s="2">
        <f ca="1">+TODAY()-I2477</f>
        <v>1692</v>
      </c>
      <c r="H2477" s="15">
        <v>2504400</v>
      </c>
      <c r="I2477" s="1">
        <v>44428</v>
      </c>
      <c r="J2477" s="1">
        <v>44458</v>
      </c>
      <c r="K2477" s="18" t="s">
        <v>343</v>
      </c>
      <c r="L2477" s="18" t="s">
        <v>18</v>
      </c>
      <c r="M2477" s="18" t="s">
        <v>19</v>
      </c>
      <c r="N2477" s="18" t="s">
        <v>20</v>
      </c>
      <c r="O2477">
        <v>30</v>
      </c>
    </row>
    <row r="2478" spans="1:15" x14ac:dyDescent="0.25">
      <c r="A2478" s="18" t="s">
        <v>7276</v>
      </c>
      <c r="B2478" s="18" t="s">
        <v>13</v>
      </c>
      <c r="C2478" s="18" t="s">
        <v>14</v>
      </c>
      <c r="D2478" s="18" t="s">
        <v>15</v>
      </c>
      <c r="E2478" s="18" t="s">
        <v>440</v>
      </c>
      <c r="F2478" s="2">
        <f>+J2478-I2478</f>
        <v>30</v>
      </c>
      <c r="G2478" s="2">
        <f ca="1">+TODAY()-I2478</f>
        <v>1692</v>
      </c>
      <c r="H2478" s="15">
        <v>1606380</v>
      </c>
      <c r="I2478" s="1">
        <v>44428</v>
      </c>
      <c r="J2478" s="1">
        <v>44458</v>
      </c>
      <c r="K2478" s="18" t="s">
        <v>343</v>
      </c>
      <c r="L2478" s="18" t="s">
        <v>18</v>
      </c>
      <c r="M2478" s="18" t="s">
        <v>19</v>
      </c>
      <c r="N2478" s="18" t="s">
        <v>20</v>
      </c>
      <c r="O2478">
        <v>30</v>
      </c>
    </row>
    <row r="2479" spans="1:15" x14ac:dyDescent="0.25">
      <c r="A2479" s="18" t="s">
        <v>7276</v>
      </c>
      <c r="B2479" s="18" t="s">
        <v>13</v>
      </c>
      <c r="C2479" s="18" t="s">
        <v>14</v>
      </c>
      <c r="D2479" s="18" t="s">
        <v>15</v>
      </c>
      <c r="E2479" s="18" t="s">
        <v>441</v>
      </c>
      <c r="F2479" s="2">
        <f>+J2479-I2479</f>
        <v>30</v>
      </c>
      <c r="G2479" s="2">
        <f ca="1">+TODAY()-I2479</f>
        <v>1688</v>
      </c>
      <c r="H2479" s="15">
        <v>1079284</v>
      </c>
      <c r="I2479" s="1">
        <v>44432</v>
      </c>
      <c r="J2479" s="1">
        <v>44462</v>
      </c>
      <c r="K2479" s="18" t="s">
        <v>343</v>
      </c>
      <c r="L2479" s="18" t="s">
        <v>18</v>
      </c>
      <c r="M2479" s="18" t="s">
        <v>19</v>
      </c>
      <c r="N2479" s="18" t="s">
        <v>20</v>
      </c>
      <c r="O2479">
        <v>30</v>
      </c>
    </row>
    <row r="2480" spans="1:15" x14ac:dyDescent="0.25">
      <c r="A2480" s="18" t="s">
        <v>7276</v>
      </c>
      <c r="B2480" s="18" t="s">
        <v>13</v>
      </c>
      <c r="C2480" s="18" t="s">
        <v>14</v>
      </c>
      <c r="D2480" s="18" t="s">
        <v>15</v>
      </c>
      <c r="E2480" s="18" t="s">
        <v>442</v>
      </c>
      <c r="F2480" s="2">
        <f>+J2480-I2480</f>
        <v>30</v>
      </c>
      <c r="G2480" s="2">
        <f ca="1">+TODAY()-I2480</f>
        <v>1688</v>
      </c>
      <c r="H2480" s="15">
        <v>379011</v>
      </c>
      <c r="I2480" s="1">
        <v>44432</v>
      </c>
      <c r="J2480" s="1">
        <v>44462</v>
      </c>
      <c r="K2480" s="18" t="s">
        <v>343</v>
      </c>
      <c r="L2480" s="18" t="s">
        <v>18</v>
      </c>
      <c r="M2480" s="18" t="s">
        <v>19</v>
      </c>
      <c r="N2480" s="18" t="s">
        <v>20</v>
      </c>
      <c r="O2480">
        <v>30</v>
      </c>
    </row>
    <row r="2481" spans="1:15" x14ac:dyDescent="0.25">
      <c r="A2481" s="18" t="s">
        <v>7276</v>
      </c>
      <c r="B2481" s="18" t="s">
        <v>13</v>
      </c>
      <c r="C2481" s="18" t="s">
        <v>14</v>
      </c>
      <c r="D2481" s="18" t="s">
        <v>15</v>
      </c>
      <c r="E2481" s="18" t="s">
        <v>443</v>
      </c>
      <c r="F2481" s="2">
        <f>+J2481-I2481</f>
        <v>30</v>
      </c>
      <c r="G2481" s="2">
        <f ca="1">+TODAY()-I2481</f>
        <v>1688</v>
      </c>
      <c r="H2481" s="15">
        <v>2228034</v>
      </c>
      <c r="I2481" s="1">
        <v>44432</v>
      </c>
      <c r="J2481" s="1">
        <v>44462</v>
      </c>
      <c r="K2481" s="18" t="s">
        <v>343</v>
      </c>
      <c r="L2481" s="18" t="s">
        <v>18</v>
      </c>
      <c r="M2481" s="18" t="s">
        <v>19</v>
      </c>
      <c r="N2481" s="18" t="s">
        <v>20</v>
      </c>
      <c r="O2481">
        <v>30</v>
      </c>
    </row>
    <row r="2482" spans="1:15" x14ac:dyDescent="0.25">
      <c r="A2482" s="18" t="s">
        <v>7276</v>
      </c>
      <c r="B2482" s="18" t="s">
        <v>13</v>
      </c>
      <c r="C2482" s="18" t="s">
        <v>14</v>
      </c>
      <c r="D2482" s="18" t="s">
        <v>15</v>
      </c>
      <c r="E2482" s="18" t="s">
        <v>444</v>
      </c>
      <c r="F2482" s="2">
        <f>+J2482-I2482</f>
        <v>30</v>
      </c>
      <c r="G2482" s="2">
        <f ca="1">+TODAY()-I2482</f>
        <v>1681</v>
      </c>
      <c r="H2482" s="15">
        <v>7074120</v>
      </c>
      <c r="I2482" s="1">
        <v>44439</v>
      </c>
      <c r="J2482" s="1">
        <v>44469</v>
      </c>
      <c r="K2482" s="18" t="s">
        <v>343</v>
      </c>
      <c r="L2482" s="18" t="s">
        <v>18</v>
      </c>
      <c r="M2482" s="18" t="s">
        <v>19</v>
      </c>
      <c r="N2482" s="18" t="s">
        <v>20</v>
      </c>
      <c r="O2482">
        <v>30</v>
      </c>
    </row>
    <row r="2483" spans="1:15" x14ac:dyDescent="0.25">
      <c r="A2483" s="18" t="s">
        <v>7276</v>
      </c>
      <c r="B2483" s="18" t="s">
        <v>13</v>
      </c>
      <c r="C2483" s="18" t="s">
        <v>14</v>
      </c>
      <c r="D2483" s="18" t="s">
        <v>15</v>
      </c>
      <c r="E2483" s="18" t="s">
        <v>445</v>
      </c>
      <c r="F2483" s="2">
        <f>+J2483-I2483</f>
        <v>30</v>
      </c>
      <c r="G2483" s="2">
        <f ca="1">+TODAY()-I2483</f>
        <v>1681</v>
      </c>
      <c r="H2483" s="15">
        <v>1903819</v>
      </c>
      <c r="I2483" s="1">
        <v>44439</v>
      </c>
      <c r="J2483" s="1">
        <v>44469</v>
      </c>
      <c r="K2483" s="18" t="s">
        <v>343</v>
      </c>
      <c r="L2483" s="18" t="s">
        <v>18</v>
      </c>
      <c r="M2483" s="18" t="s">
        <v>19</v>
      </c>
      <c r="N2483" s="18" t="s">
        <v>20</v>
      </c>
      <c r="O2483">
        <v>30</v>
      </c>
    </row>
    <row r="2484" spans="1:15" x14ac:dyDescent="0.25">
      <c r="A2484" s="18" t="s">
        <v>7276</v>
      </c>
      <c r="B2484" s="18" t="s">
        <v>13</v>
      </c>
      <c r="C2484" s="18" t="s">
        <v>14</v>
      </c>
      <c r="D2484" s="18" t="s">
        <v>15</v>
      </c>
      <c r="E2484" s="18" t="s">
        <v>446</v>
      </c>
      <c r="F2484" s="2">
        <f>+J2484-I2484</f>
        <v>30</v>
      </c>
      <c r="G2484" s="2">
        <f ca="1">+TODAY()-I2484</f>
        <v>1681</v>
      </c>
      <c r="H2484" s="15">
        <v>263448</v>
      </c>
      <c r="I2484" s="1">
        <v>44439</v>
      </c>
      <c r="J2484" s="1">
        <v>44469</v>
      </c>
      <c r="K2484" s="18" t="s">
        <v>343</v>
      </c>
      <c r="L2484" s="18" t="s">
        <v>18</v>
      </c>
      <c r="M2484" s="18" t="s">
        <v>19</v>
      </c>
      <c r="N2484" s="18" t="s">
        <v>20</v>
      </c>
      <c r="O2484">
        <v>30</v>
      </c>
    </row>
    <row r="2485" spans="1:15" x14ac:dyDescent="0.25">
      <c r="A2485" s="18" t="s">
        <v>7276</v>
      </c>
      <c r="B2485" s="18" t="s">
        <v>13</v>
      </c>
      <c r="C2485" s="18" t="s">
        <v>14</v>
      </c>
      <c r="D2485" s="18" t="s">
        <v>15</v>
      </c>
      <c r="E2485" s="18" t="s">
        <v>447</v>
      </c>
      <c r="F2485" s="2">
        <f>+J2485-I2485</f>
        <v>30</v>
      </c>
      <c r="G2485" s="2">
        <f ca="1">+TODAY()-I2485</f>
        <v>1679</v>
      </c>
      <c r="H2485" s="15">
        <v>563410</v>
      </c>
      <c r="I2485" s="1">
        <v>44441</v>
      </c>
      <c r="J2485" s="1">
        <v>44471</v>
      </c>
      <c r="K2485" s="18" t="s">
        <v>343</v>
      </c>
      <c r="L2485" s="18" t="s">
        <v>47</v>
      </c>
      <c r="M2485" s="18" t="s">
        <v>19</v>
      </c>
      <c r="N2485" s="18" t="s">
        <v>20</v>
      </c>
      <c r="O2485">
        <v>30</v>
      </c>
    </row>
    <row r="2486" spans="1:15" x14ac:dyDescent="0.25">
      <c r="A2486" s="18" t="s">
        <v>7276</v>
      </c>
      <c r="B2486" s="18" t="s">
        <v>13</v>
      </c>
      <c r="C2486" s="18" t="s">
        <v>14</v>
      </c>
      <c r="D2486" s="18" t="s">
        <v>15</v>
      </c>
      <c r="E2486" s="18" t="s">
        <v>448</v>
      </c>
      <c r="F2486" s="2">
        <f>+J2486-I2486</f>
        <v>30</v>
      </c>
      <c r="G2486" s="2">
        <f ca="1">+TODAY()-I2486</f>
        <v>1667</v>
      </c>
      <c r="H2486" s="15">
        <v>3636627</v>
      </c>
      <c r="I2486" s="1">
        <v>44453</v>
      </c>
      <c r="J2486" s="1">
        <v>44483</v>
      </c>
      <c r="K2486" s="18" t="s">
        <v>343</v>
      </c>
      <c r="L2486" s="18" t="s">
        <v>18</v>
      </c>
      <c r="M2486" s="18" t="s">
        <v>19</v>
      </c>
      <c r="N2486" s="18" t="s">
        <v>20</v>
      </c>
      <c r="O2486">
        <v>30</v>
      </c>
    </row>
    <row r="2487" spans="1:15" x14ac:dyDescent="0.25">
      <c r="A2487" s="18" t="s">
        <v>7276</v>
      </c>
      <c r="B2487" s="18" t="s">
        <v>13</v>
      </c>
      <c r="C2487" s="18" t="s">
        <v>14</v>
      </c>
      <c r="D2487" s="18" t="s">
        <v>15</v>
      </c>
      <c r="E2487" s="18" t="s">
        <v>449</v>
      </c>
      <c r="F2487" s="2">
        <f>+J2487-I2487</f>
        <v>30</v>
      </c>
      <c r="G2487" s="2">
        <f ca="1">+TODAY()-I2487</f>
        <v>1667</v>
      </c>
      <c r="H2487" s="15">
        <v>2678507</v>
      </c>
      <c r="I2487" s="1">
        <v>44453</v>
      </c>
      <c r="J2487" s="1">
        <v>44483</v>
      </c>
      <c r="K2487" s="18" t="s">
        <v>343</v>
      </c>
      <c r="L2487" s="18" t="s">
        <v>18</v>
      </c>
      <c r="M2487" s="18" t="s">
        <v>19</v>
      </c>
      <c r="N2487" s="18" t="s">
        <v>20</v>
      </c>
      <c r="O2487">
        <v>30</v>
      </c>
    </row>
    <row r="2488" spans="1:15" x14ac:dyDescent="0.25">
      <c r="A2488" s="18" t="s">
        <v>7276</v>
      </c>
      <c r="B2488" s="18" t="s">
        <v>13</v>
      </c>
      <c r="C2488" s="18" t="s">
        <v>14</v>
      </c>
      <c r="D2488" s="18" t="s">
        <v>15</v>
      </c>
      <c r="E2488" s="18" t="s">
        <v>450</v>
      </c>
      <c r="F2488" s="2">
        <f>+J2488-I2488</f>
        <v>30</v>
      </c>
      <c r="G2488" s="2">
        <f ca="1">+TODAY()-I2488</f>
        <v>1667</v>
      </c>
      <c r="H2488" s="15">
        <v>1796661</v>
      </c>
      <c r="I2488" s="1">
        <v>44453</v>
      </c>
      <c r="J2488" s="1">
        <v>44483</v>
      </c>
      <c r="K2488" s="18" t="s">
        <v>343</v>
      </c>
      <c r="L2488" s="18" t="s">
        <v>18</v>
      </c>
      <c r="M2488" s="18" t="s">
        <v>19</v>
      </c>
      <c r="N2488" s="18" t="s">
        <v>20</v>
      </c>
      <c r="O2488">
        <v>30</v>
      </c>
    </row>
    <row r="2489" spans="1:15" x14ac:dyDescent="0.25">
      <c r="A2489" s="18" t="s">
        <v>7276</v>
      </c>
      <c r="B2489" s="18" t="s">
        <v>13</v>
      </c>
      <c r="C2489" s="18" t="s">
        <v>14</v>
      </c>
      <c r="D2489" s="18" t="s">
        <v>15</v>
      </c>
      <c r="E2489" s="18" t="s">
        <v>451</v>
      </c>
      <c r="F2489" s="2">
        <f>+J2489-I2489</f>
        <v>30</v>
      </c>
      <c r="G2489" s="2">
        <f ca="1">+TODAY()-I2489</f>
        <v>1667</v>
      </c>
      <c r="H2489" s="15">
        <v>9001796</v>
      </c>
      <c r="I2489" s="1">
        <v>44453</v>
      </c>
      <c r="J2489" s="1">
        <v>44483</v>
      </c>
      <c r="K2489" s="18" t="s">
        <v>343</v>
      </c>
      <c r="L2489" s="18" t="s">
        <v>18</v>
      </c>
      <c r="M2489" s="18" t="s">
        <v>19</v>
      </c>
      <c r="N2489" s="18" t="s">
        <v>20</v>
      </c>
      <c r="O2489">
        <v>30</v>
      </c>
    </row>
    <row r="2490" spans="1:15" x14ac:dyDescent="0.25">
      <c r="A2490" s="18" t="s">
        <v>7276</v>
      </c>
      <c r="B2490" s="18" t="s">
        <v>13</v>
      </c>
      <c r="C2490" s="18" t="s">
        <v>14</v>
      </c>
      <c r="D2490" s="18" t="s">
        <v>15</v>
      </c>
      <c r="E2490" s="18" t="s">
        <v>452</v>
      </c>
      <c r="F2490" s="2">
        <f>+J2490-I2490</f>
        <v>30</v>
      </c>
      <c r="G2490" s="2">
        <f ca="1">+TODAY()-I2490</f>
        <v>1652</v>
      </c>
      <c r="H2490" s="15">
        <v>4455547</v>
      </c>
      <c r="I2490" s="1">
        <v>44468</v>
      </c>
      <c r="J2490" s="1">
        <v>44498</v>
      </c>
      <c r="K2490" s="18" t="s">
        <v>343</v>
      </c>
      <c r="L2490" s="18" t="s">
        <v>18</v>
      </c>
      <c r="M2490" s="18" t="s">
        <v>19</v>
      </c>
      <c r="N2490" s="18" t="s">
        <v>20</v>
      </c>
      <c r="O2490">
        <v>30</v>
      </c>
    </row>
    <row r="2491" spans="1:15" x14ac:dyDescent="0.25">
      <c r="A2491" s="18" t="s">
        <v>7276</v>
      </c>
      <c r="B2491" s="18" t="s">
        <v>13</v>
      </c>
      <c r="C2491" s="18" t="s">
        <v>14</v>
      </c>
      <c r="D2491" s="18" t="s">
        <v>15</v>
      </c>
      <c r="E2491" s="18" t="s">
        <v>453</v>
      </c>
      <c r="F2491" s="2">
        <f>+J2491-I2491</f>
        <v>30</v>
      </c>
      <c r="G2491" s="2">
        <f ca="1">+TODAY()-I2491</f>
        <v>1652</v>
      </c>
      <c r="H2491" s="15">
        <v>2616334</v>
      </c>
      <c r="I2491" s="1">
        <v>44468</v>
      </c>
      <c r="J2491" s="1">
        <v>44498</v>
      </c>
      <c r="K2491" s="18" t="s">
        <v>343</v>
      </c>
      <c r="L2491" s="18" t="s">
        <v>18</v>
      </c>
      <c r="M2491" s="18" t="s">
        <v>19</v>
      </c>
      <c r="N2491" s="18" t="s">
        <v>20</v>
      </c>
      <c r="O2491">
        <v>30</v>
      </c>
    </row>
    <row r="2492" spans="1:15" x14ac:dyDescent="0.25">
      <c r="A2492" s="18" t="s">
        <v>7276</v>
      </c>
      <c r="B2492" s="18" t="s">
        <v>13</v>
      </c>
      <c r="C2492" s="18" t="s">
        <v>14</v>
      </c>
      <c r="D2492" s="18" t="s">
        <v>15</v>
      </c>
      <c r="E2492" s="18" t="s">
        <v>454</v>
      </c>
      <c r="F2492" s="2">
        <f>+J2492-I2492</f>
        <v>30</v>
      </c>
      <c r="G2492" s="2">
        <f ca="1">+TODAY()-I2492</f>
        <v>1652</v>
      </c>
      <c r="H2492" s="15">
        <v>2120380</v>
      </c>
      <c r="I2492" s="1">
        <v>44468</v>
      </c>
      <c r="J2492" s="1">
        <v>44498</v>
      </c>
      <c r="K2492" s="18" t="s">
        <v>343</v>
      </c>
      <c r="L2492" s="18" t="s">
        <v>18</v>
      </c>
      <c r="M2492" s="18" t="s">
        <v>19</v>
      </c>
      <c r="N2492" s="18" t="s">
        <v>20</v>
      </c>
      <c r="O2492">
        <v>30</v>
      </c>
    </row>
    <row r="2493" spans="1:15" x14ac:dyDescent="0.25">
      <c r="A2493" s="18" t="s">
        <v>7276</v>
      </c>
      <c r="B2493" s="18" t="s">
        <v>13</v>
      </c>
      <c r="C2493" s="18" t="s">
        <v>14</v>
      </c>
      <c r="D2493" s="18" t="s">
        <v>15</v>
      </c>
      <c r="E2493" s="18" t="s">
        <v>455</v>
      </c>
      <c r="F2493" s="2">
        <f>+J2493-I2493</f>
        <v>30</v>
      </c>
      <c r="G2493" s="2">
        <f ca="1">+TODAY()-I2493</f>
        <v>1652</v>
      </c>
      <c r="H2493" s="15">
        <v>336853</v>
      </c>
      <c r="I2493" s="1">
        <v>44468</v>
      </c>
      <c r="J2493" s="1">
        <v>44498</v>
      </c>
      <c r="K2493" s="18" t="s">
        <v>343</v>
      </c>
      <c r="L2493" s="18" t="s">
        <v>18</v>
      </c>
      <c r="M2493" s="18" t="s">
        <v>19</v>
      </c>
      <c r="N2493" s="18" t="s">
        <v>20</v>
      </c>
      <c r="O2493">
        <v>30</v>
      </c>
    </row>
    <row r="2494" spans="1:15" x14ac:dyDescent="0.25">
      <c r="A2494" s="18" t="s">
        <v>7276</v>
      </c>
      <c r="B2494" s="18" t="s">
        <v>13</v>
      </c>
      <c r="C2494" s="18" t="s">
        <v>14</v>
      </c>
      <c r="D2494" s="18" t="s">
        <v>15</v>
      </c>
      <c r="E2494" s="18" t="s">
        <v>456</v>
      </c>
      <c r="F2494" s="2">
        <f>+J2494-I2494</f>
        <v>30</v>
      </c>
      <c r="G2494" s="2">
        <f ca="1">+TODAY()-I2494</f>
        <v>1637</v>
      </c>
      <c r="H2494" s="15">
        <v>2173266</v>
      </c>
      <c r="I2494" s="1">
        <v>44483</v>
      </c>
      <c r="J2494" s="1">
        <v>44513</v>
      </c>
      <c r="K2494" s="18" t="s">
        <v>343</v>
      </c>
      <c r="L2494" s="18" t="s">
        <v>18</v>
      </c>
      <c r="M2494" s="18" t="s">
        <v>19</v>
      </c>
      <c r="N2494" s="18" t="s">
        <v>20</v>
      </c>
      <c r="O2494">
        <v>30</v>
      </c>
    </row>
    <row r="2495" spans="1:15" x14ac:dyDescent="0.25">
      <c r="A2495" s="18" t="s">
        <v>7276</v>
      </c>
      <c r="B2495" s="18" t="s">
        <v>13</v>
      </c>
      <c r="C2495" s="18" t="s">
        <v>14</v>
      </c>
      <c r="D2495" s="18" t="s">
        <v>15</v>
      </c>
      <c r="E2495" s="18" t="s">
        <v>457</v>
      </c>
      <c r="F2495" s="2">
        <f>+J2495-I2495</f>
        <v>30</v>
      </c>
      <c r="G2495" s="2">
        <f ca="1">+TODAY()-I2495</f>
        <v>1637</v>
      </c>
      <c r="H2495" s="15">
        <v>4309961</v>
      </c>
      <c r="I2495" s="1">
        <v>44483</v>
      </c>
      <c r="J2495" s="1">
        <v>44513</v>
      </c>
      <c r="K2495" s="18" t="s">
        <v>343</v>
      </c>
      <c r="L2495" s="18" t="s">
        <v>18</v>
      </c>
      <c r="M2495" s="18" t="s">
        <v>19</v>
      </c>
      <c r="N2495" s="18" t="s">
        <v>20</v>
      </c>
      <c r="O2495">
        <v>30</v>
      </c>
    </row>
    <row r="2496" spans="1:15" x14ac:dyDescent="0.25">
      <c r="A2496" s="18" t="s">
        <v>7276</v>
      </c>
      <c r="B2496" s="18" t="s">
        <v>13</v>
      </c>
      <c r="C2496" s="18" t="s">
        <v>14</v>
      </c>
      <c r="D2496" s="18" t="s">
        <v>15</v>
      </c>
      <c r="E2496" s="18" t="s">
        <v>458</v>
      </c>
      <c r="F2496" s="2">
        <f>+J2496-I2496</f>
        <v>30</v>
      </c>
      <c r="G2496" s="2">
        <f ca="1">+TODAY()-I2496</f>
        <v>1637</v>
      </c>
      <c r="H2496" s="15">
        <v>2001201</v>
      </c>
      <c r="I2496" s="1">
        <v>44483</v>
      </c>
      <c r="J2496" s="1">
        <v>44513</v>
      </c>
      <c r="K2496" s="18" t="s">
        <v>343</v>
      </c>
      <c r="L2496" s="18" t="s">
        <v>18</v>
      </c>
      <c r="M2496" s="18" t="s">
        <v>19</v>
      </c>
      <c r="N2496" s="18" t="s">
        <v>20</v>
      </c>
      <c r="O2496">
        <v>30</v>
      </c>
    </row>
    <row r="2497" spans="1:15" x14ac:dyDescent="0.25">
      <c r="A2497" s="18" t="s">
        <v>7276</v>
      </c>
      <c r="B2497" s="18" t="s">
        <v>13</v>
      </c>
      <c r="C2497" s="18" t="s">
        <v>14</v>
      </c>
      <c r="D2497" s="18" t="s">
        <v>15</v>
      </c>
      <c r="E2497" s="18" t="s">
        <v>459</v>
      </c>
      <c r="F2497" s="2">
        <f>+J2497-I2497</f>
        <v>30</v>
      </c>
      <c r="G2497" s="2">
        <f ca="1">+TODAY()-I2497</f>
        <v>1636</v>
      </c>
      <c r="H2497" s="15">
        <v>2296128</v>
      </c>
      <c r="I2497" s="1">
        <v>44484</v>
      </c>
      <c r="J2497" s="1">
        <v>44514</v>
      </c>
      <c r="K2497" s="18" t="s">
        <v>343</v>
      </c>
      <c r="L2497" s="18" t="s">
        <v>47</v>
      </c>
      <c r="M2497" s="18" t="s">
        <v>19</v>
      </c>
      <c r="N2497" s="18" t="s">
        <v>20</v>
      </c>
      <c r="O2497">
        <v>30</v>
      </c>
    </row>
    <row r="2498" spans="1:15" x14ac:dyDescent="0.25">
      <c r="A2498" s="18" t="s">
        <v>7276</v>
      </c>
      <c r="B2498" s="18" t="s">
        <v>13</v>
      </c>
      <c r="C2498" s="18" t="s">
        <v>14</v>
      </c>
      <c r="D2498" s="18" t="s">
        <v>15</v>
      </c>
      <c r="E2498" s="18" t="s">
        <v>460</v>
      </c>
      <c r="F2498" s="2">
        <f>+J2498-I2498</f>
        <v>30</v>
      </c>
      <c r="G2498" s="2">
        <f ca="1">+TODAY()-I2498</f>
        <v>1630</v>
      </c>
      <c r="H2498" s="15">
        <v>3941286</v>
      </c>
      <c r="I2498" s="1">
        <v>44490</v>
      </c>
      <c r="J2498" s="1">
        <v>44520</v>
      </c>
      <c r="K2498" s="18" t="s">
        <v>343</v>
      </c>
      <c r="L2498" s="18" t="s">
        <v>18</v>
      </c>
      <c r="M2498" s="18" t="s">
        <v>19</v>
      </c>
      <c r="N2498" s="18" t="s">
        <v>20</v>
      </c>
      <c r="O2498">
        <v>30</v>
      </c>
    </row>
    <row r="2499" spans="1:15" x14ac:dyDescent="0.25">
      <c r="A2499" s="18" t="s">
        <v>7276</v>
      </c>
      <c r="B2499" s="18" t="s">
        <v>13</v>
      </c>
      <c r="C2499" s="18" t="s">
        <v>14</v>
      </c>
      <c r="D2499" s="18" t="s">
        <v>15</v>
      </c>
      <c r="E2499" s="18" t="s">
        <v>461</v>
      </c>
      <c r="F2499" s="2">
        <f>+J2499-I2499</f>
        <v>30</v>
      </c>
      <c r="G2499" s="2">
        <f ca="1">+TODAY()-I2499</f>
        <v>1625</v>
      </c>
      <c r="H2499" s="15">
        <v>3258018</v>
      </c>
      <c r="I2499" s="1">
        <v>44495</v>
      </c>
      <c r="J2499" s="1">
        <v>44525</v>
      </c>
      <c r="K2499" s="18" t="s">
        <v>343</v>
      </c>
      <c r="L2499" s="18" t="s">
        <v>18</v>
      </c>
      <c r="M2499" s="18" t="s">
        <v>19</v>
      </c>
      <c r="N2499" s="18" t="s">
        <v>20</v>
      </c>
      <c r="O2499">
        <v>30</v>
      </c>
    </row>
    <row r="2500" spans="1:15" x14ac:dyDescent="0.25">
      <c r="A2500" s="18" t="s">
        <v>7276</v>
      </c>
      <c r="B2500" s="18" t="s">
        <v>13</v>
      </c>
      <c r="C2500" s="18" t="s">
        <v>14</v>
      </c>
      <c r="D2500" s="18" t="s">
        <v>15</v>
      </c>
      <c r="E2500" s="18" t="s">
        <v>462</v>
      </c>
      <c r="F2500" s="2">
        <f>+J2500-I2500</f>
        <v>30</v>
      </c>
      <c r="G2500" s="2">
        <f ca="1">+TODAY()-I2500</f>
        <v>1625</v>
      </c>
      <c r="H2500" s="15">
        <v>3512076</v>
      </c>
      <c r="I2500" s="1">
        <v>44495</v>
      </c>
      <c r="J2500" s="1">
        <v>44525</v>
      </c>
      <c r="K2500" s="18" t="s">
        <v>343</v>
      </c>
      <c r="L2500" s="18" t="s">
        <v>18</v>
      </c>
      <c r="M2500" s="18" t="s">
        <v>19</v>
      </c>
      <c r="N2500" s="18" t="s">
        <v>20</v>
      </c>
      <c r="O2500">
        <v>30</v>
      </c>
    </row>
    <row r="2501" spans="1:15" x14ac:dyDescent="0.25">
      <c r="A2501" s="18" t="s">
        <v>7276</v>
      </c>
      <c r="B2501" s="18" t="s">
        <v>13</v>
      </c>
      <c r="C2501" s="18" t="s">
        <v>14</v>
      </c>
      <c r="D2501" s="18" t="s">
        <v>15</v>
      </c>
      <c r="E2501" s="18" t="s">
        <v>463</v>
      </c>
      <c r="F2501" s="2">
        <f>+J2501-I2501</f>
        <v>30</v>
      </c>
      <c r="G2501" s="2">
        <f ca="1">+TODAY()-I2501</f>
        <v>1625</v>
      </c>
      <c r="H2501" s="15">
        <v>1833106</v>
      </c>
      <c r="I2501" s="1">
        <v>44495</v>
      </c>
      <c r="J2501" s="1">
        <v>44525</v>
      </c>
      <c r="K2501" s="18" t="s">
        <v>343</v>
      </c>
      <c r="L2501" s="18" t="s">
        <v>18</v>
      </c>
      <c r="M2501" s="18" t="s">
        <v>19</v>
      </c>
      <c r="N2501" s="18" t="s">
        <v>20</v>
      </c>
      <c r="O2501">
        <v>30</v>
      </c>
    </row>
    <row r="2502" spans="1:15" x14ac:dyDescent="0.25">
      <c r="A2502" s="18" t="s">
        <v>7276</v>
      </c>
      <c r="B2502" s="18" t="s">
        <v>13</v>
      </c>
      <c r="C2502" s="18" t="s">
        <v>14</v>
      </c>
      <c r="D2502" s="18" t="s">
        <v>15</v>
      </c>
      <c r="E2502" s="18" t="s">
        <v>464</v>
      </c>
      <c r="F2502" s="2">
        <f>+J2502-I2502</f>
        <v>30</v>
      </c>
      <c r="G2502" s="2">
        <f ca="1">+TODAY()-I2502</f>
        <v>1625</v>
      </c>
      <c r="H2502" s="15">
        <v>2292945</v>
      </c>
      <c r="I2502" s="1">
        <v>44495</v>
      </c>
      <c r="J2502" s="1">
        <v>44525</v>
      </c>
      <c r="K2502" s="18" t="s">
        <v>343</v>
      </c>
      <c r="L2502" s="18" t="s">
        <v>18</v>
      </c>
      <c r="M2502" s="18" t="s">
        <v>19</v>
      </c>
      <c r="N2502" s="18" t="s">
        <v>20</v>
      </c>
      <c r="O2502">
        <v>30</v>
      </c>
    </row>
    <row r="2503" spans="1:15" x14ac:dyDescent="0.25">
      <c r="A2503" s="18" t="s">
        <v>7276</v>
      </c>
      <c r="B2503" s="18" t="s">
        <v>13</v>
      </c>
      <c r="C2503" s="18" t="s">
        <v>14</v>
      </c>
      <c r="D2503" s="18" t="s">
        <v>15</v>
      </c>
      <c r="E2503" s="18" t="s">
        <v>465</v>
      </c>
      <c r="F2503" s="2">
        <f>+J2503-I2503</f>
        <v>30</v>
      </c>
      <c r="G2503" s="2">
        <f ca="1">+TODAY()-I2503</f>
        <v>1625</v>
      </c>
      <c r="H2503" s="15">
        <v>825783</v>
      </c>
      <c r="I2503" s="1">
        <v>44495</v>
      </c>
      <c r="J2503" s="1">
        <v>44525</v>
      </c>
      <c r="K2503" s="18" t="s">
        <v>343</v>
      </c>
      <c r="L2503" s="18" t="s">
        <v>18</v>
      </c>
      <c r="M2503" s="18" t="s">
        <v>19</v>
      </c>
      <c r="N2503" s="18" t="s">
        <v>20</v>
      </c>
      <c r="O2503">
        <v>30</v>
      </c>
    </row>
    <row r="2504" spans="1:15" x14ac:dyDescent="0.25">
      <c r="A2504" s="18" t="s">
        <v>7276</v>
      </c>
      <c r="B2504" s="18" t="s">
        <v>13</v>
      </c>
      <c r="C2504" s="18" t="s">
        <v>14</v>
      </c>
      <c r="D2504" s="18" t="s">
        <v>15</v>
      </c>
      <c r="E2504" s="18" t="s">
        <v>466</v>
      </c>
      <c r="F2504" s="2">
        <f>+J2504-I2504</f>
        <v>30</v>
      </c>
      <c r="G2504" s="2">
        <f ca="1">+TODAY()-I2504</f>
        <v>1611</v>
      </c>
      <c r="H2504" s="15">
        <v>3302400</v>
      </c>
      <c r="I2504" s="1">
        <v>44509</v>
      </c>
      <c r="J2504" s="1">
        <v>44539</v>
      </c>
      <c r="K2504" s="18" t="s">
        <v>343</v>
      </c>
      <c r="L2504" s="18" t="s">
        <v>18</v>
      </c>
      <c r="M2504" s="18" t="s">
        <v>19</v>
      </c>
      <c r="N2504" s="18" t="s">
        <v>20</v>
      </c>
      <c r="O2504">
        <v>30</v>
      </c>
    </row>
    <row r="2505" spans="1:15" x14ac:dyDescent="0.25">
      <c r="A2505" s="18" t="s">
        <v>7276</v>
      </c>
      <c r="B2505" s="18" t="s">
        <v>13</v>
      </c>
      <c r="C2505" s="18" t="s">
        <v>14</v>
      </c>
      <c r="D2505" s="18" t="s">
        <v>15</v>
      </c>
      <c r="E2505" s="18" t="s">
        <v>467</v>
      </c>
      <c r="F2505" s="2">
        <f>+J2505-I2505</f>
        <v>30</v>
      </c>
      <c r="G2505" s="2">
        <f ca="1">+TODAY()-I2505</f>
        <v>1611</v>
      </c>
      <c r="H2505" s="15">
        <v>4994970</v>
      </c>
      <c r="I2505" s="1">
        <v>44509</v>
      </c>
      <c r="J2505" s="1">
        <v>44539</v>
      </c>
      <c r="K2505" s="18" t="s">
        <v>343</v>
      </c>
      <c r="L2505" s="18" t="s">
        <v>18</v>
      </c>
      <c r="M2505" s="18" t="s">
        <v>19</v>
      </c>
      <c r="N2505" s="18" t="s">
        <v>20</v>
      </c>
      <c r="O2505">
        <v>30</v>
      </c>
    </row>
    <row r="2506" spans="1:15" x14ac:dyDescent="0.25">
      <c r="A2506" s="18" t="s">
        <v>7276</v>
      </c>
      <c r="B2506" s="18" t="s">
        <v>13</v>
      </c>
      <c r="C2506" s="18" t="s">
        <v>14</v>
      </c>
      <c r="D2506" s="18" t="s">
        <v>15</v>
      </c>
      <c r="E2506" s="18" t="s">
        <v>468</v>
      </c>
      <c r="F2506" s="2">
        <f>+J2506-I2506</f>
        <v>30</v>
      </c>
      <c r="G2506" s="2">
        <f ca="1">+TODAY()-I2506</f>
        <v>1611</v>
      </c>
      <c r="H2506" s="15">
        <v>4745001</v>
      </c>
      <c r="I2506" s="1">
        <v>44509</v>
      </c>
      <c r="J2506" s="1">
        <v>44539</v>
      </c>
      <c r="K2506" s="18" t="s">
        <v>343</v>
      </c>
      <c r="L2506" s="18" t="s">
        <v>18</v>
      </c>
      <c r="M2506" s="18" t="s">
        <v>19</v>
      </c>
      <c r="N2506" s="18" t="s">
        <v>20</v>
      </c>
      <c r="O2506">
        <v>30</v>
      </c>
    </row>
    <row r="2507" spans="1:15" x14ac:dyDescent="0.25">
      <c r="A2507" s="18" t="s">
        <v>7276</v>
      </c>
      <c r="B2507" s="18" t="s">
        <v>13</v>
      </c>
      <c r="C2507" s="18" t="s">
        <v>14</v>
      </c>
      <c r="D2507" s="18" t="s">
        <v>15</v>
      </c>
      <c r="E2507" s="18" t="s">
        <v>469</v>
      </c>
      <c r="F2507" s="2">
        <f>+J2507-I2507</f>
        <v>30</v>
      </c>
      <c r="G2507" s="2">
        <f ca="1">+TODAY()-I2507</f>
        <v>1611</v>
      </c>
      <c r="H2507" s="15">
        <v>1516510</v>
      </c>
      <c r="I2507" s="1">
        <v>44509</v>
      </c>
      <c r="J2507" s="1">
        <v>44539</v>
      </c>
      <c r="K2507" s="18" t="s">
        <v>343</v>
      </c>
      <c r="L2507" s="18" t="s">
        <v>18</v>
      </c>
      <c r="M2507" s="18" t="s">
        <v>19</v>
      </c>
      <c r="N2507" s="18" t="s">
        <v>20</v>
      </c>
      <c r="O2507">
        <v>30</v>
      </c>
    </row>
    <row r="2508" spans="1:15" x14ac:dyDescent="0.25">
      <c r="A2508" s="18" t="s">
        <v>7276</v>
      </c>
      <c r="B2508" s="18" t="s">
        <v>13</v>
      </c>
      <c r="C2508" s="18" t="s">
        <v>14</v>
      </c>
      <c r="D2508" s="18" t="s">
        <v>15</v>
      </c>
      <c r="E2508" s="18" t="s">
        <v>470</v>
      </c>
      <c r="F2508" s="2">
        <f>+J2508-I2508</f>
        <v>30</v>
      </c>
      <c r="G2508" s="2">
        <f ca="1">+TODAY()-I2508</f>
        <v>1611</v>
      </c>
      <c r="H2508" s="15">
        <v>50394</v>
      </c>
      <c r="I2508" s="1">
        <v>44509</v>
      </c>
      <c r="J2508" s="1">
        <v>44539</v>
      </c>
      <c r="K2508" s="18" t="s">
        <v>343</v>
      </c>
      <c r="L2508" s="18" t="s">
        <v>18</v>
      </c>
      <c r="M2508" s="18" t="s">
        <v>19</v>
      </c>
      <c r="N2508" s="18" t="s">
        <v>20</v>
      </c>
      <c r="O2508">
        <v>30</v>
      </c>
    </row>
    <row r="2509" spans="1:15" x14ac:dyDescent="0.25">
      <c r="A2509" s="18" t="s">
        <v>7276</v>
      </c>
      <c r="B2509" s="18" t="s">
        <v>13</v>
      </c>
      <c r="C2509" s="18" t="s">
        <v>14</v>
      </c>
      <c r="D2509" s="18" t="s">
        <v>15</v>
      </c>
      <c r="E2509" s="18" t="s">
        <v>471</v>
      </c>
      <c r="F2509" s="2">
        <f>+J2509-I2509</f>
        <v>30</v>
      </c>
      <c r="G2509" s="2">
        <f ca="1">+TODAY()-I2509</f>
        <v>1611</v>
      </c>
      <c r="H2509" s="15">
        <v>284000</v>
      </c>
      <c r="I2509" s="1">
        <v>44509</v>
      </c>
      <c r="J2509" s="1">
        <v>44539</v>
      </c>
      <c r="K2509" s="18" t="s">
        <v>343</v>
      </c>
      <c r="L2509" s="18" t="s">
        <v>18</v>
      </c>
      <c r="M2509" s="18" t="s">
        <v>19</v>
      </c>
      <c r="N2509" s="18" t="s">
        <v>20</v>
      </c>
      <c r="O2509">
        <v>30</v>
      </c>
    </row>
    <row r="2510" spans="1:15" x14ac:dyDescent="0.25">
      <c r="A2510" s="18" t="s">
        <v>7276</v>
      </c>
      <c r="B2510" s="18" t="s">
        <v>13</v>
      </c>
      <c r="C2510" s="18" t="s">
        <v>14</v>
      </c>
      <c r="D2510" s="18" t="s">
        <v>15</v>
      </c>
      <c r="E2510" s="18" t="s">
        <v>472</v>
      </c>
      <c r="F2510" s="2">
        <f>+J2510-I2510</f>
        <v>30</v>
      </c>
      <c r="G2510" s="2">
        <f ca="1">+TODAY()-I2510</f>
        <v>1609</v>
      </c>
      <c r="H2510" s="15">
        <v>1353197</v>
      </c>
      <c r="I2510" s="1">
        <v>44511</v>
      </c>
      <c r="J2510" s="1">
        <v>44541</v>
      </c>
      <c r="K2510" s="18" t="s">
        <v>343</v>
      </c>
      <c r="L2510" s="18" t="s">
        <v>47</v>
      </c>
      <c r="M2510" s="18" t="s">
        <v>19</v>
      </c>
      <c r="N2510" s="18" t="s">
        <v>20</v>
      </c>
      <c r="O2510">
        <v>30</v>
      </c>
    </row>
    <row r="2511" spans="1:15" x14ac:dyDescent="0.25">
      <c r="A2511" s="18" t="s">
        <v>7276</v>
      </c>
      <c r="B2511" s="18" t="s">
        <v>13</v>
      </c>
      <c r="C2511" s="18" t="s">
        <v>14</v>
      </c>
      <c r="D2511" s="18" t="s">
        <v>15</v>
      </c>
      <c r="E2511" s="18" t="s">
        <v>473</v>
      </c>
      <c r="F2511" s="2">
        <f>+J2511-I2511</f>
        <v>30</v>
      </c>
      <c r="G2511" s="2">
        <f ca="1">+TODAY()-I2511</f>
        <v>1607</v>
      </c>
      <c r="H2511" s="15">
        <v>360228</v>
      </c>
      <c r="I2511" s="1">
        <v>44513</v>
      </c>
      <c r="J2511" s="1">
        <v>44543</v>
      </c>
      <c r="K2511" s="18" t="s">
        <v>343</v>
      </c>
      <c r="L2511" s="18" t="s">
        <v>18</v>
      </c>
      <c r="M2511" s="18" t="s">
        <v>19</v>
      </c>
      <c r="N2511" s="18" t="s">
        <v>20</v>
      </c>
      <c r="O2511">
        <v>30</v>
      </c>
    </row>
    <row r="2512" spans="1:15" x14ac:dyDescent="0.25">
      <c r="A2512" s="18" t="s">
        <v>7276</v>
      </c>
      <c r="B2512" s="18" t="s">
        <v>13</v>
      </c>
      <c r="C2512" s="18" t="s">
        <v>14</v>
      </c>
      <c r="D2512" s="18" t="s">
        <v>15</v>
      </c>
      <c r="E2512" s="18" t="s">
        <v>474</v>
      </c>
      <c r="F2512" s="2">
        <f>+J2512-I2512</f>
        <v>30</v>
      </c>
      <c r="G2512" s="2">
        <f ca="1">+TODAY()-I2512</f>
        <v>1596</v>
      </c>
      <c r="H2512" s="15">
        <v>7208738</v>
      </c>
      <c r="I2512" s="1">
        <v>44524</v>
      </c>
      <c r="J2512" s="1">
        <v>44554</v>
      </c>
      <c r="K2512" s="18" t="s">
        <v>343</v>
      </c>
      <c r="L2512" s="18" t="s">
        <v>18</v>
      </c>
      <c r="M2512" s="18" t="s">
        <v>19</v>
      </c>
      <c r="N2512" s="18" t="s">
        <v>20</v>
      </c>
      <c r="O2512">
        <v>30</v>
      </c>
    </row>
    <row r="2513" spans="1:15" x14ac:dyDescent="0.25">
      <c r="A2513" s="18" t="s">
        <v>7276</v>
      </c>
      <c r="B2513" s="18" t="s">
        <v>13</v>
      </c>
      <c r="C2513" s="18" t="s">
        <v>14</v>
      </c>
      <c r="D2513" s="18" t="s">
        <v>15</v>
      </c>
      <c r="E2513" s="18" t="s">
        <v>475</v>
      </c>
      <c r="F2513" s="2">
        <f>+J2513-I2513</f>
        <v>30</v>
      </c>
      <c r="G2513" s="2">
        <f ca="1">+TODAY()-I2513</f>
        <v>1596</v>
      </c>
      <c r="H2513" s="15">
        <v>2157715</v>
      </c>
      <c r="I2513" s="1">
        <v>44524</v>
      </c>
      <c r="J2513" s="1">
        <v>44554</v>
      </c>
      <c r="K2513" s="18" t="s">
        <v>343</v>
      </c>
      <c r="L2513" s="18" t="s">
        <v>18</v>
      </c>
      <c r="M2513" s="18" t="s">
        <v>19</v>
      </c>
      <c r="N2513" s="18" t="s">
        <v>20</v>
      </c>
      <c r="O2513">
        <v>30</v>
      </c>
    </row>
    <row r="2514" spans="1:15" x14ac:dyDescent="0.25">
      <c r="A2514" s="18" t="s">
        <v>7276</v>
      </c>
      <c r="B2514" s="18" t="s">
        <v>13</v>
      </c>
      <c r="C2514" s="18" t="s">
        <v>14</v>
      </c>
      <c r="D2514" s="18" t="s">
        <v>15</v>
      </c>
      <c r="E2514" s="18" t="s">
        <v>476</v>
      </c>
      <c r="F2514" s="2">
        <f>+J2514-I2514</f>
        <v>30</v>
      </c>
      <c r="G2514" s="2">
        <f ca="1">+TODAY()-I2514</f>
        <v>1596</v>
      </c>
      <c r="H2514" s="15">
        <v>2391678</v>
      </c>
      <c r="I2514" s="1">
        <v>44524</v>
      </c>
      <c r="J2514" s="1">
        <v>44554</v>
      </c>
      <c r="K2514" s="18" t="s">
        <v>343</v>
      </c>
      <c r="L2514" s="18" t="s">
        <v>18</v>
      </c>
      <c r="M2514" s="18" t="s">
        <v>19</v>
      </c>
      <c r="N2514" s="18" t="s">
        <v>20</v>
      </c>
      <c r="O2514">
        <v>30</v>
      </c>
    </row>
    <row r="2515" spans="1:15" x14ac:dyDescent="0.25">
      <c r="A2515" s="18" t="s">
        <v>7276</v>
      </c>
      <c r="B2515" s="18" t="s">
        <v>13</v>
      </c>
      <c r="C2515" s="18" t="s">
        <v>14</v>
      </c>
      <c r="D2515" s="18" t="s">
        <v>15</v>
      </c>
      <c r="E2515" s="18" t="s">
        <v>477</v>
      </c>
      <c r="F2515" s="2">
        <f>+J2515-I2515</f>
        <v>30</v>
      </c>
      <c r="G2515" s="2">
        <f ca="1">+TODAY()-I2515</f>
        <v>1596</v>
      </c>
      <c r="H2515" s="15">
        <v>1486467</v>
      </c>
      <c r="I2515" s="1">
        <v>44524</v>
      </c>
      <c r="J2515" s="1">
        <v>44554</v>
      </c>
      <c r="K2515" s="18" t="s">
        <v>343</v>
      </c>
      <c r="L2515" s="18" t="s">
        <v>18</v>
      </c>
      <c r="M2515" s="18" t="s">
        <v>19</v>
      </c>
      <c r="N2515" s="18" t="s">
        <v>20</v>
      </c>
      <c r="O2515">
        <v>30</v>
      </c>
    </row>
    <row r="2516" spans="1:15" x14ac:dyDescent="0.25">
      <c r="A2516" s="18" t="s">
        <v>7276</v>
      </c>
      <c r="B2516" s="18" t="s">
        <v>13</v>
      </c>
      <c r="C2516" s="18" t="s">
        <v>14</v>
      </c>
      <c r="D2516" s="18" t="s">
        <v>15</v>
      </c>
      <c r="E2516" s="18" t="s">
        <v>478</v>
      </c>
      <c r="F2516" s="2">
        <f>+J2516-I2516</f>
        <v>30</v>
      </c>
      <c r="G2516" s="2">
        <f ca="1">+TODAY()-I2516</f>
        <v>1583</v>
      </c>
      <c r="H2516" s="15">
        <v>6621973</v>
      </c>
      <c r="I2516" s="1">
        <v>44537</v>
      </c>
      <c r="J2516" s="1">
        <v>44567</v>
      </c>
      <c r="K2516" s="18" t="s">
        <v>343</v>
      </c>
      <c r="L2516" s="18" t="s">
        <v>18</v>
      </c>
      <c r="M2516" s="18" t="s">
        <v>19</v>
      </c>
      <c r="N2516" s="18" t="s">
        <v>20</v>
      </c>
      <c r="O2516">
        <v>30</v>
      </c>
    </row>
    <row r="2517" spans="1:15" x14ac:dyDescent="0.25">
      <c r="A2517" s="18" t="s">
        <v>7276</v>
      </c>
      <c r="B2517" s="18" t="s">
        <v>13</v>
      </c>
      <c r="C2517" s="18" t="s">
        <v>14</v>
      </c>
      <c r="D2517" s="18" t="s">
        <v>15</v>
      </c>
      <c r="E2517" s="18" t="s">
        <v>479</v>
      </c>
      <c r="F2517" s="2">
        <f>+J2517-I2517</f>
        <v>30</v>
      </c>
      <c r="G2517" s="2">
        <f ca="1">+TODAY()-I2517</f>
        <v>1583</v>
      </c>
      <c r="H2517" s="15">
        <v>2125948</v>
      </c>
      <c r="I2517" s="1">
        <v>44537</v>
      </c>
      <c r="J2517" s="1">
        <v>44567</v>
      </c>
      <c r="K2517" s="18" t="s">
        <v>343</v>
      </c>
      <c r="L2517" s="18" t="s">
        <v>18</v>
      </c>
      <c r="M2517" s="18" t="s">
        <v>19</v>
      </c>
      <c r="N2517" s="18" t="s">
        <v>20</v>
      </c>
      <c r="O2517">
        <v>30</v>
      </c>
    </row>
    <row r="2518" spans="1:15" x14ac:dyDescent="0.25">
      <c r="A2518" s="18" t="s">
        <v>7276</v>
      </c>
      <c r="B2518" s="18" t="s">
        <v>13</v>
      </c>
      <c r="C2518" s="18" t="s">
        <v>14</v>
      </c>
      <c r="D2518" s="18" t="s">
        <v>15</v>
      </c>
      <c r="E2518" s="18" t="s">
        <v>480</v>
      </c>
      <c r="F2518" s="2">
        <f>+J2518-I2518</f>
        <v>30</v>
      </c>
      <c r="G2518" s="2">
        <f ca="1">+TODAY()-I2518</f>
        <v>1583</v>
      </c>
      <c r="H2518" s="15">
        <v>2650157</v>
      </c>
      <c r="I2518" s="1">
        <v>44537</v>
      </c>
      <c r="J2518" s="1">
        <v>44567</v>
      </c>
      <c r="K2518" s="18" t="s">
        <v>343</v>
      </c>
      <c r="L2518" s="18" t="s">
        <v>18</v>
      </c>
      <c r="M2518" s="18" t="s">
        <v>19</v>
      </c>
      <c r="N2518" s="18" t="s">
        <v>20</v>
      </c>
      <c r="O2518">
        <v>30</v>
      </c>
    </row>
    <row r="2519" spans="1:15" x14ac:dyDescent="0.25">
      <c r="A2519" s="18" t="s">
        <v>7276</v>
      </c>
      <c r="B2519" s="18" t="s">
        <v>13</v>
      </c>
      <c r="C2519" s="18" t="s">
        <v>14</v>
      </c>
      <c r="D2519" s="18" t="s">
        <v>15</v>
      </c>
      <c r="E2519" s="18" t="s">
        <v>481</v>
      </c>
      <c r="F2519" s="2">
        <f>+J2519-I2519</f>
        <v>30</v>
      </c>
      <c r="G2519" s="2">
        <f ca="1">+TODAY()-I2519</f>
        <v>1583</v>
      </c>
      <c r="H2519" s="15">
        <v>1748844</v>
      </c>
      <c r="I2519" s="1">
        <v>44537</v>
      </c>
      <c r="J2519" s="1">
        <v>44567</v>
      </c>
      <c r="K2519" s="18" t="s">
        <v>343</v>
      </c>
      <c r="L2519" s="18" t="s">
        <v>18</v>
      </c>
      <c r="M2519" s="18" t="s">
        <v>19</v>
      </c>
      <c r="N2519" s="18" t="s">
        <v>20</v>
      </c>
      <c r="O2519">
        <v>30</v>
      </c>
    </row>
    <row r="2520" spans="1:15" x14ac:dyDescent="0.25">
      <c r="A2520" s="18" t="s">
        <v>7276</v>
      </c>
      <c r="B2520" s="18" t="s">
        <v>13</v>
      </c>
      <c r="C2520" s="18" t="s">
        <v>14</v>
      </c>
      <c r="D2520" s="18" t="s">
        <v>15</v>
      </c>
      <c r="E2520" s="18" t="s">
        <v>482</v>
      </c>
      <c r="F2520" s="2">
        <f>+J2520-I2520</f>
        <v>30</v>
      </c>
      <c r="G2520" s="2">
        <f ca="1">+TODAY()-I2520</f>
        <v>1583</v>
      </c>
      <c r="H2520" s="15">
        <v>857646</v>
      </c>
      <c r="I2520" s="1">
        <v>44537</v>
      </c>
      <c r="J2520" s="1">
        <v>44567</v>
      </c>
      <c r="K2520" s="18" t="s">
        <v>343</v>
      </c>
      <c r="L2520" s="18" t="s">
        <v>47</v>
      </c>
      <c r="M2520" s="18" t="s">
        <v>19</v>
      </c>
      <c r="N2520" s="18" t="s">
        <v>20</v>
      </c>
      <c r="O2520">
        <v>30</v>
      </c>
    </row>
    <row r="2521" spans="1:15" x14ac:dyDescent="0.25">
      <c r="A2521" s="18" t="s">
        <v>7276</v>
      </c>
      <c r="B2521" s="18" t="s">
        <v>13</v>
      </c>
      <c r="C2521" s="18" t="s">
        <v>14</v>
      </c>
      <c r="D2521" s="18" t="s">
        <v>15</v>
      </c>
      <c r="E2521" s="18" t="s">
        <v>483</v>
      </c>
      <c r="F2521" s="2">
        <f>+J2521-I2521</f>
        <v>30</v>
      </c>
      <c r="G2521" s="2">
        <f ca="1">+TODAY()-I2521</f>
        <v>1569</v>
      </c>
      <c r="H2521" s="15">
        <v>6381510</v>
      </c>
      <c r="I2521" s="1">
        <v>44551</v>
      </c>
      <c r="J2521" s="1">
        <v>44581</v>
      </c>
      <c r="K2521" s="18" t="s">
        <v>343</v>
      </c>
      <c r="L2521" s="18" t="s">
        <v>18</v>
      </c>
      <c r="M2521" s="18" t="s">
        <v>19</v>
      </c>
      <c r="N2521" s="18" t="s">
        <v>20</v>
      </c>
      <c r="O2521">
        <v>30</v>
      </c>
    </row>
    <row r="2522" spans="1:15" x14ac:dyDescent="0.25">
      <c r="A2522" s="18" t="s">
        <v>7276</v>
      </c>
      <c r="B2522" s="18" t="s">
        <v>13</v>
      </c>
      <c r="C2522" s="18" t="s">
        <v>14</v>
      </c>
      <c r="D2522" s="18" t="s">
        <v>15</v>
      </c>
      <c r="E2522" s="18" t="s">
        <v>484</v>
      </c>
      <c r="F2522" s="2">
        <f>+J2522-I2522</f>
        <v>30</v>
      </c>
      <c r="G2522" s="2">
        <f ca="1">+TODAY()-I2522</f>
        <v>1569</v>
      </c>
      <c r="H2522" s="15">
        <v>1898999</v>
      </c>
      <c r="I2522" s="1">
        <v>44551</v>
      </c>
      <c r="J2522" s="1">
        <v>44581</v>
      </c>
      <c r="K2522" s="18" t="s">
        <v>343</v>
      </c>
      <c r="L2522" s="18" t="s">
        <v>18</v>
      </c>
      <c r="M2522" s="18" t="s">
        <v>19</v>
      </c>
      <c r="N2522" s="18" t="s">
        <v>20</v>
      </c>
      <c r="O2522">
        <v>30</v>
      </c>
    </row>
    <row r="2523" spans="1:15" x14ac:dyDescent="0.25">
      <c r="A2523" s="18" t="s">
        <v>7276</v>
      </c>
      <c r="B2523" s="18" t="s">
        <v>13</v>
      </c>
      <c r="C2523" s="18" t="s">
        <v>14</v>
      </c>
      <c r="D2523" s="18" t="s">
        <v>15</v>
      </c>
      <c r="E2523" s="18" t="s">
        <v>485</v>
      </c>
      <c r="F2523" s="2">
        <f>+J2523-I2523</f>
        <v>30</v>
      </c>
      <c r="G2523" s="2">
        <f ca="1">+TODAY()-I2523</f>
        <v>1569</v>
      </c>
      <c r="H2523" s="15">
        <v>3543950</v>
      </c>
      <c r="I2523" s="1">
        <v>44551</v>
      </c>
      <c r="J2523" s="1">
        <v>44581</v>
      </c>
      <c r="K2523" s="18" t="s">
        <v>343</v>
      </c>
      <c r="L2523" s="18" t="s">
        <v>18</v>
      </c>
      <c r="M2523" s="18" t="s">
        <v>19</v>
      </c>
      <c r="N2523" s="18" t="s">
        <v>20</v>
      </c>
      <c r="O2523">
        <v>30</v>
      </c>
    </row>
    <row r="2524" spans="1:15" x14ac:dyDescent="0.25">
      <c r="A2524" s="18" t="s">
        <v>7276</v>
      </c>
      <c r="B2524" s="18" t="s">
        <v>13</v>
      </c>
      <c r="C2524" s="18" t="s">
        <v>14</v>
      </c>
      <c r="D2524" s="18" t="s">
        <v>15</v>
      </c>
      <c r="E2524" s="18" t="s">
        <v>486</v>
      </c>
      <c r="F2524" s="2">
        <f>+J2524-I2524</f>
        <v>30</v>
      </c>
      <c r="G2524" s="2">
        <f ca="1">+TODAY()-I2524</f>
        <v>1569</v>
      </c>
      <c r="H2524" s="15">
        <v>1409280</v>
      </c>
      <c r="I2524" s="1">
        <v>44551</v>
      </c>
      <c r="J2524" s="1">
        <v>44581</v>
      </c>
      <c r="K2524" s="18" t="s">
        <v>343</v>
      </c>
      <c r="L2524" s="18" t="s">
        <v>18</v>
      </c>
      <c r="M2524" s="18" t="s">
        <v>19</v>
      </c>
      <c r="N2524" s="18" t="s">
        <v>20</v>
      </c>
      <c r="O2524">
        <v>30</v>
      </c>
    </row>
    <row r="2525" spans="1:15" x14ac:dyDescent="0.25">
      <c r="A2525" s="18" t="s">
        <v>7276</v>
      </c>
      <c r="B2525" s="18" t="s">
        <v>13</v>
      </c>
      <c r="C2525" s="18" t="s">
        <v>14</v>
      </c>
      <c r="D2525" s="18" t="s">
        <v>15</v>
      </c>
      <c r="E2525" s="18" t="s">
        <v>487</v>
      </c>
      <c r="F2525" s="2">
        <f>+J2525-I2525</f>
        <v>30</v>
      </c>
      <c r="G2525" s="2">
        <f ca="1">+TODAY()-I2525</f>
        <v>1553</v>
      </c>
      <c r="H2525" s="15">
        <v>5817172</v>
      </c>
      <c r="I2525" s="1">
        <v>44567</v>
      </c>
      <c r="J2525" s="1">
        <v>44597</v>
      </c>
      <c r="K2525" s="18" t="s">
        <v>343</v>
      </c>
      <c r="L2525" s="18" t="s">
        <v>18</v>
      </c>
      <c r="M2525" s="18" t="s">
        <v>19</v>
      </c>
      <c r="N2525" s="18" t="s">
        <v>20</v>
      </c>
      <c r="O2525">
        <v>30</v>
      </c>
    </row>
    <row r="2526" spans="1:15" x14ac:dyDescent="0.25">
      <c r="A2526" s="18" t="s">
        <v>7276</v>
      </c>
      <c r="B2526" s="18" t="s">
        <v>13</v>
      </c>
      <c r="C2526" s="18" t="s">
        <v>14</v>
      </c>
      <c r="D2526" s="18" t="s">
        <v>15</v>
      </c>
      <c r="E2526" s="18" t="s">
        <v>488</v>
      </c>
      <c r="F2526" s="2">
        <f>+J2526-I2526</f>
        <v>30</v>
      </c>
      <c r="G2526" s="2">
        <f ca="1">+TODAY()-I2526</f>
        <v>1553</v>
      </c>
      <c r="H2526" s="15">
        <v>1220540</v>
      </c>
      <c r="I2526" s="1">
        <v>44567</v>
      </c>
      <c r="J2526" s="1">
        <v>44597</v>
      </c>
      <c r="K2526" s="18" t="s">
        <v>343</v>
      </c>
      <c r="L2526" s="18" t="s">
        <v>18</v>
      </c>
      <c r="M2526" s="18" t="s">
        <v>19</v>
      </c>
      <c r="N2526" s="18" t="s">
        <v>20</v>
      </c>
      <c r="O2526">
        <v>30</v>
      </c>
    </row>
    <row r="2527" spans="1:15" x14ac:dyDescent="0.25">
      <c r="A2527" s="18" t="s">
        <v>7276</v>
      </c>
      <c r="B2527" s="18" t="s">
        <v>13</v>
      </c>
      <c r="C2527" s="18" t="s">
        <v>14</v>
      </c>
      <c r="D2527" s="18" t="s">
        <v>15</v>
      </c>
      <c r="E2527" s="18" t="s">
        <v>489</v>
      </c>
      <c r="F2527" s="2">
        <f>+J2527-I2527</f>
        <v>30</v>
      </c>
      <c r="G2527" s="2">
        <f ca="1">+TODAY()-I2527</f>
        <v>1553</v>
      </c>
      <c r="H2527" s="15">
        <v>970120</v>
      </c>
      <c r="I2527" s="1">
        <v>44567</v>
      </c>
      <c r="J2527" s="1">
        <v>44597</v>
      </c>
      <c r="K2527" s="18" t="s">
        <v>343</v>
      </c>
      <c r="L2527" s="18" t="s">
        <v>18</v>
      </c>
      <c r="M2527" s="18" t="s">
        <v>19</v>
      </c>
      <c r="N2527" s="18" t="s">
        <v>20</v>
      </c>
      <c r="O2527">
        <v>30</v>
      </c>
    </row>
    <row r="2528" spans="1:15" x14ac:dyDescent="0.25">
      <c r="A2528" s="18" t="s">
        <v>7276</v>
      </c>
      <c r="B2528" s="18" t="s">
        <v>13</v>
      </c>
      <c r="C2528" s="18" t="s">
        <v>14</v>
      </c>
      <c r="D2528" s="18" t="s">
        <v>15</v>
      </c>
      <c r="E2528" s="18" t="s">
        <v>490</v>
      </c>
      <c r="F2528" s="2">
        <f>+J2528-I2528</f>
        <v>1</v>
      </c>
      <c r="G2528" s="2">
        <f ca="1">+TODAY()-I2528</f>
        <v>1552</v>
      </c>
      <c r="H2528" s="15">
        <v>1832930</v>
      </c>
      <c r="I2528" s="1">
        <v>44568</v>
      </c>
      <c r="J2528" s="1">
        <v>44569</v>
      </c>
      <c r="K2528" s="18" t="s">
        <v>343</v>
      </c>
      <c r="L2528" s="18" t="s">
        <v>18</v>
      </c>
      <c r="M2528" s="18" t="s">
        <v>19</v>
      </c>
      <c r="N2528" s="18" t="s">
        <v>20</v>
      </c>
      <c r="O2528">
        <v>30</v>
      </c>
    </row>
    <row r="2529" spans="1:15" x14ac:dyDescent="0.25">
      <c r="A2529" s="18" t="s">
        <v>7276</v>
      </c>
      <c r="B2529" s="18" t="s">
        <v>13</v>
      </c>
      <c r="C2529" s="18" t="s">
        <v>14</v>
      </c>
      <c r="D2529" s="18" t="s">
        <v>15</v>
      </c>
      <c r="E2529" s="18" t="s">
        <v>491</v>
      </c>
      <c r="F2529" s="2">
        <f>+J2529-I2529</f>
        <v>30</v>
      </c>
      <c r="G2529" s="2">
        <f ca="1">+TODAY()-I2529</f>
        <v>1540</v>
      </c>
      <c r="H2529" s="15">
        <v>3807939</v>
      </c>
      <c r="I2529" s="1">
        <v>44580</v>
      </c>
      <c r="J2529" s="1">
        <v>44610</v>
      </c>
      <c r="K2529" s="18" t="s">
        <v>343</v>
      </c>
      <c r="L2529" s="18" t="s">
        <v>18</v>
      </c>
      <c r="M2529" s="18" t="s">
        <v>19</v>
      </c>
      <c r="N2529" s="18" t="s">
        <v>20</v>
      </c>
      <c r="O2529">
        <v>30</v>
      </c>
    </row>
    <row r="2530" spans="1:15" x14ac:dyDescent="0.25">
      <c r="A2530" s="18" t="s">
        <v>7276</v>
      </c>
      <c r="B2530" s="18" t="s">
        <v>13</v>
      </c>
      <c r="C2530" s="18" t="s">
        <v>14</v>
      </c>
      <c r="D2530" s="18" t="s">
        <v>15</v>
      </c>
      <c r="E2530" s="18" t="s">
        <v>492</v>
      </c>
      <c r="F2530" s="2">
        <f>+J2530-I2530</f>
        <v>30</v>
      </c>
      <c r="G2530" s="2">
        <f ca="1">+TODAY()-I2530</f>
        <v>1540</v>
      </c>
      <c r="H2530" s="15">
        <v>7020761</v>
      </c>
      <c r="I2530" s="1">
        <v>44580</v>
      </c>
      <c r="J2530" s="1">
        <v>44610</v>
      </c>
      <c r="K2530" s="18" t="s">
        <v>343</v>
      </c>
      <c r="L2530" s="18" t="s">
        <v>18</v>
      </c>
      <c r="M2530" s="18" t="s">
        <v>19</v>
      </c>
      <c r="N2530" s="18" t="s">
        <v>20</v>
      </c>
      <c r="O2530">
        <v>30</v>
      </c>
    </row>
    <row r="2531" spans="1:15" x14ac:dyDescent="0.25">
      <c r="A2531" s="18" t="s">
        <v>7276</v>
      </c>
      <c r="B2531" s="18" t="s">
        <v>13</v>
      </c>
      <c r="C2531" s="18" t="s">
        <v>14</v>
      </c>
      <c r="D2531" s="18" t="s">
        <v>15</v>
      </c>
      <c r="E2531" s="18" t="s">
        <v>493</v>
      </c>
      <c r="F2531" s="2">
        <f>+J2531-I2531</f>
        <v>30</v>
      </c>
      <c r="G2531" s="2">
        <f ca="1">+TODAY()-I2531</f>
        <v>1540</v>
      </c>
      <c r="H2531" s="15">
        <v>3317678</v>
      </c>
      <c r="I2531" s="1">
        <v>44580</v>
      </c>
      <c r="J2531" s="1">
        <v>44610</v>
      </c>
      <c r="K2531" s="18" t="s">
        <v>343</v>
      </c>
      <c r="L2531" s="18" t="s">
        <v>18</v>
      </c>
      <c r="M2531" s="18" t="s">
        <v>19</v>
      </c>
      <c r="N2531" s="18" t="s">
        <v>20</v>
      </c>
      <c r="O2531">
        <v>30</v>
      </c>
    </row>
    <row r="2532" spans="1:15" x14ac:dyDescent="0.25">
      <c r="A2532" s="18" t="s">
        <v>7276</v>
      </c>
      <c r="B2532" s="18" t="s">
        <v>13</v>
      </c>
      <c r="C2532" s="18" t="s">
        <v>14</v>
      </c>
      <c r="D2532" s="18" t="s">
        <v>15</v>
      </c>
      <c r="E2532" s="18" t="s">
        <v>494</v>
      </c>
      <c r="F2532" s="2">
        <f>+J2532-I2532</f>
        <v>30</v>
      </c>
      <c r="G2532" s="2">
        <f ca="1">+TODAY()-I2532</f>
        <v>1540</v>
      </c>
      <c r="H2532" s="15">
        <v>197444</v>
      </c>
      <c r="I2532" s="1">
        <v>44580</v>
      </c>
      <c r="J2532" s="1">
        <v>44610</v>
      </c>
      <c r="K2532" s="18" t="s">
        <v>343</v>
      </c>
      <c r="L2532" s="18" t="s">
        <v>18</v>
      </c>
      <c r="M2532" s="18" t="s">
        <v>19</v>
      </c>
      <c r="N2532" s="18" t="s">
        <v>20</v>
      </c>
      <c r="O2532">
        <v>30</v>
      </c>
    </row>
    <row r="2533" spans="1:15" x14ac:dyDescent="0.25">
      <c r="A2533" s="18" t="s">
        <v>7276</v>
      </c>
      <c r="B2533" s="18" t="s">
        <v>13</v>
      </c>
      <c r="C2533" s="18" t="s">
        <v>14</v>
      </c>
      <c r="D2533" s="18" t="s">
        <v>15</v>
      </c>
      <c r="E2533" s="18" t="s">
        <v>495</v>
      </c>
      <c r="F2533" s="2">
        <f>+J2533-I2533</f>
        <v>30</v>
      </c>
      <c r="G2533" s="2">
        <f ca="1">+TODAY()-I2533</f>
        <v>1538</v>
      </c>
      <c r="H2533" s="15">
        <v>250943</v>
      </c>
      <c r="I2533" s="1">
        <v>44582</v>
      </c>
      <c r="J2533" s="1">
        <v>44612</v>
      </c>
      <c r="K2533" s="18" t="s">
        <v>343</v>
      </c>
      <c r="L2533" s="18" t="s">
        <v>18</v>
      </c>
      <c r="M2533" s="18" t="s">
        <v>19</v>
      </c>
      <c r="N2533" s="18" t="s">
        <v>20</v>
      </c>
      <c r="O2533">
        <v>30</v>
      </c>
    </row>
    <row r="2534" spans="1:15" x14ac:dyDescent="0.25">
      <c r="A2534" s="18" t="s">
        <v>7276</v>
      </c>
      <c r="B2534" s="18" t="s">
        <v>13</v>
      </c>
      <c r="C2534" s="18" t="s">
        <v>14</v>
      </c>
      <c r="D2534" s="18" t="s">
        <v>15</v>
      </c>
      <c r="E2534" s="18" t="s">
        <v>496</v>
      </c>
      <c r="F2534" s="2">
        <f>+J2534-I2534</f>
        <v>30</v>
      </c>
      <c r="G2534" s="2">
        <f ca="1">+TODAY()-I2534</f>
        <v>1538</v>
      </c>
      <c r="H2534" s="15">
        <v>1081297</v>
      </c>
      <c r="I2534" s="1">
        <v>44582</v>
      </c>
      <c r="J2534" s="1">
        <v>44612</v>
      </c>
      <c r="K2534" s="18" t="s">
        <v>343</v>
      </c>
      <c r="L2534" s="18" t="s">
        <v>47</v>
      </c>
      <c r="M2534" s="18" t="s">
        <v>19</v>
      </c>
      <c r="N2534" s="18" t="s">
        <v>20</v>
      </c>
      <c r="O2534">
        <v>30</v>
      </c>
    </row>
    <row r="2535" spans="1:15" x14ac:dyDescent="0.25">
      <c r="A2535" s="18" t="s">
        <v>7276</v>
      </c>
      <c r="B2535" s="18" t="s">
        <v>13</v>
      </c>
      <c r="C2535" s="18" t="s">
        <v>14</v>
      </c>
      <c r="D2535" s="18" t="s">
        <v>15</v>
      </c>
      <c r="E2535" s="18" t="s">
        <v>497</v>
      </c>
      <c r="F2535" s="2">
        <f>+J2535-I2535</f>
        <v>30</v>
      </c>
      <c r="G2535" s="2">
        <f ca="1">+TODAY()-I2535</f>
        <v>1538</v>
      </c>
      <c r="H2535" s="15">
        <v>2621394</v>
      </c>
      <c r="I2535" s="1">
        <v>44582</v>
      </c>
      <c r="J2535" s="1">
        <v>44612</v>
      </c>
      <c r="K2535" s="18" t="s">
        <v>343</v>
      </c>
      <c r="L2535" s="18" t="s">
        <v>47</v>
      </c>
      <c r="M2535" s="18" t="s">
        <v>19</v>
      </c>
      <c r="N2535" s="18" t="s">
        <v>20</v>
      </c>
      <c r="O2535">
        <v>30</v>
      </c>
    </row>
    <row r="2536" spans="1:15" x14ac:dyDescent="0.25">
      <c r="A2536" s="18" t="s">
        <v>7276</v>
      </c>
      <c r="B2536" s="18" t="s">
        <v>13</v>
      </c>
      <c r="C2536" s="18" t="s">
        <v>14</v>
      </c>
      <c r="D2536" s="18" t="s">
        <v>15</v>
      </c>
      <c r="E2536" s="18" t="s">
        <v>498</v>
      </c>
      <c r="F2536" s="2">
        <f>+J2536-I2536</f>
        <v>30</v>
      </c>
      <c r="G2536" s="2">
        <f ca="1">+TODAY()-I2536</f>
        <v>1526</v>
      </c>
      <c r="H2536" s="15">
        <v>1135241</v>
      </c>
      <c r="I2536" s="1">
        <v>44594</v>
      </c>
      <c r="J2536" s="1">
        <v>44624</v>
      </c>
      <c r="K2536" s="18" t="s">
        <v>343</v>
      </c>
      <c r="L2536" s="18" t="s">
        <v>18</v>
      </c>
      <c r="M2536" s="18" t="s">
        <v>19</v>
      </c>
      <c r="N2536" s="18" t="s">
        <v>20</v>
      </c>
      <c r="O2536">
        <v>30</v>
      </c>
    </row>
    <row r="2537" spans="1:15" x14ac:dyDescent="0.25">
      <c r="A2537" s="18" t="s">
        <v>7276</v>
      </c>
      <c r="B2537" s="18" t="s">
        <v>13</v>
      </c>
      <c r="C2537" s="18" t="s">
        <v>14</v>
      </c>
      <c r="D2537" s="18" t="s">
        <v>15</v>
      </c>
      <c r="E2537" s="18" t="s">
        <v>499</v>
      </c>
      <c r="F2537" s="2">
        <f>+J2537-I2537</f>
        <v>30</v>
      </c>
      <c r="G2537" s="2">
        <f ca="1">+TODAY()-I2537</f>
        <v>1526</v>
      </c>
      <c r="H2537" s="15">
        <v>5664283</v>
      </c>
      <c r="I2537" s="1">
        <v>44594</v>
      </c>
      <c r="J2537" s="1">
        <v>44624</v>
      </c>
      <c r="K2537" s="18" t="s">
        <v>343</v>
      </c>
      <c r="L2537" s="18" t="s">
        <v>18</v>
      </c>
      <c r="M2537" s="18" t="s">
        <v>19</v>
      </c>
      <c r="N2537" s="18" t="s">
        <v>20</v>
      </c>
      <c r="O2537">
        <v>30</v>
      </c>
    </row>
    <row r="2538" spans="1:15" x14ac:dyDescent="0.25">
      <c r="A2538" s="18" t="s">
        <v>7276</v>
      </c>
      <c r="B2538" s="18" t="s">
        <v>13</v>
      </c>
      <c r="C2538" s="18" t="s">
        <v>14</v>
      </c>
      <c r="D2538" s="18" t="s">
        <v>15</v>
      </c>
      <c r="E2538" s="18" t="s">
        <v>500</v>
      </c>
      <c r="F2538" s="2">
        <f>+J2538-I2538</f>
        <v>30</v>
      </c>
      <c r="G2538" s="2">
        <f ca="1">+TODAY()-I2538</f>
        <v>1526</v>
      </c>
      <c r="H2538" s="15">
        <v>1057036</v>
      </c>
      <c r="I2538" s="1">
        <v>44594</v>
      </c>
      <c r="J2538" s="1">
        <v>44624</v>
      </c>
      <c r="K2538" s="18" t="s">
        <v>343</v>
      </c>
      <c r="L2538" s="18" t="s">
        <v>18</v>
      </c>
      <c r="M2538" s="18" t="s">
        <v>19</v>
      </c>
      <c r="N2538" s="18" t="s">
        <v>20</v>
      </c>
      <c r="O2538">
        <v>30</v>
      </c>
    </row>
    <row r="2539" spans="1:15" x14ac:dyDescent="0.25">
      <c r="A2539" s="18" t="s">
        <v>7276</v>
      </c>
      <c r="B2539" s="18" t="s">
        <v>13</v>
      </c>
      <c r="C2539" s="18" t="s">
        <v>14</v>
      </c>
      <c r="D2539" s="18" t="s">
        <v>15</v>
      </c>
      <c r="E2539" s="18" t="s">
        <v>501</v>
      </c>
      <c r="F2539" s="2">
        <f>+J2539-I2539</f>
        <v>30</v>
      </c>
      <c r="G2539" s="2">
        <f ca="1">+TODAY()-I2539</f>
        <v>1513</v>
      </c>
      <c r="H2539" s="15">
        <v>3244844</v>
      </c>
      <c r="I2539" s="1">
        <v>44607</v>
      </c>
      <c r="J2539" s="1">
        <v>44637</v>
      </c>
      <c r="K2539" s="18" t="s">
        <v>343</v>
      </c>
      <c r="L2539" s="18" t="s">
        <v>18</v>
      </c>
      <c r="M2539" s="18" t="s">
        <v>19</v>
      </c>
      <c r="N2539" s="18" t="s">
        <v>20</v>
      </c>
      <c r="O2539">
        <v>30</v>
      </c>
    </row>
    <row r="2540" spans="1:15" x14ac:dyDescent="0.25">
      <c r="A2540" s="18" t="s">
        <v>7276</v>
      </c>
      <c r="B2540" s="18" t="s">
        <v>13</v>
      </c>
      <c r="C2540" s="18" t="s">
        <v>14</v>
      </c>
      <c r="D2540" s="18" t="s">
        <v>15</v>
      </c>
      <c r="E2540" s="18" t="s">
        <v>502</v>
      </c>
      <c r="F2540" s="2">
        <f>+J2540-I2540</f>
        <v>30</v>
      </c>
      <c r="G2540" s="2">
        <f ca="1">+TODAY()-I2540</f>
        <v>1513</v>
      </c>
      <c r="H2540" s="15">
        <v>4081023</v>
      </c>
      <c r="I2540" s="1">
        <v>44607</v>
      </c>
      <c r="J2540" s="1">
        <v>44637</v>
      </c>
      <c r="K2540" s="18" t="s">
        <v>343</v>
      </c>
      <c r="L2540" s="18" t="s">
        <v>18</v>
      </c>
      <c r="M2540" s="18" t="s">
        <v>19</v>
      </c>
      <c r="N2540" s="18" t="s">
        <v>20</v>
      </c>
      <c r="O2540">
        <v>30</v>
      </c>
    </row>
    <row r="2541" spans="1:15" x14ac:dyDescent="0.25">
      <c r="A2541" s="18" t="s">
        <v>7276</v>
      </c>
      <c r="B2541" s="18" t="s">
        <v>13</v>
      </c>
      <c r="C2541" s="18" t="s">
        <v>14</v>
      </c>
      <c r="D2541" s="18" t="s">
        <v>15</v>
      </c>
      <c r="E2541" s="18" t="s">
        <v>503</v>
      </c>
      <c r="F2541" s="2">
        <f>+J2541-I2541</f>
        <v>30</v>
      </c>
      <c r="G2541" s="2">
        <f ca="1">+TODAY()-I2541</f>
        <v>1513</v>
      </c>
      <c r="H2541" s="15">
        <v>4742881</v>
      </c>
      <c r="I2541" s="1">
        <v>44607</v>
      </c>
      <c r="J2541" s="1">
        <v>44637</v>
      </c>
      <c r="K2541" s="18" t="s">
        <v>343</v>
      </c>
      <c r="L2541" s="18" t="s">
        <v>18</v>
      </c>
      <c r="M2541" s="18" t="s">
        <v>19</v>
      </c>
      <c r="N2541" s="18" t="s">
        <v>20</v>
      </c>
      <c r="O2541">
        <v>30</v>
      </c>
    </row>
    <row r="2542" spans="1:15" x14ac:dyDescent="0.25">
      <c r="A2542" s="18" t="s">
        <v>7276</v>
      </c>
      <c r="B2542" s="18" t="s">
        <v>13</v>
      </c>
      <c r="C2542" s="18" t="s">
        <v>14</v>
      </c>
      <c r="D2542" s="18" t="s">
        <v>15</v>
      </c>
      <c r="E2542" s="18" t="s">
        <v>504</v>
      </c>
      <c r="F2542" s="2">
        <f>+J2542-I2542</f>
        <v>30</v>
      </c>
      <c r="G2542" s="2">
        <f ca="1">+TODAY()-I2542</f>
        <v>1513</v>
      </c>
      <c r="H2542" s="15">
        <v>2622431</v>
      </c>
      <c r="I2542" s="1">
        <v>44607</v>
      </c>
      <c r="J2542" s="1">
        <v>44637</v>
      </c>
      <c r="K2542" s="18" t="s">
        <v>343</v>
      </c>
      <c r="L2542" s="18" t="s">
        <v>18</v>
      </c>
      <c r="M2542" s="18" t="s">
        <v>19</v>
      </c>
      <c r="N2542" s="18" t="s">
        <v>20</v>
      </c>
      <c r="O2542">
        <v>30</v>
      </c>
    </row>
    <row r="2543" spans="1:15" x14ac:dyDescent="0.25">
      <c r="A2543" s="18" t="s">
        <v>7276</v>
      </c>
      <c r="B2543" s="18" t="s">
        <v>13</v>
      </c>
      <c r="C2543" s="18" t="s">
        <v>14</v>
      </c>
      <c r="D2543" s="18" t="s">
        <v>15</v>
      </c>
      <c r="E2543" s="18" t="s">
        <v>505</v>
      </c>
      <c r="F2543" s="2">
        <f>+J2543-I2543</f>
        <v>30</v>
      </c>
      <c r="G2543" s="2">
        <f ca="1">+TODAY()-I2543</f>
        <v>1511</v>
      </c>
      <c r="H2543" s="15">
        <v>1871514</v>
      </c>
      <c r="I2543" s="1">
        <v>44609</v>
      </c>
      <c r="J2543" s="1">
        <v>44639</v>
      </c>
      <c r="K2543" s="18" t="s">
        <v>343</v>
      </c>
      <c r="L2543" s="18" t="s">
        <v>47</v>
      </c>
      <c r="M2543" s="18" t="s">
        <v>19</v>
      </c>
      <c r="N2543" s="18" t="s">
        <v>20</v>
      </c>
      <c r="O2543">
        <v>30</v>
      </c>
    </row>
    <row r="2544" spans="1:15" x14ac:dyDescent="0.25">
      <c r="A2544" s="18" t="s">
        <v>7276</v>
      </c>
      <c r="B2544" s="18" t="s">
        <v>13</v>
      </c>
      <c r="C2544" s="18" t="s">
        <v>14</v>
      </c>
      <c r="D2544" s="18" t="s">
        <v>15</v>
      </c>
      <c r="E2544" s="18" t="s">
        <v>506</v>
      </c>
      <c r="F2544" s="2">
        <f>+J2544-I2544</f>
        <v>30</v>
      </c>
      <c r="G2544" s="2">
        <f ca="1">+TODAY()-I2544</f>
        <v>1507</v>
      </c>
      <c r="H2544" s="15">
        <v>3714000</v>
      </c>
      <c r="I2544" s="1">
        <v>44613</v>
      </c>
      <c r="J2544" s="1">
        <v>44643</v>
      </c>
      <c r="K2544" s="18" t="s">
        <v>343</v>
      </c>
      <c r="L2544" s="18" t="s">
        <v>18</v>
      </c>
      <c r="M2544" s="18" t="s">
        <v>19</v>
      </c>
      <c r="N2544" s="18" t="s">
        <v>20</v>
      </c>
      <c r="O2544">
        <v>30</v>
      </c>
    </row>
    <row r="2545" spans="1:15" x14ac:dyDescent="0.25">
      <c r="A2545" s="18" t="s">
        <v>7276</v>
      </c>
      <c r="B2545" s="18" t="s">
        <v>13</v>
      </c>
      <c r="C2545" s="18" t="s">
        <v>14</v>
      </c>
      <c r="D2545" s="18" t="s">
        <v>15</v>
      </c>
      <c r="E2545" s="18" t="s">
        <v>507</v>
      </c>
      <c r="F2545" s="2">
        <f>+J2545-I2545</f>
        <v>30</v>
      </c>
      <c r="G2545" s="2">
        <f ca="1">+TODAY()-I2545</f>
        <v>1500</v>
      </c>
      <c r="H2545" s="15">
        <v>10874400</v>
      </c>
      <c r="I2545" s="1">
        <v>44620</v>
      </c>
      <c r="J2545" s="1">
        <v>44650</v>
      </c>
      <c r="K2545" s="18" t="s">
        <v>343</v>
      </c>
      <c r="L2545" s="18" t="s">
        <v>18</v>
      </c>
      <c r="M2545" s="18" t="s">
        <v>19</v>
      </c>
      <c r="N2545" s="18" t="s">
        <v>20</v>
      </c>
      <c r="O2545">
        <v>30</v>
      </c>
    </row>
    <row r="2546" spans="1:15" x14ac:dyDescent="0.25">
      <c r="A2546" s="18" t="s">
        <v>7276</v>
      </c>
      <c r="B2546" s="18" t="s">
        <v>13</v>
      </c>
      <c r="C2546" s="18" t="s">
        <v>14</v>
      </c>
      <c r="D2546" s="18" t="s">
        <v>15</v>
      </c>
      <c r="E2546" s="18" t="s">
        <v>508</v>
      </c>
      <c r="F2546" s="2">
        <f>+J2546-I2546</f>
        <v>30</v>
      </c>
      <c r="G2546" s="2">
        <f ca="1">+TODAY()-I2546</f>
        <v>1500</v>
      </c>
      <c r="H2546" s="15">
        <v>8251680</v>
      </c>
      <c r="I2546" s="1">
        <v>44620</v>
      </c>
      <c r="J2546" s="1">
        <v>44650</v>
      </c>
      <c r="K2546" s="18" t="s">
        <v>343</v>
      </c>
      <c r="L2546" s="18" t="s">
        <v>18</v>
      </c>
      <c r="M2546" s="18" t="s">
        <v>19</v>
      </c>
      <c r="N2546" s="18" t="s">
        <v>20</v>
      </c>
      <c r="O2546">
        <v>30</v>
      </c>
    </row>
    <row r="2547" spans="1:15" x14ac:dyDescent="0.25">
      <c r="A2547" s="18" t="s">
        <v>7276</v>
      </c>
      <c r="B2547" s="18" t="s">
        <v>13</v>
      </c>
      <c r="C2547" s="18" t="s">
        <v>14</v>
      </c>
      <c r="D2547" s="18" t="s">
        <v>15</v>
      </c>
      <c r="E2547" s="18" t="s">
        <v>509</v>
      </c>
      <c r="F2547" s="2">
        <f>+J2547-I2547</f>
        <v>30</v>
      </c>
      <c r="G2547" s="2">
        <f ca="1">+TODAY()-I2547</f>
        <v>1498</v>
      </c>
      <c r="H2547" s="15">
        <v>3607612</v>
      </c>
      <c r="I2547" s="1">
        <v>44622</v>
      </c>
      <c r="J2547" s="1">
        <v>44652</v>
      </c>
      <c r="K2547" s="18" t="s">
        <v>343</v>
      </c>
      <c r="L2547" s="18" t="s">
        <v>18</v>
      </c>
      <c r="M2547" s="18" t="s">
        <v>19</v>
      </c>
      <c r="N2547" s="18" t="s">
        <v>20</v>
      </c>
      <c r="O2547">
        <v>30</v>
      </c>
    </row>
    <row r="2548" spans="1:15" x14ac:dyDescent="0.25">
      <c r="A2548" s="18" t="s">
        <v>7276</v>
      </c>
      <c r="B2548" s="18" t="s">
        <v>13</v>
      </c>
      <c r="C2548" s="18" t="s">
        <v>14</v>
      </c>
      <c r="D2548" s="18" t="s">
        <v>15</v>
      </c>
      <c r="E2548" s="18" t="s">
        <v>510</v>
      </c>
      <c r="F2548" s="2">
        <f>+J2548-I2548</f>
        <v>30</v>
      </c>
      <c r="G2548" s="2">
        <f ca="1">+TODAY()-I2548</f>
        <v>1498</v>
      </c>
      <c r="H2548" s="15">
        <v>2065205</v>
      </c>
      <c r="I2548" s="1">
        <v>44622</v>
      </c>
      <c r="J2548" s="1">
        <v>44652</v>
      </c>
      <c r="K2548" s="18" t="s">
        <v>343</v>
      </c>
      <c r="L2548" s="18" t="s">
        <v>18</v>
      </c>
      <c r="M2548" s="18" t="s">
        <v>19</v>
      </c>
      <c r="N2548" s="18" t="s">
        <v>20</v>
      </c>
      <c r="O2548">
        <v>30</v>
      </c>
    </row>
    <row r="2549" spans="1:15" x14ac:dyDescent="0.25">
      <c r="A2549" s="18" t="s">
        <v>7276</v>
      </c>
      <c r="B2549" s="18" t="s">
        <v>13</v>
      </c>
      <c r="C2549" s="18" t="s">
        <v>14</v>
      </c>
      <c r="D2549" s="18" t="s">
        <v>15</v>
      </c>
      <c r="E2549" s="18" t="s">
        <v>511</v>
      </c>
      <c r="F2549" s="2">
        <f>+J2549-I2549</f>
        <v>30</v>
      </c>
      <c r="G2549" s="2">
        <f ca="1">+TODAY()-I2549</f>
        <v>1498</v>
      </c>
      <c r="H2549" s="15">
        <v>5051519</v>
      </c>
      <c r="I2549" s="1">
        <v>44622</v>
      </c>
      <c r="J2549" s="1">
        <v>44652</v>
      </c>
      <c r="K2549" s="18" t="s">
        <v>343</v>
      </c>
      <c r="L2549" s="18" t="s">
        <v>18</v>
      </c>
      <c r="M2549" s="18" t="s">
        <v>19</v>
      </c>
      <c r="N2549" s="18" t="s">
        <v>20</v>
      </c>
      <c r="O2549">
        <v>30</v>
      </c>
    </row>
    <row r="2550" spans="1:15" x14ac:dyDescent="0.25">
      <c r="A2550" s="18" t="s">
        <v>7276</v>
      </c>
      <c r="B2550" s="18" t="s">
        <v>13</v>
      </c>
      <c r="C2550" s="18" t="s">
        <v>14</v>
      </c>
      <c r="D2550" s="18" t="s">
        <v>15</v>
      </c>
      <c r="E2550" s="18" t="s">
        <v>512</v>
      </c>
      <c r="F2550" s="2">
        <f>+J2550-I2550</f>
        <v>30</v>
      </c>
      <c r="G2550" s="2">
        <f ca="1">+TODAY()-I2550</f>
        <v>1498</v>
      </c>
      <c r="H2550" s="15">
        <v>2737904</v>
      </c>
      <c r="I2550" s="1">
        <v>44622</v>
      </c>
      <c r="J2550" s="1">
        <v>44652</v>
      </c>
      <c r="K2550" s="18" t="s">
        <v>343</v>
      </c>
      <c r="L2550" s="18" t="s">
        <v>18</v>
      </c>
      <c r="M2550" s="18" t="s">
        <v>19</v>
      </c>
      <c r="N2550" s="18" t="s">
        <v>20</v>
      </c>
      <c r="O2550">
        <v>30</v>
      </c>
    </row>
    <row r="2551" spans="1:15" x14ac:dyDescent="0.25">
      <c r="A2551" s="18" t="s">
        <v>7276</v>
      </c>
      <c r="B2551" s="18" t="s">
        <v>13</v>
      </c>
      <c r="C2551" s="18" t="s">
        <v>14</v>
      </c>
      <c r="D2551" s="18" t="s">
        <v>15</v>
      </c>
      <c r="E2551" s="18" t="s">
        <v>513</v>
      </c>
      <c r="F2551" s="2">
        <f>+J2551-I2551</f>
        <v>30</v>
      </c>
      <c r="G2551" s="2">
        <f ca="1">+TODAY()-I2551</f>
        <v>1484</v>
      </c>
      <c r="H2551" s="15">
        <v>2635916</v>
      </c>
      <c r="I2551" s="1">
        <v>44636</v>
      </c>
      <c r="J2551" s="1">
        <v>44666</v>
      </c>
      <c r="K2551" s="18" t="s">
        <v>343</v>
      </c>
      <c r="L2551" s="18" t="s">
        <v>18</v>
      </c>
      <c r="M2551" s="18" t="s">
        <v>19</v>
      </c>
      <c r="N2551" s="18" t="s">
        <v>20</v>
      </c>
      <c r="O2551">
        <v>30</v>
      </c>
    </row>
    <row r="2552" spans="1:15" x14ac:dyDescent="0.25">
      <c r="A2552" s="18" t="s">
        <v>7276</v>
      </c>
      <c r="B2552" s="18" t="s">
        <v>13</v>
      </c>
      <c r="C2552" s="18" t="s">
        <v>14</v>
      </c>
      <c r="D2552" s="18" t="s">
        <v>15</v>
      </c>
      <c r="E2552" s="18" t="s">
        <v>514</v>
      </c>
      <c r="F2552" s="2">
        <f>+J2552-I2552</f>
        <v>30</v>
      </c>
      <c r="G2552" s="2">
        <f ca="1">+TODAY()-I2552</f>
        <v>1484</v>
      </c>
      <c r="H2552" s="15">
        <v>3274000</v>
      </c>
      <c r="I2552" s="1">
        <v>44636</v>
      </c>
      <c r="J2552" s="1">
        <v>44666</v>
      </c>
      <c r="K2552" s="18" t="s">
        <v>343</v>
      </c>
      <c r="L2552" s="18" t="s">
        <v>18</v>
      </c>
      <c r="M2552" s="18" t="s">
        <v>19</v>
      </c>
      <c r="N2552" s="18" t="s">
        <v>20</v>
      </c>
      <c r="O2552">
        <v>30</v>
      </c>
    </row>
    <row r="2553" spans="1:15" x14ac:dyDescent="0.25">
      <c r="A2553" s="18" t="s">
        <v>7276</v>
      </c>
      <c r="B2553" s="18" t="s">
        <v>13</v>
      </c>
      <c r="C2553" s="18" t="s">
        <v>14</v>
      </c>
      <c r="D2553" s="18" t="s">
        <v>15</v>
      </c>
      <c r="E2553" s="18" t="s">
        <v>515</v>
      </c>
      <c r="F2553" s="2">
        <f>+J2553-I2553</f>
        <v>30</v>
      </c>
      <c r="G2553" s="2">
        <f ca="1">+TODAY()-I2553</f>
        <v>1484</v>
      </c>
      <c r="H2553" s="15">
        <v>2187838</v>
      </c>
      <c r="I2553" s="1">
        <v>44636</v>
      </c>
      <c r="J2553" s="1">
        <v>44666</v>
      </c>
      <c r="K2553" s="18" t="s">
        <v>343</v>
      </c>
      <c r="L2553" s="18" t="s">
        <v>18</v>
      </c>
      <c r="M2553" s="18" t="s">
        <v>19</v>
      </c>
      <c r="N2553" s="18" t="s">
        <v>20</v>
      </c>
      <c r="O2553">
        <v>30</v>
      </c>
    </row>
    <row r="2554" spans="1:15" x14ac:dyDescent="0.25">
      <c r="A2554" s="18" t="s">
        <v>7276</v>
      </c>
      <c r="B2554" s="18" t="s">
        <v>13</v>
      </c>
      <c r="C2554" s="18" t="s">
        <v>14</v>
      </c>
      <c r="D2554" s="18" t="s">
        <v>15</v>
      </c>
      <c r="E2554" s="18" t="s">
        <v>516</v>
      </c>
      <c r="F2554" s="2">
        <f>+J2554-I2554</f>
        <v>30</v>
      </c>
      <c r="G2554" s="2">
        <f ca="1">+TODAY()-I2554</f>
        <v>1484</v>
      </c>
      <c r="H2554" s="15">
        <v>6821358</v>
      </c>
      <c r="I2554" s="1">
        <v>44636</v>
      </c>
      <c r="J2554" s="1">
        <v>44666</v>
      </c>
      <c r="K2554" s="18" t="s">
        <v>343</v>
      </c>
      <c r="L2554" s="18" t="s">
        <v>18</v>
      </c>
      <c r="M2554" s="18" t="s">
        <v>19</v>
      </c>
      <c r="N2554" s="18" t="s">
        <v>20</v>
      </c>
      <c r="O2554">
        <v>30</v>
      </c>
    </row>
    <row r="2555" spans="1:15" x14ac:dyDescent="0.25">
      <c r="A2555" s="18" t="s">
        <v>7276</v>
      </c>
      <c r="B2555" s="18" t="s">
        <v>13</v>
      </c>
      <c r="C2555" s="18" t="s">
        <v>14</v>
      </c>
      <c r="D2555" s="18" t="s">
        <v>15</v>
      </c>
      <c r="E2555" s="18" t="s">
        <v>517</v>
      </c>
      <c r="F2555" s="2">
        <f>+J2555-I2555</f>
        <v>30</v>
      </c>
      <c r="G2555" s="2">
        <f ca="1">+TODAY()-I2555</f>
        <v>1484</v>
      </c>
      <c r="H2555" s="15">
        <v>3459730</v>
      </c>
      <c r="I2555" s="1">
        <v>44636</v>
      </c>
      <c r="J2555" s="1">
        <v>44666</v>
      </c>
      <c r="K2555" s="18" t="s">
        <v>343</v>
      </c>
      <c r="L2555" s="18" t="s">
        <v>18</v>
      </c>
      <c r="M2555" s="18" t="s">
        <v>19</v>
      </c>
      <c r="N2555" s="18" t="s">
        <v>20</v>
      </c>
      <c r="O2555">
        <v>30</v>
      </c>
    </row>
    <row r="2556" spans="1:15" x14ac:dyDescent="0.25">
      <c r="A2556" s="18" t="s">
        <v>7276</v>
      </c>
      <c r="B2556" s="18" t="s">
        <v>13</v>
      </c>
      <c r="C2556" s="18" t="s">
        <v>14</v>
      </c>
      <c r="D2556" s="18" t="s">
        <v>15</v>
      </c>
      <c r="E2556" s="18" t="s">
        <v>518</v>
      </c>
      <c r="F2556" s="2">
        <f>+J2556-I2556</f>
        <v>30</v>
      </c>
      <c r="G2556" s="2">
        <f ca="1">+TODAY()-I2556</f>
        <v>1482</v>
      </c>
      <c r="H2556" s="15">
        <v>5630709</v>
      </c>
      <c r="I2556" s="1">
        <v>44638</v>
      </c>
      <c r="J2556" s="1">
        <v>44668</v>
      </c>
      <c r="K2556" s="18" t="s">
        <v>343</v>
      </c>
      <c r="L2556" s="18" t="s">
        <v>18</v>
      </c>
      <c r="M2556" s="18" t="s">
        <v>19</v>
      </c>
      <c r="N2556" s="18" t="s">
        <v>20</v>
      </c>
      <c r="O2556">
        <v>30</v>
      </c>
    </row>
    <row r="2557" spans="1:15" x14ac:dyDescent="0.25">
      <c r="A2557" s="18" t="s">
        <v>7276</v>
      </c>
      <c r="B2557" s="18" t="s">
        <v>13</v>
      </c>
      <c r="C2557" s="18" t="s">
        <v>14</v>
      </c>
      <c r="D2557" s="18" t="s">
        <v>15</v>
      </c>
      <c r="E2557" s="18" t="s">
        <v>519</v>
      </c>
      <c r="F2557" s="2">
        <f>+J2557-I2557</f>
        <v>30</v>
      </c>
      <c r="G2557" s="2">
        <f ca="1">+TODAY()-I2557</f>
        <v>1470</v>
      </c>
      <c r="H2557" s="15">
        <v>5743865</v>
      </c>
      <c r="I2557" s="1">
        <v>44650</v>
      </c>
      <c r="J2557" s="1">
        <v>44680</v>
      </c>
      <c r="K2557" s="18" t="s">
        <v>343</v>
      </c>
      <c r="L2557" s="18" t="s">
        <v>18</v>
      </c>
      <c r="M2557" s="18" t="s">
        <v>19</v>
      </c>
      <c r="N2557" s="18" t="s">
        <v>20</v>
      </c>
      <c r="O2557">
        <v>30</v>
      </c>
    </row>
    <row r="2558" spans="1:15" x14ac:dyDescent="0.25">
      <c r="A2558" s="18" t="s">
        <v>7276</v>
      </c>
      <c r="B2558" s="18" t="s">
        <v>13</v>
      </c>
      <c r="C2558" s="18" t="s">
        <v>14</v>
      </c>
      <c r="D2558" s="18" t="s">
        <v>15</v>
      </c>
      <c r="E2558" s="18" t="s">
        <v>520</v>
      </c>
      <c r="F2558" s="2">
        <f>+J2558-I2558</f>
        <v>30</v>
      </c>
      <c r="G2558" s="2">
        <f ca="1">+TODAY()-I2558</f>
        <v>1470</v>
      </c>
      <c r="H2558" s="15">
        <v>2421568</v>
      </c>
      <c r="I2558" s="1">
        <v>44650</v>
      </c>
      <c r="J2558" s="1">
        <v>44680</v>
      </c>
      <c r="K2558" s="18" t="s">
        <v>343</v>
      </c>
      <c r="L2558" s="18" t="s">
        <v>18</v>
      </c>
      <c r="M2558" s="18" t="s">
        <v>19</v>
      </c>
      <c r="N2558" s="18" t="s">
        <v>20</v>
      </c>
      <c r="O2558">
        <v>30</v>
      </c>
    </row>
    <row r="2559" spans="1:15" x14ac:dyDescent="0.25">
      <c r="A2559" s="18" t="s">
        <v>7276</v>
      </c>
      <c r="B2559" s="18" t="s">
        <v>13</v>
      </c>
      <c r="C2559" s="18" t="s">
        <v>14</v>
      </c>
      <c r="D2559" s="18" t="s">
        <v>15</v>
      </c>
      <c r="E2559" s="18" t="s">
        <v>521</v>
      </c>
      <c r="F2559" s="2">
        <f>+J2559-I2559</f>
        <v>30</v>
      </c>
      <c r="G2559" s="2">
        <f ca="1">+TODAY()-I2559</f>
        <v>1470</v>
      </c>
      <c r="H2559" s="15">
        <v>1635057</v>
      </c>
      <c r="I2559" s="1">
        <v>44650</v>
      </c>
      <c r="J2559" s="1">
        <v>44680</v>
      </c>
      <c r="K2559" s="18" t="s">
        <v>343</v>
      </c>
      <c r="L2559" s="18" t="s">
        <v>18</v>
      </c>
      <c r="M2559" s="18" t="s">
        <v>19</v>
      </c>
      <c r="N2559" s="18" t="s">
        <v>20</v>
      </c>
      <c r="O2559">
        <v>30</v>
      </c>
    </row>
    <row r="2560" spans="1:15" x14ac:dyDescent="0.25">
      <c r="A2560" s="18" t="s">
        <v>7276</v>
      </c>
      <c r="B2560" s="18" t="s">
        <v>13</v>
      </c>
      <c r="C2560" s="18" t="s">
        <v>14</v>
      </c>
      <c r="D2560" s="18" t="s">
        <v>15</v>
      </c>
      <c r="E2560" s="18" t="s">
        <v>522</v>
      </c>
      <c r="F2560" s="2">
        <f>+J2560-I2560</f>
        <v>30</v>
      </c>
      <c r="G2560" s="2">
        <f ca="1">+TODAY()-I2560</f>
        <v>1470</v>
      </c>
      <c r="H2560" s="15">
        <v>2679563</v>
      </c>
      <c r="I2560" s="1">
        <v>44650</v>
      </c>
      <c r="J2560" s="1">
        <v>44680</v>
      </c>
      <c r="K2560" s="18" t="s">
        <v>343</v>
      </c>
      <c r="L2560" s="18" t="s">
        <v>18</v>
      </c>
      <c r="M2560" s="18" t="s">
        <v>19</v>
      </c>
      <c r="N2560" s="18" t="s">
        <v>20</v>
      </c>
      <c r="O2560">
        <v>30</v>
      </c>
    </row>
    <row r="2561" spans="1:15" x14ac:dyDescent="0.25">
      <c r="A2561" s="18" t="s">
        <v>7276</v>
      </c>
      <c r="B2561" s="18" t="s">
        <v>13</v>
      </c>
      <c r="C2561" s="18" t="s">
        <v>14</v>
      </c>
      <c r="D2561" s="18" t="s">
        <v>15</v>
      </c>
      <c r="E2561" s="18" t="s">
        <v>523</v>
      </c>
      <c r="F2561" s="2">
        <f>+J2561-I2561</f>
        <v>30</v>
      </c>
      <c r="G2561" s="2">
        <f ca="1">+TODAY()-I2561</f>
        <v>1470</v>
      </c>
      <c r="H2561" s="15">
        <v>2018856</v>
      </c>
      <c r="I2561" s="1">
        <v>44650</v>
      </c>
      <c r="J2561" s="1">
        <v>44680</v>
      </c>
      <c r="K2561" s="18" t="s">
        <v>343</v>
      </c>
      <c r="L2561" s="18" t="s">
        <v>47</v>
      </c>
      <c r="M2561" s="18" t="s">
        <v>19</v>
      </c>
      <c r="N2561" s="18" t="s">
        <v>20</v>
      </c>
      <c r="O2561">
        <v>30</v>
      </c>
    </row>
    <row r="2562" spans="1:15" x14ac:dyDescent="0.25">
      <c r="A2562" s="18" t="s">
        <v>7276</v>
      </c>
      <c r="B2562" s="18" t="s">
        <v>13</v>
      </c>
      <c r="C2562" s="18" t="s">
        <v>14</v>
      </c>
      <c r="D2562" s="18" t="s">
        <v>15</v>
      </c>
      <c r="E2562" s="18" t="s">
        <v>524</v>
      </c>
      <c r="F2562" s="2">
        <f>+J2562-I2562</f>
        <v>30</v>
      </c>
      <c r="G2562" s="2">
        <f ca="1">+TODAY()-I2562</f>
        <v>1457</v>
      </c>
      <c r="H2562" s="15">
        <v>7130290</v>
      </c>
      <c r="I2562" s="1">
        <v>44663</v>
      </c>
      <c r="J2562" s="1">
        <v>44693</v>
      </c>
      <c r="K2562" s="18" t="s">
        <v>343</v>
      </c>
      <c r="L2562" s="18" t="s">
        <v>18</v>
      </c>
      <c r="M2562" s="18" t="s">
        <v>19</v>
      </c>
      <c r="N2562" s="18" t="s">
        <v>20</v>
      </c>
      <c r="O2562">
        <v>30</v>
      </c>
    </row>
    <row r="2563" spans="1:15" x14ac:dyDescent="0.25">
      <c r="A2563" s="18" t="s">
        <v>7276</v>
      </c>
      <c r="B2563" s="18" t="s">
        <v>13</v>
      </c>
      <c r="C2563" s="18" t="s">
        <v>14</v>
      </c>
      <c r="D2563" s="18" t="s">
        <v>15</v>
      </c>
      <c r="E2563" s="18" t="s">
        <v>525</v>
      </c>
      <c r="F2563" s="2">
        <f>+J2563-I2563</f>
        <v>30</v>
      </c>
      <c r="G2563" s="2">
        <f ca="1">+TODAY()-I2563</f>
        <v>1457</v>
      </c>
      <c r="H2563" s="15">
        <v>4103000</v>
      </c>
      <c r="I2563" s="1">
        <v>44663</v>
      </c>
      <c r="J2563" s="1">
        <v>44693</v>
      </c>
      <c r="K2563" s="18" t="s">
        <v>343</v>
      </c>
      <c r="L2563" s="18" t="s">
        <v>18</v>
      </c>
      <c r="M2563" s="18" t="s">
        <v>19</v>
      </c>
      <c r="N2563" s="18" t="s">
        <v>20</v>
      </c>
      <c r="O2563">
        <v>30</v>
      </c>
    </row>
    <row r="2564" spans="1:15" x14ac:dyDescent="0.25">
      <c r="A2564" s="18" t="s">
        <v>7276</v>
      </c>
      <c r="B2564" s="18" t="s">
        <v>13</v>
      </c>
      <c r="C2564" s="18" t="s">
        <v>14</v>
      </c>
      <c r="D2564" s="18" t="s">
        <v>15</v>
      </c>
      <c r="E2564" s="18" t="s">
        <v>526</v>
      </c>
      <c r="F2564" s="2">
        <f>+J2564-I2564</f>
        <v>30</v>
      </c>
      <c r="G2564" s="2">
        <f ca="1">+TODAY()-I2564</f>
        <v>1457</v>
      </c>
      <c r="H2564" s="15">
        <v>1763630</v>
      </c>
      <c r="I2564" s="1">
        <v>44663</v>
      </c>
      <c r="J2564" s="1">
        <v>44693</v>
      </c>
      <c r="K2564" s="18" t="s">
        <v>343</v>
      </c>
      <c r="L2564" s="18" t="s">
        <v>18</v>
      </c>
      <c r="M2564" s="18" t="s">
        <v>19</v>
      </c>
      <c r="N2564" s="18" t="s">
        <v>20</v>
      </c>
      <c r="O2564">
        <v>30</v>
      </c>
    </row>
    <row r="2565" spans="1:15" x14ac:dyDescent="0.25">
      <c r="A2565" s="18" t="s">
        <v>7276</v>
      </c>
      <c r="B2565" s="18" t="s">
        <v>13</v>
      </c>
      <c r="C2565" s="18" t="s">
        <v>14</v>
      </c>
      <c r="D2565" s="18" t="s">
        <v>15</v>
      </c>
      <c r="E2565" s="18" t="s">
        <v>527</v>
      </c>
      <c r="F2565" s="2">
        <f>+J2565-I2565</f>
        <v>30</v>
      </c>
      <c r="G2565" s="2">
        <f ca="1">+TODAY()-I2565</f>
        <v>1457</v>
      </c>
      <c r="H2565" s="15">
        <v>7407652</v>
      </c>
      <c r="I2565" s="1">
        <v>44663</v>
      </c>
      <c r="J2565" s="1">
        <v>44693</v>
      </c>
      <c r="K2565" s="18" t="s">
        <v>343</v>
      </c>
      <c r="L2565" s="18" t="s">
        <v>18</v>
      </c>
      <c r="M2565" s="18" t="s">
        <v>19</v>
      </c>
      <c r="N2565" s="18" t="s">
        <v>20</v>
      </c>
      <c r="O2565">
        <v>30</v>
      </c>
    </row>
    <row r="2566" spans="1:15" x14ac:dyDescent="0.25">
      <c r="A2566" s="18" t="s">
        <v>7276</v>
      </c>
      <c r="B2566" s="18" t="s">
        <v>13</v>
      </c>
      <c r="C2566" s="18" t="s">
        <v>14</v>
      </c>
      <c r="D2566" s="18" t="s">
        <v>15</v>
      </c>
      <c r="E2566" s="18" t="s">
        <v>528</v>
      </c>
      <c r="F2566" s="2">
        <f>+J2566-I2566</f>
        <v>30</v>
      </c>
      <c r="G2566" s="2">
        <f ca="1">+TODAY()-I2566</f>
        <v>1457</v>
      </c>
      <c r="H2566" s="15">
        <v>16157327</v>
      </c>
      <c r="I2566" s="1">
        <v>44663</v>
      </c>
      <c r="J2566" s="1">
        <v>44693</v>
      </c>
      <c r="K2566" s="18" t="s">
        <v>343</v>
      </c>
      <c r="L2566" s="18" t="s">
        <v>18</v>
      </c>
      <c r="M2566" s="18" t="s">
        <v>19</v>
      </c>
      <c r="N2566" s="18" t="s">
        <v>20</v>
      </c>
      <c r="O2566">
        <v>30</v>
      </c>
    </row>
    <row r="2567" spans="1:15" x14ac:dyDescent="0.25">
      <c r="A2567" s="18" t="s">
        <v>7276</v>
      </c>
      <c r="B2567" s="18" t="s">
        <v>13</v>
      </c>
      <c r="C2567" s="18" t="s">
        <v>14</v>
      </c>
      <c r="D2567" s="18" t="s">
        <v>15</v>
      </c>
      <c r="E2567" s="18" t="s">
        <v>529</v>
      </c>
      <c r="F2567" s="2">
        <f>+J2567-I2567</f>
        <v>30</v>
      </c>
      <c r="G2567" s="2">
        <f ca="1">+TODAY()-I2567</f>
        <v>1457</v>
      </c>
      <c r="H2567" s="15">
        <v>1426305</v>
      </c>
      <c r="I2567" s="1">
        <v>44663</v>
      </c>
      <c r="J2567" s="1">
        <v>44693</v>
      </c>
      <c r="K2567" s="18" t="s">
        <v>343</v>
      </c>
      <c r="L2567" s="18" t="s">
        <v>18</v>
      </c>
      <c r="M2567" s="18" t="s">
        <v>19</v>
      </c>
      <c r="N2567" s="18" t="s">
        <v>20</v>
      </c>
      <c r="O2567">
        <v>30</v>
      </c>
    </row>
    <row r="2568" spans="1:15" x14ac:dyDescent="0.25">
      <c r="A2568" s="18" t="s">
        <v>7276</v>
      </c>
      <c r="B2568" s="18" t="s">
        <v>13</v>
      </c>
      <c r="C2568" s="18" t="s">
        <v>14</v>
      </c>
      <c r="D2568" s="18" t="s">
        <v>15</v>
      </c>
      <c r="E2568" s="18" t="s">
        <v>530</v>
      </c>
      <c r="F2568" s="2">
        <f>+J2568-I2568</f>
        <v>30</v>
      </c>
      <c r="G2568" s="2">
        <f ca="1">+TODAY()-I2568</f>
        <v>1442</v>
      </c>
      <c r="H2568" s="15">
        <v>2828011</v>
      </c>
      <c r="I2568" s="1">
        <v>44678</v>
      </c>
      <c r="J2568" s="1">
        <v>44708</v>
      </c>
      <c r="K2568" s="18" t="s">
        <v>343</v>
      </c>
      <c r="L2568" s="18" t="s">
        <v>18</v>
      </c>
      <c r="M2568" s="18" t="s">
        <v>19</v>
      </c>
      <c r="N2568" s="18" t="s">
        <v>20</v>
      </c>
      <c r="O2568">
        <v>30</v>
      </c>
    </row>
    <row r="2569" spans="1:15" x14ac:dyDescent="0.25">
      <c r="A2569" s="18" t="s">
        <v>7276</v>
      </c>
      <c r="B2569" s="18" t="s">
        <v>13</v>
      </c>
      <c r="C2569" s="18" t="s">
        <v>14</v>
      </c>
      <c r="D2569" s="18" t="s">
        <v>15</v>
      </c>
      <c r="E2569" s="18" t="s">
        <v>531</v>
      </c>
      <c r="F2569" s="2">
        <f>+J2569-I2569</f>
        <v>30</v>
      </c>
      <c r="G2569" s="2">
        <f ca="1">+TODAY()-I2569</f>
        <v>1442</v>
      </c>
      <c r="H2569" s="15">
        <v>3727000</v>
      </c>
      <c r="I2569" s="1">
        <v>44678</v>
      </c>
      <c r="J2569" s="1">
        <v>44708</v>
      </c>
      <c r="K2569" s="18" t="s">
        <v>343</v>
      </c>
      <c r="L2569" s="18" t="s">
        <v>18</v>
      </c>
      <c r="M2569" s="18" t="s">
        <v>19</v>
      </c>
      <c r="N2569" s="18" t="s">
        <v>20</v>
      </c>
      <c r="O2569">
        <v>30</v>
      </c>
    </row>
    <row r="2570" spans="1:15" x14ac:dyDescent="0.25">
      <c r="A2570" s="18" t="s">
        <v>7276</v>
      </c>
      <c r="B2570" s="18" t="s">
        <v>13</v>
      </c>
      <c r="C2570" s="18" t="s">
        <v>14</v>
      </c>
      <c r="D2570" s="18" t="s">
        <v>15</v>
      </c>
      <c r="E2570" s="18" t="s">
        <v>532</v>
      </c>
      <c r="F2570" s="2">
        <f>+J2570-I2570</f>
        <v>30</v>
      </c>
      <c r="G2570" s="2">
        <f ca="1">+TODAY()-I2570</f>
        <v>1442</v>
      </c>
      <c r="H2570" s="15">
        <v>4982382</v>
      </c>
      <c r="I2570" s="1">
        <v>44678</v>
      </c>
      <c r="J2570" s="1">
        <v>44708</v>
      </c>
      <c r="K2570" s="18" t="s">
        <v>343</v>
      </c>
      <c r="L2570" s="18" t="s">
        <v>18</v>
      </c>
      <c r="M2570" s="18" t="s">
        <v>19</v>
      </c>
      <c r="N2570" s="18" t="s">
        <v>20</v>
      </c>
      <c r="O2570">
        <v>30</v>
      </c>
    </row>
    <row r="2571" spans="1:15" x14ac:dyDescent="0.25">
      <c r="A2571" s="18" t="s">
        <v>7276</v>
      </c>
      <c r="B2571" s="18" t="s">
        <v>13</v>
      </c>
      <c r="C2571" s="18" t="s">
        <v>14</v>
      </c>
      <c r="D2571" s="18" t="s">
        <v>15</v>
      </c>
      <c r="E2571" s="18" t="s">
        <v>533</v>
      </c>
      <c r="F2571" s="2">
        <f>+J2571-I2571</f>
        <v>30</v>
      </c>
      <c r="G2571" s="2">
        <f ca="1">+TODAY()-I2571</f>
        <v>1442</v>
      </c>
      <c r="H2571" s="15">
        <v>2319807</v>
      </c>
      <c r="I2571" s="1">
        <v>44678</v>
      </c>
      <c r="J2571" s="1">
        <v>44708</v>
      </c>
      <c r="K2571" s="18" t="s">
        <v>343</v>
      </c>
      <c r="L2571" s="18" t="s">
        <v>18</v>
      </c>
      <c r="M2571" s="18" t="s">
        <v>19</v>
      </c>
      <c r="N2571" s="18" t="s">
        <v>20</v>
      </c>
      <c r="O2571">
        <v>30</v>
      </c>
    </row>
    <row r="2572" spans="1:15" x14ac:dyDescent="0.25">
      <c r="A2572" s="18" t="s">
        <v>7276</v>
      </c>
      <c r="B2572" s="18" t="s">
        <v>13</v>
      </c>
      <c r="C2572" s="18" t="s">
        <v>14</v>
      </c>
      <c r="D2572" s="18" t="s">
        <v>15</v>
      </c>
      <c r="E2572" s="18" t="s">
        <v>534</v>
      </c>
      <c r="F2572" s="2">
        <f>+J2572-I2572</f>
        <v>30</v>
      </c>
      <c r="G2572" s="2">
        <f ca="1">+TODAY()-I2572</f>
        <v>1442</v>
      </c>
      <c r="H2572" s="15">
        <v>176115</v>
      </c>
      <c r="I2572" s="1">
        <v>44678</v>
      </c>
      <c r="J2572" s="1">
        <v>44708</v>
      </c>
      <c r="K2572" s="18" t="s">
        <v>343</v>
      </c>
      <c r="L2572" s="18" t="s">
        <v>18</v>
      </c>
      <c r="M2572" s="18" t="s">
        <v>19</v>
      </c>
      <c r="N2572" s="18" t="s">
        <v>20</v>
      </c>
      <c r="O2572">
        <v>30</v>
      </c>
    </row>
    <row r="2573" spans="1:15" x14ac:dyDescent="0.25">
      <c r="A2573" s="18" t="s">
        <v>7276</v>
      </c>
      <c r="B2573" s="18" t="s">
        <v>13</v>
      </c>
      <c r="C2573" s="18" t="s">
        <v>14</v>
      </c>
      <c r="D2573" s="18" t="s">
        <v>15</v>
      </c>
      <c r="E2573" s="18" t="s">
        <v>535</v>
      </c>
      <c r="F2573" s="2">
        <f>+J2573-I2573</f>
        <v>30</v>
      </c>
      <c r="G2573" s="2">
        <f ca="1">+TODAY()-I2573</f>
        <v>1442</v>
      </c>
      <c r="H2573" s="15">
        <v>206427</v>
      </c>
      <c r="I2573" s="1">
        <v>44678</v>
      </c>
      <c r="J2573" s="1">
        <v>44708</v>
      </c>
      <c r="K2573" s="18" t="s">
        <v>343</v>
      </c>
      <c r="L2573" s="18" t="s">
        <v>18</v>
      </c>
      <c r="M2573" s="18" t="s">
        <v>19</v>
      </c>
      <c r="N2573" s="18" t="s">
        <v>20</v>
      </c>
      <c r="O2573">
        <v>30</v>
      </c>
    </row>
    <row r="2574" spans="1:15" x14ac:dyDescent="0.25">
      <c r="A2574" s="18" t="s">
        <v>7276</v>
      </c>
      <c r="B2574" s="18" t="s">
        <v>13</v>
      </c>
      <c r="C2574" s="18" t="s">
        <v>14</v>
      </c>
      <c r="D2574" s="18" t="s">
        <v>15</v>
      </c>
      <c r="E2574" s="18" t="s">
        <v>536</v>
      </c>
      <c r="F2574" s="2">
        <f>+J2574-I2574</f>
        <v>30</v>
      </c>
      <c r="G2574" s="2">
        <f ca="1">+TODAY()-I2574</f>
        <v>1441</v>
      </c>
      <c r="H2574" s="15">
        <v>146066</v>
      </c>
      <c r="I2574" s="1">
        <v>44679</v>
      </c>
      <c r="J2574" s="1">
        <v>44709</v>
      </c>
      <c r="K2574" s="18" t="s">
        <v>343</v>
      </c>
      <c r="L2574" s="18" t="s">
        <v>18</v>
      </c>
      <c r="M2574" s="18" t="s">
        <v>19</v>
      </c>
      <c r="N2574" s="18" t="s">
        <v>20</v>
      </c>
      <c r="O2574">
        <v>30</v>
      </c>
    </row>
    <row r="2575" spans="1:15" x14ac:dyDescent="0.25">
      <c r="A2575" s="18" t="s">
        <v>7276</v>
      </c>
      <c r="B2575" s="18" t="s">
        <v>13</v>
      </c>
      <c r="C2575" s="18" t="s">
        <v>14</v>
      </c>
      <c r="D2575" s="18" t="s">
        <v>15</v>
      </c>
      <c r="E2575" s="18" t="s">
        <v>537</v>
      </c>
      <c r="F2575" s="2">
        <f>+J2575-I2575</f>
        <v>30</v>
      </c>
      <c r="G2575" s="2">
        <f ca="1">+TODAY()-I2575</f>
        <v>1428</v>
      </c>
      <c r="H2575" s="15">
        <v>9877138</v>
      </c>
      <c r="I2575" s="1">
        <v>44692</v>
      </c>
      <c r="J2575" s="1">
        <v>44722</v>
      </c>
      <c r="K2575" s="18" t="s">
        <v>343</v>
      </c>
      <c r="L2575" s="18" t="s">
        <v>18</v>
      </c>
      <c r="M2575" s="18" t="s">
        <v>19</v>
      </c>
      <c r="N2575" s="18" t="s">
        <v>20</v>
      </c>
      <c r="O2575">
        <v>30</v>
      </c>
    </row>
    <row r="2576" spans="1:15" x14ac:dyDescent="0.25">
      <c r="A2576" s="18" t="s">
        <v>7276</v>
      </c>
      <c r="B2576" s="18" t="s">
        <v>13</v>
      </c>
      <c r="C2576" s="18" t="s">
        <v>14</v>
      </c>
      <c r="D2576" s="18" t="s">
        <v>15</v>
      </c>
      <c r="E2576" s="18" t="s">
        <v>538</v>
      </c>
      <c r="F2576" s="2">
        <f>+J2576-I2576</f>
        <v>30</v>
      </c>
      <c r="G2576" s="2">
        <f ca="1">+TODAY()-I2576</f>
        <v>1428</v>
      </c>
      <c r="H2576" s="15">
        <v>2505070</v>
      </c>
      <c r="I2576" s="1">
        <v>44692</v>
      </c>
      <c r="J2576" s="1">
        <v>44722</v>
      </c>
      <c r="K2576" s="18" t="s">
        <v>343</v>
      </c>
      <c r="L2576" s="18" t="s">
        <v>18</v>
      </c>
      <c r="M2576" s="18" t="s">
        <v>19</v>
      </c>
      <c r="N2576" s="18" t="s">
        <v>20</v>
      </c>
      <c r="O2576">
        <v>30</v>
      </c>
    </row>
    <row r="2577" spans="1:15" x14ac:dyDescent="0.25">
      <c r="A2577" s="18" t="s">
        <v>7276</v>
      </c>
      <c r="B2577" s="18" t="s">
        <v>13</v>
      </c>
      <c r="C2577" s="18" t="s">
        <v>14</v>
      </c>
      <c r="D2577" s="18" t="s">
        <v>15</v>
      </c>
      <c r="E2577" s="18" t="s">
        <v>539</v>
      </c>
      <c r="F2577" s="2">
        <f>+J2577-I2577</f>
        <v>30</v>
      </c>
      <c r="G2577" s="2">
        <f ca="1">+TODAY()-I2577</f>
        <v>1428</v>
      </c>
      <c r="H2577" s="15">
        <v>5259291</v>
      </c>
      <c r="I2577" s="1">
        <v>44692</v>
      </c>
      <c r="J2577" s="1">
        <v>44722</v>
      </c>
      <c r="K2577" s="18" t="s">
        <v>343</v>
      </c>
      <c r="L2577" s="18" t="s">
        <v>18</v>
      </c>
      <c r="M2577" s="18" t="s">
        <v>19</v>
      </c>
      <c r="N2577" s="18" t="s">
        <v>20</v>
      </c>
      <c r="O2577">
        <v>30</v>
      </c>
    </row>
    <row r="2578" spans="1:15" x14ac:dyDescent="0.25">
      <c r="A2578" s="18" t="s">
        <v>7276</v>
      </c>
      <c r="B2578" s="18" t="s">
        <v>13</v>
      </c>
      <c r="C2578" s="18" t="s">
        <v>14</v>
      </c>
      <c r="D2578" s="18" t="s">
        <v>15</v>
      </c>
      <c r="E2578" s="18" t="s">
        <v>540</v>
      </c>
      <c r="F2578" s="2">
        <f>+J2578-I2578</f>
        <v>30</v>
      </c>
      <c r="G2578" s="2">
        <f ca="1">+TODAY()-I2578</f>
        <v>1428</v>
      </c>
      <c r="H2578" s="15">
        <v>2395473</v>
      </c>
      <c r="I2578" s="1">
        <v>44692</v>
      </c>
      <c r="J2578" s="1">
        <v>44722</v>
      </c>
      <c r="K2578" s="18" t="s">
        <v>343</v>
      </c>
      <c r="L2578" s="18" t="s">
        <v>18</v>
      </c>
      <c r="M2578" s="18" t="s">
        <v>19</v>
      </c>
      <c r="N2578" s="18" t="s">
        <v>20</v>
      </c>
      <c r="O2578">
        <v>30</v>
      </c>
    </row>
    <row r="2579" spans="1:15" x14ac:dyDescent="0.25">
      <c r="A2579" s="18" t="s">
        <v>7276</v>
      </c>
      <c r="B2579" s="18" t="s">
        <v>13</v>
      </c>
      <c r="C2579" s="18" t="s">
        <v>14</v>
      </c>
      <c r="D2579" s="18" t="s">
        <v>15</v>
      </c>
      <c r="E2579" s="18" t="s">
        <v>541</v>
      </c>
      <c r="F2579" s="2">
        <f>+J2579-I2579</f>
        <v>30</v>
      </c>
      <c r="G2579" s="2">
        <f ca="1">+TODAY()-I2579</f>
        <v>1428</v>
      </c>
      <c r="H2579" s="15">
        <v>1619948</v>
      </c>
      <c r="I2579" s="1">
        <v>44692</v>
      </c>
      <c r="J2579" s="1">
        <v>44722</v>
      </c>
      <c r="K2579" s="18" t="s">
        <v>343</v>
      </c>
      <c r="L2579" s="18" t="s">
        <v>47</v>
      </c>
      <c r="M2579" s="18" t="s">
        <v>19</v>
      </c>
      <c r="N2579" s="18" t="s">
        <v>20</v>
      </c>
      <c r="O2579">
        <v>30</v>
      </c>
    </row>
    <row r="2580" spans="1:15" x14ac:dyDescent="0.25">
      <c r="A2580" s="18" t="s">
        <v>7276</v>
      </c>
      <c r="B2580" s="18" t="s">
        <v>13</v>
      </c>
      <c r="C2580" s="18" t="s">
        <v>14</v>
      </c>
      <c r="D2580" s="18" t="s">
        <v>15</v>
      </c>
      <c r="E2580" s="18" t="s">
        <v>542</v>
      </c>
      <c r="F2580" s="2">
        <f>+J2580-I2580</f>
        <v>30</v>
      </c>
      <c r="G2580" s="2">
        <f ca="1">+TODAY()-I2580</f>
        <v>1428</v>
      </c>
      <c r="H2580" s="15">
        <v>708396</v>
      </c>
      <c r="I2580" s="1">
        <v>44692</v>
      </c>
      <c r="J2580" s="1">
        <v>44722</v>
      </c>
      <c r="K2580" s="18" t="s">
        <v>343</v>
      </c>
      <c r="L2580" s="18" t="s">
        <v>18</v>
      </c>
      <c r="M2580" s="18" t="s">
        <v>19</v>
      </c>
      <c r="N2580" s="18" t="s">
        <v>20</v>
      </c>
      <c r="O2580">
        <v>30</v>
      </c>
    </row>
    <row r="2581" spans="1:15" x14ac:dyDescent="0.25">
      <c r="A2581" s="18" t="s">
        <v>7276</v>
      </c>
      <c r="B2581" s="18" t="s">
        <v>13</v>
      </c>
      <c r="C2581" s="18" t="s">
        <v>14</v>
      </c>
      <c r="D2581" s="18" t="s">
        <v>15</v>
      </c>
      <c r="E2581" s="18" t="s">
        <v>543</v>
      </c>
      <c r="F2581" s="2">
        <f>+J2581-I2581</f>
        <v>30</v>
      </c>
      <c r="G2581" s="2">
        <f ca="1">+TODAY()-I2581</f>
        <v>1425</v>
      </c>
      <c r="H2581" s="15">
        <v>4519000</v>
      </c>
      <c r="I2581" s="1">
        <v>44695</v>
      </c>
      <c r="J2581" s="1">
        <v>44725</v>
      </c>
      <c r="K2581" s="18" t="s">
        <v>343</v>
      </c>
      <c r="L2581" s="18" t="s">
        <v>18</v>
      </c>
      <c r="M2581" s="18" t="s">
        <v>19</v>
      </c>
      <c r="N2581" s="18" t="s">
        <v>20</v>
      </c>
      <c r="O2581">
        <v>30</v>
      </c>
    </row>
    <row r="2582" spans="1:15" x14ac:dyDescent="0.25">
      <c r="A2582" s="18" t="s">
        <v>7276</v>
      </c>
      <c r="B2582" s="18" t="s">
        <v>13</v>
      </c>
      <c r="C2582" s="18" t="s">
        <v>14</v>
      </c>
      <c r="D2582" s="18" t="s">
        <v>15</v>
      </c>
      <c r="E2582" s="18" t="s">
        <v>544</v>
      </c>
      <c r="F2582" s="2">
        <f>+J2582-I2582</f>
        <v>30</v>
      </c>
      <c r="G2582" s="2">
        <f ca="1">+TODAY()-I2582</f>
        <v>1422</v>
      </c>
      <c r="H2582" s="15">
        <v>6582576</v>
      </c>
      <c r="I2582" s="1">
        <v>44698</v>
      </c>
      <c r="J2582" s="1">
        <v>44728</v>
      </c>
      <c r="K2582" s="18" t="s">
        <v>343</v>
      </c>
      <c r="L2582" s="18" t="s">
        <v>18</v>
      </c>
      <c r="M2582" s="18" t="s">
        <v>19</v>
      </c>
      <c r="N2582" s="18" t="s">
        <v>20</v>
      </c>
      <c r="O2582">
        <v>30</v>
      </c>
    </row>
    <row r="2583" spans="1:15" x14ac:dyDescent="0.25">
      <c r="A2583" s="18" t="s">
        <v>7276</v>
      </c>
      <c r="B2583" s="18" t="s">
        <v>13</v>
      </c>
      <c r="C2583" s="18" t="s">
        <v>14</v>
      </c>
      <c r="D2583" s="18" t="s">
        <v>15</v>
      </c>
      <c r="E2583" s="18" t="s">
        <v>545</v>
      </c>
      <c r="F2583" s="2">
        <f>+J2583-I2583</f>
        <v>30</v>
      </c>
      <c r="G2583" s="2">
        <f ca="1">+TODAY()-I2583</f>
        <v>1415</v>
      </c>
      <c r="H2583" s="15">
        <v>4835925</v>
      </c>
      <c r="I2583" s="1">
        <v>44705</v>
      </c>
      <c r="J2583" s="1">
        <v>44735</v>
      </c>
      <c r="K2583" s="18" t="s">
        <v>343</v>
      </c>
      <c r="L2583" s="18" t="s">
        <v>18</v>
      </c>
      <c r="M2583" s="18" t="s">
        <v>19</v>
      </c>
      <c r="N2583" s="18" t="s">
        <v>20</v>
      </c>
      <c r="O2583">
        <v>30</v>
      </c>
    </row>
    <row r="2584" spans="1:15" x14ac:dyDescent="0.25">
      <c r="A2584" s="18" t="s">
        <v>7276</v>
      </c>
      <c r="B2584" s="18" t="s">
        <v>13</v>
      </c>
      <c r="C2584" s="18" t="s">
        <v>14</v>
      </c>
      <c r="D2584" s="18" t="s">
        <v>15</v>
      </c>
      <c r="E2584" s="18" t="s">
        <v>546</v>
      </c>
      <c r="F2584" s="2">
        <f>+J2584-I2584</f>
        <v>30</v>
      </c>
      <c r="G2584" s="2">
        <f ca="1">+TODAY()-I2584</f>
        <v>1415</v>
      </c>
      <c r="H2584" s="15">
        <v>2681000</v>
      </c>
      <c r="I2584" s="1">
        <v>44705</v>
      </c>
      <c r="J2584" s="1">
        <v>44735</v>
      </c>
      <c r="K2584" s="18" t="s">
        <v>343</v>
      </c>
      <c r="L2584" s="18" t="s">
        <v>18</v>
      </c>
      <c r="M2584" s="18" t="s">
        <v>19</v>
      </c>
      <c r="N2584" s="18" t="s">
        <v>20</v>
      </c>
      <c r="O2584">
        <v>30</v>
      </c>
    </row>
    <row r="2585" spans="1:15" x14ac:dyDescent="0.25">
      <c r="A2585" s="18" t="s">
        <v>7276</v>
      </c>
      <c r="B2585" s="18" t="s">
        <v>13</v>
      </c>
      <c r="C2585" s="18" t="s">
        <v>14</v>
      </c>
      <c r="D2585" s="18" t="s">
        <v>15</v>
      </c>
      <c r="E2585" s="18" t="s">
        <v>547</v>
      </c>
      <c r="F2585" s="2">
        <f>+J2585-I2585</f>
        <v>30</v>
      </c>
      <c r="G2585" s="2">
        <f ca="1">+TODAY()-I2585</f>
        <v>1415</v>
      </c>
      <c r="H2585" s="15">
        <v>4235227</v>
      </c>
      <c r="I2585" s="1">
        <v>44705</v>
      </c>
      <c r="J2585" s="1">
        <v>44735</v>
      </c>
      <c r="K2585" s="18" t="s">
        <v>343</v>
      </c>
      <c r="L2585" s="18" t="s">
        <v>18</v>
      </c>
      <c r="M2585" s="18" t="s">
        <v>19</v>
      </c>
      <c r="N2585" s="18" t="s">
        <v>20</v>
      </c>
      <c r="O2585">
        <v>30</v>
      </c>
    </row>
    <row r="2586" spans="1:15" x14ac:dyDescent="0.25">
      <c r="A2586" s="18" t="s">
        <v>7276</v>
      </c>
      <c r="B2586" s="18" t="s">
        <v>13</v>
      </c>
      <c r="C2586" s="18" t="s">
        <v>14</v>
      </c>
      <c r="D2586" s="18" t="s">
        <v>15</v>
      </c>
      <c r="E2586" s="18" t="s">
        <v>548</v>
      </c>
      <c r="F2586" s="2">
        <f>+J2586-I2586</f>
        <v>30</v>
      </c>
      <c r="G2586" s="2">
        <f ca="1">+TODAY()-I2586</f>
        <v>1415</v>
      </c>
      <c r="H2586" s="15">
        <v>1488252</v>
      </c>
      <c r="I2586" s="1">
        <v>44705</v>
      </c>
      <c r="J2586" s="1">
        <v>44735</v>
      </c>
      <c r="K2586" s="18" t="s">
        <v>343</v>
      </c>
      <c r="L2586" s="18" t="s">
        <v>18</v>
      </c>
      <c r="M2586" s="18" t="s">
        <v>19</v>
      </c>
      <c r="N2586" s="18" t="s">
        <v>20</v>
      </c>
      <c r="O2586">
        <v>30</v>
      </c>
    </row>
    <row r="2587" spans="1:15" x14ac:dyDescent="0.25">
      <c r="A2587" s="18" t="s">
        <v>7276</v>
      </c>
      <c r="B2587" s="18" t="s">
        <v>13</v>
      </c>
      <c r="C2587" s="18" t="s">
        <v>14</v>
      </c>
      <c r="D2587" s="18" t="s">
        <v>15</v>
      </c>
      <c r="E2587" s="18" t="s">
        <v>549</v>
      </c>
      <c r="F2587" s="2">
        <f>+J2587-I2587</f>
        <v>30</v>
      </c>
      <c r="G2587" s="2">
        <f ca="1">+TODAY()-I2587</f>
        <v>1415</v>
      </c>
      <c r="H2587" s="15">
        <v>1069834</v>
      </c>
      <c r="I2587" s="1">
        <v>44705</v>
      </c>
      <c r="J2587" s="1">
        <v>44735</v>
      </c>
      <c r="K2587" s="18" t="s">
        <v>343</v>
      </c>
      <c r="L2587" s="18" t="s">
        <v>18</v>
      </c>
      <c r="M2587" s="18" t="s">
        <v>19</v>
      </c>
      <c r="N2587" s="18" t="s">
        <v>20</v>
      </c>
      <c r="O2587">
        <v>30</v>
      </c>
    </row>
    <row r="2588" spans="1:15" x14ac:dyDescent="0.25">
      <c r="A2588" s="18" t="s">
        <v>7276</v>
      </c>
      <c r="B2588" s="18" t="s">
        <v>13</v>
      </c>
      <c r="C2588" s="18" t="s">
        <v>14</v>
      </c>
      <c r="D2588" s="18" t="s">
        <v>15</v>
      </c>
      <c r="E2588" s="18" t="s">
        <v>550</v>
      </c>
      <c r="F2588" s="2">
        <f>+J2588-I2588</f>
        <v>30</v>
      </c>
      <c r="G2588" s="2">
        <f ca="1">+TODAY()-I2588</f>
        <v>1401</v>
      </c>
      <c r="H2588" s="15">
        <v>6525618</v>
      </c>
      <c r="I2588" s="1">
        <v>44719</v>
      </c>
      <c r="J2588" s="1">
        <v>44749</v>
      </c>
      <c r="K2588" s="18" t="s">
        <v>343</v>
      </c>
      <c r="L2588" s="18" t="s">
        <v>18</v>
      </c>
      <c r="M2588" s="18" t="s">
        <v>19</v>
      </c>
      <c r="N2588" s="18" t="s">
        <v>20</v>
      </c>
      <c r="O2588">
        <v>30</v>
      </c>
    </row>
    <row r="2589" spans="1:15" x14ac:dyDescent="0.25">
      <c r="A2589" s="18" t="s">
        <v>7276</v>
      </c>
      <c r="B2589" s="18" t="s">
        <v>13</v>
      </c>
      <c r="C2589" s="18" t="s">
        <v>14</v>
      </c>
      <c r="D2589" s="18" t="s">
        <v>15</v>
      </c>
      <c r="E2589" s="18" t="s">
        <v>551</v>
      </c>
      <c r="F2589" s="2">
        <f>+J2589-I2589</f>
        <v>30</v>
      </c>
      <c r="G2589" s="2">
        <f ca="1">+TODAY()-I2589</f>
        <v>1401</v>
      </c>
      <c r="H2589" s="15">
        <v>3921200</v>
      </c>
      <c r="I2589" s="1">
        <v>44719</v>
      </c>
      <c r="J2589" s="1">
        <v>44749</v>
      </c>
      <c r="K2589" s="18" t="s">
        <v>343</v>
      </c>
      <c r="L2589" s="18" t="s">
        <v>18</v>
      </c>
      <c r="M2589" s="18" t="s">
        <v>19</v>
      </c>
      <c r="N2589" s="18" t="s">
        <v>20</v>
      </c>
      <c r="O2589">
        <v>30</v>
      </c>
    </row>
    <row r="2590" spans="1:15" x14ac:dyDescent="0.25">
      <c r="A2590" s="18" t="s">
        <v>7276</v>
      </c>
      <c r="B2590" s="18" t="s">
        <v>13</v>
      </c>
      <c r="C2590" s="18" t="s">
        <v>14</v>
      </c>
      <c r="D2590" s="18" t="s">
        <v>15</v>
      </c>
      <c r="E2590" s="18" t="s">
        <v>552</v>
      </c>
      <c r="F2590" s="2">
        <f>+J2590-I2590</f>
        <v>30</v>
      </c>
      <c r="G2590" s="2">
        <f ca="1">+TODAY()-I2590</f>
        <v>1401</v>
      </c>
      <c r="H2590" s="15">
        <v>2315769</v>
      </c>
      <c r="I2590" s="1">
        <v>44719</v>
      </c>
      <c r="J2590" s="1">
        <v>44749</v>
      </c>
      <c r="K2590" s="18" t="s">
        <v>343</v>
      </c>
      <c r="L2590" s="18" t="s">
        <v>18</v>
      </c>
      <c r="M2590" s="18" t="s">
        <v>19</v>
      </c>
      <c r="N2590" s="18" t="s">
        <v>20</v>
      </c>
      <c r="O2590">
        <v>30</v>
      </c>
    </row>
    <row r="2591" spans="1:15" x14ac:dyDescent="0.25">
      <c r="A2591" s="18" t="s">
        <v>7276</v>
      </c>
      <c r="B2591" s="18" t="s">
        <v>13</v>
      </c>
      <c r="C2591" s="18" t="s">
        <v>14</v>
      </c>
      <c r="D2591" s="18" t="s">
        <v>15</v>
      </c>
      <c r="E2591" s="18" t="s">
        <v>553</v>
      </c>
      <c r="F2591" s="2">
        <f>+J2591-I2591</f>
        <v>30</v>
      </c>
      <c r="G2591" s="2">
        <f ca="1">+TODAY()-I2591</f>
        <v>1401</v>
      </c>
      <c r="H2591" s="15">
        <v>4789981</v>
      </c>
      <c r="I2591" s="1">
        <v>44719</v>
      </c>
      <c r="J2591" s="1">
        <v>44749</v>
      </c>
      <c r="K2591" s="18" t="s">
        <v>343</v>
      </c>
      <c r="L2591" s="18" t="s">
        <v>18</v>
      </c>
      <c r="M2591" s="18" t="s">
        <v>19</v>
      </c>
      <c r="N2591" s="18" t="s">
        <v>20</v>
      </c>
      <c r="O2591">
        <v>30</v>
      </c>
    </row>
    <row r="2592" spans="1:15" x14ac:dyDescent="0.25">
      <c r="A2592" s="18" t="s">
        <v>7276</v>
      </c>
      <c r="B2592" s="18" t="s">
        <v>13</v>
      </c>
      <c r="C2592" s="18" t="s">
        <v>14</v>
      </c>
      <c r="D2592" s="18" t="s">
        <v>15</v>
      </c>
      <c r="E2592" s="18" t="s">
        <v>554</v>
      </c>
      <c r="F2592" s="2">
        <f>+J2592-I2592</f>
        <v>30</v>
      </c>
      <c r="G2592" s="2">
        <f ca="1">+TODAY()-I2592</f>
        <v>1401</v>
      </c>
      <c r="H2592" s="15">
        <v>2868259</v>
      </c>
      <c r="I2592" s="1">
        <v>44719</v>
      </c>
      <c r="J2592" s="1">
        <v>44749</v>
      </c>
      <c r="K2592" s="18" t="s">
        <v>343</v>
      </c>
      <c r="L2592" s="18" t="s">
        <v>18</v>
      </c>
      <c r="M2592" s="18" t="s">
        <v>19</v>
      </c>
      <c r="N2592" s="18" t="s">
        <v>20</v>
      </c>
      <c r="O2592">
        <v>30</v>
      </c>
    </row>
    <row r="2593" spans="1:15" x14ac:dyDescent="0.25">
      <c r="A2593" s="18" t="s">
        <v>7276</v>
      </c>
      <c r="B2593" s="18" t="s">
        <v>13</v>
      </c>
      <c r="C2593" s="18" t="s">
        <v>14</v>
      </c>
      <c r="D2593" s="18" t="s">
        <v>15</v>
      </c>
      <c r="E2593" s="18" t="s">
        <v>555</v>
      </c>
      <c r="F2593" s="2">
        <f>+J2593-I2593</f>
        <v>30</v>
      </c>
      <c r="G2593" s="2">
        <f ca="1">+TODAY()-I2593</f>
        <v>1400</v>
      </c>
      <c r="H2593" s="15">
        <v>452332</v>
      </c>
      <c r="I2593" s="1">
        <v>44720</v>
      </c>
      <c r="J2593" s="1">
        <v>44750</v>
      </c>
      <c r="K2593" s="18" t="s">
        <v>343</v>
      </c>
      <c r="L2593" s="18" t="s">
        <v>47</v>
      </c>
      <c r="M2593" s="18" t="s">
        <v>19</v>
      </c>
      <c r="N2593" s="18" t="s">
        <v>20</v>
      </c>
      <c r="O2593">
        <v>30</v>
      </c>
    </row>
    <row r="2594" spans="1:15" x14ac:dyDescent="0.25">
      <c r="A2594" s="18" t="s">
        <v>7276</v>
      </c>
      <c r="B2594" s="18" t="s">
        <v>13</v>
      </c>
      <c r="C2594" s="18" t="s">
        <v>14</v>
      </c>
      <c r="D2594" s="18" t="s">
        <v>15</v>
      </c>
      <c r="E2594" s="18" t="s">
        <v>556</v>
      </c>
      <c r="F2594" s="2">
        <f>+J2594-I2594</f>
        <v>30</v>
      </c>
      <c r="G2594" s="2">
        <f ca="1">+TODAY()-I2594</f>
        <v>1400</v>
      </c>
      <c r="H2594" s="15">
        <v>2255629</v>
      </c>
      <c r="I2594" s="1">
        <v>44720</v>
      </c>
      <c r="J2594" s="1">
        <v>44750</v>
      </c>
      <c r="K2594" s="18" t="s">
        <v>343</v>
      </c>
      <c r="L2594" s="18" t="s">
        <v>18</v>
      </c>
      <c r="M2594" s="18" t="s">
        <v>19</v>
      </c>
      <c r="N2594" s="18" t="s">
        <v>20</v>
      </c>
      <c r="O2594">
        <v>30</v>
      </c>
    </row>
    <row r="2595" spans="1:15" x14ac:dyDescent="0.25">
      <c r="A2595" s="18" t="s">
        <v>7276</v>
      </c>
      <c r="B2595" s="18" t="s">
        <v>13</v>
      </c>
      <c r="C2595" s="18" t="s">
        <v>14</v>
      </c>
      <c r="D2595" s="18" t="s">
        <v>15</v>
      </c>
      <c r="E2595" s="18" t="s">
        <v>557</v>
      </c>
      <c r="F2595" s="2">
        <f>+J2595-I2595</f>
        <v>30</v>
      </c>
      <c r="G2595" s="2">
        <f ca="1">+TODAY()-I2595</f>
        <v>1391</v>
      </c>
      <c r="H2595" s="15">
        <v>777936</v>
      </c>
      <c r="I2595" s="1">
        <v>44729</v>
      </c>
      <c r="J2595" s="1">
        <v>44759</v>
      </c>
      <c r="K2595" s="18" t="s">
        <v>343</v>
      </c>
      <c r="L2595" s="18" t="s">
        <v>18</v>
      </c>
      <c r="M2595" s="18" t="s">
        <v>19</v>
      </c>
      <c r="N2595" s="18" t="s">
        <v>20</v>
      </c>
      <c r="O2595">
        <v>30</v>
      </c>
    </row>
    <row r="2596" spans="1:15" x14ac:dyDescent="0.25">
      <c r="A2596" s="18" t="s">
        <v>7276</v>
      </c>
      <c r="B2596" s="18" t="s">
        <v>13</v>
      </c>
      <c r="C2596" s="18" t="s">
        <v>14</v>
      </c>
      <c r="D2596" s="18" t="s">
        <v>15</v>
      </c>
      <c r="E2596" s="18" t="s">
        <v>558</v>
      </c>
      <c r="F2596" s="2">
        <f>+J2596-I2596</f>
        <v>30</v>
      </c>
      <c r="G2596" s="2">
        <f ca="1">+TODAY()-I2596</f>
        <v>1386</v>
      </c>
      <c r="H2596" s="15">
        <v>3556801</v>
      </c>
      <c r="I2596" s="1">
        <v>44734</v>
      </c>
      <c r="J2596" s="1">
        <v>44764</v>
      </c>
      <c r="K2596" s="18" t="s">
        <v>343</v>
      </c>
      <c r="L2596" s="18" t="s">
        <v>18</v>
      </c>
      <c r="M2596" s="18" t="s">
        <v>19</v>
      </c>
      <c r="N2596" s="18" t="s">
        <v>20</v>
      </c>
      <c r="O2596">
        <v>30</v>
      </c>
    </row>
    <row r="2597" spans="1:15" x14ac:dyDescent="0.25">
      <c r="A2597" s="18" t="s">
        <v>7276</v>
      </c>
      <c r="B2597" s="18" t="s">
        <v>13</v>
      </c>
      <c r="C2597" s="18" t="s">
        <v>14</v>
      </c>
      <c r="D2597" s="18" t="s">
        <v>15</v>
      </c>
      <c r="E2597" s="18" t="s">
        <v>559</v>
      </c>
      <c r="F2597" s="2">
        <f>+J2597-I2597</f>
        <v>30</v>
      </c>
      <c r="G2597" s="2">
        <f ca="1">+TODAY()-I2597</f>
        <v>1386</v>
      </c>
      <c r="H2597" s="15">
        <v>3539200</v>
      </c>
      <c r="I2597" s="1">
        <v>44734</v>
      </c>
      <c r="J2597" s="1">
        <v>44764</v>
      </c>
      <c r="K2597" s="18" t="s">
        <v>343</v>
      </c>
      <c r="L2597" s="18" t="s">
        <v>18</v>
      </c>
      <c r="M2597" s="18" t="s">
        <v>19</v>
      </c>
      <c r="N2597" s="18" t="s">
        <v>20</v>
      </c>
      <c r="O2597">
        <v>30</v>
      </c>
    </row>
    <row r="2598" spans="1:15" x14ac:dyDescent="0.25">
      <c r="A2598" s="18" t="s">
        <v>7276</v>
      </c>
      <c r="B2598" s="18" t="s">
        <v>13</v>
      </c>
      <c r="C2598" s="18" t="s">
        <v>14</v>
      </c>
      <c r="D2598" s="18" t="s">
        <v>15</v>
      </c>
      <c r="E2598" s="18" t="s">
        <v>560</v>
      </c>
      <c r="F2598" s="2">
        <f>+J2598-I2598</f>
        <v>30</v>
      </c>
      <c r="G2598" s="2">
        <f ca="1">+TODAY()-I2598</f>
        <v>1386</v>
      </c>
      <c r="H2598" s="15">
        <v>2261542</v>
      </c>
      <c r="I2598" s="1">
        <v>44734</v>
      </c>
      <c r="J2598" s="1">
        <v>44764</v>
      </c>
      <c r="K2598" s="18" t="s">
        <v>343</v>
      </c>
      <c r="L2598" s="18" t="s">
        <v>18</v>
      </c>
      <c r="M2598" s="18" t="s">
        <v>19</v>
      </c>
      <c r="N2598" s="18" t="s">
        <v>20</v>
      </c>
      <c r="O2598">
        <v>30</v>
      </c>
    </row>
    <row r="2599" spans="1:15" x14ac:dyDescent="0.25">
      <c r="A2599" s="18" t="s">
        <v>7276</v>
      </c>
      <c r="B2599" s="18" t="s">
        <v>13</v>
      </c>
      <c r="C2599" s="18" t="s">
        <v>14</v>
      </c>
      <c r="D2599" s="18" t="s">
        <v>15</v>
      </c>
      <c r="E2599" s="18" t="s">
        <v>561</v>
      </c>
      <c r="F2599" s="2">
        <f>+J2599-I2599</f>
        <v>30</v>
      </c>
      <c r="G2599" s="2">
        <f ca="1">+TODAY()-I2599</f>
        <v>1386</v>
      </c>
      <c r="H2599" s="15">
        <v>2553008</v>
      </c>
      <c r="I2599" s="1">
        <v>44734</v>
      </c>
      <c r="J2599" s="1">
        <v>44764</v>
      </c>
      <c r="K2599" s="18" t="s">
        <v>343</v>
      </c>
      <c r="L2599" s="18" t="s">
        <v>18</v>
      </c>
      <c r="M2599" s="18" t="s">
        <v>19</v>
      </c>
      <c r="N2599" s="18" t="s">
        <v>20</v>
      </c>
      <c r="O2599">
        <v>30</v>
      </c>
    </row>
    <row r="2600" spans="1:15" x14ac:dyDescent="0.25">
      <c r="A2600" s="18" t="s">
        <v>7276</v>
      </c>
      <c r="B2600" s="18" t="s">
        <v>13</v>
      </c>
      <c r="C2600" s="18" t="s">
        <v>14</v>
      </c>
      <c r="D2600" s="18" t="s">
        <v>15</v>
      </c>
      <c r="E2600" s="18" t="s">
        <v>562</v>
      </c>
      <c r="F2600" s="2">
        <f>+J2600-I2600</f>
        <v>30</v>
      </c>
      <c r="G2600" s="2">
        <f ca="1">+TODAY()-I2600</f>
        <v>1386</v>
      </c>
      <c r="H2600" s="15">
        <v>1041330</v>
      </c>
      <c r="I2600" s="1">
        <v>44734</v>
      </c>
      <c r="J2600" s="1">
        <v>44764</v>
      </c>
      <c r="K2600" s="18" t="s">
        <v>343</v>
      </c>
      <c r="L2600" s="18" t="s">
        <v>18</v>
      </c>
      <c r="M2600" s="18" t="s">
        <v>19</v>
      </c>
      <c r="N2600" s="18" t="s">
        <v>20</v>
      </c>
      <c r="O2600">
        <v>30</v>
      </c>
    </row>
    <row r="2601" spans="1:15" x14ac:dyDescent="0.25">
      <c r="A2601" s="18" t="s">
        <v>7276</v>
      </c>
      <c r="B2601" s="18" t="s">
        <v>13</v>
      </c>
      <c r="C2601" s="18" t="s">
        <v>14</v>
      </c>
      <c r="D2601" s="18" t="s">
        <v>15</v>
      </c>
      <c r="E2601" s="18" t="s">
        <v>563</v>
      </c>
      <c r="F2601" s="2">
        <f>+J2601-I2601</f>
        <v>30</v>
      </c>
      <c r="G2601" s="2">
        <f ca="1">+TODAY()-I2601</f>
        <v>1371</v>
      </c>
      <c r="H2601" s="15">
        <v>5268109</v>
      </c>
      <c r="I2601" s="1">
        <v>44749</v>
      </c>
      <c r="J2601" s="1">
        <v>44779</v>
      </c>
      <c r="K2601" s="18" t="s">
        <v>343</v>
      </c>
      <c r="L2601" s="18" t="s">
        <v>18</v>
      </c>
      <c r="M2601" s="18" t="s">
        <v>19</v>
      </c>
      <c r="N2601" s="18" t="s">
        <v>20</v>
      </c>
      <c r="O2601">
        <v>30</v>
      </c>
    </row>
    <row r="2602" spans="1:15" x14ac:dyDescent="0.25">
      <c r="A2602" s="18" t="s">
        <v>7276</v>
      </c>
      <c r="B2602" s="18" t="s">
        <v>13</v>
      </c>
      <c r="C2602" s="18" t="s">
        <v>14</v>
      </c>
      <c r="D2602" s="18" t="s">
        <v>15</v>
      </c>
      <c r="E2602" s="18" t="s">
        <v>564</v>
      </c>
      <c r="F2602" s="2">
        <f>+J2602-I2602</f>
        <v>30</v>
      </c>
      <c r="G2602" s="2">
        <f ca="1">+TODAY()-I2602</f>
        <v>1371</v>
      </c>
      <c r="H2602" s="15">
        <v>4521002</v>
      </c>
      <c r="I2602" s="1">
        <v>44749</v>
      </c>
      <c r="J2602" s="1">
        <v>44779</v>
      </c>
      <c r="K2602" s="18" t="s">
        <v>343</v>
      </c>
      <c r="L2602" s="18" t="s">
        <v>18</v>
      </c>
      <c r="M2602" s="18" t="s">
        <v>19</v>
      </c>
      <c r="N2602" s="18" t="s">
        <v>20</v>
      </c>
      <c r="O2602">
        <v>30</v>
      </c>
    </row>
    <row r="2603" spans="1:15" x14ac:dyDescent="0.25">
      <c r="A2603" s="18" t="s">
        <v>7276</v>
      </c>
      <c r="B2603" s="18" t="s">
        <v>13</v>
      </c>
      <c r="C2603" s="18" t="s">
        <v>14</v>
      </c>
      <c r="D2603" s="18" t="s">
        <v>15</v>
      </c>
      <c r="E2603" s="18" t="s">
        <v>565</v>
      </c>
      <c r="F2603" s="2">
        <f>+J2603-I2603</f>
        <v>30</v>
      </c>
      <c r="G2603" s="2">
        <f ca="1">+TODAY()-I2603</f>
        <v>1371</v>
      </c>
      <c r="H2603" s="15">
        <v>1284605</v>
      </c>
      <c r="I2603" s="1">
        <v>44749</v>
      </c>
      <c r="J2603" s="1">
        <v>44779</v>
      </c>
      <c r="K2603" s="18" t="s">
        <v>343</v>
      </c>
      <c r="L2603" s="18" t="s">
        <v>18</v>
      </c>
      <c r="M2603" s="18" t="s">
        <v>19</v>
      </c>
      <c r="N2603" s="18" t="s">
        <v>20</v>
      </c>
      <c r="O2603">
        <v>30</v>
      </c>
    </row>
    <row r="2604" spans="1:15" x14ac:dyDescent="0.25">
      <c r="A2604" s="18" t="s">
        <v>7276</v>
      </c>
      <c r="B2604" s="18" t="s">
        <v>13</v>
      </c>
      <c r="C2604" s="18" t="s">
        <v>14</v>
      </c>
      <c r="D2604" s="18" t="s">
        <v>15</v>
      </c>
      <c r="E2604" s="18" t="s">
        <v>566</v>
      </c>
      <c r="F2604" s="2">
        <f>+J2604-I2604</f>
        <v>30</v>
      </c>
      <c r="G2604" s="2">
        <f ca="1">+TODAY()-I2604</f>
        <v>1371</v>
      </c>
      <c r="H2604" s="15">
        <v>2398616</v>
      </c>
      <c r="I2604" s="1">
        <v>44749</v>
      </c>
      <c r="J2604" s="1">
        <v>44779</v>
      </c>
      <c r="K2604" s="18" t="s">
        <v>343</v>
      </c>
      <c r="L2604" s="18" t="s">
        <v>18</v>
      </c>
      <c r="M2604" s="18" t="s">
        <v>19</v>
      </c>
      <c r="N2604" s="18" t="s">
        <v>20</v>
      </c>
      <c r="O2604">
        <v>30</v>
      </c>
    </row>
    <row r="2605" spans="1:15" x14ac:dyDescent="0.25">
      <c r="A2605" s="18" t="s">
        <v>7276</v>
      </c>
      <c r="B2605" s="18" t="s">
        <v>13</v>
      </c>
      <c r="C2605" s="18" t="s">
        <v>14</v>
      </c>
      <c r="D2605" s="18" t="s">
        <v>15</v>
      </c>
      <c r="E2605" s="18" t="s">
        <v>567</v>
      </c>
      <c r="F2605" s="2">
        <f>+J2605-I2605</f>
        <v>30</v>
      </c>
      <c r="G2605" s="2">
        <f ca="1">+TODAY()-I2605</f>
        <v>1371</v>
      </c>
      <c r="H2605" s="15">
        <v>3582188</v>
      </c>
      <c r="I2605" s="1">
        <v>44749</v>
      </c>
      <c r="J2605" s="1">
        <v>44779</v>
      </c>
      <c r="K2605" s="18" t="s">
        <v>343</v>
      </c>
      <c r="L2605" s="18" t="s">
        <v>18</v>
      </c>
      <c r="M2605" s="18" t="s">
        <v>19</v>
      </c>
      <c r="N2605" s="18" t="s">
        <v>20</v>
      </c>
      <c r="O2605">
        <v>30</v>
      </c>
    </row>
    <row r="2606" spans="1:15" x14ac:dyDescent="0.25">
      <c r="A2606" s="18" t="s">
        <v>7276</v>
      </c>
      <c r="B2606" s="18" t="s">
        <v>13</v>
      </c>
      <c r="C2606" s="18" t="s">
        <v>14</v>
      </c>
      <c r="D2606" s="18" t="s">
        <v>15</v>
      </c>
      <c r="E2606" s="18" t="s">
        <v>568</v>
      </c>
      <c r="F2606" s="2">
        <f>+J2606-I2606</f>
        <v>30</v>
      </c>
      <c r="G2606" s="2">
        <f ca="1">+TODAY()-I2606</f>
        <v>1355</v>
      </c>
      <c r="H2606" s="15">
        <v>4000390</v>
      </c>
      <c r="I2606" s="1">
        <v>44765</v>
      </c>
      <c r="J2606" s="1">
        <v>44795</v>
      </c>
      <c r="K2606" s="18" t="s">
        <v>343</v>
      </c>
      <c r="L2606" s="18" t="s">
        <v>18</v>
      </c>
      <c r="M2606" s="18" t="s">
        <v>19</v>
      </c>
      <c r="N2606" s="18" t="s">
        <v>20</v>
      </c>
      <c r="O2606">
        <v>30</v>
      </c>
    </row>
    <row r="2607" spans="1:15" x14ac:dyDescent="0.25">
      <c r="A2607" s="18" t="s">
        <v>7276</v>
      </c>
      <c r="B2607" s="18" t="s">
        <v>13</v>
      </c>
      <c r="C2607" s="18" t="s">
        <v>14</v>
      </c>
      <c r="D2607" s="18" t="s">
        <v>15</v>
      </c>
      <c r="E2607" s="18" t="s">
        <v>569</v>
      </c>
      <c r="F2607" s="2">
        <f>+J2607-I2607</f>
        <v>30</v>
      </c>
      <c r="G2607" s="2">
        <f ca="1">+TODAY()-I2607</f>
        <v>1355</v>
      </c>
      <c r="H2607" s="15">
        <v>2116541</v>
      </c>
      <c r="I2607" s="1">
        <v>44765</v>
      </c>
      <c r="J2607" s="1">
        <v>44795</v>
      </c>
      <c r="K2607" s="18" t="s">
        <v>343</v>
      </c>
      <c r="L2607" s="18" t="s">
        <v>18</v>
      </c>
      <c r="M2607" s="18" t="s">
        <v>19</v>
      </c>
      <c r="N2607" s="18" t="s">
        <v>20</v>
      </c>
      <c r="O2607">
        <v>30</v>
      </c>
    </row>
    <row r="2608" spans="1:15" x14ac:dyDescent="0.25">
      <c r="A2608" s="18" t="s">
        <v>7276</v>
      </c>
      <c r="B2608" s="18" t="s">
        <v>13</v>
      </c>
      <c r="C2608" s="18" t="s">
        <v>14</v>
      </c>
      <c r="D2608" s="18" t="s">
        <v>15</v>
      </c>
      <c r="E2608" s="18" t="s">
        <v>570</v>
      </c>
      <c r="F2608" s="2">
        <f>+J2608-I2608</f>
        <v>30</v>
      </c>
      <c r="G2608" s="2">
        <f ca="1">+TODAY()-I2608</f>
        <v>1355</v>
      </c>
      <c r="H2608" s="15">
        <v>2643600</v>
      </c>
      <c r="I2608" s="1">
        <v>44765</v>
      </c>
      <c r="J2608" s="1">
        <v>44795</v>
      </c>
      <c r="K2608" s="18" t="s">
        <v>343</v>
      </c>
      <c r="L2608" s="18" t="s">
        <v>18</v>
      </c>
      <c r="M2608" s="18" t="s">
        <v>19</v>
      </c>
      <c r="N2608" s="18" t="s">
        <v>20</v>
      </c>
      <c r="O2608">
        <v>30</v>
      </c>
    </row>
    <row r="2609" spans="1:15" x14ac:dyDescent="0.25">
      <c r="A2609" s="18" t="s">
        <v>7276</v>
      </c>
      <c r="B2609" s="18" t="s">
        <v>13</v>
      </c>
      <c r="C2609" s="18" t="s">
        <v>14</v>
      </c>
      <c r="D2609" s="18" t="s">
        <v>15</v>
      </c>
      <c r="E2609" s="18" t="s">
        <v>571</v>
      </c>
      <c r="F2609" s="2">
        <f>+J2609-I2609</f>
        <v>30</v>
      </c>
      <c r="G2609" s="2">
        <f ca="1">+TODAY()-I2609</f>
        <v>1355</v>
      </c>
      <c r="H2609" s="15">
        <v>5586385</v>
      </c>
      <c r="I2609" s="1">
        <v>44765</v>
      </c>
      <c r="J2609" s="1">
        <v>44795</v>
      </c>
      <c r="K2609" s="18" t="s">
        <v>343</v>
      </c>
      <c r="L2609" s="18" t="s">
        <v>18</v>
      </c>
      <c r="M2609" s="18" t="s">
        <v>19</v>
      </c>
      <c r="N2609" s="18" t="s">
        <v>20</v>
      </c>
      <c r="O2609">
        <v>30</v>
      </c>
    </row>
    <row r="2610" spans="1:15" x14ac:dyDescent="0.25">
      <c r="A2610" s="18" t="s">
        <v>7276</v>
      </c>
      <c r="B2610" s="18" t="s">
        <v>13</v>
      </c>
      <c r="C2610" s="18" t="s">
        <v>14</v>
      </c>
      <c r="D2610" s="18" t="s">
        <v>15</v>
      </c>
      <c r="E2610" s="18" t="s">
        <v>572</v>
      </c>
      <c r="F2610" s="2">
        <f>+J2610-I2610</f>
        <v>30</v>
      </c>
      <c r="G2610" s="2">
        <f ca="1">+TODAY()-I2610</f>
        <v>1350</v>
      </c>
      <c r="H2610" s="15">
        <v>3064680</v>
      </c>
      <c r="I2610" s="1">
        <v>44770</v>
      </c>
      <c r="J2610" s="1">
        <v>44800</v>
      </c>
      <c r="K2610" s="18" t="s">
        <v>343</v>
      </c>
      <c r="L2610" s="18" t="s">
        <v>18</v>
      </c>
      <c r="M2610" s="18" t="s">
        <v>19</v>
      </c>
      <c r="N2610" s="18" t="s">
        <v>20</v>
      </c>
      <c r="O2610">
        <v>30</v>
      </c>
    </row>
    <row r="2611" spans="1:15" x14ac:dyDescent="0.25">
      <c r="A2611" s="18" t="s">
        <v>7276</v>
      </c>
      <c r="B2611" s="18" t="s">
        <v>13</v>
      </c>
      <c r="C2611" s="18" t="s">
        <v>14</v>
      </c>
      <c r="D2611" s="18" t="s">
        <v>15</v>
      </c>
      <c r="E2611" s="18" t="s">
        <v>573</v>
      </c>
      <c r="F2611" s="2">
        <f>+J2611-I2611</f>
        <v>30</v>
      </c>
      <c r="G2611" s="2">
        <f ca="1">+TODAY()-I2611</f>
        <v>1343</v>
      </c>
      <c r="H2611" s="15">
        <v>5134758</v>
      </c>
      <c r="I2611" s="1">
        <v>44777</v>
      </c>
      <c r="J2611" s="1">
        <v>44807</v>
      </c>
      <c r="K2611" s="18" t="s">
        <v>343</v>
      </c>
      <c r="L2611" s="18" t="s">
        <v>18</v>
      </c>
      <c r="M2611" s="18" t="s">
        <v>19</v>
      </c>
      <c r="N2611" s="18" t="s">
        <v>20</v>
      </c>
      <c r="O2611">
        <v>30</v>
      </c>
    </row>
    <row r="2612" spans="1:15" x14ac:dyDescent="0.25">
      <c r="A2612" s="18" t="s">
        <v>7276</v>
      </c>
      <c r="B2612" s="18" t="s">
        <v>13</v>
      </c>
      <c r="C2612" s="18" t="s">
        <v>14</v>
      </c>
      <c r="D2612" s="18" t="s">
        <v>15</v>
      </c>
      <c r="E2612" s="18" t="s">
        <v>574</v>
      </c>
      <c r="F2612" s="2">
        <f>+J2612-I2612</f>
        <v>30</v>
      </c>
      <c r="G2612" s="2">
        <f ca="1">+TODAY()-I2612</f>
        <v>1343</v>
      </c>
      <c r="H2612" s="15">
        <v>545400</v>
      </c>
      <c r="I2612" s="1">
        <v>44777</v>
      </c>
      <c r="J2612" s="1">
        <v>44807</v>
      </c>
      <c r="K2612" s="18" t="s">
        <v>343</v>
      </c>
      <c r="L2612" s="18" t="s">
        <v>18</v>
      </c>
      <c r="M2612" s="18" t="s">
        <v>19</v>
      </c>
      <c r="N2612" s="18" t="s">
        <v>20</v>
      </c>
      <c r="O2612">
        <v>30</v>
      </c>
    </row>
    <row r="2613" spans="1:15" x14ac:dyDescent="0.25">
      <c r="A2613" s="18" t="s">
        <v>7276</v>
      </c>
      <c r="B2613" s="18" t="s">
        <v>13</v>
      </c>
      <c r="C2613" s="18" t="s">
        <v>14</v>
      </c>
      <c r="D2613" s="18" t="s">
        <v>15</v>
      </c>
      <c r="E2613" s="18" t="s">
        <v>575</v>
      </c>
      <c r="F2613" s="2">
        <f>+J2613-I2613</f>
        <v>30</v>
      </c>
      <c r="G2613" s="2">
        <f ca="1">+TODAY()-I2613</f>
        <v>1343</v>
      </c>
      <c r="H2613" s="15">
        <v>1852817</v>
      </c>
      <c r="I2613" s="1">
        <v>44777</v>
      </c>
      <c r="J2613" s="1">
        <v>44807</v>
      </c>
      <c r="K2613" s="18" t="s">
        <v>343</v>
      </c>
      <c r="L2613" s="18" t="s">
        <v>18</v>
      </c>
      <c r="M2613" s="18" t="s">
        <v>19</v>
      </c>
      <c r="N2613" s="18" t="s">
        <v>20</v>
      </c>
      <c r="O2613">
        <v>30</v>
      </c>
    </row>
    <row r="2614" spans="1:15" x14ac:dyDescent="0.25">
      <c r="A2614" s="18" t="s">
        <v>7276</v>
      </c>
      <c r="B2614" s="18" t="s">
        <v>13</v>
      </c>
      <c r="C2614" s="18" t="s">
        <v>14</v>
      </c>
      <c r="D2614" s="18" t="s">
        <v>15</v>
      </c>
      <c r="E2614" s="18" t="s">
        <v>576</v>
      </c>
      <c r="F2614" s="2">
        <f>+J2614-I2614</f>
        <v>30</v>
      </c>
      <c r="G2614" s="2">
        <f ca="1">+TODAY()-I2614</f>
        <v>1343</v>
      </c>
      <c r="H2614" s="15">
        <v>1934338</v>
      </c>
      <c r="I2614" s="1">
        <v>44777</v>
      </c>
      <c r="J2614" s="1">
        <v>44807</v>
      </c>
      <c r="K2614" s="18" t="s">
        <v>343</v>
      </c>
      <c r="L2614" s="18" t="s">
        <v>18</v>
      </c>
      <c r="M2614" s="18" t="s">
        <v>19</v>
      </c>
      <c r="N2614" s="18" t="s">
        <v>20</v>
      </c>
      <c r="O2614">
        <v>30</v>
      </c>
    </row>
    <row r="2615" spans="1:15" x14ac:dyDescent="0.25">
      <c r="A2615" s="18" t="s">
        <v>7276</v>
      </c>
      <c r="B2615" s="18" t="s">
        <v>13</v>
      </c>
      <c r="C2615" s="18" t="s">
        <v>14</v>
      </c>
      <c r="D2615" s="18" t="s">
        <v>15</v>
      </c>
      <c r="E2615" s="18" t="s">
        <v>577</v>
      </c>
      <c r="F2615" s="2">
        <f>+J2615-I2615</f>
        <v>30</v>
      </c>
      <c r="G2615" s="2">
        <f ca="1">+TODAY()-I2615</f>
        <v>1343</v>
      </c>
      <c r="H2615" s="15">
        <v>3075861</v>
      </c>
      <c r="I2615" s="1">
        <v>44777</v>
      </c>
      <c r="J2615" s="1">
        <v>44807</v>
      </c>
      <c r="K2615" s="18" t="s">
        <v>343</v>
      </c>
      <c r="L2615" s="18" t="s">
        <v>18</v>
      </c>
      <c r="M2615" s="18" t="s">
        <v>19</v>
      </c>
      <c r="N2615" s="18" t="s">
        <v>20</v>
      </c>
      <c r="O2615">
        <v>30</v>
      </c>
    </row>
    <row r="2616" spans="1:15" x14ac:dyDescent="0.25">
      <c r="A2616" s="18" t="s">
        <v>7276</v>
      </c>
      <c r="B2616" s="18" t="s">
        <v>13</v>
      </c>
      <c r="C2616" s="18" t="s">
        <v>14</v>
      </c>
      <c r="D2616" s="18" t="s">
        <v>15</v>
      </c>
      <c r="E2616" s="18" t="s">
        <v>578</v>
      </c>
      <c r="F2616" s="2">
        <f>+J2616-I2616</f>
        <v>30</v>
      </c>
      <c r="G2616" s="2">
        <f ca="1">+TODAY()-I2616</f>
        <v>1330</v>
      </c>
      <c r="H2616" s="15">
        <v>3539174</v>
      </c>
      <c r="I2616" s="1">
        <v>44790</v>
      </c>
      <c r="J2616" s="1">
        <v>44820</v>
      </c>
      <c r="K2616" s="18" t="s">
        <v>343</v>
      </c>
      <c r="L2616" s="18" t="s">
        <v>18</v>
      </c>
      <c r="M2616" s="18" t="s">
        <v>19</v>
      </c>
      <c r="N2616" s="18" t="s">
        <v>20</v>
      </c>
      <c r="O2616">
        <v>30</v>
      </c>
    </row>
    <row r="2617" spans="1:15" x14ac:dyDescent="0.25">
      <c r="A2617" s="18" t="s">
        <v>7276</v>
      </c>
      <c r="B2617" s="18" t="s">
        <v>13</v>
      </c>
      <c r="C2617" s="18" t="s">
        <v>14</v>
      </c>
      <c r="D2617" s="18" t="s">
        <v>15</v>
      </c>
      <c r="E2617" s="18" t="s">
        <v>579</v>
      </c>
      <c r="F2617" s="2">
        <f>+J2617-I2617</f>
        <v>30</v>
      </c>
      <c r="G2617" s="2">
        <f ca="1">+TODAY()-I2617</f>
        <v>1330</v>
      </c>
      <c r="H2617" s="15">
        <v>1840200</v>
      </c>
      <c r="I2617" s="1">
        <v>44790</v>
      </c>
      <c r="J2617" s="1">
        <v>44820</v>
      </c>
      <c r="K2617" s="18" t="s">
        <v>343</v>
      </c>
      <c r="L2617" s="18" t="s">
        <v>18</v>
      </c>
      <c r="M2617" s="18" t="s">
        <v>19</v>
      </c>
      <c r="N2617" s="18" t="s">
        <v>20</v>
      </c>
      <c r="O2617">
        <v>30</v>
      </c>
    </row>
    <row r="2618" spans="1:15" x14ac:dyDescent="0.25">
      <c r="A2618" s="18" t="s">
        <v>7276</v>
      </c>
      <c r="B2618" s="18" t="s">
        <v>13</v>
      </c>
      <c r="C2618" s="18" t="s">
        <v>14</v>
      </c>
      <c r="D2618" s="18" t="s">
        <v>15</v>
      </c>
      <c r="E2618" s="18" t="s">
        <v>580</v>
      </c>
      <c r="F2618" s="2">
        <f>+J2618-I2618</f>
        <v>30</v>
      </c>
      <c r="G2618" s="2">
        <f ca="1">+TODAY()-I2618</f>
        <v>1330</v>
      </c>
      <c r="H2618" s="15">
        <v>2189962</v>
      </c>
      <c r="I2618" s="1">
        <v>44790</v>
      </c>
      <c r="J2618" s="1">
        <v>44820</v>
      </c>
      <c r="K2618" s="18" t="s">
        <v>343</v>
      </c>
      <c r="L2618" s="18" t="s">
        <v>18</v>
      </c>
      <c r="M2618" s="18" t="s">
        <v>19</v>
      </c>
      <c r="N2618" s="18" t="s">
        <v>20</v>
      </c>
      <c r="O2618">
        <v>30</v>
      </c>
    </row>
    <row r="2619" spans="1:15" x14ac:dyDescent="0.25">
      <c r="A2619" s="18" t="s">
        <v>7276</v>
      </c>
      <c r="B2619" s="18" t="s">
        <v>13</v>
      </c>
      <c r="C2619" s="18" t="s">
        <v>14</v>
      </c>
      <c r="D2619" s="18" t="s">
        <v>15</v>
      </c>
      <c r="E2619" s="18" t="s">
        <v>581</v>
      </c>
      <c r="F2619" s="2">
        <f>+J2619-I2619</f>
        <v>30</v>
      </c>
      <c r="G2619" s="2">
        <f ca="1">+TODAY()-I2619</f>
        <v>1330</v>
      </c>
      <c r="H2619" s="15">
        <v>2042821</v>
      </c>
      <c r="I2619" s="1">
        <v>44790</v>
      </c>
      <c r="J2619" s="1">
        <v>44820</v>
      </c>
      <c r="K2619" s="18" t="s">
        <v>343</v>
      </c>
      <c r="L2619" s="18" t="s">
        <v>18</v>
      </c>
      <c r="M2619" s="18" t="s">
        <v>19</v>
      </c>
      <c r="N2619" s="18" t="s">
        <v>20</v>
      </c>
      <c r="O2619">
        <v>30</v>
      </c>
    </row>
    <row r="2620" spans="1:15" x14ac:dyDescent="0.25">
      <c r="A2620" s="18" t="s">
        <v>7276</v>
      </c>
      <c r="B2620" s="18" t="s">
        <v>13</v>
      </c>
      <c r="C2620" s="18" t="s">
        <v>14</v>
      </c>
      <c r="D2620" s="18" t="s">
        <v>15</v>
      </c>
      <c r="E2620" s="18" t="s">
        <v>582</v>
      </c>
      <c r="F2620" s="2">
        <f>+J2620-I2620</f>
        <v>30</v>
      </c>
      <c r="G2620" s="2">
        <f ca="1">+TODAY()-I2620</f>
        <v>1330</v>
      </c>
      <c r="H2620" s="15">
        <v>382965</v>
      </c>
      <c r="I2620" s="1">
        <v>44790</v>
      </c>
      <c r="J2620" s="1">
        <v>44820</v>
      </c>
      <c r="K2620" s="18" t="s">
        <v>343</v>
      </c>
      <c r="L2620" s="18" t="s">
        <v>18</v>
      </c>
      <c r="M2620" s="18" t="s">
        <v>19</v>
      </c>
      <c r="N2620" s="18" t="s">
        <v>20</v>
      </c>
      <c r="O2620">
        <v>30</v>
      </c>
    </row>
    <row r="2621" spans="1:15" x14ac:dyDescent="0.25">
      <c r="A2621" s="18" t="s">
        <v>7276</v>
      </c>
      <c r="B2621" s="18" t="s">
        <v>13</v>
      </c>
      <c r="C2621" s="18" t="s">
        <v>14</v>
      </c>
      <c r="D2621" s="18" t="s">
        <v>15</v>
      </c>
      <c r="E2621" s="18" t="s">
        <v>583</v>
      </c>
      <c r="F2621" s="2">
        <f>+J2621-I2621</f>
        <v>30</v>
      </c>
      <c r="G2621" s="2">
        <f ca="1">+TODAY()-I2621</f>
        <v>1330</v>
      </c>
      <c r="H2621" s="15">
        <v>218879</v>
      </c>
      <c r="I2621" s="1">
        <v>44790</v>
      </c>
      <c r="J2621" s="1">
        <v>44820</v>
      </c>
      <c r="K2621" s="18" t="s">
        <v>343</v>
      </c>
      <c r="L2621" s="18" t="s">
        <v>18</v>
      </c>
      <c r="M2621" s="18" t="s">
        <v>19</v>
      </c>
      <c r="N2621" s="18" t="s">
        <v>20</v>
      </c>
      <c r="O2621">
        <v>30</v>
      </c>
    </row>
    <row r="2622" spans="1:15" x14ac:dyDescent="0.25">
      <c r="A2622" s="18" t="s">
        <v>7276</v>
      </c>
      <c r="B2622" s="18" t="s">
        <v>13</v>
      </c>
      <c r="C2622" s="18" t="s">
        <v>14</v>
      </c>
      <c r="D2622" s="18" t="s">
        <v>15</v>
      </c>
      <c r="E2622" s="18" t="s">
        <v>584</v>
      </c>
      <c r="F2622" s="2">
        <f>+J2622-I2622</f>
        <v>30</v>
      </c>
      <c r="G2622" s="2">
        <f ca="1">+TODAY()-I2622</f>
        <v>1328</v>
      </c>
      <c r="H2622" s="15">
        <v>2337397</v>
      </c>
      <c r="I2622" s="1">
        <v>44792</v>
      </c>
      <c r="J2622" s="1">
        <v>44822</v>
      </c>
      <c r="K2622" s="18" t="s">
        <v>343</v>
      </c>
      <c r="L2622" s="18" t="s">
        <v>47</v>
      </c>
      <c r="M2622" s="18" t="s">
        <v>19</v>
      </c>
      <c r="N2622" s="18" t="s">
        <v>20</v>
      </c>
      <c r="O2622">
        <v>30</v>
      </c>
    </row>
    <row r="2623" spans="1:15" x14ac:dyDescent="0.25">
      <c r="A2623" s="18" t="s">
        <v>7276</v>
      </c>
      <c r="B2623" s="18" t="s">
        <v>13</v>
      </c>
      <c r="C2623" s="18" t="s">
        <v>14</v>
      </c>
      <c r="D2623" s="18" t="s">
        <v>15</v>
      </c>
      <c r="E2623" s="18" t="s">
        <v>585</v>
      </c>
      <c r="F2623" s="2">
        <f>+J2623-I2623</f>
        <v>30</v>
      </c>
      <c r="G2623" s="2">
        <f ca="1">+TODAY()-I2623</f>
        <v>1328</v>
      </c>
      <c r="H2623" s="15">
        <v>728341</v>
      </c>
      <c r="I2623" s="1">
        <v>44792</v>
      </c>
      <c r="J2623" s="1">
        <v>44822</v>
      </c>
      <c r="K2623" s="18" t="s">
        <v>343</v>
      </c>
      <c r="L2623" s="18" t="s">
        <v>47</v>
      </c>
      <c r="M2623" s="18" t="s">
        <v>19</v>
      </c>
      <c r="N2623" s="18" t="s">
        <v>20</v>
      </c>
      <c r="O2623">
        <v>30</v>
      </c>
    </row>
    <row r="2624" spans="1:15" x14ac:dyDescent="0.25">
      <c r="A2624" s="18" t="s">
        <v>7276</v>
      </c>
      <c r="B2624" s="18" t="s">
        <v>13</v>
      </c>
      <c r="C2624" s="18" t="s">
        <v>14</v>
      </c>
      <c r="D2624" s="18" t="s">
        <v>15</v>
      </c>
      <c r="E2624" s="18" t="s">
        <v>586</v>
      </c>
      <c r="F2624" s="2">
        <f>+J2624-I2624</f>
        <v>30</v>
      </c>
      <c r="G2624" s="2">
        <f ca="1">+TODAY()-I2624</f>
        <v>1328</v>
      </c>
      <c r="H2624" s="15">
        <v>301155</v>
      </c>
      <c r="I2624" s="1">
        <v>44792</v>
      </c>
      <c r="J2624" s="1">
        <v>44822</v>
      </c>
      <c r="K2624" s="18" t="s">
        <v>343</v>
      </c>
      <c r="L2624" s="18" t="s">
        <v>47</v>
      </c>
      <c r="M2624" s="18" t="s">
        <v>19</v>
      </c>
      <c r="N2624" s="18" t="s">
        <v>20</v>
      </c>
      <c r="O2624">
        <v>30</v>
      </c>
    </row>
    <row r="2625" spans="1:15" x14ac:dyDescent="0.25">
      <c r="A2625" s="18" t="s">
        <v>7276</v>
      </c>
      <c r="B2625" s="18" t="s">
        <v>13</v>
      </c>
      <c r="C2625" s="18" t="s">
        <v>14</v>
      </c>
      <c r="D2625" s="18" t="s">
        <v>15</v>
      </c>
      <c r="E2625" s="18" t="s">
        <v>587</v>
      </c>
      <c r="F2625" s="2">
        <f>+J2625-I2625</f>
        <v>30</v>
      </c>
      <c r="G2625" s="2">
        <f ca="1">+TODAY()-I2625</f>
        <v>1323</v>
      </c>
      <c r="H2625" s="15">
        <v>1166247</v>
      </c>
      <c r="I2625" s="1">
        <v>44797</v>
      </c>
      <c r="J2625" s="1">
        <v>44827</v>
      </c>
      <c r="K2625" s="18" t="s">
        <v>343</v>
      </c>
      <c r="L2625" s="18" t="s">
        <v>18</v>
      </c>
      <c r="M2625" s="18" t="s">
        <v>19</v>
      </c>
      <c r="N2625" s="18" t="s">
        <v>20</v>
      </c>
      <c r="O2625">
        <v>30</v>
      </c>
    </row>
    <row r="2626" spans="1:15" x14ac:dyDescent="0.25">
      <c r="A2626" s="18" t="s">
        <v>7276</v>
      </c>
      <c r="B2626" s="18" t="s">
        <v>13</v>
      </c>
      <c r="C2626" s="18" t="s">
        <v>14</v>
      </c>
      <c r="D2626" s="18" t="s">
        <v>15</v>
      </c>
      <c r="E2626" s="18" t="s">
        <v>588</v>
      </c>
      <c r="F2626" s="2">
        <f>+J2626-I2626</f>
        <v>30</v>
      </c>
      <c r="G2626" s="2">
        <f ca="1">+TODAY()-I2626</f>
        <v>1316</v>
      </c>
      <c r="H2626" s="15">
        <v>3198310</v>
      </c>
      <c r="I2626" s="1">
        <v>44804</v>
      </c>
      <c r="J2626" s="1">
        <v>44834</v>
      </c>
      <c r="K2626" s="18" t="s">
        <v>343</v>
      </c>
      <c r="L2626" s="18" t="s">
        <v>18</v>
      </c>
      <c r="M2626" s="18" t="s">
        <v>19</v>
      </c>
      <c r="N2626" s="18" t="s">
        <v>20</v>
      </c>
      <c r="O2626">
        <v>30</v>
      </c>
    </row>
    <row r="2627" spans="1:15" x14ac:dyDescent="0.25">
      <c r="A2627" s="18" t="s">
        <v>7276</v>
      </c>
      <c r="B2627" s="18" t="s">
        <v>13</v>
      </c>
      <c r="C2627" s="18" t="s">
        <v>14</v>
      </c>
      <c r="D2627" s="18" t="s">
        <v>15</v>
      </c>
      <c r="E2627" s="18" t="s">
        <v>589</v>
      </c>
      <c r="F2627" s="2">
        <f>+J2627-I2627</f>
        <v>30</v>
      </c>
      <c r="G2627" s="2">
        <f ca="1">+TODAY()-I2627</f>
        <v>1316</v>
      </c>
      <c r="H2627" s="15">
        <v>1654400</v>
      </c>
      <c r="I2627" s="1">
        <v>44804</v>
      </c>
      <c r="J2627" s="1">
        <v>44834</v>
      </c>
      <c r="K2627" s="18" t="s">
        <v>343</v>
      </c>
      <c r="L2627" s="18" t="s">
        <v>18</v>
      </c>
      <c r="M2627" s="18" t="s">
        <v>19</v>
      </c>
      <c r="N2627" s="18" t="s">
        <v>20</v>
      </c>
      <c r="O2627">
        <v>30</v>
      </c>
    </row>
    <row r="2628" spans="1:15" x14ac:dyDescent="0.25">
      <c r="A2628" s="18" t="s">
        <v>7276</v>
      </c>
      <c r="B2628" s="18" t="s">
        <v>13</v>
      </c>
      <c r="C2628" s="18" t="s">
        <v>14</v>
      </c>
      <c r="D2628" s="18" t="s">
        <v>15</v>
      </c>
      <c r="E2628" s="18" t="s">
        <v>590</v>
      </c>
      <c r="F2628" s="2">
        <f>+J2628-I2628</f>
        <v>30</v>
      </c>
      <c r="G2628" s="2">
        <f ca="1">+TODAY()-I2628</f>
        <v>1316</v>
      </c>
      <c r="H2628" s="15">
        <v>2607679</v>
      </c>
      <c r="I2628" s="1">
        <v>44804</v>
      </c>
      <c r="J2628" s="1">
        <v>44834</v>
      </c>
      <c r="K2628" s="18" t="s">
        <v>343</v>
      </c>
      <c r="L2628" s="18" t="s">
        <v>18</v>
      </c>
      <c r="M2628" s="18" t="s">
        <v>19</v>
      </c>
      <c r="N2628" s="18" t="s">
        <v>20</v>
      </c>
      <c r="O2628">
        <v>30</v>
      </c>
    </row>
    <row r="2629" spans="1:15" x14ac:dyDescent="0.25">
      <c r="A2629" s="18" t="s">
        <v>7276</v>
      </c>
      <c r="B2629" s="18" t="s">
        <v>13</v>
      </c>
      <c r="C2629" s="18" t="s">
        <v>14</v>
      </c>
      <c r="D2629" s="18" t="s">
        <v>15</v>
      </c>
      <c r="E2629" s="18" t="s">
        <v>591</v>
      </c>
      <c r="F2629" s="2">
        <f>+J2629-I2629</f>
        <v>30</v>
      </c>
      <c r="G2629" s="2">
        <f ca="1">+TODAY()-I2629</f>
        <v>1316</v>
      </c>
      <c r="H2629" s="15">
        <v>1343620</v>
      </c>
      <c r="I2629" s="1">
        <v>44804</v>
      </c>
      <c r="J2629" s="1">
        <v>44834</v>
      </c>
      <c r="K2629" s="18" t="s">
        <v>343</v>
      </c>
      <c r="L2629" s="18" t="s">
        <v>18</v>
      </c>
      <c r="M2629" s="18" t="s">
        <v>19</v>
      </c>
      <c r="N2629" s="18" t="s">
        <v>20</v>
      </c>
      <c r="O2629">
        <v>30</v>
      </c>
    </row>
    <row r="2630" spans="1:15" x14ac:dyDescent="0.25">
      <c r="A2630" s="18" t="s">
        <v>7276</v>
      </c>
      <c r="B2630" s="18" t="s">
        <v>13</v>
      </c>
      <c r="C2630" s="18" t="s">
        <v>14</v>
      </c>
      <c r="D2630" s="18" t="s">
        <v>15</v>
      </c>
      <c r="E2630" s="18" t="s">
        <v>592</v>
      </c>
      <c r="F2630" s="2">
        <f>+J2630-I2630</f>
        <v>30</v>
      </c>
      <c r="G2630" s="2">
        <f ca="1">+TODAY()-I2630</f>
        <v>1303</v>
      </c>
      <c r="H2630" s="15">
        <v>2300302</v>
      </c>
      <c r="I2630" s="1">
        <v>44817</v>
      </c>
      <c r="J2630" s="1">
        <v>44847</v>
      </c>
      <c r="K2630" s="18" t="s">
        <v>343</v>
      </c>
      <c r="L2630" s="18" t="s">
        <v>18</v>
      </c>
      <c r="M2630" s="18" t="s">
        <v>19</v>
      </c>
      <c r="N2630" s="18" t="s">
        <v>20</v>
      </c>
      <c r="O2630">
        <v>30</v>
      </c>
    </row>
    <row r="2631" spans="1:15" x14ac:dyDescent="0.25">
      <c r="A2631" s="18" t="s">
        <v>7276</v>
      </c>
      <c r="B2631" s="18" t="s">
        <v>13</v>
      </c>
      <c r="C2631" s="18" t="s">
        <v>14</v>
      </c>
      <c r="D2631" s="18" t="s">
        <v>15</v>
      </c>
      <c r="E2631" s="18" t="s">
        <v>593</v>
      </c>
      <c r="F2631" s="2">
        <f>+J2631-I2631</f>
        <v>30</v>
      </c>
      <c r="G2631" s="2">
        <f ca="1">+TODAY()-I2631</f>
        <v>1303</v>
      </c>
      <c r="H2631" s="15">
        <v>2795600</v>
      </c>
      <c r="I2631" s="1">
        <v>44817</v>
      </c>
      <c r="J2631" s="1">
        <v>44847</v>
      </c>
      <c r="K2631" s="18" t="s">
        <v>343</v>
      </c>
      <c r="L2631" s="18" t="s">
        <v>18</v>
      </c>
      <c r="M2631" s="18" t="s">
        <v>19</v>
      </c>
      <c r="N2631" s="18" t="s">
        <v>20</v>
      </c>
      <c r="O2631">
        <v>30</v>
      </c>
    </row>
    <row r="2632" spans="1:15" x14ac:dyDescent="0.25">
      <c r="A2632" s="18" t="s">
        <v>7276</v>
      </c>
      <c r="B2632" s="18" t="s">
        <v>13</v>
      </c>
      <c r="C2632" s="18" t="s">
        <v>14</v>
      </c>
      <c r="D2632" s="18" t="s">
        <v>15</v>
      </c>
      <c r="E2632" s="18" t="s">
        <v>594</v>
      </c>
      <c r="F2632" s="2">
        <f>+J2632-I2632</f>
        <v>30</v>
      </c>
      <c r="G2632" s="2">
        <f ca="1">+TODAY()-I2632</f>
        <v>1303</v>
      </c>
      <c r="H2632" s="15">
        <v>1083566</v>
      </c>
      <c r="I2632" s="1">
        <v>44817</v>
      </c>
      <c r="J2632" s="1">
        <v>44847</v>
      </c>
      <c r="K2632" s="18" t="s">
        <v>343</v>
      </c>
      <c r="L2632" s="18" t="s">
        <v>18</v>
      </c>
      <c r="M2632" s="18" t="s">
        <v>19</v>
      </c>
      <c r="N2632" s="18" t="s">
        <v>20</v>
      </c>
      <c r="O2632">
        <v>30</v>
      </c>
    </row>
    <row r="2633" spans="1:15" x14ac:dyDescent="0.25">
      <c r="A2633" s="18" t="s">
        <v>7276</v>
      </c>
      <c r="B2633" s="18" t="s">
        <v>13</v>
      </c>
      <c r="C2633" s="18" t="s">
        <v>14</v>
      </c>
      <c r="D2633" s="18" t="s">
        <v>15</v>
      </c>
      <c r="E2633" s="18" t="s">
        <v>595</v>
      </c>
      <c r="F2633" s="2">
        <f>+J2633-I2633</f>
        <v>30</v>
      </c>
      <c r="G2633" s="2">
        <f ca="1">+TODAY()-I2633</f>
        <v>1303</v>
      </c>
      <c r="H2633" s="15">
        <v>3000836</v>
      </c>
      <c r="I2633" s="1">
        <v>44817</v>
      </c>
      <c r="J2633" s="1">
        <v>44847</v>
      </c>
      <c r="K2633" s="18" t="s">
        <v>343</v>
      </c>
      <c r="L2633" s="18" t="s">
        <v>18</v>
      </c>
      <c r="M2633" s="18" t="s">
        <v>19</v>
      </c>
      <c r="N2633" s="18" t="s">
        <v>20</v>
      </c>
      <c r="O2633">
        <v>30</v>
      </c>
    </row>
    <row r="2634" spans="1:15" x14ac:dyDescent="0.25">
      <c r="A2634" s="18" t="s">
        <v>7276</v>
      </c>
      <c r="B2634" s="18" t="s">
        <v>13</v>
      </c>
      <c r="C2634" s="18" t="s">
        <v>14</v>
      </c>
      <c r="D2634" s="18" t="s">
        <v>15</v>
      </c>
      <c r="E2634" s="18" t="s">
        <v>596</v>
      </c>
      <c r="F2634" s="2">
        <f>+J2634-I2634</f>
        <v>30</v>
      </c>
      <c r="G2634" s="2">
        <f ca="1">+TODAY()-I2634</f>
        <v>1303</v>
      </c>
      <c r="H2634" s="15">
        <v>1621424</v>
      </c>
      <c r="I2634" s="1">
        <v>44817</v>
      </c>
      <c r="J2634" s="1">
        <v>44847</v>
      </c>
      <c r="K2634" s="18" t="s">
        <v>343</v>
      </c>
      <c r="L2634" s="18" t="s">
        <v>18</v>
      </c>
      <c r="M2634" s="18" t="s">
        <v>19</v>
      </c>
      <c r="N2634" s="18" t="s">
        <v>20</v>
      </c>
      <c r="O2634">
        <v>30</v>
      </c>
    </row>
    <row r="2635" spans="1:15" x14ac:dyDescent="0.25">
      <c r="A2635" s="18" t="s">
        <v>7276</v>
      </c>
      <c r="B2635" s="18" t="s">
        <v>13</v>
      </c>
      <c r="C2635" s="18" t="s">
        <v>14</v>
      </c>
      <c r="D2635" s="18" t="s">
        <v>15</v>
      </c>
      <c r="E2635" s="18" t="s">
        <v>597</v>
      </c>
      <c r="F2635" s="2">
        <f>+J2635-I2635</f>
        <v>30</v>
      </c>
      <c r="G2635" s="2">
        <f ca="1">+TODAY()-I2635</f>
        <v>1299</v>
      </c>
      <c r="H2635" s="15">
        <v>2460938</v>
      </c>
      <c r="I2635" s="1">
        <v>44821</v>
      </c>
      <c r="J2635" s="1">
        <v>44851</v>
      </c>
      <c r="K2635" s="18" t="s">
        <v>343</v>
      </c>
      <c r="L2635" s="18" t="s">
        <v>47</v>
      </c>
      <c r="M2635" s="18" t="s">
        <v>19</v>
      </c>
      <c r="N2635" s="18" t="s">
        <v>20</v>
      </c>
      <c r="O2635">
        <v>30</v>
      </c>
    </row>
    <row r="2636" spans="1:15" x14ac:dyDescent="0.25">
      <c r="A2636" s="18" t="s">
        <v>7276</v>
      </c>
      <c r="B2636" s="18" t="s">
        <v>13</v>
      </c>
      <c r="C2636" s="18" t="s">
        <v>14</v>
      </c>
      <c r="D2636" s="18" t="s">
        <v>15</v>
      </c>
      <c r="E2636" s="18" t="s">
        <v>598</v>
      </c>
      <c r="F2636" s="2">
        <f>+J2636-I2636</f>
        <v>30</v>
      </c>
      <c r="G2636" s="2">
        <f ca="1">+TODAY()-I2636</f>
        <v>1293</v>
      </c>
      <c r="H2636" s="15">
        <v>6748000</v>
      </c>
      <c r="I2636" s="1">
        <v>44827</v>
      </c>
      <c r="J2636" s="1">
        <v>44857</v>
      </c>
      <c r="K2636" s="18" t="s">
        <v>343</v>
      </c>
      <c r="L2636" s="18" t="s">
        <v>18</v>
      </c>
      <c r="M2636" s="18" t="s">
        <v>19</v>
      </c>
      <c r="N2636" s="18" t="s">
        <v>20</v>
      </c>
      <c r="O2636">
        <v>30</v>
      </c>
    </row>
    <row r="2637" spans="1:15" x14ac:dyDescent="0.25">
      <c r="A2637" s="18" t="s">
        <v>7276</v>
      </c>
      <c r="B2637" s="18" t="s">
        <v>13</v>
      </c>
      <c r="C2637" s="18" t="s">
        <v>14</v>
      </c>
      <c r="D2637" s="18" t="s">
        <v>15</v>
      </c>
      <c r="E2637" s="18" t="s">
        <v>599</v>
      </c>
      <c r="F2637" s="2">
        <f>+J2637-I2637</f>
        <v>30</v>
      </c>
      <c r="G2637" s="2">
        <f ca="1">+TODAY()-I2637</f>
        <v>1289</v>
      </c>
      <c r="H2637" s="15">
        <v>5327333</v>
      </c>
      <c r="I2637" s="1">
        <v>44831</v>
      </c>
      <c r="J2637" s="1">
        <v>44861</v>
      </c>
      <c r="K2637" s="18" t="s">
        <v>343</v>
      </c>
      <c r="L2637" s="18" t="s">
        <v>18</v>
      </c>
      <c r="M2637" s="18" t="s">
        <v>19</v>
      </c>
      <c r="N2637" s="18" t="s">
        <v>20</v>
      </c>
      <c r="O2637">
        <v>30</v>
      </c>
    </row>
    <row r="2638" spans="1:15" x14ac:dyDescent="0.25">
      <c r="A2638" s="18" t="s">
        <v>7276</v>
      </c>
      <c r="B2638" s="18" t="s">
        <v>13</v>
      </c>
      <c r="C2638" s="18" t="s">
        <v>14</v>
      </c>
      <c r="D2638" s="18" t="s">
        <v>15</v>
      </c>
      <c r="E2638" s="18" t="s">
        <v>600</v>
      </c>
      <c r="F2638" s="2">
        <f>+J2638-I2638</f>
        <v>30</v>
      </c>
      <c r="G2638" s="2">
        <f ca="1">+TODAY()-I2638</f>
        <v>1289</v>
      </c>
      <c r="H2638" s="15">
        <v>557400</v>
      </c>
      <c r="I2638" s="1">
        <v>44831</v>
      </c>
      <c r="J2638" s="1">
        <v>44861</v>
      </c>
      <c r="K2638" s="18" t="s">
        <v>343</v>
      </c>
      <c r="L2638" s="18" t="s">
        <v>18</v>
      </c>
      <c r="M2638" s="18" t="s">
        <v>19</v>
      </c>
      <c r="N2638" s="18" t="s">
        <v>20</v>
      </c>
      <c r="O2638">
        <v>30</v>
      </c>
    </row>
    <row r="2639" spans="1:15" x14ac:dyDescent="0.25">
      <c r="A2639" s="18" t="s">
        <v>7276</v>
      </c>
      <c r="B2639" s="18" t="s">
        <v>13</v>
      </c>
      <c r="C2639" s="18" t="s">
        <v>14</v>
      </c>
      <c r="D2639" s="18" t="s">
        <v>15</v>
      </c>
      <c r="E2639" s="18" t="s">
        <v>601</v>
      </c>
      <c r="F2639" s="2">
        <f>+J2639-I2639</f>
        <v>30</v>
      </c>
      <c r="G2639" s="2">
        <f ca="1">+TODAY()-I2639</f>
        <v>1289</v>
      </c>
      <c r="H2639" s="15">
        <v>6009493</v>
      </c>
      <c r="I2639" s="1">
        <v>44831</v>
      </c>
      <c r="J2639" s="1">
        <v>44861</v>
      </c>
      <c r="K2639" s="18" t="s">
        <v>343</v>
      </c>
      <c r="L2639" s="18" t="s">
        <v>18</v>
      </c>
      <c r="M2639" s="18" t="s">
        <v>19</v>
      </c>
      <c r="N2639" s="18" t="s">
        <v>20</v>
      </c>
      <c r="O2639">
        <v>30</v>
      </c>
    </row>
    <row r="2640" spans="1:15" x14ac:dyDescent="0.25">
      <c r="A2640" s="18" t="s">
        <v>7276</v>
      </c>
      <c r="B2640" s="18" t="s">
        <v>13</v>
      </c>
      <c r="C2640" s="18" t="s">
        <v>14</v>
      </c>
      <c r="D2640" s="18" t="s">
        <v>15</v>
      </c>
      <c r="E2640" s="18" t="s">
        <v>602</v>
      </c>
      <c r="F2640" s="2">
        <f>+J2640-I2640</f>
        <v>30</v>
      </c>
      <c r="G2640" s="2">
        <f ca="1">+TODAY()-I2640</f>
        <v>1289</v>
      </c>
      <c r="H2640" s="15">
        <v>3002916</v>
      </c>
      <c r="I2640" s="1">
        <v>44831</v>
      </c>
      <c r="J2640" s="1">
        <v>44861</v>
      </c>
      <c r="K2640" s="18" t="s">
        <v>343</v>
      </c>
      <c r="L2640" s="18" t="s">
        <v>18</v>
      </c>
      <c r="M2640" s="18" t="s">
        <v>19</v>
      </c>
      <c r="N2640" s="18" t="s">
        <v>20</v>
      </c>
      <c r="O2640">
        <v>30</v>
      </c>
    </row>
    <row r="2641" spans="1:15" x14ac:dyDescent="0.25">
      <c r="A2641" s="18" t="s">
        <v>7276</v>
      </c>
      <c r="B2641" s="18" t="s">
        <v>13</v>
      </c>
      <c r="C2641" s="18" t="s">
        <v>14</v>
      </c>
      <c r="D2641" s="18" t="s">
        <v>15</v>
      </c>
      <c r="E2641" s="18" t="s">
        <v>603</v>
      </c>
      <c r="F2641" s="2">
        <f>+J2641-I2641</f>
        <v>30</v>
      </c>
      <c r="G2641" s="2">
        <f ca="1">+TODAY()-I2641</f>
        <v>1289</v>
      </c>
      <c r="H2641" s="15">
        <v>4846119</v>
      </c>
      <c r="I2641" s="1">
        <v>44831</v>
      </c>
      <c r="J2641" s="1">
        <v>44861</v>
      </c>
      <c r="K2641" s="18" t="s">
        <v>343</v>
      </c>
      <c r="L2641" s="18" t="s">
        <v>18</v>
      </c>
      <c r="M2641" s="18" t="s">
        <v>19</v>
      </c>
      <c r="N2641" s="18" t="s">
        <v>20</v>
      </c>
      <c r="O2641">
        <v>30</v>
      </c>
    </row>
    <row r="2642" spans="1:15" x14ac:dyDescent="0.25">
      <c r="A2642" s="18" t="s">
        <v>7276</v>
      </c>
      <c r="B2642" s="18" t="s">
        <v>13</v>
      </c>
      <c r="C2642" s="18" t="s">
        <v>14</v>
      </c>
      <c r="D2642" s="18" t="s">
        <v>15</v>
      </c>
      <c r="E2642" s="18" t="s">
        <v>604</v>
      </c>
      <c r="F2642" s="2">
        <f>+J2642-I2642</f>
        <v>30</v>
      </c>
      <c r="G2642" s="2">
        <f ca="1">+TODAY()-I2642</f>
        <v>1289</v>
      </c>
      <c r="H2642" s="15">
        <v>966461</v>
      </c>
      <c r="I2642" s="1">
        <v>44831</v>
      </c>
      <c r="J2642" s="1">
        <v>44861</v>
      </c>
      <c r="K2642" s="18" t="s">
        <v>343</v>
      </c>
      <c r="L2642" s="18" t="s">
        <v>18</v>
      </c>
      <c r="M2642" s="18" t="s">
        <v>19</v>
      </c>
      <c r="N2642" s="18" t="s">
        <v>20</v>
      </c>
      <c r="O2642">
        <v>30</v>
      </c>
    </row>
    <row r="2643" spans="1:15" x14ac:dyDescent="0.25">
      <c r="A2643" s="18" t="s">
        <v>7276</v>
      </c>
      <c r="B2643" s="18" t="s">
        <v>13</v>
      </c>
      <c r="C2643" s="18" t="s">
        <v>14</v>
      </c>
      <c r="D2643" s="18" t="s">
        <v>15</v>
      </c>
      <c r="E2643" s="18" t="s">
        <v>605</v>
      </c>
      <c r="F2643" s="2">
        <f>+J2643-I2643</f>
        <v>30</v>
      </c>
      <c r="G2643" s="2">
        <f ca="1">+TODAY()-I2643</f>
        <v>1274</v>
      </c>
      <c r="H2643" s="15">
        <v>5021360</v>
      </c>
      <c r="I2643" s="1">
        <v>44846</v>
      </c>
      <c r="J2643" s="1">
        <v>44876</v>
      </c>
      <c r="K2643" s="18" t="s">
        <v>343</v>
      </c>
      <c r="L2643" s="18" t="s">
        <v>18</v>
      </c>
      <c r="M2643" s="18" t="s">
        <v>19</v>
      </c>
      <c r="N2643" s="18" t="s">
        <v>20</v>
      </c>
      <c r="O2643">
        <v>30</v>
      </c>
    </row>
    <row r="2644" spans="1:15" x14ac:dyDescent="0.25">
      <c r="A2644" s="18" t="s">
        <v>7276</v>
      </c>
      <c r="B2644" s="18" t="s">
        <v>13</v>
      </c>
      <c r="C2644" s="18" t="s">
        <v>14</v>
      </c>
      <c r="D2644" s="18" t="s">
        <v>15</v>
      </c>
      <c r="E2644" s="18" t="s">
        <v>606</v>
      </c>
      <c r="F2644" s="2">
        <f>+J2644-I2644</f>
        <v>30</v>
      </c>
      <c r="G2644" s="2">
        <f ca="1">+TODAY()-I2644</f>
        <v>1274</v>
      </c>
      <c r="H2644" s="15">
        <v>2505000</v>
      </c>
      <c r="I2644" s="1">
        <v>44846</v>
      </c>
      <c r="J2644" s="1">
        <v>44876</v>
      </c>
      <c r="K2644" s="18" t="s">
        <v>343</v>
      </c>
      <c r="L2644" s="18" t="s">
        <v>18</v>
      </c>
      <c r="M2644" s="18" t="s">
        <v>19</v>
      </c>
      <c r="N2644" s="18" t="s">
        <v>20</v>
      </c>
      <c r="O2644">
        <v>30</v>
      </c>
    </row>
    <row r="2645" spans="1:15" x14ac:dyDescent="0.25">
      <c r="A2645" s="18" t="s">
        <v>7276</v>
      </c>
      <c r="B2645" s="18" t="s">
        <v>13</v>
      </c>
      <c r="C2645" s="18" t="s">
        <v>14</v>
      </c>
      <c r="D2645" s="18" t="s">
        <v>15</v>
      </c>
      <c r="E2645" s="18" t="s">
        <v>607</v>
      </c>
      <c r="F2645" s="2">
        <f>+J2645-I2645</f>
        <v>30</v>
      </c>
      <c r="G2645" s="2">
        <f ca="1">+TODAY()-I2645</f>
        <v>1274</v>
      </c>
      <c r="H2645" s="15">
        <v>1733233</v>
      </c>
      <c r="I2645" s="1">
        <v>44846</v>
      </c>
      <c r="J2645" s="1">
        <v>44876</v>
      </c>
      <c r="K2645" s="18" t="s">
        <v>343</v>
      </c>
      <c r="L2645" s="18" t="s">
        <v>18</v>
      </c>
      <c r="M2645" s="18" t="s">
        <v>19</v>
      </c>
      <c r="N2645" s="18" t="s">
        <v>20</v>
      </c>
      <c r="O2645">
        <v>30</v>
      </c>
    </row>
    <row r="2646" spans="1:15" x14ac:dyDescent="0.25">
      <c r="A2646" s="18" t="s">
        <v>7276</v>
      </c>
      <c r="B2646" s="18" t="s">
        <v>13</v>
      </c>
      <c r="C2646" s="18" t="s">
        <v>14</v>
      </c>
      <c r="D2646" s="18" t="s">
        <v>15</v>
      </c>
      <c r="E2646" s="18" t="s">
        <v>608</v>
      </c>
      <c r="F2646" s="2">
        <f>+J2646-I2646</f>
        <v>30</v>
      </c>
      <c r="G2646" s="2">
        <f ca="1">+TODAY()-I2646</f>
        <v>1274</v>
      </c>
      <c r="H2646" s="15">
        <v>5016870</v>
      </c>
      <c r="I2646" s="1">
        <v>44846</v>
      </c>
      <c r="J2646" s="1">
        <v>44876</v>
      </c>
      <c r="K2646" s="18" t="s">
        <v>343</v>
      </c>
      <c r="L2646" s="18" t="s">
        <v>18</v>
      </c>
      <c r="M2646" s="18" t="s">
        <v>19</v>
      </c>
      <c r="N2646" s="18" t="s">
        <v>20</v>
      </c>
      <c r="O2646">
        <v>30</v>
      </c>
    </row>
    <row r="2647" spans="1:15" x14ac:dyDescent="0.25">
      <c r="A2647" s="18" t="s">
        <v>7276</v>
      </c>
      <c r="B2647" s="18" t="s">
        <v>13</v>
      </c>
      <c r="C2647" s="18" t="s">
        <v>14</v>
      </c>
      <c r="D2647" s="18" t="s">
        <v>15</v>
      </c>
      <c r="E2647" s="18" t="s">
        <v>609</v>
      </c>
      <c r="F2647" s="2">
        <f>+J2647-I2647</f>
        <v>30</v>
      </c>
      <c r="G2647" s="2">
        <f ca="1">+TODAY()-I2647</f>
        <v>1274</v>
      </c>
      <c r="H2647" s="15">
        <v>1764100</v>
      </c>
      <c r="I2647" s="1">
        <v>44846</v>
      </c>
      <c r="J2647" s="1">
        <v>44876</v>
      </c>
      <c r="K2647" s="18" t="s">
        <v>343</v>
      </c>
      <c r="L2647" s="18" t="s">
        <v>18</v>
      </c>
      <c r="M2647" s="18" t="s">
        <v>19</v>
      </c>
      <c r="N2647" s="18" t="s">
        <v>20</v>
      </c>
      <c r="O2647">
        <v>30</v>
      </c>
    </row>
    <row r="2648" spans="1:15" x14ac:dyDescent="0.25">
      <c r="A2648" s="18" t="s">
        <v>7276</v>
      </c>
      <c r="B2648" s="18" t="s">
        <v>13</v>
      </c>
      <c r="C2648" s="18" t="s">
        <v>14</v>
      </c>
      <c r="D2648" s="18" t="s">
        <v>15</v>
      </c>
      <c r="E2648" s="18" t="s">
        <v>610</v>
      </c>
      <c r="F2648" s="2">
        <f>+J2648-I2648</f>
        <v>30</v>
      </c>
      <c r="G2648" s="2">
        <f ca="1">+TODAY()-I2648</f>
        <v>1272</v>
      </c>
      <c r="H2648" s="15">
        <v>5545000</v>
      </c>
      <c r="I2648" s="1">
        <v>44848</v>
      </c>
      <c r="J2648" s="1">
        <v>44878</v>
      </c>
      <c r="K2648" s="18" t="s">
        <v>343</v>
      </c>
      <c r="L2648" s="18" t="s">
        <v>18</v>
      </c>
      <c r="M2648" s="18" t="s">
        <v>19</v>
      </c>
      <c r="N2648" s="18" t="s">
        <v>20</v>
      </c>
      <c r="O2648">
        <v>30</v>
      </c>
    </row>
    <row r="2649" spans="1:15" x14ac:dyDescent="0.25">
      <c r="A2649" s="18" t="s">
        <v>7276</v>
      </c>
      <c r="B2649" s="18" t="s">
        <v>13</v>
      </c>
      <c r="C2649" s="18" t="s">
        <v>14</v>
      </c>
      <c r="D2649" s="18" t="s">
        <v>15</v>
      </c>
      <c r="E2649" s="18" t="s">
        <v>611</v>
      </c>
      <c r="F2649" s="2">
        <f>+J2649-I2649</f>
        <v>30</v>
      </c>
      <c r="G2649" s="2">
        <f ca="1">+TODAY()-I2649</f>
        <v>1272</v>
      </c>
      <c r="H2649" s="15">
        <v>1189366</v>
      </c>
      <c r="I2649" s="1">
        <v>44848</v>
      </c>
      <c r="J2649" s="1">
        <v>44878</v>
      </c>
      <c r="K2649" s="18" t="s">
        <v>343</v>
      </c>
      <c r="L2649" s="18" t="s">
        <v>18</v>
      </c>
      <c r="M2649" s="18" t="s">
        <v>19</v>
      </c>
      <c r="N2649" s="18" t="s">
        <v>20</v>
      </c>
      <c r="O2649">
        <v>30</v>
      </c>
    </row>
    <row r="2650" spans="1:15" x14ac:dyDescent="0.25">
      <c r="A2650" s="18" t="s">
        <v>7276</v>
      </c>
      <c r="B2650" s="18" t="s">
        <v>13</v>
      </c>
      <c r="C2650" s="18" t="s">
        <v>14</v>
      </c>
      <c r="D2650" s="18" t="s">
        <v>15</v>
      </c>
      <c r="E2650" s="18" t="s">
        <v>612</v>
      </c>
      <c r="F2650" s="2">
        <f>+J2650-I2650</f>
        <v>30</v>
      </c>
      <c r="G2650" s="2">
        <f ca="1">+TODAY()-I2650</f>
        <v>1266</v>
      </c>
      <c r="H2650" s="15">
        <v>4760000</v>
      </c>
      <c r="I2650" s="1">
        <v>44854</v>
      </c>
      <c r="J2650" s="1">
        <v>44884</v>
      </c>
      <c r="K2650" s="18" t="s">
        <v>343</v>
      </c>
      <c r="L2650" s="18" t="s">
        <v>18</v>
      </c>
      <c r="M2650" s="18" t="s">
        <v>19</v>
      </c>
      <c r="N2650" s="18" t="s">
        <v>20</v>
      </c>
      <c r="O2650">
        <v>30</v>
      </c>
    </row>
    <row r="2651" spans="1:15" x14ac:dyDescent="0.25">
      <c r="A2651" s="18" t="s">
        <v>7276</v>
      </c>
      <c r="B2651" s="18" t="s">
        <v>13</v>
      </c>
      <c r="C2651" s="18" t="s">
        <v>14</v>
      </c>
      <c r="D2651" s="18" t="s">
        <v>15</v>
      </c>
      <c r="E2651" s="18" t="s">
        <v>613</v>
      </c>
      <c r="F2651" s="2">
        <f>+J2651-I2651</f>
        <v>30</v>
      </c>
      <c r="G2651" s="2">
        <f ca="1">+TODAY()-I2651</f>
        <v>1260</v>
      </c>
      <c r="H2651" s="15">
        <v>7166598</v>
      </c>
      <c r="I2651" s="1">
        <v>44860</v>
      </c>
      <c r="J2651" s="1">
        <v>44890</v>
      </c>
      <c r="K2651" s="18" t="s">
        <v>343</v>
      </c>
      <c r="L2651" s="18" t="s">
        <v>18</v>
      </c>
      <c r="M2651" s="18" t="s">
        <v>19</v>
      </c>
      <c r="N2651" s="18" t="s">
        <v>20</v>
      </c>
      <c r="O2651">
        <v>30</v>
      </c>
    </row>
    <row r="2652" spans="1:15" x14ac:dyDescent="0.25">
      <c r="A2652" s="18" t="s">
        <v>7276</v>
      </c>
      <c r="B2652" s="18" t="s">
        <v>13</v>
      </c>
      <c r="C2652" s="18" t="s">
        <v>14</v>
      </c>
      <c r="D2652" s="18" t="s">
        <v>15</v>
      </c>
      <c r="E2652" s="18" t="s">
        <v>614</v>
      </c>
      <c r="F2652" s="2">
        <f>+J2652-I2652</f>
        <v>30</v>
      </c>
      <c r="G2652" s="2">
        <f ca="1">+TODAY()-I2652</f>
        <v>1260</v>
      </c>
      <c r="H2652" s="15">
        <v>1387800</v>
      </c>
      <c r="I2652" s="1">
        <v>44860</v>
      </c>
      <c r="J2652" s="1">
        <v>44890</v>
      </c>
      <c r="K2652" s="18" t="s">
        <v>343</v>
      </c>
      <c r="L2652" s="18" t="s">
        <v>18</v>
      </c>
      <c r="M2652" s="18" t="s">
        <v>19</v>
      </c>
      <c r="N2652" s="18" t="s">
        <v>20</v>
      </c>
      <c r="O2652">
        <v>30</v>
      </c>
    </row>
    <row r="2653" spans="1:15" x14ac:dyDescent="0.25">
      <c r="A2653" s="18" t="s">
        <v>7276</v>
      </c>
      <c r="B2653" s="18" t="s">
        <v>13</v>
      </c>
      <c r="C2653" s="18" t="s">
        <v>14</v>
      </c>
      <c r="D2653" s="18" t="s">
        <v>15</v>
      </c>
      <c r="E2653" s="18" t="s">
        <v>615</v>
      </c>
      <c r="F2653" s="2">
        <f>+J2653-I2653</f>
        <v>30</v>
      </c>
      <c r="G2653" s="2">
        <f ca="1">+TODAY()-I2653</f>
        <v>1260</v>
      </c>
      <c r="H2653" s="15">
        <v>1742926</v>
      </c>
      <c r="I2653" s="1">
        <v>44860</v>
      </c>
      <c r="J2653" s="1">
        <v>44890</v>
      </c>
      <c r="K2653" s="18" t="s">
        <v>343</v>
      </c>
      <c r="L2653" s="18" t="s">
        <v>18</v>
      </c>
      <c r="M2653" s="18" t="s">
        <v>19</v>
      </c>
      <c r="N2653" s="18" t="s">
        <v>20</v>
      </c>
      <c r="O2653">
        <v>30</v>
      </c>
    </row>
    <row r="2654" spans="1:15" x14ac:dyDescent="0.25">
      <c r="A2654" s="18" t="s">
        <v>7276</v>
      </c>
      <c r="B2654" s="18" t="s">
        <v>13</v>
      </c>
      <c r="C2654" s="18" t="s">
        <v>14</v>
      </c>
      <c r="D2654" s="18" t="s">
        <v>15</v>
      </c>
      <c r="E2654" s="18" t="s">
        <v>616</v>
      </c>
      <c r="F2654" s="2">
        <f>+J2654-I2654</f>
        <v>30</v>
      </c>
      <c r="G2654" s="2">
        <f ca="1">+TODAY()-I2654</f>
        <v>1260</v>
      </c>
      <c r="H2654" s="15">
        <v>2189216</v>
      </c>
      <c r="I2654" s="1">
        <v>44860</v>
      </c>
      <c r="J2654" s="1">
        <v>44890</v>
      </c>
      <c r="K2654" s="18" t="s">
        <v>343</v>
      </c>
      <c r="L2654" s="18" t="s">
        <v>18</v>
      </c>
      <c r="M2654" s="18" t="s">
        <v>19</v>
      </c>
      <c r="N2654" s="18" t="s">
        <v>20</v>
      </c>
      <c r="O2654">
        <v>30</v>
      </c>
    </row>
    <row r="2655" spans="1:15" x14ac:dyDescent="0.25">
      <c r="A2655" s="18" t="s">
        <v>7276</v>
      </c>
      <c r="B2655" s="18" t="s">
        <v>13</v>
      </c>
      <c r="C2655" s="18" t="s">
        <v>14</v>
      </c>
      <c r="D2655" s="18" t="s">
        <v>15</v>
      </c>
      <c r="E2655" s="18" t="s">
        <v>617</v>
      </c>
      <c r="F2655" s="2">
        <f>+J2655-I2655</f>
        <v>30</v>
      </c>
      <c r="G2655" s="2">
        <f ca="1">+TODAY()-I2655</f>
        <v>1260</v>
      </c>
      <c r="H2655" s="15">
        <v>2164684</v>
      </c>
      <c r="I2655" s="1">
        <v>44860</v>
      </c>
      <c r="J2655" s="1">
        <v>44890</v>
      </c>
      <c r="K2655" s="18" t="s">
        <v>343</v>
      </c>
      <c r="L2655" s="18" t="s">
        <v>18</v>
      </c>
      <c r="M2655" s="18" t="s">
        <v>19</v>
      </c>
      <c r="N2655" s="18" t="s">
        <v>20</v>
      </c>
      <c r="O2655">
        <v>30</v>
      </c>
    </row>
    <row r="2656" spans="1:15" x14ac:dyDescent="0.25">
      <c r="A2656" s="18" t="s">
        <v>7276</v>
      </c>
      <c r="B2656" s="18" t="s">
        <v>13</v>
      </c>
      <c r="C2656" s="18" t="s">
        <v>14</v>
      </c>
      <c r="D2656" s="18" t="s">
        <v>15</v>
      </c>
      <c r="E2656" s="18" t="s">
        <v>618</v>
      </c>
      <c r="F2656" s="2">
        <f>+J2656-I2656</f>
        <v>30</v>
      </c>
      <c r="G2656" s="2">
        <f ca="1">+TODAY()-I2656</f>
        <v>1244</v>
      </c>
      <c r="H2656" s="15">
        <v>7695911</v>
      </c>
      <c r="I2656" s="1">
        <v>44876</v>
      </c>
      <c r="J2656" s="1">
        <v>44906</v>
      </c>
      <c r="K2656" s="18" t="s">
        <v>343</v>
      </c>
      <c r="L2656" s="18" t="s">
        <v>18</v>
      </c>
      <c r="M2656" s="18" t="s">
        <v>19</v>
      </c>
      <c r="N2656" s="18" t="s">
        <v>20</v>
      </c>
      <c r="O2656">
        <v>30</v>
      </c>
    </row>
    <row r="2657" spans="1:15" x14ac:dyDescent="0.25">
      <c r="A2657" s="18" t="s">
        <v>7276</v>
      </c>
      <c r="B2657" s="18" t="s">
        <v>13</v>
      </c>
      <c r="C2657" s="18" t="s">
        <v>14</v>
      </c>
      <c r="D2657" s="18" t="s">
        <v>15</v>
      </c>
      <c r="E2657" s="18" t="s">
        <v>619</v>
      </c>
      <c r="F2657" s="2">
        <f>+J2657-I2657</f>
        <v>30</v>
      </c>
      <c r="G2657" s="2">
        <f ca="1">+TODAY()-I2657</f>
        <v>1244</v>
      </c>
      <c r="H2657" s="15">
        <v>4263800</v>
      </c>
      <c r="I2657" s="1">
        <v>44876</v>
      </c>
      <c r="J2657" s="1">
        <v>44906</v>
      </c>
      <c r="K2657" s="18" t="s">
        <v>343</v>
      </c>
      <c r="L2657" s="18" t="s">
        <v>18</v>
      </c>
      <c r="M2657" s="18" t="s">
        <v>19</v>
      </c>
      <c r="N2657" s="18" t="s">
        <v>20</v>
      </c>
      <c r="O2657">
        <v>30</v>
      </c>
    </row>
    <row r="2658" spans="1:15" x14ac:dyDescent="0.25">
      <c r="A2658" s="18" t="s">
        <v>7276</v>
      </c>
      <c r="B2658" s="18" t="s">
        <v>13</v>
      </c>
      <c r="C2658" s="18" t="s">
        <v>14</v>
      </c>
      <c r="D2658" s="18" t="s">
        <v>15</v>
      </c>
      <c r="E2658" s="18" t="s">
        <v>620</v>
      </c>
      <c r="F2658" s="2">
        <f>+J2658-I2658</f>
        <v>30</v>
      </c>
      <c r="G2658" s="2">
        <f ca="1">+TODAY()-I2658</f>
        <v>1244</v>
      </c>
      <c r="H2658" s="15">
        <v>3207168</v>
      </c>
      <c r="I2658" s="1">
        <v>44876</v>
      </c>
      <c r="J2658" s="1">
        <v>44906</v>
      </c>
      <c r="K2658" s="18" t="s">
        <v>343</v>
      </c>
      <c r="L2658" s="18" t="s">
        <v>18</v>
      </c>
      <c r="M2658" s="18" t="s">
        <v>19</v>
      </c>
      <c r="N2658" s="18" t="s">
        <v>20</v>
      </c>
      <c r="O2658">
        <v>30</v>
      </c>
    </row>
    <row r="2659" spans="1:15" x14ac:dyDescent="0.25">
      <c r="A2659" s="18" t="s">
        <v>7276</v>
      </c>
      <c r="B2659" s="18" t="s">
        <v>13</v>
      </c>
      <c r="C2659" s="18" t="s">
        <v>14</v>
      </c>
      <c r="D2659" s="18" t="s">
        <v>15</v>
      </c>
      <c r="E2659" s="18" t="s">
        <v>621</v>
      </c>
      <c r="F2659" s="2">
        <f>+J2659-I2659</f>
        <v>30</v>
      </c>
      <c r="G2659" s="2">
        <f ca="1">+TODAY()-I2659</f>
        <v>1244</v>
      </c>
      <c r="H2659" s="15">
        <v>2721163</v>
      </c>
      <c r="I2659" s="1">
        <v>44876</v>
      </c>
      <c r="J2659" s="1">
        <v>44906</v>
      </c>
      <c r="K2659" s="18" t="s">
        <v>343</v>
      </c>
      <c r="L2659" s="18" t="s">
        <v>18</v>
      </c>
      <c r="M2659" s="18" t="s">
        <v>19</v>
      </c>
      <c r="N2659" s="18" t="s">
        <v>20</v>
      </c>
      <c r="O2659">
        <v>30</v>
      </c>
    </row>
    <row r="2660" spans="1:15" x14ac:dyDescent="0.25">
      <c r="A2660" s="18" t="s">
        <v>7276</v>
      </c>
      <c r="B2660" s="18" t="s">
        <v>13</v>
      </c>
      <c r="C2660" s="18" t="s">
        <v>14</v>
      </c>
      <c r="D2660" s="18" t="s">
        <v>15</v>
      </c>
      <c r="E2660" s="18" t="s">
        <v>622</v>
      </c>
      <c r="F2660" s="2">
        <f>+J2660-I2660</f>
        <v>30</v>
      </c>
      <c r="G2660" s="2">
        <f ca="1">+TODAY()-I2660</f>
        <v>1244</v>
      </c>
      <c r="H2660" s="15">
        <v>6415993</v>
      </c>
      <c r="I2660" s="1">
        <v>44876</v>
      </c>
      <c r="J2660" s="1">
        <v>44906</v>
      </c>
      <c r="K2660" s="18" t="s">
        <v>343</v>
      </c>
      <c r="L2660" s="18" t="s">
        <v>18</v>
      </c>
      <c r="M2660" s="18" t="s">
        <v>19</v>
      </c>
      <c r="N2660" s="18" t="s">
        <v>20</v>
      </c>
      <c r="O2660">
        <v>30</v>
      </c>
    </row>
    <row r="2661" spans="1:15" x14ac:dyDescent="0.25">
      <c r="A2661" s="18" t="s">
        <v>7276</v>
      </c>
      <c r="B2661" s="18" t="s">
        <v>13</v>
      </c>
      <c r="C2661" s="18" t="s">
        <v>14</v>
      </c>
      <c r="D2661" s="18" t="s">
        <v>15</v>
      </c>
      <c r="E2661" s="18" t="s">
        <v>623</v>
      </c>
      <c r="F2661" s="2">
        <f>+J2661-I2661</f>
        <v>30</v>
      </c>
      <c r="G2661" s="2">
        <f ca="1">+TODAY()-I2661</f>
        <v>1233</v>
      </c>
      <c r="H2661" s="15">
        <v>3554323</v>
      </c>
      <c r="I2661" s="1">
        <v>44887</v>
      </c>
      <c r="J2661" s="1">
        <v>44917</v>
      </c>
      <c r="K2661" s="18" t="s">
        <v>343</v>
      </c>
      <c r="L2661" s="18" t="s">
        <v>18</v>
      </c>
      <c r="M2661" s="18" t="s">
        <v>19</v>
      </c>
      <c r="N2661" s="18" t="s">
        <v>20</v>
      </c>
      <c r="O2661">
        <v>30</v>
      </c>
    </row>
    <row r="2662" spans="1:15" x14ac:dyDescent="0.25">
      <c r="A2662" s="18" t="s">
        <v>7276</v>
      </c>
      <c r="B2662" s="18" t="s">
        <v>13</v>
      </c>
      <c r="C2662" s="18" t="s">
        <v>14</v>
      </c>
      <c r="D2662" s="18" t="s">
        <v>15</v>
      </c>
      <c r="E2662" s="18" t="s">
        <v>624</v>
      </c>
      <c r="F2662" s="2">
        <f>+J2662-I2662</f>
        <v>30</v>
      </c>
      <c r="G2662" s="2">
        <f ca="1">+TODAY()-I2662</f>
        <v>1233</v>
      </c>
      <c r="H2662" s="15">
        <v>4461800</v>
      </c>
      <c r="I2662" s="1">
        <v>44887</v>
      </c>
      <c r="J2662" s="1">
        <v>44917</v>
      </c>
      <c r="K2662" s="18" t="s">
        <v>343</v>
      </c>
      <c r="L2662" s="18" t="s">
        <v>18</v>
      </c>
      <c r="M2662" s="18" t="s">
        <v>19</v>
      </c>
      <c r="N2662" s="18" t="s">
        <v>20</v>
      </c>
      <c r="O2662">
        <v>30</v>
      </c>
    </row>
    <row r="2663" spans="1:15" x14ac:dyDescent="0.25">
      <c r="A2663" s="18" t="s">
        <v>7276</v>
      </c>
      <c r="B2663" s="18" t="s">
        <v>13</v>
      </c>
      <c r="C2663" s="18" t="s">
        <v>14</v>
      </c>
      <c r="D2663" s="18" t="s">
        <v>15</v>
      </c>
      <c r="E2663" s="18" t="s">
        <v>625</v>
      </c>
      <c r="F2663" s="2">
        <f>+J2663-I2663</f>
        <v>30</v>
      </c>
      <c r="G2663" s="2">
        <f ca="1">+TODAY()-I2663</f>
        <v>1233</v>
      </c>
      <c r="H2663" s="15">
        <v>2133500</v>
      </c>
      <c r="I2663" s="1">
        <v>44887</v>
      </c>
      <c r="J2663" s="1">
        <v>44917</v>
      </c>
      <c r="K2663" s="18" t="s">
        <v>343</v>
      </c>
      <c r="L2663" s="18" t="s">
        <v>18</v>
      </c>
      <c r="M2663" s="18" t="s">
        <v>19</v>
      </c>
      <c r="N2663" s="18" t="s">
        <v>20</v>
      </c>
      <c r="O2663">
        <v>30</v>
      </c>
    </row>
    <row r="2664" spans="1:15" x14ac:dyDescent="0.25">
      <c r="A2664" s="18" t="s">
        <v>7276</v>
      </c>
      <c r="B2664" s="18" t="s">
        <v>13</v>
      </c>
      <c r="C2664" s="18" t="s">
        <v>14</v>
      </c>
      <c r="D2664" s="18" t="s">
        <v>15</v>
      </c>
      <c r="E2664" s="18" t="s">
        <v>637</v>
      </c>
      <c r="F2664" s="2">
        <f>+J2664-I2664</f>
        <v>1</v>
      </c>
      <c r="G2664" s="2">
        <f ca="1">+TODAY()-I2664</f>
        <v>1761</v>
      </c>
      <c r="H2664" s="15">
        <v>1319209</v>
      </c>
      <c r="I2664" s="1">
        <v>44359</v>
      </c>
      <c r="J2664" s="1">
        <v>44360</v>
      </c>
      <c r="K2664" s="18" t="s">
        <v>638</v>
      </c>
      <c r="L2664" s="18" t="s">
        <v>317</v>
      </c>
      <c r="M2664" s="18" t="s">
        <v>19</v>
      </c>
      <c r="N2664" s="18" t="s">
        <v>20</v>
      </c>
      <c r="O2664">
        <v>30</v>
      </c>
    </row>
    <row r="2665" spans="1:15" x14ac:dyDescent="0.25">
      <c r="A2665" s="18" t="s">
        <v>7276</v>
      </c>
      <c r="B2665" s="18" t="s">
        <v>13</v>
      </c>
      <c r="C2665" s="18" t="s">
        <v>14</v>
      </c>
      <c r="D2665" s="18" t="s">
        <v>15</v>
      </c>
      <c r="E2665" s="18" t="s">
        <v>639</v>
      </c>
      <c r="F2665" s="2">
        <f>+J2665-I2665</f>
        <v>30</v>
      </c>
      <c r="G2665" s="2">
        <f ca="1">+TODAY()-I2665</f>
        <v>1743</v>
      </c>
      <c r="H2665" s="15">
        <v>1200000</v>
      </c>
      <c r="I2665" s="1">
        <v>44377</v>
      </c>
      <c r="J2665" s="1">
        <v>44407</v>
      </c>
      <c r="K2665" s="18" t="s">
        <v>638</v>
      </c>
      <c r="L2665" s="18" t="s">
        <v>18</v>
      </c>
      <c r="M2665" s="18" t="s">
        <v>19</v>
      </c>
      <c r="N2665" s="18" t="s">
        <v>20</v>
      </c>
      <c r="O2665">
        <v>30</v>
      </c>
    </row>
    <row r="2666" spans="1:15" x14ac:dyDescent="0.25">
      <c r="A2666" s="18" t="s">
        <v>7276</v>
      </c>
      <c r="B2666" s="18" t="s">
        <v>13</v>
      </c>
      <c r="C2666" s="18" t="s">
        <v>14</v>
      </c>
      <c r="D2666" s="18" t="s">
        <v>15</v>
      </c>
      <c r="E2666" s="18" t="s">
        <v>667</v>
      </c>
      <c r="F2666" s="2">
        <f>+J2666-I2666</f>
        <v>30</v>
      </c>
      <c r="G2666" s="2">
        <f ca="1">+TODAY()-I2666</f>
        <v>1856</v>
      </c>
      <c r="H2666" s="15">
        <v>16043822</v>
      </c>
      <c r="I2666" s="1">
        <v>44264</v>
      </c>
      <c r="J2666" s="1">
        <v>44294</v>
      </c>
      <c r="K2666" s="18" t="s">
        <v>638</v>
      </c>
      <c r="L2666" s="18" t="s">
        <v>18</v>
      </c>
      <c r="M2666" s="18" t="s">
        <v>19</v>
      </c>
      <c r="N2666" s="18" t="s">
        <v>20</v>
      </c>
      <c r="O2666">
        <v>30</v>
      </c>
    </row>
    <row r="2667" spans="1:15" x14ac:dyDescent="0.25">
      <c r="A2667" s="18" t="s">
        <v>7276</v>
      </c>
      <c r="B2667" s="18" t="s">
        <v>13</v>
      </c>
      <c r="C2667" s="18" t="s">
        <v>14</v>
      </c>
      <c r="D2667" s="18" t="s">
        <v>15</v>
      </c>
      <c r="E2667" s="18" t="s">
        <v>668</v>
      </c>
      <c r="F2667" s="2">
        <f>+J2667-I2667</f>
        <v>30.000347222223354</v>
      </c>
      <c r="G2667" s="2">
        <f ca="1">+TODAY()-I2667</f>
        <v>1852</v>
      </c>
      <c r="H2667" s="15">
        <v>185983</v>
      </c>
      <c r="I2667" s="1">
        <v>44268</v>
      </c>
      <c r="J2667" s="1">
        <v>44298.000347222223</v>
      </c>
      <c r="K2667" s="18" t="s">
        <v>638</v>
      </c>
      <c r="L2667" s="18" t="s">
        <v>47</v>
      </c>
      <c r="M2667" s="18" t="s">
        <v>19</v>
      </c>
      <c r="N2667" s="18" t="s">
        <v>20</v>
      </c>
      <c r="O2667">
        <v>30</v>
      </c>
    </row>
    <row r="2668" spans="1:15" x14ac:dyDescent="0.25">
      <c r="A2668" s="18" t="s">
        <v>7276</v>
      </c>
      <c r="B2668" s="18" t="s">
        <v>13</v>
      </c>
      <c r="C2668" s="18" t="s">
        <v>14</v>
      </c>
      <c r="D2668" s="18" t="s">
        <v>15</v>
      </c>
      <c r="E2668" s="18" t="s">
        <v>669</v>
      </c>
      <c r="F2668" s="2">
        <f>+J2668-I2668</f>
        <v>30</v>
      </c>
      <c r="G2668" s="2">
        <f ca="1">+TODAY()-I2668</f>
        <v>1841</v>
      </c>
      <c r="H2668" s="15">
        <v>31434480</v>
      </c>
      <c r="I2668" s="1">
        <v>44279</v>
      </c>
      <c r="J2668" s="1">
        <v>44309</v>
      </c>
      <c r="K2668" s="18" t="s">
        <v>638</v>
      </c>
      <c r="L2668" s="18" t="s">
        <v>18</v>
      </c>
      <c r="M2668" s="18" t="s">
        <v>19</v>
      </c>
      <c r="N2668" s="18" t="s">
        <v>20</v>
      </c>
      <c r="O2668">
        <v>30</v>
      </c>
    </row>
    <row r="2669" spans="1:15" x14ac:dyDescent="0.25">
      <c r="A2669" s="18" t="s">
        <v>7276</v>
      </c>
      <c r="B2669" s="18" t="s">
        <v>13</v>
      </c>
      <c r="C2669" s="18" t="s">
        <v>14</v>
      </c>
      <c r="D2669" s="18" t="s">
        <v>15</v>
      </c>
      <c r="E2669" s="18" t="s">
        <v>670</v>
      </c>
      <c r="F2669" s="2">
        <f>+J2669-I2669</f>
        <v>30</v>
      </c>
      <c r="G2669" s="2">
        <f ca="1">+TODAY()-I2669</f>
        <v>1841</v>
      </c>
      <c r="H2669" s="15">
        <v>13312910</v>
      </c>
      <c r="I2669" s="1">
        <v>44279</v>
      </c>
      <c r="J2669" s="1">
        <v>44309</v>
      </c>
      <c r="K2669" s="18" t="s">
        <v>638</v>
      </c>
      <c r="L2669" s="18" t="s">
        <v>18</v>
      </c>
      <c r="M2669" s="18" t="s">
        <v>19</v>
      </c>
      <c r="N2669" s="18" t="s">
        <v>20</v>
      </c>
      <c r="O2669">
        <v>30</v>
      </c>
    </row>
    <row r="2670" spans="1:15" x14ac:dyDescent="0.25">
      <c r="A2670" s="18" t="s">
        <v>7276</v>
      </c>
      <c r="B2670" s="18" t="s">
        <v>13</v>
      </c>
      <c r="C2670" s="18" t="s">
        <v>14</v>
      </c>
      <c r="D2670" s="18" t="s">
        <v>15</v>
      </c>
      <c r="E2670" s="18" t="s">
        <v>671</v>
      </c>
      <c r="F2670" s="2">
        <f>+J2670-I2670</f>
        <v>30</v>
      </c>
      <c r="G2670" s="2">
        <f ca="1">+TODAY()-I2670</f>
        <v>1841</v>
      </c>
      <c r="H2670" s="15">
        <v>4130957</v>
      </c>
      <c r="I2670" s="1">
        <v>44279</v>
      </c>
      <c r="J2670" s="1">
        <v>44309</v>
      </c>
      <c r="K2670" s="18" t="s">
        <v>638</v>
      </c>
      <c r="L2670" s="18" t="s">
        <v>18</v>
      </c>
      <c r="M2670" s="18" t="s">
        <v>19</v>
      </c>
      <c r="N2670" s="18" t="s">
        <v>20</v>
      </c>
      <c r="O2670">
        <v>30</v>
      </c>
    </row>
    <row r="2671" spans="1:15" x14ac:dyDescent="0.25">
      <c r="A2671" s="18" t="s">
        <v>7276</v>
      </c>
      <c r="B2671" s="18" t="s">
        <v>13</v>
      </c>
      <c r="C2671" s="18" t="s">
        <v>14</v>
      </c>
      <c r="D2671" s="18" t="s">
        <v>15</v>
      </c>
      <c r="E2671" s="18" t="s">
        <v>672</v>
      </c>
      <c r="F2671" s="2">
        <f>+J2671-I2671</f>
        <v>30</v>
      </c>
      <c r="G2671" s="2">
        <f ca="1">+TODAY()-I2671</f>
        <v>1828</v>
      </c>
      <c r="H2671" s="15">
        <v>7592277</v>
      </c>
      <c r="I2671" s="1">
        <v>44292</v>
      </c>
      <c r="J2671" s="1">
        <v>44322</v>
      </c>
      <c r="K2671" s="18" t="s">
        <v>638</v>
      </c>
      <c r="L2671" s="18" t="s">
        <v>18</v>
      </c>
      <c r="M2671" s="18" t="s">
        <v>19</v>
      </c>
      <c r="N2671" s="18" t="s">
        <v>20</v>
      </c>
      <c r="O2671">
        <v>30</v>
      </c>
    </row>
    <row r="2672" spans="1:15" x14ac:dyDescent="0.25">
      <c r="A2672" s="18" t="s">
        <v>7276</v>
      </c>
      <c r="B2672" s="18" t="s">
        <v>13</v>
      </c>
      <c r="C2672" s="18" t="s">
        <v>14</v>
      </c>
      <c r="D2672" s="18" t="s">
        <v>15</v>
      </c>
      <c r="E2672" s="18" t="s">
        <v>673</v>
      </c>
      <c r="F2672" s="2">
        <f>+J2672-I2672</f>
        <v>30</v>
      </c>
      <c r="G2672" s="2">
        <f ca="1">+TODAY()-I2672</f>
        <v>1814</v>
      </c>
      <c r="H2672" s="15">
        <v>1810666</v>
      </c>
      <c r="I2672" s="1">
        <v>44306</v>
      </c>
      <c r="J2672" s="1">
        <v>44336</v>
      </c>
      <c r="K2672" s="18" t="s">
        <v>638</v>
      </c>
      <c r="L2672" s="18" t="s">
        <v>18</v>
      </c>
      <c r="M2672" s="18" t="s">
        <v>19</v>
      </c>
      <c r="N2672" s="18" t="s">
        <v>20</v>
      </c>
      <c r="O2672">
        <v>30</v>
      </c>
    </row>
    <row r="2673" spans="1:15" x14ac:dyDescent="0.25">
      <c r="A2673" s="18" t="s">
        <v>7276</v>
      </c>
      <c r="B2673" s="18" t="s">
        <v>13</v>
      </c>
      <c r="C2673" s="18" t="s">
        <v>14</v>
      </c>
      <c r="D2673" s="18" t="s">
        <v>15</v>
      </c>
      <c r="E2673" s="18" t="s">
        <v>674</v>
      </c>
      <c r="F2673" s="2">
        <f>+J2673-I2673</f>
        <v>30</v>
      </c>
      <c r="G2673" s="2">
        <f ca="1">+TODAY()-I2673</f>
        <v>1813</v>
      </c>
      <c r="H2673" s="15">
        <v>10427367</v>
      </c>
      <c r="I2673" s="1">
        <v>44307</v>
      </c>
      <c r="J2673" s="1">
        <v>44337</v>
      </c>
      <c r="K2673" s="18" t="s">
        <v>638</v>
      </c>
      <c r="L2673" s="18" t="s">
        <v>18</v>
      </c>
      <c r="M2673" s="18" t="s">
        <v>19</v>
      </c>
      <c r="N2673" s="18" t="s">
        <v>20</v>
      </c>
      <c r="O2673">
        <v>30</v>
      </c>
    </row>
    <row r="2674" spans="1:15" x14ac:dyDescent="0.25">
      <c r="A2674" s="18" t="s">
        <v>7276</v>
      </c>
      <c r="B2674" s="18" t="s">
        <v>13</v>
      </c>
      <c r="C2674" s="18" t="s">
        <v>14</v>
      </c>
      <c r="D2674" s="18" t="s">
        <v>15</v>
      </c>
      <c r="E2674" s="18" t="s">
        <v>675</v>
      </c>
      <c r="F2674" s="2">
        <f>+J2674-I2674</f>
        <v>30</v>
      </c>
      <c r="G2674" s="2">
        <f ca="1">+TODAY()-I2674</f>
        <v>1813</v>
      </c>
      <c r="H2674" s="15">
        <v>394685</v>
      </c>
      <c r="I2674" s="1">
        <v>44307</v>
      </c>
      <c r="J2674" s="1">
        <v>44337</v>
      </c>
      <c r="K2674" s="18" t="s">
        <v>638</v>
      </c>
      <c r="L2674" s="18" t="s">
        <v>18</v>
      </c>
      <c r="M2674" s="18" t="s">
        <v>19</v>
      </c>
      <c r="N2674" s="18" t="s">
        <v>20</v>
      </c>
      <c r="O2674">
        <v>30</v>
      </c>
    </row>
    <row r="2675" spans="1:15" x14ac:dyDescent="0.25">
      <c r="A2675" s="18" t="s">
        <v>7276</v>
      </c>
      <c r="B2675" s="18" t="s">
        <v>13</v>
      </c>
      <c r="C2675" s="18" t="s">
        <v>14</v>
      </c>
      <c r="D2675" s="18" t="s">
        <v>15</v>
      </c>
      <c r="E2675" s="18" t="s">
        <v>676</v>
      </c>
      <c r="F2675" s="2">
        <f>+J2675-I2675</f>
        <v>1</v>
      </c>
      <c r="G2675" s="2">
        <f ca="1">+TODAY()-I2675</f>
        <v>1804</v>
      </c>
      <c r="H2675" s="15">
        <v>1992333</v>
      </c>
      <c r="I2675" s="1">
        <v>44316</v>
      </c>
      <c r="J2675" s="1">
        <v>44317</v>
      </c>
      <c r="K2675" s="18" t="s">
        <v>638</v>
      </c>
      <c r="L2675" s="18" t="s">
        <v>317</v>
      </c>
      <c r="M2675" s="18" t="s">
        <v>19</v>
      </c>
      <c r="N2675" s="18" t="s">
        <v>20</v>
      </c>
      <c r="O2675">
        <v>30</v>
      </c>
    </row>
    <row r="2676" spans="1:15" x14ac:dyDescent="0.25">
      <c r="A2676" s="18" t="s">
        <v>7276</v>
      </c>
      <c r="B2676" s="18" t="s">
        <v>13</v>
      </c>
      <c r="C2676" s="18" t="s">
        <v>14</v>
      </c>
      <c r="D2676" s="18" t="s">
        <v>15</v>
      </c>
      <c r="E2676" s="18" t="s">
        <v>677</v>
      </c>
      <c r="F2676" s="2">
        <f>+J2676-I2676</f>
        <v>30</v>
      </c>
      <c r="G2676" s="2">
        <f ca="1">+TODAY()-I2676</f>
        <v>1801</v>
      </c>
      <c r="H2676" s="15">
        <v>539035</v>
      </c>
      <c r="I2676" s="1">
        <v>44319</v>
      </c>
      <c r="J2676" s="1">
        <v>44349</v>
      </c>
      <c r="K2676" s="18" t="s">
        <v>638</v>
      </c>
      <c r="L2676" s="18" t="s">
        <v>18</v>
      </c>
      <c r="M2676" s="18" t="s">
        <v>19</v>
      </c>
      <c r="N2676" s="18" t="s">
        <v>20</v>
      </c>
      <c r="O2676">
        <v>30</v>
      </c>
    </row>
    <row r="2677" spans="1:15" x14ac:dyDescent="0.25">
      <c r="A2677" s="18" t="s">
        <v>7276</v>
      </c>
      <c r="B2677" s="18" t="s">
        <v>13</v>
      </c>
      <c r="C2677" s="18" t="s">
        <v>14</v>
      </c>
      <c r="D2677" s="18" t="s">
        <v>15</v>
      </c>
      <c r="E2677" s="18" t="s">
        <v>678</v>
      </c>
      <c r="F2677" s="2">
        <f>+J2677-I2677</f>
        <v>30</v>
      </c>
      <c r="G2677" s="2">
        <f ca="1">+TODAY()-I2677</f>
        <v>1799</v>
      </c>
      <c r="H2677" s="15">
        <v>16483678</v>
      </c>
      <c r="I2677" s="1">
        <v>44321</v>
      </c>
      <c r="J2677" s="1">
        <v>44351</v>
      </c>
      <c r="K2677" s="18" t="s">
        <v>638</v>
      </c>
      <c r="L2677" s="18" t="s">
        <v>18</v>
      </c>
      <c r="M2677" s="18" t="s">
        <v>19</v>
      </c>
      <c r="N2677" s="18" t="s">
        <v>20</v>
      </c>
      <c r="O2677">
        <v>30</v>
      </c>
    </row>
    <row r="2678" spans="1:15" x14ac:dyDescent="0.25">
      <c r="A2678" s="18" t="s">
        <v>7276</v>
      </c>
      <c r="B2678" s="18" t="s">
        <v>13</v>
      </c>
      <c r="C2678" s="18" t="s">
        <v>14</v>
      </c>
      <c r="D2678" s="18" t="s">
        <v>15</v>
      </c>
      <c r="E2678" s="18" t="s">
        <v>679</v>
      </c>
      <c r="F2678" s="2">
        <f>+J2678-I2678</f>
        <v>30</v>
      </c>
      <c r="G2678" s="2">
        <f ca="1">+TODAY()-I2678</f>
        <v>1799</v>
      </c>
      <c r="H2678" s="15">
        <v>3794948</v>
      </c>
      <c r="I2678" s="1">
        <v>44321</v>
      </c>
      <c r="J2678" s="1">
        <v>44351</v>
      </c>
      <c r="K2678" s="18" t="s">
        <v>638</v>
      </c>
      <c r="L2678" s="18" t="s">
        <v>18</v>
      </c>
      <c r="M2678" s="18" t="s">
        <v>19</v>
      </c>
      <c r="N2678" s="18" t="s">
        <v>20</v>
      </c>
      <c r="O2678">
        <v>30</v>
      </c>
    </row>
    <row r="2679" spans="1:15" x14ac:dyDescent="0.25">
      <c r="A2679" s="18" t="s">
        <v>7276</v>
      </c>
      <c r="B2679" s="18" t="s">
        <v>13</v>
      </c>
      <c r="C2679" s="18" t="s">
        <v>14</v>
      </c>
      <c r="D2679" s="18" t="s">
        <v>15</v>
      </c>
      <c r="E2679" s="18" t="s">
        <v>680</v>
      </c>
      <c r="F2679" s="2">
        <f>+J2679-I2679</f>
        <v>30</v>
      </c>
      <c r="G2679" s="2">
        <f ca="1">+TODAY()-I2679</f>
        <v>1785</v>
      </c>
      <c r="H2679" s="15">
        <v>7185004</v>
      </c>
      <c r="I2679" s="1">
        <v>44335</v>
      </c>
      <c r="J2679" s="1">
        <v>44365</v>
      </c>
      <c r="K2679" s="18" t="s">
        <v>638</v>
      </c>
      <c r="L2679" s="18" t="s">
        <v>18</v>
      </c>
      <c r="M2679" s="18" t="s">
        <v>19</v>
      </c>
      <c r="N2679" s="18" t="s">
        <v>20</v>
      </c>
      <c r="O2679">
        <v>30</v>
      </c>
    </row>
    <row r="2680" spans="1:15" x14ac:dyDescent="0.25">
      <c r="A2680" s="18" t="s">
        <v>7276</v>
      </c>
      <c r="B2680" s="18" t="s">
        <v>13</v>
      </c>
      <c r="C2680" s="18" t="s">
        <v>14</v>
      </c>
      <c r="D2680" s="18" t="s">
        <v>15</v>
      </c>
      <c r="E2680" s="18" t="s">
        <v>681</v>
      </c>
      <c r="F2680" s="2">
        <f>+J2680-I2680</f>
        <v>30</v>
      </c>
      <c r="G2680" s="2">
        <f ca="1">+TODAY()-I2680</f>
        <v>1784</v>
      </c>
      <c r="H2680" s="15">
        <v>14556010</v>
      </c>
      <c r="I2680" s="1">
        <v>44336</v>
      </c>
      <c r="J2680" s="1">
        <v>44366</v>
      </c>
      <c r="K2680" s="18" t="s">
        <v>638</v>
      </c>
      <c r="L2680" s="18" t="s">
        <v>18</v>
      </c>
      <c r="M2680" s="18" t="s">
        <v>19</v>
      </c>
      <c r="N2680" s="18" t="s">
        <v>20</v>
      </c>
      <c r="O2680">
        <v>30</v>
      </c>
    </row>
    <row r="2681" spans="1:15" x14ac:dyDescent="0.25">
      <c r="A2681" s="18" t="s">
        <v>7276</v>
      </c>
      <c r="B2681" s="18" t="s">
        <v>13</v>
      </c>
      <c r="C2681" s="18" t="s">
        <v>14</v>
      </c>
      <c r="D2681" s="18" t="s">
        <v>15</v>
      </c>
      <c r="E2681" s="18" t="s">
        <v>682</v>
      </c>
      <c r="F2681" s="2">
        <f>+J2681-I2681</f>
        <v>30</v>
      </c>
      <c r="G2681" s="2">
        <f ca="1">+TODAY()-I2681</f>
        <v>1780</v>
      </c>
      <c r="H2681" s="15">
        <v>1678436</v>
      </c>
      <c r="I2681" s="1">
        <v>44340</v>
      </c>
      <c r="J2681" s="1">
        <v>44370</v>
      </c>
      <c r="K2681" s="18" t="s">
        <v>638</v>
      </c>
      <c r="L2681" s="18" t="s">
        <v>47</v>
      </c>
      <c r="M2681" s="18" t="s">
        <v>19</v>
      </c>
      <c r="N2681" s="18" t="s">
        <v>20</v>
      </c>
      <c r="O2681">
        <v>30</v>
      </c>
    </row>
    <row r="2682" spans="1:15" x14ac:dyDescent="0.25">
      <c r="A2682" s="18" t="s">
        <v>7276</v>
      </c>
      <c r="B2682" s="18" t="s">
        <v>13</v>
      </c>
      <c r="C2682" s="18" t="s">
        <v>14</v>
      </c>
      <c r="D2682" s="18" t="s">
        <v>15</v>
      </c>
      <c r="E2682" s="18" t="s">
        <v>683</v>
      </c>
      <c r="F2682" s="2">
        <f>+J2682-I2682</f>
        <v>30</v>
      </c>
      <c r="G2682" s="2">
        <f ca="1">+TODAY()-I2682</f>
        <v>1772</v>
      </c>
      <c r="H2682" s="15">
        <v>12193601</v>
      </c>
      <c r="I2682" s="1">
        <v>44348</v>
      </c>
      <c r="J2682" s="1">
        <v>44378</v>
      </c>
      <c r="K2682" s="18" t="s">
        <v>638</v>
      </c>
      <c r="L2682" s="18" t="s">
        <v>18</v>
      </c>
      <c r="M2682" s="18" t="s">
        <v>19</v>
      </c>
      <c r="N2682" s="18" t="s">
        <v>20</v>
      </c>
      <c r="O2682">
        <v>30</v>
      </c>
    </row>
    <row r="2683" spans="1:15" x14ac:dyDescent="0.25">
      <c r="A2683" s="18" t="s">
        <v>7276</v>
      </c>
      <c r="B2683" s="18" t="s">
        <v>13</v>
      </c>
      <c r="C2683" s="18" t="s">
        <v>14</v>
      </c>
      <c r="D2683" s="18" t="s">
        <v>15</v>
      </c>
      <c r="E2683" s="18" t="s">
        <v>684</v>
      </c>
      <c r="F2683" s="2">
        <f>+J2683-I2683</f>
        <v>30</v>
      </c>
      <c r="G2683" s="2">
        <f ca="1">+TODAY()-I2683</f>
        <v>1772</v>
      </c>
      <c r="H2683" s="15">
        <v>467557</v>
      </c>
      <c r="I2683" s="1">
        <v>44348</v>
      </c>
      <c r="J2683" s="1">
        <v>44378</v>
      </c>
      <c r="K2683" s="18" t="s">
        <v>638</v>
      </c>
      <c r="L2683" s="18" t="s">
        <v>18</v>
      </c>
      <c r="M2683" s="18" t="s">
        <v>19</v>
      </c>
      <c r="N2683" s="18" t="s">
        <v>20</v>
      </c>
      <c r="O2683">
        <v>30</v>
      </c>
    </row>
    <row r="2684" spans="1:15" x14ac:dyDescent="0.25">
      <c r="A2684" s="18" t="s">
        <v>7276</v>
      </c>
      <c r="B2684" s="18" t="s">
        <v>13</v>
      </c>
      <c r="C2684" s="18" t="s">
        <v>14</v>
      </c>
      <c r="D2684" s="18" t="s">
        <v>15</v>
      </c>
      <c r="E2684" s="18" t="s">
        <v>685</v>
      </c>
      <c r="F2684" s="2">
        <f>+J2684-I2684</f>
        <v>30</v>
      </c>
      <c r="G2684" s="2">
        <f ca="1">+TODAY()-I2684</f>
        <v>1770</v>
      </c>
      <c r="H2684" s="15">
        <v>2629276</v>
      </c>
      <c r="I2684" s="1">
        <v>44350</v>
      </c>
      <c r="J2684" s="1">
        <v>44380</v>
      </c>
      <c r="K2684" s="18" t="s">
        <v>638</v>
      </c>
      <c r="L2684" s="18" t="s">
        <v>47</v>
      </c>
      <c r="M2684" s="18" t="s">
        <v>19</v>
      </c>
      <c r="N2684" s="18" t="s">
        <v>20</v>
      </c>
      <c r="O2684">
        <v>30</v>
      </c>
    </row>
    <row r="2685" spans="1:15" x14ac:dyDescent="0.25">
      <c r="A2685" s="18" t="s">
        <v>7276</v>
      </c>
      <c r="B2685" s="18" t="s">
        <v>13</v>
      </c>
      <c r="C2685" s="18" t="s">
        <v>14</v>
      </c>
      <c r="D2685" s="18" t="s">
        <v>15</v>
      </c>
      <c r="E2685" s="18" t="s">
        <v>686</v>
      </c>
      <c r="F2685" s="2">
        <f>+J2685-I2685</f>
        <v>30</v>
      </c>
      <c r="G2685" s="2">
        <f ca="1">+TODAY()-I2685</f>
        <v>1763</v>
      </c>
      <c r="H2685" s="15">
        <v>2382144</v>
      </c>
      <c r="I2685" s="1">
        <v>44357</v>
      </c>
      <c r="J2685" s="1">
        <v>44387</v>
      </c>
      <c r="K2685" s="18" t="s">
        <v>638</v>
      </c>
      <c r="L2685" s="18" t="s">
        <v>47</v>
      </c>
      <c r="M2685" s="18" t="s">
        <v>19</v>
      </c>
      <c r="N2685" s="18" t="s">
        <v>20</v>
      </c>
      <c r="O2685">
        <v>30</v>
      </c>
    </row>
    <row r="2686" spans="1:15" x14ac:dyDescent="0.25">
      <c r="A2686" s="18" t="s">
        <v>7276</v>
      </c>
      <c r="B2686" s="18" t="s">
        <v>13</v>
      </c>
      <c r="C2686" s="18" t="s">
        <v>14</v>
      </c>
      <c r="D2686" s="18" t="s">
        <v>15</v>
      </c>
      <c r="E2686" s="18" t="s">
        <v>687</v>
      </c>
      <c r="F2686" s="2">
        <f>+J2686-I2686</f>
        <v>30</v>
      </c>
      <c r="G2686" s="2">
        <f ca="1">+TODAY()-I2686</f>
        <v>1758</v>
      </c>
      <c r="H2686" s="15">
        <v>683244</v>
      </c>
      <c r="I2686" s="1">
        <v>44362</v>
      </c>
      <c r="J2686" s="1">
        <v>44392</v>
      </c>
      <c r="K2686" s="18" t="s">
        <v>638</v>
      </c>
      <c r="L2686" s="18" t="s">
        <v>18</v>
      </c>
      <c r="M2686" s="18" t="s">
        <v>19</v>
      </c>
      <c r="N2686" s="18" t="s">
        <v>20</v>
      </c>
      <c r="O2686">
        <v>30</v>
      </c>
    </row>
    <row r="2687" spans="1:15" x14ac:dyDescent="0.25">
      <c r="A2687" s="18" t="s">
        <v>7276</v>
      </c>
      <c r="B2687" s="18" t="s">
        <v>13</v>
      </c>
      <c r="C2687" s="18" t="s">
        <v>14</v>
      </c>
      <c r="D2687" s="18" t="s">
        <v>15</v>
      </c>
      <c r="E2687" s="18" t="s">
        <v>688</v>
      </c>
      <c r="F2687" s="2">
        <f>+J2687-I2687</f>
        <v>30</v>
      </c>
      <c r="G2687" s="2">
        <f ca="1">+TODAY()-I2687</f>
        <v>1756</v>
      </c>
      <c r="H2687" s="15">
        <v>14040514</v>
      </c>
      <c r="I2687" s="1">
        <v>44364</v>
      </c>
      <c r="J2687" s="1">
        <v>44394</v>
      </c>
      <c r="K2687" s="18" t="s">
        <v>638</v>
      </c>
      <c r="L2687" s="18" t="s">
        <v>18</v>
      </c>
      <c r="M2687" s="18" t="s">
        <v>19</v>
      </c>
      <c r="N2687" s="18" t="s">
        <v>20</v>
      </c>
      <c r="O2687">
        <v>30</v>
      </c>
    </row>
    <row r="2688" spans="1:15" x14ac:dyDescent="0.25">
      <c r="A2688" s="18" t="s">
        <v>7276</v>
      </c>
      <c r="B2688" s="18" t="s">
        <v>13</v>
      </c>
      <c r="C2688" s="18" t="s">
        <v>14</v>
      </c>
      <c r="D2688" s="18" t="s">
        <v>15</v>
      </c>
      <c r="E2688" s="18" t="s">
        <v>689</v>
      </c>
      <c r="F2688" s="2">
        <f>+J2688-I2688</f>
        <v>30</v>
      </c>
      <c r="G2688" s="2">
        <f ca="1">+TODAY()-I2688</f>
        <v>1750</v>
      </c>
      <c r="H2688" s="15">
        <v>2405128</v>
      </c>
      <c r="I2688" s="1">
        <v>44370</v>
      </c>
      <c r="J2688" s="1">
        <v>44400</v>
      </c>
      <c r="K2688" s="18" t="s">
        <v>638</v>
      </c>
      <c r="L2688" s="18" t="s">
        <v>18</v>
      </c>
      <c r="M2688" s="18" t="s">
        <v>19</v>
      </c>
      <c r="N2688" s="18" t="s">
        <v>20</v>
      </c>
      <c r="O2688">
        <v>30</v>
      </c>
    </row>
    <row r="2689" spans="1:15" x14ac:dyDescent="0.25">
      <c r="A2689" s="18" t="s">
        <v>7276</v>
      </c>
      <c r="B2689" s="18" t="s">
        <v>13</v>
      </c>
      <c r="C2689" s="18" t="s">
        <v>14</v>
      </c>
      <c r="D2689" s="18" t="s">
        <v>15</v>
      </c>
      <c r="E2689" s="18" t="s">
        <v>690</v>
      </c>
      <c r="F2689" s="2">
        <f>+J2689-I2689</f>
        <v>30</v>
      </c>
      <c r="G2689" s="2">
        <f ca="1">+TODAY()-I2689</f>
        <v>1750</v>
      </c>
      <c r="H2689" s="15">
        <v>22307682</v>
      </c>
      <c r="I2689" s="1">
        <v>44370</v>
      </c>
      <c r="J2689" s="1">
        <v>44400</v>
      </c>
      <c r="K2689" s="18" t="s">
        <v>638</v>
      </c>
      <c r="L2689" s="18" t="s">
        <v>18</v>
      </c>
      <c r="M2689" s="18" t="s">
        <v>19</v>
      </c>
      <c r="N2689" s="18" t="s">
        <v>20</v>
      </c>
      <c r="O2689">
        <v>30</v>
      </c>
    </row>
    <row r="2690" spans="1:15" x14ac:dyDescent="0.25">
      <c r="A2690" s="18" t="s">
        <v>7276</v>
      </c>
      <c r="B2690" s="18" t="s">
        <v>13</v>
      </c>
      <c r="C2690" s="18" t="s">
        <v>14</v>
      </c>
      <c r="D2690" s="18" t="s">
        <v>15</v>
      </c>
      <c r="E2690" s="18" t="s">
        <v>691</v>
      </c>
      <c r="F2690" s="2">
        <f>+J2690-I2690</f>
        <v>30</v>
      </c>
      <c r="G2690" s="2">
        <f ca="1">+TODAY()-I2690</f>
        <v>1743</v>
      </c>
      <c r="H2690" s="15">
        <v>11389856</v>
      </c>
      <c r="I2690" s="1">
        <v>44377</v>
      </c>
      <c r="J2690" s="1">
        <v>44407</v>
      </c>
      <c r="K2690" s="18" t="s">
        <v>638</v>
      </c>
      <c r="L2690" s="18" t="s">
        <v>18</v>
      </c>
      <c r="M2690" s="18" t="s">
        <v>19</v>
      </c>
      <c r="N2690" s="18" t="s">
        <v>20</v>
      </c>
      <c r="O2690">
        <v>30</v>
      </c>
    </row>
    <row r="2691" spans="1:15" x14ac:dyDescent="0.25">
      <c r="A2691" s="18" t="s">
        <v>7276</v>
      </c>
      <c r="B2691" s="18" t="s">
        <v>13</v>
      </c>
      <c r="C2691" s="18" t="s">
        <v>14</v>
      </c>
      <c r="D2691" s="18" t="s">
        <v>15</v>
      </c>
      <c r="E2691" s="18" t="s">
        <v>692</v>
      </c>
      <c r="F2691" s="2">
        <f>+J2691-I2691</f>
        <v>30</v>
      </c>
      <c r="G2691" s="2">
        <f ca="1">+TODAY()-I2691</f>
        <v>1730</v>
      </c>
      <c r="H2691" s="15">
        <v>734010</v>
      </c>
      <c r="I2691" s="1">
        <v>44390</v>
      </c>
      <c r="J2691" s="1">
        <v>44420</v>
      </c>
      <c r="K2691" s="18" t="s">
        <v>638</v>
      </c>
      <c r="L2691" s="18" t="s">
        <v>47</v>
      </c>
      <c r="M2691" s="18" t="s">
        <v>19</v>
      </c>
      <c r="N2691" s="18" t="s">
        <v>20</v>
      </c>
      <c r="O2691">
        <v>30</v>
      </c>
    </row>
    <row r="2692" spans="1:15" x14ac:dyDescent="0.25">
      <c r="A2692" s="18" t="s">
        <v>7276</v>
      </c>
      <c r="B2692" s="18" t="s">
        <v>13</v>
      </c>
      <c r="C2692" s="18" t="s">
        <v>14</v>
      </c>
      <c r="D2692" s="18" t="s">
        <v>15</v>
      </c>
      <c r="E2692" s="18" t="s">
        <v>693</v>
      </c>
      <c r="F2692" s="2">
        <f>+J2692-I2692</f>
        <v>30</v>
      </c>
      <c r="G2692" s="2">
        <f ca="1">+TODAY()-I2692</f>
        <v>1729</v>
      </c>
      <c r="H2692" s="15">
        <v>5850122</v>
      </c>
      <c r="I2692" s="1">
        <v>44391</v>
      </c>
      <c r="J2692" s="1">
        <v>44421</v>
      </c>
      <c r="K2692" s="18" t="s">
        <v>638</v>
      </c>
      <c r="L2692" s="18" t="s">
        <v>18</v>
      </c>
      <c r="M2692" s="18" t="s">
        <v>19</v>
      </c>
      <c r="N2692" s="18" t="s">
        <v>20</v>
      </c>
      <c r="O2692">
        <v>30</v>
      </c>
    </row>
    <row r="2693" spans="1:15" x14ac:dyDescent="0.25">
      <c r="A2693" s="18" t="s">
        <v>7276</v>
      </c>
      <c r="B2693" s="18" t="s">
        <v>13</v>
      </c>
      <c r="C2693" s="18" t="s">
        <v>14</v>
      </c>
      <c r="D2693" s="18" t="s">
        <v>15</v>
      </c>
      <c r="E2693" s="18" t="s">
        <v>694</v>
      </c>
      <c r="F2693" s="2">
        <f>+J2693-I2693</f>
        <v>30</v>
      </c>
      <c r="G2693" s="2">
        <f ca="1">+TODAY()-I2693</f>
        <v>1729</v>
      </c>
      <c r="H2693" s="15">
        <v>1366570</v>
      </c>
      <c r="I2693" s="1">
        <v>44391</v>
      </c>
      <c r="J2693" s="1">
        <v>44421</v>
      </c>
      <c r="K2693" s="18" t="s">
        <v>638</v>
      </c>
      <c r="L2693" s="18" t="s">
        <v>47</v>
      </c>
      <c r="M2693" s="18" t="s">
        <v>19</v>
      </c>
      <c r="N2693" s="18" t="s">
        <v>20</v>
      </c>
      <c r="O2693">
        <v>30</v>
      </c>
    </row>
    <row r="2694" spans="1:15" x14ac:dyDescent="0.25">
      <c r="A2694" s="18" t="s">
        <v>7276</v>
      </c>
      <c r="B2694" s="18" t="s">
        <v>13</v>
      </c>
      <c r="C2694" s="18" t="s">
        <v>14</v>
      </c>
      <c r="D2694" s="18" t="s">
        <v>15</v>
      </c>
      <c r="E2694" s="18" t="s">
        <v>695</v>
      </c>
      <c r="F2694" s="2">
        <f>+J2694-I2694</f>
        <v>30</v>
      </c>
      <c r="G2694" s="2">
        <f ca="1">+TODAY()-I2694</f>
        <v>1729</v>
      </c>
      <c r="H2694" s="15">
        <v>2199677</v>
      </c>
      <c r="I2694" s="1">
        <v>44391</v>
      </c>
      <c r="J2694" s="1">
        <v>44421</v>
      </c>
      <c r="K2694" s="18" t="s">
        <v>638</v>
      </c>
      <c r="L2694" s="18" t="s">
        <v>47</v>
      </c>
      <c r="M2694" s="18" t="s">
        <v>19</v>
      </c>
      <c r="N2694" s="18" t="s">
        <v>20</v>
      </c>
      <c r="O2694">
        <v>30</v>
      </c>
    </row>
    <row r="2695" spans="1:15" x14ac:dyDescent="0.25">
      <c r="A2695" s="18" t="s">
        <v>7276</v>
      </c>
      <c r="B2695" s="18" t="s">
        <v>13</v>
      </c>
      <c r="C2695" s="18" t="s">
        <v>14</v>
      </c>
      <c r="D2695" s="18" t="s">
        <v>15</v>
      </c>
      <c r="E2695" s="18" t="s">
        <v>696</v>
      </c>
      <c r="F2695" s="2">
        <f>+J2695-I2695</f>
        <v>30</v>
      </c>
      <c r="G2695" s="2">
        <f ca="1">+TODAY()-I2695</f>
        <v>1715</v>
      </c>
      <c r="H2695" s="15">
        <v>11798293</v>
      </c>
      <c r="I2695" s="1">
        <v>44405</v>
      </c>
      <c r="J2695" s="1">
        <v>44435</v>
      </c>
      <c r="K2695" s="18" t="s">
        <v>638</v>
      </c>
      <c r="L2695" s="18" t="s">
        <v>18</v>
      </c>
      <c r="M2695" s="18" t="s">
        <v>19</v>
      </c>
      <c r="N2695" s="18" t="s">
        <v>20</v>
      </c>
      <c r="O2695">
        <v>30</v>
      </c>
    </row>
    <row r="2696" spans="1:15" x14ac:dyDescent="0.25">
      <c r="A2696" s="18" t="s">
        <v>7276</v>
      </c>
      <c r="B2696" s="18" t="s">
        <v>13</v>
      </c>
      <c r="C2696" s="18" t="s">
        <v>14</v>
      </c>
      <c r="D2696" s="18" t="s">
        <v>15</v>
      </c>
      <c r="E2696" s="18" t="s">
        <v>697</v>
      </c>
      <c r="F2696" s="2">
        <f>+J2696-I2696</f>
        <v>30</v>
      </c>
      <c r="G2696" s="2">
        <f ca="1">+TODAY()-I2696</f>
        <v>1706</v>
      </c>
      <c r="H2696" s="15">
        <v>3306259</v>
      </c>
      <c r="I2696" s="1">
        <v>44414</v>
      </c>
      <c r="J2696" s="1">
        <v>44444</v>
      </c>
      <c r="K2696" s="18" t="s">
        <v>638</v>
      </c>
      <c r="L2696" s="18" t="s">
        <v>18</v>
      </c>
      <c r="M2696" s="18" t="s">
        <v>19</v>
      </c>
      <c r="N2696" s="18" t="s">
        <v>20</v>
      </c>
      <c r="O2696">
        <v>30</v>
      </c>
    </row>
    <row r="2697" spans="1:15" x14ac:dyDescent="0.25">
      <c r="A2697" s="18" t="s">
        <v>7276</v>
      </c>
      <c r="B2697" s="18" t="s">
        <v>13</v>
      </c>
      <c r="C2697" s="18" t="s">
        <v>14</v>
      </c>
      <c r="D2697" s="18" t="s">
        <v>15</v>
      </c>
      <c r="E2697" s="18" t="s">
        <v>698</v>
      </c>
      <c r="F2697" s="2">
        <f>+J2697-I2697</f>
        <v>30</v>
      </c>
      <c r="G2697" s="2">
        <f ca="1">+TODAY()-I2697</f>
        <v>1702</v>
      </c>
      <c r="H2697" s="15">
        <v>8743874</v>
      </c>
      <c r="I2697" s="1">
        <v>44418</v>
      </c>
      <c r="J2697" s="1">
        <v>44448</v>
      </c>
      <c r="K2697" s="18" t="s">
        <v>638</v>
      </c>
      <c r="L2697" s="18" t="s">
        <v>18</v>
      </c>
      <c r="M2697" s="18" t="s">
        <v>19</v>
      </c>
      <c r="N2697" s="18" t="s">
        <v>20</v>
      </c>
      <c r="O2697">
        <v>30</v>
      </c>
    </row>
    <row r="2698" spans="1:15" x14ac:dyDescent="0.25">
      <c r="A2698" s="18" t="s">
        <v>7276</v>
      </c>
      <c r="B2698" s="18" t="s">
        <v>13</v>
      </c>
      <c r="C2698" s="18" t="s">
        <v>14</v>
      </c>
      <c r="D2698" s="18" t="s">
        <v>15</v>
      </c>
      <c r="E2698" s="18" t="s">
        <v>699</v>
      </c>
      <c r="F2698" s="2">
        <f>+J2698-I2698</f>
        <v>30</v>
      </c>
      <c r="G2698" s="2">
        <f ca="1">+TODAY()-I2698</f>
        <v>1700</v>
      </c>
      <c r="H2698" s="15">
        <v>5733873</v>
      </c>
      <c r="I2698" s="1">
        <v>44420</v>
      </c>
      <c r="J2698" s="1">
        <v>44450</v>
      </c>
      <c r="K2698" s="18" t="s">
        <v>638</v>
      </c>
      <c r="L2698" s="18" t="s">
        <v>18</v>
      </c>
      <c r="M2698" s="18" t="s">
        <v>19</v>
      </c>
      <c r="N2698" s="18" t="s">
        <v>20</v>
      </c>
      <c r="O2698">
        <v>30</v>
      </c>
    </row>
    <row r="2699" spans="1:15" x14ac:dyDescent="0.25">
      <c r="A2699" s="18" t="s">
        <v>7276</v>
      </c>
      <c r="B2699" s="18" t="s">
        <v>13</v>
      </c>
      <c r="C2699" s="18" t="s">
        <v>14</v>
      </c>
      <c r="D2699" s="18" t="s">
        <v>15</v>
      </c>
      <c r="E2699" s="18" t="s">
        <v>700</v>
      </c>
      <c r="F2699" s="2">
        <f>+J2699-I2699</f>
        <v>30</v>
      </c>
      <c r="G2699" s="2">
        <f ca="1">+TODAY()-I2699</f>
        <v>1699</v>
      </c>
      <c r="H2699" s="15">
        <v>1264448</v>
      </c>
      <c r="I2699" s="1">
        <v>44421</v>
      </c>
      <c r="J2699" s="1">
        <v>44451</v>
      </c>
      <c r="K2699" s="18" t="s">
        <v>638</v>
      </c>
      <c r="L2699" s="18" t="s">
        <v>47</v>
      </c>
      <c r="M2699" s="18" t="s">
        <v>19</v>
      </c>
      <c r="N2699" s="18" t="s">
        <v>20</v>
      </c>
      <c r="O2699">
        <v>30</v>
      </c>
    </row>
    <row r="2700" spans="1:15" x14ac:dyDescent="0.25">
      <c r="A2700" s="18" t="s">
        <v>7276</v>
      </c>
      <c r="B2700" s="18" t="s">
        <v>13</v>
      </c>
      <c r="C2700" s="18" t="s">
        <v>14</v>
      </c>
      <c r="D2700" s="18" t="s">
        <v>15</v>
      </c>
      <c r="E2700" s="18" t="s">
        <v>701</v>
      </c>
      <c r="F2700" s="2">
        <f>+J2700-I2700</f>
        <v>30</v>
      </c>
      <c r="G2700" s="2">
        <f ca="1">+TODAY()-I2700</f>
        <v>1691</v>
      </c>
      <c r="H2700" s="15">
        <v>819807</v>
      </c>
      <c r="I2700" s="1">
        <v>44429</v>
      </c>
      <c r="J2700" s="1">
        <v>44459</v>
      </c>
      <c r="K2700" s="18" t="s">
        <v>638</v>
      </c>
      <c r="L2700" s="18" t="s">
        <v>317</v>
      </c>
      <c r="M2700" s="18" t="s">
        <v>19</v>
      </c>
      <c r="N2700" s="18" t="s">
        <v>20</v>
      </c>
      <c r="O2700">
        <v>30</v>
      </c>
    </row>
    <row r="2701" spans="1:15" x14ac:dyDescent="0.25">
      <c r="A2701" s="18" t="s">
        <v>7276</v>
      </c>
      <c r="B2701" s="18" t="s">
        <v>13</v>
      </c>
      <c r="C2701" s="18" t="s">
        <v>14</v>
      </c>
      <c r="D2701" s="18" t="s">
        <v>15</v>
      </c>
      <c r="E2701" s="18" t="s">
        <v>702</v>
      </c>
      <c r="F2701" s="2">
        <f>+J2701-I2701</f>
        <v>1</v>
      </c>
      <c r="G2701" s="2">
        <f ca="1">+TODAY()-I2701</f>
        <v>1686</v>
      </c>
      <c r="H2701" s="15">
        <v>645599</v>
      </c>
      <c r="I2701" s="1">
        <v>44434</v>
      </c>
      <c r="J2701" s="1">
        <v>44435</v>
      </c>
      <c r="K2701" s="18" t="s">
        <v>638</v>
      </c>
      <c r="L2701" s="18" t="s">
        <v>317</v>
      </c>
      <c r="M2701" s="18" t="s">
        <v>19</v>
      </c>
      <c r="N2701" s="18" t="s">
        <v>20</v>
      </c>
      <c r="O2701">
        <v>30</v>
      </c>
    </row>
    <row r="2702" spans="1:15" x14ac:dyDescent="0.25">
      <c r="A2702" s="18" t="s">
        <v>7276</v>
      </c>
      <c r="B2702" s="18" t="s">
        <v>13</v>
      </c>
      <c r="C2702" s="18" t="s">
        <v>14</v>
      </c>
      <c r="D2702" s="18" t="s">
        <v>15</v>
      </c>
      <c r="E2702" s="18" t="s">
        <v>703</v>
      </c>
      <c r="F2702" s="2">
        <f>+J2702-I2702</f>
        <v>30</v>
      </c>
      <c r="G2702" s="2">
        <f ca="1">+TODAY()-I2702</f>
        <v>1503</v>
      </c>
      <c r="H2702" s="15">
        <v>2980000</v>
      </c>
      <c r="I2702" s="1">
        <v>44617</v>
      </c>
      <c r="J2702" s="1">
        <v>44647</v>
      </c>
      <c r="K2702" s="18" t="s">
        <v>638</v>
      </c>
      <c r="L2702" s="18" t="s">
        <v>18</v>
      </c>
      <c r="M2702" s="18" t="s">
        <v>19</v>
      </c>
      <c r="N2702" s="18" t="s">
        <v>20</v>
      </c>
      <c r="O2702">
        <v>30</v>
      </c>
    </row>
    <row r="2703" spans="1:15" x14ac:dyDescent="0.25">
      <c r="A2703" s="18" t="s">
        <v>7276</v>
      </c>
      <c r="B2703" s="18" t="s">
        <v>13</v>
      </c>
      <c r="C2703" s="18" t="s">
        <v>14</v>
      </c>
      <c r="D2703" s="18" t="s">
        <v>15</v>
      </c>
      <c r="E2703" s="18" t="s">
        <v>704</v>
      </c>
      <c r="F2703" s="2">
        <f>+J2703-I2703</f>
        <v>30</v>
      </c>
      <c r="G2703" s="2">
        <f ca="1">+TODAY()-I2703</f>
        <v>1373</v>
      </c>
      <c r="H2703" s="15">
        <v>4867003</v>
      </c>
      <c r="I2703" s="1">
        <v>44747</v>
      </c>
      <c r="J2703" s="1">
        <v>44777</v>
      </c>
      <c r="K2703" s="18" t="s">
        <v>638</v>
      </c>
      <c r="L2703" s="18" t="s">
        <v>18</v>
      </c>
      <c r="M2703" s="18" t="s">
        <v>19</v>
      </c>
      <c r="N2703" s="18" t="s">
        <v>20</v>
      </c>
      <c r="O2703">
        <v>30</v>
      </c>
    </row>
    <row r="2704" spans="1:15" x14ac:dyDescent="0.25">
      <c r="A2704" s="18" t="s">
        <v>7276</v>
      </c>
      <c r="B2704" s="18" t="s">
        <v>13</v>
      </c>
      <c r="C2704" s="18" t="s">
        <v>14</v>
      </c>
      <c r="D2704" s="18" t="s">
        <v>15</v>
      </c>
      <c r="E2704" s="18" t="s">
        <v>705</v>
      </c>
      <c r="F2704" s="2">
        <f>+J2704-I2704</f>
        <v>30</v>
      </c>
      <c r="G2704" s="2">
        <f ca="1">+TODAY()-I2704</f>
        <v>1364</v>
      </c>
      <c r="H2704" s="15">
        <v>866428</v>
      </c>
      <c r="I2704" s="1">
        <v>44756</v>
      </c>
      <c r="J2704" s="1">
        <v>44786</v>
      </c>
      <c r="K2704" s="18" t="s">
        <v>638</v>
      </c>
      <c r="L2704" s="18" t="s">
        <v>18</v>
      </c>
      <c r="M2704" s="18" t="s">
        <v>19</v>
      </c>
      <c r="N2704" s="18" t="s">
        <v>20</v>
      </c>
      <c r="O2704">
        <v>30</v>
      </c>
    </row>
    <row r="2705" spans="1:15" x14ac:dyDescent="0.25">
      <c r="A2705" s="18" t="s">
        <v>7276</v>
      </c>
      <c r="B2705" s="18" t="s">
        <v>13</v>
      </c>
      <c r="C2705" s="18" t="s">
        <v>14</v>
      </c>
      <c r="D2705" s="18" t="s">
        <v>15</v>
      </c>
      <c r="E2705" s="18" t="s">
        <v>706</v>
      </c>
      <c r="F2705" s="2">
        <f>+J2705-I2705</f>
        <v>30</v>
      </c>
      <c r="G2705" s="2">
        <f ca="1">+TODAY()-I2705</f>
        <v>1349</v>
      </c>
      <c r="H2705" s="15">
        <v>9020000</v>
      </c>
      <c r="I2705" s="1">
        <v>44771</v>
      </c>
      <c r="J2705" s="1">
        <v>44801</v>
      </c>
      <c r="K2705" s="18" t="s">
        <v>638</v>
      </c>
      <c r="L2705" s="18" t="s">
        <v>18</v>
      </c>
      <c r="M2705" s="18" t="s">
        <v>19</v>
      </c>
      <c r="N2705" s="18" t="s">
        <v>20</v>
      </c>
      <c r="O2705">
        <v>30</v>
      </c>
    </row>
    <row r="2706" spans="1:15" x14ac:dyDescent="0.25">
      <c r="A2706" s="18" t="s">
        <v>7276</v>
      </c>
      <c r="B2706" s="18" t="s">
        <v>13</v>
      </c>
      <c r="C2706" s="18" t="s">
        <v>14</v>
      </c>
      <c r="D2706" s="18" t="s">
        <v>15</v>
      </c>
      <c r="E2706" s="18" t="s">
        <v>707</v>
      </c>
      <c r="F2706" s="2">
        <f>+J2706-I2706</f>
        <v>30</v>
      </c>
      <c r="G2706" s="2">
        <f ca="1">+TODAY()-I2706</f>
        <v>1335</v>
      </c>
      <c r="H2706" s="15">
        <v>1166714</v>
      </c>
      <c r="I2706" s="1">
        <v>44785</v>
      </c>
      <c r="J2706" s="1">
        <v>44815</v>
      </c>
      <c r="K2706" s="18" t="s">
        <v>638</v>
      </c>
      <c r="L2706" s="18" t="s">
        <v>18</v>
      </c>
      <c r="M2706" s="18" t="s">
        <v>19</v>
      </c>
      <c r="N2706" s="18" t="s">
        <v>20</v>
      </c>
      <c r="O2706">
        <v>30</v>
      </c>
    </row>
    <row r="2707" spans="1:15" x14ac:dyDescent="0.25">
      <c r="A2707" s="18" t="s">
        <v>7276</v>
      </c>
      <c r="B2707" s="18" t="s">
        <v>13</v>
      </c>
      <c r="C2707" s="18" t="s">
        <v>14</v>
      </c>
      <c r="D2707" s="18" t="s">
        <v>15</v>
      </c>
      <c r="E2707" s="18" t="s">
        <v>708</v>
      </c>
      <c r="F2707" s="2">
        <f>+J2707-I2707</f>
        <v>30</v>
      </c>
      <c r="G2707" s="2">
        <f ca="1">+TODAY()-I2707</f>
        <v>1307</v>
      </c>
      <c r="H2707" s="15">
        <v>667421</v>
      </c>
      <c r="I2707" s="1">
        <v>44813</v>
      </c>
      <c r="J2707" s="1">
        <v>44843</v>
      </c>
      <c r="K2707" s="18" t="s">
        <v>638</v>
      </c>
      <c r="L2707" s="18" t="s">
        <v>18</v>
      </c>
      <c r="M2707" s="18" t="s">
        <v>19</v>
      </c>
      <c r="N2707" s="18" t="s">
        <v>20</v>
      </c>
      <c r="O2707">
        <v>30</v>
      </c>
    </row>
    <row r="2708" spans="1:15" x14ac:dyDescent="0.25">
      <c r="A2708" s="18" t="s">
        <v>7276</v>
      </c>
      <c r="B2708" s="18" t="s">
        <v>13</v>
      </c>
      <c r="C2708" s="18" t="s">
        <v>14</v>
      </c>
      <c r="D2708" s="18" t="s">
        <v>15</v>
      </c>
      <c r="E2708" s="18" t="s">
        <v>709</v>
      </c>
      <c r="F2708" s="2">
        <f>+J2708-I2708</f>
        <v>30</v>
      </c>
      <c r="G2708" s="2">
        <f ca="1">+TODAY()-I2708</f>
        <v>1297</v>
      </c>
      <c r="H2708" s="15">
        <v>11078000</v>
      </c>
      <c r="I2708" s="1">
        <v>44823</v>
      </c>
      <c r="J2708" s="1">
        <v>44853</v>
      </c>
      <c r="K2708" s="18" t="s">
        <v>638</v>
      </c>
      <c r="L2708" s="18" t="s">
        <v>18</v>
      </c>
      <c r="M2708" s="18" t="s">
        <v>19</v>
      </c>
      <c r="N2708" s="18" t="s">
        <v>20</v>
      </c>
      <c r="O2708">
        <v>30</v>
      </c>
    </row>
    <row r="2709" spans="1:15" x14ac:dyDescent="0.25">
      <c r="A2709" s="18" t="s">
        <v>7276</v>
      </c>
      <c r="B2709" s="18" t="s">
        <v>13</v>
      </c>
      <c r="C2709" s="18" t="s">
        <v>14</v>
      </c>
      <c r="D2709" s="18" t="s">
        <v>15</v>
      </c>
      <c r="E2709" s="18" t="s">
        <v>710</v>
      </c>
      <c r="F2709" s="2">
        <f>+J2709-I2709</f>
        <v>30</v>
      </c>
      <c r="G2709" s="2">
        <f ca="1">+TODAY()-I2709</f>
        <v>1266</v>
      </c>
      <c r="H2709" s="15">
        <v>3339000</v>
      </c>
      <c r="I2709" s="1">
        <v>44854</v>
      </c>
      <c r="J2709" s="1">
        <v>44884</v>
      </c>
      <c r="K2709" s="18" t="s">
        <v>638</v>
      </c>
      <c r="L2709" s="18" t="s">
        <v>18</v>
      </c>
      <c r="M2709" s="18" t="s">
        <v>19</v>
      </c>
      <c r="N2709" s="18" t="s">
        <v>20</v>
      </c>
      <c r="O2709">
        <v>30</v>
      </c>
    </row>
    <row r="2710" spans="1:15" x14ac:dyDescent="0.25">
      <c r="A2710" s="18" t="s">
        <v>7276</v>
      </c>
      <c r="B2710" s="18" t="s">
        <v>13</v>
      </c>
      <c r="C2710" s="18" t="s">
        <v>14</v>
      </c>
      <c r="D2710" s="18" t="s">
        <v>15</v>
      </c>
      <c r="E2710" s="18" t="s">
        <v>711</v>
      </c>
      <c r="F2710" s="2">
        <f>+J2710-I2710</f>
        <v>30</v>
      </c>
      <c r="G2710" s="2">
        <f ca="1">+TODAY()-I2710</f>
        <v>1266</v>
      </c>
      <c r="H2710" s="15">
        <v>1918000</v>
      </c>
      <c r="I2710" s="1">
        <v>44854</v>
      </c>
      <c r="J2710" s="1">
        <v>44884</v>
      </c>
      <c r="K2710" s="18" t="s">
        <v>638</v>
      </c>
      <c r="L2710" s="18" t="s">
        <v>18</v>
      </c>
      <c r="M2710" s="18" t="s">
        <v>19</v>
      </c>
      <c r="N2710" s="18" t="s">
        <v>20</v>
      </c>
      <c r="O2710">
        <v>30</v>
      </c>
    </row>
    <row r="2711" spans="1:15" x14ac:dyDescent="0.25">
      <c r="A2711" s="18" t="s">
        <v>7276</v>
      </c>
      <c r="B2711" s="18" t="s">
        <v>13</v>
      </c>
      <c r="C2711" s="18" t="s">
        <v>14</v>
      </c>
      <c r="D2711" s="18" t="s">
        <v>15</v>
      </c>
      <c r="E2711" s="18" t="s">
        <v>712</v>
      </c>
      <c r="F2711" s="2">
        <f>+J2711-I2711</f>
        <v>30</v>
      </c>
      <c r="G2711" s="2">
        <f ca="1">+TODAY()-I2711</f>
        <v>1266</v>
      </c>
      <c r="H2711" s="15">
        <v>334872</v>
      </c>
      <c r="I2711" s="1">
        <v>44854</v>
      </c>
      <c r="J2711" s="1">
        <v>44884</v>
      </c>
      <c r="K2711" s="18" t="s">
        <v>638</v>
      </c>
      <c r="L2711" s="18" t="s">
        <v>18</v>
      </c>
      <c r="M2711" s="18" t="s">
        <v>19</v>
      </c>
      <c r="N2711" s="18" t="s">
        <v>20</v>
      </c>
      <c r="O2711">
        <v>30</v>
      </c>
    </row>
    <row r="2712" spans="1:15" x14ac:dyDescent="0.25">
      <c r="A2712" s="18" t="s">
        <v>7276</v>
      </c>
      <c r="B2712" s="18" t="s">
        <v>13</v>
      </c>
      <c r="C2712" s="18" t="s">
        <v>14</v>
      </c>
      <c r="D2712" s="18" t="s">
        <v>15</v>
      </c>
      <c r="E2712" s="18" t="s">
        <v>713</v>
      </c>
      <c r="F2712" s="2">
        <f>+J2712-I2712</f>
        <v>30</v>
      </c>
      <c r="G2712" s="2">
        <f ca="1">+TODAY()-I2712</f>
        <v>1252</v>
      </c>
      <c r="H2712" s="15">
        <v>955196</v>
      </c>
      <c r="I2712" s="1">
        <v>44868</v>
      </c>
      <c r="J2712" s="1">
        <v>44898</v>
      </c>
      <c r="K2712" s="18" t="s">
        <v>638</v>
      </c>
      <c r="L2712" s="18" t="s">
        <v>18</v>
      </c>
      <c r="M2712" s="18" t="s">
        <v>19</v>
      </c>
      <c r="N2712" s="18" t="s">
        <v>20</v>
      </c>
      <c r="O2712">
        <v>30</v>
      </c>
    </row>
    <row r="2713" spans="1:15" x14ac:dyDescent="0.25">
      <c r="A2713" s="18" t="s">
        <v>7276</v>
      </c>
      <c r="B2713" s="18" t="s">
        <v>13</v>
      </c>
      <c r="C2713" s="18" t="s">
        <v>14</v>
      </c>
      <c r="D2713" s="18" t="s">
        <v>15</v>
      </c>
      <c r="E2713" s="18" t="s">
        <v>714</v>
      </c>
      <c r="F2713" s="2">
        <f>+J2713-I2713</f>
        <v>30</v>
      </c>
      <c r="G2713" s="2">
        <f ca="1">+TODAY()-I2713</f>
        <v>1238</v>
      </c>
      <c r="H2713" s="15">
        <v>564882</v>
      </c>
      <c r="I2713" s="1">
        <v>44882</v>
      </c>
      <c r="J2713" s="1">
        <v>44912</v>
      </c>
      <c r="K2713" s="18" t="s">
        <v>638</v>
      </c>
      <c r="L2713" s="18" t="s">
        <v>18</v>
      </c>
      <c r="M2713" s="18" t="s">
        <v>19</v>
      </c>
      <c r="N2713" s="18" t="s">
        <v>20</v>
      </c>
      <c r="O2713">
        <v>30</v>
      </c>
    </row>
    <row r="2714" spans="1:15" x14ac:dyDescent="0.25">
      <c r="A2714" s="18" t="s">
        <v>7276</v>
      </c>
      <c r="B2714" s="18" t="s">
        <v>13</v>
      </c>
      <c r="C2714" s="18" t="s">
        <v>14</v>
      </c>
      <c r="D2714" s="18" t="s">
        <v>15</v>
      </c>
      <c r="E2714" s="18" t="s">
        <v>715</v>
      </c>
      <c r="F2714" s="2">
        <f>+J2714-I2714</f>
        <v>30</v>
      </c>
      <c r="G2714" s="2">
        <f ca="1">+TODAY()-I2714</f>
        <v>1547</v>
      </c>
      <c r="H2714" s="15">
        <v>3980167</v>
      </c>
      <c r="I2714" s="1">
        <v>44573</v>
      </c>
      <c r="J2714" s="1">
        <v>44603</v>
      </c>
      <c r="K2714" s="18" t="s">
        <v>716</v>
      </c>
      <c r="L2714" s="18" t="s">
        <v>18</v>
      </c>
      <c r="M2714" s="18" t="s">
        <v>19</v>
      </c>
      <c r="N2714" s="18" t="s">
        <v>20</v>
      </c>
      <c r="O2714">
        <v>30</v>
      </c>
    </row>
    <row r="2715" spans="1:15" x14ac:dyDescent="0.25">
      <c r="A2715" s="18" t="s">
        <v>7276</v>
      </c>
      <c r="B2715" s="18" t="s">
        <v>13</v>
      </c>
      <c r="C2715" s="18" t="s">
        <v>14</v>
      </c>
      <c r="D2715" s="18" t="s">
        <v>15</v>
      </c>
      <c r="E2715" s="18" t="s">
        <v>723</v>
      </c>
      <c r="F2715" s="2">
        <f>+J2715-I2715</f>
        <v>30.000347222223354</v>
      </c>
      <c r="G2715" s="2">
        <f ca="1">+TODAY()-I2715</f>
        <v>1856</v>
      </c>
      <c r="H2715" s="15">
        <v>2017830</v>
      </c>
      <c r="I2715" s="1">
        <v>44264</v>
      </c>
      <c r="J2715" s="1">
        <v>44294.000347222223</v>
      </c>
      <c r="K2715" s="18" t="s">
        <v>716</v>
      </c>
      <c r="L2715" s="18" t="s">
        <v>18</v>
      </c>
      <c r="M2715" s="18" t="s">
        <v>19</v>
      </c>
      <c r="N2715" s="18" t="s">
        <v>20</v>
      </c>
      <c r="O2715">
        <v>30</v>
      </c>
    </row>
    <row r="2716" spans="1:15" x14ac:dyDescent="0.25">
      <c r="A2716" s="18" t="s">
        <v>7276</v>
      </c>
      <c r="B2716" s="18" t="s">
        <v>13</v>
      </c>
      <c r="C2716" s="18" t="s">
        <v>14</v>
      </c>
      <c r="D2716" s="18" t="s">
        <v>15</v>
      </c>
      <c r="E2716" s="18" t="s">
        <v>724</v>
      </c>
      <c r="F2716" s="2">
        <f>+J2716-I2716</f>
        <v>30</v>
      </c>
      <c r="G2716" s="2">
        <f ca="1">+TODAY()-I2716</f>
        <v>1841</v>
      </c>
      <c r="H2716" s="15">
        <v>36866</v>
      </c>
      <c r="I2716" s="1">
        <v>44279</v>
      </c>
      <c r="J2716" s="1">
        <v>44309</v>
      </c>
      <c r="K2716" s="18" t="s">
        <v>716</v>
      </c>
      <c r="L2716" s="18" t="s">
        <v>18</v>
      </c>
      <c r="M2716" s="18" t="s">
        <v>19</v>
      </c>
      <c r="N2716" s="18" t="s">
        <v>20</v>
      </c>
      <c r="O2716">
        <v>30</v>
      </c>
    </row>
    <row r="2717" spans="1:15" x14ac:dyDescent="0.25">
      <c r="A2717" s="18" t="s">
        <v>7276</v>
      </c>
      <c r="B2717" s="18" t="s">
        <v>13</v>
      </c>
      <c r="C2717" s="18" t="s">
        <v>14</v>
      </c>
      <c r="D2717" s="18" t="s">
        <v>15</v>
      </c>
      <c r="E2717" s="18" t="s">
        <v>725</v>
      </c>
      <c r="F2717" s="2">
        <f>+J2717-I2717</f>
        <v>30</v>
      </c>
      <c r="G2717" s="2">
        <f ca="1">+TODAY()-I2717</f>
        <v>1828</v>
      </c>
      <c r="H2717" s="15">
        <v>2066286</v>
      </c>
      <c r="I2717" s="1">
        <v>44292</v>
      </c>
      <c r="J2717" s="1">
        <v>44322</v>
      </c>
      <c r="K2717" s="18" t="s">
        <v>716</v>
      </c>
      <c r="L2717" s="18" t="s">
        <v>18</v>
      </c>
      <c r="M2717" s="18" t="s">
        <v>19</v>
      </c>
      <c r="N2717" s="18" t="s">
        <v>20</v>
      </c>
      <c r="O2717">
        <v>30</v>
      </c>
    </row>
    <row r="2718" spans="1:15" x14ac:dyDescent="0.25">
      <c r="A2718" s="18" t="s">
        <v>7276</v>
      </c>
      <c r="B2718" s="18" t="s">
        <v>13</v>
      </c>
      <c r="C2718" s="18" t="s">
        <v>14</v>
      </c>
      <c r="D2718" s="18" t="s">
        <v>15</v>
      </c>
      <c r="E2718" s="18" t="s">
        <v>726</v>
      </c>
      <c r="F2718" s="2">
        <f>+J2718-I2718</f>
        <v>30</v>
      </c>
      <c r="G2718" s="2">
        <f ca="1">+TODAY()-I2718</f>
        <v>1800</v>
      </c>
      <c r="H2718" s="15">
        <v>1969207</v>
      </c>
      <c r="I2718" s="1">
        <v>44320</v>
      </c>
      <c r="J2718" s="1">
        <v>44350</v>
      </c>
      <c r="K2718" s="18" t="s">
        <v>716</v>
      </c>
      <c r="L2718" s="18" t="s">
        <v>18</v>
      </c>
      <c r="M2718" s="18" t="s">
        <v>19</v>
      </c>
      <c r="N2718" s="18" t="s">
        <v>20</v>
      </c>
      <c r="O2718">
        <v>30</v>
      </c>
    </row>
    <row r="2719" spans="1:15" x14ac:dyDescent="0.25">
      <c r="A2719" s="18" t="s">
        <v>7276</v>
      </c>
      <c r="B2719" s="18" t="s">
        <v>13</v>
      </c>
      <c r="C2719" s="18" t="s">
        <v>14</v>
      </c>
      <c r="D2719" s="18" t="s">
        <v>15</v>
      </c>
      <c r="E2719" s="18" t="s">
        <v>727</v>
      </c>
      <c r="F2719" s="2">
        <f>+J2719-I2719</f>
        <v>30</v>
      </c>
      <c r="G2719" s="2">
        <f ca="1">+TODAY()-I2719</f>
        <v>1785</v>
      </c>
      <c r="H2719" s="15">
        <v>2280001</v>
      </c>
      <c r="I2719" s="1">
        <v>44335</v>
      </c>
      <c r="J2719" s="1">
        <v>44365</v>
      </c>
      <c r="K2719" s="18" t="s">
        <v>716</v>
      </c>
      <c r="L2719" s="18" t="s">
        <v>18</v>
      </c>
      <c r="M2719" s="18" t="s">
        <v>19</v>
      </c>
      <c r="N2719" s="18" t="s">
        <v>20</v>
      </c>
      <c r="O2719">
        <v>30</v>
      </c>
    </row>
    <row r="2720" spans="1:15" x14ac:dyDescent="0.25">
      <c r="A2720" s="18" t="s">
        <v>7276</v>
      </c>
      <c r="B2720" s="18" t="s">
        <v>13</v>
      </c>
      <c r="C2720" s="18" t="s">
        <v>14</v>
      </c>
      <c r="D2720" s="18" t="s">
        <v>15</v>
      </c>
      <c r="E2720" s="18" t="s">
        <v>728</v>
      </c>
      <c r="F2720" s="2">
        <f>+J2720-I2720</f>
        <v>30</v>
      </c>
      <c r="G2720" s="2">
        <f ca="1">+TODAY()-I2720</f>
        <v>1772</v>
      </c>
      <c r="H2720" s="15">
        <v>1443286</v>
      </c>
      <c r="I2720" s="1">
        <v>44348</v>
      </c>
      <c r="J2720" s="1">
        <v>44378</v>
      </c>
      <c r="K2720" s="18" t="s">
        <v>716</v>
      </c>
      <c r="L2720" s="18" t="s">
        <v>18</v>
      </c>
      <c r="M2720" s="18" t="s">
        <v>19</v>
      </c>
      <c r="N2720" s="18" t="s">
        <v>20</v>
      </c>
      <c r="O2720">
        <v>30</v>
      </c>
    </row>
    <row r="2721" spans="1:15" x14ac:dyDescent="0.25">
      <c r="A2721" s="18" t="s">
        <v>7276</v>
      </c>
      <c r="B2721" s="18" t="s">
        <v>13</v>
      </c>
      <c r="C2721" s="18" t="s">
        <v>14</v>
      </c>
      <c r="D2721" s="18" t="s">
        <v>15</v>
      </c>
      <c r="E2721" s="18" t="s">
        <v>729</v>
      </c>
      <c r="F2721" s="2">
        <f>+J2721-I2721</f>
        <v>30</v>
      </c>
      <c r="G2721" s="2">
        <f ca="1">+TODAY()-I2721</f>
        <v>1757</v>
      </c>
      <c r="H2721" s="15">
        <v>4109630</v>
      </c>
      <c r="I2721" s="1">
        <v>44363</v>
      </c>
      <c r="J2721" s="1">
        <v>44393</v>
      </c>
      <c r="K2721" s="18" t="s">
        <v>716</v>
      </c>
      <c r="L2721" s="18" t="s">
        <v>18</v>
      </c>
      <c r="M2721" s="18" t="s">
        <v>19</v>
      </c>
      <c r="N2721" s="18" t="s">
        <v>20</v>
      </c>
      <c r="O2721">
        <v>30</v>
      </c>
    </row>
    <row r="2722" spans="1:15" x14ac:dyDescent="0.25">
      <c r="A2722" s="18" t="s">
        <v>7276</v>
      </c>
      <c r="B2722" s="18" t="s">
        <v>13</v>
      </c>
      <c r="C2722" s="18" t="s">
        <v>14</v>
      </c>
      <c r="D2722" s="18" t="s">
        <v>15</v>
      </c>
      <c r="E2722" s="18" t="s">
        <v>730</v>
      </c>
      <c r="F2722" s="2">
        <f>+J2722-I2722</f>
        <v>30</v>
      </c>
      <c r="G2722" s="2">
        <f ca="1">+TODAY()-I2722</f>
        <v>1744</v>
      </c>
      <c r="H2722" s="15">
        <v>3477610</v>
      </c>
      <c r="I2722" s="1">
        <v>44376</v>
      </c>
      <c r="J2722" s="1">
        <v>44406</v>
      </c>
      <c r="K2722" s="18" t="s">
        <v>716</v>
      </c>
      <c r="L2722" s="18" t="s">
        <v>18</v>
      </c>
      <c r="M2722" s="18" t="s">
        <v>19</v>
      </c>
      <c r="N2722" s="18" t="s">
        <v>20</v>
      </c>
      <c r="O2722">
        <v>30</v>
      </c>
    </row>
    <row r="2723" spans="1:15" x14ac:dyDescent="0.25">
      <c r="A2723" s="18" t="s">
        <v>7276</v>
      </c>
      <c r="B2723" s="18" t="s">
        <v>13</v>
      </c>
      <c r="C2723" s="18" t="s">
        <v>14</v>
      </c>
      <c r="D2723" s="18" t="s">
        <v>15</v>
      </c>
      <c r="E2723" s="18" t="s">
        <v>731</v>
      </c>
      <c r="F2723" s="2">
        <f>+J2723-I2723</f>
        <v>30</v>
      </c>
      <c r="G2723" s="2">
        <f ca="1">+TODAY()-I2723</f>
        <v>1730</v>
      </c>
      <c r="H2723" s="15">
        <v>1772694</v>
      </c>
      <c r="I2723" s="1">
        <v>44390</v>
      </c>
      <c r="J2723" s="1">
        <v>44420</v>
      </c>
      <c r="K2723" s="18" t="s">
        <v>716</v>
      </c>
      <c r="L2723" s="18" t="s">
        <v>18</v>
      </c>
      <c r="M2723" s="18" t="s">
        <v>19</v>
      </c>
      <c r="N2723" s="18" t="s">
        <v>20</v>
      </c>
      <c r="O2723">
        <v>30</v>
      </c>
    </row>
    <row r="2724" spans="1:15" x14ac:dyDescent="0.25">
      <c r="A2724" s="18" t="s">
        <v>7276</v>
      </c>
      <c r="B2724" s="18" t="s">
        <v>13</v>
      </c>
      <c r="C2724" s="18" t="s">
        <v>14</v>
      </c>
      <c r="D2724" s="18" t="s">
        <v>15</v>
      </c>
      <c r="E2724" s="18" t="s">
        <v>732</v>
      </c>
      <c r="F2724" s="2">
        <f>+J2724-I2724</f>
        <v>30</v>
      </c>
      <c r="G2724" s="2">
        <f ca="1">+TODAY()-I2724</f>
        <v>1716</v>
      </c>
      <c r="H2724" s="15">
        <v>927721</v>
      </c>
      <c r="I2724" s="1">
        <v>44404</v>
      </c>
      <c r="J2724" s="1">
        <v>44434</v>
      </c>
      <c r="K2724" s="18" t="s">
        <v>716</v>
      </c>
      <c r="L2724" s="18" t="s">
        <v>18</v>
      </c>
      <c r="M2724" s="18" t="s">
        <v>19</v>
      </c>
      <c r="N2724" s="18" t="s">
        <v>20</v>
      </c>
      <c r="O2724">
        <v>30</v>
      </c>
    </row>
    <row r="2725" spans="1:15" x14ac:dyDescent="0.25">
      <c r="A2725" s="18" t="s">
        <v>7276</v>
      </c>
      <c r="B2725" s="18" t="s">
        <v>13</v>
      </c>
      <c r="C2725" s="18" t="s">
        <v>14</v>
      </c>
      <c r="D2725" s="18" t="s">
        <v>15</v>
      </c>
      <c r="E2725" s="18" t="s">
        <v>733</v>
      </c>
      <c r="F2725" s="2">
        <f>+J2725-I2725</f>
        <v>30</v>
      </c>
      <c r="G2725" s="2">
        <f ca="1">+TODAY()-I2725</f>
        <v>1700</v>
      </c>
      <c r="H2725" s="15">
        <v>2545820</v>
      </c>
      <c r="I2725" s="1">
        <v>44420</v>
      </c>
      <c r="J2725" s="1">
        <v>44450</v>
      </c>
      <c r="K2725" s="18" t="s">
        <v>716</v>
      </c>
      <c r="L2725" s="18" t="s">
        <v>18</v>
      </c>
      <c r="M2725" s="18" t="s">
        <v>19</v>
      </c>
      <c r="N2725" s="18" t="s">
        <v>20</v>
      </c>
      <c r="O2725">
        <v>30</v>
      </c>
    </row>
    <row r="2726" spans="1:15" x14ac:dyDescent="0.25">
      <c r="A2726" s="18" t="s">
        <v>7276</v>
      </c>
      <c r="B2726" s="18" t="s">
        <v>13</v>
      </c>
      <c r="C2726" s="18" t="s">
        <v>14</v>
      </c>
      <c r="D2726" s="18" t="s">
        <v>15</v>
      </c>
      <c r="E2726" s="18" t="s">
        <v>734</v>
      </c>
      <c r="F2726" s="2">
        <f>+J2726-I2726</f>
        <v>30</v>
      </c>
      <c r="G2726" s="2">
        <f ca="1">+TODAY()-I2726</f>
        <v>1673</v>
      </c>
      <c r="H2726" s="15">
        <v>1161230</v>
      </c>
      <c r="I2726" s="1">
        <v>44447</v>
      </c>
      <c r="J2726" s="1">
        <v>44477</v>
      </c>
      <c r="K2726" s="18" t="s">
        <v>716</v>
      </c>
      <c r="L2726" s="18" t="s">
        <v>18</v>
      </c>
      <c r="M2726" s="18" t="s">
        <v>19</v>
      </c>
      <c r="N2726" s="18" t="s">
        <v>20</v>
      </c>
      <c r="O2726">
        <v>30</v>
      </c>
    </row>
    <row r="2727" spans="1:15" x14ac:dyDescent="0.25">
      <c r="A2727" s="18" t="s">
        <v>7276</v>
      </c>
      <c r="B2727" s="18" t="s">
        <v>13</v>
      </c>
      <c r="C2727" s="18" t="s">
        <v>14</v>
      </c>
      <c r="D2727" s="18" t="s">
        <v>15</v>
      </c>
      <c r="E2727" s="18" t="s">
        <v>735</v>
      </c>
      <c r="F2727" s="2">
        <f>+J2727-I2727</f>
        <v>30</v>
      </c>
      <c r="G2727" s="2">
        <f ca="1">+TODAY()-I2727</f>
        <v>1673</v>
      </c>
      <c r="H2727" s="15">
        <v>550000</v>
      </c>
      <c r="I2727" s="1">
        <v>44447</v>
      </c>
      <c r="J2727" s="1">
        <v>44477</v>
      </c>
      <c r="K2727" s="18" t="s">
        <v>716</v>
      </c>
      <c r="L2727" s="18" t="s">
        <v>18</v>
      </c>
      <c r="M2727" s="18" t="s">
        <v>19</v>
      </c>
      <c r="N2727" s="18" t="s">
        <v>20</v>
      </c>
      <c r="O2727">
        <v>30</v>
      </c>
    </row>
    <row r="2728" spans="1:15" x14ac:dyDescent="0.25">
      <c r="A2728" s="18" t="s">
        <v>7276</v>
      </c>
      <c r="B2728" s="18" t="s">
        <v>13</v>
      </c>
      <c r="C2728" s="18" t="s">
        <v>14</v>
      </c>
      <c r="D2728" s="18" t="s">
        <v>15</v>
      </c>
      <c r="E2728" s="18" t="s">
        <v>736</v>
      </c>
      <c r="F2728" s="2">
        <f>+J2728-I2728</f>
        <v>30</v>
      </c>
      <c r="G2728" s="2">
        <f ca="1">+TODAY()-I2728</f>
        <v>1645</v>
      </c>
      <c r="H2728" s="15">
        <v>1628574</v>
      </c>
      <c r="I2728" s="1">
        <v>44475</v>
      </c>
      <c r="J2728" s="1">
        <v>44505</v>
      </c>
      <c r="K2728" s="18" t="s">
        <v>716</v>
      </c>
      <c r="L2728" s="18" t="s">
        <v>18</v>
      </c>
      <c r="M2728" s="18" t="s">
        <v>19</v>
      </c>
      <c r="N2728" s="18" t="s">
        <v>20</v>
      </c>
      <c r="O2728">
        <v>30</v>
      </c>
    </row>
    <row r="2729" spans="1:15" x14ac:dyDescent="0.25">
      <c r="A2729" s="18" t="s">
        <v>7276</v>
      </c>
      <c r="B2729" s="18" t="s">
        <v>13</v>
      </c>
      <c r="C2729" s="18" t="s">
        <v>14</v>
      </c>
      <c r="D2729" s="18" t="s">
        <v>15</v>
      </c>
      <c r="E2729" s="18" t="s">
        <v>737</v>
      </c>
      <c r="F2729" s="2">
        <f>+J2729-I2729</f>
        <v>30</v>
      </c>
      <c r="G2729" s="2">
        <f ca="1">+TODAY()-I2729</f>
        <v>1631</v>
      </c>
      <c r="H2729" s="15">
        <v>733348</v>
      </c>
      <c r="I2729" s="1">
        <v>44489</v>
      </c>
      <c r="J2729" s="1">
        <v>44519</v>
      </c>
      <c r="K2729" s="18" t="s">
        <v>716</v>
      </c>
      <c r="L2729" s="18" t="s">
        <v>18</v>
      </c>
      <c r="M2729" s="18" t="s">
        <v>19</v>
      </c>
      <c r="N2729" s="18" t="s">
        <v>20</v>
      </c>
      <c r="O2729">
        <v>30</v>
      </c>
    </row>
    <row r="2730" spans="1:15" x14ac:dyDescent="0.25">
      <c r="A2730" s="18" t="s">
        <v>7276</v>
      </c>
      <c r="B2730" s="18" t="s">
        <v>13</v>
      </c>
      <c r="C2730" s="18" t="s">
        <v>14</v>
      </c>
      <c r="D2730" s="18" t="s">
        <v>15</v>
      </c>
      <c r="E2730" s="18" t="s">
        <v>738</v>
      </c>
      <c r="F2730" s="2">
        <f>+J2730-I2730</f>
        <v>30</v>
      </c>
      <c r="G2730" s="2">
        <f ca="1">+TODAY()-I2730</f>
        <v>1617</v>
      </c>
      <c r="H2730" s="15">
        <v>1707031</v>
      </c>
      <c r="I2730" s="1">
        <v>44503</v>
      </c>
      <c r="J2730" s="1">
        <v>44533</v>
      </c>
      <c r="K2730" s="18" t="s">
        <v>716</v>
      </c>
      <c r="L2730" s="18" t="s">
        <v>18</v>
      </c>
      <c r="M2730" s="18" t="s">
        <v>19</v>
      </c>
      <c r="N2730" s="18" t="s">
        <v>20</v>
      </c>
      <c r="O2730">
        <v>30</v>
      </c>
    </row>
    <row r="2731" spans="1:15" x14ac:dyDescent="0.25">
      <c r="A2731" s="18" t="s">
        <v>7276</v>
      </c>
      <c r="B2731" s="18" t="s">
        <v>13</v>
      </c>
      <c r="C2731" s="18" t="s">
        <v>14</v>
      </c>
      <c r="D2731" s="18" t="s">
        <v>15</v>
      </c>
      <c r="E2731" s="18" t="s">
        <v>739</v>
      </c>
      <c r="F2731" s="2">
        <f>+J2731-I2731</f>
        <v>30</v>
      </c>
      <c r="G2731" s="2">
        <f ca="1">+TODAY()-I2731</f>
        <v>1603</v>
      </c>
      <c r="H2731" s="15">
        <v>5129200</v>
      </c>
      <c r="I2731" s="1">
        <v>44517</v>
      </c>
      <c r="J2731" s="1">
        <v>44547</v>
      </c>
      <c r="K2731" s="18" t="s">
        <v>716</v>
      </c>
      <c r="L2731" s="18" t="s">
        <v>18</v>
      </c>
      <c r="M2731" s="18" t="s">
        <v>19</v>
      </c>
      <c r="N2731" s="18" t="s">
        <v>20</v>
      </c>
      <c r="O2731">
        <v>30</v>
      </c>
    </row>
    <row r="2732" spans="1:15" x14ac:dyDescent="0.25">
      <c r="A2732" s="18" t="s">
        <v>7276</v>
      </c>
      <c r="B2732" s="18" t="s">
        <v>13</v>
      </c>
      <c r="C2732" s="18" t="s">
        <v>14</v>
      </c>
      <c r="D2732" s="18" t="s">
        <v>15</v>
      </c>
      <c r="E2732" s="18" t="s">
        <v>740</v>
      </c>
      <c r="F2732" s="2">
        <f>+J2732-I2732</f>
        <v>30</v>
      </c>
      <c r="G2732" s="2">
        <f ca="1">+TODAY()-I2732</f>
        <v>1590</v>
      </c>
      <c r="H2732" s="15">
        <v>4140649</v>
      </c>
      <c r="I2732" s="1">
        <v>44530</v>
      </c>
      <c r="J2732" s="1">
        <v>44560</v>
      </c>
      <c r="K2732" s="18" t="s">
        <v>716</v>
      </c>
      <c r="L2732" s="18" t="s">
        <v>18</v>
      </c>
      <c r="M2732" s="18" t="s">
        <v>19</v>
      </c>
      <c r="N2732" s="18" t="s">
        <v>20</v>
      </c>
      <c r="O2732">
        <v>30</v>
      </c>
    </row>
    <row r="2733" spans="1:15" x14ac:dyDescent="0.25">
      <c r="A2733" s="18" t="s">
        <v>7276</v>
      </c>
      <c r="B2733" s="18" t="s">
        <v>13</v>
      </c>
      <c r="C2733" s="18" t="s">
        <v>14</v>
      </c>
      <c r="D2733" s="18" t="s">
        <v>15</v>
      </c>
      <c r="E2733" s="18" t="s">
        <v>741</v>
      </c>
      <c r="F2733" s="2">
        <f>+J2733-I2733</f>
        <v>30</v>
      </c>
      <c r="G2733" s="2">
        <f ca="1">+TODAY()-I2733</f>
        <v>1576</v>
      </c>
      <c r="H2733" s="15">
        <v>5710747</v>
      </c>
      <c r="I2733" s="1">
        <v>44544</v>
      </c>
      <c r="J2733" s="1">
        <v>44574</v>
      </c>
      <c r="K2733" s="18" t="s">
        <v>716</v>
      </c>
      <c r="L2733" s="18" t="s">
        <v>18</v>
      </c>
      <c r="M2733" s="18" t="s">
        <v>19</v>
      </c>
      <c r="N2733" s="18" t="s">
        <v>20</v>
      </c>
      <c r="O2733">
        <v>30</v>
      </c>
    </row>
    <row r="2734" spans="1:15" x14ac:dyDescent="0.25">
      <c r="A2734" s="18" t="s">
        <v>7276</v>
      </c>
      <c r="B2734" s="18" t="s">
        <v>13</v>
      </c>
      <c r="C2734" s="18" t="s">
        <v>14</v>
      </c>
      <c r="D2734" s="18" t="s">
        <v>15</v>
      </c>
      <c r="E2734" s="18" t="s">
        <v>742</v>
      </c>
      <c r="F2734" s="2">
        <f>+J2734-I2734</f>
        <v>30</v>
      </c>
      <c r="G2734" s="2">
        <f ca="1">+TODAY()-I2734</f>
        <v>1562</v>
      </c>
      <c r="H2734" s="15">
        <v>8058183</v>
      </c>
      <c r="I2734" s="1">
        <v>44558</v>
      </c>
      <c r="J2734" s="1">
        <v>44588</v>
      </c>
      <c r="K2734" s="18" t="s">
        <v>716</v>
      </c>
      <c r="L2734" s="18" t="s">
        <v>18</v>
      </c>
      <c r="M2734" s="18" t="s">
        <v>19</v>
      </c>
      <c r="N2734" s="18" t="s">
        <v>20</v>
      </c>
      <c r="O2734">
        <v>30</v>
      </c>
    </row>
    <row r="2735" spans="1:15" x14ac:dyDescent="0.25">
      <c r="A2735" s="18" t="s">
        <v>7276</v>
      </c>
      <c r="B2735" s="18" t="s">
        <v>13</v>
      </c>
      <c r="C2735" s="18" t="s">
        <v>14</v>
      </c>
      <c r="D2735" s="18" t="s">
        <v>15</v>
      </c>
      <c r="E2735" s="18" t="s">
        <v>743</v>
      </c>
      <c r="F2735" s="2">
        <f>+J2735-I2735</f>
        <v>30</v>
      </c>
      <c r="G2735" s="2">
        <f ca="1">+TODAY()-I2735</f>
        <v>1520</v>
      </c>
      <c r="H2735" s="15">
        <v>5999945</v>
      </c>
      <c r="I2735" s="1">
        <v>44600</v>
      </c>
      <c r="J2735" s="1">
        <v>44630</v>
      </c>
      <c r="K2735" s="18" t="s">
        <v>716</v>
      </c>
      <c r="L2735" s="18" t="s">
        <v>18</v>
      </c>
      <c r="M2735" s="18" t="s">
        <v>19</v>
      </c>
      <c r="N2735" s="18" t="s">
        <v>20</v>
      </c>
      <c r="O2735">
        <v>30</v>
      </c>
    </row>
    <row r="2736" spans="1:15" x14ac:dyDescent="0.25">
      <c r="A2736" s="18" t="s">
        <v>7276</v>
      </c>
      <c r="B2736" s="18" t="s">
        <v>13</v>
      </c>
      <c r="C2736" s="18" t="s">
        <v>14</v>
      </c>
      <c r="D2736" s="18" t="s">
        <v>15</v>
      </c>
      <c r="E2736" s="18" t="s">
        <v>744</v>
      </c>
      <c r="F2736" s="2">
        <f>+J2736-I2736</f>
        <v>30</v>
      </c>
      <c r="G2736" s="2">
        <f ca="1">+TODAY()-I2736</f>
        <v>1505</v>
      </c>
      <c r="H2736" s="15">
        <v>5200000</v>
      </c>
      <c r="I2736" s="1">
        <v>44615</v>
      </c>
      <c r="J2736" s="1">
        <v>44645</v>
      </c>
      <c r="K2736" s="18" t="s">
        <v>716</v>
      </c>
      <c r="L2736" s="18" t="s">
        <v>18</v>
      </c>
      <c r="M2736" s="18" t="s">
        <v>19</v>
      </c>
      <c r="N2736" s="18" t="s">
        <v>20</v>
      </c>
      <c r="O2736">
        <v>30</v>
      </c>
    </row>
    <row r="2737" spans="1:15" x14ac:dyDescent="0.25">
      <c r="A2737" s="18" t="s">
        <v>7276</v>
      </c>
      <c r="B2737" s="18" t="s">
        <v>13</v>
      </c>
      <c r="C2737" s="18" t="s">
        <v>14</v>
      </c>
      <c r="D2737" s="18" t="s">
        <v>15</v>
      </c>
      <c r="E2737" s="18" t="s">
        <v>745</v>
      </c>
      <c r="F2737" s="2">
        <f>+J2737-I2737</f>
        <v>30</v>
      </c>
      <c r="G2737" s="2">
        <f ca="1">+TODAY()-I2737</f>
        <v>1505</v>
      </c>
      <c r="H2737" s="15">
        <v>1093620</v>
      </c>
      <c r="I2737" s="1">
        <v>44615</v>
      </c>
      <c r="J2737" s="1">
        <v>44645</v>
      </c>
      <c r="K2737" s="18" t="s">
        <v>716</v>
      </c>
      <c r="L2737" s="18" t="s">
        <v>18</v>
      </c>
      <c r="M2737" s="18" t="s">
        <v>19</v>
      </c>
      <c r="N2737" s="18" t="s">
        <v>20</v>
      </c>
      <c r="O2737">
        <v>30</v>
      </c>
    </row>
    <row r="2738" spans="1:15" x14ac:dyDescent="0.25">
      <c r="A2738" s="18" t="s">
        <v>7276</v>
      </c>
      <c r="B2738" s="18" t="s">
        <v>13</v>
      </c>
      <c r="C2738" s="18" t="s">
        <v>14</v>
      </c>
      <c r="D2738" s="18" t="s">
        <v>15</v>
      </c>
      <c r="E2738" s="18" t="s">
        <v>746</v>
      </c>
      <c r="F2738" s="2">
        <f>+J2738-I2738</f>
        <v>30</v>
      </c>
      <c r="G2738" s="2">
        <f ca="1">+TODAY()-I2738</f>
        <v>1477</v>
      </c>
      <c r="H2738" s="15">
        <v>328008</v>
      </c>
      <c r="I2738" s="1">
        <v>44643</v>
      </c>
      <c r="J2738" s="1">
        <v>44673</v>
      </c>
      <c r="K2738" s="18" t="s">
        <v>716</v>
      </c>
      <c r="L2738" s="18" t="s">
        <v>18</v>
      </c>
      <c r="M2738" s="18" t="s">
        <v>19</v>
      </c>
      <c r="N2738" s="18" t="s">
        <v>20</v>
      </c>
      <c r="O2738">
        <v>30</v>
      </c>
    </row>
    <row r="2739" spans="1:15" x14ac:dyDescent="0.25">
      <c r="A2739" s="18" t="s">
        <v>7276</v>
      </c>
      <c r="B2739" s="18" t="s">
        <v>13</v>
      </c>
      <c r="C2739" s="18" t="s">
        <v>14</v>
      </c>
      <c r="D2739" s="18" t="s">
        <v>15</v>
      </c>
      <c r="E2739" s="18" t="s">
        <v>747</v>
      </c>
      <c r="F2739" s="2">
        <f>+J2739-I2739</f>
        <v>30</v>
      </c>
      <c r="G2739" s="2">
        <f ca="1">+TODAY()-I2739</f>
        <v>1464</v>
      </c>
      <c r="H2739" s="15">
        <v>3522641</v>
      </c>
      <c r="I2739" s="1">
        <v>44656</v>
      </c>
      <c r="J2739" s="1">
        <v>44686</v>
      </c>
      <c r="K2739" s="18" t="s">
        <v>716</v>
      </c>
      <c r="L2739" s="18" t="s">
        <v>18</v>
      </c>
      <c r="M2739" s="18" t="s">
        <v>19</v>
      </c>
      <c r="N2739" s="18" t="s">
        <v>20</v>
      </c>
      <c r="O2739">
        <v>30</v>
      </c>
    </row>
    <row r="2740" spans="1:15" x14ac:dyDescent="0.25">
      <c r="A2740" s="18" t="s">
        <v>7276</v>
      </c>
      <c r="B2740" s="18" t="s">
        <v>13</v>
      </c>
      <c r="C2740" s="18" t="s">
        <v>14</v>
      </c>
      <c r="D2740" s="18" t="s">
        <v>15</v>
      </c>
      <c r="E2740" s="18" t="s">
        <v>748</v>
      </c>
      <c r="F2740" s="2">
        <f>+J2740-I2740</f>
        <v>30</v>
      </c>
      <c r="G2740" s="2">
        <f ca="1">+TODAY()-I2740</f>
        <v>1420</v>
      </c>
      <c r="H2740" s="15">
        <v>2097361</v>
      </c>
      <c r="I2740" s="1">
        <v>44700</v>
      </c>
      <c r="J2740" s="1">
        <v>44730</v>
      </c>
      <c r="K2740" s="18" t="s">
        <v>716</v>
      </c>
      <c r="L2740" s="18" t="s">
        <v>18</v>
      </c>
      <c r="M2740" s="18" t="s">
        <v>19</v>
      </c>
      <c r="N2740" s="18" t="s">
        <v>20</v>
      </c>
      <c r="O2740">
        <v>30</v>
      </c>
    </row>
    <row r="2741" spans="1:15" x14ac:dyDescent="0.25">
      <c r="A2741" s="18" t="s">
        <v>7276</v>
      </c>
      <c r="B2741" s="18" t="s">
        <v>13</v>
      </c>
      <c r="C2741" s="18" t="s">
        <v>14</v>
      </c>
      <c r="D2741" s="18" t="s">
        <v>15</v>
      </c>
      <c r="E2741" s="18" t="s">
        <v>749</v>
      </c>
      <c r="F2741" s="2">
        <f>+J2741-I2741</f>
        <v>30</v>
      </c>
      <c r="G2741" s="2">
        <f ca="1">+TODAY()-I2741</f>
        <v>1393</v>
      </c>
      <c r="H2741" s="15">
        <v>2246712</v>
      </c>
      <c r="I2741" s="1">
        <v>44727</v>
      </c>
      <c r="J2741" s="1">
        <v>44757</v>
      </c>
      <c r="K2741" s="18" t="s">
        <v>716</v>
      </c>
      <c r="L2741" s="18" t="s">
        <v>18</v>
      </c>
      <c r="M2741" s="18" t="s">
        <v>19</v>
      </c>
      <c r="N2741" s="18" t="s">
        <v>20</v>
      </c>
      <c r="O2741">
        <v>30</v>
      </c>
    </row>
    <row r="2742" spans="1:15" x14ac:dyDescent="0.25">
      <c r="A2742" s="18" t="s">
        <v>7276</v>
      </c>
      <c r="B2742" s="18" t="s">
        <v>13</v>
      </c>
      <c r="C2742" s="18" t="s">
        <v>14</v>
      </c>
      <c r="D2742" s="18" t="s">
        <v>15</v>
      </c>
      <c r="E2742" s="18" t="s">
        <v>750</v>
      </c>
      <c r="F2742" s="2">
        <f>+J2742-I2742</f>
        <v>30</v>
      </c>
      <c r="G2742" s="2">
        <f ca="1">+TODAY()-I2742</f>
        <v>1379</v>
      </c>
      <c r="H2742" s="15">
        <v>2905001</v>
      </c>
      <c r="I2742" s="1">
        <v>44741</v>
      </c>
      <c r="J2742" s="1">
        <v>44771</v>
      </c>
      <c r="K2742" s="18" t="s">
        <v>716</v>
      </c>
      <c r="L2742" s="18" t="s">
        <v>18</v>
      </c>
      <c r="M2742" s="18" t="s">
        <v>19</v>
      </c>
      <c r="N2742" s="18" t="s">
        <v>20</v>
      </c>
      <c r="O2742">
        <v>30</v>
      </c>
    </row>
    <row r="2743" spans="1:15" x14ac:dyDescent="0.25">
      <c r="A2743" s="18" t="s">
        <v>7276</v>
      </c>
      <c r="B2743" s="18" t="s">
        <v>13</v>
      </c>
      <c r="C2743" s="18" t="s">
        <v>14</v>
      </c>
      <c r="D2743" s="18" t="s">
        <v>15</v>
      </c>
      <c r="E2743" s="18" t="s">
        <v>751</v>
      </c>
      <c r="F2743" s="2">
        <f>+J2743-I2743</f>
        <v>30</v>
      </c>
      <c r="G2743" s="2">
        <f ca="1">+TODAY()-I2743</f>
        <v>1379</v>
      </c>
      <c r="H2743" s="15">
        <v>564522</v>
      </c>
      <c r="I2743" s="1">
        <v>44741</v>
      </c>
      <c r="J2743" s="1">
        <v>44771</v>
      </c>
      <c r="K2743" s="18" t="s">
        <v>716</v>
      </c>
      <c r="L2743" s="18" t="s">
        <v>18</v>
      </c>
      <c r="M2743" s="18" t="s">
        <v>19</v>
      </c>
      <c r="N2743" s="18" t="s">
        <v>20</v>
      </c>
      <c r="O2743">
        <v>30</v>
      </c>
    </row>
    <row r="2744" spans="1:15" x14ac:dyDescent="0.25">
      <c r="A2744" s="18" t="s">
        <v>7276</v>
      </c>
      <c r="B2744" s="18" t="s">
        <v>13</v>
      </c>
      <c r="C2744" s="18" t="s">
        <v>14</v>
      </c>
      <c r="D2744" s="18" t="s">
        <v>15</v>
      </c>
      <c r="E2744" s="18" t="s">
        <v>752</v>
      </c>
      <c r="F2744" s="2">
        <f>+J2744-I2744</f>
        <v>30</v>
      </c>
      <c r="G2744" s="2">
        <f ca="1">+TODAY()-I2744</f>
        <v>1373</v>
      </c>
      <c r="H2744" s="15">
        <v>4867003</v>
      </c>
      <c r="I2744" s="1">
        <v>44747</v>
      </c>
      <c r="J2744" s="1">
        <v>44777</v>
      </c>
      <c r="K2744" s="18" t="s">
        <v>716</v>
      </c>
      <c r="L2744" s="18" t="s">
        <v>18</v>
      </c>
      <c r="M2744" s="18" t="s">
        <v>19</v>
      </c>
      <c r="N2744" s="18" t="s">
        <v>20</v>
      </c>
      <c r="O2744">
        <v>30</v>
      </c>
    </row>
    <row r="2745" spans="1:15" x14ac:dyDescent="0.25">
      <c r="A2745" s="18" t="s">
        <v>7276</v>
      </c>
      <c r="B2745" s="18" t="s">
        <v>13</v>
      </c>
      <c r="C2745" s="18" t="s">
        <v>14</v>
      </c>
      <c r="D2745" s="18" t="s">
        <v>15</v>
      </c>
      <c r="E2745" s="18" t="s">
        <v>753</v>
      </c>
      <c r="F2745" s="2">
        <f>+J2745-I2745</f>
        <v>30</v>
      </c>
      <c r="G2745" s="2">
        <f ca="1">+TODAY()-I2745</f>
        <v>1365</v>
      </c>
      <c r="H2745" s="15">
        <v>485760</v>
      </c>
      <c r="I2745" s="1">
        <v>44755</v>
      </c>
      <c r="J2745" s="1">
        <v>44785</v>
      </c>
      <c r="K2745" s="18" t="s">
        <v>716</v>
      </c>
      <c r="L2745" s="18" t="s">
        <v>18</v>
      </c>
      <c r="M2745" s="18" t="s">
        <v>19</v>
      </c>
      <c r="N2745" s="18" t="s">
        <v>20</v>
      </c>
      <c r="O2745">
        <v>30</v>
      </c>
    </row>
    <row r="2746" spans="1:15" x14ac:dyDescent="0.25">
      <c r="A2746" s="18" t="s">
        <v>7276</v>
      </c>
      <c r="B2746" s="18" t="s">
        <v>13</v>
      </c>
      <c r="C2746" s="18" t="s">
        <v>14</v>
      </c>
      <c r="D2746" s="18" t="s">
        <v>15</v>
      </c>
      <c r="E2746" s="18" t="s">
        <v>754</v>
      </c>
      <c r="F2746" s="2">
        <f>+J2746-I2746</f>
        <v>30</v>
      </c>
      <c r="G2746" s="2">
        <f ca="1">+TODAY()-I2746</f>
        <v>1351</v>
      </c>
      <c r="H2746" s="15">
        <v>1205579</v>
      </c>
      <c r="I2746" s="1">
        <v>44769</v>
      </c>
      <c r="J2746" s="1">
        <v>44799</v>
      </c>
      <c r="K2746" s="18" t="s">
        <v>716</v>
      </c>
      <c r="L2746" s="18" t="s">
        <v>18</v>
      </c>
      <c r="M2746" s="18" t="s">
        <v>19</v>
      </c>
      <c r="N2746" s="18" t="s">
        <v>20</v>
      </c>
      <c r="O2746">
        <v>30</v>
      </c>
    </row>
    <row r="2747" spans="1:15" x14ac:dyDescent="0.25">
      <c r="A2747" s="18" t="s">
        <v>7276</v>
      </c>
      <c r="B2747" s="18" t="s">
        <v>13</v>
      </c>
      <c r="C2747" s="18" t="s">
        <v>14</v>
      </c>
      <c r="D2747" s="18" t="s">
        <v>15</v>
      </c>
      <c r="E2747" s="18" t="s">
        <v>755</v>
      </c>
      <c r="F2747" s="2">
        <f>+J2747-I2747</f>
        <v>30</v>
      </c>
      <c r="G2747" s="2">
        <f ca="1">+TODAY()-I2747</f>
        <v>1349</v>
      </c>
      <c r="H2747" s="15">
        <v>4510000</v>
      </c>
      <c r="I2747" s="1">
        <v>44771</v>
      </c>
      <c r="J2747" s="1">
        <v>44801</v>
      </c>
      <c r="K2747" s="18" t="s">
        <v>716</v>
      </c>
      <c r="L2747" s="18" t="s">
        <v>18</v>
      </c>
      <c r="M2747" s="18" t="s">
        <v>19</v>
      </c>
      <c r="N2747" s="18" t="s">
        <v>20</v>
      </c>
      <c r="O2747">
        <v>30</v>
      </c>
    </row>
    <row r="2748" spans="1:15" x14ac:dyDescent="0.25">
      <c r="A2748" s="18" t="s">
        <v>7276</v>
      </c>
      <c r="B2748" s="18" t="s">
        <v>13</v>
      </c>
      <c r="C2748" s="18" t="s">
        <v>14</v>
      </c>
      <c r="D2748" s="18" t="s">
        <v>15</v>
      </c>
      <c r="E2748" s="18" t="s">
        <v>756</v>
      </c>
      <c r="F2748" s="2">
        <f>+J2748-I2748</f>
        <v>30</v>
      </c>
      <c r="G2748" s="2">
        <f ca="1">+TODAY()-I2748</f>
        <v>1336</v>
      </c>
      <c r="H2748" s="15">
        <v>6328000</v>
      </c>
      <c r="I2748" s="1">
        <v>44784</v>
      </c>
      <c r="J2748" s="1">
        <v>44814</v>
      </c>
      <c r="K2748" s="18" t="s">
        <v>716</v>
      </c>
      <c r="L2748" s="18" t="s">
        <v>18</v>
      </c>
      <c r="M2748" s="18" t="s">
        <v>19</v>
      </c>
      <c r="N2748" s="18" t="s">
        <v>20</v>
      </c>
      <c r="O2748">
        <v>30</v>
      </c>
    </row>
    <row r="2749" spans="1:15" x14ac:dyDescent="0.25">
      <c r="A2749" s="18" t="s">
        <v>7276</v>
      </c>
      <c r="B2749" s="18" t="s">
        <v>13</v>
      </c>
      <c r="C2749" s="18" t="s">
        <v>14</v>
      </c>
      <c r="D2749" s="18" t="s">
        <v>15</v>
      </c>
      <c r="E2749" s="18" t="s">
        <v>757</v>
      </c>
      <c r="F2749" s="2">
        <f>+J2749-I2749</f>
        <v>30</v>
      </c>
      <c r="G2749" s="2">
        <f ca="1">+TODAY()-I2749</f>
        <v>1336</v>
      </c>
      <c r="H2749" s="15">
        <v>1229612</v>
      </c>
      <c r="I2749" s="1">
        <v>44784</v>
      </c>
      <c r="J2749" s="1">
        <v>44814</v>
      </c>
      <c r="K2749" s="18" t="s">
        <v>716</v>
      </c>
      <c r="L2749" s="18" t="s">
        <v>18</v>
      </c>
      <c r="M2749" s="18" t="s">
        <v>19</v>
      </c>
      <c r="N2749" s="18" t="s">
        <v>20</v>
      </c>
      <c r="O2749">
        <v>30</v>
      </c>
    </row>
    <row r="2750" spans="1:15" x14ac:dyDescent="0.25">
      <c r="A2750" s="18" t="s">
        <v>7276</v>
      </c>
      <c r="B2750" s="18" t="s">
        <v>13</v>
      </c>
      <c r="C2750" s="18" t="s">
        <v>14</v>
      </c>
      <c r="D2750" s="18" t="s">
        <v>15</v>
      </c>
      <c r="E2750" s="18" t="s">
        <v>758</v>
      </c>
      <c r="F2750" s="2">
        <f>+J2750-I2750</f>
        <v>30</v>
      </c>
      <c r="G2750" s="2">
        <f ca="1">+TODAY()-I2750</f>
        <v>1309</v>
      </c>
      <c r="H2750" s="15">
        <v>2573837</v>
      </c>
      <c r="I2750" s="1">
        <v>44811</v>
      </c>
      <c r="J2750" s="1">
        <v>44841</v>
      </c>
      <c r="K2750" s="18" t="s">
        <v>716</v>
      </c>
      <c r="L2750" s="18" t="s">
        <v>18</v>
      </c>
      <c r="M2750" s="18" t="s">
        <v>19</v>
      </c>
      <c r="N2750" s="18" t="s">
        <v>20</v>
      </c>
      <c r="O2750">
        <v>30</v>
      </c>
    </row>
    <row r="2751" spans="1:15" x14ac:dyDescent="0.25">
      <c r="A2751" s="18" t="s">
        <v>7276</v>
      </c>
      <c r="B2751" s="18" t="s">
        <v>13</v>
      </c>
      <c r="C2751" s="18" t="s">
        <v>14</v>
      </c>
      <c r="D2751" s="18" t="s">
        <v>15</v>
      </c>
      <c r="E2751" s="18" t="s">
        <v>759</v>
      </c>
      <c r="F2751" s="2">
        <f>+J2751-I2751</f>
        <v>30</v>
      </c>
      <c r="G2751" s="2">
        <f ca="1">+TODAY()-I2751</f>
        <v>1297</v>
      </c>
      <c r="H2751" s="15">
        <v>8773000</v>
      </c>
      <c r="I2751" s="1">
        <v>44823</v>
      </c>
      <c r="J2751" s="1">
        <v>44853</v>
      </c>
      <c r="K2751" s="18" t="s">
        <v>716</v>
      </c>
      <c r="L2751" s="18" t="s">
        <v>18</v>
      </c>
      <c r="M2751" s="18" t="s">
        <v>19</v>
      </c>
      <c r="N2751" s="18" t="s">
        <v>20</v>
      </c>
      <c r="O2751">
        <v>30</v>
      </c>
    </row>
    <row r="2752" spans="1:15" x14ac:dyDescent="0.25">
      <c r="A2752" s="18" t="s">
        <v>7276</v>
      </c>
      <c r="B2752" s="18" t="s">
        <v>13</v>
      </c>
      <c r="C2752" s="18" t="s">
        <v>14</v>
      </c>
      <c r="D2752" s="18" t="s">
        <v>15</v>
      </c>
      <c r="E2752" s="18" t="s">
        <v>760</v>
      </c>
      <c r="F2752" s="2">
        <f>+J2752-I2752</f>
        <v>30</v>
      </c>
      <c r="G2752" s="2">
        <f ca="1">+TODAY()-I2752</f>
        <v>1296</v>
      </c>
      <c r="H2752" s="15">
        <v>1284360</v>
      </c>
      <c r="I2752" s="1">
        <v>44824</v>
      </c>
      <c r="J2752" s="1">
        <v>44854</v>
      </c>
      <c r="K2752" s="18" t="s">
        <v>716</v>
      </c>
      <c r="L2752" s="18" t="s">
        <v>18</v>
      </c>
      <c r="M2752" s="18" t="s">
        <v>19</v>
      </c>
      <c r="N2752" s="18" t="s">
        <v>20</v>
      </c>
      <c r="O2752">
        <v>30</v>
      </c>
    </row>
    <row r="2753" spans="1:15" x14ac:dyDescent="0.25">
      <c r="A2753" s="18" t="s">
        <v>7276</v>
      </c>
      <c r="B2753" s="18" t="s">
        <v>13</v>
      </c>
      <c r="C2753" s="18" t="s">
        <v>14</v>
      </c>
      <c r="D2753" s="18" t="s">
        <v>15</v>
      </c>
      <c r="E2753" s="18" t="s">
        <v>761</v>
      </c>
      <c r="F2753" s="2">
        <f>+J2753-I2753</f>
        <v>30</v>
      </c>
      <c r="G2753" s="2">
        <f ca="1">+TODAY()-I2753</f>
        <v>1281</v>
      </c>
      <c r="H2753" s="15">
        <v>1007716</v>
      </c>
      <c r="I2753" s="1">
        <v>44839</v>
      </c>
      <c r="J2753" s="1">
        <v>44869</v>
      </c>
      <c r="K2753" s="18" t="s">
        <v>716</v>
      </c>
      <c r="L2753" s="18" t="s">
        <v>18</v>
      </c>
      <c r="M2753" s="18" t="s">
        <v>19</v>
      </c>
      <c r="N2753" s="18" t="s">
        <v>20</v>
      </c>
      <c r="O2753">
        <v>30</v>
      </c>
    </row>
    <row r="2754" spans="1:15" x14ac:dyDescent="0.25">
      <c r="A2754" s="18" t="s">
        <v>7276</v>
      </c>
      <c r="B2754" s="18" t="s">
        <v>13</v>
      </c>
      <c r="C2754" s="18" t="s">
        <v>14</v>
      </c>
      <c r="D2754" s="18" t="s">
        <v>15</v>
      </c>
      <c r="E2754" s="18" t="s">
        <v>762</v>
      </c>
      <c r="F2754" s="2">
        <f>+J2754-I2754</f>
        <v>30</v>
      </c>
      <c r="G2754" s="2">
        <f ca="1">+TODAY()-I2754</f>
        <v>1267</v>
      </c>
      <c r="H2754" s="15">
        <v>1918000</v>
      </c>
      <c r="I2754" s="1">
        <v>44853</v>
      </c>
      <c r="J2754" s="1">
        <v>44883</v>
      </c>
      <c r="K2754" s="18" t="s">
        <v>716</v>
      </c>
      <c r="L2754" s="18" t="s">
        <v>18</v>
      </c>
      <c r="M2754" s="18" t="s">
        <v>19</v>
      </c>
      <c r="N2754" s="18" t="s">
        <v>20</v>
      </c>
      <c r="O2754">
        <v>30</v>
      </c>
    </row>
    <row r="2755" spans="1:15" x14ac:dyDescent="0.25">
      <c r="A2755" s="18" t="s">
        <v>7276</v>
      </c>
      <c r="B2755" s="18" t="s">
        <v>13</v>
      </c>
      <c r="C2755" s="18" t="s">
        <v>14</v>
      </c>
      <c r="D2755" s="18" t="s">
        <v>15</v>
      </c>
      <c r="E2755" s="18" t="s">
        <v>763</v>
      </c>
      <c r="F2755" s="2">
        <f>+J2755-I2755</f>
        <v>30</v>
      </c>
      <c r="G2755" s="2">
        <f ca="1">+TODAY()-I2755</f>
        <v>1266</v>
      </c>
      <c r="H2755" s="15">
        <v>3044063</v>
      </c>
      <c r="I2755" s="1">
        <v>44854</v>
      </c>
      <c r="J2755" s="1">
        <v>44884</v>
      </c>
      <c r="K2755" s="18" t="s">
        <v>716</v>
      </c>
      <c r="L2755" s="18" t="s">
        <v>18</v>
      </c>
      <c r="M2755" s="18" t="s">
        <v>19</v>
      </c>
      <c r="N2755" s="18" t="s">
        <v>20</v>
      </c>
      <c r="O2755">
        <v>30</v>
      </c>
    </row>
    <row r="2756" spans="1:15" x14ac:dyDescent="0.25">
      <c r="A2756" s="18" t="s">
        <v>7276</v>
      </c>
      <c r="B2756" s="18" t="s">
        <v>13</v>
      </c>
      <c r="C2756" s="18" t="s">
        <v>14</v>
      </c>
      <c r="D2756" s="18" t="s">
        <v>15</v>
      </c>
      <c r="E2756" s="18" t="s">
        <v>764</v>
      </c>
      <c r="F2756" s="2">
        <f>+J2756-I2756</f>
        <v>30</v>
      </c>
      <c r="G2756" s="2">
        <f ca="1">+TODAY()-I2756</f>
        <v>1253</v>
      </c>
      <c r="H2756" s="15">
        <v>512610</v>
      </c>
      <c r="I2756" s="1">
        <v>44867</v>
      </c>
      <c r="J2756" s="1">
        <v>44897</v>
      </c>
      <c r="K2756" s="18" t="s">
        <v>716</v>
      </c>
      <c r="L2756" s="18" t="s">
        <v>18</v>
      </c>
      <c r="M2756" s="18" t="s">
        <v>19</v>
      </c>
      <c r="N2756" s="18" t="s">
        <v>20</v>
      </c>
      <c r="O2756">
        <v>30</v>
      </c>
    </row>
    <row r="2757" spans="1:15" x14ac:dyDescent="0.25">
      <c r="A2757" s="18" t="s">
        <v>7276</v>
      </c>
      <c r="B2757" s="18" t="s">
        <v>13</v>
      </c>
      <c r="C2757" s="18" t="s">
        <v>14</v>
      </c>
      <c r="D2757" s="18" t="s">
        <v>15</v>
      </c>
      <c r="E2757" s="18" t="s">
        <v>765</v>
      </c>
      <c r="F2757" s="2">
        <f>+J2757-I2757</f>
        <v>30</v>
      </c>
      <c r="G2757" s="2">
        <f ca="1">+TODAY()-I2757</f>
        <v>1239</v>
      </c>
      <c r="H2757" s="15">
        <v>1478976</v>
      </c>
      <c r="I2757" s="1">
        <v>44881</v>
      </c>
      <c r="J2757" s="1">
        <v>44911</v>
      </c>
      <c r="K2757" s="18" t="s">
        <v>716</v>
      </c>
      <c r="L2757" s="18" t="s">
        <v>18</v>
      </c>
      <c r="M2757" s="18" t="s">
        <v>19</v>
      </c>
      <c r="N2757" s="18" t="s">
        <v>20</v>
      </c>
      <c r="O2757">
        <v>30</v>
      </c>
    </row>
    <row r="2758" spans="1:15" x14ac:dyDescent="0.25">
      <c r="A2758" s="18" t="s">
        <v>7276</v>
      </c>
      <c r="B2758" s="18" t="s">
        <v>13</v>
      </c>
      <c r="C2758" s="18" t="s">
        <v>14</v>
      </c>
      <c r="D2758" s="18" t="s">
        <v>15</v>
      </c>
      <c r="E2758" s="18" t="s">
        <v>767</v>
      </c>
      <c r="F2758" s="2">
        <f>+J2758-I2758</f>
        <v>30</v>
      </c>
      <c r="G2758" s="2">
        <f ca="1">+TODAY()-I2758</f>
        <v>1856</v>
      </c>
      <c r="H2758" s="15">
        <v>194665</v>
      </c>
      <c r="I2758" s="1">
        <v>44264</v>
      </c>
      <c r="J2758" s="1">
        <v>44294</v>
      </c>
      <c r="K2758" s="18" t="s">
        <v>766</v>
      </c>
      <c r="L2758" s="18" t="s">
        <v>18</v>
      </c>
      <c r="M2758" s="18" t="s">
        <v>19</v>
      </c>
      <c r="N2758" s="18" t="s">
        <v>20</v>
      </c>
      <c r="O2758">
        <v>30</v>
      </c>
    </row>
    <row r="2759" spans="1:15" x14ac:dyDescent="0.25">
      <c r="A2759" s="18" t="s">
        <v>7276</v>
      </c>
      <c r="B2759" s="18" t="s">
        <v>13</v>
      </c>
      <c r="C2759" s="18" t="s">
        <v>14</v>
      </c>
      <c r="D2759" s="18" t="s">
        <v>15</v>
      </c>
      <c r="E2759" s="18" t="s">
        <v>768</v>
      </c>
      <c r="F2759" s="2">
        <f>+J2759-I2759</f>
        <v>30</v>
      </c>
      <c r="G2759" s="2">
        <f ca="1">+TODAY()-I2759</f>
        <v>1856</v>
      </c>
      <c r="H2759" s="15">
        <v>2297695</v>
      </c>
      <c r="I2759" s="1">
        <v>44264</v>
      </c>
      <c r="J2759" s="1">
        <v>44294</v>
      </c>
      <c r="K2759" s="18" t="s">
        <v>766</v>
      </c>
      <c r="L2759" s="18" t="s">
        <v>18</v>
      </c>
      <c r="M2759" s="18" t="s">
        <v>19</v>
      </c>
      <c r="N2759" s="18" t="s">
        <v>20</v>
      </c>
      <c r="O2759">
        <v>30</v>
      </c>
    </row>
    <row r="2760" spans="1:15" x14ac:dyDescent="0.25">
      <c r="A2760" s="18" t="s">
        <v>7276</v>
      </c>
      <c r="B2760" s="18" t="s">
        <v>13</v>
      </c>
      <c r="C2760" s="18" t="s">
        <v>14</v>
      </c>
      <c r="D2760" s="18" t="s">
        <v>15</v>
      </c>
      <c r="E2760" s="18" t="s">
        <v>769</v>
      </c>
      <c r="F2760" s="2">
        <f>+J2760-I2760</f>
        <v>30</v>
      </c>
      <c r="G2760" s="2">
        <f ca="1">+TODAY()-I2760</f>
        <v>1841</v>
      </c>
      <c r="H2760" s="15">
        <v>2351143</v>
      </c>
      <c r="I2760" s="1">
        <v>44279</v>
      </c>
      <c r="J2760" s="1">
        <v>44309</v>
      </c>
      <c r="K2760" s="18" t="s">
        <v>766</v>
      </c>
      <c r="L2760" s="18" t="s">
        <v>18</v>
      </c>
      <c r="M2760" s="18" t="s">
        <v>19</v>
      </c>
      <c r="N2760" s="18" t="s">
        <v>20</v>
      </c>
      <c r="O2760">
        <v>30</v>
      </c>
    </row>
    <row r="2761" spans="1:15" x14ac:dyDescent="0.25">
      <c r="A2761" s="18" t="s">
        <v>7276</v>
      </c>
      <c r="B2761" s="18" t="s">
        <v>13</v>
      </c>
      <c r="C2761" s="18" t="s">
        <v>14</v>
      </c>
      <c r="D2761" s="18" t="s">
        <v>15</v>
      </c>
      <c r="E2761" s="18" t="s">
        <v>770</v>
      </c>
      <c r="F2761" s="2">
        <f>+J2761-I2761</f>
        <v>30</v>
      </c>
      <c r="G2761" s="2">
        <f ca="1">+TODAY()-I2761</f>
        <v>1828</v>
      </c>
      <c r="H2761" s="15">
        <v>3102049</v>
      </c>
      <c r="I2761" s="1">
        <v>44292</v>
      </c>
      <c r="J2761" s="1">
        <v>44322</v>
      </c>
      <c r="K2761" s="18" t="s">
        <v>766</v>
      </c>
      <c r="L2761" s="18" t="s">
        <v>18</v>
      </c>
      <c r="M2761" s="18" t="s">
        <v>19</v>
      </c>
      <c r="N2761" s="18" t="s">
        <v>20</v>
      </c>
      <c r="O2761">
        <v>30</v>
      </c>
    </row>
    <row r="2762" spans="1:15" x14ac:dyDescent="0.25">
      <c r="A2762" s="18" t="s">
        <v>7276</v>
      </c>
      <c r="B2762" s="18" t="s">
        <v>13</v>
      </c>
      <c r="C2762" s="18" t="s">
        <v>14</v>
      </c>
      <c r="D2762" s="18" t="s">
        <v>15</v>
      </c>
      <c r="E2762" s="18" t="s">
        <v>771</v>
      </c>
      <c r="F2762" s="2">
        <f>+J2762-I2762</f>
        <v>30</v>
      </c>
      <c r="G2762" s="2">
        <f ca="1">+TODAY()-I2762</f>
        <v>1828</v>
      </c>
      <c r="H2762" s="15">
        <v>475675</v>
      </c>
      <c r="I2762" s="1">
        <v>44292</v>
      </c>
      <c r="J2762" s="1">
        <v>44322</v>
      </c>
      <c r="K2762" s="18" t="s">
        <v>766</v>
      </c>
      <c r="L2762" s="18" t="s">
        <v>18</v>
      </c>
      <c r="M2762" s="18" t="s">
        <v>19</v>
      </c>
      <c r="N2762" s="18" t="s">
        <v>20</v>
      </c>
      <c r="O2762">
        <v>30</v>
      </c>
    </row>
    <row r="2763" spans="1:15" x14ac:dyDescent="0.25">
      <c r="A2763" s="18" t="s">
        <v>7276</v>
      </c>
      <c r="B2763" s="18" t="s">
        <v>13</v>
      </c>
      <c r="C2763" s="18" t="s">
        <v>14</v>
      </c>
      <c r="D2763" s="18" t="s">
        <v>15</v>
      </c>
      <c r="E2763" s="18" t="s">
        <v>772</v>
      </c>
      <c r="F2763" s="2">
        <f>+J2763-I2763</f>
        <v>30</v>
      </c>
      <c r="G2763" s="2">
        <f ca="1">+TODAY()-I2763</f>
        <v>1814</v>
      </c>
      <c r="H2763" s="15">
        <v>2137118</v>
      </c>
      <c r="I2763" s="1">
        <v>44306</v>
      </c>
      <c r="J2763" s="1">
        <v>44336</v>
      </c>
      <c r="K2763" s="18" t="s">
        <v>766</v>
      </c>
      <c r="L2763" s="18" t="s">
        <v>18</v>
      </c>
      <c r="M2763" s="18" t="s">
        <v>19</v>
      </c>
      <c r="N2763" s="18" t="s">
        <v>20</v>
      </c>
      <c r="O2763">
        <v>30</v>
      </c>
    </row>
    <row r="2764" spans="1:15" x14ac:dyDescent="0.25">
      <c r="A2764" s="18" t="s">
        <v>7276</v>
      </c>
      <c r="B2764" s="18" t="s">
        <v>13</v>
      </c>
      <c r="C2764" s="18" t="s">
        <v>14</v>
      </c>
      <c r="D2764" s="18" t="s">
        <v>15</v>
      </c>
      <c r="E2764" s="18" t="s">
        <v>773</v>
      </c>
      <c r="F2764" s="2">
        <f>+J2764-I2764</f>
        <v>30</v>
      </c>
      <c r="G2764" s="2">
        <f ca="1">+TODAY()-I2764</f>
        <v>1814</v>
      </c>
      <c r="H2764" s="15">
        <v>594650</v>
      </c>
      <c r="I2764" s="1">
        <v>44306</v>
      </c>
      <c r="J2764" s="1">
        <v>44336</v>
      </c>
      <c r="K2764" s="18" t="s">
        <v>766</v>
      </c>
      <c r="L2764" s="18" t="s">
        <v>18</v>
      </c>
      <c r="M2764" s="18" t="s">
        <v>19</v>
      </c>
      <c r="N2764" s="18" t="s">
        <v>20</v>
      </c>
      <c r="O2764">
        <v>30</v>
      </c>
    </row>
    <row r="2765" spans="1:15" x14ac:dyDescent="0.25">
      <c r="A2765" s="18" t="s">
        <v>7276</v>
      </c>
      <c r="B2765" s="18" t="s">
        <v>13</v>
      </c>
      <c r="C2765" s="18" t="s">
        <v>14</v>
      </c>
      <c r="D2765" s="18" t="s">
        <v>15</v>
      </c>
      <c r="E2765" s="18" t="s">
        <v>774</v>
      </c>
      <c r="F2765" s="2">
        <f>+J2765-I2765</f>
        <v>30</v>
      </c>
      <c r="G2765" s="2">
        <f ca="1">+TODAY()-I2765</f>
        <v>1785</v>
      </c>
      <c r="H2765" s="15">
        <v>4527285</v>
      </c>
      <c r="I2765" s="1">
        <v>44335</v>
      </c>
      <c r="J2765" s="1">
        <v>44365</v>
      </c>
      <c r="K2765" s="18" t="s">
        <v>766</v>
      </c>
      <c r="L2765" s="18" t="s">
        <v>18</v>
      </c>
      <c r="M2765" s="18" t="s">
        <v>19</v>
      </c>
      <c r="N2765" s="18" t="s">
        <v>20</v>
      </c>
      <c r="O2765">
        <v>30</v>
      </c>
    </row>
    <row r="2766" spans="1:15" x14ac:dyDescent="0.25">
      <c r="A2766" s="18" t="s">
        <v>7276</v>
      </c>
      <c r="B2766" s="18" t="s">
        <v>13</v>
      </c>
      <c r="C2766" s="18" t="s">
        <v>14</v>
      </c>
      <c r="D2766" s="18" t="s">
        <v>15</v>
      </c>
      <c r="E2766" s="18" t="s">
        <v>775</v>
      </c>
      <c r="F2766" s="2">
        <f>+J2766-I2766</f>
        <v>30</v>
      </c>
      <c r="G2766" s="2">
        <f ca="1">+TODAY()-I2766</f>
        <v>1785</v>
      </c>
      <c r="H2766" s="15">
        <v>481800</v>
      </c>
      <c r="I2766" s="1">
        <v>44335</v>
      </c>
      <c r="J2766" s="1">
        <v>44365</v>
      </c>
      <c r="K2766" s="18" t="s">
        <v>766</v>
      </c>
      <c r="L2766" s="18" t="s">
        <v>18</v>
      </c>
      <c r="M2766" s="18" t="s">
        <v>19</v>
      </c>
      <c r="N2766" s="18" t="s">
        <v>20</v>
      </c>
      <c r="O2766">
        <v>30</v>
      </c>
    </row>
    <row r="2767" spans="1:15" x14ac:dyDescent="0.25">
      <c r="A2767" s="18" t="s">
        <v>7276</v>
      </c>
      <c r="B2767" s="18" t="s">
        <v>13</v>
      </c>
      <c r="C2767" s="18" t="s">
        <v>14</v>
      </c>
      <c r="D2767" s="18" t="s">
        <v>15</v>
      </c>
      <c r="E2767" s="18" t="s">
        <v>776</v>
      </c>
      <c r="F2767" s="2">
        <f>+J2767-I2767</f>
        <v>30</v>
      </c>
      <c r="G2767" s="2">
        <f ca="1">+TODAY()-I2767</f>
        <v>1773</v>
      </c>
      <c r="H2767" s="15">
        <v>2055084</v>
      </c>
      <c r="I2767" s="1">
        <v>44347</v>
      </c>
      <c r="J2767" s="1">
        <v>44377</v>
      </c>
      <c r="K2767" s="18" t="s">
        <v>766</v>
      </c>
      <c r="L2767" s="18" t="s">
        <v>18</v>
      </c>
      <c r="M2767" s="18" t="s">
        <v>19</v>
      </c>
      <c r="N2767" s="18" t="s">
        <v>20</v>
      </c>
      <c r="O2767">
        <v>30</v>
      </c>
    </row>
    <row r="2768" spans="1:15" x14ac:dyDescent="0.25">
      <c r="A2768" s="18" t="s">
        <v>7276</v>
      </c>
      <c r="B2768" s="18" t="s">
        <v>13</v>
      </c>
      <c r="C2768" s="18" t="s">
        <v>14</v>
      </c>
      <c r="D2768" s="18" t="s">
        <v>15</v>
      </c>
      <c r="E2768" s="18" t="s">
        <v>777</v>
      </c>
      <c r="F2768" s="2">
        <f>+J2768-I2768</f>
        <v>30</v>
      </c>
      <c r="G2768" s="2">
        <f ca="1">+TODAY()-I2768</f>
        <v>1773</v>
      </c>
      <c r="H2768" s="15">
        <v>691210</v>
      </c>
      <c r="I2768" s="1">
        <v>44347</v>
      </c>
      <c r="J2768" s="1">
        <v>44377</v>
      </c>
      <c r="K2768" s="18" t="s">
        <v>766</v>
      </c>
      <c r="L2768" s="18" t="s">
        <v>18</v>
      </c>
      <c r="M2768" s="18" t="s">
        <v>19</v>
      </c>
      <c r="N2768" s="18" t="s">
        <v>20</v>
      </c>
      <c r="O2768">
        <v>30</v>
      </c>
    </row>
    <row r="2769" spans="1:15" x14ac:dyDescent="0.25">
      <c r="A2769" s="18" t="s">
        <v>7276</v>
      </c>
      <c r="B2769" s="18" t="s">
        <v>13</v>
      </c>
      <c r="C2769" s="18" t="s">
        <v>14</v>
      </c>
      <c r="D2769" s="18" t="s">
        <v>15</v>
      </c>
      <c r="E2769" s="18" t="s">
        <v>778</v>
      </c>
      <c r="F2769" s="2">
        <f>+J2769-I2769</f>
        <v>30</v>
      </c>
      <c r="G2769" s="2">
        <f ca="1">+TODAY()-I2769</f>
        <v>1757</v>
      </c>
      <c r="H2769" s="15">
        <v>4112253</v>
      </c>
      <c r="I2769" s="1">
        <v>44363</v>
      </c>
      <c r="J2769" s="1">
        <v>44393</v>
      </c>
      <c r="K2769" s="18" t="s">
        <v>766</v>
      </c>
      <c r="L2769" s="18" t="s">
        <v>18</v>
      </c>
      <c r="M2769" s="18" t="s">
        <v>19</v>
      </c>
      <c r="N2769" s="18" t="s">
        <v>20</v>
      </c>
      <c r="O2769">
        <v>30</v>
      </c>
    </row>
    <row r="2770" spans="1:15" x14ac:dyDescent="0.25">
      <c r="A2770" s="18" t="s">
        <v>7276</v>
      </c>
      <c r="B2770" s="18" t="s">
        <v>13</v>
      </c>
      <c r="C2770" s="18" t="s">
        <v>14</v>
      </c>
      <c r="D2770" s="18" t="s">
        <v>15</v>
      </c>
      <c r="E2770" s="18" t="s">
        <v>779</v>
      </c>
      <c r="F2770" s="2">
        <f>+J2770-I2770</f>
        <v>30</v>
      </c>
      <c r="G2770" s="2">
        <f ca="1">+TODAY()-I2770</f>
        <v>1757</v>
      </c>
      <c r="H2770" s="15">
        <v>344033</v>
      </c>
      <c r="I2770" s="1">
        <v>44363</v>
      </c>
      <c r="J2770" s="1">
        <v>44393</v>
      </c>
      <c r="K2770" s="18" t="s">
        <v>766</v>
      </c>
      <c r="L2770" s="18" t="s">
        <v>18</v>
      </c>
      <c r="M2770" s="18" t="s">
        <v>19</v>
      </c>
      <c r="N2770" s="18" t="s">
        <v>20</v>
      </c>
      <c r="O2770">
        <v>30</v>
      </c>
    </row>
    <row r="2771" spans="1:15" x14ac:dyDescent="0.25">
      <c r="A2771" s="18" t="s">
        <v>7276</v>
      </c>
      <c r="B2771" s="18" t="s">
        <v>13</v>
      </c>
      <c r="C2771" s="18" t="s">
        <v>14</v>
      </c>
      <c r="D2771" s="18" t="s">
        <v>15</v>
      </c>
      <c r="E2771" s="18" t="s">
        <v>780</v>
      </c>
      <c r="F2771" s="2">
        <f>+J2771-I2771</f>
        <v>30</v>
      </c>
      <c r="G2771" s="2">
        <f ca="1">+TODAY()-I2771</f>
        <v>1730</v>
      </c>
      <c r="H2771" s="15">
        <v>3631059</v>
      </c>
      <c r="I2771" s="1">
        <v>44390</v>
      </c>
      <c r="J2771" s="1">
        <v>44420</v>
      </c>
      <c r="K2771" s="18" t="s">
        <v>766</v>
      </c>
      <c r="L2771" s="18" t="s">
        <v>18</v>
      </c>
      <c r="M2771" s="18" t="s">
        <v>19</v>
      </c>
      <c r="N2771" s="18" t="s">
        <v>20</v>
      </c>
      <c r="O2771">
        <v>30</v>
      </c>
    </row>
    <row r="2772" spans="1:15" x14ac:dyDescent="0.25">
      <c r="A2772" s="18" t="s">
        <v>7276</v>
      </c>
      <c r="B2772" s="18" t="s">
        <v>13</v>
      </c>
      <c r="C2772" s="18" t="s">
        <v>14</v>
      </c>
      <c r="D2772" s="18" t="s">
        <v>15</v>
      </c>
      <c r="E2772" s="18" t="s">
        <v>781</v>
      </c>
      <c r="F2772" s="2">
        <f>+J2772-I2772</f>
        <v>30</v>
      </c>
      <c r="G2772" s="2">
        <f ca="1">+TODAY()-I2772</f>
        <v>1730</v>
      </c>
      <c r="H2772" s="15">
        <v>1265233</v>
      </c>
      <c r="I2772" s="1">
        <v>44390</v>
      </c>
      <c r="J2772" s="1">
        <v>44420</v>
      </c>
      <c r="K2772" s="18" t="s">
        <v>766</v>
      </c>
      <c r="L2772" s="18" t="s">
        <v>18</v>
      </c>
      <c r="M2772" s="18" t="s">
        <v>19</v>
      </c>
      <c r="N2772" s="18" t="s">
        <v>20</v>
      </c>
      <c r="O2772">
        <v>30</v>
      </c>
    </row>
    <row r="2773" spans="1:15" x14ac:dyDescent="0.25">
      <c r="A2773" s="18" t="s">
        <v>7276</v>
      </c>
      <c r="B2773" s="18" t="s">
        <v>13</v>
      </c>
      <c r="C2773" s="18" t="s">
        <v>14</v>
      </c>
      <c r="D2773" s="18" t="s">
        <v>15</v>
      </c>
      <c r="E2773" s="18" t="s">
        <v>782</v>
      </c>
      <c r="F2773" s="2">
        <f>+J2773-I2773</f>
        <v>30</v>
      </c>
      <c r="G2773" s="2">
        <f ca="1">+TODAY()-I2773</f>
        <v>1716</v>
      </c>
      <c r="H2773" s="15">
        <v>4045973</v>
      </c>
      <c r="I2773" s="1">
        <v>44404</v>
      </c>
      <c r="J2773" s="1">
        <v>44434</v>
      </c>
      <c r="K2773" s="18" t="s">
        <v>766</v>
      </c>
      <c r="L2773" s="18" t="s">
        <v>18</v>
      </c>
      <c r="M2773" s="18" t="s">
        <v>19</v>
      </c>
      <c r="N2773" s="18" t="s">
        <v>20</v>
      </c>
      <c r="O2773">
        <v>30</v>
      </c>
    </row>
    <row r="2774" spans="1:15" x14ac:dyDescent="0.25">
      <c r="A2774" s="18" t="s">
        <v>7276</v>
      </c>
      <c r="B2774" s="18" t="s">
        <v>13</v>
      </c>
      <c r="C2774" s="18" t="s">
        <v>14</v>
      </c>
      <c r="D2774" s="18" t="s">
        <v>15</v>
      </c>
      <c r="E2774" s="18" t="s">
        <v>783</v>
      </c>
      <c r="F2774" s="2">
        <f>+J2774-I2774</f>
        <v>30</v>
      </c>
      <c r="G2774" s="2">
        <f ca="1">+TODAY()-I2774</f>
        <v>1716</v>
      </c>
      <c r="H2774" s="15">
        <v>1363881</v>
      </c>
      <c r="I2774" s="1">
        <v>44404</v>
      </c>
      <c r="J2774" s="1">
        <v>44434</v>
      </c>
      <c r="K2774" s="18" t="s">
        <v>766</v>
      </c>
      <c r="L2774" s="18" t="s">
        <v>18</v>
      </c>
      <c r="M2774" s="18" t="s">
        <v>19</v>
      </c>
      <c r="N2774" s="18" t="s">
        <v>20</v>
      </c>
      <c r="O2774">
        <v>30</v>
      </c>
    </row>
    <row r="2775" spans="1:15" x14ac:dyDescent="0.25">
      <c r="A2775" s="18" t="s">
        <v>7276</v>
      </c>
      <c r="B2775" s="18" t="s">
        <v>13</v>
      </c>
      <c r="C2775" s="18" t="s">
        <v>14</v>
      </c>
      <c r="D2775" s="18" t="s">
        <v>15</v>
      </c>
      <c r="E2775" s="18" t="s">
        <v>784</v>
      </c>
      <c r="F2775" s="2">
        <f>+J2775-I2775</f>
        <v>30</v>
      </c>
      <c r="G2775" s="2">
        <f ca="1">+TODAY()-I2775</f>
        <v>1716</v>
      </c>
      <c r="H2775" s="15">
        <v>536533</v>
      </c>
      <c r="I2775" s="1">
        <v>44404</v>
      </c>
      <c r="J2775" s="1">
        <v>44434</v>
      </c>
      <c r="K2775" s="18" t="s">
        <v>766</v>
      </c>
      <c r="L2775" s="18" t="s">
        <v>18</v>
      </c>
      <c r="M2775" s="18" t="s">
        <v>19</v>
      </c>
      <c r="N2775" s="18" t="s">
        <v>20</v>
      </c>
      <c r="O2775">
        <v>30</v>
      </c>
    </row>
    <row r="2776" spans="1:15" x14ac:dyDescent="0.25">
      <c r="A2776" s="18" t="s">
        <v>7276</v>
      </c>
      <c r="B2776" s="18" t="s">
        <v>13</v>
      </c>
      <c r="C2776" s="18" t="s">
        <v>14</v>
      </c>
      <c r="D2776" s="18" t="s">
        <v>15</v>
      </c>
      <c r="E2776" s="18" t="s">
        <v>785</v>
      </c>
      <c r="F2776" s="2">
        <f>+J2776-I2776</f>
        <v>30</v>
      </c>
      <c r="G2776" s="2">
        <f ca="1">+TODAY()-I2776</f>
        <v>1700</v>
      </c>
      <c r="H2776" s="15">
        <v>2478056</v>
      </c>
      <c r="I2776" s="1">
        <v>44420</v>
      </c>
      <c r="J2776" s="1">
        <v>44450</v>
      </c>
      <c r="K2776" s="18" t="s">
        <v>766</v>
      </c>
      <c r="L2776" s="18" t="s">
        <v>18</v>
      </c>
      <c r="M2776" s="18" t="s">
        <v>19</v>
      </c>
      <c r="N2776" s="18" t="s">
        <v>20</v>
      </c>
      <c r="O2776">
        <v>30</v>
      </c>
    </row>
    <row r="2777" spans="1:15" x14ac:dyDescent="0.25">
      <c r="A2777" s="18" t="s">
        <v>7276</v>
      </c>
      <c r="B2777" s="18" t="s">
        <v>13</v>
      </c>
      <c r="C2777" s="18" t="s">
        <v>14</v>
      </c>
      <c r="D2777" s="18" t="s">
        <v>15</v>
      </c>
      <c r="E2777" s="18" t="s">
        <v>786</v>
      </c>
      <c r="F2777" s="2">
        <f>+J2777-I2777</f>
        <v>30</v>
      </c>
      <c r="G2777" s="2">
        <f ca="1">+TODAY()-I2777</f>
        <v>1688</v>
      </c>
      <c r="H2777" s="15">
        <v>2358754</v>
      </c>
      <c r="I2777" s="1">
        <v>44432</v>
      </c>
      <c r="J2777" s="1">
        <v>44462</v>
      </c>
      <c r="K2777" s="18" t="s">
        <v>766</v>
      </c>
      <c r="L2777" s="18" t="s">
        <v>18</v>
      </c>
      <c r="M2777" s="18" t="s">
        <v>19</v>
      </c>
      <c r="N2777" s="18" t="s">
        <v>20</v>
      </c>
      <c r="O2777">
        <v>30</v>
      </c>
    </row>
    <row r="2778" spans="1:15" x14ac:dyDescent="0.25">
      <c r="A2778" s="18" t="s">
        <v>7276</v>
      </c>
      <c r="B2778" s="18" t="s">
        <v>13</v>
      </c>
      <c r="C2778" s="18" t="s">
        <v>14</v>
      </c>
      <c r="D2778" s="18" t="s">
        <v>15</v>
      </c>
      <c r="E2778" s="18" t="s">
        <v>787</v>
      </c>
      <c r="F2778" s="2">
        <f>+J2778-I2778</f>
        <v>30</v>
      </c>
      <c r="G2778" s="2">
        <f ca="1">+TODAY()-I2778</f>
        <v>1673</v>
      </c>
      <c r="H2778" s="15">
        <v>2973615</v>
      </c>
      <c r="I2778" s="1">
        <v>44447</v>
      </c>
      <c r="J2778" s="1">
        <v>44477</v>
      </c>
      <c r="K2778" s="18" t="s">
        <v>766</v>
      </c>
      <c r="L2778" s="18" t="s">
        <v>18</v>
      </c>
      <c r="M2778" s="18" t="s">
        <v>19</v>
      </c>
      <c r="N2778" s="18" t="s">
        <v>20</v>
      </c>
      <c r="O2778">
        <v>30</v>
      </c>
    </row>
    <row r="2779" spans="1:15" x14ac:dyDescent="0.25">
      <c r="A2779" s="18" t="s">
        <v>7276</v>
      </c>
      <c r="B2779" s="18" t="s">
        <v>13</v>
      </c>
      <c r="C2779" s="18" t="s">
        <v>14</v>
      </c>
      <c r="D2779" s="18" t="s">
        <v>15</v>
      </c>
      <c r="E2779" s="18" t="s">
        <v>788</v>
      </c>
      <c r="F2779" s="2">
        <f>+J2779-I2779</f>
        <v>30</v>
      </c>
      <c r="G2779" s="2">
        <f ca="1">+TODAY()-I2779</f>
        <v>1673</v>
      </c>
      <c r="H2779" s="15">
        <v>2133606</v>
      </c>
      <c r="I2779" s="1">
        <v>44447</v>
      </c>
      <c r="J2779" s="1">
        <v>44477</v>
      </c>
      <c r="K2779" s="18" t="s">
        <v>766</v>
      </c>
      <c r="L2779" s="18" t="s">
        <v>18</v>
      </c>
      <c r="M2779" s="18" t="s">
        <v>19</v>
      </c>
      <c r="N2779" s="18" t="s">
        <v>20</v>
      </c>
      <c r="O2779">
        <v>30</v>
      </c>
    </row>
    <row r="2780" spans="1:15" x14ac:dyDescent="0.25">
      <c r="A2780" s="18" t="s">
        <v>7276</v>
      </c>
      <c r="B2780" s="18" t="s">
        <v>13</v>
      </c>
      <c r="C2780" s="18" t="s">
        <v>14</v>
      </c>
      <c r="D2780" s="18" t="s">
        <v>15</v>
      </c>
      <c r="E2780" s="18" t="s">
        <v>789</v>
      </c>
      <c r="F2780" s="2">
        <f>+J2780-I2780</f>
        <v>30</v>
      </c>
      <c r="G2780" s="2">
        <f ca="1">+TODAY()-I2780</f>
        <v>1673</v>
      </c>
      <c r="H2780" s="15">
        <v>413532</v>
      </c>
      <c r="I2780" s="1">
        <v>44447</v>
      </c>
      <c r="J2780" s="1">
        <v>44477</v>
      </c>
      <c r="K2780" s="18" t="s">
        <v>766</v>
      </c>
      <c r="L2780" s="18" t="s">
        <v>18</v>
      </c>
      <c r="M2780" s="18" t="s">
        <v>19</v>
      </c>
      <c r="N2780" s="18" t="s">
        <v>20</v>
      </c>
      <c r="O2780">
        <v>30</v>
      </c>
    </row>
    <row r="2781" spans="1:15" x14ac:dyDescent="0.25">
      <c r="A2781" s="18" t="s">
        <v>7276</v>
      </c>
      <c r="B2781" s="18" t="s">
        <v>13</v>
      </c>
      <c r="C2781" s="18" t="s">
        <v>14</v>
      </c>
      <c r="D2781" s="18" t="s">
        <v>15</v>
      </c>
      <c r="E2781" s="18" t="s">
        <v>790</v>
      </c>
      <c r="F2781" s="2">
        <f>+J2781-I2781</f>
        <v>30</v>
      </c>
      <c r="G2781" s="2">
        <f ca="1">+TODAY()-I2781</f>
        <v>1660</v>
      </c>
      <c r="H2781" s="15">
        <v>2724221</v>
      </c>
      <c r="I2781" s="1">
        <v>44460</v>
      </c>
      <c r="J2781" s="1">
        <v>44490</v>
      </c>
      <c r="K2781" s="18" t="s">
        <v>766</v>
      </c>
      <c r="L2781" s="18" t="s">
        <v>18</v>
      </c>
      <c r="M2781" s="18" t="s">
        <v>19</v>
      </c>
      <c r="N2781" s="18" t="s">
        <v>20</v>
      </c>
      <c r="O2781">
        <v>30</v>
      </c>
    </row>
    <row r="2782" spans="1:15" x14ac:dyDescent="0.25">
      <c r="A2782" s="18" t="s">
        <v>7276</v>
      </c>
      <c r="B2782" s="18" t="s">
        <v>13</v>
      </c>
      <c r="C2782" s="18" t="s">
        <v>14</v>
      </c>
      <c r="D2782" s="18" t="s">
        <v>15</v>
      </c>
      <c r="E2782" s="18" t="s">
        <v>791</v>
      </c>
      <c r="F2782" s="2">
        <f>+J2782-I2782</f>
        <v>30</v>
      </c>
      <c r="G2782" s="2">
        <f ca="1">+TODAY()-I2782</f>
        <v>1660</v>
      </c>
      <c r="H2782" s="15">
        <v>596840</v>
      </c>
      <c r="I2782" s="1">
        <v>44460</v>
      </c>
      <c r="J2782" s="1">
        <v>44490</v>
      </c>
      <c r="K2782" s="18" t="s">
        <v>766</v>
      </c>
      <c r="L2782" s="18" t="s">
        <v>18</v>
      </c>
      <c r="M2782" s="18" t="s">
        <v>19</v>
      </c>
      <c r="N2782" s="18" t="s">
        <v>20</v>
      </c>
      <c r="O2782">
        <v>30</v>
      </c>
    </row>
    <row r="2783" spans="1:15" x14ac:dyDescent="0.25">
      <c r="A2783" s="18" t="s">
        <v>7276</v>
      </c>
      <c r="B2783" s="18" t="s">
        <v>13</v>
      </c>
      <c r="C2783" s="18" t="s">
        <v>14</v>
      </c>
      <c r="D2783" s="18" t="s">
        <v>15</v>
      </c>
      <c r="E2783" s="18" t="s">
        <v>792</v>
      </c>
      <c r="F2783" s="2">
        <f>+J2783-I2783</f>
        <v>30</v>
      </c>
      <c r="G2783" s="2">
        <f ca="1">+TODAY()-I2783</f>
        <v>1645</v>
      </c>
      <c r="H2783" s="15">
        <v>3392073</v>
      </c>
      <c r="I2783" s="1">
        <v>44475</v>
      </c>
      <c r="J2783" s="1">
        <v>44505</v>
      </c>
      <c r="K2783" s="18" t="s">
        <v>766</v>
      </c>
      <c r="L2783" s="18" t="s">
        <v>18</v>
      </c>
      <c r="M2783" s="18" t="s">
        <v>19</v>
      </c>
      <c r="N2783" s="18" t="s">
        <v>20</v>
      </c>
      <c r="O2783">
        <v>30</v>
      </c>
    </row>
    <row r="2784" spans="1:15" x14ac:dyDescent="0.25">
      <c r="A2784" s="18" t="s">
        <v>7276</v>
      </c>
      <c r="B2784" s="18" t="s">
        <v>13</v>
      </c>
      <c r="C2784" s="18" t="s">
        <v>14</v>
      </c>
      <c r="D2784" s="18" t="s">
        <v>15</v>
      </c>
      <c r="E2784" s="18" t="s">
        <v>793</v>
      </c>
      <c r="F2784" s="2">
        <f>+J2784-I2784</f>
        <v>30</v>
      </c>
      <c r="G2784" s="2">
        <f ca="1">+TODAY()-I2784</f>
        <v>1645</v>
      </c>
      <c r="H2784" s="15">
        <v>343866</v>
      </c>
      <c r="I2784" s="1">
        <v>44475</v>
      </c>
      <c r="J2784" s="1">
        <v>44505</v>
      </c>
      <c r="K2784" s="18" t="s">
        <v>766</v>
      </c>
      <c r="L2784" s="18" t="s">
        <v>18</v>
      </c>
      <c r="M2784" s="18" t="s">
        <v>19</v>
      </c>
      <c r="N2784" s="18" t="s">
        <v>20</v>
      </c>
      <c r="O2784">
        <v>30</v>
      </c>
    </row>
    <row r="2785" spans="1:15" x14ac:dyDescent="0.25">
      <c r="A2785" s="18" t="s">
        <v>7276</v>
      </c>
      <c r="B2785" s="18" t="s">
        <v>13</v>
      </c>
      <c r="C2785" s="18" t="s">
        <v>14</v>
      </c>
      <c r="D2785" s="18" t="s">
        <v>15</v>
      </c>
      <c r="E2785" s="18" t="s">
        <v>794</v>
      </c>
      <c r="F2785" s="2">
        <f>+J2785-I2785</f>
        <v>30</v>
      </c>
      <c r="G2785" s="2">
        <f ca="1">+TODAY()-I2785</f>
        <v>1631</v>
      </c>
      <c r="H2785" s="15">
        <v>4526844</v>
      </c>
      <c r="I2785" s="1">
        <v>44489</v>
      </c>
      <c r="J2785" s="1">
        <v>44519</v>
      </c>
      <c r="K2785" s="18" t="s">
        <v>766</v>
      </c>
      <c r="L2785" s="18" t="s">
        <v>18</v>
      </c>
      <c r="M2785" s="18" t="s">
        <v>19</v>
      </c>
      <c r="N2785" s="18" t="s">
        <v>20</v>
      </c>
      <c r="O2785">
        <v>30</v>
      </c>
    </row>
    <row r="2786" spans="1:15" x14ac:dyDescent="0.25">
      <c r="A2786" s="18" t="s">
        <v>7276</v>
      </c>
      <c r="B2786" s="18" t="s">
        <v>13</v>
      </c>
      <c r="C2786" s="18" t="s">
        <v>14</v>
      </c>
      <c r="D2786" s="18" t="s">
        <v>15</v>
      </c>
      <c r="E2786" s="18" t="s">
        <v>795</v>
      </c>
      <c r="F2786" s="2">
        <f>+J2786-I2786</f>
        <v>30</v>
      </c>
      <c r="G2786" s="2">
        <f ca="1">+TODAY()-I2786</f>
        <v>1617</v>
      </c>
      <c r="H2786" s="15">
        <v>3028252</v>
      </c>
      <c r="I2786" s="1">
        <v>44503</v>
      </c>
      <c r="J2786" s="1">
        <v>44533</v>
      </c>
      <c r="K2786" s="18" t="s">
        <v>766</v>
      </c>
      <c r="L2786" s="18" t="s">
        <v>18</v>
      </c>
      <c r="M2786" s="18" t="s">
        <v>19</v>
      </c>
      <c r="N2786" s="18" t="s">
        <v>20</v>
      </c>
      <c r="O2786">
        <v>30</v>
      </c>
    </row>
    <row r="2787" spans="1:15" x14ac:dyDescent="0.25">
      <c r="A2787" s="18" t="s">
        <v>7276</v>
      </c>
      <c r="B2787" s="18" t="s">
        <v>13</v>
      </c>
      <c r="C2787" s="18" t="s">
        <v>14</v>
      </c>
      <c r="D2787" s="18" t="s">
        <v>15</v>
      </c>
      <c r="E2787" s="18" t="s">
        <v>796</v>
      </c>
      <c r="F2787" s="2">
        <f>+J2787-I2787</f>
        <v>30</v>
      </c>
      <c r="G2787" s="2">
        <f ca="1">+TODAY()-I2787</f>
        <v>1617</v>
      </c>
      <c r="H2787" s="15">
        <v>707804</v>
      </c>
      <c r="I2787" s="1">
        <v>44503</v>
      </c>
      <c r="J2787" s="1">
        <v>44533</v>
      </c>
      <c r="K2787" s="18" t="s">
        <v>766</v>
      </c>
      <c r="L2787" s="18" t="s">
        <v>18</v>
      </c>
      <c r="M2787" s="18" t="s">
        <v>19</v>
      </c>
      <c r="N2787" s="18" t="s">
        <v>20</v>
      </c>
      <c r="O2787">
        <v>30</v>
      </c>
    </row>
    <row r="2788" spans="1:15" x14ac:dyDescent="0.25">
      <c r="A2788" s="18" t="s">
        <v>7276</v>
      </c>
      <c r="B2788" s="18" t="s">
        <v>13</v>
      </c>
      <c r="C2788" s="18" t="s">
        <v>14</v>
      </c>
      <c r="D2788" s="18" t="s">
        <v>15</v>
      </c>
      <c r="E2788" s="18" t="s">
        <v>797</v>
      </c>
      <c r="F2788" s="2">
        <f>+J2788-I2788</f>
        <v>30</v>
      </c>
      <c r="G2788" s="2">
        <f ca="1">+TODAY()-I2788</f>
        <v>1603</v>
      </c>
      <c r="H2788" s="15">
        <v>3436573</v>
      </c>
      <c r="I2788" s="1">
        <v>44517</v>
      </c>
      <c r="J2788" s="1">
        <v>44547</v>
      </c>
      <c r="K2788" s="18" t="s">
        <v>766</v>
      </c>
      <c r="L2788" s="18" t="s">
        <v>18</v>
      </c>
      <c r="M2788" s="18" t="s">
        <v>19</v>
      </c>
      <c r="N2788" s="18" t="s">
        <v>20</v>
      </c>
      <c r="O2788">
        <v>30</v>
      </c>
    </row>
    <row r="2789" spans="1:15" x14ac:dyDescent="0.25">
      <c r="A2789" s="18" t="s">
        <v>7276</v>
      </c>
      <c r="B2789" s="18" t="s">
        <v>13</v>
      </c>
      <c r="C2789" s="18" t="s">
        <v>14</v>
      </c>
      <c r="D2789" s="18" t="s">
        <v>15</v>
      </c>
      <c r="E2789" s="18" t="s">
        <v>798</v>
      </c>
      <c r="F2789" s="2">
        <f>+J2789-I2789</f>
        <v>30</v>
      </c>
      <c r="G2789" s="2">
        <f ca="1">+TODAY()-I2789</f>
        <v>1603</v>
      </c>
      <c r="H2789" s="15">
        <v>1274007</v>
      </c>
      <c r="I2789" s="1">
        <v>44517</v>
      </c>
      <c r="J2789" s="1">
        <v>44547</v>
      </c>
      <c r="K2789" s="18" t="s">
        <v>766</v>
      </c>
      <c r="L2789" s="18" t="s">
        <v>18</v>
      </c>
      <c r="M2789" s="18" t="s">
        <v>19</v>
      </c>
      <c r="N2789" s="18" t="s">
        <v>20</v>
      </c>
      <c r="O2789">
        <v>30</v>
      </c>
    </row>
    <row r="2790" spans="1:15" x14ac:dyDescent="0.25">
      <c r="A2790" s="18" t="s">
        <v>7276</v>
      </c>
      <c r="B2790" s="18" t="s">
        <v>13</v>
      </c>
      <c r="C2790" s="18" t="s">
        <v>14</v>
      </c>
      <c r="D2790" s="18" t="s">
        <v>15</v>
      </c>
      <c r="E2790" s="18" t="s">
        <v>799</v>
      </c>
      <c r="F2790" s="2">
        <f>+J2790-I2790</f>
        <v>30</v>
      </c>
      <c r="G2790" s="2">
        <f ca="1">+TODAY()-I2790</f>
        <v>1590</v>
      </c>
      <c r="H2790" s="15">
        <v>2260471</v>
      </c>
      <c r="I2790" s="1">
        <v>44530</v>
      </c>
      <c r="J2790" s="1">
        <v>44560</v>
      </c>
      <c r="K2790" s="18" t="s">
        <v>766</v>
      </c>
      <c r="L2790" s="18" t="s">
        <v>18</v>
      </c>
      <c r="M2790" s="18" t="s">
        <v>19</v>
      </c>
      <c r="N2790" s="18" t="s">
        <v>20</v>
      </c>
      <c r="O2790">
        <v>30</v>
      </c>
    </row>
    <row r="2791" spans="1:15" x14ac:dyDescent="0.25">
      <c r="A2791" s="18" t="s">
        <v>7276</v>
      </c>
      <c r="B2791" s="18" t="s">
        <v>13</v>
      </c>
      <c r="C2791" s="18" t="s">
        <v>14</v>
      </c>
      <c r="D2791" s="18" t="s">
        <v>15</v>
      </c>
      <c r="E2791" s="18" t="s">
        <v>800</v>
      </c>
      <c r="F2791" s="2">
        <f>+J2791-I2791</f>
        <v>30</v>
      </c>
      <c r="G2791" s="2">
        <f ca="1">+TODAY()-I2791</f>
        <v>1590</v>
      </c>
      <c r="H2791" s="15">
        <v>1652119</v>
      </c>
      <c r="I2791" s="1">
        <v>44530</v>
      </c>
      <c r="J2791" s="1">
        <v>44560</v>
      </c>
      <c r="K2791" s="18" t="s">
        <v>766</v>
      </c>
      <c r="L2791" s="18" t="s">
        <v>18</v>
      </c>
      <c r="M2791" s="18" t="s">
        <v>19</v>
      </c>
      <c r="N2791" s="18" t="s">
        <v>20</v>
      </c>
      <c r="O2791">
        <v>30</v>
      </c>
    </row>
    <row r="2792" spans="1:15" x14ac:dyDescent="0.25">
      <c r="A2792" s="18" t="s">
        <v>7276</v>
      </c>
      <c r="B2792" s="18" t="s">
        <v>13</v>
      </c>
      <c r="C2792" s="18" t="s">
        <v>14</v>
      </c>
      <c r="D2792" s="18" t="s">
        <v>15</v>
      </c>
      <c r="E2792" s="18" t="s">
        <v>801</v>
      </c>
      <c r="F2792" s="2">
        <f>+J2792-I2792</f>
        <v>30</v>
      </c>
      <c r="G2792" s="2">
        <f ca="1">+TODAY()-I2792</f>
        <v>1576</v>
      </c>
      <c r="H2792" s="15">
        <v>2104831</v>
      </c>
      <c r="I2792" s="1">
        <v>44544</v>
      </c>
      <c r="J2792" s="1">
        <v>44574</v>
      </c>
      <c r="K2792" s="18" t="s">
        <v>766</v>
      </c>
      <c r="L2792" s="18" t="s">
        <v>18</v>
      </c>
      <c r="M2792" s="18" t="s">
        <v>19</v>
      </c>
      <c r="N2792" s="18" t="s">
        <v>20</v>
      </c>
      <c r="O2792">
        <v>30</v>
      </c>
    </row>
    <row r="2793" spans="1:15" x14ac:dyDescent="0.25">
      <c r="A2793" s="18" t="s">
        <v>7276</v>
      </c>
      <c r="B2793" s="18" t="s">
        <v>13</v>
      </c>
      <c r="C2793" s="18" t="s">
        <v>14</v>
      </c>
      <c r="D2793" s="18" t="s">
        <v>15</v>
      </c>
      <c r="E2793" s="18" t="s">
        <v>802</v>
      </c>
      <c r="F2793" s="2">
        <f>+J2793-I2793</f>
        <v>1</v>
      </c>
      <c r="G2793" s="2">
        <f ca="1">+TODAY()-I2793</f>
        <v>1562</v>
      </c>
      <c r="H2793" s="15">
        <v>3276036</v>
      </c>
      <c r="I2793" s="1">
        <v>44558</v>
      </c>
      <c r="J2793" s="1">
        <v>44559</v>
      </c>
      <c r="K2793" s="18" t="s">
        <v>766</v>
      </c>
      <c r="L2793" s="18" t="s">
        <v>18</v>
      </c>
      <c r="M2793" s="18" t="s">
        <v>19</v>
      </c>
      <c r="N2793" s="18" t="s">
        <v>20</v>
      </c>
      <c r="O2793">
        <v>30</v>
      </c>
    </row>
    <row r="2794" spans="1:15" x14ac:dyDescent="0.25">
      <c r="A2794" s="18" t="s">
        <v>7276</v>
      </c>
      <c r="B2794" s="18" t="s">
        <v>13</v>
      </c>
      <c r="C2794" s="18" t="s">
        <v>14</v>
      </c>
      <c r="D2794" s="18" t="s">
        <v>15</v>
      </c>
      <c r="E2794" s="18" t="s">
        <v>803</v>
      </c>
      <c r="F2794" s="2">
        <f>+J2794-I2794</f>
        <v>30</v>
      </c>
      <c r="G2794" s="2">
        <f ca="1">+TODAY()-I2794</f>
        <v>1556</v>
      </c>
      <c r="H2794" s="15">
        <v>1400722</v>
      </c>
      <c r="I2794" s="1">
        <v>44564</v>
      </c>
      <c r="J2794" s="1">
        <v>44594</v>
      </c>
      <c r="K2794" s="18" t="s">
        <v>766</v>
      </c>
      <c r="L2794" s="18" t="s">
        <v>18</v>
      </c>
      <c r="M2794" s="18" t="s">
        <v>19</v>
      </c>
      <c r="N2794" s="18" t="s">
        <v>20</v>
      </c>
      <c r="O2794">
        <v>30</v>
      </c>
    </row>
    <row r="2795" spans="1:15" x14ac:dyDescent="0.25">
      <c r="A2795" s="18" t="s">
        <v>7276</v>
      </c>
      <c r="B2795" s="18" t="s">
        <v>13</v>
      </c>
      <c r="C2795" s="18" t="s">
        <v>14</v>
      </c>
      <c r="D2795" s="18" t="s">
        <v>15</v>
      </c>
      <c r="E2795" s="18" t="s">
        <v>804</v>
      </c>
      <c r="F2795" s="2">
        <f>+J2795-I2795</f>
        <v>30</v>
      </c>
      <c r="G2795" s="2">
        <f ca="1">+TODAY()-I2795</f>
        <v>1520</v>
      </c>
      <c r="H2795" s="15">
        <v>5934257</v>
      </c>
      <c r="I2795" s="1">
        <v>44600</v>
      </c>
      <c r="J2795" s="1">
        <v>44630</v>
      </c>
      <c r="K2795" s="18" t="s">
        <v>766</v>
      </c>
      <c r="L2795" s="18" t="s">
        <v>18</v>
      </c>
      <c r="M2795" s="18" t="s">
        <v>19</v>
      </c>
      <c r="N2795" s="18" t="s">
        <v>20</v>
      </c>
      <c r="O2795">
        <v>30</v>
      </c>
    </row>
    <row r="2796" spans="1:15" x14ac:dyDescent="0.25">
      <c r="A2796" s="18" t="s">
        <v>7276</v>
      </c>
      <c r="B2796" s="18" t="s">
        <v>13</v>
      </c>
      <c r="C2796" s="18" t="s">
        <v>14</v>
      </c>
      <c r="D2796" s="18" t="s">
        <v>15</v>
      </c>
      <c r="E2796" s="18" t="s">
        <v>805</v>
      </c>
      <c r="F2796" s="2">
        <f>+J2796-I2796</f>
        <v>30</v>
      </c>
      <c r="G2796" s="2">
        <f ca="1">+TODAY()-I2796</f>
        <v>1520</v>
      </c>
      <c r="H2796" s="15">
        <v>2068238</v>
      </c>
      <c r="I2796" s="1">
        <v>44600</v>
      </c>
      <c r="J2796" s="1">
        <v>44630</v>
      </c>
      <c r="K2796" s="18" t="s">
        <v>766</v>
      </c>
      <c r="L2796" s="18" t="s">
        <v>18</v>
      </c>
      <c r="M2796" s="18" t="s">
        <v>19</v>
      </c>
      <c r="N2796" s="18" t="s">
        <v>20</v>
      </c>
      <c r="O2796">
        <v>30</v>
      </c>
    </row>
    <row r="2797" spans="1:15" x14ac:dyDescent="0.25">
      <c r="A2797" s="18" t="s">
        <v>7276</v>
      </c>
      <c r="B2797" s="18" t="s">
        <v>13</v>
      </c>
      <c r="C2797" s="18" t="s">
        <v>14</v>
      </c>
      <c r="D2797" s="18" t="s">
        <v>15</v>
      </c>
      <c r="E2797" s="18" t="s">
        <v>806</v>
      </c>
      <c r="F2797" s="2">
        <f>+J2797-I2797</f>
        <v>30</v>
      </c>
      <c r="G2797" s="2">
        <f ca="1">+TODAY()-I2797</f>
        <v>1505</v>
      </c>
      <c r="H2797" s="15">
        <v>6605000</v>
      </c>
      <c r="I2797" s="1">
        <v>44615</v>
      </c>
      <c r="J2797" s="1">
        <v>44645</v>
      </c>
      <c r="K2797" s="18" t="s">
        <v>766</v>
      </c>
      <c r="L2797" s="18" t="s">
        <v>18</v>
      </c>
      <c r="M2797" s="18" t="s">
        <v>19</v>
      </c>
      <c r="N2797" s="18" t="s">
        <v>20</v>
      </c>
      <c r="O2797">
        <v>30</v>
      </c>
    </row>
    <row r="2798" spans="1:15" x14ac:dyDescent="0.25">
      <c r="A2798" s="18" t="s">
        <v>7276</v>
      </c>
      <c r="B2798" s="18" t="s">
        <v>13</v>
      </c>
      <c r="C2798" s="18" t="s">
        <v>14</v>
      </c>
      <c r="D2798" s="18" t="s">
        <v>15</v>
      </c>
      <c r="E2798" s="18" t="s">
        <v>807</v>
      </c>
      <c r="F2798" s="2">
        <f>+J2798-I2798</f>
        <v>30</v>
      </c>
      <c r="G2798" s="2">
        <f ca="1">+TODAY()-I2798</f>
        <v>1505</v>
      </c>
      <c r="H2798" s="15">
        <v>2459211</v>
      </c>
      <c r="I2798" s="1">
        <v>44615</v>
      </c>
      <c r="J2798" s="1">
        <v>44645</v>
      </c>
      <c r="K2798" s="18" t="s">
        <v>766</v>
      </c>
      <c r="L2798" s="18" t="s">
        <v>18</v>
      </c>
      <c r="M2798" s="18" t="s">
        <v>19</v>
      </c>
      <c r="N2798" s="18" t="s">
        <v>20</v>
      </c>
      <c r="O2798">
        <v>30</v>
      </c>
    </row>
    <row r="2799" spans="1:15" x14ac:dyDescent="0.25">
      <c r="A2799" s="18" t="s">
        <v>7276</v>
      </c>
      <c r="B2799" s="18" t="s">
        <v>13</v>
      </c>
      <c r="C2799" s="18" t="s">
        <v>14</v>
      </c>
      <c r="D2799" s="18" t="s">
        <v>15</v>
      </c>
      <c r="E2799" s="18" t="s">
        <v>808</v>
      </c>
      <c r="F2799" s="2">
        <f>+J2799-I2799</f>
        <v>30</v>
      </c>
      <c r="G2799" s="2">
        <f ca="1">+TODAY()-I2799</f>
        <v>1505</v>
      </c>
      <c r="H2799" s="15">
        <v>723478</v>
      </c>
      <c r="I2799" s="1">
        <v>44615</v>
      </c>
      <c r="J2799" s="1">
        <v>44645</v>
      </c>
      <c r="K2799" s="18" t="s">
        <v>766</v>
      </c>
      <c r="L2799" s="18" t="s">
        <v>18</v>
      </c>
      <c r="M2799" s="18" t="s">
        <v>19</v>
      </c>
      <c r="N2799" s="18" t="s">
        <v>20</v>
      </c>
      <c r="O2799">
        <v>30</v>
      </c>
    </row>
    <row r="2800" spans="1:15" x14ac:dyDescent="0.25">
      <c r="A2800" s="18" t="s">
        <v>7276</v>
      </c>
      <c r="B2800" s="18" t="s">
        <v>13</v>
      </c>
      <c r="C2800" s="18" t="s">
        <v>14</v>
      </c>
      <c r="D2800" s="18" t="s">
        <v>15</v>
      </c>
      <c r="E2800" s="18" t="s">
        <v>809</v>
      </c>
      <c r="F2800" s="2">
        <f>+J2800-I2800</f>
        <v>30</v>
      </c>
      <c r="G2800" s="2">
        <f ca="1">+TODAY()-I2800</f>
        <v>1492</v>
      </c>
      <c r="H2800" s="15">
        <v>3770345</v>
      </c>
      <c r="I2800" s="1">
        <v>44628</v>
      </c>
      <c r="J2800" s="1">
        <v>44658</v>
      </c>
      <c r="K2800" s="18" t="s">
        <v>766</v>
      </c>
      <c r="L2800" s="18" t="s">
        <v>18</v>
      </c>
      <c r="M2800" s="18" t="s">
        <v>19</v>
      </c>
      <c r="N2800" s="18" t="s">
        <v>20</v>
      </c>
      <c r="O2800">
        <v>30</v>
      </c>
    </row>
    <row r="2801" spans="1:15" x14ac:dyDescent="0.25">
      <c r="A2801" s="18" t="s">
        <v>7276</v>
      </c>
      <c r="B2801" s="18" t="s">
        <v>13</v>
      </c>
      <c r="C2801" s="18" t="s">
        <v>14</v>
      </c>
      <c r="D2801" s="18" t="s">
        <v>15</v>
      </c>
      <c r="E2801" s="18" t="s">
        <v>810</v>
      </c>
      <c r="F2801" s="2">
        <f>+J2801-I2801</f>
        <v>30</v>
      </c>
      <c r="G2801" s="2">
        <f ca="1">+TODAY()-I2801</f>
        <v>1492</v>
      </c>
      <c r="H2801" s="15">
        <v>29950</v>
      </c>
      <c r="I2801" s="1">
        <v>44628</v>
      </c>
      <c r="J2801" s="1">
        <v>44658</v>
      </c>
      <c r="K2801" s="18" t="s">
        <v>766</v>
      </c>
      <c r="L2801" s="18" t="s">
        <v>18</v>
      </c>
      <c r="M2801" s="18" t="s">
        <v>19</v>
      </c>
      <c r="N2801" s="18" t="s">
        <v>20</v>
      </c>
      <c r="O2801">
        <v>30</v>
      </c>
    </row>
    <row r="2802" spans="1:15" x14ac:dyDescent="0.25">
      <c r="A2802" s="18" t="s">
        <v>7276</v>
      </c>
      <c r="B2802" s="18" t="s">
        <v>13</v>
      </c>
      <c r="C2802" s="18" t="s">
        <v>14</v>
      </c>
      <c r="D2802" s="18" t="s">
        <v>15</v>
      </c>
      <c r="E2802" s="18" t="s">
        <v>811</v>
      </c>
      <c r="F2802" s="2">
        <f>+J2802-I2802</f>
        <v>30</v>
      </c>
      <c r="G2802" s="2">
        <f ca="1">+TODAY()-I2802</f>
        <v>1477</v>
      </c>
      <c r="H2802" s="15">
        <v>835000</v>
      </c>
      <c r="I2802" s="1">
        <v>44643</v>
      </c>
      <c r="J2802" s="1">
        <v>44673</v>
      </c>
      <c r="K2802" s="18" t="s">
        <v>766</v>
      </c>
      <c r="L2802" s="18" t="s">
        <v>18</v>
      </c>
      <c r="M2802" s="18" t="s">
        <v>19</v>
      </c>
      <c r="N2802" s="18" t="s">
        <v>20</v>
      </c>
      <c r="O2802">
        <v>30</v>
      </c>
    </row>
    <row r="2803" spans="1:15" x14ac:dyDescent="0.25">
      <c r="A2803" s="18" t="s">
        <v>7276</v>
      </c>
      <c r="B2803" s="18" t="s">
        <v>13</v>
      </c>
      <c r="C2803" s="18" t="s">
        <v>14</v>
      </c>
      <c r="D2803" s="18" t="s">
        <v>15</v>
      </c>
      <c r="E2803" s="18" t="s">
        <v>812</v>
      </c>
      <c r="F2803" s="2">
        <f>+J2803-I2803</f>
        <v>30</v>
      </c>
      <c r="G2803" s="2">
        <f ca="1">+TODAY()-I2803</f>
        <v>1464</v>
      </c>
      <c r="H2803" s="15">
        <v>4452120</v>
      </c>
      <c r="I2803" s="1">
        <v>44656</v>
      </c>
      <c r="J2803" s="1">
        <v>44686</v>
      </c>
      <c r="K2803" s="18" t="s">
        <v>766</v>
      </c>
      <c r="L2803" s="18" t="s">
        <v>18</v>
      </c>
      <c r="M2803" s="18" t="s">
        <v>19</v>
      </c>
      <c r="N2803" s="18" t="s">
        <v>20</v>
      </c>
      <c r="O2803">
        <v>30</v>
      </c>
    </row>
    <row r="2804" spans="1:15" x14ac:dyDescent="0.25">
      <c r="A2804" s="18" t="s">
        <v>7276</v>
      </c>
      <c r="B2804" s="18" t="s">
        <v>13</v>
      </c>
      <c r="C2804" s="18" t="s">
        <v>14</v>
      </c>
      <c r="D2804" s="18" t="s">
        <v>15</v>
      </c>
      <c r="E2804" s="18" t="s">
        <v>813</v>
      </c>
      <c r="F2804" s="2">
        <f>+J2804-I2804</f>
        <v>30</v>
      </c>
      <c r="G2804" s="2">
        <f ca="1">+TODAY()-I2804</f>
        <v>1464</v>
      </c>
      <c r="H2804" s="15">
        <v>2792310</v>
      </c>
      <c r="I2804" s="1">
        <v>44656</v>
      </c>
      <c r="J2804" s="1">
        <v>44686</v>
      </c>
      <c r="K2804" s="18" t="s">
        <v>766</v>
      </c>
      <c r="L2804" s="18" t="s">
        <v>18</v>
      </c>
      <c r="M2804" s="18" t="s">
        <v>19</v>
      </c>
      <c r="N2804" s="18" t="s">
        <v>20</v>
      </c>
      <c r="O2804">
        <v>30</v>
      </c>
    </row>
    <row r="2805" spans="1:15" x14ac:dyDescent="0.25">
      <c r="A2805" s="18" t="s">
        <v>7276</v>
      </c>
      <c r="B2805" s="18" t="s">
        <v>13</v>
      </c>
      <c r="C2805" s="18" t="s">
        <v>14</v>
      </c>
      <c r="D2805" s="18" t="s">
        <v>15</v>
      </c>
      <c r="E2805" s="18" t="s">
        <v>814</v>
      </c>
      <c r="F2805" s="2">
        <f>+J2805-I2805</f>
        <v>30</v>
      </c>
      <c r="G2805" s="2">
        <f ca="1">+TODAY()-I2805</f>
        <v>1448</v>
      </c>
      <c r="H2805" s="15">
        <v>4831594</v>
      </c>
      <c r="I2805" s="1">
        <v>44672</v>
      </c>
      <c r="J2805" s="1">
        <v>44702</v>
      </c>
      <c r="K2805" s="18" t="s">
        <v>766</v>
      </c>
      <c r="L2805" s="18" t="s">
        <v>18</v>
      </c>
      <c r="M2805" s="18" t="s">
        <v>19</v>
      </c>
      <c r="N2805" s="18" t="s">
        <v>20</v>
      </c>
      <c r="O2805">
        <v>30</v>
      </c>
    </row>
    <row r="2806" spans="1:15" x14ac:dyDescent="0.25">
      <c r="A2806" s="18" t="s">
        <v>7276</v>
      </c>
      <c r="B2806" s="18" t="s">
        <v>13</v>
      </c>
      <c r="C2806" s="18" t="s">
        <v>14</v>
      </c>
      <c r="D2806" s="18" t="s">
        <v>15</v>
      </c>
      <c r="E2806" s="18" t="s">
        <v>815</v>
      </c>
      <c r="F2806" s="2">
        <f>+J2806-I2806</f>
        <v>30</v>
      </c>
      <c r="G2806" s="2">
        <f ca="1">+TODAY()-I2806</f>
        <v>1448</v>
      </c>
      <c r="H2806" s="15">
        <v>1413663</v>
      </c>
      <c r="I2806" s="1">
        <v>44672</v>
      </c>
      <c r="J2806" s="1">
        <v>44702</v>
      </c>
      <c r="K2806" s="18" t="s">
        <v>766</v>
      </c>
      <c r="L2806" s="18" t="s">
        <v>18</v>
      </c>
      <c r="M2806" s="18" t="s">
        <v>19</v>
      </c>
      <c r="N2806" s="18" t="s">
        <v>20</v>
      </c>
      <c r="O2806">
        <v>30</v>
      </c>
    </row>
    <row r="2807" spans="1:15" x14ac:dyDescent="0.25">
      <c r="A2807" s="18" t="s">
        <v>7276</v>
      </c>
      <c r="B2807" s="18" t="s">
        <v>13</v>
      </c>
      <c r="C2807" s="18" t="s">
        <v>14</v>
      </c>
      <c r="D2807" s="18" t="s">
        <v>15</v>
      </c>
      <c r="E2807" s="18" t="s">
        <v>816</v>
      </c>
      <c r="F2807" s="2">
        <f>+J2807-I2807</f>
        <v>30</v>
      </c>
      <c r="G2807" s="2">
        <f ca="1">+TODAY()-I2807</f>
        <v>1436</v>
      </c>
      <c r="H2807" s="15">
        <v>3079000</v>
      </c>
      <c r="I2807" s="1">
        <v>44684</v>
      </c>
      <c r="J2807" s="1">
        <v>44714</v>
      </c>
      <c r="K2807" s="18" t="s">
        <v>766</v>
      </c>
      <c r="L2807" s="18" t="s">
        <v>18</v>
      </c>
      <c r="M2807" s="18" t="s">
        <v>19</v>
      </c>
      <c r="N2807" s="18" t="s">
        <v>20</v>
      </c>
      <c r="O2807">
        <v>30</v>
      </c>
    </row>
    <row r="2808" spans="1:15" x14ac:dyDescent="0.25">
      <c r="A2808" s="18" t="s">
        <v>7276</v>
      </c>
      <c r="B2808" s="18" t="s">
        <v>13</v>
      </c>
      <c r="C2808" s="18" t="s">
        <v>14</v>
      </c>
      <c r="D2808" s="18" t="s">
        <v>15</v>
      </c>
      <c r="E2808" s="18" t="s">
        <v>817</v>
      </c>
      <c r="F2808" s="2">
        <f>+J2808-I2808</f>
        <v>30</v>
      </c>
      <c r="G2808" s="2">
        <f ca="1">+TODAY()-I2808</f>
        <v>1436</v>
      </c>
      <c r="H2808" s="15">
        <v>4265882</v>
      </c>
      <c r="I2808" s="1">
        <v>44684</v>
      </c>
      <c r="J2808" s="1">
        <v>44714</v>
      </c>
      <c r="K2808" s="18" t="s">
        <v>766</v>
      </c>
      <c r="L2808" s="18" t="s">
        <v>18</v>
      </c>
      <c r="M2808" s="18" t="s">
        <v>19</v>
      </c>
      <c r="N2808" s="18" t="s">
        <v>20</v>
      </c>
      <c r="O2808">
        <v>30</v>
      </c>
    </row>
    <row r="2809" spans="1:15" x14ac:dyDescent="0.25">
      <c r="A2809" s="18" t="s">
        <v>7276</v>
      </c>
      <c r="B2809" s="18" t="s">
        <v>13</v>
      </c>
      <c r="C2809" s="18" t="s">
        <v>14</v>
      </c>
      <c r="D2809" s="18" t="s">
        <v>15</v>
      </c>
      <c r="E2809" s="18" t="s">
        <v>818</v>
      </c>
      <c r="F2809" s="2">
        <f>+J2809-I2809</f>
        <v>30</v>
      </c>
      <c r="G2809" s="2">
        <f ca="1">+TODAY()-I2809</f>
        <v>1436</v>
      </c>
      <c r="H2809" s="15">
        <v>255878</v>
      </c>
      <c r="I2809" s="1">
        <v>44684</v>
      </c>
      <c r="J2809" s="1">
        <v>44714</v>
      </c>
      <c r="K2809" s="18" t="s">
        <v>766</v>
      </c>
      <c r="L2809" s="18" t="s">
        <v>18</v>
      </c>
      <c r="M2809" s="18" t="s">
        <v>19</v>
      </c>
      <c r="N2809" s="18" t="s">
        <v>20</v>
      </c>
      <c r="O2809">
        <v>30</v>
      </c>
    </row>
    <row r="2810" spans="1:15" x14ac:dyDescent="0.25">
      <c r="A2810" s="18" t="s">
        <v>7276</v>
      </c>
      <c r="B2810" s="18" t="s">
        <v>13</v>
      </c>
      <c r="C2810" s="18" t="s">
        <v>14</v>
      </c>
      <c r="D2810" s="18" t="s">
        <v>15</v>
      </c>
      <c r="E2810" s="18" t="s">
        <v>819</v>
      </c>
      <c r="F2810" s="2">
        <f>+J2810-I2810</f>
        <v>30</v>
      </c>
      <c r="G2810" s="2">
        <f ca="1">+TODAY()-I2810</f>
        <v>1422</v>
      </c>
      <c r="H2810" s="15">
        <v>489705</v>
      </c>
      <c r="I2810" s="1">
        <v>44698</v>
      </c>
      <c r="J2810" s="1">
        <v>44728</v>
      </c>
      <c r="K2810" s="18" t="s">
        <v>766</v>
      </c>
      <c r="L2810" s="18" t="s">
        <v>18</v>
      </c>
      <c r="M2810" s="18" t="s">
        <v>19</v>
      </c>
      <c r="N2810" s="18" t="s">
        <v>20</v>
      </c>
      <c r="O2810">
        <v>30</v>
      </c>
    </row>
    <row r="2811" spans="1:15" x14ac:dyDescent="0.25">
      <c r="A2811" s="18" t="s">
        <v>7276</v>
      </c>
      <c r="B2811" s="18" t="s">
        <v>13</v>
      </c>
      <c r="C2811" s="18" t="s">
        <v>14</v>
      </c>
      <c r="D2811" s="18" t="s">
        <v>15</v>
      </c>
      <c r="E2811" s="18" t="s">
        <v>820</v>
      </c>
      <c r="F2811" s="2">
        <f>+J2811-I2811</f>
        <v>30</v>
      </c>
      <c r="G2811" s="2">
        <f ca="1">+TODAY()-I2811</f>
        <v>1373</v>
      </c>
      <c r="H2811" s="15">
        <v>4867003</v>
      </c>
      <c r="I2811" s="1">
        <v>44747</v>
      </c>
      <c r="J2811" s="1">
        <v>44777</v>
      </c>
      <c r="K2811" s="18" t="s">
        <v>766</v>
      </c>
      <c r="L2811" s="18" t="s">
        <v>18</v>
      </c>
      <c r="M2811" s="18" t="s">
        <v>19</v>
      </c>
      <c r="N2811" s="18" t="s">
        <v>20</v>
      </c>
      <c r="O2811">
        <v>30</v>
      </c>
    </row>
    <row r="2812" spans="1:15" x14ac:dyDescent="0.25">
      <c r="A2812" s="18" t="s">
        <v>7276</v>
      </c>
      <c r="B2812" s="18" t="s">
        <v>13</v>
      </c>
      <c r="C2812" s="18" t="s">
        <v>14</v>
      </c>
      <c r="D2812" s="18" t="s">
        <v>15</v>
      </c>
      <c r="E2812" s="18" t="s">
        <v>821</v>
      </c>
      <c r="F2812" s="2">
        <f>+J2812-I2812</f>
        <v>30</v>
      </c>
      <c r="G2812" s="2">
        <f ca="1">+TODAY()-I2812</f>
        <v>1365</v>
      </c>
      <c r="H2812" s="15">
        <v>1047883</v>
      </c>
      <c r="I2812" s="1">
        <v>44755</v>
      </c>
      <c r="J2812" s="1">
        <v>44785</v>
      </c>
      <c r="K2812" s="18" t="s">
        <v>766</v>
      </c>
      <c r="L2812" s="18" t="s">
        <v>18</v>
      </c>
      <c r="M2812" s="18" t="s">
        <v>19</v>
      </c>
      <c r="N2812" s="18" t="s">
        <v>20</v>
      </c>
      <c r="O2812">
        <v>30</v>
      </c>
    </row>
    <row r="2813" spans="1:15" x14ac:dyDescent="0.25">
      <c r="A2813" s="18" t="s">
        <v>7276</v>
      </c>
      <c r="B2813" s="18" t="s">
        <v>13</v>
      </c>
      <c r="C2813" s="18" t="s">
        <v>14</v>
      </c>
      <c r="D2813" s="18" t="s">
        <v>15</v>
      </c>
      <c r="E2813" s="18" t="s">
        <v>822</v>
      </c>
      <c r="F2813" s="2">
        <f>+J2813-I2813</f>
        <v>30</v>
      </c>
      <c r="G2813" s="2">
        <f ca="1">+TODAY()-I2813</f>
        <v>1351</v>
      </c>
      <c r="H2813" s="15">
        <v>1193502</v>
      </c>
      <c r="I2813" s="1">
        <v>44769</v>
      </c>
      <c r="J2813" s="1">
        <v>44799</v>
      </c>
      <c r="K2813" s="18" t="s">
        <v>766</v>
      </c>
      <c r="L2813" s="18" t="s">
        <v>18</v>
      </c>
      <c r="M2813" s="18" t="s">
        <v>19</v>
      </c>
      <c r="N2813" s="18" t="s">
        <v>20</v>
      </c>
      <c r="O2813">
        <v>30</v>
      </c>
    </row>
    <row r="2814" spans="1:15" x14ac:dyDescent="0.25">
      <c r="A2814" s="18" t="s">
        <v>7276</v>
      </c>
      <c r="B2814" s="18" t="s">
        <v>13</v>
      </c>
      <c r="C2814" s="18" t="s">
        <v>14</v>
      </c>
      <c r="D2814" s="18" t="s">
        <v>15</v>
      </c>
      <c r="E2814" s="18" t="s">
        <v>823</v>
      </c>
      <c r="F2814" s="2">
        <f>+J2814-I2814</f>
        <v>30</v>
      </c>
      <c r="G2814" s="2">
        <f ca="1">+TODAY()-I2814</f>
        <v>1349</v>
      </c>
      <c r="H2814" s="15">
        <v>4510000</v>
      </c>
      <c r="I2814" s="1">
        <v>44771</v>
      </c>
      <c r="J2814" s="1">
        <v>44801</v>
      </c>
      <c r="K2814" s="18" t="s">
        <v>766</v>
      </c>
      <c r="L2814" s="18" t="s">
        <v>18</v>
      </c>
      <c r="M2814" s="18" t="s">
        <v>19</v>
      </c>
      <c r="N2814" s="18" t="s">
        <v>20</v>
      </c>
      <c r="O2814">
        <v>30</v>
      </c>
    </row>
    <row r="2815" spans="1:15" x14ac:dyDescent="0.25">
      <c r="A2815" s="18" t="s">
        <v>7276</v>
      </c>
      <c r="B2815" s="18" t="s">
        <v>13</v>
      </c>
      <c r="C2815" s="18" t="s">
        <v>14</v>
      </c>
      <c r="D2815" s="18" t="s">
        <v>15</v>
      </c>
      <c r="E2815" s="18" t="s">
        <v>824</v>
      </c>
      <c r="F2815" s="2">
        <f>+J2815-I2815</f>
        <v>30</v>
      </c>
      <c r="G2815" s="2">
        <f ca="1">+TODAY()-I2815</f>
        <v>1336</v>
      </c>
      <c r="H2815" s="15">
        <v>2112388</v>
      </c>
      <c r="I2815" s="1">
        <v>44784</v>
      </c>
      <c r="J2815" s="1">
        <v>44814</v>
      </c>
      <c r="K2815" s="18" t="s">
        <v>766</v>
      </c>
      <c r="L2815" s="18" t="s">
        <v>18</v>
      </c>
      <c r="M2815" s="18" t="s">
        <v>19</v>
      </c>
      <c r="N2815" s="18" t="s">
        <v>20</v>
      </c>
      <c r="O2815">
        <v>30</v>
      </c>
    </row>
    <row r="2816" spans="1:15" x14ac:dyDescent="0.25">
      <c r="A2816" s="18" t="s">
        <v>7276</v>
      </c>
      <c r="B2816" s="18" t="s">
        <v>13</v>
      </c>
      <c r="C2816" s="18" t="s">
        <v>14</v>
      </c>
      <c r="D2816" s="18" t="s">
        <v>15</v>
      </c>
      <c r="E2816" s="18" t="s">
        <v>825</v>
      </c>
      <c r="F2816" s="2">
        <f>+J2816-I2816</f>
        <v>30</v>
      </c>
      <c r="G2816" s="2">
        <f ca="1">+TODAY()-I2816</f>
        <v>1336</v>
      </c>
      <c r="H2816" s="15">
        <v>584795</v>
      </c>
      <c r="I2816" s="1">
        <v>44784</v>
      </c>
      <c r="J2816" s="1">
        <v>44814</v>
      </c>
      <c r="K2816" s="18" t="s">
        <v>766</v>
      </c>
      <c r="L2816" s="18" t="s">
        <v>18</v>
      </c>
      <c r="M2816" s="18" t="s">
        <v>19</v>
      </c>
      <c r="N2816" s="18" t="s">
        <v>20</v>
      </c>
      <c r="O2816">
        <v>30</v>
      </c>
    </row>
    <row r="2817" spans="1:15" x14ac:dyDescent="0.25">
      <c r="A2817" s="18" t="s">
        <v>7276</v>
      </c>
      <c r="B2817" s="18" t="s">
        <v>13</v>
      </c>
      <c r="C2817" s="18" t="s">
        <v>14</v>
      </c>
      <c r="D2817" s="18" t="s">
        <v>15</v>
      </c>
      <c r="E2817" s="18" t="s">
        <v>826</v>
      </c>
      <c r="F2817" s="2">
        <f>+J2817-I2817</f>
        <v>30</v>
      </c>
      <c r="G2817" s="2">
        <f ca="1">+TODAY()-I2817</f>
        <v>1324</v>
      </c>
      <c r="H2817" s="15">
        <v>1701527</v>
      </c>
      <c r="I2817" s="1">
        <v>44796</v>
      </c>
      <c r="J2817" s="1">
        <v>44826</v>
      </c>
      <c r="K2817" s="18" t="s">
        <v>766</v>
      </c>
      <c r="L2817" s="18" t="s">
        <v>18</v>
      </c>
      <c r="M2817" s="18" t="s">
        <v>19</v>
      </c>
      <c r="N2817" s="18" t="s">
        <v>20</v>
      </c>
      <c r="O2817">
        <v>30</v>
      </c>
    </row>
    <row r="2818" spans="1:15" x14ac:dyDescent="0.25">
      <c r="A2818" s="18" t="s">
        <v>7276</v>
      </c>
      <c r="B2818" s="18" t="s">
        <v>13</v>
      </c>
      <c r="C2818" s="18" t="s">
        <v>14</v>
      </c>
      <c r="D2818" s="18" t="s">
        <v>15</v>
      </c>
      <c r="E2818" s="18" t="s">
        <v>827</v>
      </c>
      <c r="F2818" s="2">
        <f>+J2818-I2818</f>
        <v>1</v>
      </c>
      <c r="G2818" s="2">
        <f ca="1">+TODAY()-I2818</f>
        <v>1309</v>
      </c>
      <c r="H2818" s="15">
        <v>1321114</v>
      </c>
      <c r="I2818" s="1">
        <v>44811</v>
      </c>
      <c r="J2818" s="1">
        <v>44812</v>
      </c>
      <c r="K2818" s="18" t="s">
        <v>766</v>
      </c>
      <c r="L2818" s="18" t="s">
        <v>18</v>
      </c>
      <c r="M2818" s="18" t="s">
        <v>19</v>
      </c>
      <c r="N2818" s="18" t="s">
        <v>20</v>
      </c>
      <c r="O2818">
        <v>30</v>
      </c>
    </row>
    <row r="2819" spans="1:15" x14ac:dyDescent="0.25">
      <c r="A2819" s="18" t="s">
        <v>7276</v>
      </c>
      <c r="B2819" s="18" t="s">
        <v>13</v>
      </c>
      <c r="C2819" s="18" t="s">
        <v>14</v>
      </c>
      <c r="D2819" s="18" t="s">
        <v>15</v>
      </c>
      <c r="E2819" s="18" t="s">
        <v>828</v>
      </c>
      <c r="F2819" s="2">
        <f>+J2819-I2819</f>
        <v>1</v>
      </c>
      <c r="G2819" s="2">
        <f ca="1">+TODAY()-I2819</f>
        <v>1309</v>
      </c>
      <c r="H2819" s="15">
        <v>1829072</v>
      </c>
      <c r="I2819" s="1">
        <v>44811</v>
      </c>
      <c r="J2819" s="1">
        <v>44812</v>
      </c>
      <c r="K2819" s="18" t="s">
        <v>766</v>
      </c>
      <c r="L2819" s="18" t="s">
        <v>18</v>
      </c>
      <c r="M2819" s="18" t="s">
        <v>19</v>
      </c>
      <c r="N2819" s="18" t="s">
        <v>20</v>
      </c>
      <c r="O2819">
        <v>30</v>
      </c>
    </row>
    <row r="2820" spans="1:15" x14ac:dyDescent="0.25">
      <c r="A2820" s="18" t="s">
        <v>7276</v>
      </c>
      <c r="B2820" s="18" t="s">
        <v>13</v>
      </c>
      <c r="C2820" s="18" t="s">
        <v>14</v>
      </c>
      <c r="D2820" s="18" t="s">
        <v>15</v>
      </c>
      <c r="E2820" s="18" t="s">
        <v>829</v>
      </c>
      <c r="F2820" s="2">
        <f>+J2820-I2820</f>
        <v>30</v>
      </c>
      <c r="G2820" s="2">
        <f ca="1">+TODAY()-I2820</f>
        <v>1297</v>
      </c>
      <c r="H2820" s="15">
        <v>11078000</v>
      </c>
      <c r="I2820" s="1">
        <v>44823</v>
      </c>
      <c r="J2820" s="1">
        <v>44853</v>
      </c>
      <c r="K2820" s="18" t="s">
        <v>766</v>
      </c>
      <c r="L2820" s="18" t="s">
        <v>18</v>
      </c>
      <c r="M2820" s="18" t="s">
        <v>19</v>
      </c>
      <c r="N2820" s="18" t="s">
        <v>20</v>
      </c>
      <c r="O2820">
        <v>30</v>
      </c>
    </row>
    <row r="2821" spans="1:15" x14ac:dyDescent="0.25">
      <c r="A2821" s="18" t="s">
        <v>7276</v>
      </c>
      <c r="B2821" s="18" t="s">
        <v>13</v>
      </c>
      <c r="C2821" s="18" t="s">
        <v>14</v>
      </c>
      <c r="D2821" s="18" t="s">
        <v>15</v>
      </c>
      <c r="E2821" s="18" t="s">
        <v>830</v>
      </c>
      <c r="F2821" s="2">
        <f>+J2821-I2821</f>
        <v>30</v>
      </c>
      <c r="G2821" s="2">
        <f ca="1">+TODAY()-I2821</f>
        <v>1296</v>
      </c>
      <c r="H2821" s="15">
        <v>1748217</v>
      </c>
      <c r="I2821" s="1">
        <v>44824</v>
      </c>
      <c r="J2821" s="1">
        <v>44854</v>
      </c>
      <c r="K2821" s="18" t="s">
        <v>766</v>
      </c>
      <c r="L2821" s="18" t="s">
        <v>18</v>
      </c>
      <c r="M2821" s="18" t="s">
        <v>19</v>
      </c>
      <c r="N2821" s="18" t="s">
        <v>20</v>
      </c>
      <c r="O2821">
        <v>30</v>
      </c>
    </row>
    <row r="2822" spans="1:15" x14ac:dyDescent="0.25">
      <c r="A2822" s="18" t="s">
        <v>7276</v>
      </c>
      <c r="B2822" s="18" t="s">
        <v>13</v>
      </c>
      <c r="C2822" s="18" t="s">
        <v>14</v>
      </c>
      <c r="D2822" s="18" t="s">
        <v>15</v>
      </c>
      <c r="E2822" s="18" t="s">
        <v>831</v>
      </c>
      <c r="F2822" s="2">
        <f>+J2822-I2822</f>
        <v>30</v>
      </c>
      <c r="G2822" s="2">
        <f ca="1">+TODAY()-I2822</f>
        <v>1296</v>
      </c>
      <c r="H2822" s="15">
        <v>205932</v>
      </c>
      <c r="I2822" s="1">
        <v>44824</v>
      </c>
      <c r="J2822" s="1">
        <v>44854</v>
      </c>
      <c r="K2822" s="18" t="s">
        <v>766</v>
      </c>
      <c r="L2822" s="18" t="s">
        <v>18</v>
      </c>
      <c r="M2822" s="18" t="s">
        <v>19</v>
      </c>
      <c r="N2822" s="18" t="s">
        <v>20</v>
      </c>
      <c r="O2822">
        <v>30</v>
      </c>
    </row>
    <row r="2823" spans="1:15" x14ac:dyDescent="0.25">
      <c r="A2823" s="18" t="s">
        <v>7276</v>
      </c>
      <c r="B2823" s="18" t="s">
        <v>13</v>
      </c>
      <c r="C2823" s="18" t="s">
        <v>14</v>
      </c>
      <c r="D2823" s="18" t="s">
        <v>15</v>
      </c>
      <c r="E2823" s="18" t="s">
        <v>832</v>
      </c>
      <c r="F2823" s="2">
        <f>+J2823-I2823</f>
        <v>30</v>
      </c>
      <c r="G2823" s="2">
        <f ca="1">+TODAY()-I2823</f>
        <v>1267</v>
      </c>
      <c r="H2823" s="15">
        <v>1918000</v>
      </c>
      <c r="I2823" s="1">
        <v>44853</v>
      </c>
      <c r="J2823" s="1">
        <v>44883</v>
      </c>
      <c r="K2823" s="18" t="s">
        <v>766</v>
      </c>
      <c r="L2823" s="18" t="s">
        <v>18</v>
      </c>
      <c r="M2823" s="18" t="s">
        <v>19</v>
      </c>
      <c r="N2823" s="18" t="s">
        <v>20</v>
      </c>
      <c r="O2823">
        <v>30</v>
      </c>
    </row>
    <row r="2824" spans="1:15" x14ac:dyDescent="0.25">
      <c r="A2824" s="18" t="s">
        <v>7276</v>
      </c>
      <c r="B2824" s="18" t="s">
        <v>13</v>
      </c>
      <c r="C2824" s="18" t="s">
        <v>14</v>
      </c>
      <c r="D2824" s="18" t="s">
        <v>15</v>
      </c>
      <c r="E2824" s="18" t="s">
        <v>833</v>
      </c>
      <c r="F2824" s="2">
        <f>+J2824-I2824</f>
        <v>30</v>
      </c>
      <c r="G2824" s="2">
        <f ca="1">+TODAY()-I2824</f>
        <v>1267</v>
      </c>
      <c r="H2824" s="15">
        <v>1518603</v>
      </c>
      <c r="I2824" s="1">
        <v>44853</v>
      </c>
      <c r="J2824" s="1">
        <v>44883</v>
      </c>
      <c r="K2824" s="18" t="s">
        <v>766</v>
      </c>
      <c r="L2824" s="18" t="s">
        <v>18</v>
      </c>
      <c r="M2824" s="18" t="s">
        <v>19</v>
      </c>
      <c r="N2824" s="18" t="s">
        <v>20</v>
      </c>
      <c r="O2824">
        <v>30</v>
      </c>
    </row>
    <row r="2825" spans="1:15" x14ac:dyDescent="0.25">
      <c r="A2825" s="18" t="s">
        <v>7276</v>
      </c>
      <c r="B2825" s="18" t="s">
        <v>13</v>
      </c>
      <c r="C2825" s="18" t="s">
        <v>14</v>
      </c>
      <c r="D2825" s="18" t="s">
        <v>15</v>
      </c>
      <c r="E2825" s="18" t="s">
        <v>834</v>
      </c>
      <c r="F2825" s="2">
        <f>+J2825-I2825</f>
        <v>30</v>
      </c>
      <c r="G2825" s="2">
        <f ca="1">+TODAY()-I2825</f>
        <v>1253</v>
      </c>
      <c r="H2825" s="15">
        <v>982996</v>
      </c>
      <c r="I2825" s="1">
        <v>44867</v>
      </c>
      <c r="J2825" s="1">
        <v>44897</v>
      </c>
      <c r="K2825" s="18" t="s">
        <v>766</v>
      </c>
      <c r="L2825" s="18" t="s">
        <v>18</v>
      </c>
      <c r="M2825" s="18" t="s">
        <v>19</v>
      </c>
      <c r="N2825" s="18" t="s">
        <v>20</v>
      </c>
      <c r="O2825">
        <v>30</v>
      </c>
    </row>
    <row r="2826" spans="1:15" x14ac:dyDescent="0.25">
      <c r="A2826" s="18" t="s">
        <v>7276</v>
      </c>
      <c r="B2826" s="18" t="s">
        <v>13</v>
      </c>
      <c r="C2826" s="18" t="s">
        <v>14</v>
      </c>
      <c r="D2826" s="18" t="s">
        <v>15</v>
      </c>
      <c r="E2826" s="18" t="s">
        <v>892</v>
      </c>
      <c r="F2826" s="2">
        <f>+J2826-I2826</f>
        <v>30</v>
      </c>
      <c r="G2826" s="2">
        <f ca="1">+TODAY()-I2826</f>
        <v>1770</v>
      </c>
      <c r="H2826" s="15">
        <v>6876043</v>
      </c>
      <c r="I2826" s="1">
        <v>44350</v>
      </c>
      <c r="J2826" s="1">
        <v>44380</v>
      </c>
      <c r="K2826" s="18" t="s">
        <v>845</v>
      </c>
      <c r="L2826" s="18" t="s">
        <v>893</v>
      </c>
      <c r="M2826" s="18" t="s">
        <v>19</v>
      </c>
      <c r="N2826" s="18" t="s">
        <v>20</v>
      </c>
      <c r="O2826">
        <v>30</v>
      </c>
    </row>
    <row r="2827" spans="1:15" x14ac:dyDescent="0.25">
      <c r="A2827" s="18" t="s">
        <v>7276</v>
      </c>
      <c r="B2827" s="18" t="s">
        <v>13</v>
      </c>
      <c r="C2827" s="18" t="s">
        <v>14</v>
      </c>
      <c r="D2827" s="18" t="s">
        <v>15</v>
      </c>
      <c r="E2827" s="18" t="s">
        <v>894</v>
      </c>
      <c r="F2827" s="2">
        <f>+J2827-I2827</f>
        <v>30</v>
      </c>
      <c r="G2827" s="2">
        <f ca="1">+TODAY()-I2827</f>
        <v>1755</v>
      </c>
      <c r="H2827" s="15">
        <v>207312</v>
      </c>
      <c r="I2827" s="1">
        <v>44365</v>
      </c>
      <c r="J2827" s="1">
        <v>44395</v>
      </c>
      <c r="K2827" s="18" t="s">
        <v>845</v>
      </c>
      <c r="L2827" s="18" t="s">
        <v>47</v>
      </c>
      <c r="M2827" s="18" t="s">
        <v>19</v>
      </c>
      <c r="N2827" s="18" t="s">
        <v>20</v>
      </c>
      <c r="O2827">
        <v>30</v>
      </c>
    </row>
    <row r="2828" spans="1:15" x14ac:dyDescent="0.25">
      <c r="A2828" s="18" t="s">
        <v>7276</v>
      </c>
      <c r="B2828" s="18" t="s">
        <v>13</v>
      </c>
      <c r="C2828" s="18" t="s">
        <v>14</v>
      </c>
      <c r="D2828" s="18" t="s">
        <v>15</v>
      </c>
      <c r="E2828" s="18" t="s">
        <v>895</v>
      </c>
      <c r="F2828" s="2">
        <f>+J2828-I2828</f>
        <v>30</v>
      </c>
      <c r="G2828" s="2">
        <f ca="1">+TODAY()-I2828</f>
        <v>1743</v>
      </c>
      <c r="H2828" s="15">
        <v>4710947</v>
      </c>
      <c r="I2828" s="1">
        <v>44377</v>
      </c>
      <c r="J2828" s="1">
        <v>44407</v>
      </c>
      <c r="K2828" s="18" t="s">
        <v>845</v>
      </c>
      <c r="L2828" s="18" t="s">
        <v>893</v>
      </c>
      <c r="M2828" s="18" t="s">
        <v>19</v>
      </c>
      <c r="N2828" s="18" t="s">
        <v>20</v>
      </c>
      <c r="O2828">
        <v>30</v>
      </c>
    </row>
    <row r="2829" spans="1:15" x14ac:dyDescent="0.25">
      <c r="A2829" s="18" t="s">
        <v>7276</v>
      </c>
      <c r="B2829" s="18" t="s">
        <v>13</v>
      </c>
      <c r="C2829" s="18" t="s">
        <v>14</v>
      </c>
      <c r="D2829" s="18" t="s">
        <v>15</v>
      </c>
      <c r="E2829" s="18" t="s">
        <v>896</v>
      </c>
      <c r="F2829" s="2">
        <f>+J2829-I2829</f>
        <v>30</v>
      </c>
      <c r="G2829" s="2">
        <f ca="1">+TODAY()-I2829</f>
        <v>1743</v>
      </c>
      <c r="H2829" s="15">
        <v>4239681</v>
      </c>
      <c r="I2829" s="1">
        <v>44377</v>
      </c>
      <c r="J2829" s="1">
        <v>44407</v>
      </c>
      <c r="K2829" s="18" t="s">
        <v>845</v>
      </c>
      <c r="L2829" s="18" t="s">
        <v>893</v>
      </c>
      <c r="M2829" s="18" t="s">
        <v>19</v>
      </c>
      <c r="N2829" s="18" t="s">
        <v>20</v>
      </c>
      <c r="O2829">
        <v>30</v>
      </c>
    </row>
    <row r="2830" spans="1:15" x14ac:dyDescent="0.25">
      <c r="A2830" s="18" t="s">
        <v>7276</v>
      </c>
      <c r="B2830" s="18" t="s">
        <v>13</v>
      </c>
      <c r="C2830" s="18" t="s">
        <v>14</v>
      </c>
      <c r="D2830" s="18" t="s">
        <v>15</v>
      </c>
      <c r="E2830" s="18" t="s">
        <v>897</v>
      </c>
      <c r="F2830" s="2">
        <f>+J2830-I2830</f>
        <v>30</v>
      </c>
      <c r="G2830" s="2">
        <f ca="1">+TODAY()-I2830</f>
        <v>1714</v>
      </c>
      <c r="H2830" s="15">
        <v>336516</v>
      </c>
      <c r="I2830" s="1">
        <v>44406</v>
      </c>
      <c r="J2830" s="1">
        <v>44436</v>
      </c>
      <c r="K2830" s="18" t="s">
        <v>845</v>
      </c>
      <c r="L2830" s="18" t="s">
        <v>47</v>
      </c>
      <c r="M2830" s="18" t="s">
        <v>19</v>
      </c>
      <c r="N2830" s="18" t="s">
        <v>20</v>
      </c>
      <c r="O2830">
        <v>30</v>
      </c>
    </row>
    <row r="2831" spans="1:15" x14ac:dyDescent="0.25">
      <c r="A2831" s="18" t="s">
        <v>7276</v>
      </c>
      <c r="B2831" s="18" t="s">
        <v>13</v>
      </c>
      <c r="C2831" s="18" t="s">
        <v>14</v>
      </c>
      <c r="D2831" s="18" t="s">
        <v>15</v>
      </c>
      <c r="E2831" s="18" t="s">
        <v>898</v>
      </c>
      <c r="F2831" s="2">
        <f>+J2831-I2831</f>
        <v>30</v>
      </c>
      <c r="G2831" s="2">
        <f ca="1">+TODAY()-I2831</f>
        <v>1713</v>
      </c>
      <c r="H2831" s="15">
        <v>691040</v>
      </c>
      <c r="I2831" s="1">
        <v>44407</v>
      </c>
      <c r="J2831" s="1">
        <v>44437</v>
      </c>
      <c r="K2831" s="18" t="s">
        <v>845</v>
      </c>
      <c r="L2831" s="18" t="s">
        <v>47</v>
      </c>
      <c r="M2831" s="18" t="s">
        <v>19</v>
      </c>
      <c r="N2831" s="18" t="s">
        <v>20</v>
      </c>
      <c r="O2831">
        <v>30</v>
      </c>
    </row>
    <row r="2832" spans="1:15" x14ac:dyDescent="0.25">
      <c r="A2832" s="18" t="s">
        <v>7276</v>
      </c>
      <c r="B2832" s="18" t="s">
        <v>13</v>
      </c>
      <c r="C2832" s="18" t="s">
        <v>14</v>
      </c>
      <c r="D2832" s="18" t="s">
        <v>15</v>
      </c>
      <c r="E2832" s="18" t="s">
        <v>899</v>
      </c>
      <c r="F2832" s="2">
        <f>+J2832-I2832</f>
        <v>30</v>
      </c>
      <c r="G2832" s="2">
        <f ca="1">+TODAY()-I2832</f>
        <v>1698</v>
      </c>
      <c r="H2832" s="15">
        <v>5095492</v>
      </c>
      <c r="I2832" s="1">
        <v>44422</v>
      </c>
      <c r="J2832" s="1">
        <v>44452</v>
      </c>
      <c r="K2832" s="18" t="s">
        <v>845</v>
      </c>
      <c r="L2832" s="18" t="s">
        <v>893</v>
      </c>
      <c r="M2832" s="18" t="s">
        <v>19</v>
      </c>
      <c r="N2832" s="18" t="s">
        <v>20</v>
      </c>
      <c r="O2832">
        <v>30</v>
      </c>
    </row>
    <row r="2833" spans="1:15" x14ac:dyDescent="0.25">
      <c r="A2833" s="18" t="s">
        <v>7276</v>
      </c>
      <c r="B2833" s="18" t="s">
        <v>13</v>
      </c>
      <c r="C2833" s="18" t="s">
        <v>14</v>
      </c>
      <c r="D2833" s="18" t="s">
        <v>15</v>
      </c>
      <c r="E2833" s="18" t="s">
        <v>900</v>
      </c>
      <c r="F2833" s="2">
        <f>+J2833-I2833</f>
        <v>30</v>
      </c>
      <c r="G2833" s="2">
        <f ca="1">+TODAY()-I2833</f>
        <v>1698</v>
      </c>
      <c r="H2833" s="15">
        <v>3989988</v>
      </c>
      <c r="I2833" s="1">
        <v>44422</v>
      </c>
      <c r="J2833" s="1">
        <v>44452</v>
      </c>
      <c r="K2833" s="18" t="s">
        <v>845</v>
      </c>
      <c r="L2833" s="18" t="s">
        <v>893</v>
      </c>
      <c r="M2833" s="18" t="s">
        <v>19</v>
      </c>
      <c r="N2833" s="18" t="s">
        <v>20</v>
      </c>
      <c r="O2833">
        <v>30</v>
      </c>
    </row>
    <row r="2834" spans="1:15" x14ac:dyDescent="0.25">
      <c r="A2834" s="18" t="s">
        <v>7276</v>
      </c>
      <c r="B2834" s="18" t="s">
        <v>13</v>
      </c>
      <c r="C2834" s="18" t="s">
        <v>14</v>
      </c>
      <c r="D2834" s="18" t="s">
        <v>15</v>
      </c>
      <c r="E2834" s="18" t="s">
        <v>901</v>
      </c>
      <c r="F2834" s="2">
        <f>+J2834-I2834</f>
        <v>30</v>
      </c>
      <c r="G2834" s="2">
        <f ca="1">+TODAY()-I2834</f>
        <v>1698</v>
      </c>
      <c r="H2834" s="15">
        <v>2375288</v>
      </c>
      <c r="I2834" s="1">
        <v>44422</v>
      </c>
      <c r="J2834" s="1">
        <v>44452</v>
      </c>
      <c r="K2834" s="18" t="s">
        <v>845</v>
      </c>
      <c r="L2834" s="18" t="s">
        <v>893</v>
      </c>
      <c r="M2834" s="18" t="s">
        <v>19</v>
      </c>
      <c r="N2834" s="18" t="s">
        <v>20</v>
      </c>
      <c r="O2834">
        <v>30</v>
      </c>
    </row>
    <row r="2835" spans="1:15" x14ac:dyDescent="0.25">
      <c r="A2835" s="18" t="s">
        <v>7276</v>
      </c>
      <c r="B2835" s="18" t="s">
        <v>13</v>
      </c>
      <c r="C2835" s="18" t="s">
        <v>14</v>
      </c>
      <c r="D2835" s="18" t="s">
        <v>15</v>
      </c>
      <c r="E2835" s="18" t="s">
        <v>902</v>
      </c>
      <c r="F2835" s="2">
        <f>+J2835-I2835</f>
        <v>30</v>
      </c>
      <c r="G2835" s="2">
        <f ca="1">+TODAY()-I2835</f>
        <v>1686</v>
      </c>
      <c r="H2835" s="15">
        <v>276000</v>
      </c>
      <c r="I2835" s="1">
        <v>44434</v>
      </c>
      <c r="J2835" s="1">
        <v>44464</v>
      </c>
      <c r="K2835" s="18" t="s">
        <v>845</v>
      </c>
      <c r="L2835" s="18" t="s">
        <v>893</v>
      </c>
      <c r="M2835" s="18" t="s">
        <v>19</v>
      </c>
      <c r="N2835" s="18" t="s">
        <v>20</v>
      </c>
      <c r="O2835">
        <v>30</v>
      </c>
    </row>
    <row r="2836" spans="1:15" x14ac:dyDescent="0.25">
      <c r="A2836" s="18" t="s">
        <v>7276</v>
      </c>
      <c r="B2836" s="18" t="s">
        <v>13</v>
      </c>
      <c r="C2836" s="18" t="s">
        <v>14</v>
      </c>
      <c r="D2836" s="18" t="s">
        <v>15</v>
      </c>
      <c r="E2836" s="18" t="s">
        <v>903</v>
      </c>
      <c r="F2836" s="2">
        <f>+J2836-I2836</f>
        <v>30</v>
      </c>
      <c r="G2836" s="2">
        <f ca="1">+TODAY()-I2836</f>
        <v>1686</v>
      </c>
      <c r="H2836" s="15">
        <v>3685599</v>
      </c>
      <c r="I2836" s="1">
        <v>44434</v>
      </c>
      <c r="J2836" s="1">
        <v>44464</v>
      </c>
      <c r="K2836" s="18" t="s">
        <v>845</v>
      </c>
      <c r="L2836" s="18" t="s">
        <v>893</v>
      </c>
      <c r="M2836" s="18" t="s">
        <v>19</v>
      </c>
      <c r="N2836" s="18" t="s">
        <v>20</v>
      </c>
      <c r="O2836">
        <v>30</v>
      </c>
    </row>
    <row r="2837" spans="1:15" x14ac:dyDescent="0.25">
      <c r="A2837" s="18" t="s">
        <v>7276</v>
      </c>
      <c r="B2837" s="18" t="s">
        <v>13</v>
      </c>
      <c r="C2837" s="18" t="s">
        <v>14</v>
      </c>
      <c r="D2837" s="18" t="s">
        <v>15</v>
      </c>
      <c r="E2837" s="18" t="s">
        <v>904</v>
      </c>
      <c r="F2837" s="2">
        <f>+J2837-I2837</f>
        <v>30</v>
      </c>
      <c r="G2837" s="2">
        <f ca="1">+TODAY()-I2837</f>
        <v>1673</v>
      </c>
      <c r="H2837" s="15">
        <v>1269618</v>
      </c>
      <c r="I2837" s="1">
        <v>44447</v>
      </c>
      <c r="J2837" s="1">
        <v>44477</v>
      </c>
      <c r="K2837" s="18" t="s">
        <v>845</v>
      </c>
      <c r="L2837" s="18" t="s">
        <v>47</v>
      </c>
      <c r="M2837" s="18" t="s">
        <v>19</v>
      </c>
      <c r="N2837" s="18" t="s">
        <v>20</v>
      </c>
      <c r="O2837">
        <v>30</v>
      </c>
    </row>
    <row r="2838" spans="1:15" x14ac:dyDescent="0.25">
      <c r="A2838" s="18" t="s">
        <v>7276</v>
      </c>
      <c r="B2838" s="18" t="s">
        <v>13</v>
      </c>
      <c r="C2838" s="18" t="s">
        <v>14</v>
      </c>
      <c r="D2838" s="18" t="s">
        <v>15</v>
      </c>
      <c r="E2838" s="18" t="s">
        <v>905</v>
      </c>
      <c r="F2838" s="2">
        <f>+J2838-I2838</f>
        <v>30</v>
      </c>
      <c r="G2838" s="2">
        <f ca="1">+TODAY()-I2838</f>
        <v>1546</v>
      </c>
      <c r="H2838" s="15">
        <v>349022</v>
      </c>
      <c r="I2838" s="1">
        <v>44574</v>
      </c>
      <c r="J2838" s="1">
        <v>44604</v>
      </c>
      <c r="K2838" s="18" t="s">
        <v>845</v>
      </c>
      <c r="L2838" s="18" t="s">
        <v>47</v>
      </c>
      <c r="M2838" s="18" t="s">
        <v>19</v>
      </c>
      <c r="N2838" s="18" t="s">
        <v>20</v>
      </c>
      <c r="O2838">
        <v>30</v>
      </c>
    </row>
    <row r="2839" spans="1:15" x14ac:dyDescent="0.25">
      <c r="A2839" s="18" t="s">
        <v>7276</v>
      </c>
      <c r="B2839" s="18" t="s">
        <v>13</v>
      </c>
      <c r="C2839" s="18" t="s">
        <v>14</v>
      </c>
      <c r="D2839" s="18" t="s">
        <v>15</v>
      </c>
      <c r="E2839" s="18" t="s">
        <v>988</v>
      </c>
      <c r="F2839" s="2">
        <f>+J2839-I2839</f>
        <v>30</v>
      </c>
      <c r="G2839" s="2">
        <f ca="1">+TODAY()-I2839</f>
        <v>1743</v>
      </c>
      <c r="H2839" s="15">
        <v>5760933</v>
      </c>
      <c r="I2839" s="1">
        <v>44377</v>
      </c>
      <c r="J2839" s="1">
        <v>44407</v>
      </c>
      <c r="K2839" s="18" t="s">
        <v>989</v>
      </c>
      <c r="L2839" s="18" t="s">
        <v>18</v>
      </c>
      <c r="M2839" s="18" t="s">
        <v>19</v>
      </c>
      <c r="N2839" s="18" t="s">
        <v>20</v>
      </c>
      <c r="O2839">
        <v>30</v>
      </c>
    </row>
    <row r="2840" spans="1:15" x14ac:dyDescent="0.25">
      <c r="A2840" s="18" t="s">
        <v>7276</v>
      </c>
      <c r="B2840" s="18" t="s">
        <v>13</v>
      </c>
      <c r="C2840" s="18" t="s">
        <v>14</v>
      </c>
      <c r="D2840" s="18" t="s">
        <v>15</v>
      </c>
      <c r="E2840" s="18" t="s">
        <v>990</v>
      </c>
      <c r="F2840" s="2">
        <f>+J2840-I2840</f>
        <v>30</v>
      </c>
      <c r="G2840" s="2">
        <f ca="1">+TODAY()-I2840</f>
        <v>1378</v>
      </c>
      <c r="H2840" s="15">
        <v>8100003</v>
      </c>
      <c r="I2840" s="1">
        <v>44742</v>
      </c>
      <c r="J2840" s="1">
        <v>44772</v>
      </c>
      <c r="K2840" s="18" t="s">
        <v>989</v>
      </c>
      <c r="L2840" s="18" t="s">
        <v>18</v>
      </c>
      <c r="M2840" s="18" t="s">
        <v>19</v>
      </c>
      <c r="N2840" s="18" t="s">
        <v>20</v>
      </c>
      <c r="O2840">
        <v>30</v>
      </c>
    </row>
    <row r="2841" spans="1:15" x14ac:dyDescent="0.25">
      <c r="A2841" s="18" t="s">
        <v>7276</v>
      </c>
      <c r="B2841" s="18" t="s">
        <v>13</v>
      </c>
      <c r="C2841" s="18" t="s">
        <v>14</v>
      </c>
      <c r="D2841" s="18" t="s">
        <v>15</v>
      </c>
      <c r="E2841" s="18" t="s">
        <v>991</v>
      </c>
      <c r="F2841" s="2">
        <f>+J2841-I2841</f>
        <v>30</v>
      </c>
      <c r="G2841" s="2">
        <f ca="1">+TODAY()-I2841</f>
        <v>1378</v>
      </c>
      <c r="H2841" s="15">
        <v>4050003</v>
      </c>
      <c r="I2841" s="1">
        <v>44742</v>
      </c>
      <c r="J2841" s="1">
        <v>44772</v>
      </c>
      <c r="K2841" s="18" t="s">
        <v>989</v>
      </c>
      <c r="L2841" s="18" t="s">
        <v>18</v>
      </c>
      <c r="M2841" s="18" t="s">
        <v>19</v>
      </c>
      <c r="N2841" s="18" t="s">
        <v>20</v>
      </c>
      <c r="O2841">
        <v>30</v>
      </c>
    </row>
    <row r="2842" spans="1:15" x14ac:dyDescent="0.25">
      <c r="A2842" s="18" t="s">
        <v>7276</v>
      </c>
      <c r="B2842" s="18" t="s">
        <v>13</v>
      </c>
      <c r="C2842" s="18" t="s">
        <v>14</v>
      </c>
      <c r="D2842" s="18" t="s">
        <v>15</v>
      </c>
      <c r="E2842" s="18" t="s">
        <v>1003</v>
      </c>
      <c r="F2842" s="2">
        <f>+J2842-I2842</f>
        <v>30</v>
      </c>
      <c r="G2842" s="2">
        <f ca="1">+TODAY()-I2842</f>
        <v>1854</v>
      </c>
      <c r="H2842" s="15">
        <v>6511691</v>
      </c>
      <c r="I2842" s="1">
        <v>44266</v>
      </c>
      <c r="J2842" s="1">
        <v>44296</v>
      </c>
      <c r="K2842" s="18" t="s">
        <v>989</v>
      </c>
      <c r="L2842" s="18" t="s">
        <v>18</v>
      </c>
      <c r="M2842" s="18" t="s">
        <v>19</v>
      </c>
      <c r="N2842" s="18" t="s">
        <v>20</v>
      </c>
      <c r="O2842">
        <v>30</v>
      </c>
    </row>
    <row r="2843" spans="1:15" x14ac:dyDescent="0.25">
      <c r="A2843" s="18" t="s">
        <v>7276</v>
      </c>
      <c r="B2843" s="18" t="s">
        <v>13</v>
      </c>
      <c r="C2843" s="18" t="s">
        <v>14</v>
      </c>
      <c r="D2843" s="18" t="s">
        <v>15</v>
      </c>
      <c r="E2843" s="18" t="s">
        <v>1004</v>
      </c>
      <c r="F2843" s="2">
        <f>+J2843-I2843</f>
        <v>30</v>
      </c>
      <c r="G2843" s="2">
        <f ca="1">+TODAY()-I2843</f>
        <v>1826</v>
      </c>
      <c r="H2843" s="15">
        <v>7141014</v>
      </c>
      <c r="I2843" s="1">
        <v>44294</v>
      </c>
      <c r="J2843" s="1">
        <v>44324</v>
      </c>
      <c r="K2843" s="18" t="s">
        <v>989</v>
      </c>
      <c r="L2843" s="18" t="s">
        <v>18</v>
      </c>
      <c r="M2843" s="18" t="s">
        <v>19</v>
      </c>
      <c r="N2843" s="18" t="s">
        <v>20</v>
      </c>
      <c r="O2843">
        <v>30</v>
      </c>
    </row>
    <row r="2844" spans="1:15" x14ac:dyDescent="0.25">
      <c r="A2844" s="18" t="s">
        <v>7276</v>
      </c>
      <c r="B2844" s="18" t="s">
        <v>13</v>
      </c>
      <c r="C2844" s="18" t="s">
        <v>14</v>
      </c>
      <c r="D2844" s="18" t="s">
        <v>15</v>
      </c>
      <c r="E2844" s="18" t="s">
        <v>1005</v>
      </c>
      <c r="F2844" s="2">
        <f>+J2844-I2844</f>
        <v>30</v>
      </c>
      <c r="G2844" s="2">
        <f ca="1">+TODAY()-I2844</f>
        <v>1812</v>
      </c>
      <c r="H2844" s="15">
        <v>6180376</v>
      </c>
      <c r="I2844" s="1">
        <v>44308</v>
      </c>
      <c r="J2844" s="1">
        <v>44338</v>
      </c>
      <c r="K2844" s="18" t="s">
        <v>989</v>
      </c>
      <c r="L2844" s="18" t="s">
        <v>18</v>
      </c>
      <c r="M2844" s="18" t="s">
        <v>19</v>
      </c>
      <c r="N2844" s="18" t="s">
        <v>20</v>
      </c>
      <c r="O2844">
        <v>30</v>
      </c>
    </row>
    <row r="2845" spans="1:15" x14ac:dyDescent="0.25">
      <c r="A2845" s="18" t="s">
        <v>7276</v>
      </c>
      <c r="B2845" s="18" t="s">
        <v>13</v>
      </c>
      <c r="C2845" s="18" t="s">
        <v>14</v>
      </c>
      <c r="D2845" s="18" t="s">
        <v>15</v>
      </c>
      <c r="E2845" s="18" t="s">
        <v>1006</v>
      </c>
      <c r="F2845" s="2">
        <f>+J2845-I2845</f>
        <v>30</v>
      </c>
      <c r="G2845" s="2">
        <f ca="1">+TODAY()-I2845</f>
        <v>1798</v>
      </c>
      <c r="H2845" s="15">
        <v>6558530</v>
      </c>
      <c r="I2845" s="1">
        <v>44322</v>
      </c>
      <c r="J2845" s="1">
        <v>44352</v>
      </c>
      <c r="K2845" s="18" t="s">
        <v>989</v>
      </c>
      <c r="L2845" s="18" t="s">
        <v>18</v>
      </c>
      <c r="M2845" s="18" t="s">
        <v>19</v>
      </c>
      <c r="N2845" s="18" t="s">
        <v>20</v>
      </c>
      <c r="O2845">
        <v>30</v>
      </c>
    </row>
    <row r="2846" spans="1:15" x14ac:dyDescent="0.25">
      <c r="A2846" s="18" t="s">
        <v>7276</v>
      </c>
      <c r="B2846" s="18" t="s">
        <v>13</v>
      </c>
      <c r="C2846" s="18" t="s">
        <v>14</v>
      </c>
      <c r="D2846" s="18" t="s">
        <v>15</v>
      </c>
      <c r="E2846" s="18" t="s">
        <v>1007</v>
      </c>
      <c r="F2846" s="2">
        <f>+J2846-I2846</f>
        <v>30</v>
      </c>
      <c r="G2846" s="2">
        <f ca="1">+TODAY()-I2846</f>
        <v>1785</v>
      </c>
      <c r="H2846" s="15">
        <v>7185004</v>
      </c>
      <c r="I2846" s="1">
        <v>44335</v>
      </c>
      <c r="J2846" s="1">
        <v>44365</v>
      </c>
      <c r="K2846" s="18" t="s">
        <v>989</v>
      </c>
      <c r="L2846" s="18" t="s">
        <v>18</v>
      </c>
      <c r="M2846" s="18" t="s">
        <v>19</v>
      </c>
      <c r="N2846" s="18" t="s">
        <v>20</v>
      </c>
      <c r="O2846">
        <v>30</v>
      </c>
    </row>
    <row r="2847" spans="1:15" x14ac:dyDescent="0.25">
      <c r="A2847" s="18" t="s">
        <v>7276</v>
      </c>
      <c r="B2847" s="18" t="s">
        <v>13</v>
      </c>
      <c r="C2847" s="18" t="s">
        <v>14</v>
      </c>
      <c r="D2847" s="18" t="s">
        <v>15</v>
      </c>
      <c r="E2847" s="18" t="s">
        <v>1008</v>
      </c>
      <c r="F2847" s="2">
        <f>+J2847-I2847</f>
        <v>30</v>
      </c>
      <c r="G2847" s="2">
        <f ca="1">+TODAY()-I2847</f>
        <v>1783</v>
      </c>
      <c r="H2847" s="15">
        <v>5085026</v>
      </c>
      <c r="I2847" s="1">
        <v>44337</v>
      </c>
      <c r="J2847" s="1">
        <v>44367</v>
      </c>
      <c r="K2847" s="18" t="s">
        <v>989</v>
      </c>
      <c r="L2847" s="18" t="s">
        <v>18</v>
      </c>
      <c r="M2847" s="18" t="s">
        <v>19</v>
      </c>
      <c r="N2847" s="18" t="s">
        <v>20</v>
      </c>
      <c r="O2847">
        <v>30</v>
      </c>
    </row>
    <row r="2848" spans="1:15" x14ac:dyDescent="0.25">
      <c r="A2848" s="18" t="s">
        <v>7276</v>
      </c>
      <c r="B2848" s="18" t="s">
        <v>13</v>
      </c>
      <c r="C2848" s="18" t="s">
        <v>14</v>
      </c>
      <c r="D2848" s="18" t="s">
        <v>15</v>
      </c>
      <c r="E2848" s="18" t="s">
        <v>1009</v>
      </c>
      <c r="F2848" s="2">
        <f>+J2848-I2848</f>
        <v>30</v>
      </c>
      <c r="G2848" s="2">
        <f ca="1">+TODAY()-I2848</f>
        <v>1783</v>
      </c>
      <c r="H2848" s="15">
        <v>110947</v>
      </c>
      <c r="I2848" s="1">
        <v>44337</v>
      </c>
      <c r="J2848" s="1">
        <v>44367</v>
      </c>
      <c r="K2848" s="18" t="s">
        <v>989</v>
      </c>
      <c r="L2848" s="18" t="s">
        <v>18</v>
      </c>
      <c r="M2848" s="18" t="s">
        <v>19</v>
      </c>
      <c r="N2848" s="18" t="s">
        <v>20</v>
      </c>
      <c r="O2848">
        <v>30</v>
      </c>
    </row>
    <row r="2849" spans="1:15" x14ac:dyDescent="0.25">
      <c r="A2849" s="18" t="s">
        <v>7276</v>
      </c>
      <c r="B2849" s="18" t="s">
        <v>13</v>
      </c>
      <c r="C2849" s="18" t="s">
        <v>14</v>
      </c>
      <c r="D2849" s="18" t="s">
        <v>15</v>
      </c>
      <c r="E2849" s="18" t="s">
        <v>1010</v>
      </c>
      <c r="F2849" s="2">
        <f>+J2849-I2849</f>
        <v>30</v>
      </c>
      <c r="G2849" s="2">
        <f ca="1">+TODAY()-I2849</f>
        <v>1771</v>
      </c>
      <c r="H2849" s="15">
        <v>7080807</v>
      </c>
      <c r="I2849" s="1">
        <v>44349</v>
      </c>
      <c r="J2849" s="1">
        <v>44379</v>
      </c>
      <c r="K2849" s="18" t="s">
        <v>989</v>
      </c>
      <c r="L2849" s="18" t="s">
        <v>18</v>
      </c>
      <c r="M2849" s="18" t="s">
        <v>19</v>
      </c>
      <c r="N2849" s="18" t="s">
        <v>20</v>
      </c>
      <c r="O2849">
        <v>30</v>
      </c>
    </row>
    <row r="2850" spans="1:15" x14ac:dyDescent="0.25">
      <c r="A2850" s="18" t="s">
        <v>7276</v>
      </c>
      <c r="B2850" s="18" t="s">
        <v>13</v>
      </c>
      <c r="C2850" s="18" t="s">
        <v>14</v>
      </c>
      <c r="D2850" s="18" t="s">
        <v>15</v>
      </c>
      <c r="E2850" s="18" t="s">
        <v>1011</v>
      </c>
      <c r="F2850" s="2">
        <f>+J2850-I2850</f>
        <v>30</v>
      </c>
      <c r="G2850" s="2">
        <f ca="1">+TODAY()-I2850</f>
        <v>1756</v>
      </c>
      <c r="H2850" s="15">
        <v>6455963</v>
      </c>
      <c r="I2850" s="1">
        <v>44364</v>
      </c>
      <c r="J2850" s="1">
        <v>44394</v>
      </c>
      <c r="K2850" s="18" t="s">
        <v>989</v>
      </c>
      <c r="L2850" s="18" t="s">
        <v>18</v>
      </c>
      <c r="M2850" s="18" t="s">
        <v>19</v>
      </c>
      <c r="N2850" s="18" t="s">
        <v>20</v>
      </c>
      <c r="O2850">
        <v>30</v>
      </c>
    </row>
    <row r="2851" spans="1:15" x14ac:dyDescent="0.25">
      <c r="A2851" s="18" t="s">
        <v>7276</v>
      </c>
      <c r="B2851" s="18" t="s">
        <v>13</v>
      </c>
      <c r="C2851" s="18" t="s">
        <v>14</v>
      </c>
      <c r="D2851" s="18" t="s">
        <v>15</v>
      </c>
      <c r="E2851" s="18" t="s">
        <v>1012</v>
      </c>
      <c r="F2851" s="2">
        <f>+J2851-I2851</f>
        <v>30</v>
      </c>
      <c r="G2851" s="2">
        <f ca="1">+TODAY()-I2851</f>
        <v>1729</v>
      </c>
      <c r="H2851" s="15">
        <v>8180251</v>
      </c>
      <c r="I2851" s="1">
        <v>44391</v>
      </c>
      <c r="J2851" s="1">
        <v>44421</v>
      </c>
      <c r="K2851" s="18" t="s">
        <v>989</v>
      </c>
      <c r="L2851" s="18" t="s">
        <v>18</v>
      </c>
      <c r="M2851" s="18" t="s">
        <v>19</v>
      </c>
      <c r="N2851" s="18" t="s">
        <v>20</v>
      </c>
      <c r="O2851">
        <v>30</v>
      </c>
    </row>
    <row r="2852" spans="1:15" x14ac:dyDescent="0.25">
      <c r="A2852" s="18" t="s">
        <v>7276</v>
      </c>
      <c r="B2852" s="18" t="s">
        <v>13</v>
      </c>
      <c r="C2852" s="18" t="s">
        <v>14</v>
      </c>
      <c r="D2852" s="18" t="s">
        <v>15</v>
      </c>
      <c r="E2852" s="18" t="s">
        <v>1013</v>
      </c>
      <c r="F2852" s="2">
        <f>+J2852-I2852</f>
        <v>30</v>
      </c>
      <c r="G2852" s="2">
        <f ca="1">+TODAY()-I2852</f>
        <v>1714</v>
      </c>
      <c r="H2852" s="15">
        <v>7947031</v>
      </c>
      <c r="I2852" s="1">
        <v>44406</v>
      </c>
      <c r="J2852" s="1">
        <v>44436</v>
      </c>
      <c r="K2852" s="18" t="s">
        <v>989</v>
      </c>
      <c r="L2852" s="18" t="s">
        <v>18</v>
      </c>
      <c r="M2852" s="18" t="s">
        <v>19</v>
      </c>
      <c r="N2852" s="18" t="s">
        <v>20</v>
      </c>
      <c r="O2852">
        <v>30</v>
      </c>
    </row>
    <row r="2853" spans="1:15" x14ac:dyDescent="0.25">
      <c r="A2853" s="18" t="s">
        <v>7276</v>
      </c>
      <c r="B2853" s="18" t="s">
        <v>13</v>
      </c>
      <c r="C2853" s="18" t="s">
        <v>14</v>
      </c>
      <c r="D2853" s="18" t="s">
        <v>15</v>
      </c>
      <c r="E2853" s="18" t="s">
        <v>1014</v>
      </c>
      <c r="F2853" s="2">
        <f>+J2853-I2853</f>
        <v>30</v>
      </c>
      <c r="G2853" s="2">
        <f ca="1">+TODAY()-I2853</f>
        <v>1699</v>
      </c>
      <c r="H2853" s="15">
        <v>6592574</v>
      </c>
      <c r="I2853" s="1">
        <v>44421</v>
      </c>
      <c r="J2853" s="1">
        <v>44451</v>
      </c>
      <c r="K2853" s="18" t="s">
        <v>989</v>
      </c>
      <c r="L2853" s="18" t="s">
        <v>18</v>
      </c>
      <c r="M2853" s="18" t="s">
        <v>19</v>
      </c>
      <c r="N2853" s="18" t="s">
        <v>20</v>
      </c>
      <c r="O2853">
        <v>30</v>
      </c>
    </row>
    <row r="2854" spans="1:15" x14ac:dyDescent="0.25">
      <c r="A2854" s="18" t="s">
        <v>7276</v>
      </c>
      <c r="B2854" s="18" t="s">
        <v>13</v>
      </c>
      <c r="C2854" s="18" t="s">
        <v>14</v>
      </c>
      <c r="D2854" s="18" t="s">
        <v>15</v>
      </c>
      <c r="E2854" s="18" t="s">
        <v>1015</v>
      </c>
      <c r="F2854" s="2">
        <f>+J2854-I2854</f>
        <v>30</v>
      </c>
      <c r="G2854" s="2">
        <f ca="1">+TODAY()-I2854</f>
        <v>1686</v>
      </c>
      <c r="H2854" s="15">
        <v>4762936</v>
      </c>
      <c r="I2854" s="1">
        <v>44434</v>
      </c>
      <c r="J2854" s="1">
        <v>44464</v>
      </c>
      <c r="K2854" s="18" t="s">
        <v>989</v>
      </c>
      <c r="L2854" s="18" t="s">
        <v>18</v>
      </c>
      <c r="M2854" s="18" t="s">
        <v>19</v>
      </c>
      <c r="N2854" s="18" t="s">
        <v>20</v>
      </c>
      <c r="O2854">
        <v>30</v>
      </c>
    </row>
    <row r="2855" spans="1:15" x14ac:dyDescent="0.25">
      <c r="A2855" s="18" t="s">
        <v>7276</v>
      </c>
      <c r="B2855" s="18" t="s">
        <v>13</v>
      </c>
      <c r="C2855" s="18" t="s">
        <v>14</v>
      </c>
      <c r="D2855" s="18" t="s">
        <v>15</v>
      </c>
      <c r="E2855" s="18" t="s">
        <v>1016</v>
      </c>
      <c r="F2855" s="2">
        <f>+J2855-I2855</f>
        <v>30</v>
      </c>
      <c r="G2855" s="2">
        <f ca="1">+TODAY()-I2855</f>
        <v>1680</v>
      </c>
      <c r="H2855" s="15">
        <v>1239360</v>
      </c>
      <c r="I2855" s="1">
        <v>44440</v>
      </c>
      <c r="J2855" s="1">
        <v>44470</v>
      </c>
      <c r="K2855" s="18" t="s">
        <v>989</v>
      </c>
      <c r="L2855" s="18" t="s">
        <v>18</v>
      </c>
      <c r="M2855" s="18" t="s">
        <v>19</v>
      </c>
      <c r="N2855" s="18" t="s">
        <v>20</v>
      </c>
      <c r="O2855">
        <v>30</v>
      </c>
    </row>
    <row r="2856" spans="1:15" x14ac:dyDescent="0.25">
      <c r="A2856" s="18" t="s">
        <v>7276</v>
      </c>
      <c r="B2856" s="18" t="s">
        <v>13</v>
      </c>
      <c r="C2856" s="18" t="s">
        <v>14</v>
      </c>
      <c r="D2856" s="18" t="s">
        <v>15</v>
      </c>
      <c r="E2856" s="18" t="s">
        <v>1017</v>
      </c>
      <c r="F2856" s="2">
        <f>+J2856-I2856</f>
        <v>30</v>
      </c>
      <c r="G2856" s="2">
        <f ca="1">+TODAY()-I2856</f>
        <v>1672</v>
      </c>
      <c r="H2856" s="15">
        <v>2751860</v>
      </c>
      <c r="I2856" s="1">
        <v>44448</v>
      </c>
      <c r="J2856" s="1">
        <v>44478</v>
      </c>
      <c r="K2856" s="18" t="s">
        <v>989</v>
      </c>
      <c r="L2856" s="18" t="s">
        <v>18</v>
      </c>
      <c r="M2856" s="18" t="s">
        <v>19</v>
      </c>
      <c r="N2856" s="18" t="s">
        <v>20</v>
      </c>
      <c r="O2856">
        <v>30</v>
      </c>
    </row>
    <row r="2857" spans="1:15" x14ac:dyDescent="0.25">
      <c r="A2857" s="18" t="s">
        <v>7276</v>
      </c>
      <c r="B2857" s="18" t="s">
        <v>13</v>
      </c>
      <c r="C2857" s="18" t="s">
        <v>14</v>
      </c>
      <c r="D2857" s="18" t="s">
        <v>15</v>
      </c>
      <c r="E2857" s="18" t="s">
        <v>1018</v>
      </c>
      <c r="F2857" s="2">
        <f>+J2857-I2857</f>
        <v>30</v>
      </c>
      <c r="G2857" s="2">
        <f ca="1">+TODAY()-I2857</f>
        <v>1672</v>
      </c>
      <c r="H2857" s="15">
        <v>5955600</v>
      </c>
      <c r="I2857" s="1">
        <v>44448</v>
      </c>
      <c r="J2857" s="1">
        <v>44478</v>
      </c>
      <c r="K2857" s="18" t="s">
        <v>989</v>
      </c>
      <c r="L2857" s="18" t="s">
        <v>18</v>
      </c>
      <c r="M2857" s="18" t="s">
        <v>19</v>
      </c>
      <c r="N2857" s="18" t="s">
        <v>20</v>
      </c>
      <c r="O2857">
        <v>30</v>
      </c>
    </row>
    <row r="2858" spans="1:15" x14ac:dyDescent="0.25">
      <c r="A2858" s="18" t="s">
        <v>7276</v>
      </c>
      <c r="B2858" s="18" t="s">
        <v>13</v>
      </c>
      <c r="C2858" s="18" t="s">
        <v>14</v>
      </c>
      <c r="D2858" s="18" t="s">
        <v>15</v>
      </c>
      <c r="E2858" s="18" t="s">
        <v>1019</v>
      </c>
      <c r="F2858" s="2">
        <f>+J2858-I2858</f>
        <v>30</v>
      </c>
      <c r="G2858" s="2">
        <f ca="1">+TODAY()-I2858</f>
        <v>1659</v>
      </c>
      <c r="H2858" s="15">
        <v>9486272</v>
      </c>
      <c r="I2858" s="1">
        <v>44461</v>
      </c>
      <c r="J2858" s="1">
        <v>44491</v>
      </c>
      <c r="K2858" s="18" t="s">
        <v>989</v>
      </c>
      <c r="L2858" s="18" t="s">
        <v>18</v>
      </c>
      <c r="M2858" s="18" t="s">
        <v>19</v>
      </c>
      <c r="N2858" s="18" t="s">
        <v>20</v>
      </c>
      <c r="O2858">
        <v>30</v>
      </c>
    </row>
    <row r="2859" spans="1:15" x14ac:dyDescent="0.25">
      <c r="A2859" s="18" t="s">
        <v>7276</v>
      </c>
      <c r="B2859" s="18" t="s">
        <v>13</v>
      </c>
      <c r="C2859" s="18" t="s">
        <v>14</v>
      </c>
      <c r="D2859" s="18" t="s">
        <v>15</v>
      </c>
      <c r="E2859" s="18" t="s">
        <v>1020</v>
      </c>
      <c r="F2859" s="2">
        <f>+J2859-I2859</f>
        <v>30</v>
      </c>
      <c r="G2859" s="2">
        <f ca="1">+TODAY()-I2859</f>
        <v>1644</v>
      </c>
      <c r="H2859" s="15">
        <v>7536576</v>
      </c>
      <c r="I2859" s="1">
        <v>44476</v>
      </c>
      <c r="J2859" s="1">
        <v>44506</v>
      </c>
      <c r="K2859" s="18" t="s">
        <v>989</v>
      </c>
      <c r="L2859" s="18" t="s">
        <v>18</v>
      </c>
      <c r="M2859" s="18" t="s">
        <v>19</v>
      </c>
      <c r="N2859" s="18" t="s">
        <v>20</v>
      </c>
      <c r="O2859">
        <v>30</v>
      </c>
    </row>
    <row r="2860" spans="1:15" x14ac:dyDescent="0.25">
      <c r="A2860" s="18" t="s">
        <v>7276</v>
      </c>
      <c r="B2860" s="18" t="s">
        <v>13</v>
      </c>
      <c r="C2860" s="18" t="s">
        <v>14</v>
      </c>
      <c r="D2860" s="18" t="s">
        <v>15</v>
      </c>
      <c r="E2860" s="18" t="s">
        <v>1021</v>
      </c>
      <c r="F2860" s="2">
        <f>+J2860-I2860</f>
        <v>30</v>
      </c>
      <c r="G2860" s="2">
        <f ca="1">+TODAY()-I2860</f>
        <v>1630</v>
      </c>
      <c r="H2860" s="15">
        <v>10218028</v>
      </c>
      <c r="I2860" s="1">
        <v>44490</v>
      </c>
      <c r="J2860" s="1">
        <v>44520</v>
      </c>
      <c r="K2860" s="18" t="s">
        <v>989</v>
      </c>
      <c r="L2860" s="18" t="s">
        <v>18</v>
      </c>
      <c r="M2860" s="18" t="s">
        <v>19</v>
      </c>
      <c r="N2860" s="18" t="s">
        <v>20</v>
      </c>
      <c r="O2860">
        <v>30</v>
      </c>
    </row>
    <row r="2861" spans="1:15" x14ac:dyDescent="0.25">
      <c r="A2861" s="18" t="s">
        <v>7276</v>
      </c>
      <c r="B2861" s="18" t="s">
        <v>13</v>
      </c>
      <c r="C2861" s="18" t="s">
        <v>14</v>
      </c>
      <c r="D2861" s="18" t="s">
        <v>15</v>
      </c>
      <c r="E2861" s="18" t="s">
        <v>1022</v>
      </c>
      <c r="F2861" s="2">
        <f>+J2861-I2861</f>
        <v>30</v>
      </c>
      <c r="G2861" s="2">
        <f ca="1">+TODAY()-I2861</f>
        <v>1601</v>
      </c>
      <c r="H2861" s="15">
        <v>8956687</v>
      </c>
      <c r="I2861" s="1">
        <v>44519</v>
      </c>
      <c r="J2861" s="1">
        <v>44549</v>
      </c>
      <c r="K2861" s="18" t="s">
        <v>989</v>
      </c>
      <c r="L2861" s="18" t="s">
        <v>18</v>
      </c>
      <c r="M2861" s="18" t="s">
        <v>19</v>
      </c>
      <c r="N2861" s="18" t="s">
        <v>20</v>
      </c>
      <c r="O2861">
        <v>30</v>
      </c>
    </row>
    <row r="2862" spans="1:15" x14ac:dyDescent="0.25">
      <c r="A2862" s="18" t="s">
        <v>7276</v>
      </c>
      <c r="B2862" s="18" t="s">
        <v>13</v>
      </c>
      <c r="C2862" s="18" t="s">
        <v>14</v>
      </c>
      <c r="D2862" s="18" t="s">
        <v>15</v>
      </c>
      <c r="E2862" s="18" t="s">
        <v>1023</v>
      </c>
      <c r="F2862" s="2">
        <f>+J2862-I2862</f>
        <v>30</v>
      </c>
      <c r="G2862" s="2">
        <f ca="1">+TODAY()-I2862</f>
        <v>1589</v>
      </c>
      <c r="H2862" s="15">
        <v>7125093</v>
      </c>
      <c r="I2862" s="1">
        <v>44531</v>
      </c>
      <c r="J2862" s="1">
        <v>44561</v>
      </c>
      <c r="K2862" s="18" t="s">
        <v>989</v>
      </c>
      <c r="L2862" s="18" t="s">
        <v>18</v>
      </c>
      <c r="M2862" s="18" t="s">
        <v>19</v>
      </c>
      <c r="N2862" s="18" t="s">
        <v>20</v>
      </c>
      <c r="O2862">
        <v>30</v>
      </c>
    </row>
    <row r="2863" spans="1:15" x14ac:dyDescent="0.25">
      <c r="A2863" s="18" t="s">
        <v>7276</v>
      </c>
      <c r="B2863" s="18" t="s">
        <v>13</v>
      </c>
      <c r="C2863" s="18" t="s">
        <v>14</v>
      </c>
      <c r="D2863" s="18" t="s">
        <v>15</v>
      </c>
      <c r="E2863" s="18" t="s">
        <v>1024</v>
      </c>
      <c r="F2863" s="2">
        <f>+J2863-I2863</f>
        <v>30</v>
      </c>
      <c r="G2863" s="2">
        <f ca="1">+TODAY()-I2863</f>
        <v>1574</v>
      </c>
      <c r="H2863" s="15">
        <v>6670394</v>
      </c>
      <c r="I2863" s="1">
        <v>44546</v>
      </c>
      <c r="J2863" s="1">
        <v>44576</v>
      </c>
      <c r="K2863" s="18" t="s">
        <v>989</v>
      </c>
      <c r="L2863" s="18" t="s">
        <v>18</v>
      </c>
      <c r="M2863" s="18" t="s">
        <v>19</v>
      </c>
      <c r="N2863" s="18" t="s">
        <v>20</v>
      </c>
      <c r="O2863">
        <v>30</v>
      </c>
    </row>
    <row r="2864" spans="1:15" x14ac:dyDescent="0.25">
      <c r="A2864" s="18" t="s">
        <v>7276</v>
      </c>
      <c r="B2864" s="18" t="s">
        <v>13</v>
      </c>
      <c r="C2864" s="18" t="s">
        <v>14</v>
      </c>
      <c r="D2864" s="18" t="s">
        <v>15</v>
      </c>
      <c r="E2864" s="18" t="s">
        <v>1025</v>
      </c>
      <c r="F2864" s="2">
        <f>+J2864-I2864</f>
        <v>30</v>
      </c>
      <c r="G2864" s="2">
        <f ca="1">+TODAY()-I2864</f>
        <v>1573</v>
      </c>
      <c r="H2864" s="15">
        <v>6120000</v>
      </c>
      <c r="I2864" s="1">
        <v>44547</v>
      </c>
      <c r="J2864" s="1">
        <v>44577</v>
      </c>
      <c r="K2864" s="18" t="s">
        <v>989</v>
      </c>
      <c r="L2864" s="18" t="s">
        <v>18</v>
      </c>
      <c r="M2864" s="18" t="s">
        <v>19</v>
      </c>
      <c r="N2864" s="18" t="s">
        <v>20</v>
      </c>
      <c r="O2864">
        <v>30</v>
      </c>
    </row>
    <row r="2865" spans="1:15" x14ac:dyDescent="0.25">
      <c r="A2865" s="18" t="s">
        <v>7276</v>
      </c>
      <c r="B2865" s="18" t="s">
        <v>13</v>
      </c>
      <c r="C2865" s="18" t="s">
        <v>14</v>
      </c>
      <c r="D2865" s="18" t="s">
        <v>15</v>
      </c>
      <c r="E2865" s="18" t="s">
        <v>1026</v>
      </c>
      <c r="F2865" s="2">
        <f>+J2865-I2865</f>
        <v>30</v>
      </c>
      <c r="G2865" s="2">
        <f ca="1">+TODAY()-I2865</f>
        <v>1545</v>
      </c>
      <c r="H2865" s="15">
        <v>7763970</v>
      </c>
      <c r="I2865" s="1">
        <v>44575</v>
      </c>
      <c r="J2865" s="1">
        <v>44605</v>
      </c>
      <c r="K2865" s="18" t="s">
        <v>989</v>
      </c>
      <c r="L2865" s="18" t="s">
        <v>18</v>
      </c>
      <c r="M2865" s="18" t="s">
        <v>19</v>
      </c>
      <c r="N2865" s="18" t="s">
        <v>20</v>
      </c>
      <c r="O2865">
        <v>30</v>
      </c>
    </row>
    <row r="2866" spans="1:15" x14ac:dyDescent="0.25">
      <c r="A2866" s="18" t="s">
        <v>7276</v>
      </c>
      <c r="B2866" s="18" t="s">
        <v>13</v>
      </c>
      <c r="C2866" s="18" t="s">
        <v>14</v>
      </c>
      <c r="D2866" s="18" t="s">
        <v>15</v>
      </c>
      <c r="E2866" s="18" t="s">
        <v>1027</v>
      </c>
      <c r="F2866" s="2">
        <f>+J2866-I2866</f>
        <v>30</v>
      </c>
      <c r="G2866" s="2">
        <f ca="1">+TODAY()-I2866</f>
        <v>1532</v>
      </c>
      <c r="H2866" s="15">
        <v>1848632</v>
      </c>
      <c r="I2866" s="1">
        <v>44588</v>
      </c>
      <c r="J2866" s="1">
        <v>44618</v>
      </c>
      <c r="K2866" s="18" t="s">
        <v>989</v>
      </c>
      <c r="L2866" s="18" t="s">
        <v>18</v>
      </c>
      <c r="M2866" s="18" t="s">
        <v>19</v>
      </c>
      <c r="N2866" s="18" t="s">
        <v>20</v>
      </c>
      <c r="O2866">
        <v>30</v>
      </c>
    </row>
    <row r="2867" spans="1:15" x14ac:dyDescent="0.25">
      <c r="A2867" s="18" t="s">
        <v>7276</v>
      </c>
      <c r="B2867" s="18" t="s">
        <v>13</v>
      </c>
      <c r="C2867" s="18" t="s">
        <v>14</v>
      </c>
      <c r="D2867" s="18" t="s">
        <v>15</v>
      </c>
      <c r="E2867" s="18" t="s">
        <v>1028</v>
      </c>
      <c r="F2867" s="2">
        <f>+J2867-I2867</f>
        <v>30</v>
      </c>
      <c r="G2867" s="2">
        <f ca="1">+TODAY()-I2867</f>
        <v>1519</v>
      </c>
      <c r="H2867" s="15">
        <v>2569329</v>
      </c>
      <c r="I2867" s="1">
        <v>44601</v>
      </c>
      <c r="J2867" s="1">
        <v>44631</v>
      </c>
      <c r="K2867" s="18" t="s">
        <v>989</v>
      </c>
      <c r="L2867" s="18" t="s">
        <v>18</v>
      </c>
      <c r="M2867" s="18" t="s">
        <v>19</v>
      </c>
      <c r="N2867" s="18" t="s">
        <v>20</v>
      </c>
      <c r="O2867">
        <v>30</v>
      </c>
    </row>
    <row r="2868" spans="1:15" x14ac:dyDescent="0.25">
      <c r="A2868" s="18" t="s">
        <v>7276</v>
      </c>
      <c r="B2868" s="18" t="s">
        <v>13</v>
      </c>
      <c r="C2868" s="18" t="s">
        <v>14</v>
      </c>
      <c r="D2868" s="18" t="s">
        <v>15</v>
      </c>
      <c r="E2868" s="18" t="s">
        <v>1029</v>
      </c>
      <c r="F2868" s="2">
        <f>+J2868-I2868</f>
        <v>30</v>
      </c>
      <c r="G2868" s="2">
        <f ca="1">+TODAY()-I2868</f>
        <v>1504</v>
      </c>
      <c r="H2868" s="15">
        <v>12620000</v>
      </c>
      <c r="I2868" s="1">
        <v>44616</v>
      </c>
      <c r="J2868" s="1">
        <v>44646</v>
      </c>
      <c r="K2868" s="18" t="s">
        <v>989</v>
      </c>
      <c r="L2868" s="18" t="s">
        <v>18</v>
      </c>
      <c r="M2868" s="18" t="s">
        <v>19</v>
      </c>
      <c r="N2868" s="18" t="s">
        <v>20</v>
      </c>
      <c r="O2868">
        <v>30</v>
      </c>
    </row>
    <row r="2869" spans="1:15" x14ac:dyDescent="0.25">
      <c r="A2869" s="18" t="s">
        <v>7276</v>
      </c>
      <c r="B2869" s="18" t="s">
        <v>13</v>
      </c>
      <c r="C2869" s="18" t="s">
        <v>14</v>
      </c>
      <c r="D2869" s="18" t="s">
        <v>15</v>
      </c>
      <c r="E2869" s="18" t="s">
        <v>1030</v>
      </c>
      <c r="F2869" s="2">
        <f>+J2869-I2869</f>
        <v>30</v>
      </c>
      <c r="G2869" s="2">
        <f ca="1">+TODAY()-I2869</f>
        <v>1503</v>
      </c>
      <c r="H2869" s="15">
        <v>2557729</v>
      </c>
      <c r="I2869" s="1">
        <v>44617</v>
      </c>
      <c r="J2869" s="1">
        <v>44647</v>
      </c>
      <c r="K2869" s="18" t="s">
        <v>989</v>
      </c>
      <c r="L2869" s="18" t="s">
        <v>18</v>
      </c>
      <c r="M2869" s="18" t="s">
        <v>19</v>
      </c>
      <c r="N2869" s="18" t="s">
        <v>20</v>
      </c>
      <c r="O2869">
        <v>30</v>
      </c>
    </row>
    <row r="2870" spans="1:15" x14ac:dyDescent="0.25">
      <c r="A2870" s="18" t="s">
        <v>7276</v>
      </c>
      <c r="B2870" s="18" t="s">
        <v>13</v>
      </c>
      <c r="C2870" s="18" t="s">
        <v>14</v>
      </c>
      <c r="D2870" s="18" t="s">
        <v>15</v>
      </c>
      <c r="E2870" s="18" t="s">
        <v>1031</v>
      </c>
      <c r="F2870" s="2">
        <f>+J2870-I2870</f>
        <v>30</v>
      </c>
      <c r="G2870" s="2">
        <f ca="1">+TODAY()-I2870</f>
        <v>1490</v>
      </c>
      <c r="H2870" s="15">
        <v>10738639</v>
      </c>
      <c r="I2870" s="1">
        <v>44630</v>
      </c>
      <c r="J2870" s="1">
        <v>44660</v>
      </c>
      <c r="K2870" s="18" t="s">
        <v>989</v>
      </c>
      <c r="L2870" s="18" t="s">
        <v>18</v>
      </c>
      <c r="M2870" s="18" t="s">
        <v>19</v>
      </c>
      <c r="N2870" s="18" t="s">
        <v>20</v>
      </c>
      <c r="O2870">
        <v>30</v>
      </c>
    </row>
    <row r="2871" spans="1:15" x14ac:dyDescent="0.25">
      <c r="A2871" s="18" t="s">
        <v>7276</v>
      </c>
      <c r="B2871" s="18" t="s">
        <v>13</v>
      </c>
      <c r="C2871" s="18" t="s">
        <v>14</v>
      </c>
      <c r="D2871" s="18" t="s">
        <v>15</v>
      </c>
      <c r="E2871" s="18" t="s">
        <v>1032</v>
      </c>
      <c r="F2871" s="2">
        <f>+J2871-I2871</f>
        <v>30</v>
      </c>
      <c r="G2871" s="2">
        <f ca="1">+TODAY()-I2871</f>
        <v>1476</v>
      </c>
      <c r="H2871" s="15">
        <v>3986995</v>
      </c>
      <c r="I2871" s="1">
        <v>44644</v>
      </c>
      <c r="J2871" s="1">
        <v>44674</v>
      </c>
      <c r="K2871" s="18" t="s">
        <v>989</v>
      </c>
      <c r="L2871" s="18" t="s">
        <v>18</v>
      </c>
      <c r="M2871" s="18" t="s">
        <v>19</v>
      </c>
      <c r="N2871" s="18" t="s">
        <v>20</v>
      </c>
      <c r="O2871">
        <v>30</v>
      </c>
    </row>
    <row r="2872" spans="1:15" x14ac:dyDescent="0.25">
      <c r="A2872" s="18" t="s">
        <v>7276</v>
      </c>
      <c r="B2872" s="18" t="s">
        <v>13</v>
      </c>
      <c r="C2872" s="18" t="s">
        <v>14</v>
      </c>
      <c r="D2872" s="18" t="s">
        <v>15</v>
      </c>
      <c r="E2872" s="18" t="s">
        <v>1033</v>
      </c>
      <c r="F2872" s="2">
        <f>+J2872-I2872</f>
        <v>30</v>
      </c>
      <c r="G2872" s="2">
        <f ca="1">+TODAY()-I2872</f>
        <v>1463</v>
      </c>
      <c r="H2872" s="15">
        <v>1207476</v>
      </c>
      <c r="I2872" s="1">
        <v>44657</v>
      </c>
      <c r="J2872" s="1">
        <v>44687</v>
      </c>
      <c r="K2872" s="18" t="s">
        <v>989</v>
      </c>
      <c r="L2872" s="18" t="s">
        <v>18</v>
      </c>
      <c r="M2872" s="18" t="s">
        <v>19</v>
      </c>
      <c r="N2872" s="18" t="s">
        <v>20</v>
      </c>
      <c r="O2872">
        <v>30</v>
      </c>
    </row>
    <row r="2873" spans="1:15" x14ac:dyDescent="0.25">
      <c r="A2873" s="18" t="s">
        <v>7276</v>
      </c>
      <c r="B2873" s="18" t="s">
        <v>13</v>
      </c>
      <c r="C2873" s="18" t="s">
        <v>14</v>
      </c>
      <c r="D2873" s="18" t="s">
        <v>15</v>
      </c>
      <c r="E2873" s="18" t="s">
        <v>1034</v>
      </c>
      <c r="F2873" s="2">
        <f>+J2873-I2873</f>
        <v>30</v>
      </c>
      <c r="G2873" s="2">
        <f ca="1">+TODAY()-I2873</f>
        <v>1435</v>
      </c>
      <c r="H2873" s="15">
        <v>5889762</v>
      </c>
      <c r="I2873" s="1">
        <v>44685</v>
      </c>
      <c r="J2873" s="1">
        <v>44715</v>
      </c>
      <c r="K2873" s="18" t="s">
        <v>989</v>
      </c>
      <c r="L2873" s="18" t="s">
        <v>18</v>
      </c>
      <c r="M2873" s="18" t="s">
        <v>19</v>
      </c>
      <c r="N2873" s="18" t="s">
        <v>20</v>
      </c>
      <c r="O2873">
        <v>30</v>
      </c>
    </row>
    <row r="2874" spans="1:15" x14ac:dyDescent="0.25">
      <c r="A2874" s="18" t="s">
        <v>7276</v>
      </c>
      <c r="B2874" s="18" t="s">
        <v>13</v>
      </c>
      <c r="C2874" s="18" t="s">
        <v>14</v>
      </c>
      <c r="D2874" s="18" t="s">
        <v>15</v>
      </c>
      <c r="E2874" s="18" t="s">
        <v>1035</v>
      </c>
      <c r="F2874" s="2">
        <f>+J2874-I2874</f>
        <v>30</v>
      </c>
      <c r="G2874" s="2">
        <f ca="1">+TODAY()-I2874</f>
        <v>1419</v>
      </c>
      <c r="H2874" s="15">
        <v>1812484</v>
      </c>
      <c r="I2874" s="1">
        <v>44701</v>
      </c>
      <c r="J2874" s="1">
        <v>44731</v>
      </c>
      <c r="K2874" s="18" t="s">
        <v>989</v>
      </c>
      <c r="L2874" s="18" t="s">
        <v>18</v>
      </c>
      <c r="M2874" s="18" t="s">
        <v>19</v>
      </c>
      <c r="N2874" s="18" t="s">
        <v>20</v>
      </c>
      <c r="O2874">
        <v>30</v>
      </c>
    </row>
    <row r="2875" spans="1:15" x14ac:dyDescent="0.25">
      <c r="A2875" s="18" t="s">
        <v>7276</v>
      </c>
      <c r="B2875" s="18" t="s">
        <v>13</v>
      </c>
      <c r="C2875" s="18" t="s">
        <v>14</v>
      </c>
      <c r="D2875" s="18" t="s">
        <v>15</v>
      </c>
      <c r="E2875" s="18" t="s">
        <v>1036</v>
      </c>
      <c r="F2875" s="2">
        <f>+J2875-I2875</f>
        <v>30</v>
      </c>
      <c r="G2875" s="2">
        <f ca="1">+TODAY()-I2875</f>
        <v>1406</v>
      </c>
      <c r="H2875" s="15">
        <v>843000</v>
      </c>
      <c r="I2875" s="1">
        <v>44714</v>
      </c>
      <c r="J2875" s="1">
        <v>44744</v>
      </c>
      <c r="K2875" s="18" t="s">
        <v>989</v>
      </c>
      <c r="L2875" s="18" t="s">
        <v>18</v>
      </c>
      <c r="M2875" s="18" t="s">
        <v>19</v>
      </c>
      <c r="N2875" s="18" t="s">
        <v>20</v>
      </c>
      <c r="O2875">
        <v>30</v>
      </c>
    </row>
    <row r="2876" spans="1:15" x14ac:dyDescent="0.25">
      <c r="A2876" s="18" t="s">
        <v>7276</v>
      </c>
      <c r="B2876" s="18" t="s">
        <v>13</v>
      </c>
      <c r="C2876" s="18" t="s">
        <v>14</v>
      </c>
      <c r="D2876" s="18" t="s">
        <v>15</v>
      </c>
      <c r="E2876" s="18" t="s">
        <v>1037</v>
      </c>
      <c r="F2876" s="2">
        <f>+J2876-I2876</f>
        <v>30</v>
      </c>
      <c r="G2876" s="2">
        <f ca="1">+TODAY()-I2876</f>
        <v>1391</v>
      </c>
      <c r="H2876" s="15">
        <v>811000</v>
      </c>
      <c r="I2876" s="1">
        <v>44729</v>
      </c>
      <c r="J2876" s="1">
        <v>44759</v>
      </c>
      <c r="K2876" s="18" t="s">
        <v>989</v>
      </c>
      <c r="L2876" s="18" t="s">
        <v>18</v>
      </c>
      <c r="M2876" s="18" t="s">
        <v>19</v>
      </c>
      <c r="N2876" s="18" t="s">
        <v>20</v>
      </c>
      <c r="O2876">
        <v>30</v>
      </c>
    </row>
    <row r="2877" spans="1:15" x14ac:dyDescent="0.25">
      <c r="A2877" s="18" t="s">
        <v>7276</v>
      </c>
      <c r="B2877" s="18" t="s">
        <v>13</v>
      </c>
      <c r="C2877" s="18" t="s">
        <v>14</v>
      </c>
      <c r="D2877" s="18" t="s">
        <v>15</v>
      </c>
      <c r="E2877" s="18" t="s">
        <v>1038</v>
      </c>
      <c r="F2877" s="2">
        <f>+J2877-I2877</f>
        <v>30</v>
      </c>
      <c r="G2877" s="2">
        <f ca="1">+TODAY()-I2877</f>
        <v>1385</v>
      </c>
      <c r="H2877" s="15">
        <v>8280006</v>
      </c>
      <c r="I2877" s="1">
        <v>44735</v>
      </c>
      <c r="J2877" s="1">
        <v>44765</v>
      </c>
      <c r="K2877" s="18" t="s">
        <v>989</v>
      </c>
      <c r="L2877" s="18" t="s">
        <v>18</v>
      </c>
      <c r="M2877" s="18" t="s">
        <v>19</v>
      </c>
      <c r="N2877" s="18" t="s">
        <v>20</v>
      </c>
      <c r="O2877">
        <v>30</v>
      </c>
    </row>
    <row r="2878" spans="1:15" x14ac:dyDescent="0.25">
      <c r="A2878" s="18" t="s">
        <v>7276</v>
      </c>
      <c r="B2878" s="18" t="s">
        <v>13</v>
      </c>
      <c r="C2878" s="18" t="s">
        <v>14</v>
      </c>
      <c r="D2878" s="18" t="s">
        <v>15</v>
      </c>
      <c r="E2878" s="18" t="s">
        <v>1039</v>
      </c>
      <c r="F2878" s="2">
        <f>+J2878-I2878</f>
        <v>30</v>
      </c>
      <c r="G2878" s="2">
        <f ca="1">+TODAY()-I2878</f>
        <v>1378</v>
      </c>
      <c r="H2878" s="15">
        <v>341153</v>
      </c>
      <c r="I2878" s="1">
        <v>44742</v>
      </c>
      <c r="J2878" s="1">
        <v>44772</v>
      </c>
      <c r="K2878" s="18" t="s">
        <v>989</v>
      </c>
      <c r="L2878" s="18" t="s">
        <v>18</v>
      </c>
      <c r="M2878" s="18" t="s">
        <v>19</v>
      </c>
      <c r="N2878" s="18" t="s">
        <v>20</v>
      </c>
      <c r="O2878">
        <v>30</v>
      </c>
    </row>
    <row r="2879" spans="1:15" x14ac:dyDescent="0.25">
      <c r="A2879" s="18" t="s">
        <v>7276</v>
      </c>
      <c r="B2879" s="18" t="s">
        <v>13</v>
      </c>
      <c r="C2879" s="18" t="s">
        <v>14</v>
      </c>
      <c r="D2879" s="18" t="s">
        <v>15</v>
      </c>
      <c r="E2879" s="18" t="s">
        <v>1040</v>
      </c>
      <c r="F2879" s="2">
        <f>+J2879-I2879</f>
        <v>30</v>
      </c>
      <c r="G2879" s="2">
        <f ca="1">+TODAY()-I2879</f>
        <v>1378</v>
      </c>
      <c r="H2879" s="15">
        <v>6303804</v>
      </c>
      <c r="I2879" s="1">
        <v>44742</v>
      </c>
      <c r="J2879" s="1">
        <v>44772</v>
      </c>
      <c r="K2879" s="18" t="s">
        <v>989</v>
      </c>
      <c r="L2879" s="18" t="s">
        <v>18</v>
      </c>
      <c r="M2879" s="18" t="s">
        <v>19</v>
      </c>
      <c r="N2879" s="18" t="s">
        <v>20</v>
      </c>
      <c r="O2879">
        <v>30</v>
      </c>
    </row>
    <row r="2880" spans="1:15" x14ac:dyDescent="0.25">
      <c r="A2880" s="18" t="s">
        <v>7276</v>
      </c>
      <c r="B2880" s="18" t="s">
        <v>13</v>
      </c>
      <c r="C2880" s="18" t="s">
        <v>14</v>
      </c>
      <c r="D2880" s="18" t="s">
        <v>15</v>
      </c>
      <c r="E2880" s="18" t="s">
        <v>1041</v>
      </c>
      <c r="F2880" s="2">
        <f>+J2880-I2880</f>
        <v>30</v>
      </c>
      <c r="G2880" s="2">
        <f ca="1">+TODAY()-I2880</f>
        <v>1373</v>
      </c>
      <c r="H2880" s="15">
        <v>4867003</v>
      </c>
      <c r="I2880" s="1">
        <v>44747</v>
      </c>
      <c r="J2880" s="1">
        <v>44777</v>
      </c>
      <c r="K2880" s="18" t="s">
        <v>989</v>
      </c>
      <c r="L2880" s="18" t="s">
        <v>18</v>
      </c>
      <c r="M2880" s="18" t="s">
        <v>19</v>
      </c>
      <c r="N2880" s="18" t="s">
        <v>20</v>
      </c>
      <c r="O2880">
        <v>30</v>
      </c>
    </row>
    <row r="2881" spans="1:15" x14ac:dyDescent="0.25">
      <c r="A2881" s="18" t="s">
        <v>7276</v>
      </c>
      <c r="B2881" s="18" t="s">
        <v>13</v>
      </c>
      <c r="C2881" s="18" t="s">
        <v>14</v>
      </c>
      <c r="D2881" s="18" t="s">
        <v>15</v>
      </c>
      <c r="E2881" s="18" t="s">
        <v>1042</v>
      </c>
      <c r="F2881" s="2">
        <f>+J2881-I2881</f>
        <v>30</v>
      </c>
      <c r="G2881" s="2">
        <f ca="1">+TODAY()-I2881</f>
        <v>1363</v>
      </c>
      <c r="H2881" s="15">
        <v>2672273</v>
      </c>
      <c r="I2881" s="1">
        <v>44757</v>
      </c>
      <c r="J2881" s="1">
        <v>44787</v>
      </c>
      <c r="K2881" s="18" t="s">
        <v>989</v>
      </c>
      <c r="L2881" s="18" t="s">
        <v>18</v>
      </c>
      <c r="M2881" s="18" t="s">
        <v>19</v>
      </c>
      <c r="N2881" s="18" t="s">
        <v>20</v>
      </c>
      <c r="O2881">
        <v>30</v>
      </c>
    </row>
    <row r="2882" spans="1:15" x14ac:dyDescent="0.25">
      <c r="A2882" s="18" t="s">
        <v>7276</v>
      </c>
      <c r="B2882" s="18" t="s">
        <v>13</v>
      </c>
      <c r="C2882" s="18" t="s">
        <v>14</v>
      </c>
      <c r="D2882" s="18" t="s">
        <v>15</v>
      </c>
      <c r="E2882" s="18" t="s">
        <v>1043</v>
      </c>
      <c r="F2882" s="2">
        <f>+J2882-I2882</f>
        <v>15</v>
      </c>
      <c r="G2882" s="2">
        <f ca="1">+TODAY()-I2882</f>
        <v>1363</v>
      </c>
      <c r="H2882" s="15">
        <v>1318496</v>
      </c>
      <c r="I2882" s="1">
        <v>44757</v>
      </c>
      <c r="J2882" s="1">
        <v>44772</v>
      </c>
      <c r="K2882" s="18" t="s">
        <v>989</v>
      </c>
      <c r="L2882" s="18" t="s">
        <v>18</v>
      </c>
      <c r="M2882" s="18" t="s">
        <v>19</v>
      </c>
      <c r="N2882" s="18" t="s">
        <v>20</v>
      </c>
      <c r="O2882">
        <v>30</v>
      </c>
    </row>
    <row r="2883" spans="1:15" x14ac:dyDescent="0.25">
      <c r="A2883" s="18" t="s">
        <v>7276</v>
      </c>
      <c r="B2883" s="18" t="s">
        <v>13</v>
      </c>
      <c r="C2883" s="18" t="s">
        <v>14</v>
      </c>
      <c r="D2883" s="18" t="s">
        <v>15</v>
      </c>
      <c r="E2883" s="18" t="s">
        <v>1044</v>
      </c>
      <c r="F2883" s="2">
        <f>+J2883-I2883</f>
        <v>30</v>
      </c>
      <c r="G2883" s="2">
        <f ca="1">+TODAY()-I2883</f>
        <v>1350</v>
      </c>
      <c r="H2883" s="15">
        <v>1293000</v>
      </c>
      <c r="I2883" s="1">
        <v>44770</v>
      </c>
      <c r="J2883" s="1">
        <v>44800</v>
      </c>
      <c r="K2883" s="18" t="s">
        <v>989</v>
      </c>
      <c r="L2883" s="18" t="s">
        <v>18</v>
      </c>
      <c r="M2883" s="18" t="s">
        <v>19</v>
      </c>
      <c r="N2883" s="18" t="s">
        <v>20</v>
      </c>
      <c r="O2883">
        <v>30</v>
      </c>
    </row>
    <row r="2884" spans="1:15" x14ac:dyDescent="0.25">
      <c r="A2884" s="18" t="s">
        <v>7276</v>
      </c>
      <c r="B2884" s="18" t="s">
        <v>13</v>
      </c>
      <c r="C2884" s="18" t="s">
        <v>14</v>
      </c>
      <c r="D2884" s="18" t="s">
        <v>15</v>
      </c>
      <c r="E2884" s="18" t="s">
        <v>1045</v>
      </c>
      <c r="F2884" s="2">
        <f>+J2884-I2884</f>
        <v>30</v>
      </c>
      <c r="G2884" s="2">
        <f ca="1">+TODAY()-I2884</f>
        <v>1349</v>
      </c>
      <c r="H2884" s="15">
        <v>13093000</v>
      </c>
      <c r="I2884" s="1">
        <v>44771</v>
      </c>
      <c r="J2884" s="1">
        <v>44801</v>
      </c>
      <c r="K2884" s="18" t="s">
        <v>989</v>
      </c>
      <c r="L2884" s="18" t="s">
        <v>18</v>
      </c>
      <c r="M2884" s="18" t="s">
        <v>19</v>
      </c>
      <c r="N2884" s="18" t="s">
        <v>20</v>
      </c>
      <c r="O2884">
        <v>30</v>
      </c>
    </row>
    <row r="2885" spans="1:15" x14ac:dyDescent="0.25">
      <c r="A2885" s="18" t="s">
        <v>7276</v>
      </c>
      <c r="B2885" s="18" t="s">
        <v>13</v>
      </c>
      <c r="C2885" s="18" t="s">
        <v>14</v>
      </c>
      <c r="D2885" s="18" t="s">
        <v>15</v>
      </c>
      <c r="E2885" s="18" t="s">
        <v>1046</v>
      </c>
      <c r="F2885" s="2">
        <f>+J2885-I2885</f>
        <v>30</v>
      </c>
      <c r="G2885" s="2">
        <f ca="1">+TODAY()-I2885</f>
        <v>1335</v>
      </c>
      <c r="H2885" s="15">
        <v>13093000</v>
      </c>
      <c r="I2885" s="1">
        <v>44785</v>
      </c>
      <c r="J2885" s="1">
        <v>44815</v>
      </c>
      <c r="K2885" s="18" t="s">
        <v>989</v>
      </c>
      <c r="L2885" s="18" t="s">
        <v>18</v>
      </c>
      <c r="M2885" s="18" t="s">
        <v>19</v>
      </c>
      <c r="N2885" s="18" t="s">
        <v>20</v>
      </c>
      <c r="O2885">
        <v>30</v>
      </c>
    </row>
    <row r="2886" spans="1:15" x14ac:dyDescent="0.25">
      <c r="A2886" s="18" t="s">
        <v>7276</v>
      </c>
      <c r="B2886" s="18" t="s">
        <v>13</v>
      </c>
      <c r="C2886" s="18" t="s">
        <v>14</v>
      </c>
      <c r="D2886" s="18" t="s">
        <v>15</v>
      </c>
      <c r="E2886" s="18" t="s">
        <v>1047</v>
      </c>
      <c r="F2886" s="2">
        <f>+J2886-I2886</f>
        <v>30</v>
      </c>
      <c r="G2886" s="2">
        <f ca="1">+TODAY()-I2886</f>
        <v>1335</v>
      </c>
      <c r="H2886" s="15">
        <v>530400</v>
      </c>
      <c r="I2886" s="1">
        <v>44785</v>
      </c>
      <c r="J2886" s="1">
        <v>44815</v>
      </c>
      <c r="K2886" s="18" t="s">
        <v>989</v>
      </c>
      <c r="L2886" s="18" t="s">
        <v>18</v>
      </c>
      <c r="M2886" s="18" t="s">
        <v>19</v>
      </c>
      <c r="N2886" s="18" t="s">
        <v>20</v>
      </c>
      <c r="O2886">
        <v>30</v>
      </c>
    </row>
    <row r="2887" spans="1:15" x14ac:dyDescent="0.25">
      <c r="A2887" s="18" t="s">
        <v>7276</v>
      </c>
      <c r="B2887" s="18" t="s">
        <v>13</v>
      </c>
      <c r="C2887" s="18" t="s">
        <v>14</v>
      </c>
      <c r="D2887" s="18" t="s">
        <v>15</v>
      </c>
      <c r="E2887" s="18" t="s">
        <v>1048</v>
      </c>
      <c r="F2887" s="2">
        <f>+J2887-I2887</f>
        <v>30</v>
      </c>
      <c r="G2887" s="2">
        <f ca="1">+TODAY()-I2887</f>
        <v>1307</v>
      </c>
      <c r="H2887" s="15">
        <v>757498</v>
      </c>
      <c r="I2887" s="1">
        <v>44813</v>
      </c>
      <c r="J2887" s="1">
        <v>44843</v>
      </c>
      <c r="K2887" s="18" t="s">
        <v>989</v>
      </c>
      <c r="L2887" s="18" t="s">
        <v>18</v>
      </c>
      <c r="M2887" s="18" t="s">
        <v>19</v>
      </c>
      <c r="N2887" s="18" t="s">
        <v>20</v>
      </c>
      <c r="O2887">
        <v>30</v>
      </c>
    </row>
    <row r="2888" spans="1:15" x14ac:dyDescent="0.25">
      <c r="A2888" s="18" t="s">
        <v>7276</v>
      </c>
      <c r="B2888" s="18" t="s">
        <v>13</v>
      </c>
      <c r="C2888" s="18" t="s">
        <v>14</v>
      </c>
      <c r="D2888" s="18" t="s">
        <v>15</v>
      </c>
      <c r="E2888" s="18" t="s">
        <v>1049</v>
      </c>
      <c r="F2888" s="2">
        <f>+J2888-I2888</f>
        <v>30</v>
      </c>
      <c r="G2888" s="2">
        <f ca="1">+TODAY()-I2888</f>
        <v>1295</v>
      </c>
      <c r="H2888" s="15">
        <v>20298000</v>
      </c>
      <c r="I2888" s="1">
        <v>44825</v>
      </c>
      <c r="J2888" s="1">
        <v>44855</v>
      </c>
      <c r="K2888" s="18" t="s">
        <v>989</v>
      </c>
      <c r="L2888" s="18" t="s">
        <v>18</v>
      </c>
      <c r="M2888" s="18" t="s">
        <v>19</v>
      </c>
      <c r="N2888" s="18" t="s">
        <v>20</v>
      </c>
      <c r="O2888">
        <v>30</v>
      </c>
    </row>
    <row r="2889" spans="1:15" x14ac:dyDescent="0.25">
      <c r="A2889" s="18" t="s">
        <v>7276</v>
      </c>
      <c r="B2889" s="18" t="s">
        <v>13</v>
      </c>
      <c r="C2889" s="18" t="s">
        <v>14</v>
      </c>
      <c r="D2889" s="18" t="s">
        <v>15</v>
      </c>
      <c r="E2889" s="18" t="s">
        <v>1050</v>
      </c>
      <c r="F2889" s="2">
        <f>+J2889-I2889</f>
        <v>30</v>
      </c>
      <c r="G2889" s="2">
        <f ca="1">+TODAY()-I2889</f>
        <v>1295</v>
      </c>
      <c r="H2889" s="15">
        <v>1750091</v>
      </c>
      <c r="I2889" s="1">
        <v>44825</v>
      </c>
      <c r="J2889" s="1">
        <v>44855</v>
      </c>
      <c r="K2889" s="18" t="s">
        <v>989</v>
      </c>
      <c r="L2889" s="18" t="s">
        <v>18</v>
      </c>
      <c r="M2889" s="18" t="s">
        <v>19</v>
      </c>
      <c r="N2889" s="18" t="s">
        <v>20</v>
      </c>
      <c r="O2889">
        <v>30</v>
      </c>
    </row>
    <row r="2890" spans="1:15" x14ac:dyDescent="0.25">
      <c r="A2890" s="18" t="s">
        <v>7276</v>
      </c>
      <c r="B2890" s="18" t="s">
        <v>13</v>
      </c>
      <c r="C2890" s="18" t="s">
        <v>14</v>
      </c>
      <c r="D2890" s="18" t="s">
        <v>15</v>
      </c>
      <c r="E2890" s="18" t="s">
        <v>1051</v>
      </c>
      <c r="F2890" s="2">
        <f>+J2890-I2890</f>
        <v>30</v>
      </c>
      <c r="G2890" s="2">
        <f ca="1">+TODAY()-I2890</f>
        <v>1280</v>
      </c>
      <c r="H2890" s="15">
        <v>2301681</v>
      </c>
      <c r="I2890" s="1">
        <v>44840</v>
      </c>
      <c r="J2890" s="1">
        <v>44870</v>
      </c>
      <c r="K2890" s="18" t="s">
        <v>989</v>
      </c>
      <c r="L2890" s="18" t="s">
        <v>18</v>
      </c>
      <c r="M2890" s="18" t="s">
        <v>19</v>
      </c>
      <c r="N2890" s="18" t="s">
        <v>20</v>
      </c>
      <c r="O2890">
        <v>30</v>
      </c>
    </row>
    <row r="2891" spans="1:15" x14ac:dyDescent="0.25">
      <c r="A2891" s="18" t="s">
        <v>7276</v>
      </c>
      <c r="B2891" s="18" t="s">
        <v>13</v>
      </c>
      <c r="C2891" s="18" t="s">
        <v>14</v>
      </c>
      <c r="D2891" s="18" t="s">
        <v>15</v>
      </c>
      <c r="E2891" s="18" t="s">
        <v>1052</v>
      </c>
      <c r="F2891" s="2">
        <f>+J2891-I2891</f>
        <v>30</v>
      </c>
      <c r="G2891" s="2">
        <f ca="1">+TODAY()-I2891</f>
        <v>1266</v>
      </c>
      <c r="H2891" s="15">
        <v>1380475</v>
      </c>
      <c r="I2891" s="1">
        <v>44854</v>
      </c>
      <c r="J2891" s="1">
        <v>44884</v>
      </c>
      <c r="K2891" s="18" t="s">
        <v>989</v>
      </c>
      <c r="L2891" s="18" t="s">
        <v>18</v>
      </c>
      <c r="M2891" s="18" t="s">
        <v>19</v>
      </c>
      <c r="N2891" s="18" t="s">
        <v>20</v>
      </c>
      <c r="O2891">
        <v>30</v>
      </c>
    </row>
    <row r="2892" spans="1:15" x14ac:dyDescent="0.25">
      <c r="A2892" s="18" t="s">
        <v>7276</v>
      </c>
      <c r="B2892" s="18" t="s">
        <v>13</v>
      </c>
      <c r="C2892" s="18" t="s">
        <v>14</v>
      </c>
      <c r="D2892" s="18" t="s">
        <v>15</v>
      </c>
      <c r="E2892" s="18" t="s">
        <v>1053</v>
      </c>
      <c r="F2892" s="2">
        <f>+J2892-I2892</f>
        <v>30</v>
      </c>
      <c r="G2892" s="2">
        <f ca="1">+TODAY()-I2892</f>
        <v>1252</v>
      </c>
      <c r="H2892" s="15">
        <v>4461655</v>
      </c>
      <c r="I2892" s="1">
        <v>44868</v>
      </c>
      <c r="J2892" s="1">
        <v>44898</v>
      </c>
      <c r="K2892" s="18" t="s">
        <v>989</v>
      </c>
      <c r="L2892" s="18" t="s">
        <v>18</v>
      </c>
      <c r="M2892" s="18" t="s">
        <v>19</v>
      </c>
      <c r="N2892" s="18" t="s">
        <v>20</v>
      </c>
      <c r="O2892">
        <v>30</v>
      </c>
    </row>
    <row r="2893" spans="1:15" x14ac:dyDescent="0.25">
      <c r="A2893" s="18" t="s">
        <v>7276</v>
      </c>
      <c r="B2893" s="18" t="s">
        <v>13</v>
      </c>
      <c r="C2893" s="18" t="s">
        <v>14</v>
      </c>
      <c r="D2893" s="18" t="s">
        <v>15</v>
      </c>
      <c r="E2893" s="18" t="s">
        <v>1054</v>
      </c>
      <c r="F2893" s="2">
        <f>+J2893-I2893</f>
        <v>30</v>
      </c>
      <c r="G2893" s="2">
        <f ca="1">+TODAY()-I2893</f>
        <v>1238</v>
      </c>
      <c r="H2893" s="15">
        <v>12400000</v>
      </c>
      <c r="I2893" s="1">
        <v>44882</v>
      </c>
      <c r="J2893" s="1">
        <v>44912</v>
      </c>
      <c r="K2893" s="18" t="s">
        <v>989</v>
      </c>
      <c r="L2893" s="18" t="s">
        <v>18</v>
      </c>
      <c r="M2893" s="18" t="s">
        <v>19</v>
      </c>
      <c r="N2893" s="18" t="s">
        <v>20</v>
      </c>
      <c r="O2893">
        <v>30</v>
      </c>
    </row>
    <row r="2894" spans="1:15" x14ac:dyDescent="0.25">
      <c r="A2894" s="18" t="s">
        <v>7276</v>
      </c>
      <c r="B2894" s="18" t="s">
        <v>13</v>
      </c>
      <c r="C2894" s="18" t="s">
        <v>14</v>
      </c>
      <c r="D2894" s="18" t="s">
        <v>15</v>
      </c>
      <c r="E2894" s="18" t="s">
        <v>1055</v>
      </c>
      <c r="F2894" s="2">
        <f>+J2894-I2894</f>
        <v>30</v>
      </c>
      <c r="G2894" s="2">
        <f ca="1">+TODAY()-I2894</f>
        <v>1234</v>
      </c>
      <c r="H2894" s="15">
        <v>1980000</v>
      </c>
      <c r="I2894" s="1">
        <v>44886</v>
      </c>
      <c r="J2894" s="1">
        <v>44916</v>
      </c>
      <c r="K2894" s="18" t="s">
        <v>989</v>
      </c>
      <c r="L2894" s="18" t="s">
        <v>18</v>
      </c>
      <c r="M2894" s="18" t="s">
        <v>19</v>
      </c>
      <c r="N2894" s="18" t="s">
        <v>20</v>
      </c>
      <c r="O2894">
        <v>30</v>
      </c>
    </row>
    <row r="2895" spans="1:15" x14ac:dyDescent="0.25">
      <c r="A2895" s="18" t="s">
        <v>7276</v>
      </c>
      <c r="B2895" s="18" t="s">
        <v>13</v>
      </c>
      <c r="C2895" s="18" t="s">
        <v>14</v>
      </c>
      <c r="D2895" s="18" t="s">
        <v>15</v>
      </c>
      <c r="E2895" s="18" t="s">
        <v>1056</v>
      </c>
      <c r="F2895" s="2">
        <f>+J2895-I2895</f>
        <v>30</v>
      </c>
      <c r="G2895" s="2">
        <f ca="1">+TODAY()-I2895</f>
        <v>1223</v>
      </c>
      <c r="H2895" s="15">
        <v>2644785</v>
      </c>
      <c r="I2895" s="1">
        <v>44897</v>
      </c>
      <c r="J2895" s="1">
        <v>44927</v>
      </c>
      <c r="K2895" s="18" t="s">
        <v>989</v>
      </c>
      <c r="L2895" s="18" t="s">
        <v>18</v>
      </c>
      <c r="M2895" s="18" t="s">
        <v>19</v>
      </c>
      <c r="N2895" s="18" t="s">
        <v>20</v>
      </c>
      <c r="O2895">
        <v>30</v>
      </c>
    </row>
    <row r="2896" spans="1:15" x14ac:dyDescent="0.25">
      <c r="A2896" s="18" t="s">
        <v>7276</v>
      </c>
      <c r="B2896" s="18" t="s">
        <v>13</v>
      </c>
      <c r="C2896" s="18" t="s">
        <v>14</v>
      </c>
      <c r="D2896" s="18" t="s">
        <v>15</v>
      </c>
      <c r="E2896" s="18" t="s">
        <v>1219</v>
      </c>
      <c r="F2896" s="2">
        <f>+J2896-I2896</f>
        <v>30</v>
      </c>
      <c r="G2896" s="2">
        <f ca="1">+TODAY()-I2896</f>
        <v>1785</v>
      </c>
      <c r="H2896" s="15">
        <v>5377069</v>
      </c>
      <c r="I2896" s="1">
        <v>44335</v>
      </c>
      <c r="J2896" s="1">
        <v>44365</v>
      </c>
      <c r="K2896" s="18" t="s">
        <v>1217</v>
      </c>
      <c r="L2896" s="18" t="s">
        <v>893</v>
      </c>
      <c r="M2896" s="18" t="s">
        <v>19</v>
      </c>
      <c r="N2896" s="18" t="s">
        <v>20</v>
      </c>
      <c r="O2896">
        <v>30</v>
      </c>
    </row>
    <row r="2897" spans="1:15" x14ac:dyDescent="0.25">
      <c r="A2897" s="18" t="s">
        <v>7276</v>
      </c>
      <c r="B2897" s="18" t="s">
        <v>13</v>
      </c>
      <c r="C2897" s="18" t="s">
        <v>14</v>
      </c>
      <c r="D2897" s="18" t="s">
        <v>15</v>
      </c>
      <c r="E2897" s="18" t="s">
        <v>1220</v>
      </c>
      <c r="F2897" s="2">
        <f>+J2897-I2897</f>
        <v>30</v>
      </c>
      <c r="G2897" s="2">
        <f ca="1">+TODAY()-I2897</f>
        <v>1785</v>
      </c>
      <c r="H2897" s="15">
        <v>356435</v>
      </c>
      <c r="I2897" s="1">
        <v>44335</v>
      </c>
      <c r="J2897" s="1">
        <v>44365</v>
      </c>
      <c r="K2897" s="18" t="s">
        <v>1217</v>
      </c>
      <c r="L2897" s="18" t="s">
        <v>893</v>
      </c>
      <c r="M2897" s="18" t="s">
        <v>19</v>
      </c>
      <c r="N2897" s="18" t="s">
        <v>20</v>
      </c>
      <c r="O2897">
        <v>30</v>
      </c>
    </row>
    <row r="2898" spans="1:15" x14ac:dyDescent="0.25">
      <c r="A2898" s="18" t="s">
        <v>7276</v>
      </c>
      <c r="B2898" s="18" t="s">
        <v>13</v>
      </c>
      <c r="C2898" s="18" t="s">
        <v>14</v>
      </c>
      <c r="D2898" s="18" t="s">
        <v>15</v>
      </c>
      <c r="E2898" s="18" t="s">
        <v>1221</v>
      </c>
      <c r="F2898" s="2">
        <f>+J2898-I2898</f>
        <v>30</v>
      </c>
      <c r="G2898" s="2">
        <f ca="1">+TODAY()-I2898</f>
        <v>1758</v>
      </c>
      <c r="H2898" s="15">
        <v>6396013</v>
      </c>
      <c r="I2898" s="1">
        <v>44362</v>
      </c>
      <c r="J2898" s="1">
        <v>44392</v>
      </c>
      <c r="K2898" s="18" t="s">
        <v>1217</v>
      </c>
      <c r="L2898" s="18" t="s">
        <v>893</v>
      </c>
      <c r="M2898" s="18" t="s">
        <v>19</v>
      </c>
      <c r="N2898" s="18" t="s">
        <v>20</v>
      </c>
      <c r="O2898">
        <v>30</v>
      </c>
    </row>
    <row r="2899" spans="1:15" x14ac:dyDescent="0.25">
      <c r="A2899" s="18" t="s">
        <v>7276</v>
      </c>
      <c r="B2899" s="18" t="s">
        <v>13</v>
      </c>
      <c r="C2899" s="18" t="s">
        <v>14</v>
      </c>
      <c r="D2899" s="18" t="s">
        <v>15</v>
      </c>
      <c r="E2899" s="18" t="s">
        <v>1222</v>
      </c>
      <c r="F2899" s="2">
        <f>+J2899-I2899</f>
        <v>30</v>
      </c>
      <c r="G2899" s="2">
        <f ca="1">+TODAY()-I2899</f>
        <v>1730</v>
      </c>
      <c r="H2899" s="15">
        <v>1817717</v>
      </c>
      <c r="I2899" s="1">
        <v>44390</v>
      </c>
      <c r="J2899" s="1">
        <v>44420</v>
      </c>
      <c r="K2899" s="18" t="s">
        <v>1217</v>
      </c>
      <c r="L2899" s="18" t="s">
        <v>893</v>
      </c>
      <c r="M2899" s="18" t="s">
        <v>19</v>
      </c>
      <c r="N2899" s="18" t="s">
        <v>20</v>
      </c>
      <c r="O2899">
        <v>30</v>
      </c>
    </row>
    <row r="2900" spans="1:15" x14ac:dyDescent="0.25">
      <c r="A2900" s="18" t="s">
        <v>7276</v>
      </c>
      <c r="B2900" s="18" t="s">
        <v>13</v>
      </c>
      <c r="C2900" s="18" t="s">
        <v>14</v>
      </c>
      <c r="D2900" s="18" t="s">
        <v>15</v>
      </c>
      <c r="E2900" s="18" t="s">
        <v>1223</v>
      </c>
      <c r="F2900" s="2">
        <f>+J2900-I2900</f>
        <v>30</v>
      </c>
      <c r="G2900" s="2">
        <f ca="1">+TODAY()-I2900</f>
        <v>1730</v>
      </c>
      <c r="H2900" s="15">
        <v>364960</v>
      </c>
      <c r="I2900" s="1">
        <v>44390</v>
      </c>
      <c r="J2900" s="1">
        <v>44420</v>
      </c>
      <c r="K2900" s="18" t="s">
        <v>1217</v>
      </c>
      <c r="L2900" s="18" t="s">
        <v>893</v>
      </c>
      <c r="M2900" s="18" t="s">
        <v>19</v>
      </c>
      <c r="N2900" s="18" t="s">
        <v>20</v>
      </c>
      <c r="O2900">
        <v>30</v>
      </c>
    </row>
    <row r="2901" spans="1:15" x14ac:dyDescent="0.25">
      <c r="A2901" s="18" t="s">
        <v>7276</v>
      </c>
      <c r="B2901" s="18" t="s">
        <v>13</v>
      </c>
      <c r="C2901" s="18" t="s">
        <v>14</v>
      </c>
      <c r="D2901" s="18" t="s">
        <v>15</v>
      </c>
      <c r="E2901" s="18" t="s">
        <v>1224</v>
      </c>
      <c r="F2901" s="2">
        <f>+J2901-I2901</f>
        <v>30</v>
      </c>
      <c r="G2901" s="2">
        <f ca="1">+TODAY()-I2901</f>
        <v>1730</v>
      </c>
      <c r="H2901" s="15">
        <v>1000500</v>
      </c>
      <c r="I2901" s="1">
        <v>44390</v>
      </c>
      <c r="J2901" s="1">
        <v>44420</v>
      </c>
      <c r="K2901" s="18" t="s">
        <v>1217</v>
      </c>
      <c r="L2901" s="18" t="s">
        <v>893</v>
      </c>
      <c r="M2901" s="18" t="s">
        <v>19</v>
      </c>
      <c r="N2901" s="18" t="s">
        <v>20</v>
      </c>
      <c r="O2901">
        <v>30</v>
      </c>
    </row>
    <row r="2902" spans="1:15" x14ac:dyDescent="0.25">
      <c r="A2902" s="18" t="s">
        <v>7276</v>
      </c>
      <c r="B2902" s="18" t="s">
        <v>13</v>
      </c>
      <c r="C2902" s="18" t="s">
        <v>14</v>
      </c>
      <c r="D2902" s="18" t="s">
        <v>15</v>
      </c>
      <c r="E2902" s="18" t="s">
        <v>1225</v>
      </c>
      <c r="F2902" s="2">
        <f>+J2902-I2902</f>
        <v>30</v>
      </c>
      <c r="G2902" s="2">
        <f ca="1">+TODAY()-I2902</f>
        <v>1702</v>
      </c>
      <c r="H2902" s="15">
        <v>2814462</v>
      </c>
      <c r="I2902" s="1">
        <v>44418</v>
      </c>
      <c r="J2902" s="1">
        <v>44448</v>
      </c>
      <c r="K2902" s="18" t="s">
        <v>1217</v>
      </c>
      <c r="L2902" s="18" t="s">
        <v>893</v>
      </c>
      <c r="M2902" s="18" t="s">
        <v>19</v>
      </c>
      <c r="N2902" s="18" t="s">
        <v>20</v>
      </c>
      <c r="O2902">
        <v>30</v>
      </c>
    </row>
    <row r="2903" spans="1:15" x14ac:dyDescent="0.25">
      <c r="A2903" s="18" t="s">
        <v>7276</v>
      </c>
      <c r="B2903" s="18" t="s">
        <v>13</v>
      </c>
      <c r="C2903" s="18" t="s">
        <v>14</v>
      </c>
      <c r="D2903" s="18" t="s">
        <v>15</v>
      </c>
      <c r="E2903" s="18" t="s">
        <v>1226</v>
      </c>
      <c r="F2903" s="2">
        <f>+J2903-I2903</f>
        <v>30</v>
      </c>
      <c r="G2903" s="2">
        <f ca="1">+TODAY()-I2903</f>
        <v>1674</v>
      </c>
      <c r="H2903" s="15">
        <v>3366164</v>
      </c>
      <c r="I2903" s="1">
        <v>44446</v>
      </c>
      <c r="J2903" s="1">
        <v>44476</v>
      </c>
      <c r="K2903" s="18" t="s">
        <v>1217</v>
      </c>
      <c r="L2903" s="18" t="s">
        <v>893</v>
      </c>
      <c r="M2903" s="18" t="s">
        <v>19</v>
      </c>
      <c r="N2903" s="18" t="s">
        <v>20</v>
      </c>
      <c r="O2903">
        <v>30</v>
      </c>
    </row>
    <row r="2904" spans="1:15" x14ac:dyDescent="0.25">
      <c r="A2904" s="18" t="s">
        <v>7276</v>
      </c>
      <c r="B2904" s="18" t="s">
        <v>13</v>
      </c>
      <c r="C2904" s="18" t="s">
        <v>14</v>
      </c>
      <c r="D2904" s="18" t="s">
        <v>15</v>
      </c>
      <c r="E2904" s="18" t="s">
        <v>1227</v>
      </c>
      <c r="F2904" s="2">
        <f>+J2904-I2904</f>
        <v>30</v>
      </c>
      <c r="G2904" s="2">
        <f ca="1">+TODAY()-I2904</f>
        <v>1646</v>
      </c>
      <c r="H2904" s="15">
        <v>1450771</v>
      </c>
      <c r="I2904" s="1">
        <v>44474</v>
      </c>
      <c r="J2904" s="1">
        <v>44504</v>
      </c>
      <c r="K2904" s="18" t="s">
        <v>1217</v>
      </c>
      <c r="L2904" s="18" t="s">
        <v>893</v>
      </c>
      <c r="M2904" s="18" t="s">
        <v>19</v>
      </c>
      <c r="N2904" s="18" t="s">
        <v>20</v>
      </c>
      <c r="O2904">
        <v>30</v>
      </c>
    </row>
    <row r="2905" spans="1:15" x14ac:dyDescent="0.25">
      <c r="A2905" s="18" t="s">
        <v>7276</v>
      </c>
      <c r="B2905" s="18" t="s">
        <v>13</v>
      </c>
      <c r="C2905" s="18" t="s">
        <v>14</v>
      </c>
      <c r="D2905" s="18" t="s">
        <v>15</v>
      </c>
      <c r="E2905" s="18" t="s">
        <v>1228</v>
      </c>
      <c r="F2905" s="2">
        <f>+J2905-I2905</f>
        <v>30</v>
      </c>
      <c r="G2905" s="2">
        <f ca="1">+TODAY()-I2905</f>
        <v>1618</v>
      </c>
      <c r="H2905" s="15">
        <v>1653708</v>
      </c>
      <c r="I2905" s="1">
        <v>44502</v>
      </c>
      <c r="J2905" s="1">
        <v>44532</v>
      </c>
      <c r="K2905" s="18" t="s">
        <v>1217</v>
      </c>
      <c r="L2905" s="18" t="s">
        <v>893</v>
      </c>
      <c r="M2905" s="18" t="s">
        <v>19</v>
      </c>
      <c r="N2905" s="18" t="s">
        <v>20</v>
      </c>
      <c r="O2905">
        <v>30</v>
      </c>
    </row>
    <row r="2906" spans="1:15" x14ac:dyDescent="0.25">
      <c r="A2906" s="18" t="s">
        <v>7276</v>
      </c>
      <c r="B2906" s="18" t="s">
        <v>13</v>
      </c>
      <c r="C2906" s="18" t="s">
        <v>14</v>
      </c>
      <c r="D2906" s="18" t="s">
        <v>15</v>
      </c>
      <c r="E2906" s="18" t="s">
        <v>1229</v>
      </c>
      <c r="F2906" s="2">
        <f>+J2906-I2906</f>
        <v>30</v>
      </c>
      <c r="G2906" s="2">
        <f ca="1">+TODAY()-I2906</f>
        <v>1617</v>
      </c>
      <c r="H2906" s="15">
        <v>39024</v>
      </c>
      <c r="I2906" s="1">
        <v>44503</v>
      </c>
      <c r="J2906" s="1">
        <v>44533</v>
      </c>
      <c r="K2906" s="18" t="s">
        <v>1217</v>
      </c>
      <c r="L2906" s="18" t="s">
        <v>893</v>
      </c>
      <c r="M2906" s="18" t="s">
        <v>19</v>
      </c>
      <c r="N2906" s="18" t="s">
        <v>20</v>
      </c>
      <c r="O2906">
        <v>30</v>
      </c>
    </row>
    <row r="2907" spans="1:15" x14ac:dyDescent="0.25">
      <c r="A2907" s="18" t="s">
        <v>7276</v>
      </c>
      <c r="B2907" s="18" t="s">
        <v>13</v>
      </c>
      <c r="C2907" s="18" t="s">
        <v>14</v>
      </c>
      <c r="D2907" s="18" t="s">
        <v>15</v>
      </c>
      <c r="E2907" s="18" t="s">
        <v>1230</v>
      </c>
      <c r="F2907" s="2">
        <f>+J2907-I2907</f>
        <v>30</v>
      </c>
      <c r="G2907" s="2">
        <f ca="1">+TODAY()-I2907</f>
        <v>1593</v>
      </c>
      <c r="H2907" s="15">
        <v>2490651</v>
      </c>
      <c r="I2907" s="1">
        <v>44527</v>
      </c>
      <c r="J2907" s="1">
        <v>44557</v>
      </c>
      <c r="K2907" s="18" t="s">
        <v>1217</v>
      </c>
      <c r="L2907" s="18" t="s">
        <v>893</v>
      </c>
      <c r="M2907" s="18" t="s">
        <v>19</v>
      </c>
      <c r="N2907" s="18" t="s">
        <v>20</v>
      </c>
      <c r="O2907">
        <v>30</v>
      </c>
    </row>
    <row r="2908" spans="1:15" x14ac:dyDescent="0.25">
      <c r="A2908" s="18" t="s">
        <v>7276</v>
      </c>
      <c r="B2908" s="18" t="s">
        <v>13</v>
      </c>
      <c r="C2908" s="18" t="s">
        <v>14</v>
      </c>
      <c r="D2908" s="18" t="s">
        <v>15</v>
      </c>
      <c r="E2908" s="18" t="s">
        <v>1231</v>
      </c>
      <c r="F2908" s="2">
        <f>+J2908-I2908</f>
        <v>1</v>
      </c>
      <c r="G2908" s="2">
        <f ca="1">+TODAY()-I2908</f>
        <v>1534</v>
      </c>
      <c r="H2908" s="15">
        <v>1305795</v>
      </c>
      <c r="I2908" s="1">
        <v>44586</v>
      </c>
      <c r="J2908" s="1">
        <v>44587</v>
      </c>
      <c r="K2908" s="18" t="s">
        <v>1217</v>
      </c>
      <c r="L2908" s="18" t="s">
        <v>893</v>
      </c>
      <c r="M2908" s="18" t="s">
        <v>19</v>
      </c>
      <c r="N2908" s="18" t="s">
        <v>20</v>
      </c>
      <c r="O2908">
        <v>30</v>
      </c>
    </row>
    <row r="2909" spans="1:15" x14ac:dyDescent="0.25">
      <c r="A2909" s="18" t="s">
        <v>7276</v>
      </c>
      <c r="B2909" s="18" t="s">
        <v>13</v>
      </c>
      <c r="C2909" s="18" t="s">
        <v>14</v>
      </c>
      <c r="D2909" s="18" t="s">
        <v>15</v>
      </c>
      <c r="E2909" s="18" t="s">
        <v>1232</v>
      </c>
      <c r="F2909" s="2">
        <f>+J2909-I2909</f>
        <v>1</v>
      </c>
      <c r="G2909" s="2">
        <f ca="1">+TODAY()-I2909</f>
        <v>1534</v>
      </c>
      <c r="H2909" s="15">
        <v>1212486</v>
      </c>
      <c r="I2909" s="1">
        <v>44586</v>
      </c>
      <c r="J2909" s="1">
        <v>44587</v>
      </c>
      <c r="K2909" s="18" t="s">
        <v>1217</v>
      </c>
      <c r="L2909" s="18" t="s">
        <v>893</v>
      </c>
      <c r="M2909" s="18" t="s">
        <v>19</v>
      </c>
      <c r="N2909" s="18" t="s">
        <v>20</v>
      </c>
      <c r="O2909">
        <v>30</v>
      </c>
    </row>
    <row r="2910" spans="1:15" x14ac:dyDescent="0.25">
      <c r="A2910" s="18" t="s">
        <v>7276</v>
      </c>
      <c r="B2910" s="18" t="s">
        <v>2041</v>
      </c>
      <c r="C2910" s="18" t="s">
        <v>2042</v>
      </c>
      <c r="D2910" s="18" t="s">
        <v>1323</v>
      </c>
      <c r="E2910" s="18" t="s">
        <v>6047</v>
      </c>
      <c r="F2910" s="2">
        <f>+J2910-I2910</f>
        <v>30</v>
      </c>
      <c r="G2910" s="2">
        <f ca="1">+TODAY()-I2910</f>
        <v>26</v>
      </c>
      <c r="H2910" s="15">
        <v>625754</v>
      </c>
      <c r="I2910" s="1">
        <v>46094</v>
      </c>
      <c r="J2910" s="1">
        <v>46124</v>
      </c>
      <c r="K2910" s="18" t="s">
        <v>1325</v>
      </c>
      <c r="L2910" s="18" t="s">
        <v>90</v>
      </c>
      <c r="M2910" s="18" t="s">
        <v>19</v>
      </c>
      <c r="N2910" s="18" t="s">
        <v>2043</v>
      </c>
      <c r="O2910">
        <v>30</v>
      </c>
    </row>
    <row r="2911" spans="1:15" x14ac:dyDescent="0.25">
      <c r="A2911" s="18" t="s">
        <v>7276</v>
      </c>
      <c r="B2911" s="18" t="s">
        <v>2041</v>
      </c>
      <c r="C2911" s="18" t="s">
        <v>2042</v>
      </c>
      <c r="D2911" s="18" t="s">
        <v>1323</v>
      </c>
      <c r="E2911" s="18" t="s">
        <v>6048</v>
      </c>
      <c r="F2911" s="2">
        <f>+J2911-I2911</f>
        <v>30</v>
      </c>
      <c r="G2911" s="2">
        <f ca="1">+TODAY()-I2911</f>
        <v>26</v>
      </c>
      <c r="H2911" s="15">
        <v>1749481</v>
      </c>
      <c r="I2911" s="1">
        <v>46094</v>
      </c>
      <c r="J2911" s="1">
        <v>46124</v>
      </c>
      <c r="K2911" s="18" t="s">
        <v>1325</v>
      </c>
      <c r="L2911" s="18" t="s">
        <v>90</v>
      </c>
      <c r="M2911" s="18" t="s">
        <v>19</v>
      </c>
      <c r="N2911" s="18" t="s">
        <v>2043</v>
      </c>
      <c r="O2911">
        <v>30</v>
      </c>
    </row>
    <row r="2912" spans="1:15" x14ac:dyDescent="0.25">
      <c r="A2912" s="18" t="s">
        <v>7276</v>
      </c>
      <c r="B2912" s="18" t="s">
        <v>2041</v>
      </c>
      <c r="C2912" s="18" t="s">
        <v>2042</v>
      </c>
      <c r="D2912" s="18" t="s">
        <v>1323</v>
      </c>
      <c r="E2912" s="18" t="s">
        <v>6054</v>
      </c>
      <c r="F2912" s="2">
        <f>+J2912-I2912</f>
        <v>30</v>
      </c>
      <c r="G2912" s="2">
        <f ca="1">+TODAY()-I2912</f>
        <v>26</v>
      </c>
      <c r="H2912" s="15">
        <v>288250</v>
      </c>
      <c r="I2912" s="1">
        <v>46094</v>
      </c>
      <c r="J2912" s="1">
        <v>46124</v>
      </c>
      <c r="K2912" s="18" t="s">
        <v>1325</v>
      </c>
      <c r="L2912" s="18" t="s">
        <v>90</v>
      </c>
      <c r="M2912" s="18" t="s">
        <v>19</v>
      </c>
      <c r="N2912" s="18" t="s">
        <v>2043</v>
      </c>
      <c r="O2912">
        <v>30</v>
      </c>
    </row>
    <row r="2913" spans="1:15" x14ac:dyDescent="0.25">
      <c r="A2913" s="18" t="s">
        <v>7276</v>
      </c>
      <c r="B2913" s="18" t="s">
        <v>2041</v>
      </c>
      <c r="C2913" s="18" t="s">
        <v>2042</v>
      </c>
      <c r="D2913" s="18" t="s">
        <v>1323</v>
      </c>
      <c r="E2913" s="18" t="s">
        <v>7185</v>
      </c>
      <c r="F2913" s="2">
        <f>+J2913-I2913</f>
        <v>30</v>
      </c>
      <c r="G2913" s="2">
        <f ca="1">+TODAY()-I2913</f>
        <v>11</v>
      </c>
      <c r="H2913" s="15">
        <v>125940</v>
      </c>
      <c r="I2913" s="1">
        <v>46109</v>
      </c>
      <c r="J2913" s="1">
        <v>46139</v>
      </c>
      <c r="K2913" s="18" t="s">
        <v>1325</v>
      </c>
      <c r="L2913" s="18" t="s">
        <v>90</v>
      </c>
      <c r="M2913" s="18" t="s">
        <v>19</v>
      </c>
      <c r="N2913" s="18" t="s">
        <v>2043</v>
      </c>
      <c r="O2913">
        <v>30</v>
      </c>
    </row>
    <row r="2914" spans="1:15" x14ac:dyDescent="0.25">
      <c r="A2914" s="18" t="s">
        <v>7276</v>
      </c>
      <c r="B2914" s="18" t="s">
        <v>2041</v>
      </c>
      <c r="C2914" s="18" t="s">
        <v>2042</v>
      </c>
      <c r="D2914" s="18" t="s">
        <v>1323</v>
      </c>
      <c r="E2914" s="18" t="s">
        <v>6603</v>
      </c>
      <c r="F2914" s="2">
        <f>+J2914-I2914</f>
        <v>30</v>
      </c>
      <c r="G2914" s="2">
        <f ca="1">+TODAY()-I2914</f>
        <v>12</v>
      </c>
      <c r="H2914" s="15">
        <v>1242650</v>
      </c>
      <c r="I2914" s="1">
        <v>46108</v>
      </c>
      <c r="J2914" s="1">
        <v>46138</v>
      </c>
      <c r="K2914" s="18" t="s">
        <v>1403</v>
      </c>
      <c r="L2914" s="18" t="s">
        <v>90</v>
      </c>
      <c r="M2914" s="18" t="s">
        <v>19</v>
      </c>
      <c r="N2914" s="18" t="s">
        <v>2043</v>
      </c>
      <c r="O2914">
        <v>30</v>
      </c>
    </row>
    <row r="2915" spans="1:15" x14ac:dyDescent="0.25">
      <c r="A2915" s="18" t="s">
        <v>7276</v>
      </c>
      <c r="B2915" s="18" t="s">
        <v>2041</v>
      </c>
      <c r="C2915" s="18" t="s">
        <v>2042</v>
      </c>
      <c r="D2915" s="18" t="s">
        <v>1323</v>
      </c>
      <c r="E2915" s="18" t="s">
        <v>6604</v>
      </c>
      <c r="F2915" s="2">
        <f>+J2915-I2915</f>
        <v>30</v>
      </c>
      <c r="G2915" s="2">
        <f ca="1">+TODAY()-I2915</f>
        <v>12</v>
      </c>
      <c r="H2915" s="15">
        <v>4889169</v>
      </c>
      <c r="I2915" s="1">
        <v>46108</v>
      </c>
      <c r="J2915" s="1">
        <v>46138</v>
      </c>
      <c r="K2915" s="18" t="s">
        <v>1403</v>
      </c>
      <c r="L2915" s="18" t="s">
        <v>90</v>
      </c>
      <c r="M2915" s="18" t="s">
        <v>19</v>
      </c>
      <c r="N2915" s="18" t="s">
        <v>2043</v>
      </c>
      <c r="O2915">
        <v>30</v>
      </c>
    </row>
    <row r="2916" spans="1:15" x14ac:dyDescent="0.25">
      <c r="A2916" s="18" t="s">
        <v>7276</v>
      </c>
      <c r="B2916" s="18" t="s">
        <v>1430</v>
      </c>
      <c r="C2916" s="18" t="s">
        <v>1431</v>
      </c>
      <c r="D2916" s="18" t="s">
        <v>875</v>
      </c>
      <c r="E2916" s="18" t="s">
        <v>6313</v>
      </c>
      <c r="F2916" s="2">
        <f>+J2916-I2916</f>
        <v>30</v>
      </c>
      <c r="G2916" s="2">
        <f ca="1">+TODAY()-I2916</f>
        <v>20</v>
      </c>
      <c r="H2916" s="15">
        <v>1035762</v>
      </c>
      <c r="I2916" s="1">
        <v>46100</v>
      </c>
      <c r="J2916" s="1">
        <v>46130</v>
      </c>
      <c r="K2916" s="18" t="s">
        <v>1403</v>
      </c>
      <c r="L2916" s="18" t="s">
        <v>90</v>
      </c>
      <c r="M2916" s="18" t="s">
        <v>19</v>
      </c>
      <c r="N2916" s="18" t="s">
        <v>1432</v>
      </c>
      <c r="O2916">
        <v>30</v>
      </c>
    </row>
    <row r="2917" spans="1:15" x14ac:dyDescent="0.25">
      <c r="A2917" s="18" t="s">
        <v>7276</v>
      </c>
      <c r="B2917" s="18" t="s">
        <v>95</v>
      </c>
      <c r="C2917" s="18" t="s">
        <v>96</v>
      </c>
      <c r="D2917" s="18" t="s">
        <v>15</v>
      </c>
      <c r="E2917" s="18" t="s">
        <v>5082</v>
      </c>
      <c r="F2917" s="2">
        <f>+J2917-I2917</f>
        <v>30</v>
      </c>
      <c r="G2917" s="2">
        <f ca="1">+TODAY()-I2917</f>
        <v>50</v>
      </c>
      <c r="H2917" s="15">
        <v>12462069</v>
      </c>
      <c r="I2917" s="1">
        <v>46070</v>
      </c>
      <c r="J2917" s="1">
        <v>46100</v>
      </c>
      <c r="K2917" s="18" t="s">
        <v>17</v>
      </c>
      <c r="L2917" s="18" t="s">
        <v>32</v>
      </c>
      <c r="M2917" s="18" t="s">
        <v>19</v>
      </c>
      <c r="N2917" s="18" t="s">
        <v>97</v>
      </c>
      <c r="O2917">
        <v>30</v>
      </c>
    </row>
    <row r="2918" spans="1:15" x14ac:dyDescent="0.25">
      <c r="A2918" s="18" t="s">
        <v>7276</v>
      </c>
      <c r="B2918" s="18" t="s">
        <v>95</v>
      </c>
      <c r="C2918" s="18" t="s">
        <v>96</v>
      </c>
      <c r="D2918" s="18" t="s">
        <v>15</v>
      </c>
      <c r="E2918" s="18" t="s">
        <v>5083</v>
      </c>
      <c r="F2918" s="2">
        <f>+J2918-I2918</f>
        <v>30</v>
      </c>
      <c r="G2918" s="2">
        <f ca="1">+TODAY()-I2918</f>
        <v>50</v>
      </c>
      <c r="H2918" s="15">
        <v>1876215</v>
      </c>
      <c r="I2918" s="1">
        <v>46070</v>
      </c>
      <c r="J2918" s="1">
        <v>46100</v>
      </c>
      <c r="K2918" s="18" t="s">
        <v>17</v>
      </c>
      <c r="L2918" s="18" t="s">
        <v>32</v>
      </c>
      <c r="M2918" s="18" t="s">
        <v>19</v>
      </c>
      <c r="N2918" s="18" t="s">
        <v>97</v>
      </c>
      <c r="O2918">
        <v>30</v>
      </c>
    </row>
    <row r="2919" spans="1:15" x14ac:dyDescent="0.25">
      <c r="A2919" s="18" t="s">
        <v>7276</v>
      </c>
      <c r="B2919" s="18" t="s">
        <v>1214</v>
      </c>
      <c r="C2919" s="18" t="s">
        <v>1215</v>
      </c>
      <c r="D2919" s="18" t="s">
        <v>1216</v>
      </c>
      <c r="E2919" s="18" t="s">
        <v>1996</v>
      </c>
      <c r="F2919" s="2">
        <f>+J2919-I2919</f>
        <v>30</v>
      </c>
      <c r="G2919" s="2">
        <f ca="1">+TODAY()-I2919</f>
        <v>203</v>
      </c>
      <c r="H2919" s="15">
        <v>5070</v>
      </c>
      <c r="I2919" s="1">
        <v>45917</v>
      </c>
      <c r="J2919" s="1">
        <v>45947</v>
      </c>
      <c r="K2919" s="18" t="s">
        <v>1217</v>
      </c>
      <c r="L2919" s="18" t="s">
        <v>212</v>
      </c>
      <c r="M2919" s="18" t="s">
        <v>19</v>
      </c>
      <c r="N2919" s="18" t="s">
        <v>1218</v>
      </c>
      <c r="O2919">
        <v>30</v>
      </c>
    </row>
    <row r="2920" spans="1:15" x14ac:dyDescent="0.25">
      <c r="A2920" s="18" t="s">
        <v>7276</v>
      </c>
      <c r="B2920" s="18" t="s">
        <v>2442</v>
      </c>
      <c r="C2920" s="18" t="s">
        <v>2443</v>
      </c>
      <c r="D2920" s="18" t="s">
        <v>347</v>
      </c>
      <c r="E2920" s="18" t="s">
        <v>5690</v>
      </c>
      <c r="F2920" s="2">
        <f>+J2920-I2920</f>
        <v>30</v>
      </c>
      <c r="G2920" s="2">
        <f ca="1">+TODAY()-I2920</f>
        <v>28</v>
      </c>
      <c r="H2920" s="15">
        <v>-2</v>
      </c>
      <c r="I2920" s="1">
        <v>46092</v>
      </c>
      <c r="J2920" s="1">
        <v>46122</v>
      </c>
      <c r="K2920" s="18" t="s">
        <v>343</v>
      </c>
      <c r="L2920" s="18" t="s">
        <v>18</v>
      </c>
      <c r="M2920" s="18" t="s">
        <v>19</v>
      </c>
      <c r="N2920" s="18" t="s">
        <v>2444</v>
      </c>
      <c r="O2920">
        <v>30</v>
      </c>
    </row>
    <row r="2921" spans="1:15" x14ac:dyDescent="0.25">
      <c r="A2921" s="18" t="s">
        <v>7276</v>
      </c>
      <c r="B2921" s="18" t="s">
        <v>2442</v>
      </c>
      <c r="C2921" s="18" t="s">
        <v>2443</v>
      </c>
      <c r="D2921" s="18" t="s">
        <v>347</v>
      </c>
      <c r="E2921" s="18" t="s">
        <v>6451</v>
      </c>
      <c r="F2921" s="2">
        <f>+J2921-I2921</f>
        <v>30</v>
      </c>
      <c r="G2921" s="2">
        <f ca="1">+TODAY()-I2921</f>
        <v>15</v>
      </c>
      <c r="H2921" s="15">
        <v>186790</v>
      </c>
      <c r="I2921" s="1">
        <v>46105</v>
      </c>
      <c r="J2921" s="1">
        <v>46135</v>
      </c>
      <c r="K2921" s="18" t="s">
        <v>343</v>
      </c>
      <c r="L2921" s="18" t="s">
        <v>18</v>
      </c>
      <c r="M2921" s="18" t="s">
        <v>19</v>
      </c>
      <c r="N2921" s="18" t="s">
        <v>2444</v>
      </c>
      <c r="O2921">
        <v>30</v>
      </c>
    </row>
    <row r="2922" spans="1:15" x14ac:dyDescent="0.25">
      <c r="A2922" s="18" t="s">
        <v>7276</v>
      </c>
      <c r="B2922" s="18" t="s">
        <v>2442</v>
      </c>
      <c r="C2922" s="18" t="s">
        <v>2443</v>
      </c>
      <c r="D2922" s="18" t="s">
        <v>347</v>
      </c>
      <c r="E2922" s="18" t="s">
        <v>7696</v>
      </c>
      <c r="F2922" s="2">
        <f>+J2922-I2922</f>
        <v>30</v>
      </c>
      <c r="G2922" s="2">
        <f ca="1">+TODAY()-I2922</f>
        <v>1</v>
      </c>
      <c r="H2922" s="15">
        <v>190165</v>
      </c>
      <c r="I2922" s="1">
        <v>46119</v>
      </c>
      <c r="J2922" s="1">
        <v>46149</v>
      </c>
      <c r="K2922" s="18" t="s">
        <v>343</v>
      </c>
      <c r="L2922" s="18" t="s">
        <v>18</v>
      </c>
      <c r="M2922" s="18" t="s">
        <v>19</v>
      </c>
      <c r="N2922" s="18" t="s">
        <v>2444</v>
      </c>
      <c r="O2922">
        <v>30</v>
      </c>
    </row>
    <row r="2923" spans="1:15" x14ac:dyDescent="0.25">
      <c r="A2923" s="18" t="s">
        <v>7276</v>
      </c>
      <c r="B2923" s="18" t="s">
        <v>2442</v>
      </c>
      <c r="C2923" s="18" t="s">
        <v>2443</v>
      </c>
      <c r="D2923" s="18" t="s">
        <v>347</v>
      </c>
      <c r="E2923" s="18" t="s">
        <v>7697</v>
      </c>
      <c r="F2923" s="2">
        <f>+J2923-I2923</f>
        <v>30</v>
      </c>
      <c r="G2923" s="2">
        <f ca="1">+TODAY()-I2923</f>
        <v>1</v>
      </c>
      <c r="H2923" s="15">
        <v>7745634</v>
      </c>
      <c r="I2923" s="1">
        <v>46119</v>
      </c>
      <c r="J2923" s="1">
        <v>46149</v>
      </c>
      <c r="K2923" s="18" t="s">
        <v>343</v>
      </c>
      <c r="L2923" s="18" t="s">
        <v>18</v>
      </c>
      <c r="M2923" s="18" t="s">
        <v>19</v>
      </c>
      <c r="N2923" s="18" t="s">
        <v>2444</v>
      </c>
      <c r="O2923">
        <v>30</v>
      </c>
    </row>
    <row r="2924" spans="1:15" x14ac:dyDescent="0.25">
      <c r="A2924" s="18" t="s">
        <v>7276</v>
      </c>
      <c r="B2924" s="18" t="s">
        <v>2442</v>
      </c>
      <c r="C2924" s="18" t="s">
        <v>2443</v>
      </c>
      <c r="D2924" s="18" t="s">
        <v>347</v>
      </c>
      <c r="E2924" s="18" t="s">
        <v>7698</v>
      </c>
      <c r="F2924" s="2">
        <f>+J2924-I2924</f>
        <v>30</v>
      </c>
      <c r="G2924" s="2">
        <f ca="1">+TODAY()-I2924</f>
        <v>1</v>
      </c>
      <c r="H2924" s="15">
        <v>4520874</v>
      </c>
      <c r="I2924" s="1">
        <v>46119</v>
      </c>
      <c r="J2924" s="1">
        <v>46149</v>
      </c>
      <c r="K2924" s="18" t="s">
        <v>343</v>
      </c>
      <c r="L2924" s="18" t="s">
        <v>18</v>
      </c>
      <c r="M2924" s="18" t="s">
        <v>19</v>
      </c>
      <c r="N2924" s="18" t="s">
        <v>2444</v>
      </c>
      <c r="O2924">
        <v>30</v>
      </c>
    </row>
    <row r="2925" spans="1:15" x14ac:dyDescent="0.25">
      <c r="A2925" s="18" t="s">
        <v>7276</v>
      </c>
      <c r="B2925" s="18" t="s">
        <v>2442</v>
      </c>
      <c r="C2925" s="18" t="s">
        <v>2443</v>
      </c>
      <c r="D2925" s="18" t="s">
        <v>347</v>
      </c>
      <c r="E2925" s="18" t="s">
        <v>7699</v>
      </c>
      <c r="F2925" s="2">
        <f>+J2925-I2925</f>
        <v>30</v>
      </c>
      <c r="G2925" s="2">
        <f ca="1">+TODAY()-I2925</f>
        <v>1</v>
      </c>
      <c r="H2925" s="15">
        <v>691999</v>
      </c>
      <c r="I2925" s="1">
        <v>46119</v>
      </c>
      <c r="J2925" s="1">
        <v>46149</v>
      </c>
      <c r="K2925" s="18" t="s">
        <v>343</v>
      </c>
      <c r="L2925" s="18" t="s">
        <v>18</v>
      </c>
      <c r="M2925" s="18" t="s">
        <v>19</v>
      </c>
      <c r="N2925" s="18" t="s">
        <v>2444</v>
      </c>
      <c r="O2925">
        <v>30</v>
      </c>
    </row>
    <row r="2926" spans="1:15" x14ac:dyDescent="0.25">
      <c r="A2926" s="18" t="s">
        <v>7276</v>
      </c>
      <c r="B2926" s="18" t="s">
        <v>4396</v>
      </c>
      <c r="C2926" s="18" t="s">
        <v>4397</v>
      </c>
      <c r="D2926" s="18" t="s">
        <v>916</v>
      </c>
      <c r="E2926" s="18" t="s">
        <v>7008</v>
      </c>
      <c r="F2926" s="2">
        <f>+J2926-I2926</f>
        <v>8</v>
      </c>
      <c r="G2926" s="2">
        <f ca="1">+TODAY()-I2926</f>
        <v>9</v>
      </c>
      <c r="H2926" s="15">
        <v>1003800</v>
      </c>
      <c r="I2926" s="1">
        <v>46111</v>
      </c>
      <c r="J2926" s="1">
        <v>46119</v>
      </c>
      <c r="K2926" s="18" t="s">
        <v>918</v>
      </c>
      <c r="L2926" s="18" t="s">
        <v>312</v>
      </c>
      <c r="M2926" s="18" t="s">
        <v>19</v>
      </c>
      <c r="N2926" s="18" t="s">
        <v>4399</v>
      </c>
      <c r="O2926">
        <v>30</v>
      </c>
    </row>
    <row r="2927" spans="1:15" x14ac:dyDescent="0.25">
      <c r="A2927" s="18" t="s">
        <v>7276</v>
      </c>
      <c r="B2927" s="18" t="s">
        <v>2618</v>
      </c>
      <c r="C2927" s="18" t="s">
        <v>2619</v>
      </c>
      <c r="D2927" s="18" t="s">
        <v>844</v>
      </c>
      <c r="E2927" s="18" t="s">
        <v>5949</v>
      </c>
      <c r="F2927" s="2">
        <f>+J2927-I2927</f>
        <v>30</v>
      </c>
      <c r="G2927" s="2">
        <f ca="1">+TODAY()-I2927</f>
        <v>26</v>
      </c>
      <c r="H2927" s="15">
        <v>1134400</v>
      </c>
      <c r="I2927" s="1">
        <v>46094</v>
      </c>
      <c r="J2927" s="1">
        <v>46124</v>
      </c>
      <c r="K2927" s="18" t="s">
        <v>845</v>
      </c>
      <c r="L2927" s="18" t="s">
        <v>18</v>
      </c>
      <c r="M2927" s="18" t="s">
        <v>19</v>
      </c>
      <c r="N2927" s="18" t="s">
        <v>879</v>
      </c>
      <c r="O2927">
        <v>30</v>
      </c>
    </row>
    <row r="2928" spans="1:15" x14ac:dyDescent="0.25">
      <c r="A2928" s="18" t="s">
        <v>7276</v>
      </c>
      <c r="B2928" s="18" t="s">
        <v>2618</v>
      </c>
      <c r="C2928" s="18" t="s">
        <v>2619</v>
      </c>
      <c r="D2928" s="18" t="s">
        <v>844</v>
      </c>
      <c r="E2928" s="18" t="s">
        <v>5950</v>
      </c>
      <c r="F2928" s="2">
        <f>+J2928-I2928</f>
        <v>30</v>
      </c>
      <c r="G2928" s="2">
        <f ca="1">+TODAY()-I2928</f>
        <v>26</v>
      </c>
      <c r="H2928" s="15">
        <v>4168306</v>
      </c>
      <c r="I2928" s="1">
        <v>46094</v>
      </c>
      <c r="J2928" s="1">
        <v>46124</v>
      </c>
      <c r="K2928" s="18" t="s">
        <v>845</v>
      </c>
      <c r="L2928" s="18" t="s">
        <v>18</v>
      </c>
      <c r="M2928" s="18" t="s">
        <v>19</v>
      </c>
      <c r="N2928" s="18" t="s">
        <v>879</v>
      </c>
      <c r="O2928">
        <v>30</v>
      </c>
    </row>
    <row r="2929" spans="1:15" x14ac:dyDescent="0.25">
      <c r="A2929" s="18" t="s">
        <v>7276</v>
      </c>
      <c r="B2929" s="18" t="s">
        <v>2618</v>
      </c>
      <c r="C2929" s="18" t="s">
        <v>2619</v>
      </c>
      <c r="D2929" s="18" t="s">
        <v>844</v>
      </c>
      <c r="E2929" s="18" t="s">
        <v>5951</v>
      </c>
      <c r="F2929" s="2">
        <f>+J2929-I2929</f>
        <v>30</v>
      </c>
      <c r="G2929" s="2">
        <f ca="1">+TODAY()-I2929</f>
        <v>26</v>
      </c>
      <c r="H2929" s="15">
        <v>1696000</v>
      </c>
      <c r="I2929" s="1">
        <v>46094</v>
      </c>
      <c r="J2929" s="1">
        <v>46124</v>
      </c>
      <c r="K2929" s="18" t="s">
        <v>845</v>
      </c>
      <c r="L2929" s="18" t="s">
        <v>18</v>
      </c>
      <c r="M2929" s="18" t="s">
        <v>19</v>
      </c>
      <c r="N2929" s="18" t="s">
        <v>879</v>
      </c>
      <c r="O2929">
        <v>30</v>
      </c>
    </row>
    <row r="2930" spans="1:15" x14ac:dyDescent="0.25">
      <c r="A2930" s="18" t="s">
        <v>7276</v>
      </c>
      <c r="B2930" s="18" t="s">
        <v>2618</v>
      </c>
      <c r="C2930" s="18" t="s">
        <v>2619</v>
      </c>
      <c r="D2930" s="18" t="s">
        <v>844</v>
      </c>
      <c r="E2930" s="18" t="s">
        <v>5967</v>
      </c>
      <c r="F2930" s="2">
        <f>+J2930-I2930</f>
        <v>30</v>
      </c>
      <c r="G2930" s="2">
        <f ca="1">+TODAY()-I2930</f>
        <v>26</v>
      </c>
      <c r="H2930" s="15">
        <v>418000</v>
      </c>
      <c r="I2930" s="1">
        <v>46094</v>
      </c>
      <c r="J2930" s="1">
        <v>46124</v>
      </c>
      <c r="K2930" s="18" t="s">
        <v>845</v>
      </c>
      <c r="L2930" s="18" t="s">
        <v>18</v>
      </c>
      <c r="M2930" s="18" t="s">
        <v>19</v>
      </c>
      <c r="N2930" s="18" t="s">
        <v>879</v>
      </c>
      <c r="O2930">
        <v>30</v>
      </c>
    </row>
    <row r="2931" spans="1:15" x14ac:dyDescent="0.25">
      <c r="A2931" s="18" t="s">
        <v>7276</v>
      </c>
      <c r="B2931" s="18" t="s">
        <v>2618</v>
      </c>
      <c r="C2931" s="18" t="s">
        <v>2619</v>
      </c>
      <c r="D2931" s="18" t="s">
        <v>844</v>
      </c>
      <c r="E2931" s="18" t="s">
        <v>6984</v>
      </c>
      <c r="F2931" s="2">
        <f>+J2931-I2931</f>
        <v>30</v>
      </c>
      <c r="G2931" s="2">
        <f ca="1">+TODAY()-I2931</f>
        <v>11</v>
      </c>
      <c r="H2931" s="15">
        <v>848000</v>
      </c>
      <c r="I2931" s="1">
        <v>46109</v>
      </c>
      <c r="J2931" s="1">
        <v>46139</v>
      </c>
      <c r="K2931" s="18" t="s">
        <v>845</v>
      </c>
      <c r="L2931" s="18" t="s">
        <v>18</v>
      </c>
      <c r="M2931" s="18" t="s">
        <v>19</v>
      </c>
      <c r="N2931" s="18" t="s">
        <v>879</v>
      </c>
      <c r="O2931">
        <v>30</v>
      </c>
    </row>
    <row r="2932" spans="1:15" x14ac:dyDescent="0.25">
      <c r="A2932" s="18" t="s">
        <v>7276</v>
      </c>
      <c r="B2932" s="18" t="s">
        <v>2618</v>
      </c>
      <c r="C2932" s="18" t="s">
        <v>2619</v>
      </c>
      <c r="D2932" s="18" t="s">
        <v>844</v>
      </c>
      <c r="E2932" s="18" t="s">
        <v>6990</v>
      </c>
      <c r="F2932" s="2">
        <f>+J2932-I2932</f>
        <v>30</v>
      </c>
      <c r="G2932" s="2">
        <f ca="1">+TODAY()-I2932</f>
        <v>11</v>
      </c>
      <c r="H2932" s="15">
        <v>1186257</v>
      </c>
      <c r="I2932" s="1">
        <v>46109</v>
      </c>
      <c r="J2932" s="1">
        <v>46139</v>
      </c>
      <c r="K2932" s="18" t="s">
        <v>845</v>
      </c>
      <c r="L2932" s="18" t="s">
        <v>18</v>
      </c>
      <c r="M2932" s="18" t="s">
        <v>19</v>
      </c>
      <c r="N2932" s="18" t="s">
        <v>879</v>
      </c>
      <c r="O2932">
        <v>30</v>
      </c>
    </row>
    <row r="2933" spans="1:15" x14ac:dyDescent="0.25">
      <c r="A2933" s="18" t="s">
        <v>7276</v>
      </c>
      <c r="B2933" s="18" t="s">
        <v>2618</v>
      </c>
      <c r="C2933" s="18" t="s">
        <v>2619</v>
      </c>
      <c r="D2933" s="18" t="s">
        <v>844</v>
      </c>
      <c r="E2933" s="18" t="s">
        <v>6991</v>
      </c>
      <c r="F2933" s="2">
        <f>+J2933-I2933</f>
        <v>30</v>
      </c>
      <c r="G2933" s="2">
        <f ca="1">+TODAY()-I2933</f>
        <v>11</v>
      </c>
      <c r="H2933" s="15">
        <v>4004796</v>
      </c>
      <c r="I2933" s="1">
        <v>46109</v>
      </c>
      <c r="J2933" s="1">
        <v>46139</v>
      </c>
      <c r="K2933" s="18" t="s">
        <v>845</v>
      </c>
      <c r="L2933" s="18" t="s">
        <v>18</v>
      </c>
      <c r="M2933" s="18" t="s">
        <v>19</v>
      </c>
      <c r="N2933" s="18" t="s">
        <v>879</v>
      </c>
      <c r="O2933">
        <v>30</v>
      </c>
    </row>
    <row r="2934" spans="1:15" x14ac:dyDescent="0.25">
      <c r="A2934" s="18" t="s">
        <v>7276</v>
      </c>
      <c r="B2934" s="18" t="s">
        <v>61</v>
      </c>
      <c r="C2934" s="18" t="s">
        <v>62</v>
      </c>
      <c r="D2934" s="18" t="s">
        <v>46</v>
      </c>
      <c r="E2934" s="18" t="s">
        <v>5386</v>
      </c>
      <c r="F2934" s="2">
        <f>+J2934-I2934</f>
        <v>30</v>
      </c>
      <c r="G2934" s="2">
        <f ca="1">+TODAY()-I2934</f>
        <v>36</v>
      </c>
      <c r="H2934" s="15">
        <v>2228684</v>
      </c>
      <c r="I2934" s="1">
        <v>46084</v>
      </c>
      <c r="J2934" s="1">
        <v>46114</v>
      </c>
      <c r="K2934" s="18" t="s">
        <v>17</v>
      </c>
      <c r="L2934" s="18" t="s">
        <v>32</v>
      </c>
      <c r="M2934" s="18" t="s">
        <v>19</v>
      </c>
      <c r="N2934" s="18" t="s">
        <v>63</v>
      </c>
      <c r="O2934">
        <v>30</v>
      </c>
    </row>
    <row r="2935" spans="1:15" x14ac:dyDescent="0.25">
      <c r="A2935" s="18" t="s">
        <v>7276</v>
      </c>
      <c r="B2935" s="18" t="s">
        <v>61</v>
      </c>
      <c r="C2935" s="18" t="s">
        <v>62</v>
      </c>
      <c r="D2935" s="18" t="s">
        <v>46</v>
      </c>
      <c r="E2935" s="18" t="s">
        <v>5638</v>
      </c>
      <c r="F2935" s="2">
        <f>+J2935-I2935</f>
        <v>30</v>
      </c>
      <c r="G2935" s="2">
        <f ca="1">+TODAY()-I2935</f>
        <v>28</v>
      </c>
      <c r="H2935" s="15">
        <v>482396</v>
      </c>
      <c r="I2935" s="1">
        <v>46092</v>
      </c>
      <c r="J2935" s="1">
        <v>46122</v>
      </c>
      <c r="K2935" s="18" t="s">
        <v>17</v>
      </c>
      <c r="L2935" s="18" t="s">
        <v>117</v>
      </c>
      <c r="M2935" s="18" t="s">
        <v>19</v>
      </c>
      <c r="N2935" s="18" t="s">
        <v>63</v>
      </c>
      <c r="O2935">
        <v>30</v>
      </c>
    </row>
    <row r="2936" spans="1:15" x14ac:dyDescent="0.25">
      <c r="A2936" s="18" t="s">
        <v>7276</v>
      </c>
      <c r="B2936" s="18" t="s">
        <v>61</v>
      </c>
      <c r="C2936" s="18" t="s">
        <v>62</v>
      </c>
      <c r="D2936" s="18" t="s">
        <v>46</v>
      </c>
      <c r="E2936" s="18" t="s">
        <v>5639</v>
      </c>
      <c r="F2936" s="2">
        <f>+J2936-I2936</f>
        <v>30</v>
      </c>
      <c r="G2936" s="2">
        <f ca="1">+TODAY()-I2936</f>
        <v>28</v>
      </c>
      <c r="H2936" s="15">
        <v>1912116</v>
      </c>
      <c r="I2936" s="1">
        <v>46092</v>
      </c>
      <c r="J2936" s="1">
        <v>46122</v>
      </c>
      <c r="K2936" s="18" t="s">
        <v>17</v>
      </c>
      <c r="L2936" s="18" t="s">
        <v>32</v>
      </c>
      <c r="M2936" s="18" t="s">
        <v>19</v>
      </c>
      <c r="N2936" s="18" t="s">
        <v>63</v>
      </c>
      <c r="O2936">
        <v>30</v>
      </c>
    </row>
    <row r="2937" spans="1:15" x14ac:dyDescent="0.25">
      <c r="A2937" s="18" t="s">
        <v>7276</v>
      </c>
      <c r="B2937" s="18" t="s">
        <v>61</v>
      </c>
      <c r="C2937" s="18" t="s">
        <v>62</v>
      </c>
      <c r="D2937" s="18" t="s">
        <v>46</v>
      </c>
      <c r="E2937" s="18" t="s">
        <v>5640</v>
      </c>
      <c r="F2937" s="2">
        <f>+J2937-I2937</f>
        <v>30</v>
      </c>
      <c r="G2937" s="2">
        <f ca="1">+TODAY()-I2937</f>
        <v>28</v>
      </c>
      <c r="H2937" s="15">
        <v>5757475</v>
      </c>
      <c r="I2937" s="1">
        <v>46092</v>
      </c>
      <c r="J2937" s="1">
        <v>46122</v>
      </c>
      <c r="K2937" s="18" t="s">
        <v>17</v>
      </c>
      <c r="L2937" s="18" t="s">
        <v>32</v>
      </c>
      <c r="M2937" s="18" t="s">
        <v>19</v>
      </c>
      <c r="N2937" s="18" t="s">
        <v>63</v>
      </c>
      <c r="O2937">
        <v>30</v>
      </c>
    </row>
    <row r="2938" spans="1:15" x14ac:dyDescent="0.25">
      <c r="A2938" s="18" t="s">
        <v>7276</v>
      </c>
      <c r="B2938" s="18" t="s">
        <v>61</v>
      </c>
      <c r="C2938" s="18" t="s">
        <v>62</v>
      </c>
      <c r="D2938" s="18" t="s">
        <v>46</v>
      </c>
      <c r="E2938" s="18" t="s">
        <v>5913</v>
      </c>
      <c r="F2938" s="2">
        <f>+J2938-I2938</f>
        <v>30</v>
      </c>
      <c r="G2938" s="2">
        <f ca="1">+TODAY()-I2938</f>
        <v>23</v>
      </c>
      <c r="H2938" s="15">
        <v>1878388</v>
      </c>
      <c r="I2938" s="1">
        <v>46097</v>
      </c>
      <c r="J2938" s="1">
        <v>46127</v>
      </c>
      <c r="K2938" s="18" t="s">
        <v>17</v>
      </c>
      <c r="L2938" s="18" t="s">
        <v>32</v>
      </c>
      <c r="M2938" s="18" t="s">
        <v>19</v>
      </c>
      <c r="N2938" s="18" t="s">
        <v>63</v>
      </c>
      <c r="O2938">
        <v>30</v>
      </c>
    </row>
    <row r="2939" spans="1:15" x14ac:dyDescent="0.25">
      <c r="A2939" s="18" t="s">
        <v>7276</v>
      </c>
      <c r="B2939" s="18" t="s">
        <v>61</v>
      </c>
      <c r="C2939" s="18" t="s">
        <v>62</v>
      </c>
      <c r="D2939" s="18" t="s">
        <v>46</v>
      </c>
      <c r="E2939" s="18" t="s">
        <v>6832</v>
      </c>
      <c r="F2939" s="2">
        <f>+J2939-I2939</f>
        <v>1</v>
      </c>
      <c r="G2939" s="2">
        <f ca="1">+TODAY()-I2939</f>
        <v>8</v>
      </c>
      <c r="H2939" s="15">
        <v>672107</v>
      </c>
      <c r="I2939" s="1">
        <v>46112</v>
      </c>
      <c r="J2939" s="1">
        <v>46113</v>
      </c>
      <c r="K2939" s="18" t="s">
        <v>17</v>
      </c>
      <c r="L2939" s="18" t="s">
        <v>32</v>
      </c>
      <c r="M2939" s="18" t="s">
        <v>19</v>
      </c>
      <c r="N2939" s="18" t="s">
        <v>63</v>
      </c>
      <c r="O2939">
        <v>30</v>
      </c>
    </row>
    <row r="2940" spans="1:15" x14ac:dyDescent="0.25">
      <c r="A2940" s="18" t="s">
        <v>7276</v>
      </c>
      <c r="B2940" s="18" t="s">
        <v>61</v>
      </c>
      <c r="C2940" s="18" t="s">
        <v>62</v>
      </c>
      <c r="D2940" s="18" t="s">
        <v>46</v>
      </c>
      <c r="E2940" s="18" t="s">
        <v>7330</v>
      </c>
      <c r="F2940" s="2">
        <f>+J2940-I2940</f>
        <v>1</v>
      </c>
      <c r="G2940" s="2">
        <f ca="1">+TODAY()-I2940</f>
        <v>2</v>
      </c>
      <c r="H2940" s="15">
        <v>517200</v>
      </c>
      <c r="I2940" s="1">
        <v>46118</v>
      </c>
      <c r="J2940" s="1">
        <v>46119</v>
      </c>
      <c r="K2940" s="18" t="s">
        <v>17</v>
      </c>
      <c r="L2940" s="18" t="s">
        <v>32</v>
      </c>
      <c r="M2940" s="18" t="s">
        <v>19</v>
      </c>
      <c r="N2940" s="18" t="s">
        <v>63</v>
      </c>
      <c r="O2940">
        <v>30</v>
      </c>
    </row>
    <row r="2941" spans="1:15" x14ac:dyDescent="0.25">
      <c r="A2941" s="18" t="s">
        <v>7276</v>
      </c>
      <c r="B2941" s="18" t="s">
        <v>61</v>
      </c>
      <c r="C2941" s="18" t="s">
        <v>62</v>
      </c>
      <c r="D2941" s="18" t="s">
        <v>46</v>
      </c>
      <c r="E2941" s="18" t="s">
        <v>7421</v>
      </c>
      <c r="F2941" s="2">
        <f>+J2941-I2941</f>
        <v>10</v>
      </c>
      <c r="G2941" s="2">
        <f ca="1">+TODAY()-I2941</f>
        <v>2</v>
      </c>
      <c r="H2941" s="15">
        <v>2100000</v>
      </c>
      <c r="I2941" s="1">
        <v>46118</v>
      </c>
      <c r="J2941" s="1">
        <v>46128</v>
      </c>
      <c r="K2941" s="18" t="s">
        <v>17</v>
      </c>
      <c r="L2941" s="18" t="s">
        <v>32</v>
      </c>
      <c r="M2941" s="18" t="s">
        <v>19</v>
      </c>
      <c r="N2941" s="18" t="s">
        <v>63</v>
      </c>
      <c r="O2941">
        <v>30</v>
      </c>
    </row>
    <row r="2942" spans="1:15" x14ac:dyDescent="0.25">
      <c r="A2942" s="18" t="s">
        <v>7276</v>
      </c>
      <c r="B2942" s="18" t="s">
        <v>61</v>
      </c>
      <c r="C2942" s="18" t="s">
        <v>62</v>
      </c>
      <c r="D2942" s="18" t="s">
        <v>46</v>
      </c>
      <c r="E2942" s="18" t="s">
        <v>7667</v>
      </c>
      <c r="F2942" s="2">
        <f>+J2942-I2942</f>
        <v>1</v>
      </c>
      <c r="G2942" s="2">
        <f ca="1">+TODAY()-I2942</f>
        <v>1</v>
      </c>
      <c r="H2942" s="15">
        <v>268480</v>
      </c>
      <c r="I2942" s="1">
        <v>46119</v>
      </c>
      <c r="J2942" s="1">
        <v>46120</v>
      </c>
      <c r="K2942" s="18" t="s">
        <v>17</v>
      </c>
      <c r="L2942" s="18" t="s">
        <v>32</v>
      </c>
      <c r="M2942" s="18" t="s">
        <v>19</v>
      </c>
      <c r="N2942" s="18" t="s">
        <v>63</v>
      </c>
      <c r="O2942">
        <v>30</v>
      </c>
    </row>
    <row r="2943" spans="1:15" x14ac:dyDescent="0.25">
      <c r="A2943" s="18" t="s">
        <v>7276</v>
      </c>
      <c r="B2943" s="18" t="s">
        <v>2013</v>
      </c>
      <c r="C2943" s="18" t="s">
        <v>2014</v>
      </c>
      <c r="D2943" s="18" t="s">
        <v>15</v>
      </c>
      <c r="E2943" s="18" t="s">
        <v>6402</v>
      </c>
      <c r="F2943" s="2">
        <f>+J2943-I2943</f>
        <v>30</v>
      </c>
      <c r="G2943" s="2">
        <f ca="1">+TODAY()-I2943</f>
        <v>14</v>
      </c>
      <c r="H2943" s="15">
        <v>2658510</v>
      </c>
      <c r="I2943" s="1">
        <v>46106</v>
      </c>
      <c r="J2943" s="1">
        <v>46136</v>
      </c>
      <c r="K2943" s="18" t="s">
        <v>17</v>
      </c>
      <c r="L2943" s="18" t="s">
        <v>32</v>
      </c>
      <c r="M2943" s="18" t="s">
        <v>19</v>
      </c>
      <c r="N2943" s="18" t="s">
        <v>2015</v>
      </c>
      <c r="O2943">
        <v>30</v>
      </c>
    </row>
    <row r="2944" spans="1:15" x14ac:dyDescent="0.25">
      <c r="A2944" s="18" t="s">
        <v>7276</v>
      </c>
      <c r="B2944" s="18" t="s">
        <v>2013</v>
      </c>
      <c r="C2944" s="18" t="s">
        <v>2014</v>
      </c>
      <c r="D2944" s="18" t="s">
        <v>15</v>
      </c>
      <c r="E2944" s="18" t="s">
        <v>6403</v>
      </c>
      <c r="F2944" s="2">
        <f>+J2944-I2944</f>
        <v>30</v>
      </c>
      <c r="G2944" s="2">
        <f ca="1">+TODAY()-I2944</f>
        <v>14</v>
      </c>
      <c r="H2944" s="15">
        <v>212401</v>
      </c>
      <c r="I2944" s="1">
        <v>46106</v>
      </c>
      <c r="J2944" s="1">
        <v>46136</v>
      </c>
      <c r="K2944" s="18" t="s">
        <v>17</v>
      </c>
      <c r="L2944" s="18" t="s">
        <v>32</v>
      </c>
      <c r="M2944" s="18" t="s">
        <v>19</v>
      </c>
      <c r="N2944" s="18" t="s">
        <v>2015</v>
      </c>
      <c r="O2944">
        <v>30</v>
      </c>
    </row>
    <row r="2945" spans="1:15" x14ac:dyDescent="0.25">
      <c r="A2945" s="18" t="s">
        <v>7276</v>
      </c>
      <c r="B2945" s="18" t="s">
        <v>2013</v>
      </c>
      <c r="C2945" s="18" t="s">
        <v>2014</v>
      </c>
      <c r="D2945" s="18" t="s">
        <v>15</v>
      </c>
      <c r="E2945" s="18" t="s">
        <v>6770</v>
      </c>
      <c r="F2945" s="2">
        <f>+J2945-I2945</f>
        <v>10</v>
      </c>
      <c r="G2945" s="2">
        <f ca="1">+TODAY()-I2945</f>
        <v>9</v>
      </c>
      <c r="H2945" s="15">
        <v>2100000</v>
      </c>
      <c r="I2945" s="1">
        <v>46111</v>
      </c>
      <c r="J2945" s="1">
        <v>46121</v>
      </c>
      <c r="K2945" s="18" t="s">
        <v>17</v>
      </c>
      <c r="L2945" s="18" t="s">
        <v>32</v>
      </c>
      <c r="M2945" s="18" t="s">
        <v>19</v>
      </c>
      <c r="N2945" s="18" t="s">
        <v>2015</v>
      </c>
      <c r="O2945">
        <v>30</v>
      </c>
    </row>
    <row r="2946" spans="1:15" x14ac:dyDescent="0.25">
      <c r="A2946" s="18" t="s">
        <v>7276</v>
      </c>
      <c r="B2946" s="18" t="s">
        <v>2013</v>
      </c>
      <c r="C2946" s="18" t="s">
        <v>2014</v>
      </c>
      <c r="D2946" s="18" t="s">
        <v>15</v>
      </c>
      <c r="E2946" s="18" t="s">
        <v>6771</v>
      </c>
      <c r="F2946" s="2">
        <f>+J2946-I2946</f>
        <v>30</v>
      </c>
      <c r="G2946" s="2">
        <f ca="1">+TODAY()-I2946</f>
        <v>9</v>
      </c>
      <c r="H2946" s="15">
        <v>1079526</v>
      </c>
      <c r="I2946" s="1">
        <v>46111</v>
      </c>
      <c r="J2946" s="1">
        <v>46141</v>
      </c>
      <c r="K2946" s="18" t="s">
        <v>17</v>
      </c>
      <c r="L2946" s="18" t="s">
        <v>32</v>
      </c>
      <c r="M2946" s="18" t="s">
        <v>19</v>
      </c>
      <c r="N2946" s="18" t="s">
        <v>2015</v>
      </c>
      <c r="O2946">
        <v>30</v>
      </c>
    </row>
    <row r="2947" spans="1:15" x14ac:dyDescent="0.25">
      <c r="A2947" s="18" t="s">
        <v>7276</v>
      </c>
      <c r="B2947" s="18" t="s">
        <v>2013</v>
      </c>
      <c r="C2947" s="18" t="s">
        <v>2014</v>
      </c>
      <c r="D2947" s="18" t="s">
        <v>15</v>
      </c>
      <c r="E2947" s="18" t="s">
        <v>6825</v>
      </c>
      <c r="F2947" s="2">
        <f>+J2947-I2947</f>
        <v>30</v>
      </c>
      <c r="G2947" s="2">
        <f ca="1">+TODAY()-I2947</f>
        <v>8</v>
      </c>
      <c r="H2947" s="15">
        <v>517205</v>
      </c>
      <c r="I2947" s="1">
        <v>46112</v>
      </c>
      <c r="J2947" s="1">
        <v>46142</v>
      </c>
      <c r="K2947" s="18" t="s">
        <v>17</v>
      </c>
      <c r="L2947" s="18" t="s">
        <v>32</v>
      </c>
      <c r="M2947" s="18" t="s">
        <v>19</v>
      </c>
      <c r="N2947" s="18" t="s">
        <v>2015</v>
      </c>
      <c r="O2947">
        <v>30</v>
      </c>
    </row>
    <row r="2948" spans="1:15" x14ac:dyDescent="0.25">
      <c r="A2948" s="18" t="s">
        <v>7276</v>
      </c>
      <c r="B2948" s="18" t="s">
        <v>49</v>
      </c>
      <c r="C2948" s="18" t="s">
        <v>50</v>
      </c>
      <c r="D2948" s="18" t="s">
        <v>15</v>
      </c>
      <c r="E2948" s="18" t="s">
        <v>5383</v>
      </c>
      <c r="F2948" s="2">
        <f>+J2948-I2948</f>
        <v>30</v>
      </c>
      <c r="G2948" s="2">
        <f ca="1">+TODAY()-I2948</f>
        <v>36</v>
      </c>
      <c r="H2948" s="15">
        <v>468003</v>
      </c>
      <c r="I2948" s="1">
        <v>46084</v>
      </c>
      <c r="J2948" s="1">
        <v>46114</v>
      </c>
      <c r="K2948" s="18" t="s">
        <v>17</v>
      </c>
      <c r="L2948" s="18" t="s">
        <v>32</v>
      </c>
      <c r="M2948" s="18" t="s">
        <v>19</v>
      </c>
      <c r="N2948" s="18" t="s">
        <v>51</v>
      </c>
      <c r="O2948">
        <v>30</v>
      </c>
    </row>
    <row r="2949" spans="1:15" x14ac:dyDescent="0.25">
      <c r="A2949" s="18" t="s">
        <v>7276</v>
      </c>
      <c r="B2949" s="18" t="s">
        <v>49</v>
      </c>
      <c r="C2949" s="18" t="s">
        <v>50</v>
      </c>
      <c r="D2949" s="18" t="s">
        <v>15</v>
      </c>
      <c r="E2949" s="18" t="s">
        <v>5518</v>
      </c>
      <c r="F2949" s="2">
        <f>+J2949-I2949</f>
        <v>30</v>
      </c>
      <c r="G2949" s="2">
        <f ca="1">+TODAY()-I2949</f>
        <v>33</v>
      </c>
      <c r="H2949" s="15">
        <v>2167454</v>
      </c>
      <c r="I2949" s="1">
        <v>46087</v>
      </c>
      <c r="J2949" s="1">
        <v>46117</v>
      </c>
      <c r="K2949" s="18" t="s">
        <v>17</v>
      </c>
      <c r="L2949" s="18" t="s">
        <v>32</v>
      </c>
      <c r="M2949" s="18" t="s">
        <v>19</v>
      </c>
      <c r="N2949" s="18" t="s">
        <v>51</v>
      </c>
      <c r="O2949">
        <v>30</v>
      </c>
    </row>
    <row r="2950" spans="1:15" x14ac:dyDescent="0.25">
      <c r="A2950" s="18" t="s">
        <v>7276</v>
      </c>
      <c r="B2950" s="18" t="s">
        <v>49</v>
      </c>
      <c r="C2950" s="18" t="s">
        <v>50</v>
      </c>
      <c r="D2950" s="18" t="s">
        <v>15</v>
      </c>
      <c r="E2950" s="18" t="s">
        <v>5888</v>
      </c>
      <c r="F2950" s="2">
        <f>+J2950-I2950</f>
        <v>30</v>
      </c>
      <c r="G2950" s="2">
        <f ca="1">+TODAY()-I2950</f>
        <v>26</v>
      </c>
      <c r="H2950" s="15">
        <v>314003</v>
      </c>
      <c r="I2950" s="1">
        <v>46094</v>
      </c>
      <c r="J2950" s="1">
        <v>46124</v>
      </c>
      <c r="K2950" s="18" t="s">
        <v>17</v>
      </c>
      <c r="L2950" s="18" t="s">
        <v>32</v>
      </c>
      <c r="M2950" s="18" t="s">
        <v>19</v>
      </c>
      <c r="N2950" s="18" t="s">
        <v>51</v>
      </c>
      <c r="O2950">
        <v>30</v>
      </c>
    </row>
    <row r="2951" spans="1:15" x14ac:dyDescent="0.25">
      <c r="A2951" s="18" t="s">
        <v>7276</v>
      </c>
      <c r="B2951" s="18" t="s">
        <v>49</v>
      </c>
      <c r="C2951" s="18" t="s">
        <v>50</v>
      </c>
      <c r="D2951" s="18" t="s">
        <v>15</v>
      </c>
      <c r="E2951" s="18" t="s">
        <v>6400</v>
      </c>
      <c r="F2951" s="2">
        <f>+J2951-I2951</f>
        <v>30</v>
      </c>
      <c r="G2951" s="2">
        <f ca="1">+TODAY()-I2951</f>
        <v>14</v>
      </c>
      <c r="H2951" s="15">
        <v>870000</v>
      </c>
      <c r="I2951" s="1">
        <v>46106</v>
      </c>
      <c r="J2951" s="1">
        <v>46136</v>
      </c>
      <c r="K2951" s="18" t="s">
        <v>17</v>
      </c>
      <c r="L2951" s="18" t="s">
        <v>32</v>
      </c>
      <c r="M2951" s="18" t="s">
        <v>19</v>
      </c>
      <c r="N2951" s="18" t="s">
        <v>51</v>
      </c>
      <c r="O2951">
        <v>30</v>
      </c>
    </row>
    <row r="2952" spans="1:15" x14ac:dyDescent="0.25">
      <c r="A2952" s="18" t="s">
        <v>7276</v>
      </c>
      <c r="B2952" s="18" t="s">
        <v>5071</v>
      </c>
      <c r="C2952" s="18" t="s">
        <v>5072</v>
      </c>
      <c r="D2952" s="18" t="s">
        <v>1891</v>
      </c>
      <c r="E2952" s="18" t="s">
        <v>5073</v>
      </c>
      <c r="F2952" s="2">
        <f>+J2952-I2952</f>
        <v>30</v>
      </c>
      <c r="G2952" s="2">
        <f ca="1">+TODAY()-I2952</f>
        <v>61</v>
      </c>
      <c r="H2952" s="15">
        <v>625985</v>
      </c>
      <c r="I2952" s="1">
        <v>46059</v>
      </c>
      <c r="J2952" s="1">
        <v>46089</v>
      </c>
      <c r="K2952" s="18" t="s">
        <v>1892</v>
      </c>
      <c r="L2952" s="18" t="s">
        <v>981</v>
      </c>
      <c r="M2952" s="18" t="s">
        <v>19</v>
      </c>
      <c r="N2952" s="18" t="s">
        <v>5074</v>
      </c>
      <c r="O2952">
        <v>30</v>
      </c>
    </row>
    <row r="2953" spans="1:15" x14ac:dyDescent="0.25">
      <c r="A2953" s="18" t="s">
        <v>7276</v>
      </c>
      <c r="B2953" s="18" t="s">
        <v>5071</v>
      </c>
      <c r="C2953" s="18" t="s">
        <v>5072</v>
      </c>
      <c r="D2953" s="18" t="s">
        <v>1891</v>
      </c>
      <c r="E2953" s="18" t="s">
        <v>5075</v>
      </c>
      <c r="F2953" s="2">
        <f>+J2953-I2953</f>
        <v>30</v>
      </c>
      <c r="G2953" s="2">
        <f ca="1">+TODAY()-I2953</f>
        <v>61</v>
      </c>
      <c r="H2953" s="15">
        <v>1153600</v>
      </c>
      <c r="I2953" s="1">
        <v>46059</v>
      </c>
      <c r="J2953" s="1">
        <v>46089</v>
      </c>
      <c r="K2953" s="18" t="s">
        <v>1892</v>
      </c>
      <c r="L2953" s="18" t="s">
        <v>981</v>
      </c>
      <c r="M2953" s="18" t="s">
        <v>19</v>
      </c>
      <c r="N2953" s="18" t="s">
        <v>5074</v>
      </c>
      <c r="O2953">
        <v>30</v>
      </c>
    </row>
    <row r="2954" spans="1:15" x14ac:dyDescent="0.25">
      <c r="A2954" s="18" t="s">
        <v>7276</v>
      </c>
      <c r="B2954" s="18" t="s">
        <v>5071</v>
      </c>
      <c r="C2954" s="18" t="s">
        <v>5072</v>
      </c>
      <c r="D2954" s="18" t="s">
        <v>1891</v>
      </c>
      <c r="E2954" s="18" t="s">
        <v>5588</v>
      </c>
      <c r="F2954" s="2">
        <f>+J2954-I2954</f>
        <v>30</v>
      </c>
      <c r="G2954" s="2">
        <f ca="1">+TODAY()-I2954</f>
        <v>33</v>
      </c>
      <c r="H2954" s="15">
        <v>713602</v>
      </c>
      <c r="I2954" s="1">
        <v>46087</v>
      </c>
      <c r="J2954" s="1">
        <v>46117</v>
      </c>
      <c r="K2954" s="18" t="s">
        <v>1892</v>
      </c>
      <c r="L2954" s="18" t="s">
        <v>981</v>
      </c>
      <c r="M2954" s="18" t="s">
        <v>19</v>
      </c>
      <c r="N2954" s="18" t="s">
        <v>5074</v>
      </c>
      <c r="O2954">
        <v>30</v>
      </c>
    </row>
    <row r="2955" spans="1:15" x14ac:dyDescent="0.25">
      <c r="A2955" s="18" t="s">
        <v>7276</v>
      </c>
      <c r="B2955" s="18" t="s">
        <v>5071</v>
      </c>
      <c r="C2955" s="18" t="s">
        <v>5072</v>
      </c>
      <c r="D2955" s="18" t="s">
        <v>1891</v>
      </c>
      <c r="E2955" s="18" t="s">
        <v>5589</v>
      </c>
      <c r="F2955" s="2">
        <f>+J2955-I2955</f>
        <v>30</v>
      </c>
      <c r="G2955" s="2">
        <f ca="1">+TODAY()-I2955</f>
        <v>33</v>
      </c>
      <c r="H2955" s="15">
        <v>3681782</v>
      </c>
      <c r="I2955" s="1">
        <v>46087</v>
      </c>
      <c r="J2955" s="1">
        <v>46117</v>
      </c>
      <c r="K2955" s="18" t="s">
        <v>1892</v>
      </c>
      <c r="L2955" s="18" t="s">
        <v>981</v>
      </c>
      <c r="M2955" s="18" t="s">
        <v>19</v>
      </c>
      <c r="N2955" s="18" t="s">
        <v>5074</v>
      </c>
      <c r="O2955">
        <v>30</v>
      </c>
    </row>
    <row r="2956" spans="1:15" x14ac:dyDescent="0.25">
      <c r="A2956" s="18" t="s">
        <v>7276</v>
      </c>
      <c r="B2956" s="18" t="s">
        <v>5071</v>
      </c>
      <c r="C2956" s="18" t="s">
        <v>5072</v>
      </c>
      <c r="D2956" s="18" t="s">
        <v>1891</v>
      </c>
      <c r="E2956" s="18" t="s">
        <v>5590</v>
      </c>
      <c r="F2956" s="2">
        <f>+J2956-I2956</f>
        <v>30</v>
      </c>
      <c r="G2956" s="2">
        <f ca="1">+TODAY()-I2956</f>
        <v>33</v>
      </c>
      <c r="H2956" s="15">
        <v>254403</v>
      </c>
      <c r="I2956" s="1">
        <v>46087</v>
      </c>
      <c r="J2956" s="1">
        <v>46117</v>
      </c>
      <c r="K2956" s="18" t="s">
        <v>1892</v>
      </c>
      <c r="L2956" s="18" t="s">
        <v>981</v>
      </c>
      <c r="M2956" s="18" t="s">
        <v>19</v>
      </c>
      <c r="N2956" s="18" t="s">
        <v>5074</v>
      </c>
      <c r="O2956">
        <v>30</v>
      </c>
    </row>
    <row r="2957" spans="1:15" x14ac:dyDescent="0.25">
      <c r="A2957" s="18" t="s">
        <v>7276</v>
      </c>
      <c r="B2957" s="18" t="s">
        <v>5071</v>
      </c>
      <c r="C2957" s="18" t="s">
        <v>5072</v>
      </c>
      <c r="D2957" s="18" t="s">
        <v>1891</v>
      </c>
      <c r="E2957" s="18" t="s">
        <v>5863</v>
      </c>
      <c r="F2957" s="2">
        <f>+J2957-I2957</f>
        <v>30</v>
      </c>
      <c r="G2957" s="2">
        <f ca="1">+TODAY()-I2957</f>
        <v>33</v>
      </c>
      <c r="H2957" s="15">
        <v>1181447</v>
      </c>
      <c r="I2957" s="1">
        <v>46087</v>
      </c>
      <c r="J2957" s="1">
        <v>46117</v>
      </c>
      <c r="K2957" s="18" t="s">
        <v>1892</v>
      </c>
      <c r="L2957" s="18" t="s">
        <v>981</v>
      </c>
      <c r="M2957" s="18" t="s">
        <v>19</v>
      </c>
      <c r="N2957" s="18" t="s">
        <v>5074</v>
      </c>
      <c r="O2957">
        <v>30</v>
      </c>
    </row>
    <row r="2958" spans="1:15" x14ac:dyDescent="0.25">
      <c r="A2958" s="18" t="s">
        <v>7276</v>
      </c>
      <c r="B2958" s="18" t="s">
        <v>1894</v>
      </c>
      <c r="C2958" s="18" t="s">
        <v>1895</v>
      </c>
      <c r="D2958" s="18" t="s">
        <v>1891</v>
      </c>
      <c r="E2958" s="18" t="s">
        <v>5374</v>
      </c>
      <c r="F2958" s="2">
        <f>+J2958-I2958</f>
        <v>30</v>
      </c>
      <c r="G2958" s="2">
        <f ca="1">+TODAY()-I2958</f>
        <v>44</v>
      </c>
      <c r="H2958" s="15">
        <v>1052094</v>
      </c>
      <c r="I2958" s="1">
        <v>46076</v>
      </c>
      <c r="J2958" s="1">
        <v>46106</v>
      </c>
      <c r="K2958" s="18" t="s">
        <v>1892</v>
      </c>
      <c r="L2958" s="18" t="s">
        <v>981</v>
      </c>
      <c r="M2958" s="18" t="s">
        <v>19</v>
      </c>
      <c r="N2958" s="18" t="s">
        <v>1896</v>
      </c>
      <c r="O2958">
        <v>30</v>
      </c>
    </row>
    <row r="2959" spans="1:15" x14ac:dyDescent="0.25">
      <c r="A2959" s="18" t="s">
        <v>7276</v>
      </c>
      <c r="B2959" s="18" t="s">
        <v>1894</v>
      </c>
      <c r="C2959" s="18" t="s">
        <v>1895</v>
      </c>
      <c r="D2959" s="18" t="s">
        <v>1891</v>
      </c>
      <c r="E2959" s="18" t="s">
        <v>5375</v>
      </c>
      <c r="F2959" s="2">
        <f>+J2959-I2959</f>
        <v>30</v>
      </c>
      <c r="G2959" s="2">
        <f ca="1">+TODAY()-I2959</f>
        <v>44</v>
      </c>
      <c r="H2959" s="15">
        <v>481929</v>
      </c>
      <c r="I2959" s="1">
        <v>46076</v>
      </c>
      <c r="J2959" s="1">
        <v>46106</v>
      </c>
      <c r="K2959" s="18" t="s">
        <v>1892</v>
      </c>
      <c r="L2959" s="18" t="s">
        <v>981</v>
      </c>
      <c r="M2959" s="18" t="s">
        <v>19</v>
      </c>
      <c r="N2959" s="18" t="s">
        <v>1896</v>
      </c>
      <c r="O2959">
        <v>30</v>
      </c>
    </row>
    <row r="2960" spans="1:15" x14ac:dyDescent="0.25">
      <c r="A2960" s="18" t="s">
        <v>7276</v>
      </c>
      <c r="B2960" s="18" t="s">
        <v>1894</v>
      </c>
      <c r="C2960" s="18" t="s">
        <v>1895</v>
      </c>
      <c r="D2960" s="18" t="s">
        <v>1891</v>
      </c>
      <c r="E2960" s="18" t="s">
        <v>5591</v>
      </c>
      <c r="F2960" s="2">
        <f>+J2960-I2960</f>
        <v>30</v>
      </c>
      <c r="G2960" s="2">
        <f ca="1">+TODAY()-I2960</f>
        <v>33</v>
      </c>
      <c r="H2960" s="15">
        <v>887880</v>
      </c>
      <c r="I2960" s="1">
        <v>46087</v>
      </c>
      <c r="J2960" s="1">
        <v>46117</v>
      </c>
      <c r="K2960" s="18" t="s">
        <v>1892</v>
      </c>
      <c r="L2960" s="18" t="s">
        <v>981</v>
      </c>
      <c r="M2960" s="18" t="s">
        <v>19</v>
      </c>
      <c r="N2960" s="18" t="s">
        <v>1896</v>
      </c>
      <c r="O2960">
        <v>30</v>
      </c>
    </row>
    <row r="2961" spans="1:15" x14ac:dyDescent="0.25">
      <c r="A2961" s="18" t="s">
        <v>7276</v>
      </c>
      <c r="B2961" s="18" t="s">
        <v>1655</v>
      </c>
      <c r="C2961" s="18" t="s">
        <v>1656</v>
      </c>
      <c r="D2961" s="18" t="s">
        <v>1587</v>
      </c>
      <c r="E2961" s="18" t="s">
        <v>5348</v>
      </c>
      <c r="F2961" s="2">
        <f>+J2961-I2961</f>
        <v>30</v>
      </c>
      <c r="G2961" s="2">
        <f ca="1">+TODAY()-I2961</f>
        <v>37</v>
      </c>
      <c r="H2961" s="15">
        <v>2212800</v>
      </c>
      <c r="I2961" s="1">
        <v>46083</v>
      </c>
      <c r="J2961" s="1">
        <v>46113</v>
      </c>
      <c r="K2961" s="18" t="s">
        <v>1589</v>
      </c>
      <c r="L2961" s="18" t="s">
        <v>984</v>
      </c>
      <c r="M2961" s="18" t="s">
        <v>19</v>
      </c>
      <c r="N2961" s="18" t="s">
        <v>1657</v>
      </c>
      <c r="O2961">
        <v>30</v>
      </c>
    </row>
    <row r="2962" spans="1:15" x14ac:dyDescent="0.25">
      <c r="A2962" s="18" t="s">
        <v>7276</v>
      </c>
      <c r="B2962" s="18" t="s">
        <v>1655</v>
      </c>
      <c r="C2962" s="18" t="s">
        <v>1656</v>
      </c>
      <c r="D2962" s="18" t="s">
        <v>1587</v>
      </c>
      <c r="E2962" s="18" t="s">
        <v>5349</v>
      </c>
      <c r="F2962" s="2">
        <f>+J2962-I2962</f>
        <v>30</v>
      </c>
      <c r="G2962" s="2">
        <f ca="1">+TODAY()-I2962</f>
        <v>37</v>
      </c>
      <c r="H2962" s="15">
        <v>2287449</v>
      </c>
      <c r="I2962" s="1">
        <v>46083</v>
      </c>
      <c r="J2962" s="1">
        <v>46113</v>
      </c>
      <c r="K2962" s="18" t="s">
        <v>1589</v>
      </c>
      <c r="L2962" s="18" t="s">
        <v>984</v>
      </c>
      <c r="M2962" s="18" t="s">
        <v>19</v>
      </c>
      <c r="N2962" s="18" t="s">
        <v>1657</v>
      </c>
      <c r="O2962">
        <v>30</v>
      </c>
    </row>
    <row r="2963" spans="1:15" x14ac:dyDescent="0.25">
      <c r="A2963" s="18" t="s">
        <v>7276</v>
      </c>
      <c r="B2963" s="18" t="s">
        <v>1655</v>
      </c>
      <c r="C2963" s="18" t="s">
        <v>1656</v>
      </c>
      <c r="D2963" s="18" t="s">
        <v>1587</v>
      </c>
      <c r="E2963" s="18" t="s">
        <v>7819</v>
      </c>
      <c r="F2963" s="2">
        <f>+J2963-I2963</f>
        <v>30</v>
      </c>
      <c r="G2963" s="2">
        <f ca="1">+TODAY()-I2963</f>
        <v>1</v>
      </c>
      <c r="H2963" s="15">
        <v>2233299</v>
      </c>
      <c r="I2963" s="1">
        <v>46119</v>
      </c>
      <c r="J2963" s="1">
        <v>46149</v>
      </c>
      <c r="K2963" s="18" t="s">
        <v>1589</v>
      </c>
      <c r="L2963" s="18" t="s">
        <v>984</v>
      </c>
      <c r="M2963" s="18" t="s">
        <v>19</v>
      </c>
      <c r="N2963" s="18" t="s">
        <v>1657</v>
      </c>
      <c r="O2963">
        <v>30</v>
      </c>
    </row>
    <row r="2964" spans="1:15" x14ac:dyDescent="0.25">
      <c r="A2964" s="18" t="s">
        <v>7276</v>
      </c>
      <c r="B2964" s="18" t="s">
        <v>1655</v>
      </c>
      <c r="C2964" s="18" t="s">
        <v>1656</v>
      </c>
      <c r="D2964" s="18" t="s">
        <v>1587</v>
      </c>
      <c r="E2964" s="18" t="s">
        <v>7820</v>
      </c>
      <c r="F2964" s="2">
        <f>+J2964-I2964</f>
        <v>30</v>
      </c>
      <c r="G2964" s="2">
        <f ca="1">+TODAY()-I2964</f>
        <v>1</v>
      </c>
      <c r="H2964" s="15">
        <v>2191621</v>
      </c>
      <c r="I2964" s="1">
        <v>46119</v>
      </c>
      <c r="J2964" s="1">
        <v>46149</v>
      </c>
      <c r="K2964" s="18" t="s">
        <v>1589</v>
      </c>
      <c r="L2964" s="18" t="s">
        <v>984</v>
      </c>
      <c r="M2964" s="18" t="s">
        <v>19</v>
      </c>
      <c r="N2964" s="18" t="s">
        <v>1657</v>
      </c>
      <c r="O2964">
        <v>30</v>
      </c>
    </row>
    <row r="2965" spans="1:15" x14ac:dyDescent="0.25">
      <c r="A2965" s="18" t="s">
        <v>7276</v>
      </c>
      <c r="B2965" s="18" t="s">
        <v>1655</v>
      </c>
      <c r="C2965" s="18" t="s">
        <v>1656</v>
      </c>
      <c r="D2965" s="18" t="s">
        <v>1587</v>
      </c>
      <c r="E2965" s="18" t="s">
        <v>7821</v>
      </c>
      <c r="F2965" s="2">
        <f>+J2965-I2965</f>
        <v>30</v>
      </c>
      <c r="G2965" s="2">
        <f ca="1">+TODAY()-I2965</f>
        <v>1</v>
      </c>
      <c r="H2965" s="15">
        <v>2639653</v>
      </c>
      <c r="I2965" s="1">
        <v>46119</v>
      </c>
      <c r="J2965" s="1">
        <v>46149</v>
      </c>
      <c r="K2965" s="18" t="s">
        <v>1589</v>
      </c>
      <c r="L2965" s="18" t="s">
        <v>984</v>
      </c>
      <c r="M2965" s="18" t="s">
        <v>19</v>
      </c>
      <c r="N2965" s="18" t="s">
        <v>1657</v>
      </c>
      <c r="O2965">
        <v>30</v>
      </c>
    </row>
    <row r="2966" spans="1:15" x14ac:dyDescent="0.25">
      <c r="A2966" s="18" t="s">
        <v>7276</v>
      </c>
      <c r="B2966" s="18" t="s">
        <v>1655</v>
      </c>
      <c r="C2966" s="18" t="s">
        <v>1656</v>
      </c>
      <c r="D2966" s="18" t="s">
        <v>1587</v>
      </c>
      <c r="E2966" s="18" t="s">
        <v>7822</v>
      </c>
      <c r="F2966" s="2">
        <f>+J2966-I2966</f>
        <v>30</v>
      </c>
      <c r="G2966" s="2">
        <f ca="1">+TODAY()-I2966</f>
        <v>1</v>
      </c>
      <c r="H2966" s="15">
        <v>1402800</v>
      </c>
      <c r="I2966" s="1">
        <v>46119</v>
      </c>
      <c r="J2966" s="1">
        <v>46149</v>
      </c>
      <c r="K2966" s="18" t="s">
        <v>1589</v>
      </c>
      <c r="L2966" s="18" t="s">
        <v>984</v>
      </c>
      <c r="M2966" s="18" t="s">
        <v>19</v>
      </c>
      <c r="N2966" s="18" t="s">
        <v>1657</v>
      </c>
      <c r="O2966">
        <v>30</v>
      </c>
    </row>
    <row r="2967" spans="1:15" x14ac:dyDescent="0.25">
      <c r="A2967" s="18" t="s">
        <v>7276</v>
      </c>
      <c r="B2967" s="18" t="s">
        <v>4020</v>
      </c>
      <c r="C2967" s="18" t="s">
        <v>4021</v>
      </c>
      <c r="D2967" s="18" t="s">
        <v>916</v>
      </c>
      <c r="E2967" s="18" t="s">
        <v>7473</v>
      </c>
      <c r="F2967" s="2">
        <f>+J2967-I2967</f>
        <v>1</v>
      </c>
      <c r="G2967" s="2">
        <f ca="1">+TODAY()-I2967</f>
        <v>2</v>
      </c>
      <c r="H2967" s="15">
        <v>169600</v>
      </c>
      <c r="I2967" s="1">
        <v>46118</v>
      </c>
      <c r="J2967" s="1">
        <v>46119</v>
      </c>
      <c r="K2967" s="18" t="s">
        <v>918</v>
      </c>
      <c r="L2967" s="18" t="s">
        <v>312</v>
      </c>
      <c r="M2967" s="18" t="s">
        <v>19</v>
      </c>
      <c r="N2967" s="18" t="s">
        <v>4022</v>
      </c>
      <c r="O2967">
        <v>30</v>
      </c>
    </row>
    <row r="2968" spans="1:15" x14ac:dyDescent="0.25">
      <c r="A2968" s="18" t="s">
        <v>7276</v>
      </c>
      <c r="B2968" s="18" t="s">
        <v>4020</v>
      </c>
      <c r="C2968" s="18" t="s">
        <v>4021</v>
      </c>
      <c r="D2968" s="18" t="s">
        <v>916</v>
      </c>
      <c r="E2968" s="18" t="s">
        <v>7475</v>
      </c>
      <c r="F2968" s="2">
        <f>+J2968-I2968</f>
        <v>1</v>
      </c>
      <c r="G2968" s="2">
        <f ca="1">+TODAY()-I2968</f>
        <v>2</v>
      </c>
      <c r="H2968" s="15">
        <v>85396</v>
      </c>
      <c r="I2968" s="1">
        <v>46118</v>
      </c>
      <c r="J2968" s="1">
        <v>46119</v>
      </c>
      <c r="K2968" s="18" t="s">
        <v>918</v>
      </c>
      <c r="L2968" s="18" t="s">
        <v>312</v>
      </c>
      <c r="M2968" s="18" t="s">
        <v>19</v>
      </c>
      <c r="N2968" s="18" t="s">
        <v>4022</v>
      </c>
      <c r="O2968">
        <v>30</v>
      </c>
    </row>
    <row r="2969" spans="1:15" x14ac:dyDescent="0.25">
      <c r="A2969" s="18" t="s">
        <v>7276</v>
      </c>
      <c r="B2969" s="18" t="s">
        <v>4020</v>
      </c>
      <c r="C2969" s="18" t="s">
        <v>4021</v>
      </c>
      <c r="D2969" s="18" t="s">
        <v>916</v>
      </c>
      <c r="E2969" s="18" t="s">
        <v>7476</v>
      </c>
      <c r="F2969" s="2">
        <f>+J2969-I2969</f>
        <v>1</v>
      </c>
      <c r="G2969" s="2">
        <f ca="1">+TODAY()-I2969</f>
        <v>2</v>
      </c>
      <c r="H2969" s="15">
        <v>62000</v>
      </c>
      <c r="I2969" s="1">
        <v>46118</v>
      </c>
      <c r="J2969" s="1">
        <v>46119</v>
      </c>
      <c r="K2969" s="18" t="s">
        <v>918</v>
      </c>
      <c r="L2969" s="18" t="s">
        <v>312</v>
      </c>
      <c r="M2969" s="18" t="s">
        <v>19</v>
      </c>
      <c r="N2969" s="18" t="s">
        <v>4022</v>
      </c>
      <c r="O2969">
        <v>30</v>
      </c>
    </row>
    <row r="2970" spans="1:15" x14ac:dyDescent="0.25">
      <c r="A2970" s="18" t="s">
        <v>7276</v>
      </c>
      <c r="B2970" s="18" t="s">
        <v>76</v>
      </c>
      <c r="C2970" s="18" t="s">
        <v>77</v>
      </c>
      <c r="D2970" s="18" t="s">
        <v>46</v>
      </c>
      <c r="E2970" s="18" t="s">
        <v>5081</v>
      </c>
      <c r="F2970" s="2">
        <f>+J2970-I2970</f>
        <v>30</v>
      </c>
      <c r="G2970" s="2">
        <f ca="1">+TODAY()-I2970</f>
        <v>50</v>
      </c>
      <c r="H2970" s="15">
        <v>171936</v>
      </c>
      <c r="I2970" s="1">
        <v>46070</v>
      </c>
      <c r="J2970" s="1">
        <v>46100</v>
      </c>
      <c r="K2970" s="18" t="s">
        <v>17</v>
      </c>
      <c r="L2970" s="18" t="s">
        <v>32</v>
      </c>
      <c r="M2970" s="18" t="s">
        <v>19</v>
      </c>
      <c r="N2970" s="18" t="s">
        <v>78</v>
      </c>
      <c r="O2970">
        <v>30</v>
      </c>
    </row>
    <row r="2971" spans="1:15" x14ac:dyDescent="0.25">
      <c r="A2971" s="18" t="s">
        <v>7276</v>
      </c>
      <c r="B2971" s="18" t="s">
        <v>76</v>
      </c>
      <c r="C2971" s="18" t="s">
        <v>77</v>
      </c>
      <c r="D2971" s="18" t="s">
        <v>46</v>
      </c>
      <c r="E2971" s="18" t="s">
        <v>5529</v>
      </c>
      <c r="F2971" s="2">
        <f>+J2971-I2971</f>
        <v>30</v>
      </c>
      <c r="G2971" s="2">
        <f ca="1">+TODAY()-I2971</f>
        <v>33</v>
      </c>
      <c r="H2971" s="15">
        <v>11742568</v>
      </c>
      <c r="I2971" s="1">
        <v>46087</v>
      </c>
      <c r="J2971" s="1">
        <v>46117</v>
      </c>
      <c r="K2971" s="18" t="s">
        <v>17</v>
      </c>
      <c r="L2971" s="18" t="s">
        <v>32</v>
      </c>
      <c r="M2971" s="18" t="s">
        <v>19</v>
      </c>
      <c r="N2971" s="18" t="s">
        <v>78</v>
      </c>
      <c r="O2971">
        <v>30</v>
      </c>
    </row>
    <row r="2972" spans="1:15" x14ac:dyDescent="0.25">
      <c r="A2972" s="18" t="s">
        <v>7276</v>
      </c>
      <c r="B2972" s="18" t="s">
        <v>76</v>
      </c>
      <c r="C2972" s="18" t="s">
        <v>77</v>
      </c>
      <c r="D2972" s="18" t="s">
        <v>46</v>
      </c>
      <c r="E2972" s="18" t="s">
        <v>5530</v>
      </c>
      <c r="F2972" s="2">
        <f>+J2972-I2972</f>
        <v>30</v>
      </c>
      <c r="G2972" s="2">
        <f ca="1">+TODAY()-I2972</f>
        <v>33</v>
      </c>
      <c r="H2972" s="15">
        <v>6148232</v>
      </c>
      <c r="I2972" s="1">
        <v>46087</v>
      </c>
      <c r="J2972" s="1">
        <v>46117</v>
      </c>
      <c r="K2972" s="18" t="s">
        <v>17</v>
      </c>
      <c r="L2972" s="18" t="s">
        <v>32</v>
      </c>
      <c r="M2972" s="18" t="s">
        <v>19</v>
      </c>
      <c r="N2972" s="18" t="s">
        <v>78</v>
      </c>
      <c r="O2972">
        <v>30</v>
      </c>
    </row>
    <row r="2973" spans="1:15" x14ac:dyDescent="0.25">
      <c r="A2973" s="18" t="s">
        <v>7276</v>
      </c>
      <c r="B2973" s="18" t="s">
        <v>76</v>
      </c>
      <c r="C2973" s="18" t="s">
        <v>77</v>
      </c>
      <c r="D2973" s="18" t="s">
        <v>46</v>
      </c>
      <c r="E2973" s="18" t="s">
        <v>5608</v>
      </c>
      <c r="F2973" s="2">
        <f>+J2973-I2973</f>
        <v>30</v>
      </c>
      <c r="G2973" s="2">
        <f ca="1">+TODAY()-I2973</f>
        <v>32</v>
      </c>
      <c r="H2973" s="15">
        <v>5817758</v>
      </c>
      <c r="I2973" s="1">
        <v>46088</v>
      </c>
      <c r="J2973" s="1">
        <v>46118</v>
      </c>
      <c r="K2973" s="18" t="s">
        <v>17</v>
      </c>
      <c r="L2973" s="18" t="s">
        <v>32</v>
      </c>
      <c r="M2973" s="18" t="s">
        <v>19</v>
      </c>
      <c r="N2973" s="18" t="s">
        <v>78</v>
      </c>
      <c r="O2973">
        <v>30</v>
      </c>
    </row>
    <row r="2974" spans="1:15" x14ac:dyDescent="0.25">
      <c r="A2974" s="18" t="s">
        <v>7276</v>
      </c>
      <c r="B2974" s="18" t="s">
        <v>76</v>
      </c>
      <c r="C2974" s="18" t="s">
        <v>77</v>
      </c>
      <c r="D2974" s="18" t="s">
        <v>46</v>
      </c>
      <c r="E2974" s="18" t="s">
        <v>5613</v>
      </c>
      <c r="F2974" s="2">
        <f>+J2974-I2974</f>
        <v>30</v>
      </c>
      <c r="G2974" s="2">
        <f ca="1">+TODAY()-I2974</f>
        <v>32</v>
      </c>
      <c r="H2974" s="15">
        <v>145200</v>
      </c>
      <c r="I2974" s="1">
        <v>46088</v>
      </c>
      <c r="J2974" s="1">
        <v>46118</v>
      </c>
      <c r="K2974" s="18" t="s">
        <v>17</v>
      </c>
      <c r="L2974" s="18" t="s">
        <v>32</v>
      </c>
      <c r="M2974" s="18" t="s">
        <v>19</v>
      </c>
      <c r="N2974" s="18" t="s">
        <v>78</v>
      </c>
      <c r="O2974">
        <v>30</v>
      </c>
    </row>
    <row r="2975" spans="1:15" x14ac:dyDescent="0.25">
      <c r="A2975" s="18" t="s">
        <v>7276</v>
      </c>
      <c r="B2975" s="18" t="s">
        <v>76</v>
      </c>
      <c r="C2975" s="18" t="s">
        <v>77</v>
      </c>
      <c r="D2975" s="18" t="s">
        <v>46</v>
      </c>
      <c r="E2975" s="18" t="s">
        <v>5632</v>
      </c>
      <c r="F2975" s="2">
        <f>+J2975-I2975</f>
        <v>10</v>
      </c>
      <c r="G2975" s="2">
        <f ca="1">+TODAY()-I2975</f>
        <v>29</v>
      </c>
      <c r="H2975" s="15">
        <v>3</v>
      </c>
      <c r="I2975" s="1">
        <v>46091</v>
      </c>
      <c r="J2975" s="1">
        <v>46101</v>
      </c>
      <c r="K2975" s="18" t="s">
        <v>17</v>
      </c>
      <c r="L2975" s="18" t="s">
        <v>32</v>
      </c>
      <c r="M2975" s="18" t="s">
        <v>19</v>
      </c>
      <c r="N2975" s="18" t="s">
        <v>78</v>
      </c>
      <c r="O2975">
        <v>30</v>
      </c>
    </row>
    <row r="2976" spans="1:15" x14ac:dyDescent="0.25">
      <c r="A2976" s="18" t="s">
        <v>7276</v>
      </c>
      <c r="B2976" s="18" t="s">
        <v>76</v>
      </c>
      <c r="C2976" s="18" t="s">
        <v>77</v>
      </c>
      <c r="D2976" s="18" t="s">
        <v>46</v>
      </c>
      <c r="E2976" s="18" t="s">
        <v>5633</v>
      </c>
      <c r="F2976" s="2">
        <f>+J2976-I2976</f>
        <v>30</v>
      </c>
      <c r="G2976" s="2">
        <f ca="1">+TODAY()-I2976</f>
        <v>29</v>
      </c>
      <c r="H2976" s="15">
        <v>2197500</v>
      </c>
      <c r="I2976" s="1">
        <v>46091</v>
      </c>
      <c r="J2976" s="1">
        <v>46121</v>
      </c>
      <c r="K2976" s="18" t="s">
        <v>17</v>
      </c>
      <c r="L2976" s="18" t="s">
        <v>32</v>
      </c>
      <c r="M2976" s="18" t="s">
        <v>19</v>
      </c>
      <c r="N2976" s="18" t="s">
        <v>78</v>
      </c>
      <c r="O2976">
        <v>30</v>
      </c>
    </row>
    <row r="2977" spans="1:15" x14ac:dyDescent="0.25">
      <c r="A2977" s="18" t="s">
        <v>7276</v>
      </c>
      <c r="B2977" s="18" t="s">
        <v>76</v>
      </c>
      <c r="C2977" s="18" t="s">
        <v>77</v>
      </c>
      <c r="D2977" s="18" t="s">
        <v>46</v>
      </c>
      <c r="E2977" s="18" t="s">
        <v>5636</v>
      </c>
      <c r="F2977" s="2">
        <f>+J2977-I2977</f>
        <v>30</v>
      </c>
      <c r="G2977" s="2">
        <f ca="1">+TODAY()-I2977</f>
        <v>28</v>
      </c>
      <c r="H2977" s="15">
        <v>307822</v>
      </c>
      <c r="I2977" s="1">
        <v>46092</v>
      </c>
      <c r="J2977" s="1">
        <v>46122</v>
      </c>
      <c r="K2977" s="18" t="s">
        <v>17</v>
      </c>
      <c r="L2977" s="18" t="s">
        <v>32</v>
      </c>
      <c r="M2977" s="18" t="s">
        <v>19</v>
      </c>
      <c r="N2977" s="18" t="s">
        <v>78</v>
      </c>
      <c r="O2977">
        <v>30</v>
      </c>
    </row>
    <row r="2978" spans="1:15" x14ac:dyDescent="0.25">
      <c r="A2978" s="18" t="s">
        <v>7276</v>
      </c>
      <c r="B2978" s="18" t="s">
        <v>76</v>
      </c>
      <c r="C2978" s="18" t="s">
        <v>77</v>
      </c>
      <c r="D2978" s="18" t="s">
        <v>46</v>
      </c>
      <c r="E2978" s="18" t="s">
        <v>5644</v>
      </c>
      <c r="F2978" s="2">
        <f>+J2978-I2978</f>
        <v>30</v>
      </c>
      <c r="G2978" s="2">
        <f ca="1">+TODAY()-I2978</f>
        <v>28</v>
      </c>
      <c r="H2978" s="15">
        <v>220495</v>
      </c>
      <c r="I2978" s="1">
        <v>46092</v>
      </c>
      <c r="J2978" s="1">
        <v>46122</v>
      </c>
      <c r="K2978" s="18" t="s">
        <v>17</v>
      </c>
      <c r="L2978" s="18" t="s">
        <v>32</v>
      </c>
      <c r="M2978" s="18" t="s">
        <v>19</v>
      </c>
      <c r="N2978" s="18" t="s">
        <v>78</v>
      </c>
      <c r="O2978">
        <v>30</v>
      </c>
    </row>
    <row r="2979" spans="1:15" x14ac:dyDescent="0.25">
      <c r="A2979" s="18" t="s">
        <v>7276</v>
      </c>
      <c r="B2979" s="18" t="s">
        <v>76</v>
      </c>
      <c r="C2979" s="18" t="s">
        <v>77</v>
      </c>
      <c r="D2979" s="18" t="s">
        <v>46</v>
      </c>
      <c r="E2979" s="18" t="s">
        <v>5650</v>
      </c>
      <c r="F2979" s="2">
        <f>+J2979-I2979</f>
        <v>30</v>
      </c>
      <c r="G2979" s="2">
        <f ca="1">+TODAY()-I2979</f>
        <v>27</v>
      </c>
      <c r="H2979" s="15">
        <v>4800373</v>
      </c>
      <c r="I2979" s="1">
        <v>46093</v>
      </c>
      <c r="J2979" s="1">
        <v>46123</v>
      </c>
      <c r="K2979" s="18" t="s">
        <v>17</v>
      </c>
      <c r="L2979" s="18" t="s">
        <v>32</v>
      </c>
      <c r="M2979" s="18" t="s">
        <v>19</v>
      </c>
      <c r="N2979" s="18" t="s">
        <v>78</v>
      </c>
      <c r="O2979">
        <v>30</v>
      </c>
    </row>
    <row r="2980" spans="1:15" x14ac:dyDescent="0.25">
      <c r="A2980" s="18" t="s">
        <v>7276</v>
      </c>
      <c r="B2980" s="18" t="s">
        <v>76</v>
      </c>
      <c r="C2980" s="18" t="s">
        <v>77</v>
      </c>
      <c r="D2980" s="18" t="s">
        <v>46</v>
      </c>
      <c r="E2980" s="18" t="s">
        <v>5651</v>
      </c>
      <c r="F2980" s="2">
        <f>+J2980-I2980</f>
        <v>30</v>
      </c>
      <c r="G2980" s="2">
        <f ca="1">+TODAY()-I2980</f>
        <v>27</v>
      </c>
      <c r="H2980" s="15">
        <v>1414796</v>
      </c>
      <c r="I2980" s="1">
        <v>46093</v>
      </c>
      <c r="J2980" s="1">
        <v>46123</v>
      </c>
      <c r="K2980" s="18" t="s">
        <v>17</v>
      </c>
      <c r="L2980" s="18" t="s">
        <v>32</v>
      </c>
      <c r="M2980" s="18" t="s">
        <v>19</v>
      </c>
      <c r="N2980" s="18" t="s">
        <v>78</v>
      </c>
      <c r="O2980">
        <v>30</v>
      </c>
    </row>
    <row r="2981" spans="1:15" x14ac:dyDescent="0.25">
      <c r="A2981" s="18" t="s">
        <v>7276</v>
      </c>
      <c r="B2981" s="18" t="s">
        <v>76</v>
      </c>
      <c r="C2981" s="18" t="s">
        <v>77</v>
      </c>
      <c r="D2981" s="18" t="s">
        <v>46</v>
      </c>
      <c r="E2981" s="18" t="s">
        <v>5654</v>
      </c>
      <c r="F2981" s="2">
        <f>+J2981-I2981</f>
        <v>30</v>
      </c>
      <c r="G2981" s="2">
        <f ca="1">+TODAY()-I2981</f>
        <v>27</v>
      </c>
      <c r="H2981" s="15">
        <v>237500</v>
      </c>
      <c r="I2981" s="1">
        <v>46093</v>
      </c>
      <c r="J2981" s="1">
        <v>46123</v>
      </c>
      <c r="K2981" s="18" t="s">
        <v>17</v>
      </c>
      <c r="L2981" s="18" t="s">
        <v>32</v>
      </c>
      <c r="M2981" s="18" t="s">
        <v>19</v>
      </c>
      <c r="N2981" s="18" t="s">
        <v>78</v>
      </c>
      <c r="O2981">
        <v>30</v>
      </c>
    </row>
    <row r="2982" spans="1:15" x14ac:dyDescent="0.25">
      <c r="A2982" s="18" t="s">
        <v>7276</v>
      </c>
      <c r="B2982" s="18" t="s">
        <v>76</v>
      </c>
      <c r="C2982" s="18" t="s">
        <v>77</v>
      </c>
      <c r="D2982" s="18" t="s">
        <v>46</v>
      </c>
      <c r="E2982" s="18" t="s">
        <v>5880</v>
      </c>
      <c r="F2982" s="2">
        <f>+J2982-I2982</f>
        <v>30</v>
      </c>
      <c r="G2982" s="2">
        <f ca="1">+TODAY()-I2982</f>
        <v>26</v>
      </c>
      <c r="H2982" s="15">
        <v>637336</v>
      </c>
      <c r="I2982" s="1">
        <v>46094</v>
      </c>
      <c r="J2982" s="1">
        <v>46124</v>
      </c>
      <c r="K2982" s="18" t="s">
        <v>17</v>
      </c>
      <c r="L2982" s="18" t="s">
        <v>32</v>
      </c>
      <c r="M2982" s="18" t="s">
        <v>19</v>
      </c>
      <c r="N2982" s="18" t="s">
        <v>78</v>
      </c>
      <c r="O2982">
        <v>30</v>
      </c>
    </row>
    <row r="2983" spans="1:15" x14ac:dyDescent="0.25">
      <c r="A2983" s="18" t="s">
        <v>7276</v>
      </c>
      <c r="B2983" s="18" t="s">
        <v>76</v>
      </c>
      <c r="C2983" s="18" t="s">
        <v>77</v>
      </c>
      <c r="D2983" s="18" t="s">
        <v>46</v>
      </c>
      <c r="E2983" s="18" t="s">
        <v>5892</v>
      </c>
      <c r="F2983" s="2">
        <f>+J2983-I2983</f>
        <v>30</v>
      </c>
      <c r="G2983" s="2">
        <f ca="1">+TODAY()-I2983</f>
        <v>26</v>
      </c>
      <c r="H2983" s="15">
        <v>210059</v>
      </c>
      <c r="I2983" s="1">
        <v>46094</v>
      </c>
      <c r="J2983" s="1">
        <v>46124</v>
      </c>
      <c r="K2983" s="18" t="s">
        <v>17</v>
      </c>
      <c r="L2983" s="18" t="s">
        <v>32</v>
      </c>
      <c r="M2983" s="18" t="s">
        <v>19</v>
      </c>
      <c r="N2983" s="18" t="s">
        <v>78</v>
      </c>
      <c r="O2983">
        <v>30</v>
      </c>
    </row>
    <row r="2984" spans="1:15" x14ac:dyDescent="0.25">
      <c r="A2984" s="18" t="s">
        <v>7276</v>
      </c>
      <c r="B2984" s="18" t="s">
        <v>76</v>
      </c>
      <c r="C2984" s="18" t="s">
        <v>77</v>
      </c>
      <c r="D2984" s="18" t="s">
        <v>46</v>
      </c>
      <c r="E2984" s="18" t="s">
        <v>5900</v>
      </c>
      <c r="F2984" s="2">
        <f>+J2984-I2984</f>
        <v>30</v>
      </c>
      <c r="G2984" s="2">
        <f ca="1">+TODAY()-I2984</f>
        <v>25</v>
      </c>
      <c r="H2984" s="15">
        <v>4816635</v>
      </c>
      <c r="I2984" s="1">
        <v>46095</v>
      </c>
      <c r="J2984" s="1">
        <v>46125</v>
      </c>
      <c r="K2984" s="18" t="s">
        <v>17</v>
      </c>
      <c r="L2984" s="18" t="s">
        <v>32</v>
      </c>
      <c r="M2984" s="18" t="s">
        <v>19</v>
      </c>
      <c r="N2984" s="18" t="s">
        <v>78</v>
      </c>
      <c r="O2984">
        <v>30</v>
      </c>
    </row>
    <row r="2985" spans="1:15" x14ac:dyDescent="0.25">
      <c r="A2985" s="18" t="s">
        <v>7276</v>
      </c>
      <c r="B2985" s="18" t="s">
        <v>76</v>
      </c>
      <c r="C2985" s="18" t="s">
        <v>77</v>
      </c>
      <c r="D2985" s="18" t="s">
        <v>46</v>
      </c>
      <c r="E2985" s="18" t="s">
        <v>5902</v>
      </c>
      <c r="F2985" s="2">
        <f>+J2985-I2985</f>
        <v>30</v>
      </c>
      <c r="G2985" s="2">
        <f ca="1">+TODAY()-I2985</f>
        <v>25</v>
      </c>
      <c r="H2985" s="15">
        <v>5048857</v>
      </c>
      <c r="I2985" s="1">
        <v>46095</v>
      </c>
      <c r="J2985" s="1">
        <v>46125</v>
      </c>
      <c r="K2985" s="18" t="s">
        <v>17</v>
      </c>
      <c r="L2985" s="18" t="s">
        <v>32</v>
      </c>
      <c r="M2985" s="18" t="s">
        <v>19</v>
      </c>
      <c r="N2985" s="18" t="s">
        <v>78</v>
      </c>
      <c r="O2985">
        <v>30</v>
      </c>
    </row>
    <row r="2986" spans="1:15" x14ac:dyDescent="0.25">
      <c r="A2986" s="18" t="s">
        <v>7276</v>
      </c>
      <c r="B2986" s="18" t="s">
        <v>76</v>
      </c>
      <c r="C2986" s="18" t="s">
        <v>77</v>
      </c>
      <c r="D2986" s="18" t="s">
        <v>46</v>
      </c>
      <c r="E2986" s="18" t="s">
        <v>5903</v>
      </c>
      <c r="F2986" s="2">
        <f>+J2986-I2986</f>
        <v>30</v>
      </c>
      <c r="G2986" s="2">
        <f ca="1">+TODAY()-I2986</f>
        <v>25</v>
      </c>
      <c r="H2986" s="15">
        <v>2584537</v>
      </c>
      <c r="I2986" s="1">
        <v>46095</v>
      </c>
      <c r="J2986" s="1">
        <v>46125</v>
      </c>
      <c r="K2986" s="18" t="s">
        <v>17</v>
      </c>
      <c r="L2986" s="18" t="s">
        <v>32</v>
      </c>
      <c r="M2986" s="18" t="s">
        <v>19</v>
      </c>
      <c r="N2986" s="18" t="s">
        <v>78</v>
      </c>
      <c r="O2986">
        <v>30</v>
      </c>
    </row>
    <row r="2987" spans="1:15" x14ac:dyDescent="0.25">
      <c r="A2987" s="18" t="s">
        <v>7276</v>
      </c>
      <c r="B2987" s="18" t="s">
        <v>76</v>
      </c>
      <c r="C2987" s="18" t="s">
        <v>77</v>
      </c>
      <c r="D2987" s="18" t="s">
        <v>46</v>
      </c>
      <c r="E2987" s="18" t="s">
        <v>5904</v>
      </c>
      <c r="F2987" s="2">
        <f>+J2987-I2987</f>
        <v>30</v>
      </c>
      <c r="G2987" s="2">
        <f ca="1">+TODAY()-I2987</f>
        <v>23</v>
      </c>
      <c r="H2987" s="15">
        <v>2312380</v>
      </c>
      <c r="I2987" s="1">
        <v>46097</v>
      </c>
      <c r="J2987" s="1">
        <v>46127</v>
      </c>
      <c r="K2987" s="18" t="s">
        <v>17</v>
      </c>
      <c r="L2987" s="18" t="s">
        <v>32</v>
      </c>
      <c r="M2987" s="18" t="s">
        <v>19</v>
      </c>
      <c r="N2987" s="18" t="s">
        <v>78</v>
      </c>
      <c r="O2987">
        <v>30</v>
      </c>
    </row>
    <row r="2988" spans="1:15" x14ac:dyDescent="0.25">
      <c r="A2988" s="18" t="s">
        <v>7276</v>
      </c>
      <c r="B2988" s="18" t="s">
        <v>76</v>
      </c>
      <c r="C2988" s="18" t="s">
        <v>77</v>
      </c>
      <c r="D2988" s="18" t="s">
        <v>46</v>
      </c>
      <c r="E2988" s="18" t="s">
        <v>5905</v>
      </c>
      <c r="F2988" s="2">
        <f>+J2988-I2988</f>
        <v>30</v>
      </c>
      <c r="G2988" s="2">
        <f ca="1">+TODAY()-I2988</f>
        <v>23</v>
      </c>
      <c r="H2988" s="15">
        <v>3120012</v>
      </c>
      <c r="I2988" s="1">
        <v>46097</v>
      </c>
      <c r="J2988" s="1">
        <v>46127</v>
      </c>
      <c r="K2988" s="18" t="s">
        <v>17</v>
      </c>
      <c r="L2988" s="18" t="s">
        <v>32</v>
      </c>
      <c r="M2988" s="18" t="s">
        <v>19</v>
      </c>
      <c r="N2988" s="18" t="s">
        <v>78</v>
      </c>
      <c r="O2988">
        <v>30</v>
      </c>
    </row>
    <row r="2989" spans="1:15" x14ac:dyDescent="0.25">
      <c r="A2989" s="18" t="s">
        <v>7276</v>
      </c>
      <c r="B2989" s="18" t="s">
        <v>76</v>
      </c>
      <c r="C2989" s="18" t="s">
        <v>77</v>
      </c>
      <c r="D2989" s="18" t="s">
        <v>46</v>
      </c>
      <c r="E2989" s="18" t="s">
        <v>5908</v>
      </c>
      <c r="F2989" s="2">
        <f>+J2989-I2989</f>
        <v>10</v>
      </c>
      <c r="G2989" s="2">
        <f ca="1">+TODAY()-I2989</f>
        <v>23</v>
      </c>
      <c r="H2989" s="15">
        <v>3</v>
      </c>
      <c r="I2989" s="1">
        <v>46097</v>
      </c>
      <c r="J2989" s="1">
        <v>46107</v>
      </c>
      <c r="K2989" s="18" t="s">
        <v>17</v>
      </c>
      <c r="L2989" s="18" t="s">
        <v>32</v>
      </c>
      <c r="M2989" s="18" t="s">
        <v>19</v>
      </c>
      <c r="N2989" s="18" t="s">
        <v>78</v>
      </c>
      <c r="O2989">
        <v>30</v>
      </c>
    </row>
    <row r="2990" spans="1:15" x14ac:dyDescent="0.25">
      <c r="A2990" s="18" t="s">
        <v>7276</v>
      </c>
      <c r="B2990" s="18" t="s">
        <v>76</v>
      </c>
      <c r="C2990" s="18" t="s">
        <v>77</v>
      </c>
      <c r="D2990" s="18" t="s">
        <v>46</v>
      </c>
      <c r="E2990" s="18" t="s">
        <v>6180</v>
      </c>
      <c r="F2990" s="2">
        <f>+J2990-I2990</f>
        <v>30</v>
      </c>
      <c r="G2990" s="2">
        <f ca="1">+TODAY()-I2990</f>
        <v>20</v>
      </c>
      <c r="H2990" s="15">
        <v>460788</v>
      </c>
      <c r="I2990" s="1">
        <v>46100</v>
      </c>
      <c r="J2990" s="1">
        <v>46130</v>
      </c>
      <c r="K2990" s="18" t="s">
        <v>17</v>
      </c>
      <c r="L2990" s="18" t="s">
        <v>32</v>
      </c>
      <c r="M2990" s="18" t="s">
        <v>19</v>
      </c>
      <c r="N2990" s="18" t="s">
        <v>78</v>
      </c>
      <c r="O2990">
        <v>30</v>
      </c>
    </row>
    <row r="2991" spans="1:15" x14ac:dyDescent="0.25">
      <c r="A2991" s="18" t="s">
        <v>7276</v>
      </c>
      <c r="B2991" s="18" t="s">
        <v>76</v>
      </c>
      <c r="C2991" s="18" t="s">
        <v>77</v>
      </c>
      <c r="D2991" s="18" t="s">
        <v>46</v>
      </c>
      <c r="E2991" s="18" t="s">
        <v>6383</v>
      </c>
      <c r="F2991" s="2">
        <f>+J2991-I2991</f>
        <v>30</v>
      </c>
      <c r="G2991" s="2">
        <f ca="1">+TODAY()-I2991</f>
        <v>15</v>
      </c>
      <c r="H2991" s="15">
        <v>2900000</v>
      </c>
      <c r="I2991" s="1">
        <v>46105</v>
      </c>
      <c r="J2991" s="1">
        <v>46135</v>
      </c>
      <c r="K2991" s="18" t="s">
        <v>17</v>
      </c>
      <c r="L2991" s="18" t="s">
        <v>32</v>
      </c>
      <c r="M2991" s="18" t="s">
        <v>19</v>
      </c>
      <c r="N2991" s="18" t="s">
        <v>78</v>
      </c>
      <c r="O2991">
        <v>30</v>
      </c>
    </row>
    <row r="2992" spans="1:15" x14ac:dyDescent="0.25">
      <c r="A2992" s="18" t="s">
        <v>7276</v>
      </c>
      <c r="B2992" s="18" t="s">
        <v>76</v>
      </c>
      <c r="C2992" s="18" t="s">
        <v>77</v>
      </c>
      <c r="D2992" s="18" t="s">
        <v>46</v>
      </c>
      <c r="E2992" s="18" t="s">
        <v>6389</v>
      </c>
      <c r="F2992" s="2">
        <f>+J2992-I2992</f>
        <v>30</v>
      </c>
      <c r="G2992" s="2">
        <f ca="1">+TODAY()-I2992</f>
        <v>15</v>
      </c>
      <c r="H2992" s="15">
        <v>252000</v>
      </c>
      <c r="I2992" s="1">
        <v>46105</v>
      </c>
      <c r="J2992" s="1">
        <v>46135</v>
      </c>
      <c r="K2992" s="18" t="s">
        <v>17</v>
      </c>
      <c r="L2992" s="18" t="s">
        <v>32</v>
      </c>
      <c r="M2992" s="18" t="s">
        <v>19</v>
      </c>
      <c r="N2992" s="18" t="s">
        <v>78</v>
      </c>
      <c r="O2992">
        <v>30</v>
      </c>
    </row>
    <row r="2993" spans="1:15" x14ac:dyDescent="0.25">
      <c r="A2993" s="18" t="s">
        <v>7276</v>
      </c>
      <c r="B2993" s="18" t="s">
        <v>76</v>
      </c>
      <c r="C2993" s="18" t="s">
        <v>77</v>
      </c>
      <c r="D2993" s="18" t="s">
        <v>46</v>
      </c>
      <c r="E2993" s="18" t="s">
        <v>6410</v>
      </c>
      <c r="F2993" s="2">
        <f>+J2993-I2993</f>
        <v>30</v>
      </c>
      <c r="G2993" s="2">
        <f ca="1">+TODAY()-I2993</f>
        <v>14</v>
      </c>
      <c r="H2993" s="15">
        <v>770392</v>
      </c>
      <c r="I2993" s="1">
        <v>46106</v>
      </c>
      <c r="J2993" s="1">
        <v>46136</v>
      </c>
      <c r="K2993" s="18" t="s">
        <v>17</v>
      </c>
      <c r="L2993" s="18" t="s">
        <v>32</v>
      </c>
      <c r="M2993" s="18" t="s">
        <v>19</v>
      </c>
      <c r="N2993" s="18" t="s">
        <v>78</v>
      </c>
      <c r="O2993">
        <v>30</v>
      </c>
    </row>
    <row r="2994" spans="1:15" x14ac:dyDescent="0.25">
      <c r="A2994" s="18" t="s">
        <v>7276</v>
      </c>
      <c r="B2994" s="18" t="s">
        <v>76</v>
      </c>
      <c r="C2994" s="18" t="s">
        <v>77</v>
      </c>
      <c r="D2994" s="18" t="s">
        <v>46</v>
      </c>
      <c r="E2994" s="18" t="s">
        <v>6831</v>
      </c>
      <c r="F2994" s="2">
        <f>+J2994-I2994</f>
        <v>30</v>
      </c>
      <c r="G2994" s="2">
        <f ca="1">+TODAY()-I2994</f>
        <v>8</v>
      </c>
      <c r="H2994" s="15">
        <v>487205</v>
      </c>
      <c r="I2994" s="1">
        <v>46112</v>
      </c>
      <c r="J2994" s="1">
        <v>46142</v>
      </c>
      <c r="K2994" s="18" t="s">
        <v>17</v>
      </c>
      <c r="L2994" s="18" t="s">
        <v>32</v>
      </c>
      <c r="M2994" s="18" t="s">
        <v>19</v>
      </c>
      <c r="N2994" s="18" t="s">
        <v>78</v>
      </c>
      <c r="O2994">
        <v>30</v>
      </c>
    </row>
    <row r="2995" spans="1:15" x14ac:dyDescent="0.25">
      <c r="A2995" s="18" t="s">
        <v>7276</v>
      </c>
      <c r="B2995" s="18" t="s">
        <v>76</v>
      </c>
      <c r="C2995" s="18" t="s">
        <v>77</v>
      </c>
      <c r="D2995" s="18" t="s">
        <v>46</v>
      </c>
      <c r="E2995" s="18" t="s">
        <v>6841</v>
      </c>
      <c r="F2995" s="2">
        <f>+J2995-I2995</f>
        <v>30</v>
      </c>
      <c r="G2995" s="2">
        <f ca="1">+TODAY()-I2995</f>
        <v>8</v>
      </c>
      <c r="H2995" s="15">
        <v>179</v>
      </c>
      <c r="I2995" s="1">
        <v>46112</v>
      </c>
      <c r="J2995" s="1">
        <v>46142</v>
      </c>
      <c r="K2995" s="18" t="s">
        <v>17</v>
      </c>
      <c r="L2995" s="18" t="s">
        <v>32</v>
      </c>
      <c r="M2995" s="18" t="s">
        <v>19</v>
      </c>
      <c r="N2995" s="18" t="s">
        <v>78</v>
      </c>
      <c r="O2995">
        <v>30</v>
      </c>
    </row>
    <row r="2996" spans="1:15" x14ac:dyDescent="0.25">
      <c r="A2996" s="18" t="s">
        <v>7276</v>
      </c>
      <c r="B2996" s="18" t="s">
        <v>76</v>
      </c>
      <c r="C2996" s="18" t="s">
        <v>77</v>
      </c>
      <c r="D2996" s="18" t="s">
        <v>46</v>
      </c>
      <c r="E2996" s="18" t="s">
        <v>6842</v>
      </c>
      <c r="F2996" s="2">
        <f>+J2996-I2996</f>
        <v>30</v>
      </c>
      <c r="G2996" s="2">
        <f ca="1">+TODAY()-I2996</f>
        <v>8</v>
      </c>
      <c r="H2996" s="15">
        <v>4081224</v>
      </c>
      <c r="I2996" s="1">
        <v>46112</v>
      </c>
      <c r="J2996" s="1">
        <v>46142</v>
      </c>
      <c r="K2996" s="18" t="s">
        <v>17</v>
      </c>
      <c r="L2996" s="18" t="s">
        <v>32</v>
      </c>
      <c r="M2996" s="18" t="s">
        <v>19</v>
      </c>
      <c r="N2996" s="18" t="s">
        <v>78</v>
      </c>
      <c r="O2996">
        <v>30</v>
      </c>
    </row>
    <row r="2997" spans="1:15" x14ac:dyDescent="0.25">
      <c r="A2997" s="18" t="s">
        <v>7276</v>
      </c>
      <c r="B2997" s="18" t="s">
        <v>76</v>
      </c>
      <c r="C2997" s="18" t="s">
        <v>77</v>
      </c>
      <c r="D2997" s="18" t="s">
        <v>46</v>
      </c>
      <c r="E2997" s="18" t="s">
        <v>7277</v>
      </c>
      <c r="F2997" s="2">
        <f>+J2997-I2997</f>
        <v>30</v>
      </c>
      <c r="G2997" s="2">
        <f ca="1">+TODAY()-I2997</f>
        <v>7</v>
      </c>
      <c r="H2997" s="15">
        <v>2399992</v>
      </c>
      <c r="I2997" s="1">
        <v>46113</v>
      </c>
      <c r="J2997" s="1">
        <v>46143</v>
      </c>
      <c r="K2997" s="18" t="s">
        <v>17</v>
      </c>
      <c r="L2997" s="18" t="s">
        <v>32</v>
      </c>
      <c r="M2997" s="18" t="s">
        <v>19</v>
      </c>
      <c r="N2997" s="18" t="s">
        <v>78</v>
      </c>
      <c r="O2997">
        <v>30</v>
      </c>
    </row>
    <row r="2998" spans="1:15" x14ac:dyDescent="0.25">
      <c r="A2998" s="18" t="s">
        <v>7276</v>
      </c>
      <c r="B2998" s="18" t="s">
        <v>76</v>
      </c>
      <c r="C2998" s="18" t="s">
        <v>77</v>
      </c>
      <c r="D2998" s="18" t="s">
        <v>46</v>
      </c>
      <c r="E2998" s="18" t="s">
        <v>7285</v>
      </c>
      <c r="F2998" s="2">
        <f>+J2998-I2998</f>
        <v>30</v>
      </c>
      <c r="G2998" s="2">
        <f ca="1">+TODAY()-I2998</f>
        <v>7</v>
      </c>
      <c r="H2998" s="15">
        <v>243406</v>
      </c>
      <c r="I2998" s="1">
        <v>46113</v>
      </c>
      <c r="J2998" s="1">
        <v>46143</v>
      </c>
      <c r="K2998" s="18" t="s">
        <v>17</v>
      </c>
      <c r="L2998" s="18" t="s">
        <v>32</v>
      </c>
      <c r="M2998" s="18" t="s">
        <v>19</v>
      </c>
      <c r="N2998" s="18" t="s">
        <v>78</v>
      </c>
      <c r="O2998">
        <v>30</v>
      </c>
    </row>
    <row r="2999" spans="1:15" x14ac:dyDescent="0.25">
      <c r="A2999" s="18" t="s">
        <v>7276</v>
      </c>
      <c r="B2999" s="18" t="s">
        <v>76</v>
      </c>
      <c r="C2999" s="18" t="s">
        <v>77</v>
      </c>
      <c r="D2999" s="18" t="s">
        <v>46</v>
      </c>
      <c r="E2999" s="18" t="s">
        <v>7286</v>
      </c>
      <c r="F2999" s="2">
        <f>+J2999-I2999</f>
        <v>30</v>
      </c>
      <c r="G2999" s="2">
        <f ca="1">+TODAY()-I2999</f>
        <v>7</v>
      </c>
      <c r="H2999" s="15">
        <v>2456436</v>
      </c>
      <c r="I2999" s="1">
        <v>46113</v>
      </c>
      <c r="J2999" s="1">
        <v>46143</v>
      </c>
      <c r="K2999" s="18" t="s">
        <v>17</v>
      </c>
      <c r="L2999" s="18" t="s">
        <v>32</v>
      </c>
      <c r="M2999" s="18" t="s">
        <v>19</v>
      </c>
      <c r="N2999" s="18" t="s">
        <v>78</v>
      </c>
      <c r="O2999">
        <v>30</v>
      </c>
    </row>
    <row r="3000" spans="1:15" x14ac:dyDescent="0.25">
      <c r="A3000" s="18" t="s">
        <v>7276</v>
      </c>
      <c r="B3000" s="18" t="s">
        <v>76</v>
      </c>
      <c r="C3000" s="18" t="s">
        <v>77</v>
      </c>
      <c r="D3000" s="18" t="s">
        <v>46</v>
      </c>
      <c r="E3000" s="18" t="s">
        <v>7358</v>
      </c>
      <c r="F3000" s="2">
        <f>+J3000-I3000</f>
        <v>30</v>
      </c>
      <c r="G3000" s="2">
        <f ca="1">+TODAY()-I3000</f>
        <v>2</v>
      </c>
      <c r="H3000" s="15">
        <v>907064</v>
      </c>
      <c r="I3000" s="1">
        <v>46118</v>
      </c>
      <c r="J3000" s="1">
        <v>46148</v>
      </c>
      <c r="K3000" s="18" t="s">
        <v>17</v>
      </c>
      <c r="L3000" s="18" t="s">
        <v>32</v>
      </c>
      <c r="M3000" s="18" t="s">
        <v>19</v>
      </c>
      <c r="N3000" s="18" t="s">
        <v>78</v>
      </c>
      <c r="O3000">
        <v>30</v>
      </c>
    </row>
    <row r="3001" spans="1:15" x14ac:dyDescent="0.25">
      <c r="A3001" s="18" t="s">
        <v>7276</v>
      </c>
      <c r="B3001" s="18" t="s">
        <v>76</v>
      </c>
      <c r="C3001" s="18" t="s">
        <v>77</v>
      </c>
      <c r="D3001" s="18" t="s">
        <v>46</v>
      </c>
      <c r="E3001" s="18" t="s">
        <v>7630</v>
      </c>
      <c r="F3001" s="2">
        <f>+J3001-I3001</f>
        <v>30</v>
      </c>
      <c r="G3001" s="2">
        <f ca="1">+TODAY()-I3001</f>
        <v>1</v>
      </c>
      <c r="H3001" s="15">
        <v>3</v>
      </c>
      <c r="I3001" s="1">
        <v>46119</v>
      </c>
      <c r="J3001" s="1">
        <v>46149</v>
      </c>
      <c r="K3001" s="18" t="s">
        <v>17</v>
      </c>
      <c r="L3001" s="18" t="s">
        <v>32</v>
      </c>
      <c r="M3001" s="18" t="s">
        <v>19</v>
      </c>
      <c r="N3001" s="18" t="s">
        <v>78</v>
      </c>
      <c r="O3001">
        <v>30</v>
      </c>
    </row>
    <row r="3002" spans="1:15" x14ac:dyDescent="0.25">
      <c r="A3002" s="18" t="s">
        <v>7276</v>
      </c>
      <c r="B3002" s="18" t="s">
        <v>76</v>
      </c>
      <c r="C3002" s="18" t="s">
        <v>77</v>
      </c>
      <c r="D3002" s="18" t="s">
        <v>46</v>
      </c>
      <c r="E3002" s="18" t="s">
        <v>7631</v>
      </c>
      <c r="F3002" s="2">
        <f>+J3002-I3002</f>
        <v>30</v>
      </c>
      <c r="G3002" s="2">
        <f ca="1">+TODAY()-I3002</f>
        <v>1</v>
      </c>
      <c r="H3002" s="15">
        <v>12600000</v>
      </c>
      <c r="I3002" s="1">
        <v>46119</v>
      </c>
      <c r="J3002" s="1">
        <v>46149</v>
      </c>
      <c r="K3002" s="18" t="s">
        <v>17</v>
      </c>
      <c r="L3002" s="18" t="s">
        <v>32</v>
      </c>
      <c r="M3002" s="18" t="s">
        <v>19</v>
      </c>
      <c r="N3002" s="18" t="s">
        <v>78</v>
      </c>
      <c r="O3002">
        <v>30</v>
      </c>
    </row>
    <row r="3003" spans="1:15" x14ac:dyDescent="0.25">
      <c r="A3003" s="18" t="s">
        <v>7276</v>
      </c>
      <c r="B3003" s="18" t="s">
        <v>76</v>
      </c>
      <c r="C3003" s="18" t="s">
        <v>77</v>
      </c>
      <c r="D3003" s="18" t="s">
        <v>46</v>
      </c>
      <c r="E3003" s="18" t="s">
        <v>7632</v>
      </c>
      <c r="F3003" s="2">
        <f>+J3003-I3003</f>
        <v>30</v>
      </c>
      <c r="G3003" s="2">
        <f ca="1">+TODAY()-I3003</f>
        <v>1</v>
      </c>
      <c r="H3003" s="15">
        <v>781246</v>
      </c>
      <c r="I3003" s="1">
        <v>46119</v>
      </c>
      <c r="J3003" s="1">
        <v>46149</v>
      </c>
      <c r="K3003" s="18" t="s">
        <v>17</v>
      </c>
      <c r="L3003" s="18" t="s">
        <v>32</v>
      </c>
      <c r="M3003" s="18" t="s">
        <v>19</v>
      </c>
      <c r="N3003" s="18" t="s">
        <v>78</v>
      </c>
      <c r="O3003">
        <v>30</v>
      </c>
    </row>
    <row r="3004" spans="1:15" x14ac:dyDescent="0.25">
      <c r="A3004" s="18" t="s">
        <v>7276</v>
      </c>
      <c r="B3004" s="18" t="s">
        <v>76</v>
      </c>
      <c r="C3004" s="18" t="s">
        <v>77</v>
      </c>
      <c r="D3004" s="18" t="s">
        <v>46</v>
      </c>
      <c r="E3004" s="18" t="s">
        <v>7633</v>
      </c>
      <c r="F3004" s="2">
        <f>+J3004-I3004</f>
        <v>30</v>
      </c>
      <c r="G3004" s="2">
        <f ca="1">+TODAY()-I3004</f>
        <v>1</v>
      </c>
      <c r="H3004" s="15">
        <v>2900000</v>
      </c>
      <c r="I3004" s="1">
        <v>46119</v>
      </c>
      <c r="J3004" s="1">
        <v>46149</v>
      </c>
      <c r="K3004" s="18" t="s">
        <v>17</v>
      </c>
      <c r="L3004" s="18" t="s">
        <v>32</v>
      </c>
      <c r="M3004" s="18" t="s">
        <v>19</v>
      </c>
      <c r="N3004" s="18" t="s">
        <v>78</v>
      </c>
      <c r="O3004">
        <v>30</v>
      </c>
    </row>
    <row r="3005" spans="1:15" x14ac:dyDescent="0.25">
      <c r="A3005" s="18" t="s">
        <v>7276</v>
      </c>
      <c r="B3005" s="18" t="s">
        <v>76</v>
      </c>
      <c r="C3005" s="18" t="s">
        <v>77</v>
      </c>
      <c r="D3005" s="18" t="s">
        <v>46</v>
      </c>
      <c r="E3005" s="18" t="s">
        <v>7643</v>
      </c>
      <c r="F3005" s="2">
        <f>+J3005-I3005</f>
        <v>30</v>
      </c>
      <c r="G3005" s="2">
        <f ca="1">+TODAY()-I3005</f>
        <v>1</v>
      </c>
      <c r="H3005" s="15">
        <v>2015994</v>
      </c>
      <c r="I3005" s="1">
        <v>46119</v>
      </c>
      <c r="J3005" s="1">
        <v>46149</v>
      </c>
      <c r="K3005" s="18" t="s">
        <v>17</v>
      </c>
      <c r="L3005" s="18" t="s">
        <v>32</v>
      </c>
      <c r="M3005" s="18" t="s">
        <v>19</v>
      </c>
      <c r="N3005" s="18" t="s">
        <v>78</v>
      </c>
      <c r="O3005">
        <v>30</v>
      </c>
    </row>
    <row r="3006" spans="1:15" x14ac:dyDescent="0.25">
      <c r="A3006" s="18" t="s">
        <v>7276</v>
      </c>
      <c r="B3006" s="18" t="s">
        <v>55</v>
      </c>
      <c r="C3006" s="18" t="s">
        <v>56</v>
      </c>
      <c r="D3006" s="18" t="s">
        <v>46</v>
      </c>
      <c r="E3006" s="18" t="s">
        <v>5195</v>
      </c>
      <c r="F3006" s="2">
        <f>+J3006-I3006</f>
        <v>30</v>
      </c>
      <c r="G3006" s="2">
        <f ca="1">+TODAY()-I3006</f>
        <v>43</v>
      </c>
      <c r="H3006" s="15">
        <v>305980</v>
      </c>
      <c r="I3006" s="1">
        <v>46077</v>
      </c>
      <c r="J3006" s="1">
        <v>46107</v>
      </c>
      <c r="K3006" s="18" t="s">
        <v>17</v>
      </c>
      <c r="L3006" s="18" t="s">
        <v>47</v>
      </c>
      <c r="M3006" s="18" t="s">
        <v>19</v>
      </c>
      <c r="N3006" s="18" t="s">
        <v>57</v>
      </c>
      <c r="O3006">
        <v>30</v>
      </c>
    </row>
    <row r="3007" spans="1:15" x14ac:dyDescent="0.25">
      <c r="A3007" s="18" t="s">
        <v>7276</v>
      </c>
      <c r="B3007" s="18" t="s">
        <v>55</v>
      </c>
      <c r="C3007" s="18" t="s">
        <v>56</v>
      </c>
      <c r="D3007" s="18" t="s">
        <v>46</v>
      </c>
      <c r="E3007" s="18" t="s">
        <v>5399</v>
      </c>
      <c r="F3007" s="2">
        <f>+J3007-I3007</f>
        <v>30</v>
      </c>
      <c r="G3007" s="2">
        <f ca="1">+TODAY()-I3007</f>
        <v>35</v>
      </c>
      <c r="H3007" s="15">
        <v>2120000</v>
      </c>
      <c r="I3007" s="1">
        <v>46085</v>
      </c>
      <c r="J3007" s="1">
        <v>46115</v>
      </c>
      <c r="K3007" s="18" t="s">
        <v>17</v>
      </c>
      <c r="L3007" s="18" t="s">
        <v>32</v>
      </c>
      <c r="M3007" s="18" t="s">
        <v>19</v>
      </c>
      <c r="N3007" s="18" t="s">
        <v>57</v>
      </c>
      <c r="O3007">
        <v>30</v>
      </c>
    </row>
    <row r="3008" spans="1:15" x14ac:dyDescent="0.25">
      <c r="A3008" s="18" t="s">
        <v>7276</v>
      </c>
      <c r="B3008" s="18" t="s">
        <v>55</v>
      </c>
      <c r="C3008" s="18" t="s">
        <v>56</v>
      </c>
      <c r="D3008" s="18" t="s">
        <v>46</v>
      </c>
      <c r="E3008" s="18" t="s">
        <v>5645</v>
      </c>
      <c r="F3008" s="2">
        <f>+J3008-I3008</f>
        <v>30</v>
      </c>
      <c r="G3008" s="2">
        <f ca="1">+TODAY()-I3008</f>
        <v>28</v>
      </c>
      <c r="H3008" s="15">
        <v>2120000</v>
      </c>
      <c r="I3008" s="1">
        <v>46092</v>
      </c>
      <c r="J3008" s="1">
        <v>46122</v>
      </c>
      <c r="K3008" s="18" t="s">
        <v>17</v>
      </c>
      <c r="L3008" s="18" t="s">
        <v>32</v>
      </c>
      <c r="M3008" s="18" t="s">
        <v>19</v>
      </c>
      <c r="N3008" s="18" t="s">
        <v>57</v>
      </c>
      <c r="O3008">
        <v>30</v>
      </c>
    </row>
    <row r="3009" spans="1:15" x14ac:dyDescent="0.25">
      <c r="A3009" s="18" t="s">
        <v>7276</v>
      </c>
      <c r="B3009" s="18" t="s">
        <v>55</v>
      </c>
      <c r="C3009" s="18" t="s">
        <v>56</v>
      </c>
      <c r="D3009" s="18" t="s">
        <v>46</v>
      </c>
      <c r="E3009" s="18" t="s">
        <v>5646</v>
      </c>
      <c r="F3009" s="2">
        <f>+J3009-I3009</f>
        <v>30</v>
      </c>
      <c r="G3009" s="2">
        <f ca="1">+TODAY()-I3009</f>
        <v>28</v>
      </c>
      <c r="H3009" s="15">
        <v>1238526</v>
      </c>
      <c r="I3009" s="1">
        <v>46092</v>
      </c>
      <c r="J3009" s="1">
        <v>46122</v>
      </c>
      <c r="K3009" s="18" t="s">
        <v>17</v>
      </c>
      <c r="L3009" s="18" t="s">
        <v>32</v>
      </c>
      <c r="M3009" s="18" t="s">
        <v>19</v>
      </c>
      <c r="N3009" s="18" t="s">
        <v>57</v>
      </c>
      <c r="O3009">
        <v>30</v>
      </c>
    </row>
    <row r="3010" spans="1:15" x14ac:dyDescent="0.25">
      <c r="A3010" s="18" t="s">
        <v>7276</v>
      </c>
      <c r="B3010" s="18" t="s">
        <v>55</v>
      </c>
      <c r="C3010" s="18" t="s">
        <v>56</v>
      </c>
      <c r="D3010" s="18" t="s">
        <v>46</v>
      </c>
      <c r="E3010" s="18" t="s">
        <v>6185</v>
      </c>
      <c r="F3010" s="2">
        <f>+J3010-I3010</f>
        <v>30</v>
      </c>
      <c r="G3010" s="2">
        <f ca="1">+TODAY()-I3010</f>
        <v>19</v>
      </c>
      <c r="H3010" s="15">
        <v>2120000</v>
      </c>
      <c r="I3010" s="1">
        <v>46101</v>
      </c>
      <c r="J3010" s="1">
        <v>46131</v>
      </c>
      <c r="K3010" s="18" t="s">
        <v>17</v>
      </c>
      <c r="L3010" s="18" t="s">
        <v>32</v>
      </c>
      <c r="M3010" s="18" t="s">
        <v>19</v>
      </c>
      <c r="N3010" s="18" t="s">
        <v>57</v>
      </c>
      <c r="O3010">
        <v>30</v>
      </c>
    </row>
    <row r="3011" spans="1:15" x14ac:dyDescent="0.25">
      <c r="A3011" s="18" t="s">
        <v>7276</v>
      </c>
      <c r="B3011" s="18" t="s">
        <v>55</v>
      </c>
      <c r="C3011" s="18" t="s">
        <v>56</v>
      </c>
      <c r="D3011" s="18" t="s">
        <v>46</v>
      </c>
      <c r="E3011" s="18" t="s">
        <v>6793</v>
      </c>
      <c r="F3011" s="2">
        <f>+J3011-I3011</f>
        <v>30</v>
      </c>
      <c r="G3011" s="2">
        <f ca="1">+TODAY()-I3011</f>
        <v>8</v>
      </c>
      <c r="H3011" s="15">
        <v>1658499</v>
      </c>
      <c r="I3011" s="1">
        <v>46112</v>
      </c>
      <c r="J3011" s="1">
        <v>46142</v>
      </c>
      <c r="K3011" s="18" t="s">
        <v>17</v>
      </c>
      <c r="L3011" s="18" t="s">
        <v>32</v>
      </c>
      <c r="M3011" s="18" t="s">
        <v>19</v>
      </c>
      <c r="N3011" s="18" t="s">
        <v>57</v>
      </c>
      <c r="O3011">
        <v>30</v>
      </c>
    </row>
    <row r="3012" spans="1:15" x14ac:dyDescent="0.25">
      <c r="A3012" s="18" t="s">
        <v>7276</v>
      </c>
      <c r="B3012" s="18" t="s">
        <v>55</v>
      </c>
      <c r="C3012" s="18" t="s">
        <v>56</v>
      </c>
      <c r="D3012" s="18" t="s">
        <v>46</v>
      </c>
      <c r="E3012" s="18" t="s">
        <v>7310</v>
      </c>
      <c r="F3012" s="2">
        <f>+J3012-I3012</f>
        <v>30</v>
      </c>
      <c r="G3012" s="2">
        <f ca="1">+TODAY()-I3012</f>
        <v>7</v>
      </c>
      <c r="H3012" s="15">
        <v>2120000</v>
      </c>
      <c r="I3012" s="1">
        <v>46113</v>
      </c>
      <c r="J3012" s="1">
        <v>46143</v>
      </c>
      <c r="K3012" s="18" t="s">
        <v>17</v>
      </c>
      <c r="L3012" s="18" t="s">
        <v>32</v>
      </c>
      <c r="M3012" s="18" t="s">
        <v>19</v>
      </c>
      <c r="N3012" s="18" t="s">
        <v>57</v>
      </c>
      <c r="O3012">
        <v>30</v>
      </c>
    </row>
    <row r="3013" spans="1:15" x14ac:dyDescent="0.25">
      <c r="A3013" s="18" t="s">
        <v>7276</v>
      </c>
      <c r="B3013" s="18" t="s">
        <v>55</v>
      </c>
      <c r="C3013" s="18" t="s">
        <v>56</v>
      </c>
      <c r="D3013" s="18" t="s">
        <v>46</v>
      </c>
      <c r="E3013" s="18" t="s">
        <v>7312</v>
      </c>
      <c r="F3013" s="2">
        <f>+J3013-I3013</f>
        <v>30</v>
      </c>
      <c r="G3013" s="2">
        <f ca="1">+TODAY()-I3013</f>
        <v>7</v>
      </c>
      <c r="H3013" s="15">
        <v>163800</v>
      </c>
      <c r="I3013" s="1">
        <v>46113</v>
      </c>
      <c r="J3013" s="1">
        <v>46143</v>
      </c>
      <c r="K3013" s="18" t="s">
        <v>17</v>
      </c>
      <c r="L3013" s="18" t="s">
        <v>32</v>
      </c>
      <c r="M3013" s="18" t="s">
        <v>19</v>
      </c>
      <c r="N3013" s="18" t="s">
        <v>57</v>
      </c>
      <c r="O3013">
        <v>30</v>
      </c>
    </row>
    <row r="3014" spans="1:15" x14ac:dyDescent="0.25">
      <c r="A3014" s="18" t="s">
        <v>7276</v>
      </c>
      <c r="B3014" s="18" t="s">
        <v>79</v>
      </c>
      <c r="C3014" s="18" t="s">
        <v>80</v>
      </c>
      <c r="D3014" s="18" t="s">
        <v>46</v>
      </c>
      <c r="E3014" s="18" t="s">
        <v>5381</v>
      </c>
      <c r="F3014" s="2">
        <f>+J3014-I3014</f>
        <v>30</v>
      </c>
      <c r="G3014" s="2">
        <f ca="1">+TODAY()-I3014</f>
        <v>36</v>
      </c>
      <c r="H3014" s="15">
        <v>1281606</v>
      </c>
      <c r="I3014" s="1">
        <v>46084</v>
      </c>
      <c r="J3014" s="1">
        <v>46114</v>
      </c>
      <c r="K3014" s="18" t="s">
        <v>17</v>
      </c>
      <c r="L3014" s="18" t="s">
        <v>32</v>
      </c>
      <c r="M3014" s="18" t="s">
        <v>19</v>
      </c>
      <c r="N3014" s="18" t="s">
        <v>81</v>
      </c>
      <c r="O3014">
        <v>30</v>
      </c>
    </row>
    <row r="3015" spans="1:15" x14ac:dyDescent="0.25">
      <c r="A3015" s="18" t="s">
        <v>7276</v>
      </c>
      <c r="B3015" s="18" t="s">
        <v>79</v>
      </c>
      <c r="C3015" s="18" t="s">
        <v>80</v>
      </c>
      <c r="D3015" s="18" t="s">
        <v>46</v>
      </c>
      <c r="E3015" s="18" t="s">
        <v>5394</v>
      </c>
      <c r="F3015" s="2">
        <f>+J3015-I3015</f>
        <v>30</v>
      </c>
      <c r="G3015" s="2">
        <f ca="1">+TODAY()-I3015</f>
        <v>35</v>
      </c>
      <c r="H3015" s="15">
        <v>643986</v>
      </c>
      <c r="I3015" s="1">
        <v>46085</v>
      </c>
      <c r="J3015" s="1">
        <v>46115</v>
      </c>
      <c r="K3015" s="18" t="s">
        <v>17</v>
      </c>
      <c r="L3015" s="18" t="s">
        <v>32</v>
      </c>
      <c r="M3015" s="18" t="s">
        <v>19</v>
      </c>
      <c r="N3015" s="18" t="s">
        <v>81</v>
      </c>
      <c r="O3015">
        <v>30</v>
      </c>
    </row>
    <row r="3016" spans="1:15" x14ac:dyDescent="0.25">
      <c r="A3016" s="18" t="s">
        <v>7276</v>
      </c>
      <c r="B3016" s="18" t="s">
        <v>79</v>
      </c>
      <c r="C3016" s="18" t="s">
        <v>80</v>
      </c>
      <c r="D3016" s="18" t="s">
        <v>46</v>
      </c>
      <c r="E3016" s="18" t="s">
        <v>5396</v>
      </c>
      <c r="F3016" s="2">
        <f>+J3016-I3016</f>
        <v>30</v>
      </c>
      <c r="G3016" s="2">
        <f ca="1">+TODAY()-I3016</f>
        <v>35</v>
      </c>
      <c r="H3016" s="15">
        <v>86394</v>
      </c>
      <c r="I3016" s="1">
        <v>46085</v>
      </c>
      <c r="J3016" s="1">
        <v>46115</v>
      </c>
      <c r="K3016" s="18" t="s">
        <v>17</v>
      </c>
      <c r="L3016" s="18" t="s">
        <v>32</v>
      </c>
      <c r="M3016" s="18" t="s">
        <v>19</v>
      </c>
      <c r="N3016" s="18" t="s">
        <v>81</v>
      </c>
      <c r="O3016">
        <v>30</v>
      </c>
    </row>
    <row r="3017" spans="1:15" x14ac:dyDescent="0.25">
      <c r="A3017" s="18" t="s">
        <v>7276</v>
      </c>
      <c r="B3017" s="18" t="s">
        <v>79</v>
      </c>
      <c r="C3017" s="18" t="s">
        <v>80</v>
      </c>
      <c r="D3017" s="18" t="s">
        <v>46</v>
      </c>
      <c r="E3017" s="18" t="s">
        <v>5397</v>
      </c>
      <c r="F3017" s="2">
        <f>+J3017-I3017</f>
        <v>30</v>
      </c>
      <c r="G3017" s="2">
        <f ca="1">+TODAY()-I3017</f>
        <v>35</v>
      </c>
      <c r="H3017" s="15">
        <v>2496207</v>
      </c>
      <c r="I3017" s="1">
        <v>46085</v>
      </c>
      <c r="J3017" s="1">
        <v>46115</v>
      </c>
      <c r="K3017" s="18" t="s">
        <v>17</v>
      </c>
      <c r="L3017" s="18" t="s">
        <v>32</v>
      </c>
      <c r="M3017" s="18" t="s">
        <v>19</v>
      </c>
      <c r="N3017" s="18" t="s">
        <v>81</v>
      </c>
      <c r="O3017">
        <v>30</v>
      </c>
    </row>
    <row r="3018" spans="1:15" x14ac:dyDescent="0.25">
      <c r="A3018" s="18" t="s">
        <v>7276</v>
      </c>
      <c r="B3018" s="18" t="s">
        <v>79</v>
      </c>
      <c r="C3018" s="18" t="s">
        <v>80</v>
      </c>
      <c r="D3018" s="18" t="s">
        <v>46</v>
      </c>
      <c r="E3018" s="18" t="s">
        <v>5400</v>
      </c>
      <c r="F3018" s="2">
        <f>+J3018-I3018</f>
        <v>30</v>
      </c>
      <c r="G3018" s="2">
        <f ca="1">+TODAY()-I3018</f>
        <v>35</v>
      </c>
      <c r="H3018" s="15">
        <v>220495</v>
      </c>
      <c r="I3018" s="1">
        <v>46085</v>
      </c>
      <c r="J3018" s="1">
        <v>46115</v>
      </c>
      <c r="K3018" s="18" t="s">
        <v>17</v>
      </c>
      <c r="L3018" s="18" t="s">
        <v>32</v>
      </c>
      <c r="M3018" s="18" t="s">
        <v>19</v>
      </c>
      <c r="N3018" s="18" t="s">
        <v>81</v>
      </c>
      <c r="O3018">
        <v>30</v>
      </c>
    </row>
    <row r="3019" spans="1:15" x14ac:dyDescent="0.25">
      <c r="A3019" s="18" t="s">
        <v>7276</v>
      </c>
      <c r="B3019" s="18" t="s">
        <v>79</v>
      </c>
      <c r="C3019" s="18" t="s">
        <v>80</v>
      </c>
      <c r="D3019" s="18" t="s">
        <v>46</v>
      </c>
      <c r="E3019" s="18" t="s">
        <v>5406</v>
      </c>
      <c r="F3019" s="2">
        <f>+J3019-I3019</f>
        <v>30</v>
      </c>
      <c r="G3019" s="2">
        <f ca="1">+TODAY()-I3019</f>
        <v>35</v>
      </c>
      <c r="H3019" s="15">
        <v>1214987</v>
      </c>
      <c r="I3019" s="1">
        <v>46085</v>
      </c>
      <c r="J3019" s="1">
        <v>46115</v>
      </c>
      <c r="K3019" s="18" t="s">
        <v>17</v>
      </c>
      <c r="L3019" s="18" t="s">
        <v>32</v>
      </c>
      <c r="M3019" s="18" t="s">
        <v>19</v>
      </c>
      <c r="N3019" s="18" t="s">
        <v>81</v>
      </c>
      <c r="O3019">
        <v>30</v>
      </c>
    </row>
    <row r="3020" spans="1:15" x14ac:dyDescent="0.25">
      <c r="A3020" s="18" t="s">
        <v>7276</v>
      </c>
      <c r="B3020" s="18" t="s">
        <v>79</v>
      </c>
      <c r="C3020" s="18" t="s">
        <v>80</v>
      </c>
      <c r="D3020" s="18" t="s">
        <v>46</v>
      </c>
      <c r="E3020" s="18" t="s">
        <v>5408</v>
      </c>
      <c r="F3020" s="2">
        <f>+J3020-I3020</f>
        <v>30</v>
      </c>
      <c r="G3020" s="2">
        <f ca="1">+TODAY()-I3020</f>
        <v>35</v>
      </c>
      <c r="H3020" s="15">
        <v>546991</v>
      </c>
      <c r="I3020" s="1">
        <v>46085</v>
      </c>
      <c r="J3020" s="1">
        <v>46115</v>
      </c>
      <c r="K3020" s="18" t="s">
        <v>17</v>
      </c>
      <c r="L3020" s="18" t="s">
        <v>32</v>
      </c>
      <c r="M3020" s="18" t="s">
        <v>19</v>
      </c>
      <c r="N3020" s="18" t="s">
        <v>81</v>
      </c>
      <c r="O3020">
        <v>30</v>
      </c>
    </row>
    <row r="3021" spans="1:15" x14ac:dyDescent="0.25">
      <c r="A3021" s="18" t="s">
        <v>7276</v>
      </c>
      <c r="B3021" s="18" t="s">
        <v>79</v>
      </c>
      <c r="C3021" s="18" t="s">
        <v>80</v>
      </c>
      <c r="D3021" s="18" t="s">
        <v>46</v>
      </c>
      <c r="E3021" s="18" t="s">
        <v>5409</v>
      </c>
      <c r="F3021" s="2">
        <f>+J3021-I3021</f>
        <v>30</v>
      </c>
      <c r="G3021" s="2">
        <f ca="1">+TODAY()-I3021</f>
        <v>35</v>
      </c>
      <c r="H3021" s="15">
        <v>330000</v>
      </c>
      <c r="I3021" s="1">
        <v>46085</v>
      </c>
      <c r="J3021" s="1">
        <v>46115</v>
      </c>
      <c r="K3021" s="18" t="s">
        <v>17</v>
      </c>
      <c r="L3021" s="18" t="s">
        <v>32</v>
      </c>
      <c r="M3021" s="18" t="s">
        <v>19</v>
      </c>
      <c r="N3021" s="18" t="s">
        <v>81</v>
      </c>
      <c r="O3021">
        <v>30</v>
      </c>
    </row>
    <row r="3022" spans="1:15" x14ac:dyDescent="0.25">
      <c r="A3022" s="18" t="s">
        <v>7276</v>
      </c>
      <c r="B3022" s="18" t="s">
        <v>79</v>
      </c>
      <c r="C3022" s="18" t="s">
        <v>80</v>
      </c>
      <c r="D3022" s="18" t="s">
        <v>46</v>
      </c>
      <c r="E3022" s="18" t="s">
        <v>5510</v>
      </c>
      <c r="F3022" s="2">
        <f>+J3022-I3022</f>
        <v>30</v>
      </c>
      <c r="G3022" s="2">
        <f ca="1">+TODAY()-I3022</f>
        <v>34</v>
      </c>
      <c r="H3022" s="15">
        <v>475238</v>
      </c>
      <c r="I3022" s="1">
        <v>46086</v>
      </c>
      <c r="J3022" s="1">
        <v>46116</v>
      </c>
      <c r="K3022" s="18" t="s">
        <v>17</v>
      </c>
      <c r="L3022" s="18" t="s">
        <v>32</v>
      </c>
      <c r="M3022" s="18" t="s">
        <v>19</v>
      </c>
      <c r="N3022" s="18" t="s">
        <v>81</v>
      </c>
      <c r="O3022">
        <v>30</v>
      </c>
    </row>
    <row r="3023" spans="1:15" x14ac:dyDescent="0.25">
      <c r="A3023" s="18" t="s">
        <v>7276</v>
      </c>
      <c r="B3023" s="18" t="s">
        <v>79</v>
      </c>
      <c r="C3023" s="18" t="s">
        <v>80</v>
      </c>
      <c r="D3023" s="18" t="s">
        <v>46</v>
      </c>
      <c r="E3023" s="18" t="s">
        <v>5513</v>
      </c>
      <c r="F3023" s="2">
        <f>+J3023-I3023</f>
        <v>30</v>
      </c>
      <c r="G3023" s="2">
        <f ca="1">+TODAY()-I3023</f>
        <v>34</v>
      </c>
      <c r="H3023" s="15">
        <v>747500</v>
      </c>
      <c r="I3023" s="1">
        <v>46086</v>
      </c>
      <c r="J3023" s="1">
        <v>46116</v>
      </c>
      <c r="K3023" s="18" t="s">
        <v>17</v>
      </c>
      <c r="L3023" s="18" t="s">
        <v>32</v>
      </c>
      <c r="M3023" s="18" t="s">
        <v>19</v>
      </c>
      <c r="N3023" s="18" t="s">
        <v>81</v>
      </c>
      <c r="O3023">
        <v>30</v>
      </c>
    </row>
    <row r="3024" spans="1:15" x14ac:dyDescent="0.25">
      <c r="A3024" s="18" t="s">
        <v>7276</v>
      </c>
      <c r="B3024" s="18" t="s">
        <v>79</v>
      </c>
      <c r="C3024" s="18" t="s">
        <v>80</v>
      </c>
      <c r="D3024" s="18" t="s">
        <v>46</v>
      </c>
      <c r="E3024" s="18" t="s">
        <v>5516</v>
      </c>
      <c r="F3024" s="2">
        <f>+J3024-I3024</f>
        <v>30</v>
      </c>
      <c r="G3024" s="2">
        <f ca="1">+TODAY()-I3024</f>
        <v>33</v>
      </c>
      <c r="H3024" s="15">
        <v>2192516</v>
      </c>
      <c r="I3024" s="1">
        <v>46087</v>
      </c>
      <c r="J3024" s="1">
        <v>46117</v>
      </c>
      <c r="K3024" s="18" t="s">
        <v>17</v>
      </c>
      <c r="L3024" s="18" t="s">
        <v>32</v>
      </c>
      <c r="M3024" s="18" t="s">
        <v>19</v>
      </c>
      <c r="N3024" s="18" t="s">
        <v>81</v>
      </c>
      <c r="O3024">
        <v>30</v>
      </c>
    </row>
    <row r="3025" spans="1:15" x14ac:dyDescent="0.25">
      <c r="A3025" s="18" t="s">
        <v>7276</v>
      </c>
      <c r="B3025" s="18" t="s">
        <v>79</v>
      </c>
      <c r="C3025" s="18" t="s">
        <v>80</v>
      </c>
      <c r="D3025" s="18" t="s">
        <v>46</v>
      </c>
      <c r="E3025" s="18" t="s">
        <v>5634</v>
      </c>
      <c r="F3025" s="2">
        <f>+J3025-I3025</f>
        <v>30</v>
      </c>
      <c r="G3025" s="2">
        <f ca="1">+TODAY()-I3025</f>
        <v>28</v>
      </c>
      <c r="H3025" s="15">
        <v>517200</v>
      </c>
      <c r="I3025" s="1">
        <v>46092</v>
      </c>
      <c r="J3025" s="1">
        <v>46122</v>
      </c>
      <c r="K3025" s="18" t="s">
        <v>17</v>
      </c>
      <c r="L3025" s="18" t="s">
        <v>32</v>
      </c>
      <c r="M3025" s="18" t="s">
        <v>19</v>
      </c>
      <c r="N3025" s="18" t="s">
        <v>81</v>
      </c>
      <c r="O3025">
        <v>30</v>
      </c>
    </row>
    <row r="3026" spans="1:15" x14ac:dyDescent="0.25">
      <c r="A3026" s="18" t="s">
        <v>7276</v>
      </c>
      <c r="B3026" s="18" t="s">
        <v>79</v>
      </c>
      <c r="C3026" s="18" t="s">
        <v>80</v>
      </c>
      <c r="D3026" s="18" t="s">
        <v>46</v>
      </c>
      <c r="E3026" s="18" t="s">
        <v>5652</v>
      </c>
      <c r="F3026" s="2">
        <f>+J3026-I3026</f>
        <v>30</v>
      </c>
      <c r="G3026" s="2">
        <f ca="1">+TODAY()-I3026</f>
        <v>27</v>
      </c>
      <c r="H3026" s="15">
        <v>494076</v>
      </c>
      <c r="I3026" s="1">
        <v>46093</v>
      </c>
      <c r="J3026" s="1">
        <v>46123</v>
      </c>
      <c r="K3026" s="18" t="s">
        <v>17</v>
      </c>
      <c r="L3026" s="18" t="s">
        <v>32</v>
      </c>
      <c r="M3026" s="18" t="s">
        <v>19</v>
      </c>
      <c r="N3026" s="18" t="s">
        <v>81</v>
      </c>
      <c r="O3026">
        <v>30</v>
      </c>
    </row>
    <row r="3027" spans="1:15" x14ac:dyDescent="0.25">
      <c r="A3027" s="18" t="s">
        <v>7276</v>
      </c>
      <c r="B3027" s="18" t="s">
        <v>79</v>
      </c>
      <c r="C3027" s="18" t="s">
        <v>80</v>
      </c>
      <c r="D3027" s="18" t="s">
        <v>46</v>
      </c>
      <c r="E3027" s="18" t="s">
        <v>5653</v>
      </c>
      <c r="F3027" s="2">
        <f>+J3027-I3027</f>
        <v>30</v>
      </c>
      <c r="G3027" s="2">
        <f ca="1">+TODAY()-I3027</f>
        <v>27</v>
      </c>
      <c r="H3027" s="15">
        <v>1569790</v>
      </c>
      <c r="I3027" s="1">
        <v>46093</v>
      </c>
      <c r="J3027" s="1">
        <v>46123</v>
      </c>
      <c r="K3027" s="18" t="s">
        <v>17</v>
      </c>
      <c r="L3027" s="18" t="s">
        <v>32</v>
      </c>
      <c r="M3027" s="18" t="s">
        <v>19</v>
      </c>
      <c r="N3027" s="18" t="s">
        <v>81</v>
      </c>
      <c r="O3027">
        <v>30</v>
      </c>
    </row>
    <row r="3028" spans="1:15" x14ac:dyDescent="0.25">
      <c r="A3028" s="18" t="s">
        <v>7276</v>
      </c>
      <c r="B3028" s="18" t="s">
        <v>79</v>
      </c>
      <c r="C3028" s="18" t="s">
        <v>80</v>
      </c>
      <c r="D3028" s="18" t="s">
        <v>46</v>
      </c>
      <c r="E3028" s="18" t="s">
        <v>5866</v>
      </c>
      <c r="F3028" s="2">
        <f>+J3028-I3028</f>
        <v>30</v>
      </c>
      <c r="G3028" s="2">
        <f ca="1">+TODAY()-I3028</f>
        <v>27</v>
      </c>
      <c r="H3028" s="15">
        <v>508801</v>
      </c>
      <c r="I3028" s="1">
        <v>46093</v>
      </c>
      <c r="J3028" s="1">
        <v>46123</v>
      </c>
      <c r="K3028" s="18" t="s">
        <v>17</v>
      </c>
      <c r="L3028" s="18" t="s">
        <v>32</v>
      </c>
      <c r="M3028" s="18" t="s">
        <v>19</v>
      </c>
      <c r="N3028" s="18" t="s">
        <v>81</v>
      </c>
      <c r="O3028">
        <v>30</v>
      </c>
    </row>
    <row r="3029" spans="1:15" x14ac:dyDescent="0.25">
      <c r="A3029" s="18" t="s">
        <v>7276</v>
      </c>
      <c r="B3029" s="18" t="s">
        <v>79</v>
      </c>
      <c r="C3029" s="18" t="s">
        <v>80</v>
      </c>
      <c r="D3029" s="18" t="s">
        <v>46</v>
      </c>
      <c r="E3029" s="18" t="s">
        <v>5869</v>
      </c>
      <c r="F3029" s="2">
        <f>+J3029-I3029</f>
        <v>30</v>
      </c>
      <c r="G3029" s="2">
        <f ca="1">+TODAY()-I3029</f>
        <v>27</v>
      </c>
      <c r="H3029" s="15">
        <v>315000</v>
      </c>
      <c r="I3029" s="1">
        <v>46093</v>
      </c>
      <c r="J3029" s="1">
        <v>46123</v>
      </c>
      <c r="K3029" s="18" t="s">
        <v>17</v>
      </c>
      <c r="L3029" s="18" t="s">
        <v>32</v>
      </c>
      <c r="M3029" s="18" t="s">
        <v>19</v>
      </c>
      <c r="N3029" s="18" t="s">
        <v>81</v>
      </c>
      <c r="O3029">
        <v>30</v>
      </c>
    </row>
    <row r="3030" spans="1:15" x14ac:dyDescent="0.25">
      <c r="A3030" s="18" t="s">
        <v>7276</v>
      </c>
      <c r="B3030" s="18" t="s">
        <v>79</v>
      </c>
      <c r="C3030" s="18" t="s">
        <v>80</v>
      </c>
      <c r="D3030" s="18" t="s">
        <v>46</v>
      </c>
      <c r="E3030" s="18" t="s">
        <v>5879</v>
      </c>
      <c r="F3030" s="2">
        <f>+J3030-I3030</f>
        <v>30</v>
      </c>
      <c r="G3030" s="2">
        <f ca="1">+TODAY()-I3030</f>
        <v>26</v>
      </c>
      <c r="H3030" s="15">
        <v>1017010</v>
      </c>
      <c r="I3030" s="1">
        <v>46094</v>
      </c>
      <c r="J3030" s="1">
        <v>46124</v>
      </c>
      <c r="K3030" s="18" t="s">
        <v>17</v>
      </c>
      <c r="L3030" s="18" t="s">
        <v>32</v>
      </c>
      <c r="M3030" s="18" t="s">
        <v>19</v>
      </c>
      <c r="N3030" s="18" t="s">
        <v>81</v>
      </c>
      <c r="O3030">
        <v>30</v>
      </c>
    </row>
    <row r="3031" spans="1:15" x14ac:dyDescent="0.25">
      <c r="A3031" s="18" t="s">
        <v>7276</v>
      </c>
      <c r="B3031" s="18" t="s">
        <v>79</v>
      </c>
      <c r="C3031" s="18" t="s">
        <v>80</v>
      </c>
      <c r="D3031" s="18" t="s">
        <v>46</v>
      </c>
      <c r="E3031" s="18" t="s">
        <v>5917</v>
      </c>
      <c r="F3031" s="2">
        <f>+J3031-I3031</f>
        <v>30</v>
      </c>
      <c r="G3031" s="2">
        <f ca="1">+TODAY()-I3031</f>
        <v>22</v>
      </c>
      <c r="H3031" s="15">
        <v>1034410</v>
      </c>
      <c r="I3031" s="1">
        <v>46098</v>
      </c>
      <c r="J3031" s="1">
        <v>46128</v>
      </c>
      <c r="K3031" s="18" t="s">
        <v>17</v>
      </c>
      <c r="L3031" s="18" t="s">
        <v>32</v>
      </c>
      <c r="M3031" s="18" t="s">
        <v>19</v>
      </c>
      <c r="N3031" s="18" t="s">
        <v>81</v>
      </c>
      <c r="O3031">
        <v>30</v>
      </c>
    </row>
    <row r="3032" spans="1:15" x14ac:dyDescent="0.25">
      <c r="A3032" s="18" t="s">
        <v>7276</v>
      </c>
      <c r="B3032" s="18" t="s">
        <v>79</v>
      </c>
      <c r="C3032" s="18" t="s">
        <v>80</v>
      </c>
      <c r="D3032" s="18" t="s">
        <v>46</v>
      </c>
      <c r="E3032" s="18" t="s">
        <v>5921</v>
      </c>
      <c r="F3032" s="2">
        <f>+J3032-I3032</f>
        <v>30</v>
      </c>
      <c r="G3032" s="2">
        <f ca="1">+TODAY()-I3032</f>
        <v>22</v>
      </c>
      <c r="H3032" s="15">
        <v>174806</v>
      </c>
      <c r="I3032" s="1">
        <v>46098</v>
      </c>
      <c r="J3032" s="1">
        <v>46128</v>
      </c>
      <c r="K3032" s="18" t="s">
        <v>17</v>
      </c>
      <c r="L3032" s="18" t="s">
        <v>32</v>
      </c>
      <c r="M3032" s="18" t="s">
        <v>19</v>
      </c>
      <c r="N3032" s="18" t="s">
        <v>81</v>
      </c>
      <c r="O3032">
        <v>30</v>
      </c>
    </row>
    <row r="3033" spans="1:15" x14ac:dyDescent="0.25">
      <c r="A3033" s="18" t="s">
        <v>7276</v>
      </c>
      <c r="B3033" s="18" t="s">
        <v>79</v>
      </c>
      <c r="C3033" s="18" t="s">
        <v>80</v>
      </c>
      <c r="D3033" s="18" t="s">
        <v>46</v>
      </c>
      <c r="E3033" s="18" t="s">
        <v>6150</v>
      </c>
      <c r="F3033" s="2">
        <f>+J3033-I3033</f>
        <v>30</v>
      </c>
      <c r="G3033" s="2">
        <f ca="1">+TODAY()-I3033</f>
        <v>22</v>
      </c>
      <c r="H3033" s="15">
        <v>349611</v>
      </c>
      <c r="I3033" s="1">
        <v>46098</v>
      </c>
      <c r="J3033" s="1">
        <v>46128</v>
      </c>
      <c r="K3033" s="18" t="s">
        <v>17</v>
      </c>
      <c r="L3033" s="18" t="s">
        <v>32</v>
      </c>
      <c r="M3033" s="18" t="s">
        <v>19</v>
      </c>
      <c r="N3033" s="18" t="s">
        <v>81</v>
      </c>
      <c r="O3033">
        <v>30</v>
      </c>
    </row>
    <row r="3034" spans="1:15" x14ac:dyDescent="0.25">
      <c r="A3034" s="18" t="s">
        <v>7276</v>
      </c>
      <c r="B3034" s="18" t="s">
        <v>79</v>
      </c>
      <c r="C3034" s="18" t="s">
        <v>80</v>
      </c>
      <c r="D3034" s="18" t="s">
        <v>46</v>
      </c>
      <c r="E3034" s="18" t="s">
        <v>6163</v>
      </c>
      <c r="F3034" s="2">
        <f>+J3034-I3034</f>
        <v>30</v>
      </c>
      <c r="G3034" s="2">
        <f ca="1">+TODAY()-I3034</f>
        <v>21</v>
      </c>
      <c r="H3034" s="15">
        <v>1366942</v>
      </c>
      <c r="I3034" s="1">
        <v>46099</v>
      </c>
      <c r="J3034" s="1">
        <v>46129</v>
      </c>
      <c r="K3034" s="18" t="s">
        <v>17</v>
      </c>
      <c r="L3034" s="18" t="s">
        <v>32</v>
      </c>
      <c r="M3034" s="18" t="s">
        <v>19</v>
      </c>
      <c r="N3034" s="18" t="s">
        <v>81</v>
      </c>
      <c r="O3034">
        <v>30</v>
      </c>
    </row>
    <row r="3035" spans="1:15" x14ac:dyDescent="0.25">
      <c r="A3035" s="18" t="s">
        <v>7276</v>
      </c>
      <c r="B3035" s="18" t="s">
        <v>79</v>
      </c>
      <c r="C3035" s="18" t="s">
        <v>80</v>
      </c>
      <c r="D3035" s="18" t="s">
        <v>46</v>
      </c>
      <c r="E3035" s="18" t="s">
        <v>6164</v>
      </c>
      <c r="F3035" s="2">
        <f>+J3035-I3035</f>
        <v>30</v>
      </c>
      <c r="G3035" s="2">
        <f ca="1">+TODAY()-I3035</f>
        <v>21</v>
      </c>
      <c r="H3035" s="15">
        <v>1203188</v>
      </c>
      <c r="I3035" s="1">
        <v>46099</v>
      </c>
      <c r="J3035" s="1">
        <v>46129</v>
      </c>
      <c r="K3035" s="18" t="s">
        <v>17</v>
      </c>
      <c r="L3035" s="18" t="s">
        <v>32</v>
      </c>
      <c r="M3035" s="18" t="s">
        <v>19</v>
      </c>
      <c r="N3035" s="18" t="s">
        <v>81</v>
      </c>
      <c r="O3035">
        <v>30</v>
      </c>
    </row>
    <row r="3036" spans="1:15" x14ac:dyDescent="0.25">
      <c r="A3036" s="18" t="s">
        <v>7276</v>
      </c>
      <c r="B3036" s="18" t="s">
        <v>79</v>
      </c>
      <c r="C3036" s="18" t="s">
        <v>80</v>
      </c>
      <c r="D3036" s="18" t="s">
        <v>46</v>
      </c>
      <c r="E3036" s="18" t="s">
        <v>6166</v>
      </c>
      <c r="F3036" s="2">
        <f>+J3036-I3036</f>
        <v>30</v>
      </c>
      <c r="G3036" s="2">
        <f ca="1">+TODAY()-I3036</f>
        <v>21</v>
      </c>
      <c r="H3036" s="15">
        <v>394500</v>
      </c>
      <c r="I3036" s="1">
        <v>46099</v>
      </c>
      <c r="J3036" s="1">
        <v>46129</v>
      </c>
      <c r="K3036" s="18" t="s">
        <v>17</v>
      </c>
      <c r="L3036" s="18" t="s">
        <v>32</v>
      </c>
      <c r="M3036" s="18" t="s">
        <v>19</v>
      </c>
      <c r="N3036" s="18" t="s">
        <v>81</v>
      </c>
      <c r="O3036">
        <v>30</v>
      </c>
    </row>
    <row r="3037" spans="1:15" x14ac:dyDescent="0.25">
      <c r="A3037" s="18" t="s">
        <v>7276</v>
      </c>
      <c r="B3037" s="18" t="s">
        <v>79</v>
      </c>
      <c r="C3037" s="18" t="s">
        <v>80</v>
      </c>
      <c r="D3037" s="18" t="s">
        <v>46</v>
      </c>
      <c r="E3037" s="18" t="s">
        <v>6387</v>
      </c>
      <c r="F3037" s="2">
        <f>+J3037-I3037</f>
        <v>30</v>
      </c>
      <c r="G3037" s="2">
        <f ca="1">+TODAY()-I3037</f>
        <v>15</v>
      </c>
      <c r="H3037" s="15">
        <v>2900000</v>
      </c>
      <c r="I3037" s="1">
        <v>46105</v>
      </c>
      <c r="J3037" s="1">
        <v>46135</v>
      </c>
      <c r="K3037" s="18" t="s">
        <v>17</v>
      </c>
      <c r="L3037" s="18" t="s">
        <v>32</v>
      </c>
      <c r="M3037" s="18" t="s">
        <v>19</v>
      </c>
      <c r="N3037" s="18" t="s">
        <v>81</v>
      </c>
      <c r="O3037">
        <v>30</v>
      </c>
    </row>
    <row r="3038" spans="1:15" x14ac:dyDescent="0.25">
      <c r="A3038" s="18" t="s">
        <v>7276</v>
      </c>
      <c r="B3038" s="18" t="s">
        <v>79</v>
      </c>
      <c r="C3038" s="18" t="s">
        <v>80</v>
      </c>
      <c r="D3038" s="18" t="s">
        <v>46</v>
      </c>
      <c r="E3038" s="18" t="s">
        <v>6408</v>
      </c>
      <c r="F3038" s="2">
        <f>+J3038-I3038</f>
        <v>30</v>
      </c>
      <c r="G3038" s="2">
        <f ca="1">+TODAY()-I3038</f>
        <v>14</v>
      </c>
      <c r="H3038" s="15">
        <v>438500</v>
      </c>
      <c r="I3038" s="1">
        <v>46106</v>
      </c>
      <c r="J3038" s="1">
        <v>46136</v>
      </c>
      <c r="K3038" s="18" t="s">
        <v>17</v>
      </c>
      <c r="L3038" s="18" t="s">
        <v>32</v>
      </c>
      <c r="M3038" s="18" t="s">
        <v>19</v>
      </c>
      <c r="N3038" s="18" t="s">
        <v>81</v>
      </c>
      <c r="O3038">
        <v>30</v>
      </c>
    </row>
    <row r="3039" spans="1:15" x14ac:dyDescent="0.25">
      <c r="A3039" s="18" t="s">
        <v>7276</v>
      </c>
      <c r="B3039" s="18" t="s">
        <v>79</v>
      </c>
      <c r="C3039" s="18" t="s">
        <v>80</v>
      </c>
      <c r="D3039" s="18" t="s">
        <v>46</v>
      </c>
      <c r="E3039" s="18" t="s">
        <v>6729</v>
      </c>
      <c r="F3039" s="2">
        <f>+J3039-I3039</f>
        <v>10</v>
      </c>
      <c r="G3039" s="2">
        <f ca="1">+TODAY()-I3039</f>
        <v>11</v>
      </c>
      <c r="H3039" s="15">
        <v>2100000</v>
      </c>
      <c r="I3039" s="1">
        <v>46109</v>
      </c>
      <c r="J3039" s="1">
        <v>46119</v>
      </c>
      <c r="K3039" s="18" t="s">
        <v>17</v>
      </c>
      <c r="L3039" s="18" t="s">
        <v>32</v>
      </c>
      <c r="M3039" s="18" t="s">
        <v>19</v>
      </c>
      <c r="N3039" s="18" t="s">
        <v>81</v>
      </c>
      <c r="O3039">
        <v>30</v>
      </c>
    </row>
    <row r="3040" spans="1:15" x14ac:dyDescent="0.25">
      <c r="A3040" s="18" t="s">
        <v>7276</v>
      </c>
      <c r="B3040" s="18" t="s">
        <v>79</v>
      </c>
      <c r="C3040" s="18" t="s">
        <v>80</v>
      </c>
      <c r="D3040" s="18" t="s">
        <v>46</v>
      </c>
      <c r="E3040" s="18" t="s">
        <v>6802</v>
      </c>
      <c r="F3040" s="2">
        <f>+J3040-I3040</f>
        <v>30</v>
      </c>
      <c r="G3040" s="2">
        <f ca="1">+TODAY()-I3040</f>
        <v>8</v>
      </c>
      <c r="H3040" s="15">
        <v>789600</v>
      </c>
      <c r="I3040" s="1">
        <v>46112</v>
      </c>
      <c r="J3040" s="1">
        <v>46142</v>
      </c>
      <c r="K3040" s="18" t="s">
        <v>17</v>
      </c>
      <c r="L3040" s="18" t="s">
        <v>32</v>
      </c>
      <c r="M3040" s="18" t="s">
        <v>19</v>
      </c>
      <c r="N3040" s="18" t="s">
        <v>81</v>
      </c>
      <c r="O3040">
        <v>30</v>
      </c>
    </row>
    <row r="3041" spans="1:15" x14ac:dyDescent="0.25">
      <c r="A3041" s="18" t="s">
        <v>7276</v>
      </c>
      <c r="B3041" s="18" t="s">
        <v>79</v>
      </c>
      <c r="C3041" s="18" t="s">
        <v>80</v>
      </c>
      <c r="D3041" s="18" t="s">
        <v>46</v>
      </c>
      <c r="E3041" s="18" t="s">
        <v>6835</v>
      </c>
      <c r="F3041" s="2">
        <f>+J3041-I3041</f>
        <v>30</v>
      </c>
      <c r="G3041" s="2">
        <f ca="1">+TODAY()-I3041</f>
        <v>8</v>
      </c>
      <c r="H3041" s="15">
        <v>243603</v>
      </c>
      <c r="I3041" s="1">
        <v>46112</v>
      </c>
      <c r="J3041" s="1">
        <v>46142</v>
      </c>
      <c r="K3041" s="18" t="s">
        <v>17</v>
      </c>
      <c r="L3041" s="18" t="s">
        <v>32</v>
      </c>
      <c r="M3041" s="18" t="s">
        <v>19</v>
      </c>
      <c r="N3041" s="18" t="s">
        <v>81</v>
      </c>
      <c r="O3041">
        <v>30</v>
      </c>
    </row>
    <row r="3042" spans="1:15" x14ac:dyDescent="0.25">
      <c r="A3042" s="18" t="s">
        <v>7276</v>
      </c>
      <c r="B3042" s="18" t="s">
        <v>79</v>
      </c>
      <c r="C3042" s="18" t="s">
        <v>80</v>
      </c>
      <c r="D3042" s="18" t="s">
        <v>46</v>
      </c>
      <c r="E3042" s="18" t="s">
        <v>6839</v>
      </c>
      <c r="F3042" s="2">
        <f>+J3042-I3042</f>
        <v>30</v>
      </c>
      <c r="G3042" s="2">
        <f ca="1">+TODAY()-I3042</f>
        <v>8</v>
      </c>
      <c r="H3042" s="15">
        <v>487205</v>
      </c>
      <c r="I3042" s="1">
        <v>46112</v>
      </c>
      <c r="J3042" s="1">
        <v>46142</v>
      </c>
      <c r="K3042" s="18" t="s">
        <v>17</v>
      </c>
      <c r="L3042" s="18" t="s">
        <v>32</v>
      </c>
      <c r="M3042" s="18" t="s">
        <v>19</v>
      </c>
      <c r="N3042" s="18" t="s">
        <v>81</v>
      </c>
      <c r="O3042">
        <v>30</v>
      </c>
    </row>
    <row r="3043" spans="1:15" x14ac:dyDescent="0.25">
      <c r="A3043" s="18" t="s">
        <v>7276</v>
      </c>
      <c r="B3043" s="18" t="s">
        <v>79</v>
      </c>
      <c r="C3043" s="18" t="s">
        <v>80</v>
      </c>
      <c r="D3043" s="18" t="s">
        <v>46</v>
      </c>
      <c r="E3043" s="18" t="s">
        <v>7279</v>
      </c>
      <c r="F3043" s="2">
        <f>+J3043-I3043</f>
        <v>30</v>
      </c>
      <c r="G3043" s="2">
        <f ca="1">+TODAY()-I3043</f>
        <v>7</v>
      </c>
      <c r="H3043" s="15">
        <v>2</v>
      </c>
      <c r="I3043" s="1">
        <v>46113</v>
      </c>
      <c r="J3043" s="1">
        <v>46143</v>
      </c>
      <c r="K3043" s="18" t="s">
        <v>17</v>
      </c>
      <c r="L3043" s="18" t="s">
        <v>32</v>
      </c>
      <c r="M3043" s="18" t="s">
        <v>19</v>
      </c>
      <c r="N3043" s="18" t="s">
        <v>81</v>
      </c>
      <c r="O3043">
        <v>30</v>
      </c>
    </row>
    <row r="3044" spans="1:15" x14ac:dyDescent="0.25">
      <c r="A3044" s="18" t="s">
        <v>7276</v>
      </c>
      <c r="B3044" s="18" t="s">
        <v>79</v>
      </c>
      <c r="C3044" s="18" t="s">
        <v>80</v>
      </c>
      <c r="D3044" s="18" t="s">
        <v>46</v>
      </c>
      <c r="E3044" s="18" t="s">
        <v>7280</v>
      </c>
      <c r="F3044" s="2">
        <f>+J3044-I3044</f>
        <v>30</v>
      </c>
      <c r="G3044" s="2">
        <f ca="1">+TODAY()-I3044</f>
        <v>7</v>
      </c>
      <c r="H3044" s="15">
        <v>1281600</v>
      </c>
      <c r="I3044" s="1">
        <v>46113</v>
      </c>
      <c r="J3044" s="1">
        <v>46143</v>
      </c>
      <c r="K3044" s="18" t="s">
        <v>17</v>
      </c>
      <c r="L3044" s="18" t="s">
        <v>32</v>
      </c>
      <c r="M3044" s="18" t="s">
        <v>19</v>
      </c>
      <c r="N3044" s="18" t="s">
        <v>81</v>
      </c>
      <c r="O3044">
        <v>30</v>
      </c>
    </row>
    <row r="3045" spans="1:15" x14ac:dyDescent="0.25">
      <c r="A3045" s="18" t="s">
        <v>7276</v>
      </c>
      <c r="B3045" s="18" t="s">
        <v>79</v>
      </c>
      <c r="C3045" s="18" t="s">
        <v>80</v>
      </c>
      <c r="D3045" s="18" t="s">
        <v>46</v>
      </c>
      <c r="E3045" s="18" t="s">
        <v>7308</v>
      </c>
      <c r="F3045" s="2">
        <f>+J3045-I3045</f>
        <v>30</v>
      </c>
      <c r="G3045" s="2">
        <f ca="1">+TODAY()-I3045</f>
        <v>7</v>
      </c>
      <c r="H3045" s="15">
        <v>935997</v>
      </c>
      <c r="I3045" s="1">
        <v>46113</v>
      </c>
      <c r="J3045" s="1">
        <v>46143</v>
      </c>
      <c r="K3045" s="18" t="s">
        <v>17</v>
      </c>
      <c r="L3045" s="18" t="s">
        <v>32</v>
      </c>
      <c r="M3045" s="18" t="s">
        <v>19</v>
      </c>
      <c r="N3045" s="18" t="s">
        <v>81</v>
      </c>
      <c r="O3045">
        <v>30</v>
      </c>
    </row>
    <row r="3046" spans="1:15" x14ac:dyDescent="0.25">
      <c r="A3046" s="18" t="s">
        <v>7276</v>
      </c>
      <c r="B3046" s="18" t="s">
        <v>79</v>
      </c>
      <c r="C3046" s="18" t="s">
        <v>80</v>
      </c>
      <c r="D3046" s="18" t="s">
        <v>46</v>
      </c>
      <c r="E3046" s="18" t="s">
        <v>7348</v>
      </c>
      <c r="F3046" s="2">
        <f>+J3046-I3046</f>
        <v>30</v>
      </c>
      <c r="G3046" s="2">
        <f ca="1">+TODAY()-I3046</f>
        <v>2</v>
      </c>
      <c r="H3046" s="15">
        <v>1463101</v>
      </c>
      <c r="I3046" s="1">
        <v>46118</v>
      </c>
      <c r="J3046" s="1">
        <v>46148</v>
      </c>
      <c r="K3046" s="18" t="s">
        <v>17</v>
      </c>
      <c r="L3046" s="18" t="s">
        <v>32</v>
      </c>
      <c r="M3046" s="18" t="s">
        <v>19</v>
      </c>
      <c r="N3046" s="18" t="s">
        <v>81</v>
      </c>
      <c r="O3046">
        <v>30</v>
      </c>
    </row>
    <row r="3047" spans="1:15" x14ac:dyDescent="0.25">
      <c r="A3047" s="18" t="s">
        <v>7276</v>
      </c>
      <c r="B3047" s="18" t="s">
        <v>79</v>
      </c>
      <c r="C3047" s="18" t="s">
        <v>80</v>
      </c>
      <c r="D3047" s="18" t="s">
        <v>46</v>
      </c>
      <c r="E3047" s="18" t="s">
        <v>7656</v>
      </c>
      <c r="F3047" s="2">
        <f>+J3047-I3047</f>
        <v>30</v>
      </c>
      <c r="G3047" s="2">
        <f ca="1">+TODAY()-I3047</f>
        <v>1</v>
      </c>
      <c r="H3047" s="15">
        <v>380208</v>
      </c>
      <c r="I3047" s="1">
        <v>46119</v>
      </c>
      <c r="J3047" s="1">
        <v>46149</v>
      </c>
      <c r="K3047" s="18" t="s">
        <v>17</v>
      </c>
      <c r="L3047" s="18" t="s">
        <v>32</v>
      </c>
      <c r="M3047" s="18" t="s">
        <v>19</v>
      </c>
      <c r="N3047" s="18" t="s">
        <v>81</v>
      </c>
      <c r="O3047">
        <v>30</v>
      </c>
    </row>
    <row r="3048" spans="1:15" x14ac:dyDescent="0.25">
      <c r="A3048" s="18" t="s">
        <v>7276</v>
      </c>
      <c r="B3048" s="18" t="s">
        <v>79</v>
      </c>
      <c r="C3048" s="18" t="s">
        <v>80</v>
      </c>
      <c r="D3048" s="18" t="s">
        <v>46</v>
      </c>
      <c r="E3048" s="18" t="s">
        <v>7657</v>
      </c>
      <c r="F3048" s="2">
        <f>+J3048-I3048</f>
        <v>10</v>
      </c>
      <c r="G3048" s="2">
        <f ca="1">+TODAY()-I3048</f>
        <v>1</v>
      </c>
      <c r="H3048" s="15">
        <v>1260000</v>
      </c>
      <c r="I3048" s="1">
        <v>46119</v>
      </c>
      <c r="J3048" s="1">
        <v>46129</v>
      </c>
      <c r="K3048" s="18" t="s">
        <v>17</v>
      </c>
      <c r="L3048" s="18" t="s">
        <v>32</v>
      </c>
      <c r="M3048" s="18" t="s">
        <v>19</v>
      </c>
      <c r="N3048" s="18" t="s">
        <v>81</v>
      </c>
      <c r="O3048">
        <v>30</v>
      </c>
    </row>
    <row r="3049" spans="1:15" x14ac:dyDescent="0.25">
      <c r="A3049" s="18" t="s">
        <v>7276</v>
      </c>
      <c r="B3049" s="18" t="s">
        <v>79</v>
      </c>
      <c r="C3049" s="18" t="s">
        <v>80</v>
      </c>
      <c r="D3049" s="18" t="s">
        <v>46</v>
      </c>
      <c r="E3049" s="18" t="s">
        <v>6434</v>
      </c>
      <c r="F3049" s="2">
        <f>+J3049-I3049</f>
        <v>30</v>
      </c>
      <c r="G3049" s="2">
        <f ca="1">+TODAY()-I3049</f>
        <v>14</v>
      </c>
      <c r="H3049" s="15">
        <v>1574399</v>
      </c>
      <c r="I3049" s="1">
        <v>46106</v>
      </c>
      <c r="J3049" s="1">
        <v>46136</v>
      </c>
      <c r="K3049" s="18" t="s">
        <v>17</v>
      </c>
      <c r="L3049" s="18" t="s">
        <v>32</v>
      </c>
      <c r="M3049" s="18" t="s">
        <v>19</v>
      </c>
      <c r="N3049" s="18" t="s">
        <v>81</v>
      </c>
      <c r="O3049">
        <v>30</v>
      </c>
    </row>
    <row r="3050" spans="1:15" x14ac:dyDescent="0.25">
      <c r="A3050" s="18" t="s">
        <v>7276</v>
      </c>
      <c r="B3050" s="18" t="s">
        <v>1940</v>
      </c>
      <c r="C3050" s="18" t="s">
        <v>1941</v>
      </c>
      <c r="D3050" s="18" t="s">
        <v>1563</v>
      </c>
      <c r="E3050" s="18" t="s">
        <v>5490</v>
      </c>
      <c r="F3050" s="2">
        <f>+J3050-I3050</f>
        <v>30</v>
      </c>
      <c r="G3050" s="2">
        <f ca="1">+TODAY()-I3050</f>
        <v>35</v>
      </c>
      <c r="H3050" s="15">
        <v>1533564</v>
      </c>
      <c r="I3050" s="1">
        <v>46085</v>
      </c>
      <c r="J3050" s="1">
        <v>46115</v>
      </c>
      <c r="K3050" s="18" t="s">
        <v>1564</v>
      </c>
      <c r="L3050" s="18" t="s">
        <v>984</v>
      </c>
      <c r="M3050" s="18" t="s">
        <v>19</v>
      </c>
      <c r="N3050" s="18" t="s">
        <v>1942</v>
      </c>
      <c r="O3050">
        <v>30</v>
      </c>
    </row>
    <row r="3051" spans="1:15" x14ac:dyDescent="0.25">
      <c r="A3051" s="18" t="s">
        <v>7276</v>
      </c>
      <c r="B3051" s="18" t="s">
        <v>1940</v>
      </c>
      <c r="C3051" s="18" t="s">
        <v>1941</v>
      </c>
      <c r="D3051" s="18" t="s">
        <v>1563</v>
      </c>
      <c r="E3051" s="18" t="s">
        <v>5491</v>
      </c>
      <c r="F3051" s="2">
        <f>+J3051-I3051</f>
        <v>30</v>
      </c>
      <c r="G3051" s="2">
        <f ca="1">+TODAY()-I3051</f>
        <v>35</v>
      </c>
      <c r="H3051" s="15">
        <v>1315131</v>
      </c>
      <c r="I3051" s="1">
        <v>46085</v>
      </c>
      <c r="J3051" s="1">
        <v>46115</v>
      </c>
      <c r="K3051" s="18" t="s">
        <v>1564</v>
      </c>
      <c r="L3051" s="18" t="s">
        <v>984</v>
      </c>
      <c r="M3051" s="18" t="s">
        <v>19</v>
      </c>
      <c r="N3051" s="18" t="s">
        <v>1942</v>
      </c>
      <c r="O3051">
        <v>30</v>
      </c>
    </row>
    <row r="3052" spans="1:15" x14ac:dyDescent="0.25">
      <c r="A3052" s="18" t="s">
        <v>7276</v>
      </c>
      <c r="B3052" s="18" t="s">
        <v>1940</v>
      </c>
      <c r="C3052" s="18" t="s">
        <v>1941</v>
      </c>
      <c r="D3052" s="18" t="s">
        <v>1563</v>
      </c>
      <c r="E3052" s="18" t="s">
        <v>6085</v>
      </c>
      <c r="F3052" s="2">
        <f>+J3052-I3052</f>
        <v>30</v>
      </c>
      <c r="G3052" s="2">
        <f ca="1">+TODAY()-I3052</f>
        <v>22</v>
      </c>
      <c r="H3052" s="15">
        <v>4173579</v>
      </c>
      <c r="I3052" s="1">
        <v>46098</v>
      </c>
      <c r="J3052" s="1">
        <v>46128</v>
      </c>
      <c r="K3052" s="18" t="s">
        <v>1564</v>
      </c>
      <c r="L3052" s="18" t="s">
        <v>984</v>
      </c>
      <c r="M3052" s="18" t="s">
        <v>19</v>
      </c>
      <c r="N3052" s="18" t="s">
        <v>1942</v>
      </c>
      <c r="O3052">
        <v>30</v>
      </c>
    </row>
    <row r="3053" spans="1:15" x14ac:dyDescent="0.25">
      <c r="A3053" s="18" t="s">
        <v>7276</v>
      </c>
      <c r="B3053" s="18" t="s">
        <v>5113</v>
      </c>
      <c r="C3053" s="18" t="s">
        <v>5114</v>
      </c>
      <c r="D3053" s="18" t="s">
        <v>1271</v>
      </c>
      <c r="E3053" s="18" t="s">
        <v>5115</v>
      </c>
      <c r="F3053" s="2">
        <f>+J3053-I3053</f>
        <v>30</v>
      </c>
      <c r="G3053" s="2">
        <f ca="1">+TODAY()-I3053</f>
        <v>55</v>
      </c>
      <c r="H3053" s="15">
        <v>21114</v>
      </c>
      <c r="I3053" s="1">
        <v>46065</v>
      </c>
      <c r="J3053" s="1">
        <v>46095</v>
      </c>
      <c r="K3053" s="18" t="s">
        <v>1260</v>
      </c>
      <c r="L3053" s="18" t="s">
        <v>981</v>
      </c>
      <c r="M3053" s="18" t="s">
        <v>19</v>
      </c>
      <c r="N3053" s="18" t="s">
        <v>5116</v>
      </c>
      <c r="O3053">
        <v>30</v>
      </c>
    </row>
    <row r="3054" spans="1:15" x14ac:dyDescent="0.25">
      <c r="A3054" s="18" t="s">
        <v>7276</v>
      </c>
      <c r="B3054" s="18" t="s">
        <v>5113</v>
      </c>
      <c r="C3054" s="18" t="s">
        <v>5114</v>
      </c>
      <c r="D3054" s="18" t="s">
        <v>1271</v>
      </c>
      <c r="E3054" s="18" t="s">
        <v>5282</v>
      </c>
      <c r="F3054" s="2">
        <f>+J3054-I3054</f>
        <v>30</v>
      </c>
      <c r="G3054" s="2">
        <f ca="1">+TODAY()-I3054</f>
        <v>40</v>
      </c>
      <c r="H3054" s="15">
        <v>826931</v>
      </c>
      <c r="I3054" s="1">
        <v>46080</v>
      </c>
      <c r="J3054" s="1">
        <v>46110</v>
      </c>
      <c r="K3054" s="18" t="s">
        <v>1260</v>
      </c>
      <c r="L3054" s="18" t="s">
        <v>981</v>
      </c>
      <c r="M3054" s="18" t="s">
        <v>19</v>
      </c>
      <c r="N3054" s="18" t="s">
        <v>5116</v>
      </c>
      <c r="O3054">
        <v>30</v>
      </c>
    </row>
    <row r="3055" spans="1:15" x14ac:dyDescent="0.25">
      <c r="A3055" s="18" t="s">
        <v>7276</v>
      </c>
      <c r="B3055" s="18" t="s">
        <v>5113</v>
      </c>
      <c r="C3055" s="18" t="s">
        <v>5114</v>
      </c>
      <c r="D3055" s="18" t="s">
        <v>1271</v>
      </c>
      <c r="E3055" s="18" t="s">
        <v>5478</v>
      </c>
      <c r="F3055" s="2">
        <f>+J3055-I3055</f>
        <v>30</v>
      </c>
      <c r="G3055" s="2">
        <f ca="1">+TODAY()-I3055</f>
        <v>35</v>
      </c>
      <c r="H3055" s="15">
        <v>1507662</v>
      </c>
      <c r="I3055" s="1">
        <v>46085</v>
      </c>
      <c r="J3055" s="1">
        <v>46115</v>
      </c>
      <c r="K3055" s="18" t="s">
        <v>1260</v>
      </c>
      <c r="L3055" s="18" t="s">
        <v>981</v>
      </c>
      <c r="M3055" s="18" t="s">
        <v>19</v>
      </c>
      <c r="N3055" s="18" t="s">
        <v>5116</v>
      </c>
      <c r="O3055">
        <v>30</v>
      </c>
    </row>
    <row r="3056" spans="1:15" x14ac:dyDescent="0.25">
      <c r="A3056" s="18" t="s">
        <v>7276</v>
      </c>
      <c r="B3056" s="18" t="s">
        <v>5113</v>
      </c>
      <c r="C3056" s="18" t="s">
        <v>5114</v>
      </c>
      <c r="D3056" s="18" t="s">
        <v>1271</v>
      </c>
      <c r="E3056" s="18" t="s">
        <v>6034</v>
      </c>
      <c r="F3056" s="2">
        <f>+J3056-I3056</f>
        <v>30</v>
      </c>
      <c r="G3056" s="2">
        <f ca="1">+TODAY()-I3056</f>
        <v>27</v>
      </c>
      <c r="H3056" s="15">
        <v>3626227</v>
      </c>
      <c r="I3056" s="1">
        <v>46093</v>
      </c>
      <c r="J3056" s="1">
        <v>46123</v>
      </c>
      <c r="K3056" s="18" t="s">
        <v>1260</v>
      </c>
      <c r="L3056" s="18" t="s">
        <v>981</v>
      </c>
      <c r="M3056" s="18" t="s">
        <v>19</v>
      </c>
      <c r="N3056" s="18" t="s">
        <v>5116</v>
      </c>
      <c r="O3056">
        <v>30</v>
      </c>
    </row>
    <row r="3057" spans="1:15" x14ac:dyDescent="0.25">
      <c r="A3057" s="18" t="s">
        <v>7276</v>
      </c>
      <c r="B3057" s="18" t="s">
        <v>1486</v>
      </c>
      <c r="C3057" s="18" t="s">
        <v>1487</v>
      </c>
      <c r="D3057" s="18" t="s">
        <v>341</v>
      </c>
      <c r="E3057" s="18" t="s">
        <v>5135</v>
      </c>
      <c r="F3057" s="2">
        <f>+J3057-I3057</f>
        <v>30</v>
      </c>
      <c r="G3057" s="2">
        <f ca="1">+TODAY()-I3057</f>
        <v>53</v>
      </c>
      <c r="H3057" s="15">
        <v>487484</v>
      </c>
      <c r="I3057" s="1">
        <v>46067</v>
      </c>
      <c r="J3057" s="1">
        <v>46097</v>
      </c>
      <c r="K3057" s="18" t="s">
        <v>1470</v>
      </c>
      <c r="L3057" s="18" t="s">
        <v>981</v>
      </c>
      <c r="M3057" s="18" t="s">
        <v>19</v>
      </c>
      <c r="N3057" s="18" t="s">
        <v>1488</v>
      </c>
      <c r="O3057">
        <v>30</v>
      </c>
    </row>
    <row r="3058" spans="1:15" x14ac:dyDescent="0.25">
      <c r="A3058" s="18" t="s">
        <v>7276</v>
      </c>
      <c r="B3058" s="18" t="s">
        <v>937</v>
      </c>
      <c r="C3058" s="18" t="s">
        <v>938</v>
      </c>
      <c r="D3058" s="18" t="s">
        <v>930</v>
      </c>
      <c r="E3058" s="18" t="s">
        <v>5436</v>
      </c>
      <c r="F3058" s="2">
        <f>+J3058-I3058</f>
        <v>30</v>
      </c>
      <c r="G3058" s="2">
        <f ca="1">+TODAY()-I3058</f>
        <v>36</v>
      </c>
      <c r="H3058" s="15">
        <v>681464</v>
      </c>
      <c r="I3058" s="1">
        <v>46084</v>
      </c>
      <c r="J3058" s="1">
        <v>46114</v>
      </c>
      <c r="K3058" s="18" t="s">
        <v>918</v>
      </c>
      <c r="L3058" s="18" t="s">
        <v>312</v>
      </c>
      <c r="M3058" s="18" t="s">
        <v>19</v>
      </c>
      <c r="N3058" s="18" t="s">
        <v>939</v>
      </c>
      <c r="O3058">
        <v>30</v>
      </c>
    </row>
    <row r="3059" spans="1:15" x14ac:dyDescent="0.25">
      <c r="A3059" s="18" t="s">
        <v>7276</v>
      </c>
      <c r="B3059" s="18" t="s">
        <v>937</v>
      </c>
      <c r="C3059" s="18" t="s">
        <v>938</v>
      </c>
      <c r="D3059" s="18" t="s">
        <v>930</v>
      </c>
      <c r="E3059" s="18" t="s">
        <v>5708</v>
      </c>
      <c r="F3059" s="2">
        <f>+J3059-I3059</f>
        <v>30</v>
      </c>
      <c r="G3059" s="2">
        <f ca="1">+TODAY()-I3059</f>
        <v>29</v>
      </c>
      <c r="H3059" s="15">
        <v>924970</v>
      </c>
      <c r="I3059" s="1">
        <v>46091</v>
      </c>
      <c r="J3059" s="1">
        <v>46121</v>
      </c>
      <c r="K3059" s="18" t="s">
        <v>918</v>
      </c>
      <c r="L3059" s="18" t="s">
        <v>312</v>
      </c>
      <c r="M3059" s="18" t="s">
        <v>19</v>
      </c>
      <c r="N3059" s="18" t="s">
        <v>939</v>
      </c>
      <c r="O3059">
        <v>30</v>
      </c>
    </row>
    <row r="3060" spans="1:15" x14ac:dyDescent="0.25">
      <c r="A3060" s="18" t="s">
        <v>7276</v>
      </c>
      <c r="B3060" s="18" t="s">
        <v>937</v>
      </c>
      <c r="C3060" s="18" t="s">
        <v>938</v>
      </c>
      <c r="D3060" s="18" t="s">
        <v>930</v>
      </c>
      <c r="E3060" s="18" t="s">
        <v>5977</v>
      </c>
      <c r="F3060" s="2">
        <f>+J3060-I3060</f>
        <v>30</v>
      </c>
      <c r="G3060" s="2">
        <f ca="1">+TODAY()-I3060</f>
        <v>22</v>
      </c>
      <c r="H3060" s="15">
        <v>765508</v>
      </c>
      <c r="I3060" s="1">
        <v>46098</v>
      </c>
      <c r="J3060" s="1">
        <v>46128</v>
      </c>
      <c r="K3060" s="18" t="s">
        <v>918</v>
      </c>
      <c r="L3060" s="18" t="s">
        <v>312</v>
      </c>
      <c r="M3060" s="18" t="s">
        <v>19</v>
      </c>
      <c r="N3060" s="18" t="s">
        <v>939</v>
      </c>
      <c r="O3060">
        <v>30</v>
      </c>
    </row>
    <row r="3061" spans="1:15" x14ac:dyDescent="0.25">
      <c r="A3061" s="18" t="s">
        <v>7276</v>
      </c>
      <c r="B3061" s="18" t="s">
        <v>937</v>
      </c>
      <c r="C3061" s="18" t="s">
        <v>938</v>
      </c>
      <c r="D3061" s="18" t="s">
        <v>930</v>
      </c>
      <c r="E3061" s="18" t="s">
        <v>6492</v>
      </c>
      <c r="F3061" s="2">
        <f>+J3061-I3061</f>
        <v>30</v>
      </c>
      <c r="G3061" s="2">
        <f ca="1">+TODAY()-I3061</f>
        <v>15</v>
      </c>
      <c r="H3061" s="15">
        <v>1887665</v>
      </c>
      <c r="I3061" s="1">
        <v>46105</v>
      </c>
      <c r="J3061" s="1">
        <v>46135</v>
      </c>
      <c r="K3061" s="18" t="s">
        <v>918</v>
      </c>
      <c r="L3061" s="18" t="s">
        <v>312</v>
      </c>
      <c r="M3061" s="18" t="s">
        <v>19</v>
      </c>
      <c r="N3061" s="18" t="s">
        <v>939</v>
      </c>
      <c r="O3061">
        <v>30</v>
      </c>
    </row>
    <row r="3062" spans="1:15" x14ac:dyDescent="0.25">
      <c r="A3062" s="18" t="s">
        <v>7276</v>
      </c>
      <c r="B3062" s="18" t="s">
        <v>937</v>
      </c>
      <c r="C3062" s="18" t="s">
        <v>938</v>
      </c>
      <c r="D3062" s="18" t="s">
        <v>930</v>
      </c>
      <c r="E3062" s="18" t="s">
        <v>7018</v>
      </c>
      <c r="F3062" s="2">
        <f>+J3062-I3062</f>
        <v>30</v>
      </c>
      <c r="G3062" s="2">
        <f ca="1">+TODAY()-I3062</f>
        <v>9</v>
      </c>
      <c r="H3062" s="15">
        <v>824993</v>
      </c>
      <c r="I3062" s="1">
        <v>46111</v>
      </c>
      <c r="J3062" s="1">
        <v>46141</v>
      </c>
      <c r="K3062" s="18" t="s">
        <v>918</v>
      </c>
      <c r="L3062" s="18" t="s">
        <v>312</v>
      </c>
      <c r="M3062" s="18" t="s">
        <v>19</v>
      </c>
      <c r="N3062" s="18" t="s">
        <v>939</v>
      </c>
      <c r="O3062">
        <v>30</v>
      </c>
    </row>
    <row r="3063" spans="1:15" x14ac:dyDescent="0.25">
      <c r="A3063" s="18" t="s">
        <v>7276</v>
      </c>
      <c r="B3063" s="18" t="s">
        <v>937</v>
      </c>
      <c r="C3063" s="18" t="s">
        <v>938</v>
      </c>
      <c r="D3063" s="18" t="s">
        <v>930</v>
      </c>
      <c r="E3063" s="18" t="s">
        <v>7779</v>
      </c>
      <c r="F3063" s="2">
        <f>+J3063-I3063</f>
        <v>1</v>
      </c>
      <c r="G3063" s="2">
        <f ca="1">+TODAY()-I3063</f>
        <v>1</v>
      </c>
      <c r="H3063" s="15">
        <v>1528000</v>
      </c>
      <c r="I3063" s="1">
        <v>46119</v>
      </c>
      <c r="J3063" s="1">
        <v>46120</v>
      </c>
      <c r="K3063" s="18" t="s">
        <v>918</v>
      </c>
      <c r="L3063" s="18" t="s">
        <v>312</v>
      </c>
      <c r="M3063" s="18" t="s">
        <v>19</v>
      </c>
      <c r="N3063" s="18" t="s">
        <v>939</v>
      </c>
      <c r="O3063">
        <v>30</v>
      </c>
    </row>
    <row r="3064" spans="1:15" x14ac:dyDescent="0.25">
      <c r="A3064" s="18" t="s">
        <v>7276</v>
      </c>
      <c r="B3064" s="18" t="s">
        <v>937</v>
      </c>
      <c r="C3064" s="18" t="s">
        <v>938</v>
      </c>
      <c r="D3064" s="18" t="s">
        <v>930</v>
      </c>
      <c r="E3064" s="18" t="s">
        <v>7780</v>
      </c>
      <c r="F3064" s="2">
        <f>+J3064-I3064</f>
        <v>30</v>
      </c>
      <c r="G3064" s="2">
        <f ca="1">+TODAY()-I3064</f>
        <v>1</v>
      </c>
      <c r="H3064" s="15">
        <v>484506</v>
      </c>
      <c r="I3064" s="1">
        <v>46119</v>
      </c>
      <c r="J3064" s="1">
        <v>46149</v>
      </c>
      <c r="K3064" s="18" t="s">
        <v>918</v>
      </c>
      <c r="L3064" s="18" t="s">
        <v>312</v>
      </c>
      <c r="M3064" s="18" t="s">
        <v>19</v>
      </c>
      <c r="N3064" s="18" t="s">
        <v>939</v>
      </c>
      <c r="O3064">
        <v>30</v>
      </c>
    </row>
    <row r="3065" spans="1:15" x14ac:dyDescent="0.25">
      <c r="A3065" s="18" t="s">
        <v>7276</v>
      </c>
      <c r="B3065" s="18" t="s">
        <v>2203</v>
      </c>
      <c r="C3065" s="18" t="s">
        <v>2204</v>
      </c>
      <c r="D3065" s="18" t="s">
        <v>15</v>
      </c>
      <c r="E3065" s="18" t="s">
        <v>6199</v>
      </c>
      <c r="F3065" s="2">
        <f>+J3065-I3065</f>
        <v>10</v>
      </c>
      <c r="G3065" s="2">
        <f ca="1">+TODAY()-I3065</f>
        <v>19</v>
      </c>
      <c r="H3065" s="15">
        <v>420000</v>
      </c>
      <c r="I3065" s="1">
        <v>46101</v>
      </c>
      <c r="J3065" s="1">
        <v>46111</v>
      </c>
      <c r="K3065" s="18" t="s">
        <v>17</v>
      </c>
      <c r="L3065" s="18" t="s">
        <v>317</v>
      </c>
      <c r="M3065" s="18" t="s">
        <v>19</v>
      </c>
      <c r="N3065" s="18" t="s">
        <v>2205</v>
      </c>
      <c r="O3065">
        <v>30</v>
      </c>
    </row>
    <row r="3066" spans="1:15" x14ac:dyDescent="0.25">
      <c r="A3066" s="18" t="s">
        <v>7276</v>
      </c>
      <c r="B3066" s="18" t="s">
        <v>133</v>
      </c>
      <c r="C3066" s="18" t="s">
        <v>134</v>
      </c>
      <c r="D3066" s="18" t="s">
        <v>15</v>
      </c>
      <c r="E3066" s="18" t="s">
        <v>5605</v>
      </c>
      <c r="F3066" s="2">
        <f>+J3066-I3066</f>
        <v>30</v>
      </c>
      <c r="G3066" s="2">
        <f ca="1">+TODAY()-I3066</f>
        <v>33</v>
      </c>
      <c r="H3066" s="15">
        <v>623979</v>
      </c>
      <c r="I3066" s="1">
        <v>46087</v>
      </c>
      <c r="J3066" s="1">
        <v>46117</v>
      </c>
      <c r="K3066" s="18" t="s">
        <v>17</v>
      </c>
      <c r="L3066" s="18" t="s">
        <v>32</v>
      </c>
      <c r="M3066" s="18" t="s">
        <v>19</v>
      </c>
      <c r="N3066" s="18" t="s">
        <v>135</v>
      </c>
      <c r="O3066">
        <v>30</v>
      </c>
    </row>
    <row r="3067" spans="1:15" x14ac:dyDescent="0.25">
      <c r="A3067" s="18" t="s">
        <v>7276</v>
      </c>
      <c r="B3067" s="18" t="s">
        <v>133</v>
      </c>
      <c r="C3067" s="18" t="s">
        <v>134</v>
      </c>
      <c r="D3067" s="18" t="s">
        <v>15</v>
      </c>
      <c r="E3067" s="18" t="s">
        <v>5647</v>
      </c>
      <c r="F3067" s="2">
        <f>+J3067-I3067</f>
        <v>30</v>
      </c>
      <c r="G3067" s="2">
        <f ca="1">+TODAY()-I3067</f>
        <v>28</v>
      </c>
      <c r="H3067" s="15">
        <v>33001</v>
      </c>
      <c r="I3067" s="1">
        <v>46092</v>
      </c>
      <c r="J3067" s="1">
        <v>46122</v>
      </c>
      <c r="K3067" s="18" t="s">
        <v>17</v>
      </c>
      <c r="L3067" s="18" t="s">
        <v>32</v>
      </c>
      <c r="M3067" s="18" t="s">
        <v>19</v>
      </c>
      <c r="N3067" s="18" t="s">
        <v>135</v>
      </c>
      <c r="O3067">
        <v>30</v>
      </c>
    </row>
    <row r="3068" spans="1:15" x14ac:dyDescent="0.25">
      <c r="A3068" s="18" t="s">
        <v>7276</v>
      </c>
      <c r="B3068" s="18" t="s">
        <v>133</v>
      </c>
      <c r="C3068" s="18" t="s">
        <v>134</v>
      </c>
      <c r="D3068" s="18" t="s">
        <v>15</v>
      </c>
      <c r="E3068" s="18" t="s">
        <v>5906</v>
      </c>
      <c r="F3068" s="2">
        <f>+J3068-I3068</f>
        <v>30</v>
      </c>
      <c r="G3068" s="2">
        <f ca="1">+TODAY()-I3068</f>
        <v>23</v>
      </c>
      <c r="H3068" s="15">
        <v>1171800</v>
      </c>
      <c r="I3068" s="1">
        <v>46097</v>
      </c>
      <c r="J3068" s="1">
        <v>46127</v>
      </c>
      <c r="K3068" s="18" t="s">
        <v>17</v>
      </c>
      <c r="L3068" s="18" t="s">
        <v>32</v>
      </c>
      <c r="M3068" s="18" t="s">
        <v>19</v>
      </c>
      <c r="N3068" s="18" t="s">
        <v>135</v>
      </c>
      <c r="O3068">
        <v>30</v>
      </c>
    </row>
    <row r="3069" spans="1:15" x14ac:dyDescent="0.25">
      <c r="A3069" s="18" t="s">
        <v>7276</v>
      </c>
      <c r="B3069" s="18" t="s">
        <v>133</v>
      </c>
      <c r="C3069" s="18" t="s">
        <v>134</v>
      </c>
      <c r="D3069" s="18" t="s">
        <v>15</v>
      </c>
      <c r="E3069" s="18" t="s">
        <v>6156</v>
      </c>
      <c r="F3069" s="2">
        <f>+J3069-I3069</f>
        <v>30</v>
      </c>
      <c r="G3069" s="2">
        <f ca="1">+TODAY()-I3069</f>
        <v>21</v>
      </c>
      <c r="H3069" s="15">
        <v>338400</v>
      </c>
      <c r="I3069" s="1">
        <v>46099</v>
      </c>
      <c r="J3069" s="1">
        <v>46129</v>
      </c>
      <c r="K3069" s="18" t="s">
        <v>17</v>
      </c>
      <c r="L3069" s="18" t="s">
        <v>32</v>
      </c>
      <c r="M3069" s="18" t="s">
        <v>19</v>
      </c>
      <c r="N3069" s="18" t="s">
        <v>135</v>
      </c>
      <c r="O3069">
        <v>30</v>
      </c>
    </row>
    <row r="3070" spans="1:15" x14ac:dyDescent="0.25">
      <c r="A3070" s="18" t="s">
        <v>7276</v>
      </c>
      <c r="B3070" s="18" t="s">
        <v>133</v>
      </c>
      <c r="C3070" s="18" t="s">
        <v>134</v>
      </c>
      <c r="D3070" s="18" t="s">
        <v>15</v>
      </c>
      <c r="E3070" s="18" t="s">
        <v>6798</v>
      </c>
      <c r="F3070" s="2">
        <f>+J3070-I3070</f>
        <v>10</v>
      </c>
      <c r="G3070" s="2">
        <f ca="1">+TODAY()-I3070</f>
        <v>8</v>
      </c>
      <c r="H3070" s="15">
        <v>1260000</v>
      </c>
      <c r="I3070" s="1">
        <v>46112</v>
      </c>
      <c r="J3070" s="1">
        <v>46122</v>
      </c>
      <c r="K3070" s="18" t="s">
        <v>17</v>
      </c>
      <c r="L3070" s="18" t="s">
        <v>32</v>
      </c>
      <c r="M3070" s="18" t="s">
        <v>19</v>
      </c>
      <c r="N3070" s="18" t="s">
        <v>135</v>
      </c>
      <c r="O3070">
        <v>30</v>
      </c>
    </row>
    <row r="3071" spans="1:15" x14ac:dyDescent="0.25">
      <c r="A3071" s="18" t="s">
        <v>7276</v>
      </c>
      <c r="B3071" s="18" t="s">
        <v>133</v>
      </c>
      <c r="C3071" s="18" t="s">
        <v>134</v>
      </c>
      <c r="D3071" s="18" t="s">
        <v>15</v>
      </c>
      <c r="E3071" s="18" t="s">
        <v>6799</v>
      </c>
      <c r="F3071" s="2">
        <f>+J3071-I3071</f>
        <v>1</v>
      </c>
      <c r="G3071" s="2">
        <f ca="1">+TODAY()-I3071</f>
        <v>8</v>
      </c>
      <c r="H3071" s="15">
        <v>70000</v>
      </c>
      <c r="I3071" s="1">
        <v>46112</v>
      </c>
      <c r="J3071" s="1">
        <v>46113</v>
      </c>
      <c r="K3071" s="18" t="s">
        <v>17</v>
      </c>
      <c r="L3071" s="18" t="s">
        <v>32</v>
      </c>
      <c r="M3071" s="18" t="s">
        <v>19</v>
      </c>
      <c r="N3071" s="18" t="s">
        <v>135</v>
      </c>
      <c r="O3071">
        <v>30</v>
      </c>
    </row>
    <row r="3072" spans="1:15" x14ac:dyDescent="0.25">
      <c r="A3072" s="18" t="s">
        <v>7276</v>
      </c>
      <c r="B3072" s="18" t="s">
        <v>133</v>
      </c>
      <c r="C3072" s="18" t="s">
        <v>134</v>
      </c>
      <c r="D3072" s="18" t="s">
        <v>15</v>
      </c>
      <c r="E3072" s="18" t="s">
        <v>6800</v>
      </c>
      <c r="F3072" s="2">
        <f>+J3072-I3072</f>
        <v>30</v>
      </c>
      <c r="G3072" s="2">
        <f ca="1">+TODAY()-I3072</f>
        <v>8</v>
      </c>
      <c r="H3072" s="15">
        <v>369152</v>
      </c>
      <c r="I3072" s="1">
        <v>46112</v>
      </c>
      <c r="J3072" s="1">
        <v>46142</v>
      </c>
      <c r="K3072" s="18" t="s">
        <v>17</v>
      </c>
      <c r="L3072" s="18" t="s">
        <v>32</v>
      </c>
      <c r="M3072" s="18" t="s">
        <v>19</v>
      </c>
      <c r="N3072" s="18" t="s">
        <v>135</v>
      </c>
      <c r="O3072">
        <v>30</v>
      </c>
    </row>
    <row r="3073" spans="1:15" x14ac:dyDescent="0.25">
      <c r="A3073" s="18" t="s">
        <v>7276</v>
      </c>
      <c r="B3073" s="18" t="s">
        <v>6733</v>
      </c>
      <c r="C3073" s="18" t="s">
        <v>6734</v>
      </c>
      <c r="D3073" s="18" t="s">
        <v>15</v>
      </c>
      <c r="E3073" s="18" t="s">
        <v>6735</v>
      </c>
      <c r="F3073" s="2">
        <f>+J3073-I3073</f>
        <v>10</v>
      </c>
      <c r="G3073" s="2">
        <f ca="1">+TODAY()-I3073</f>
        <v>11</v>
      </c>
      <c r="H3073" s="15">
        <v>2100000</v>
      </c>
      <c r="I3073" s="1">
        <v>46109</v>
      </c>
      <c r="J3073" s="1">
        <v>46119</v>
      </c>
      <c r="K3073" s="18" t="s">
        <v>17</v>
      </c>
      <c r="L3073" s="18" t="s">
        <v>32</v>
      </c>
      <c r="M3073" s="18" t="s">
        <v>19</v>
      </c>
      <c r="N3073" s="18" t="s">
        <v>6736</v>
      </c>
      <c r="O3073">
        <v>30</v>
      </c>
    </row>
    <row r="3074" spans="1:15" x14ac:dyDescent="0.25">
      <c r="A3074" s="18" t="s">
        <v>7276</v>
      </c>
      <c r="B3074" s="18" t="s">
        <v>6733</v>
      </c>
      <c r="C3074" s="18" t="s">
        <v>6734</v>
      </c>
      <c r="D3074" s="18" t="s">
        <v>15</v>
      </c>
      <c r="E3074" s="18" t="s">
        <v>7309</v>
      </c>
      <c r="F3074" s="2">
        <f>+J3074-I3074</f>
        <v>10</v>
      </c>
      <c r="G3074" s="2">
        <f ca="1">+TODAY()-I3074</f>
        <v>7</v>
      </c>
      <c r="H3074" s="15">
        <v>2100000</v>
      </c>
      <c r="I3074" s="1">
        <v>46113</v>
      </c>
      <c r="J3074" s="1">
        <v>46123</v>
      </c>
      <c r="K3074" s="18" t="s">
        <v>17</v>
      </c>
      <c r="L3074" s="18" t="s">
        <v>32</v>
      </c>
      <c r="M3074" s="18" t="s">
        <v>19</v>
      </c>
      <c r="N3074" s="18" t="s">
        <v>6736</v>
      </c>
      <c r="O3074">
        <v>30</v>
      </c>
    </row>
    <row r="3075" spans="1:15" x14ac:dyDescent="0.25">
      <c r="A3075" s="18" t="s">
        <v>7276</v>
      </c>
      <c r="B3075" s="18" t="s">
        <v>6733</v>
      </c>
      <c r="C3075" s="18" t="s">
        <v>6734</v>
      </c>
      <c r="D3075" s="18" t="s">
        <v>15</v>
      </c>
      <c r="E3075" s="18" t="s">
        <v>7311</v>
      </c>
      <c r="F3075" s="2">
        <f>+J3075-I3075</f>
        <v>10</v>
      </c>
      <c r="G3075" s="2">
        <f ca="1">+TODAY()-I3075</f>
        <v>7</v>
      </c>
      <c r="H3075" s="15">
        <v>162800</v>
      </c>
      <c r="I3075" s="1">
        <v>46113</v>
      </c>
      <c r="J3075" s="1">
        <v>46123</v>
      </c>
      <c r="K3075" s="18" t="s">
        <v>17</v>
      </c>
      <c r="L3075" s="18" t="s">
        <v>32</v>
      </c>
      <c r="M3075" s="18" t="s">
        <v>19</v>
      </c>
      <c r="N3075" s="18" t="s">
        <v>6736</v>
      </c>
      <c r="O3075">
        <v>30</v>
      </c>
    </row>
    <row r="3076" spans="1:15" x14ac:dyDescent="0.25">
      <c r="A3076" s="18" t="s">
        <v>7276</v>
      </c>
      <c r="B3076" s="18" t="s">
        <v>6733</v>
      </c>
      <c r="C3076" s="18" t="s">
        <v>6734</v>
      </c>
      <c r="D3076" s="18" t="s">
        <v>15</v>
      </c>
      <c r="E3076" s="18" t="s">
        <v>7313</v>
      </c>
      <c r="F3076" s="2">
        <f>+J3076-I3076</f>
        <v>30</v>
      </c>
      <c r="G3076" s="2">
        <f ca="1">+TODAY()-I3076</f>
        <v>7</v>
      </c>
      <c r="H3076" s="15">
        <v>1078198</v>
      </c>
      <c r="I3076" s="1">
        <v>46113</v>
      </c>
      <c r="J3076" s="1">
        <v>46143</v>
      </c>
      <c r="K3076" s="18" t="s">
        <v>17</v>
      </c>
      <c r="L3076" s="18" t="s">
        <v>32</v>
      </c>
      <c r="M3076" s="18" t="s">
        <v>19</v>
      </c>
      <c r="N3076" s="18" t="s">
        <v>6736</v>
      </c>
      <c r="O3076">
        <v>30</v>
      </c>
    </row>
    <row r="3077" spans="1:15" x14ac:dyDescent="0.25">
      <c r="A3077" s="18" t="s">
        <v>7276</v>
      </c>
      <c r="B3077" s="18" t="s">
        <v>2073</v>
      </c>
      <c r="C3077" s="18" t="s">
        <v>2074</v>
      </c>
      <c r="D3077" s="18" t="s">
        <v>15</v>
      </c>
      <c r="E3077" s="18" t="s">
        <v>5403</v>
      </c>
      <c r="F3077" s="2">
        <f>+J3077-I3077</f>
        <v>30</v>
      </c>
      <c r="G3077" s="2">
        <f ca="1">+TODAY()-I3077</f>
        <v>35</v>
      </c>
      <c r="H3077" s="15">
        <v>2120000</v>
      </c>
      <c r="I3077" s="1">
        <v>46085</v>
      </c>
      <c r="J3077" s="1">
        <v>46115</v>
      </c>
      <c r="K3077" s="18" t="s">
        <v>17</v>
      </c>
      <c r="L3077" s="18" t="s">
        <v>32</v>
      </c>
      <c r="M3077" s="18" t="s">
        <v>19</v>
      </c>
      <c r="N3077" s="18" t="s">
        <v>2075</v>
      </c>
      <c r="O3077">
        <v>30</v>
      </c>
    </row>
    <row r="3078" spans="1:15" x14ac:dyDescent="0.25">
      <c r="A3078" s="18" t="s">
        <v>7276</v>
      </c>
      <c r="B3078" s="18" t="s">
        <v>2073</v>
      </c>
      <c r="C3078" s="18" t="s">
        <v>2074</v>
      </c>
      <c r="D3078" s="18" t="s">
        <v>15</v>
      </c>
      <c r="E3078" s="18" t="s">
        <v>5404</v>
      </c>
      <c r="F3078" s="2">
        <f>+J3078-I3078</f>
        <v>30</v>
      </c>
      <c r="G3078" s="2">
        <f ca="1">+TODAY()-I3078</f>
        <v>35</v>
      </c>
      <c r="H3078" s="15">
        <v>734998</v>
      </c>
      <c r="I3078" s="1">
        <v>46085</v>
      </c>
      <c r="J3078" s="1">
        <v>46115</v>
      </c>
      <c r="K3078" s="18" t="s">
        <v>17</v>
      </c>
      <c r="L3078" s="18" t="s">
        <v>32</v>
      </c>
      <c r="M3078" s="18" t="s">
        <v>19</v>
      </c>
      <c r="N3078" s="18" t="s">
        <v>2075</v>
      </c>
      <c r="O3078">
        <v>30</v>
      </c>
    </row>
    <row r="3079" spans="1:15" x14ac:dyDescent="0.25">
      <c r="A3079" s="18" t="s">
        <v>7276</v>
      </c>
      <c r="B3079" s="18" t="s">
        <v>2073</v>
      </c>
      <c r="C3079" s="18" t="s">
        <v>2074</v>
      </c>
      <c r="D3079" s="18" t="s">
        <v>15</v>
      </c>
      <c r="E3079" s="18" t="s">
        <v>5622</v>
      </c>
      <c r="F3079" s="2">
        <f>+J3079-I3079</f>
        <v>30</v>
      </c>
      <c r="G3079" s="2">
        <f ca="1">+TODAY()-I3079</f>
        <v>29</v>
      </c>
      <c r="H3079" s="15">
        <v>961200</v>
      </c>
      <c r="I3079" s="1">
        <v>46091</v>
      </c>
      <c r="J3079" s="1">
        <v>46121</v>
      </c>
      <c r="K3079" s="18" t="s">
        <v>17</v>
      </c>
      <c r="L3079" s="18" t="s">
        <v>32</v>
      </c>
      <c r="M3079" s="18" t="s">
        <v>19</v>
      </c>
      <c r="N3079" s="18" t="s">
        <v>2075</v>
      </c>
      <c r="O3079">
        <v>30</v>
      </c>
    </row>
    <row r="3080" spans="1:15" x14ac:dyDescent="0.25">
      <c r="A3080" s="18" t="s">
        <v>7276</v>
      </c>
      <c r="B3080" s="18" t="s">
        <v>2073</v>
      </c>
      <c r="C3080" s="18" t="s">
        <v>2074</v>
      </c>
      <c r="D3080" s="18" t="s">
        <v>15</v>
      </c>
      <c r="E3080" s="18" t="s">
        <v>6168</v>
      </c>
      <c r="F3080" s="2">
        <f>+J3080-I3080</f>
        <v>30</v>
      </c>
      <c r="G3080" s="2">
        <f ca="1">+TODAY()-I3080</f>
        <v>20</v>
      </c>
      <c r="H3080" s="15">
        <v>2120000</v>
      </c>
      <c r="I3080" s="1">
        <v>46100</v>
      </c>
      <c r="J3080" s="1">
        <v>46130</v>
      </c>
      <c r="K3080" s="18" t="s">
        <v>17</v>
      </c>
      <c r="L3080" s="18" t="s">
        <v>32</v>
      </c>
      <c r="M3080" s="18" t="s">
        <v>19</v>
      </c>
      <c r="N3080" s="18" t="s">
        <v>2075</v>
      </c>
      <c r="O3080">
        <v>30</v>
      </c>
    </row>
    <row r="3081" spans="1:15" x14ac:dyDescent="0.25">
      <c r="A3081" s="18" t="s">
        <v>7276</v>
      </c>
      <c r="B3081" s="18" t="s">
        <v>2073</v>
      </c>
      <c r="C3081" s="18" t="s">
        <v>2074</v>
      </c>
      <c r="D3081" s="18" t="s">
        <v>15</v>
      </c>
      <c r="E3081" s="18" t="s">
        <v>6169</v>
      </c>
      <c r="F3081" s="2">
        <f>+J3081-I3081</f>
        <v>30</v>
      </c>
      <c r="G3081" s="2">
        <f ca="1">+TODAY()-I3081</f>
        <v>20</v>
      </c>
      <c r="H3081" s="15">
        <v>110248</v>
      </c>
      <c r="I3081" s="1">
        <v>46100</v>
      </c>
      <c r="J3081" s="1">
        <v>46130</v>
      </c>
      <c r="K3081" s="18" t="s">
        <v>17</v>
      </c>
      <c r="L3081" s="18" t="s">
        <v>32</v>
      </c>
      <c r="M3081" s="18" t="s">
        <v>19</v>
      </c>
      <c r="N3081" s="18" t="s">
        <v>2075</v>
      </c>
      <c r="O3081">
        <v>30</v>
      </c>
    </row>
    <row r="3082" spans="1:15" x14ac:dyDescent="0.25">
      <c r="A3082" s="18" t="s">
        <v>7276</v>
      </c>
      <c r="B3082" s="18" t="s">
        <v>67</v>
      </c>
      <c r="C3082" s="18" t="s">
        <v>68</v>
      </c>
      <c r="D3082" s="18" t="s">
        <v>15</v>
      </c>
      <c r="E3082" s="18" t="s">
        <v>5402</v>
      </c>
      <c r="F3082" s="2">
        <f>+J3082-I3082</f>
        <v>30</v>
      </c>
      <c r="G3082" s="2">
        <f ca="1">+TODAY()-I3082</f>
        <v>35</v>
      </c>
      <c r="H3082" s="15">
        <v>3585183</v>
      </c>
      <c r="I3082" s="1">
        <v>46085</v>
      </c>
      <c r="J3082" s="1">
        <v>46115</v>
      </c>
      <c r="K3082" s="18" t="s">
        <v>17</v>
      </c>
      <c r="L3082" s="18" t="s">
        <v>32</v>
      </c>
      <c r="M3082" s="18" t="s">
        <v>19</v>
      </c>
      <c r="N3082" s="18" t="s">
        <v>69</v>
      </c>
      <c r="O3082">
        <v>30</v>
      </c>
    </row>
    <row r="3083" spans="1:15" x14ac:dyDescent="0.25">
      <c r="A3083" s="18" t="s">
        <v>7276</v>
      </c>
      <c r="B3083" s="18" t="s">
        <v>67</v>
      </c>
      <c r="C3083" s="18" t="s">
        <v>68</v>
      </c>
      <c r="D3083" s="18" t="s">
        <v>15</v>
      </c>
      <c r="E3083" s="18" t="s">
        <v>5522</v>
      </c>
      <c r="F3083" s="2">
        <f>+J3083-I3083</f>
        <v>30</v>
      </c>
      <c r="G3083" s="2">
        <f ca="1">+TODAY()-I3083</f>
        <v>33</v>
      </c>
      <c r="H3083" s="15">
        <v>1884032</v>
      </c>
      <c r="I3083" s="1">
        <v>46087</v>
      </c>
      <c r="J3083" s="1">
        <v>46117</v>
      </c>
      <c r="K3083" s="18" t="s">
        <v>17</v>
      </c>
      <c r="L3083" s="18" t="s">
        <v>32</v>
      </c>
      <c r="M3083" s="18" t="s">
        <v>19</v>
      </c>
      <c r="N3083" s="18" t="s">
        <v>69</v>
      </c>
      <c r="O3083">
        <v>30</v>
      </c>
    </row>
    <row r="3084" spans="1:15" x14ac:dyDescent="0.25">
      <c r="A3084" s="18" t="s">
        <v>7276</v>
      </c>
      <c r="B3084" s="18" t="s">
        <v>67</v>
      </c>
      <c r="C3084" s="18" t="s">
        <v>68</v>
      </c>
      <c r="D3084" s="18" t="s">
        <v>15</v>
      </c>
      <c r="E3084" s="18" t="s">
        <v>5523</v>
      </c>
      <c r="F3084" s="2">
        <f>+J3084-I3084</f>
        <v>30</v>
      </c>
      <c r="G3084" s="2">
        <f ca="1">+TODAY()-I3084</f>
        <v>33</v>
      </c>
      <c r="H3084" s="15">
        <v>206999</v>
      </c>
      <c r="I3084" s="1">
        <v>46087</v>
      </c>
      <c r="J3084" s="1">
        <v>46117</v>
      </c>
      <c r="K3084" s="18" t="s">
        <v>17</v>
      </c>
      <c r="L3084" s="18" t="s">
        <v>32</v>
      </c>
      <c r="M3084" s="18" t="s">
        <v>19</v>
      </c>
      <c r="N3084" s="18" t="s">
        <v>69</v>
      </c>
      <c r="O3084">
        <v>30</v>
      </c>
    </row>
    <row r="3085" spans="1:15" x14ac:dyDescent="0.25">
      <c r="A3085" s="18" t="s">
        <v>7276</v>
      </c>
      <c r="B3085" s="18" t="s">
        <v>67</v>
      </c>
      <c r="C3085" s="18" t="s">
        <v>68</v>
      </c>
      <c r="D3085" s="18" t="s">
        <v>15</v>
      </c>
      <c r="E3085" s="18" t="s">
        <v>5527</v>
      </c>
      <c r="F3085" s="2">
        <f>+J3085-I3085</f>
        <v>30</v>
      </c>
      <c r="G3085" s="2">
        <f ca="1">+TODAY()-I3085</f>
        <v>33</v>
      </c>
      <c r="H3085" s="15">
        <v>48</v>
      </c>
      <c r="I3085" s="1">
        <v>46087</v>
      </c>
      <c r="J3085" s="1">
        <v>46117</v>
      </c>
      <c r="K3085" s="18" t="s">
        <v>17</v>
      </c>
      <c r="L3085" s="18" t="s">
        <v>32</v>
      </c>
      <c r="M3085" s="18" t="s">
        <v>19</v>
      </c>
      <c r="N3085" s="18" t="s">
        <v>69</v>
      </c>
      <c r="O3085">
        <v>30</v>
      </c>
    </row>
    <row r="3086" spans="1:15" x14ac:dyDescent="0.25">
      <c r="A3086" s="18" t="s">
        <v>7276</v>
      </c>
      <c r="B3086" s="18" t="s">
        <v>67</v>
      </c>
      <c r="C3086" s="18" t="s">
        <v>68</v>
      </c>
      <c r="D3086" s="18" t="s">
        <v>15</v>
      </c>
      <c r="E3086" s="18" t="s">
        <v>5528</v>
      </c>
      <c r="F3086" s="2">
        <f>+J3086-I3086</f>
        <v>30</v>
      </c>
      <c r="G3086" s="2">
        <f ca="1">+TODAY()-I3086</f>
        <v>33</v>
      </c>
      <c r="H3086" s="15">
        <v>3263837</v>
      </c>
      <c r="I3086" s="1">
        <v>46087</v>
      </c>
      <c r="J3086" s="1">
        <v>46117</v>
      </c>
      <c r="K3086" s="18" t="s">
        <v>17</v>
      </c>
      <c r="L3086" s="18" t="s">
        <v>32</v>
      </c>
      <c r="M3086" s="18" t="s">
        <v>19</v>
      </c>
      <c r="N3086" s="18" t="s">
        <v>69</v>
      </c>
      <c r="O3086">
        <v>30</v>
      </c>
    </row>
    <row r="3087" spans="1:15" x14ac:dyDescent="0.25">
      <c r="A3087" s="18" t="s">
        <v>7276</v>
      </c>
      <c r="B3087" s="18" t="s">
        <v>67</v>
      </c>
      <c r="C3087" s="18" t="s">
        <v>68</v>
      </c>
      <c r="D3087" s="18" t="s">
        <v>15</v>
      </c>
      <c r="E3087" s="18" t="s">
        <v>5615</v>
      </c>
      <c r="F3087" s="2">
        <f>+J3087-I3087</f>
        <v>30</v>
      </c>
      <c r="G3087" s="2">
        <f ca="1">+TODAY()-I3087</f>
        <v>30</v>
      </c>
      <c r="H3087" s="15">
        <v>887930</v>
      </c>
      <c r="I3087" s="1">
        <v>46090</v>
      </c>
      <c r="J3087" s="1">
        <v>46120</v>
      </c>
      <c r="K3087" s="18" t="s">
        <v>17</v>
      </c>
      <c r="L3087" s="18" t="s">
        <v>32</v>
      </c>
      <c r="M3087" s="18" t="s">
        <v>19</v>
      </c>
      <c r="N3087" s="18" t="s">
        <v>69</v>
      </c>
      <c r="O3087">
        <v>30</v>
      </c>
    </row>
    <row r="3088" spans="1:15" x14ac:dyDescent="0.25">
      <c r="A3088" s="18" t="s">
        <v>7276</v>
      </c>
      <c r="B3088" s="18" t="s">
        <v>67</v>
      </c>
      <c r="C3088" s="18" t="s">
        <v>68</v>
      </c>
      <c r="D3088" s="18" t="s">
        <v>15</v>
      </c>
      <c r="E3088" s="18" t="s">
        <v>5885</v>
      </c>
      <c r="F3088" s="2">
        <f>+J3088-I3088</f>
        <v>30</v>
      </c>
      <c r="G3088" s="2">
        <f ca="1">+TODAY()-I3088</f>
        <v>26</v>
      </c>
      <c r="H3088" s="15">
        <v>517205</v>
      </c>
      <c r="I3088" s="1">
        <v>46094</v>
      </c>
      <c r="J3088" s="1">
        <v>46124</v>
      </c>
      <c r="K3088" s="18" t="s">
        <v>17</v>
      </c>
      <c r="L3088" s="18" t="s">
        <v>32</v>
      </c>
      <c r="M3088" s="18" t="s">
        <v>19</v>
      </c>
      <c r="N3088" s="18" t="s">
        <v>69</v>
      </c>
      <c r="O3088">
        <v>30</v>
      </c>
    </row>
    <row r="3089" spans="1:15" x14ac:dyDescent="0.25">
      <c r="A3089" s="18" t="s">
        <v>7276</v>
      </c>
      <c r="B3089" s="18" t="s">
        <v>67</v>
      </c>
      <c r="C3089" s="18" t="s">
        <v>68</v>
      </c>
      <c r="D3089" s="18" t="s">
        <v>15</v>
      </c>
      <c r="E3089" s="18" t="s">
        <v>5891</v>
      </c>
      <c r="F3089" s="2">
        <f>+J3089-I3089</f>
        <v>30</v>
      </c>
      <c r="G3089" s="2">
        <f ca="1">+TODAY()-I3089</f>
        <v>26</v>
      </c>
      <c r="H3089" s="15">
        <v>6377217</v>
      </c>
      <c r="I3089" s="1">
        <v>46094</v>
      </c>
      <c r="J3089" s="1">
        <v>46124</v>
      </c>
      <c r="K3089" s="18" t="s">
        <v>17</v>
      </c>
      <c r="L3089" s="18" t="s">
        <v>32</v>
      </c>
      <c r="M3089" s="18" t="s">
        <v>19</v>
      </c>
      <c r="N3089" s="18" t="s">
        <v>69</v>
      </c>
      <c r="O3089">
        <v>30</v>
      </c>
    </row>
    <row r="3090" spans="1:15" x14ac:dyDescent="0.25">
      <c r="A3090" s="18" t="s">
        <v>7276</v>
      </c>
      <c r="B3090" s="18" t="s">
        <v>67</v>
      </c>
      <c r="C3090" s="18" t="s">
        <v>68</v>
      </c>
      <c r="D3090" s="18" t="s">
        <v>15</v>
      </c>
      <c r="E3090" s="18" t="s">
        <v>6151</v>
      </c>
      <c r="F3090" s="2">
        <f>+J3090-I3090</f>
        <v>30</v>
      </c>
      <c r="G3090" s="2">
        <f ca="1">+TODAY()-I3090</f>
        <v>22</v>
      </c>
      <c r="H3090" s="15">
        <v>657810</v>
      </c>
      <c r="I3090" s="1">
        <v>46098</v>
      </c>
      <c r="J3090" s="1">
        <v>46128</v>
      </c>
      <c r="K3090" s="18" t="s">
        <v>17</v>
      </c>
      <c r="L3090" s="18" t="s">
        <v>32</v>
      </c>
      <c r="M3090" s="18" t="s">
        <v>19</v>
      </c>
      <c r="N3090" s="18" t="s">
        <v>69</v>
      </c>
      <c r="O3090">
        <v>30</v>
      </c>
    </row>
    <row r="3091" spans="1:15" x14ac:dyDescent="0.25">
      <c r="A3091" s="18" t="s">
        <v>7276</v>
      </c>
      <c r="B3091" s="18" t="s">
        <v>67</v>
      </c>
      <c r="C3091" s="18" t="s">
        <v>68</v>
      </c>
      <c r="D3091" s="18" t="s">
        <v>15</v>
      </c>
      <c r="E3091" s="18" t="s">
        <v>6152</v>
      </c>
      <c r="F3091" s="2">
        <f>+J3091-I3091</f>
        <v>30</v>
      </c>
      <c r="G3091" s="2">
        <f ca="1">+TODAY()-I3091</f>
        <v>22</v>
      </c>
      <c r="H3091" s="15">
        <v>3209018</v>
      </c>
      <c r="I3091" s="1">
        <v>46098</v>
      </c>
      <c r="J3091" s="1">
        <v>46128</v>
      </c>
      <c r="K3091" s="18" t="s">
        <v>17</v>
      </c>
      <c r="L3091" s="18" t="s">
        <v>32</v>
      </c>
      <c r="M3091" s="18" t="s">
        <v>19</v>
      </c>
      <c r="N3091" s="18" t="s">
        <v>69</v>
      </c>
      <c r="O3091">
        <v>30</v>
      </c>
    </row>
    <row r="3092" spans="1:15" x14ac:dyDescent="0.25">
      <c r="A3092" s="18" t="s">
        <v>7276</v>
      </c>
      <c r="B3092" s="18" t="s">
        <v>67</v>
      </c>
      <c r="C3092" s="18" t="s">
        <v>68</v>
      </c>
      <c r="D3092" s="18" t="s">
        <v>15</v>
      </c>
      <c r="E3092" s="18" t="s">
        <v>6384</v>
      </c>
      <c r="F3092" s="2">
        <f>+J3092-I3092</f>
        <v>30</v>
      </c>
      <c r="G3092" s="2">
        <f ca="1">+TODAY()-I3092</f>
        <v>15</v>
      </c>
      <c r="H3092" s="15">
        <v>574170</v>
      </c>
      <c r="I3092" s="1">
        <v>46105</v>
      </c>
      <c r="J3092" s="1">
        <v>46135</v>
      </c>
      <c r="K3092" s="18" t="s">
        <v>17</v>
      </c>
      <c r="L3092" s="18" t="s">
        <v>32</v>
      </c>
      <c r="M3092" s="18" t="s">
        <v>19</v>
      </c>
      <c r="N3092" s="18" t="s">
        <v>69</v>
      </c>
      <c r="O3092">
        <v>30</v>
      </c>
    </row>
    <row r="3093" spans="1:15" x14ac:dyDescent="0.25">
      <c r="A3093" s="18" t="s">
        <v>7276</v>
      </c>
      <c r="B3093" s="18" t="s">
        <v>67</v>
      </c>
      <c r="C3093" s="18" t="s">
        <v>68</v>
      </c>
      <c r="D3093" s="18" t="s">
        <v>15</v>
      </c>
      <c r="E3093" s="18" t="s">
        <v>6385</v>
      </c>
      <c r="F3093" s="2">
        <f>+J3093-I3093</f>
        <v>30</v>
      </c>
      <c r="G3093" s="2">
        <f ca="1">+TODAY()-I3093</f>
        <v>15</v>
      </c>
      <c r="H3093" s="15">
        <v>2900000</v>
      </c>
      <c r="I3093" s="1">
        <v>46105</v>
      </c>
      <c r="J3093" s="1">
        <v>46135</v>
      </c>
      <c r="K3093" s="18" t="s">
        <v>17</v>
      </c>
      <c r="L3093" s="18" t="s">
        <v>32</v>
      </c>
      <c r="M3093" s="18" t="s">
        <v>19</v>
      </c>
      <c r="N3093" s="18" t="s">
        <v>69</v>
      </c>
      <c r="O3093">
        <v>30</v>
      </c>
    </row>
    <row r="3094" spans="1:15" x14ac:dyDescent="0.25">
      <c r="A3094" s="18" t="s">
        <v>7276</v>
      </c>
      <c r="B3094" s="18" t="s">
        <v>67</v>
      </c>
      <c r="C3094" s="18" t="s">
        <v>68</v>
      </c>
      <c r="D3094" s="18" t="s">
        <v>15</v>
      </c>
      <c r="E3094" s="18" t="s">
        <v>6774</v>
      </c>
      <c r="F3094" s="2">
        <f>+J3094-I3094</f>
        <v>10</v>
      </c>
      <c r="G3094" s="2">
        <f ca="1">+TODAY()-I3094</f>
        <v>9</v>
      </c>
      <c r="H3094" s="15">
        <v>2100000</v>
      </c>
      <c r="I3094" s="1">
        <v>46111</v>
      </c>
      <c r="J3094" s="1">
        <v>46121</v>
      </c>
      <c r="K3094" s="18" t="s">
        <v>17</v>
      </c>
      <c r="L3094" s="18" t="s">
        <v>32</v>
      </c>
      <c r="M3094" s="18" t="s">
        <v>19</v>
      </c>
      <c r="N3094" s="18" t="s">
        <v>69</v>
      </c>
      <c r="O3094">
        <v>30</v>
      </c>
    </row>
    <row r="3095" spans="1:15" x14ac:dyDescent="0.25">
      <c r="A3095" s="18" t="s">
        <v>7276</v>
      </c>
      <c r="B3095" s="18" t="s">
        <v>67</v>
      </c>
      <c r="C3095" s="18" t="s">
        <v>68</v>
      </c>
      <c r="D3095" s="18" t="s">
        <v>15</v>
      </c>
      <c r="E3095" s="18" t="s">
        <v>6828</v>
      </c>
      <c r="F3095" s="2">
        <f>+J3095-I3095</f>
        <v>30</v>
      </c>
      <c r="G3095" s="2">
        <f ca="1">+TODAY()-I3095</f>
        <v>8</v>
      </c>
      <c r="H3095" s="15">
        <v>1637682</v>
      </c>
      <c r="I3095" s="1">
        <v>46112</v>
      </c>
      <c r="J3095" s="1">
        <v>46142</v>
      </c>
      <c r="K3095" s="18" t="s">
        <v>17</v>
      </c>
      <c r="L3095" s="18" t="s">
        <v>32</v>
      </c>
      <c r="M3095" s="18" t="s">
        <v>19</v>
      </c>
      <c r="N3095" s="18" t="s">
        <v>69</v>
      </c>
      <c r="O3095">
        <v>30</v>
      </c>
    </row>
    <row r="3096" spans="1:15" x14ac:dyDescent="0.25">
      <c r="A3096" s="18" t="s">
        <v>7276</v>
      </c>
      <c r="B3096" s="18" t="s">
        <v>67</v>
      </c>
      <c r="C3096" s="18" t="s">
        <v>68</v>
      </c>
      <c r="D3096" s="18" t="s">
        <v>15</v>
      </c>
      <c r="E3096" s="18" t="s">
        <v>6829</v>
      </c>
      <c r="F3096" s="2">
        <f>+J3096-I3096</f>
        <v>30</v>
      </c>
      <c r="G3096" s="2">
        <f ca="1">+TODAY()-I3096</f>
        <v>8</v>
      </c>
      <c r="H3096" s="15">
        <v>4254050</v>
      </c>
      <c r="I3096" s="1">
        <v>46112</v>
      </c>
      <c r="J3096" s="1">
        <v>46142</v>
      </c>
      <c r="K3096" s="18" t="s">
        <v>17</v>
      </c>
      <c r="L3096" s="18" t="s">
        <v>32</v>
      </c>
      <c r="M3096" s="18" t="s">
        <v>19</v>
      </c>
      <c r="N3096" s="18" t="s">
        <v>69</v>
      </c>
      <c r="O3096">
        <v>30</v>
      </c>
    </row>
    <row r="3097" spans="1:15" x14ac:dyDescent="0.25">
      <c r="A3097" s="18" t="s">
        <v>7276</v>
      </c>
      <c r="B3097" s="18" t="s">
        <v>82</v>
      </c>
      <c r="C3097" s="18" t="s">
        <v>83</v>
      </c>
      <c r="D3097" s="18" t="s">
        <v>15</v>
      </c>
      <c r="E3097" s="18" t="s">
        <v>5628</v>
      </c>
      <c r="F3097" s="2">
        <f>+J3097-I3097</f>
        <v>30</v>
      </c>
      <c r="G3097" s="2">
        <f ca="1">+TODAY()-I3097</f>
        <v>29</v>
      </c>
      <c r="H3097" s="15">
        <v>3310131</v>
      </c>
      <c r="I3097" s="1">
        <v>46091</v>
      </c>
      <c r="J3097" s="1">
        <v>46121</v>
      </c>
      <c r="K3097" s="18" t="s">
        <v>17</v>
      </c>
      <c r="L3097" s="18" t="s">
        <v>32</v>
      </c>
      <c r="M3097" s="18" t="s">
        <v>19</v>
      </c>
      <c r="N3097" s="18" t="s">
        <v>84</v>
      </c>
      <c r="O3097">
        <v>30</v>
      </c>
    </row>
    <row r="3098" spans="1:15" x14ac:dyDescent="0.25">
      <c r="A3098" s="18" t="s">
        <v>7276</v>
      </c>
      <c r="B3098" s="18" t="s">
        <v>82</v>
      </c>
      <c r="C3098" s="18" t="s">
        <v>83</v>
      </c>
      <c r="D3098" s="18" t="s">
        <v>15</v>
      </c>
      <c r="E3098" s="18" t="s">
        <v>5629</v>
      </c>
      <c r="F3098" s="2">
        <f>+J3098-I3098</f>
        <v>30</v>
      </c>
      <c r="G3098" s="2">
        <f ca="1">+TODAY()-I3098</f>
        <v>29</v>
      </c>
      <c r="H3098" s="15">
        <v>1257210</v>
      </c>
      <c r="I3098" s="1">
        <v>46091</v>
      </c>
      <c r="J3098" s="1">
        <v>46121</v>
      </c>
      <c r="K3098" s="18" t="s">
        <v>17</v>
      </c>
      <c r="L3098" s="18" t="s">
        <v>32</v>
      </c>
      <c r="M3098" s="18" t="s">
        <v>19</v>
      </c>
      <c r="N3098" s="18" t="s">
        <v>84</v>
      </c>
      <c r="O3098">
        <v>30</v>
      </c>
    </row>
    <row r="3099" spans="1:15" x14ac:dyDescent="0.25">
      <c r="A3099" s="18" t="s">
        <v>7276</v>
      </c>
      <c r="B3099" s="18" t="s">
        <v>82</v>
      </c>
      <c r="C3099" s="18" t="s">
        <v>83</v>
      </c>
      <c r="D3099" s="18" t="s">
        <v>15</v>
      </c>
      <c r="E3099" s="18" t="s">
        <v>5631</v>
      </c>
      <c r="F3099" s="2">
        <f>+J3099-I3099</f>
        <v>30</v>
      </c>
      <c r="G3099" s="2">
        <f ca="1">+TODAY()-I3099</f>
        <v>29</v>
      </c>
      <c r="H3099" s="15">
        <v>7358606</v>
      </c>
      <c r="I3099" s="1">
        <v>46091</v>
      </c>
      <c r="J3099" s="1">
        <v>46121</v>
      </c>
      <c r="K3099" s="18" t="s">
        <v>17</v>
      </c>
      <c r="L3099" s="18" t="s">
        <v>32</v>
      </c>
      <c r="M3099" s="18" t="s">
        <v>19</v>
      </c>
      <c r="N3099" s="18" t="s">
        <v>84</v>
      </c>
      <c r="O3099">
        <v>30</v>
      </c>
    </row>
    <row r="3100" spans="1:15" x14ac:dyDescent="0.25">
      <c r="A3100" s="18" t="s">
        <v>7276</v>
      </c>
      <c r="B3100" s="18" t="s">
        <v>82</v>
      </c>
      <c r="C3100" s="18" t="s">
        <v>83</v>
      </c>
      <c r="D3100" s="18" t="s">
        <v>15</v>
      </c>
      <c r="E3100" s="18" t="s">
        <v>5643</v>
      </c>
      <c r="F3100" s="2">
        <f>+J3100-I3100</f>
        <v>30</v>
      </c>
      <c r="G3100" s="2">
        <f ca="1">+TODAY()-I3100</f>
        <v>28</v>
      </c>
      <c r="H3100" s="15">
        <v>324004</v>
      </c>
      <c r="I3100" s="1">
        <v>46092</v>
      </c>
      <c r="J3100" s="1">
        <v>46122</v>
      </c>
      <c r="K3100" s="18" t="s">
        <v>17</v>
      </c>
      <c r="L3100" s="18" t="s">
        <v>32</v>
      </c>
      <c r="M3100" s="18" t="s">
        <v>19</v>
      </c>
      <c r="N3100" s="18" t="s">
        <v>84</v>
      </c>
      <c r="O3100">
        <v>30</v>
      </c>
    </row>
    <row r="3101" spans="1:15" x14ac:dyDescent="0.25">
      <c r="A3101" s="18" t="s">
        <v>7276</v>
      </c>
      <c r="B3101" s="18" t="s">
        <v>82</v>
      </c>
      <c r="C3101" s="18" t="s">
        <v>83</v>
      </c>
      <c r="D3101" s="18" t="s">
        <v>15</v>
      </c>
      <c r="E3101" s="18" t="s">
        <v>6159</v>
      </c>
      <c r="F3101" s="2">
        <f>+J3101-I3101</f>
        <v>30</v>
      </c>
      <c r="G3101" s="2">
        <f ca="1">+TODAY()-I3101</f>
        <v>21</v>
      </c>
      <c r="H3101" s="15">
        <v>2763235</v>
      </c>
      <c r="I3101" s="1">
        <v>46099</v>
      </c>
      <c r="J3101" s="1">
        <v>46129</v>
      </c>
      <c r="K3101" s="18" t="s">
        <v>17</v>
      </c>
      <c r="L3101" s="18" t="s">
        <v>32</v>
      </c>
      <c r="M3101" s="18" t="s">
        <v>19</v>
      </c>
      <c r="N3101" s="18" t="s">
        <v>84</v>
      </c>
      <c r="O3101">
        <v>30</v>
      </c>
    </row>
    <row r="3102" spans="1:15" x14ac:dyDescent="0.25">
      <c r="A3102" s="18" t="s">
        <v>7276</v>
      </c>
      <c r="B3102" s="18" t="s">
        <v>82</v>
      </c>
      <c r="C3102" s="18" t="s">
        <v>83</v>
      </c>
      <c r="D3102" s="18" t="s">
        <v>15</v>
      </c>
      <c r="E3102" s="18" t="s">
        <v>6388</v>
      </c>
      <c r="F3102" s="2">
        <f>+J3102-I3102</f>
        <v>30</v>
      </c>
      <c r="G3102" s="2">
        <f ca="1">+TODAY()-I3102</f>
        <v>15</v>
      </c>
      <c r="H3102" s="15">
        <v>8700000</v>
      </c>
      <c r="I3102" s="1">
        <v>46105</v>
      </c>
      <c r="J3102" s="1">
        <v>46135</v>
      </c>
      <c r="K3102" s="18" t="s">
        <v>17</v>
      </c>
      <c r="L3102" s="18" t="s">
        <v>32</v>
      </c>
      <c r="M3102" s="18" t="s">
        <v>19</v>
      </c>
      <c r="N3102" s="18" t="s">
        <v>84</v>
      </c>
      <c r="O3102">
        <v>30</v>
      </c>
    </row>
    <row r="3103" spans="1:15" x14ac:dyDescent="0.25">
      <c r="A3103" s="18" t="s">
        <v>7276</v>
      </c>
      <c r="B3103" s="18" t="s">
        <v>82</v>
      </c>
      <c r="C3103" s="18" t="s">
        <v>83</v>
      </c>
      <c r="D3103" s="18" t="s">
        <v>15</v>
      </c>
      <c r="E3103" s="18" t="s">
        <v>6430</v>
      </c>
      <c r="F3103" s="2">
        <f>+J3103-I3103</f>
        <v>30</v>
      </c>
      <c r="G3103" s="2">
        <f ca="1">+TODAY()-I3103</f>
        <v>12</v>
      </c>
      <c r="H3103" s="15">
        <v>3953571</v>
      </c>
      <c r="I3103" s="1">
        <v>46108</v>
      </c>
      <c r="J3103" s="1">
        <v>46138</v>
      </c>
      <c r="K3103" s="18" t="s">
        <v>17</v>
      </c>
      <c r="L3103" s="18" t="s">
        <v>32</v>
      </c>
      <c r="M3103" s="18" t="s">
        <v>19</v>
      </c>
      <c r="N3103" s="18" t="s">
        <v>84</v>
      </c>
      <c r="O3103">
        <v>30</v>
      </c>
    </row>
    <row r="3104" spans="1:15" x14ac:dyDescent="0.25">
      <c r="A3104" s="18" t="s">
        <v>7276</v>
      </c>
      <c r="B3104" s="18" t="s">
        <v>82</v>
      </c>
      <c r="C3104" s="18" t="s">
        <v>83</v>
      </c>
      <c r="D3104" s="18" t="s">
        <v>15</v>
      </c>
      <c r="E3104" s="18" t="s">
        <v>7363</v>
      </c>
      <c r="F3104" s="2">
        <f>+J3104-I3104</f>
        <v>30</v>
      </c>
      <c r="G3104" s="2">
        <f ca="1">+TODAY()-I3104</f>
        <v>1</v>
      </c>
      <c r="H3104" s="15">
        <v>4200000</v>
      </c>
      <c r="I3104" s="1">
        <v>46119</v>
      </c>
      <c r="J3104" s="1">
        <v>46149</v>
      </c>
      <c r="K3104" s="18" t="s">
        <v>17</v>
      </c>
      <c r="L3104" s="18" t="s">
        <v>32</v>
      </c>
      <c r="M3104" s="18" t="s">
        <v>19</v>
      </c>
      <c r="N3104" s="18" t="s">
        <v>84</v>
      </c>
      <c r="O3104">
        <v>30</v>
      </c>
    </row>
    <row r="3105" spans="1:15" x14ac:dyDescent="0.25">
      <c r="A3105" s="18" t="s">
        <v>7276</v>
      </c>
      <c r="B3105" s="18" t="s">
        <v>82</v>
      </c>
      <c r="C3105" s="18" t="s">
        <v>83</v>
      </c>
      <c r="D3105" s="18" t="s">
        <v>15</v>
      </c>
      <c r="E3105" s="18" t="s">
        <v>7364</v>
      </c>
      <c r="F3105" s="2">
        <f>+J3105-I3105</f>
        <v>30</v>
      </c>
      <c r="G3105" s="2">
        <f ca="1">+TODAY()-I3105</f>
        <v>1</v>
      </c>
      <c r="H3105" s="15">
        <v>588815</v>
      </c>
      <c r="I3105" s="1">
        <v>46119</v>
      </c>
      <c r="J3105" s="1">
        <v>46149</v>
      </c>
      <c r="K3105" s="18" t="s">
        <v>17</v>
      </c>
      <c r="L3105" s="18" t="s">
        <v>32</v>
      </c>
      <c r="M3105" s="18" t="s">
        <v>19</v>
      </c>
      <c r="N3105" s="18" t="s">
        <v>84</v>
      </c>
      <c r="O3105">
        <v>30</v>
      </c>
    </row>
    <row r="3106" spans="1:15" x14ac:dyDescent="0.25">
      <c r="A3106" s="18" t="s">
        <v>7276</v>
      </c>
      <c r="B3106" s="18" t="s">
        <v>82</v>
      </c>
      <c r="C3106" s="18" t="s">
        <v>83</v>
      </c>
      <c r="D3106" s="18" t="s">
        <v>15</v>
      </c>
      <c r="E3106" s="18" t="s">
        <v>7629</v>
      </c>
      <c r="F3106" s="2">
        <f>+J3106-I3106</f>
        <v>30</v>
      </c>
      <c r="G3106" s="2">
        <f ca="1">+TODAY()-I3106</f>
        <v>1</v>
      </c>
      <c r="H3106" s="15">
        <v>1550685</v>
      </c>
      <c r="I3106" s="1">
        <v>46119</v>
      </c>
      <c r="J3106" s="1">
        <v>46149</v>
      </c>
      <c r="K3106" s="18" t="s">
        <v>17</v>
      </c>
      <c r="L3106" s="18" t="s">
        <v>32</v>
      </c>
      <c r="M3106" s="18" t="s">
        <v>19</v>
      </c>
      <c r="N3106" s="18" t="s">
        <v>84</v>
      </c>
      <c r="O3106">
        <v>30</v>
      </c>
    </row>
    <row r="3107" spans="1:15" x14ac:dyDescent="0.25">
      <c r="A3107" s="18" t="s">
        <v>7276</v>
      </c>
      <c r="B3107" s="18" t="s">
        <v>82</v>
      </c>
      <c r="C3107" s="18" t="s">
        <v>83</v>
      </c>
      <c r="D3107" s="18" t="s">
        <v>15</v>
      </c>
      <c r="E3107" s="18" t="s">
        <v>7638</v>
      </c>
      <c r="F3107" s="2">
        <f>+J3107-I3107</f>
        <v>30</v>
      </c>
      <c r="G3107" s="2">
        <f ca="1">+TODAY()-I3107</f>
        <v>1</v>
      </c>
      <c r="H3107" s="15">
        <v>1550685</v>
      </c>
      <c r="I3107" s="1">
        <v>46119</v>
      </c>
      <c r="J3107" s="1">
        <v>46149</v>
      </c>
      <c r="K3107" s="18" t="s">
        <v>17</v>
      </c>
      <c r="L3107" s="18" t="s">
        <v>32</v>
      </c>
      <c r="M3107" s="18" t="s">
        <v>19</v>
      </c>
      <c r="N3107" s="18" t="s">
        <v>84</v>
      </c>
      <c r="O3107">
        <v>30</v>
      </c>
    </row>
    <row r="3108" spans="1:15" x14ac:dyDescent="0.25">
      <c r="A3108" s="18" t="s">
        <v>7276</v>
      </c>
      <c r="B3108" s="18" t="s">
        <v>82</v>
      </c>
      <c r="C3108" s="18" t="s">
        <v>83</v>
      </c>
      <c r="D3108" s="18" t="s">
        <v>15</v>
      </c>
      <c r="E3108" s="18" t="s">
        <v>7653</v>
      </c>
      <c r="F3108" s="2">
        <f>+J3108-I3108</f>
        <v>30</v>
      </c>
      <c r="G3108" s="2">
        <f ca="1">+TODAY()-I3108</f>
        <v>1</v>
      </c>
      <c r="H3108" s="15">
        <v>4652229</v>
      </c>
      <c r="I3108" s="1">
        <v>46119</v>
      </c>
      <c r="J3108" s="1">
        <v>46149</v>
      </c>
      <c r="K3108" s="18" t="s">
        <v>17</v>
      </c>
      <c r="L3108" s="18" t="s">
        <v>32</v>
      </c>
      <c r="M3108" s="18" t="s">
        <v>19</v>
      </c>
      <c r="N3108" s="18" t="s">
        <v>84</v>
      </c>
      <c r="O3108">
        <v>30</v>
      </c>
    </row>
    <row r="3109" spans="1:15" x14ac:dyDescent="0.25">
      <c r="A3109" s="18" t="s">
        <v>7276</v>
      </c>
      <c r="B3109" s="18" t="s">
        <v>82</v>
      </c>
      <c r="C3109" s="18" t="s">
        <v>83</v>
      </c>
      <c r="D3109" s="18" t="s">
        <v>15</v>
      </c>
      <c r="E3109" s="18" t="s">
        <v>7655</v>
      </c>
      <c r="F3109" s="2">
        <f>+J3109-I3109</f>
        <v>30</v>
      </c>
      <c r="G3109" s="2">
        <f ca="1">+TODAY()-I3109</f>
        <v>1</v>
      </c>
      <c r="H3109" s="15">
        <v>2656592</v>
      </c>
      <c r="I3109" s="1">
        <v>46119</v>
      </c>
      <c r="J3109" s="1">
        <v>46149</v>
      </c>
      <c r="K3109" s="18" t="s">
        <v>17</v>
      </c>
      <c r="L3109" s="18" t="s">
        <v>32</v>
      </c>
      <c r="M3109" s="18" t="s">
        <v>19</v>
      </c>
      <c r="N3109" s="18" t="s">
        <v>84</v>
      </c>
      <c r="O3109">
        <v>30</v>
      </c>
    </row>
    <row r="3110" spans="1:15" x14ac:dyDescent="0.25">
      <c r="A3110" s="18" t="s">
        <v>7276</v>
      </c>
      <c r="B3110" s="18" t="s">
        <v>82</v>
      </c>
      <c r="C3110" s="18" t="s">
        <v>83</v>
      </c>
      <c r="D3110" s="18" t="s">
        <v>15</v>
      </c>
      <c r="E3110" s="18" t="s">
        <v>6446</v>
      </c>
      <c r="F3110" s="2">
        <f>+J3110-I3110</f>
        <v>30</v>
      </c>
      <c r="G3110" s="2">
        <f ca="1">+TODAY()-I3110</f>
        <v>13</v>
      </c>
      <c r="H3110" s="15">
        <v>5198463</v>
      </c>
      <c r="I3110" s="1">
        <v>46107</v>
      </c>
      <c r="J3110" s="1">
        <v>46137</v>
      </c>
      <c r="K3110" s="18" t="s">
        <v>17</v>
      </c>
      <c r="L3110" s="18" t="s">
        <v>32</v>
      </c>
      <c r="M3110" s="18" t="s">
        <v>19</v>
      </c>
      <c r="N3110" s="18" t="s">
        <v>84</v>
      </c>
      <c r="O3110">
        <v>30</v>
      </c>
    </row>
    <row r="3111" spans="1:15" x14ac:dyDescent="0.25">
      <c r="A3111" s="18" t="s">
        <v>7276</v>
      </c>
      <c r="B3111" s="18" t="s">
        <v>82</v>
      </c>
      <c r="C3111" s="18" t="s">
        <v>83</v>
      </c>
      <c r="D3111" s="18" t="s">
        <v>15</v>
      </c>
      <c r="E3111" s="18" t="s">
        <v>6447</v>
      </c>
      <c r="F3111" s="2">
        <f>+J3111-I3111</f>
        <v>30</v>
      </c>
      <c r="G3111" s="2">
        <f ca="1">+TODAY()-I3111</f>
        <v>13</v>
      </c>
      <c r="H3111" s="15">
        <v>8400000</v>
      </c>
      <c r="I3111" s="1">
        <v>46107</v>
      </c>
      <c r="J3111" s="1">
        <v>46137</v>
      </c>
      <c r="K3111" s="18" t="s">
        <v>17</v>
      </c>
      <c r="L3111" s="18" t="s">
        <v>32</v>
      </c>
      <c r="M3111" s="18" t="s">
        <v>19</v>
      </c>
      <c r="N3111" s="18" t="s">
        <v>84</v>
      </c>
      <c r="O3111">
        <v>30</v>
      </c>
    </row>
    <row r="3112" spans="1:15" x14ac:dyDescent="0.25">
      <c r="A3112" s="18" t="s">
        <v>7276</v>
      </c>
      <c r="B3112" s="18" t="s">
        <v>82</v>
      </c>
      <c r="C3112" s="18" t="s">
        <v>83</v>
      </c>
      <c r="D3112" s="18" t="s">
        <v>15</v>
      </c>
      <c r="E3112" s="18" t="s">
        <v>6449</v>
      </c>
      <c r="F3112" s="2">
        <f>+J3112-I3112</f>
        <v>30</v>
      </c>
      <c r="G3112" s="2">
        <f ca="1">+TODAY()-I3112</f>
        <v>12</v>
      </c>
      <c r="H3112" s="15">
        <v>1335360</v>
      </c>
      <c r="I3112" s="1">
        <v>46108</v>
      </c>
      <c r="J3112" s="1">
        <v>46138</v>
      </c>
      <c r="K3112" s="18" t="s">
        <v>17</v>
      </c>
      <c r="L3112" s="18" t="s">
        <v>32</v>
      </c>
      <c r="M3112" s="18" t="s">
        <v>19</v>
      </c>
      <c r="N3112" s="18" t="s">
        <v>84</v>
      </c>
      <c r="O3112">
        <v>30</v>
      </c>
    </row>
    <row r="3113" spans="1:15" x14ac:dyDescent="0.25">
      <c r="A3113" s="18" t="s">
        <v>7276</v>
      </c>
      <c r="B3113" s="18" t="s">
        <v>367</v>
      </c>
      <c r="C3113" s="18" t="s">
        <v>368</v>
      </c>
      <c r="D3113" s="18" t="s">
        <v>347</v>
      </c>
      <c r="E3113" s="18" t="s">
        <v>5010</v>
      </c>
      <c r="F3113" s="2">
        <f>+J3113-I3113</f>
        <v>30</v>
      </c>
      <c r="G3113" s="2">
        <f ca="1">+TODAY()-I3113</f>
        <v>56</v>
      </c>
      <c r="H3113" s="15">
        <v>1000000</v>
      </c>
      <c r="I3113" s="1">
        <v>46064</v>
      </c>
      <c r="J3113" s="1">
        <v>46094</v>
      </c>
      <c r="K3113" s="18" t="s">
        <v>343</v>
      </c>
      <c r="L3113" s="18" t="s">
        <v>18</v>
      </c>
      <c r="M3113" s="18" t="s">
        <v>19</v>
      </c>
      <c r="N3113" s="18" t="s">
        <v>369</v>
      </c>
      <c r="O3113">
        <v>30</v>
      </c>
    </row>
    <row r="3114" spans="1:15" x14ac:dyDescent="0.25">
      <c r="A3114" s="18" t="s">
        <v>7276</v>
      </c>
      <c r="B3114" s="18" t="s">
        <v>367</v>
      </c>
      <c r="C3114" s="18" t="s">
        <v>368</v>
      </c>
      <c r="D3114" s="18" t="s">
        <v>347</v>
      </c>
      <c r="E3114" s="18" t="s">
        <v>5221</v>
      </c>
      <c r="F3114" s="2">
        <f>+J3114-I3114</f>
        <v>30</v>
      </c>
      <c r="G3114" s="2">
        <f ca="1">+TODAY()-I3114</f>
        <v>43</v>
      </c>
      <c r="H3114" s="15">
        <v>6843020</v>
      </c>
      <c r="I3114" s="1">
        <v>46077</v>
      </c>
      <c r="J3114" s="1">
        <v>46107</v>
      </c>
      <c r="K3114" s="18" t="s">
        <v>343</v>
      </c>
      <c r="L3114" s="18" t="s">
        <v>18</v>
      </c>
      <c r="M3114" s="18" t="s">
        <v>19</v>
      </c>
      <c r="N3114" s="18" t="s">
        <v>369</v>
      </c>
      <c r="O3114">
        <v>30</v>
      </c>
    </row>
    <row r="3115" spans="1:15" x14ac:dyDescent="0.25">
      <c r="A3115" s="18" t="s">
        <v>7276</v>
      </c>
      <c r="B3115" s="18" t="s">
        <v>367</v>
      </c>
      <c r="C3115" s="18" t="s">
        <v>368</v>
      </c>
      <c r="D3115" s="18" t="s">
        <v>347</v>
      </c>
      <c r="E3115" s="18" t="s">
        <v>5227</v>
      </c>
      <c r="F3115" s="2">
        <f>+J3115-I3115</f>
        <v>30</v>
      </c>
      <c r="G3115" s="2">
        <f ca="1">+TODAY()-I3115</f>
        <v>42</v>
      </c>
      <c r="H3115" s="15">
        <v>869607</v>
      </c>
      <c r="I3115" s="1">
        <v>46078</v>
      </c>
      <c r="J3115" s="1">
        <v>46108</v>
      </c>
      <c r="K3115" s="18" t="s">
        <v>343</v>
      </c>
      <c r="L3115" s="18" t="s">
        <v>18</v>
      </c>
      <c r="M3115" s="18" t="s">
        <v>19</v>
      </c>
      <c r="N3115" s="18" t="s">
        <v>369</v>
      </c>
      <c r="O3115">
        <v>30</v>
      </c>
    </row>
    <row r="3116" spans="1:15" x14ac:dyDescent="0.25">
      <c r="A3116" s="18" t="s">
        <v>7276</v>
      </c>
      <c r="B3116" s="18" t="s">
        <v>367</v>
      </c>
      <c r="C3116" s="18" t="s">
        <v>368</v>
      </c>
      <c r="D3116" s="18" t="s">
        <v>347</v>
      </c>
      <c r="E3116" s="18" t="s">
        <v>5673</v>
      </c>
      <c r="F3116" s="2">
        <f>+J3116-I3116</f>
        <v>30</v>
      </c>
      <c r="G3116" s="2">
        <f ca="1">+TODAY()-I3116</f>
        <v>30</v>
      </c>
      <c r="H3116" s="15">
        <v>4240000</v>
      </c>
      <c r="I3116" s="1">
        <v>46090</v>
      </c>
      <c r="J3116" s="1">
        <v>46120</v>
      </c>
      <c r="K3116" s="18" t="s">
        <v>343</v>
      </c>
      <c r="L3116" s="18" t="s">
        <v>18</v>
      </c>
      <c r="M3116" s="18" t="s">
        <v>19</v>
      </c>
      <c r="N3116" s="18" t="s">
        <v>369</v>
      </c>
      <c r="O3116">
        <v>30</v>
      </c>
    </row>
    <row r="3117" spans="1:15" x14ac:dyDescent="0.25">
      <c r="A3117" s="18" t="s">
        <v>7276</v>
      </c>
      <c r="B3117" s="18" t="s">
        <v>367</v>
      </c>
      <c r="C3117" s="18" t="s">
        <v>368</v>
      </c>
      <c r="D3117" s="18" t="s">
        <v>347</v>
      </c>
      <c r="E3117" s="18" t="s">
        <v>5674</v>
      </c>
      <c r="F3117" s="2">
        <f>+J3117-I3117</f>
        <v>30</v>
      </c>
      <c r="G3117" s="2">
        <f ca="1">+TODAY()-I3117</f>
        <v>30</v>
      </c>
      <c r="H3117" s="15">
        <v>251985</v>
      </c>
      <c r="I3117" s="1">
        <v>46090</v>
      </c>
      <c r="J3117" s="1">
        <v>46120</v>
      </c>
      <c r="K3117" s="18" t="s">
        <v>343</v>
      </c>
      <c r="L3117" s="18" t="s">
        <v>18</v>
      </c>
      <c r="M3117" s="18" t="s">
        <v>19</v>
      </c>
      <c r="N3117" s="18" t="s">
        <v>369</v>
      </c>
      <c r="O3117">
        <v>30</v>
      </c>
    </row>
    <row r="3118" spans="1:15" x14ac:dyDescent="0.25">
      <c r="A3118" s="18" t="s">
        <v>7276</v>
      </c>
      <c r="B3118" s="18" t="s">
        <v>367</v>
      </c>
      <c r="C3118" s="18" t="s">
        <v>368</v>
      </c>
      <c r="D3118" s="18" t="s">
        <v>347</v>
      </c>
      <c r="E3118" s="18" t="s">
        <v>5675</v>
      </c>
      <c r="F3118" s="2">
        <f>+J3118-I3118</f>
        <v>30</v>
      </c>
      <c r="G3118" s="2">
        <f ca="1">+TODAY()-I3118</f>
        <v>30</v>
      </c>
      <c r="H3118" s="15">
        <v>5280975</v>
      </c>
      <c r="I3118" s="1">
        <v>46090</v>
      </c>
      <c r="J3118" s="1">
        <v>46120</v>
      </c>
      <c r="K3118" s="18" t="s">
        <v>343</v>
      </c>
      <c r="L3118" s="18" t="s">
        <v>18</v>
      </c>
      <c r="M3118" s="18" t="s">
        <v>19</v>
      </c>
      <c r="N3118" s="18" t="s">
        <v>369</v>
      </c>
      <c r="O3118">
        <v>30</v>
      </c>
    </row>
    <row r="3119" spans="1:15" x14ac:dyDescent="0.25">
      <c r="A3119" s="18" t="s">
        <v>7276</v>
      </c>
      <c r="B3119" s="18" t="s">
        <v>367</v>
      </c>
      <c r="C3119" s="18" t="s">
        <v>368</v>
      </c>
      <c r="D3119" s="18" t="s">
        <v>347</v>
      </c>
      <c r="E3119" s="18" t="s">
        <v>5677</v>
      </c>
      <c r="F3119" s="2">
        <f>+J3119-I3119</f>
        <v>30</v>
      </c>
      <c r="G3119" s="2">
        <f ca="1">+TODAY()-I3119</f>
        <v>28</v>
      </c>
      <c r="H3119" s="15">
        <v>282001</v>
      </c>
      <c r="I3119" s="1">
        <v>46092</v>
      </c>
      <c r="J3119" s="1">
        <v>46122</v>
      </c>
      <c r="K3119" s="18" t="s">
        <v>343</v>
      </c>
      <c r="L3119" s="18" t="s">
        <v>18</v>
      </c>
      <c r="M3119" s="18" t="s">
        <v>19</v>
      </c>
      <c r="N3119" s="18" t="s">
        <v>369</v>
      </c>
      <c r="O3119">
        <v>30</v>
      </c>
    </row>
    <row r="3120" spans="1:15" x14ac:dyDescent="0.25">
      <c r="A3120" s="18" t="s">
        <v>7276</v>
      </c>
      <c r="B3120" s="18" t="s">
        <v>367</v>
      </c>
      <c r="C3120" s="18" t="s">
        <v>368</v>
      </c>
      <c r="D3120" s="18" t="s">
        <v>347</v>
      </c>
      <c r="E3120" s="18" t="s">
        <v>7705</v>
      </c>
      <c r="F3120" s="2">
        <f>+J3120-I3120</f>
        <v>30</v>
      </c>
      <c r="G3120" s="2">
        <f ca="1">+TODAY()-I3120</f>
        <v>1</v>
      </c>
      <c r="H3120" s="15">
        <v>5088000</v>
      </c>
      <c r="I3120" s="1">
        <v>46119</v>
      </c>
      <c r="J3120" s="1">
        <v>46149</v>
      </c>
      <c r="K3120" s="18" t="s">
        <v>343</v>
      </c>
      <c r="L3120" s="18" t="s">
        <v>18</v>
      </c>
      <c r="M3120" s="18" t="s">
        <v>19</v>
      </c>
      <c r="N3120" s="18" t="s">
        <v>369</v>
      </c>
      <c r="O3120">
        <v>30</v>
      </c>
    </row>
    <row r="3121" spans="1:15" x14ac:dyDescent="0.25">
      <c r="A3121" s="18" t="s">
        <v>7276</v>
      </c>
      <c r="B3121" s="18" t="s">
        <v>367</v>
      </c>
      <c r="C3121" s="18" t="s">
        <v>368</v>
      </c>
      <c r="D3121" s="18" t="s">
        <v>347</v>
      </c>
      <c r="E3121" s="18" t="s">
        <v>7706</v>
      </c>
      <c r="F3121" s="2">
        <f>+J3121-I3121</f>
        <v>30</v>
      </c>
      <c r="G3121" s="2">
        <f ca="1">+TODAY()-I3121</f>
        <v>1</v>
      </c>
      <c r="H3121" s="15">
        <v>3825372</v>
      </c>
      <c r="I3121" s="1">
        <v>46119</v>
      </c>
      <c r="J3121" s="1">
        <v>46149</v>
      </c>
      <c r="K3121" s="18" t="s">
        <v>343</v>
      </c>
      <c r="L3121" s="18" t="s">
        <v>18</v>
      </c>
      <c r="M3121" s="18" t="s">
        <v>19</v>
      </c>
      <c r="N3121" s="18" t="s">
        <v>369</v>
      </c>
      <c r="O3121">
        <v>30</v>
      </c>
    </row>
    <row r="3122" spans="1:15" x14ac:dyDescent="0.25">
      <c r="A3122" s="18" t="s">
        <v>7276</v>
      </c>
      <c r="B3122" s="18" t="s">
        <v>367</v>
      </c>
      <c r="C3122" s="18" t="s">
        <v>368</v>
      </c>
      <c r="D3122" s="18" t="s">
        <v>347</v>
      </c>
      <c r="E3122" s="18" t="s">
        <v>7707</v>
      </c>
      <c r="F3122" s="2">
        <f>+J3122-I3122</f>
        <v>30</v>
      </c>
      <c r="G3122" s="2">
        <f ca="1">+TODAY()-I3122</f>
        <v>1</v>
      </c>
      <c r="H3122" s="15">
        <v>1409473</v>
      </c>
      <c r="I3122" s="1">
        <v>46119</v>
      </c>
      <c r="J3122" s="1">
        <v>46149</v>
      </c>
      <c r="K3122" s="18" t="s">
        <v>343</v>
      </c>
      <c r="L3122" s="18" t="s">
        <v>18</v>
      </c>
      <c r="M3122" s="18" t="s">
        <v>19</v>
      </c>
      <c r="N3122" s="18" t="s">
        <v>369</v>
      </c>
      <c r="O3122">
        <v>30</v>
      </c>
    </row>
    <row r="3123" spans="1:15" x14ac:dyDescent="0.25">
      <c r="A3123" s="18" t="s">
        <v>7276</v>
      </c>
      <c r="B3123" s="18" t="s">
        <v>367</v>
      </c>
      <c r="C3123" s="18" t="s">
        <v>368</v>
      </c>
      <c r="D3123" s="18" t="s">
        <v>347</v>
      </c>
      <c r="E3123" s="18" t="s">
        <v>7708</v>
      </c>
      <c r="F3123" s="2">
        <f>+J3123-I3123</f>
        <v>30</v>
      </c>
      <c r="G3123" s="2">
        <f ca="1">+TODAY()-I3123</f>
        <v>1</v>
      </c>
      <c r="H3123" s="15">
        <v>7</v>
      </c>
      <c r="I3123" s="1">
        <v>46119</v>
      </c>
      <c r="J3123" s="1">
        <v>46149</v>
      </c>
      <c r="K3123" s="18" t="s">
        <v>343</v>
      </c>
      <c r="L3123" s="18" t="s">
        <v>18</v>
      </c>
      <c r="M3123" s="18" t="s">
        <v>19</v>
      </c>
      <c r="N3123" s="18" t="s">
        <v>369</v>
      </c>
      <c r="O3123">
        <v>30</v>
      </c>
    </row>
    <row r="3124" spans="1:15" x14ac:dyDescent="0.25">
      <c r="A3124" s="18" t="s">
        <v>7276</v>
      </c>
      <c r="B3124" s="18" t="s">
        <v>367</v>
      </c>
      <c r="C3124" s="18" t="s">
        <v>368</v>
      </c>
      <c r="D3124" s="18" t="s">
        <v>347</v>
      </c>
      <c r="E3124" s="18" t="s">
        <v>7709</v>
      </c>
      <c r="F3124" s="2">
        <f>+J3124-I3124</f>
        <v>30</v>
      </c>
      <c r="G3124" s="2">
        <f ca="1">+TODAY()-I3124</f>
        <v>1</v>
      </c>
      <c r="H3124" s="15">
        <v>8607000</v>
      </c>
      <c r="I3124" s="1">
        <v>46119</v>
      </c>
      <c r="J3124" s="1">
        <v>46149</v>
      </c>
      <c r="K3124" s="18" t="s">
        <v>343</v>
      </c>
      <c r="L3124" s="18" t="s">
        <v>18</v>
      </c>
      <c r="M3124" s="18" t="s">
        <v>19</v>
      </c>
      <c r="N3124" s="18" t="s">
        <v>369</v>
      </c>
      <c r="O3124">
        <v>30</v>
      </c>
    </row>
    <row r="3125" spans="1:15" x14ac:dyDescent="0.25">
      <c r="A3125" s="18" t="s">
        <v>7276</v>
      </c>
      <c r="B3125" s="18" t="s">
        <v>1348</v>
      </c>
      <c r="C3125" s="18" t="s">
        <v>1349</v>
      </c>
      <c r="D3125" s="18" t="s">
        <v>382</v>
      </c>
      <c r="E3125" s="18" t="s">
        <v>5789</v>
      </c>
      <c r="F3125" s="2">
        <f>+J3125-I3125</f>
        <v>30</v>
      </c>
      <c r="G3125" s="2">
        <f ca="1">+TODAY()-I3125</f>
        <v>28</v>
      </c>
      <c r="H3125" s="15">
        <v>1431348</v>
      </c>
      <c r="I3125" s="1">
        <v>46092</v>
      </c>
      <c r="J3125" s="1">
        <v>46122</v>
      </c>
      <c r="K3125" s="18" t="s">
        <v>1325</v>
      </c>
      <c r="L3125" s="18" t="s">
        <v>90</v>
      </c>
      <c r="M3125" s="18" t="s">
        <v>19</v>
      </c>
      <c r="N3125" s="18" t="s">
        <v>1350</v>
      </c>
      <c r="O3125">
        <v>30</v>
      </c>
    </row>
    <row r="3126" spans="1:15" x14ac:dyDescent="0.25">
      <c r="A3126" s="18" t="s">
        <v>7276</v>
      </c>
      <c r="B3126" s="18" t="s">
        <v>1348</v>
      </c>
      <c r="C3126" s="18" t="s">
        <v>1349</v>
      </c>
      <c r="D3126" s="18" t="s">
        <v>382</v>
      </c>
      <c r="E3126" s="18" t="s">
        <v>5790</v>
      </c>
      <c r="F3126" s="2">
        <f>+J3126-I3126</f>
        <v>30</v>
      </c>
      <c r="G3126" s="2">
        <f ca="1">+TODAY()-I3126</f>
        <v>28</v>
      </c>
      <c r="H3126" s="15">
        <v>1218838</v>
      </c>
      <c r="I3126" s="1">
        <v>46092</v>
      </c>
      <c r="J3126" s="1">
        <v>46122</v>
      </c>
      <c r="K3126" s="18" t="s">
        <v>1325</v>
      </c>
      <c r="L3126" s="18" t="s">
        <v>90</v>
      </c>
      <c r="M3126" s="18" t="s">
        <v>19</v>
      </c>
      <c r="N3126" s="18" t="s">
        <v>1350</v>
      </c>
      <c r="O3126">
        <v>30</v>
      </c>
    </row>
    <row r="3127" spans="1:15" x14ac:dyDescent="0.25">
      <c r="A3127" s="18" t="s">
        <v>7276</v>
      </c>
      <c r="B3127" s="18" t="s">
        <v>1348</v>
      </c>
      <c r="C3127" s="18" t="s">
        <v>1349</v>
      </c>
      <c r="D3127" s="18" t="s">
        <v>382</v>
      </c>
      <c r="E3127" s="18" t="s">
        <v>5791</v>
      </c>
      <c r="F3127" s="2">
        <f>+J3127-I3127</f>
        <v>30</v>
      </c>
      <c r="G3127" s="2">
        <f ca="1">+TODAY()-I3127</f>
        <v>28</v>
      </c>
      <c r="H3127" s="15">
        <v>1541888</v>
      </c>
      <c r="I3127" s="1">
        <v>46092</v>
      </c>
      <c r="J3127" s="1">
        <v>46122</v>
      </c>
      <c r="K3127" s="18" t="s">
        <v>1325</v>
      </c>
      <c r="L3127" s="18" t="s">
        <v>90</v>
      </c>
      <c r="M3127" s="18" t="s">
        <v>19</v>
      </c>
      <c r="N3127" s="18" t="s">
        <v>1350</v>
      </c>
      <c r="O3127">
        <v>30</v>
      </c>
    </row>
    <row r="3128" spans="1:15" x14ac:dyDescent="0.25">
      <c r="A3128" s="18" t="s">
        <v>7276</v>
      </c>
      <c r="B3128" s="18" t="s">
        <v>1348</v>
      </c>
      <c r="C3128" s="18" t="s">
        <v>1349</v>
      </c>
      <c r="D3128" s="18" t="s">
        <v>382</v>
      </c>
      <c r="E3128" s="18" t="s">
        <v>6557</v>
      </c>
      <c r="F3128" s="2">
        <f>+J3128-I3128</f>
        <v>30</v>
      </c>
      <c r="G3128" s="2">
        <f ca="1">+TODAY()-I3128</f>
        <v>14</v>
      </c>
      <c r="H3128" s="15">
        <v>124400</v>
      </c>
      <c r="I3128" s="1">
        <v>46106</v>
      </c>
      <c r="J3128" s="1">
        <v>46136</v>
      </c>
      <c r="K3128" s="18" t="s">
        <v>1325</v>
      </c>
      <c r="L3128" s="18" t="s">
        <v>90</v>
      </c>
      <c r="M3128" s="18" t="s">
        <v>19</v>
      </c>
      <c r="N3128" s="18" t="s">
        <v>1350</v>
      </c>
      <c r="O3128">
        <v>30</v>
      </c>
    </row>
    <row r="3129" spans="1:15" x14ac:dyDescent="0.25">
      <c r="A3129" s="18" t="s">
        <v>7276</v>
      </c>
      <c r="B3129" s="18" t="s">
        <v>1348</v>
      </c>
      <c r="C3129" s="18" t="s">
        <v>1349</v>
      </c>
      <c r="D3129" s="18" t="s">
        <v>382</v>
      </c>
      <c r="E3129" s="18" t="s">
        <v>6575</v>
      </c>
      <c r="F3129" s="2">
        <f>+J3129-I3129</f>
        <v>30</v>
      </c>
      <c r="G3129" s="2">
        <f ca="1">+TODAY()-I3129</f>
        <v>13</v>
      </c>
      <c r="H3129" s="15">
        <v>1709374</v>
      </c>
      <c r="I3129" s="1">
        <v>46107</v>
      </c>
      <c r="J3129" s="1">
        <v>46137</v>
      </c>
      <c r="K3129" s="18" t="s">
        <v>1325</v>
      </c>
      <c r="L3129" s="18" t="s">
        <v>90</v>
      </c>
      <c r="M3129" s="18" t="s">
        <v>19</v>
      </c>
      <c r="N3129" s="18" t="s">
        <v>1350</v>
      </c>
      <c r="O3129">
        <v>30</v>
      </c>
    </row>
    <row r="3130" spans="1:15" x14ac:dyDescent="0.25">
      <c r="F3130" s="2"/>
      <c r="G3130" s="2"/>
      <c r="H3130" s="15">
        <f>SUBTOTAL(109,carteraharold201701__2[ttotal])</f>
        <v>7133077261</v>
      </c>
      <c r="I3130" s="1"/>
      <c r="J3130" s="1"/>
    </row>
    <row r="3133" spans="1:15" x14ac:dyDescent="0.25">
      <c r="H3133" s="15"/>
    </row>
    <row r="3134" spans="1:15" x14ac:dyDescent="0.25">
      <c r="H3134" s="15"/>
    </row>
    <row r="3135" spans="1:15" x14ac:dyDescent="0.25">
      <c r="H3135" s="15"/>
    </row>
    <row r="3136" spans="1:15" x14ac:dyDescent="0.25">
      <c r="H3136" s="15"/>
    </row>
    <row r="3137" spans="8:8" x14ac:dyDescent="0.25">
      <c r="H3137" s="15"/>
    </row>
    <row r="3138" spans="8:8" x14ac:dyDescent="0.25">
      <c r="H3138" s="15"/>
    </row>
    <row r="3140" spans="8:8" x14ac:dyDescent="0.25">
      <c r="H3140" s="15"/>
    </row>
    <row r="3144" spans="8:8" x14ac:dyDescent="0.25">
      <c r="H3144" s="15"/>
    </row>
    <row r="3147" spans="8:8" x14ac:dyDescent="0.25">
      <c r="H3147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A9" workbookViewId="0">
      <selection activeCell="J20" sqref="J20"/>
    </sheetView>
  </sheetViews>
  <sheetFormatPr baseColWidth="10" defaultRowHeight="15" x14ac:dyDescent="0.25"/>
  <cols>
    <col min="1" max="1" width="17.85546875" customWidth="1"/>
    <col min="9" max="9" width="51.7109375" customWidth="1"/>
  </cols>
  <sheetData>
    <row r="1" spans="1:10" x14ac:dyDescent="0.25">
      <c r="A1" t="s">
        <v>5592</v>
      </c>
    </row>
    <row r="3" spans="1:10" x14ac:dyDescent="0.25">
      <c r="A3" t="s">
        <v>5593</v>
      </c>
      <c r="B3">
        <v>50</v>
      </c>
    </row>
    <row r="4" spans="1:10" x14ac:dyDescent="0.25">
      <c r="A4" t="s">
        <v>5594</v>
      </c>
      <c r="B4">
        <v>79</v>
      </c>
    </row>
    <row r="5" spans="1:10" x14ac:dyDescent="0.25">
      <c r="A5" t="s">
        <v>5595</v>
      </c>
      <c r="B5">
        <v>140</v>
      </c>
    </row>
    <row r="6" spans="1:10" x14ac:dyDescent="0.25">
      <c r="A6" t="s">
        <v>5596</v>
      </c>
      <c r="B6">
        <v>144</v>
      </c>
    </row>
    <row r="7" spans="1:10" x14ac:dyDescent="0.25">
      <c r="A7" t="s">
        <v>5597</v>
      </c>
      <c r="B7">
        <v>91</v>
      </c>
    </row>
    <row r="8" spans="1:10" x14ac:dyDescent="0.25">
      <c r="A8" t="s">
        <v>5598</v>
      </c>
      <c r="B8">
        <v>111</v>
      </c>
    </row>
    <row r="9" spans="1:10" x14ac:dyDescent="0.25">
      <c r="A9" t="s">
        <v>5599</v>
      </c>
      <c r="B9">
        <v>109</v>
      </c>
    </row>
    <row r="10" spans="1:10" x14ac:dyDescent="0.25">
      <c r="A10" t="s">
        <v>5600</v>
      </c>
      <c r="B10">
        <v>200</v>
      </c>
    </row>
    <row r="11" spans="1:10" x14ac:dyDescent="0.25">
      <c r="A11" t="s">
        <v>5601</v>
      </c>
      <c r="B11">
        <v>246</v>
      </c>
      <c r="J11" t="s">
        <v>6142</v>
      </c>
    </row>
    <row r="12" spans="1:10" x14ac:dyDescent="0.25">
      <c r="A12" t="s">
        <v>5602</v>
      </c>
      <c r="B12">
        <v>198</v>
      </c>
      <c r="I12" s="16" t="s">
        <v>6133</v>
      </c>
      <c r="J12">
        <v>3117700431</v>
      </c>
    </row>
    <row r="13" spans="1:10" x14ac:dyDescent="0.25">
      <c r="B13">
        <f>SUM(B3:B12)</f>
        <v>1368</v>
      </c>
      <c r="I13" s="16" t="s">
        <v>6134</v>
      </c>
      <c r="J13">
        <v>3137671011</v>
      </c>
    </row>
    <row r="14" spans="1:10" x14ac:dyDescent="0.25">
      <c r="I14" s="16" t="s">
        <v>6144</v>
      </c>
      <c r="J14">
        <v>3218037260</v>
      </c>
    </row>
    <row r="15" spans="1:10" x14ac:dyDescent="0.25">
      <c r="I15" s="16" t="s">
        <v>6145</v>
      </c>
      <c r="J15">
        <v>3204077185</v>
      </c>
    </row>
    <row r="16" spans="1:10" x14ac:dyDescent="0.25">
      <c r="I16" s="16" t="s">
        <v>6143</v>
      </c>
      <c r="J16">
        <v>3113896092</v>
      </c>
    </row>
    <row r="17" spans="9:10" x14ac:dyDescent="0.25">
      <c r="I17" s="16" t="s">
        <v>6135</v>
      </c>
      <c r="J17">
        <v>3122960169</v>
      </c>
    </row>
    <row r="18" spans="9:10" x14ac:dyDescent="0.25">
      <c r="I18" s="16" t="s">
        <v>6136</v>
      </c>
      <c r="J18">
        <v>3135031118</v>
      </c>
    </row>
    <row r="19" spans="9:10" x14ac:dyDescent="0.25">
      <c r="I19" s="16" t="s">
        <v>6137</v>
      </c>
      <c r="J19">
        <v>3022107387</v>
      </c>
    </row>
    <row r="20" spans="9:10" x14ac:dyDescent="0.25">
      <c r="I20" s="16" t="s">
        <v>6138</v>
      </c>
      <c r="J20">
        <v>3232911903</v>
      </c>
    </row>
    <row r="21" spans="9:10" x14ac:dyDescent="0.25">
      <c r="I21" s="16" t="s">
        <v>6139</v>
      </c>
      <c r="J21">
        <v>3108480777</v>
      </c>
    </row>
    <row r="22" spans="9:10" x14ac:dyDescent="0.25">
      <c r="I22" s="16" t="s">
        <v>6140</v>
      </c>
      <c r="J22">
        <v>3148010448</v>
      </c>
    </row>
    <row r="23" spans="9:10" x14ac:dyDescent="0.25">
      <c r="I23" s="16" t="s">
        <v>6141</v>
      </c>
      <c r="J23">
        <v>3135780204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861"/>
  <sheetViews>
    <sheetView workbookViewId="0">
      <selection activeCell="C1011" sqref="C1011"/>
    </sheetView>
  </sheetViews>
  <sheetFormatPr baseColWidth="10" defaultRowHeight="15" x14ac:dyDescent="0.25"/>
  <cols>
    <col min="1" max="1" width="7" bestFit="1" customWidth="1"/>
    <col min="2" max="2" width="16.28515625" bestFit="1" customWidth="1"/>
    <col min="3" max="3" width="63.140625" bestFit="1" customWidth="1"/>
    <col min="4" max="4" width="29.7109375" bestFit="1" customWidth="1"/>
    <col min="5" max="5" width="12.28515625" bestFit="1" customWidth="1"/>
    <col min="6" max="6" width="15.5703125" bestFit="1" customWidth="1"/>
    <col min="7" max="7" width="8" bestFit="1" customWidth="1"/>
    <col min="8" max="8" width="7.85546875" bestFit="1" customWidth="1"/>
    <col min="9" max="9" width="10.7109375" bestFit="1" customWidth="1"/>
    <col min="10" max="10" width="14.42578125" bestFit="1" customWidth="1"/>
    <col min="11" max="11" width="7.42578125" bestFit="1" customWidth="1"/>
    <col min="12" max="12" width="11.85546875" bestFit="1" customWidth="1"/>
    <col min="13" max="13" width="13.5703125" bestFit="1" customWidth="1"/>
    <col min="14" max="14" width="30.28515625" bestFit="1" customWidth="1"/>
    <col min="15" max="15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1903</v>
      </c>
      <c r="H1" t="s">
        <v>1904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idden="1" x14ac:dyDescent="0.25">
      <c r="A2" t="s">
        <v>2820</v>
      </c>
      <c r="B2" t="s">
        <v>1818</v>
      </c>
      <c r="C2" t="s">
        <v>1819</v>
      </c>
      <c r="D2" t="s">
        <v>1820</v>
      </c>
      <c r="E2" t="s">
        <v>1821</v>
      </c>
      <c r="F2" s="3">
        <v>984125</v>
      </c>
      <c r="G2" s="2">
        <f t="shared" ref="G2:G65" si="0">+J2-I2</f>
        <v>25</v>
      </c>
      <c r="H2" s="2">
        <f t="shared" ref="H2:H65" ca="1" si="1">+TODAY()-I2</f>
        <v>3848</v>
      </c>
      <c r="I2" s="4">
        <v>42272</v>
      </c>
      <c r="J2" s="4">
        <v>42297</v>
      </c>
      <c r="K2" t="s">
        <v>1822</v>
      </c>
      <c r="L2" t="s">
        <v>1069</v>
      </c>
      <c r="M2" t="s">
        <v>19</v>
      </c>
      <c r="N2" t="s">
        <v>1823</v>
      </c>
      <c r="O2">
        <v>30</v>
      </c>
    </row>
    <row r="3" spans="1:15" hidden="1" x14ac:dyDescent="0.25">
      <c r="A3" t="s">
        <v>2820</v>
      </c>
      <c r="B3" t="s">
        <v>1818</v>
      </c>
      <c r="C3" t="s">
        <v>1819</v>
      </c>
      <c r="D3" t="s">
        <v>1820</v>
      </c>
      <c r="E3" t="s">
        <v>1824</v>
      </c>
      <c r="F3" s="3">
        <v>2253978</v>
      </c>
      <c r="G3" s="2">
        <f t="shared" si="0"/>
        <v>25</v>
      </c>
      <c r="H3" s="2">
        <f t="shared" ca="1" si="1"/>
        <v>3834</v>
      </c>
      <c r="I3" s="4">
        <v>42286</v>
      </c>
      <c r="J3" s="4">
        <v>42311</v>
      </c>
      <c r="K3" t="s">
        <v>1822</v>
      </c>
      <c r="L3" t="s">
        <v>1069</v>
      </c>
      <c r="M3" t="s">
        <v>19</v>
      </c>
      <c r="N3" t="s">
        <v>1823</v>
      </c>
      <c r="O3">
        <v>30</v>
      </c>
    </row>
    <row r="4" spans="1:15" hidden="1" x14ac:dyDescent="0.25">
      <c r="A4" t="s">
        <v>2820</v>
      </c>
      <c r="B4" t="s">
        <v>1064</v>
      </c>
      <c r="C4" t="s">
        <v>1065</v>
      </c>
      <c r="D4" t="s">
        <v>1066</v>
      </c>
      <c r="E4" t="s">
        <v>1067</v>
      </c>
      <c r="F4" s="3">
        <v>258740</v>
      </c>
      <c r="G4" s="2">
        <f t="shared" si="0"/>
        <v>25</v>
      </c>
      <c r="H4" s="2">
        <f t="shared" ca="1" si="1"/>
        <v>3488</v>
      </c>
      <c r="I4" s="4">
        <v>42632</v>
      </c>
      <c r="J4" s="4">
        <v>42657</v>
      </c>
      <c r="K4" t="s">
        <v>1068</v>
      </c>
      <c r="L4" t="s">
        <v>1069</v>
      </c>
      <c r="M4" t="s">
        <v>19</v>
      </c>
      <c r="N4" t="s">
        <v>1070</v>
      </c>
      <c r="O4">
        <v>30</v>
      </c>
    </row>
    <row r="5" spans="1:15" hidden="1" x14ac:dyDescent="0.25">
      <c r="A5" t="s">
        <v>2820</v>
      </c>
      <c r="B5" t="s">
        <v>1071</v>
      </c>
      <c r="C5" t="s">
        <v>1072</v>
      </c>
      <c r="D5" t="s">
        <v>1066</v>
      </c>
      <c r="E5" t="s">
        <v>1073</v>
      </c>
      <c r="F5" s="3">
        <v>228615</v>
      </c>
      <c r="G5" s="2">
        <f t="shared" si="0"/>
        <v>25</v>
      </c>
      <c r="H5" s="2">
        <f t="shared" ca="1" si="1"/>
        <v>3394</v>
      </c>
      <c r="I5" s="4">
        <v>42726</v>
      </c>
      <c r="J5" s="4">
        <v>42751</v>
      </c>
      <c r="K5" t="s">
        <v>1068</v>
      </c>
      <c r="L5" t="s">
        <v>1069</v>
      </c>
      <c r="M5" t="s">
        <v>19</v>
      </c>
      <c r="N5" t="s">
        <v>1074</v>
      </c>
      <c r="O5">
        <v>30</v>
      </c>
    </row>
    <row r="6" spans="1:15" hidden="1" x14ac:dyDescent="0.25">
      <c r="A6" t="s">
        <v>2820</v>
      </c>
      <c r="B6" t="s">
        <v>1086</v>
      </c>
      <c r="C6" t="s">
        <v>1087</v>
      </c>
      <c r="D6" t="s">
        <v>320</v>
      </c>
      <c r="E6" t="s">
        <v>1088</v>
      </c>
      <c r="F6" s="3">
        <v>2290968</v>
      </c>
      <c r="G6" s="2">
        <f t="shared" si="0"/>
        <v>25</v>
      </c>
      <c r="H6" s="2">
        <f t="shared" ca="1" si="1"/>
        <v>3199</v>
      </c>
      <c r="I6" s="4">
        <v>42921</v>
      </c>
      <c r="J6" s="4">
        <v>42946</v>
      </c>
      <c r="K6" t="s">
        <v>1068</v>
      </c>
      <c r="L6" t="s">
        <v>1069</v>
      </c>
      <c r="M6" t="s">
        <v>19</v>
      </c>
      <c r="N6" t="s">
        <v>1089</v>
      </c>
      <c r="O6">
        <v>1</v>
      </c>
    </row>
    <row r="7" spans="1:15" hidden="1" x14ac:dyDescent="0.25">
      <c r="A7" t="s">
        <v>2820</v>
      </c>
      <c r="B7" t="s">
        <v>1086</v>
      </c>
      <c r="C7" t="s">
        <v>1087</v>
      </c>
      <c r="D7" t="s">
        <v>320</v>
      </c>
      <c r="E7" t="s">
        <v>1090</v>
      </c>
      <c r="F7" s="3">
        <v>2409032</v>
      </c>
      <c r="G7" s="2">
        <f t="shared" si="0"/>
        <v>25</v>
      </c>
      <c r="H7" s="2">
        <f t="shared" ca="1" si="1"/>
        <v>3178</v>
      </c>
      <c r="I7" s="4">
        <v>42942</v>
      </c>
      <c r="J7" s="4">
        <v>42967</v>
      </c>
      <c r="K7" t="s">
        <v>1068</v>
      </c>
      <c r="L7" t="s">
        <v>1069</v>
      </c>
      <c r="M7" t="s">
        <v>19</v>
      </c>
      <c r="N7" t="s">
        <v>1089</v>
      </c>
      <c r="O7">
        <v>1</v>
      </c>
    </row>
    <row r="8" spans="1:15" hidden="1" x14ac:dyDescent="0.25">
      <c r="A8" t="s">
        <v>2820</v>
      </c>
      <c r="B8" t="s">
        <v>1585</v>
      </c>
      <c r="C8" t="s">
        <v>1586</v>
      </c>
      <c r="D8" t="s">
        <v>1587</v>
      </c>
      <c r="E8" t="s">
        <v>1588</v>
      </c>
      <c r="F8" s="3">
        <v>576764</v>
      </c>
      <c r="G8" s="2">
        <f t="shared" si="0"/>
        <v>25</v>
      </c>
      <c r="H8" s="2">
        <f t="shared" ca="1" si="1"/>
        <v>2911</v>
      </c>
      <c r="I8" s="4">
        <v>43209</v>
      </c>
      <c r="J8" s="4">
        <v>43234</v>
      </c>
      <c r="K8" t="s">
        <v>1589</v>
      </c>
      <c r="L8" t="s">
        <v>90</v>
      </c>
      <c r="M8" t="s">
        <v>19</v>
      </c>
      <c r="N8" t="s">
        <v>1590</v>
      </c>
      <c r="O8">
        <v>30</v>
      </c>
    </row>
    <row r="9" spans="1:15" hidden="1" x14ac:dyDescent="0.25">
      <c r="A9" t="s">
        <v>2820</v>
      </c>
      <c r="B9" t="s">
        <v>1079</v>
      </c>
      <c r="C9" t="s">
        <v>1080</v>
      </c>
      <c r="D9" t="s">
        <v>320</v>
      </c>
      <c r="E9" t="s">
        <v>1081</v>
      </c>
      <c r="F9" s="3">
        <v>1260352</v>
      </c>
      <c r="G9" s="2">
        <f t="shared" si="0"/>
        <v>25</v>
      </c>
      <c r="H9" s="2">
        <f t="shared" ca="1" si="1"/>
        <v>2893</v>
      </c>
      <c r="I9" s="4">
        <v>43227</v>
      </c>
      <c r="J9" s="4">
        <v>43252</v>
      </c>
      <c r="K9" t="s">
        <v>1068</v>
      </c>
      <c r="L9" t="s">
        <v>1069</v>
      </c>
      <c r="M9" t="s">
        <v>19</v>
      </c>
      <c r="N9" t="s">
        <v>1082</v>
      </c>
      <c r="O9">
        <v>30</v>
      </c>
    </row>
    <row r="10" spans="1:15" hidden="1" x14ac:dyDescent="0.25">
      <c r="A10" t="s">
        <v>2820</v>
      </c>
      <c r="B10" t="s">
        <v>1079</v>
      </c>
      <c r="C10" t="s">
        <v>1080</v>
      </c>
      <c r="D10" t="s">
        <v>320</v>
      </c>
      <c r="E10" t="s">
        <v>1083</v>
      </c>
      <c r="F10" s="3">
        <v>492428</v>
      </c>
      <c r="G10" s="2">
        <f t="shared" si="0"/>
        <v>25</v>
      </c>
      <c r="H10" s="2">
        <f t="shared" ca="1" si="1"/>
        <v>2884</v>
      </c>
      <c r="I10" s="4">
        <v>43236</v>
      </c>
      <c r="J10" s="4">
        <v>43261</v>
      </c>
      <c r="K10" t="s">
        <v>1068</v>
      </c>
      <c r="L10" t="s">
        <v>1069</v>
      </c>
      <c r="M10" t="s">
        <v>19</v>
      </c>
      <c r="N10" t="s">
        <v>1082</v>
      </c>
      <c r="O10">
        <v>30</v>
      </c>
    </row>
    <row r="11" spans="1:15" hidden="1" x14ac:dyDescent="0.25">
      <c r="A11" t="s">
        <v>2820</v>
      </c>
      <c r="B11" t="s">
        <v>1079</v>
      </c>
      <c r="C11" t="s">
        <v>1080</v>
      </c>
      <c r="D11" t="s">
        <v>320</v>
      </c>
      <c r="E11" t="s">
        <v>1084</v>
      </c>
      <c r="F11" s="3">
        <v>1526002</v>
      </c>
      <c r="G11" s="2">
        <f t="shared" si="0"/>
        <v>25</v>
      </c>
      <c r="H11" s="2">
        <f t="shared" ca="1" si="1"/>
        <v>2862</v>
      </c>
      <c r="I11" s="4">
        <v>43258</v>
      </c>
      <c r="J11" s="4">
        <v>43283</v>
      </c>
      <c r="K11" t="s">
        <v>1068</v>
      </c>
      <c r="L11" t="s">
        <v>1069</v>
      </c>
      <c r="M11" t="s">
        <v>19</v>
      </c>
      <c r="N11" t="s">
        <v>1082</v>
      </c>
      <c r="O11">
        <v>30</v>
      </c>
    </row>
    <row r="12" spans="1:15" hidden="1" x14ac:dyDescent="0.25">
      <c r="A12" t="s">
        <v>2820</v>
      </c>
      <c r="B12" t="s">
        <v>1079</v>
      </c>
      <c r="C12" t="s">
        <v>1080</v>
      </c>
      <c r="D12" t="s">
        <v>320</v>
      </c>
      <c r="E12" t="s">
        <v>1085</v>
      </c>
      <c r="F12" s="3">
        <v>1239171</v>
      </c>
      <c r="G12" s="2">
        <f t="shared" si="0"/>
        <v>25</v>
      </c>
      <c r="H12" s="2">
        <f t="shared" ca="1" si="1"/>
        <v>2862</v>
      </c>
      <c r="I12" s="4">
        <v>43258</v>
      </c>
      <c r="J12" s="4">
        <v>43283</v>
      </c>
      <c r="K12" t="s">
        <v>1068</v>
      </c>
      <c r="L12" t="s">
        <v>1069</v>
      </c>
      <c r="M12" t="s">
        <v>19</v>
      </c>
      <c r="N12" t="s">
        <v>1082</v>
      </c>
      <c r="O12">
        <v>30</v>
      </c>
    </row>
    <row r="13" spans="1:15" hidden="1" x14ac:dyDescent="0.25">
      <c r="A13" t="s">
        <v>2820</v>
      </c>
      <c r="B13" t="s">
        <v>1399</v>
      </c>
      <c r="C13" t="s">
        <v>1400</v>
      </c>
      <c r="D13" t="s">
        <v>1401</v>
      </c>
      <c r="E13" t="s">
        <v>1402</v>
      </c>
      <c r="F13" s="3">
        <v>481208</v>
      </c>
      <c r="G13" s="2">
        <f t="shared" si="0"/>
        <v>25</v>
      </c>
      <c r="H13" s="2">
        <f t="shared" ca="1" si="1"/>
        <v>2816</v>
      </c>
      <c r="I13" s="4">
        <v>43304</v>
      </c>
      <c r="J13" s="4">
        <v>43329</v>
      </c>
      <c r="K13" t="s">
        <v>1403</v>
      </c>
      <c r="L13" t="s">
        <v>90</v>
      </c>
      <c r="M13" t="s">
        <v>19</v>
      </c>
      <c r="N13" t="s">
        <v>1404</v>
      </c>
      <c r="O13">
        <v>25</v>
      </c>
    </row>
    <row r="14" spans="1:15" hidden="1" x14ac:dyDescent="0.25">
      <c r="A14" t="s">
        <v>2820</v>
      </c>
      <c r="B14" t="s">
        <v>1795</v>
      </c>
      <c r="C14" t="s">
        <v>1796</v>
      </c>
      <c r="D14" t="s">
        <v>1797</v>
      </c>
      <c r="E14" t="s">
        <v>1798</v>
      </c>
      <c r="F14" s="3">
        <v>1848010</v>
      </c>
      <c r="G14" s="2">
        <f t="shared" si="0"/>
        <v>25</v>
      </c>
      <c r="H14" s="2">
        <f t="shared" ca="1" si="1"/>
        <v>2736</v>
      </c>
      <c r="I14" s="4">
        <v>43384</v>
      </c>
      <c r="J14" s="4">
        <v>43409</v>
      </c>
      <c r="K14" t="s">
        <v>1799</v>
      </c>
      <c r="L14" t="s">
        <v>1778</v>
      </c>
      <c r="M14" t="s">
        <v>19</v>
      </c>
      <c r="N14" t="s">
        <v>1800</v>
      </c>
      <c r="O14">
        <v>30</v>
      </c>
    </row>
    <row r="15" spans="1:15" hidden="1" x14ac:dyDescent="0.25">
      <c r="A15" t="s">
        <v>2820</v>
      </c>
      <c r="B15" t="s">
        <v>1825</v>
      </c>
      <c r="C15" t="s">
        <v>1826</v>
      </c>
      <c r="D15" t="s">
        <v>1827</v>
      </c>
      <c r="E15" t="s">
        <v>1828</v>
      </c>
      <c r="F15" s="3">
        <v>1509674</v>
      </c>
      <c r="G15" s="2">
        <f t="shared" si="0"/>
        <v>25</v>
      </c>
      <c r="H15" s="2">
        <f t="shared" ca="1" si="1"/>
        <v>2694</v>
      </c>
      <c r="I15" s="4">
        <v>43426</v>
      </c>
      <c r="J15" s="4">
        <v>43451</v>
      </c>
      <c r="K15" t="s">
        <v>1829</v>
      </c>
      <c r="L15" t="s">
        <v>1069</v>
      </c>
      <c r="M15" t="s">
        <v>19</v>
      </c>
      <c r="N15" t="s">
        <v>1830</v>
      </c>
      <c r="O15">
        <v>30</v>
      </c>
    </row>
    <row r="16" spans="1:15" hidden="1" x14ac:dyDescent="0.25">
      <c r="A16" t="s">
        <v>2820</v>
      </c>
      <c r="B16" t="s">
        <v>1825</v>
      </c>
      <c r="C16" t="s">
        <v>1826</v>
      </c>
      <c r="D16" t="s">
        <v>1827</v>
      </c>
      <c r="E16" t="s">
        <v>1831</v>
      </c>
      <c r="F16" s="3">
        <v>2273980</v>
      </c>
      <c r="G16" s="2">
        <f t="shared" si="0"/>
        <v>25</v>
      </c>
      <c r="H16" s="2">
        <f t="shared" ca="1" si="1"/>
        <v>2680</v>
      </c>
      <c r="I16" s="4">
        <v>43440</v>
      </c>
      <c r="J16" s="4">
        <v>43465</v>
      </c>
      <c r="K16" t="s">
        <v>1829</v>
      </c>
      <c r="L16" t="s">
        <v>1069</v>
      </c>
      <c r="M16" t="s">
        <v>19</v>
      </c>
      <c r="N16" t="s">
        <v>1830</v>
      </c>
      <c r="O16">
        <v>30</v>
      </c>
    </row>
    <row r="17" spans="1:15" hidden="1" x14ac:dyDescent="0.25">
      <c r="A17" t="s">
        <v>2820</v>
      </c>
      <c r="B17" t="s">
        <v>1825</v>
      </c>
      <c r="C17" t="s">
        <v>1826</v>
      </c>
      <c r="D17" t="s">
        <v>1827</v>
      </c>
      <c r="E17" t="s">
        <v>1832</v>
      </c>
      <c r="F17" s="3">
        <v>1920585</v>
      </c>
      <c r="G17" s="2">
        <f t="shared" si="0"/>
        <v>25</v>
      </c>
      <c r="H17" s="2">
        <f t="shared" ca="1" si="1"/>
        <v>2651</v>
      </c>
      <c r="I17" s="4">
        <v>43469</v>
      </c>
      <c r="J17" s="4">
        <v>43494</v>
      </c>
      <c r="K17" t="s">
        <v>1829</v>
      </c>
      <c r="L17" t="s">
        <v>1069</v>
      </c>
      <c r="M17" t="s">
        <v>19</v>
      </c>
      <c r="N17" t="s">
        <v>1830</v>
      </c>
      <c r="O17">
        <v>30</v>
      </c>
    </row>
    <row r="18" spans="1:15" hidden="1" x14ac:dyDescent="0.25">
      <c r="A18" t="s">
        <v>2820</v>
      </c>
      <c r="B18" t="s">
        <v>1825</v>
      </c>
      <c r="C18" t="s">
        <v>1826</v>
      </c>
      <c r="D18" t="s">
        <v>1827</v>
      </c>
      <c r="E18" t="s">
        <v>1833</v>
      </c>
      <c r="F18" s="3">
        <v>298700</v>
      </c>
      <c r="G18" s="2">
        <f t="shared" si="0"/>
        <v>15</v>
      </c>
      <c r="H18" s="2">
        <f t="shared" ca="1" si="1"/>
        <v>2624</v>
      </c>
      <c r="I18" s="4">
        <v>43496</v>
      </c>
      <c r="J18" s="4">
        <v>43511</v>
      </c>
      <c r="K18" t="s">
        <v>1829</v>
      </c>
      <c r="L18" t="s">
        <v>1069</v>
      </c>
      <c r="M18" t="s">
        <v>19</v>
      </c>
      <c r="N18" t="s">
        <v>1830</v>
      </c>
      <c r="O18">
        <v>30</v>
      </c>
    </row>
    <row r="19" spans="1:15" hidden="1" x14ac:dyDescent="0.25">
      <c r="A19" t="s">
        <v>2820</v>
      </c>
      <c r="B19" t="s">
        <v>1795</v>
      </c>
      <c r="C19" t="s">
        <v>1796</v>
      </c>
      <c r="D19" t="s">
        <v>1797</v>
      </c>
      <c r="E19" t="s">
        <v>1801</v>
      </c>
      <c r="F19" s="3">
        <v>2028313</v>
      </c>
      <c r="G19" s="2">
        <f t="shared" si="0"/>
        <v>25</v>
      </c>
      <c r="H19" s="2">
        <f t="shared" ca="1" si="1"/>
        <v>2567</v>
      </c>
      <c r="I19" s="4">
        <v>43553</v>
      </c>
      <c r="J19" s="4">
        <v>43578</v>
      </c>
      <c r="K19" t="s">
        <v>1799</v>
      </c>
      <c r="L19" t="s">
        <v>1778</v>
      </c>
      <c r="M19" t="s">
        <v>19</v>
      </c>
      <c r="N19" t="s">
        <v>1800</v>
      </c>
      <c r="O19">
        <v>30</v>
      </c>
    </row>
    <row r="20" spans="1:15" hidden="1" x14ac:dyDescent="0.25">
      <c r="A20" t="s">
        <v>2820</v>
      </c>
      <c r="B20" t="s">
        <v>1773</v>
      </c>
      <c r="C20" t="s">
        <v>1774</v>
      </c>
      <c r="D20" t="s">
        <v>1775</v>
      </c>
      <c r="E20" t="s">
        <v>1776</v>
      </c>
      <c r="F20" s="3">
        <v>1330000</v>
      </c>
      <c r="G20" s="2">
        <f t="shared" si="0"/>
        <v>25</v>
      </c>
      <c r="H20" s="2">
        <f t="shared" ca="1" si="1"/>
        <v>2553</v>
      </c>
      <c r="I20" s="4">
        <v>43567</v>
      </c>
      <c r="J20" s="4">
        <v>43592</v>
      </c>
      <c r="K20" t="s">
        <v>1777</v>
      </c>
      <c r="L20" t="s">
        <v>1778</v>
      </c>
      <c r="M20" t="s">
        <v>19</v>
      </c>
      <c r="N20" t="s">
        <v>1779</v>
      </c>
      <c r="O20">
        <v>1</v>
      </c>
    </row>
    <row r="21" spans="1:15" hidden="1" x14ac:dyDescent="0.25">
      <c r="A21" t="s">
        <v>2820</v>
      </c>
      <c r="B21" t="s">
        <v>1807</v>
      </c>
      <c r="C21" t="s">
        <v>1808</v>
      </c>
      <c r="D21" t="s">
        <v>211</v>
      </c>
      <c r="E21" t="s">
        <v>1812</v>
      </c>
      <c r="F21" s="3">
        <v>175863</v>
      </c>
      <c r="G21" s="2">
        <f t="shared" si="0"/>
        <v>26</v>
      </c>
      <c r="H21" s="2">
        <f t="shared" ca="1" si="1"/>
        <v>2548</v>
      </c>
      <c r="I21" s="4">
        <v>43572</v>
      </c>
      <c r="J21" s="4">
        <v>43598</v>
      </c>
      <c r="K21" t="s">
        <v>1810</v>
      </c>
      <c r="L21" t="s">
        <v>1069</v>
      </c>
      <c r="M21" t="s">
        <v>19</v>
      </c>
      <c r="N21" t="s">
        <v>1811</v>
      </c>
      <c r="O21">
        <v>30</v>
      </c>
    </row>
    <row r="22" spans="1:15" hidden="1" x14ac:dyDescent="0.25">
      <c r="A22" t="s">
        <v>2820</v>
      </c>
      <c r="B22" t="s">
        <v>1780</v>
      </c>
      <c r="C22" t="s">
        <v>1781</v>
      </c>
      <c r="D22" t="s">
        <v>1775</v>
      </c>
      <c r="E22" t="s">
        <v>1782</v>
      </c>
      <c r="F22" s="3">
        <v>1015366</v>
      </c>
      <c r="G22" s="2">
        <f t="shared" si="0"/>
        <v>25</v>
      </c>
      <c r="H22" s="2">
        <f t="shared" ca="1" si="1"/>
        <v>2525</v>
      </c>
      <c r="I22" s="4">
        <v>43595</v>
      </c>
      <c r="J22" s="4">
        <v>43620</v>
      </c>
      <c r="K22" t="s">
        <v>1777</v>
      </c>
      <c r="L22" t="s">
        <v>1778</v>
      </c>
      <c r="M22" t="s">
        <v>19</v>
      </c>
      <c r="N22" t="s">
        <v>1783</v>
      </c>
      <c r="O22">
        <v>1</v>
      </c>
    </row>
    <row r="23" spans="1:15" hidden="1" x14ac:dyDescent="0.25">
      <c r="A23" t="s">
        <v>2820</v>
      </c>
      <c r="B23" t="s">
        <v>1789</v>
      </c>
      <c r="C23" t="s">
        <v>1790</v>
      </c>
      <c r="D23" t="s">
        <v>1791</v>
      </c>
      <c r="E23" t="s">
        <v>1792</v>
      </c>
      <c r="F23" s="3">
        <v>585800</v>
      </c>
      <c r="G23" s="2">
        <f t="shared" si="0"/>
        <v>25</v>
      </c>
      <c r="H23" s="2">
        <f t="shared" ca="1" si="1"/>
        <v>2525</v>
      </c>
      <c r="I23" s="4">
        <v>43595</v>
      </c>
      <c r="J23" s="4">
        <v>43620</v>
      </c>
      <c r="K23" t="s">
        <v>1793</v>
      </c>
      <c r="L23" t="s">
        <v>1778</v>
      </c>
      <c r="M23" t="s">
        <v>19</v>
      </c>
      <c r="N23" t="s">
        <v>1794</v>
      </c>
      <c r="O23">
        <v>1</v>
      </c>
    </row>
    <row r="24" spans="1:15" hidden="1" x14ac:dyDescent="0.25">
      <c r="A24" t="s">
        <v>2820</v>
      </c>
      <c r="B24" t="s">
        <v>1807</v>
      </c>
      <c r="C24" t="s">
        <v>1808</v>
      </c>
      <c r="D24" t="s">
        <v>211</v>
      </c>
      <c r="E24" t="s">
        <v>1809</v>
      </c>
      <c r="F24" s="3">
        <v>176860</v>
      </c>
      <c r="G24" s="2">
        <f t="shared" si="0"/>
        <v>25</v>
      </c>
      <c r="H24" s="2">
        <f t="shared" ca="1" si="1"/>
        <v>2518</v>
      </c>
      <c r="I24" s="4">
        <v>43602</v>
      </c>
      <c r="J24" s="4">
        <v>43627</v>
      </c>
      <c r="K24" t="s">
        <v>1810</v>
      </c>
      <c r="L24" t="s">
        <v>1069</v>
      </c>
      <c r="M24" t="s">
        <v>19</v>
      </c>
      <c r="N24" t="s">
        <v>1811</v>
      </c>
      <c r="O24">
        <v>30</v>
      </c>
    </row>
    <row r="25" spans="1:15" hidden="1" x14ac:dyDescent="0.25">
      <c r="A25" t="s">
        <v>2820</v>
      </c>
      <c r="B25" t="s">
        <v>1813</v>
      </c>
      <c r="C25" t="s">
        <v>1814</v>
      </c>
      <c r="D25" t="s">
        <v>1815</v>
      </c>
      <c r="E25" t="s">
        <v>1816</v>
      </c>
      <c r="F25" s="3">
        <v>163300</v>
      </c>
      <c r="G25" s="2">
        <f t="shared" si="0"/>
        <v>30</v>
      </c>
      <c r="H25" s="2">
        <f t="shared" ca="1" si="1"/>
        <v>2491</v>
      </c>
      <c r="I25" s="4">
        <v>43629</v>
      </c>
      <c r="J25" s="4">
        <v>43659</v>
      </c>
      <c r="K25" t="s">
        <v>1810</v>
      </c>
      <c r="L25" t="s">
        <v>1069</v>
      </c>
      <c r="M25" t="s">
        <v>19</v>
      </c>
      <c r="N25" t="s">
        <v>1817</v>
      </c>
      <c r="O25">
        <v>30</v>
      </c>
    </row>
    <row r="26" spans="1:15" hidden="1" x14ac:dyDescent="0.25">
      <c r="A26" t="s">
        <v>2820</v>
      </c>
      <c r="B26" t="s">
        <v>1784</v>
      </c>
      <c r="C26" t="s">
        <v>1785</v>
      </c>
      <c r="D26" t="s">
        <v>1775</v>
      </c>
      <c r="E26" t="s">
        <v>1786</v>
      </c>
      <c r="F26" s="3">
        <v>228000</v>
      </c>
      <c r="G26" s="2">
        <f t="shared" si="0"/>
        <v>30</v>
      </c>
      <c r="H26" s="2">
        <f t="shared" ca="1" si="1"/>
        <v>2483</v>
      </c>
      <c r="I26" s="4">
        <v>43637</v>
      </c>
      <c r="J26" s="4">
        <v>43667</v>
      </c>
      <c r="K26" t="s">
        <v>1777</v>
      </c>
      <c r="L26" t="s">
        <v>1778</v>
      </c>
      <c r="M26" t="s">
        <v>19</v>
      </c>
      <c r="N26" t="s">
        <v>1787</v>
      </c>
      <c r="O26">
        <v>30</v>
      </c>
    </row>
    <row r="27" spans="1:15" hidden="1" x14ac:dyDescent="0.25">
      <c r="A27" t="s">
        <v>2820</v>
      </c>
      <c r="B27" t="s">
        <v>1784</v>
      </c>
      <c r="C27" t="s">
        <v>1785</v>
      </c>
      <c r="D27" t="s">
        <v>1775</v>
      </c>
      <c r="E27" t="s">
        <v>1788</v>
      </c>
      <c r="F27" s="3">
        <v>132260</v>
      </c>
      <c r="G27" s="2">
        <f t="shared" si="0"/>
        <v>30</v>
      </c>
      <c r="H27" s="2">
        <f t="shared" ca="1" si="1"/>
        <v>2483</v>
      </c>
      <c r="I27" s="4">
        <v>43637</v>
      </c>
      <c r="J27" s="4">
        <v>43667</v>
      </c>
      <c r="K27" t="s">
        <v>1777</v>
      </c>
      <c r="L27" t="s">
        <v>1778</v>
      </c>
      <c r="M27" t="s">
        <v>19</v>
      </c>
      <c r="N27" t="s">
        <v>1787</v>
      </c>
      <c r="O27">
        <v>30</v>
      </c>
    </row>
    <row r="28" spans="1:15" hidden="1" x14ac:dyDescent="0.25">
      <c r="A28" t="s">
        <v>2820</v>
      </c>
      <c r="B28" t="s">
        <v>1802</v>
      </c>
      <c r="C28" t="s">
        <v>1803</v>
      </c>
      <c r="D28" t="s">
        <v>1804</v>
      </c>
      <c r="E28" t="s">
        <v>1805</v>
      </c>
      <c r="F28" s="3">
        <v>1035810</v>
      </c>
      <c r="G28" s="2">
        <f t="shared" si="0"/>
        <v>30</v>
      </c>
      <c r="H28" s="2">
        <f t="shared" ca="1" si="1"/>
        <v>2483</v>
      </c>
      <c r="I28" s="4">
        <v>43637</v>
      </c>
      <c r="J28" s="4">
        <v>43667</v>
      </c>
      <c r="K28" t="s">
        <v>1799</v>
      </c>
      <c r="L28" t="s">
        <v>1778</v>
      </c>
      <c r="M28" t="s">
        <v>19</v>
      </c>
      <c r="N28" t="s">
        <v>1806</v>
      </c>
      <c r="O28">
        <v>30</v>
      </c>
    </row>
    <row r="29" spans="1:15" hidden="1" x14ac:dyDescent="0.25">
      <c r="A29" t="s">
        <v>2820</v>
      </c>
      <c r="B29" t="s">
        <v>1385</v>
      </c>
      <c r="C29" t="s">
        <v>1386</v>
      </c>
      <c r="D29" t="s">
        <v>1323</v>
      </c>
      <c r="E29" t="s">
        <v>1387</v>
      </c>
      <c r="F29" s="3">
        <v>991210</v>
      </c>
      <c r="G29" s="2">
        <f t="shared" si="0"/>
        <v>30</v>
      </c>
      <c r="H29" s="2">
        <f t="shared" ca="1" si="1"/>
        <v>2351</v>
      </c>
      <c r="I29" s="4">
        <v>43769</v>
      </c>
      <c r="J29" s="4">
        <v>43799</v>
      </c>
      <c r="K29" t="s">
        <v>1325</v>
      </c>
      <c r="L29" t="s">
        <v>90</v>
      </c>
      <c r="M29" t="s">
        <v>19</v>
      </c>
      <c r="N29" t="s">
        <v>1388</v>
      </c>
      <c r="O29">
        <v>30</v>
      </c>
    </row>
    <row r="30" spans="1:15" hidden="1" x14ac:dyDescent="0.25">
      <c r="A30" t="s">
        <v>2820</v>
      </c>
      <c r="B30" t="s">
        <v>1385</v>
      </c>
      <c r="C30" t="s">
        <v>1386</v>
      </c>
      <c r="D30" t="s">
        <v>1323</v>
      </c>
      <c r="E30" t="s">
        <v>1389</v>
      </c>
      <c r="F30" s="3">
        <v>2336849</v>
      </c>
      <c r="G30" s="2">
        <f t="shared" si="0"/>
        <v>30</v>
      </c>
      <c r="H30" s="2">
        <f t="shared" ca="1" si="1"/>
        <v>2322</v>
      </c>
      <c r="I30" s="4">
        <v>43798</v>
      </c>
      <c r="J30" s="4">
        <v>43828</v>
      </c>
      <c r="K30" t="s">
        <v>1325</v>
      </c>
      <c r="L30" t="s">
        <v>90</v>
      </c>
      <c r="M30" t="s">
        <v>19</v>
      </c>
      <c r="N30" t="s">
        <v>1388</v>
      </c>
      <c r="O30">
        <v>30</v>
      </c>
    </row>
    <row r="31" spans="1:15" hidden="1" x14ac:dyDescent="0.25">
      <c r="A31" t="s">
        <v>2820</v>
      </c>
      <c r="B31" t="s">
        <v>1385</v>
      </c>
      <c r="C31" t="s">
        <v>1386</v>
      </c>
      <c r="D31" t="s">
        <v>1323</v>
      </c>
      <c r="E31" t="s">
        <v>1390</v>
      </c>
      <c r="F31" s="3">
        <v>1271260</v>
      </c>
      <c r="G31" s="2">
        <f t="shared" si="0"/>
        <v>30</v>
      </c>
      <c r="H31" s="2">
        <f t="shared" ca="1" si="1"/>
        <v>2322</v>
      </c>
      <c r="I31" s="4">
        <v>43798</v>
      </c>
      <c r="J31" s="4">
        <v>43828</v>
      </c>
      <c r="K31" t="s">
        <v>1325</v>
      </c>
      <c r="L31" t="s">
        <v>90</v>
      </c>
      <c r="M31" t="s">
        <v>19</v>
      </c>
      <c r="N31" t="s">
        <v>1388</v>
      </c>
      <c r="O31">
        <v>30</v>
      </c>
    </row>
    <row r="32" spans="1:15" hidden="1" x14ac:dyDescent="0.25">
      <c r="A32" t="s">
        <v>2820</v>
      </c>
      <c r="B32" t="s">
        <v>1075</v>
      </c>
      <c r="C32" t="s">
        <v>1076</v>
      </c>
      <c r="D32" t="s">
        <v>1066</v>
      </c>
      <c r="E32" t="s">
        <v>1077</v>
      </c>
      <c r="F32" s="3">
        <v>70882</v>
      </c>
      <c r="G32" s="2">
        <f t="shared" si="0"/>
        <v>15</v>
      </c>
      <c r="H32" s="2">
        <f t="shared" ca="1" si="1"/>
        <v>2227</v>
      </c>
      <c r="I32" s="4">
        <v>43893</v>
      </c>
      <c r="J32" s="4">
        <v>43908</v>
      </c>
      <c r="K32" t="s">
        <v>1068</v>
      </c>
      <c r="L32" t="s">
        <v>321</v>
      </c>
      <c r="M32" t="s">
        <v>19</v>
      </c>
      <c r="N32" t="s">
        <v>1078</v>
      </c>
      <c r="O32">
        <v>30</v>
      </c>
    </row>
    <row r="33" spans="1:15" hidden="1" x14ac:dyDescent="0.25">
      <c r="A33" t="s">
        <v>2820</v>
      </c>
      <c r="B33" t="s">
        <v>13</v>
      </c>
      <c r="C33" t="s">
        <v>14</v>
      </c>
      <c r="D33" t="s">
        <v>15</v>
      </c>
      <c r="E33" t="s">
        <v>667</v>
      </c>
      <c r="F33" s="3">
        <v>16043822</v>
      </c>
      <c r="G33" s="2">
        <f t="shared" si="0"/>
        <v>30</v>
      </c>
      <c r="H33" s="2">
        <f t="shared" ca="1" si="1"/>
        <v>1856</v>
      </c>
      <c r="I33" s="4">
        <v>44264</v>
      </c>
      <c r="J33" s="4">
        <v>44294</v>
      </c>
      <c r="K33" t="s">
        <v>638</v>
      </c>
      <c r="L33" t="s">
        <v>18</v>
      </c>
      <c r="M33" t="s">
        <v>19</v>
      </c>
      <c r="N33" t="s">
        <v>20</v>
      </c>
      <c r="O33">
        <v>30</v>
      </c>
    </row>
    <row r="34" spans="1:15" hidden="1" x14ac:dyDescent="0.25">
      <c r="A34" t="s">
        <v>2820</v>
      </c>
      <c r="B34" t="s">
        <v>13</v>
      </c>
      <c r="C34" t="s">
        <v>14</v>
      </c>
      <c r="D34" t="s">
        <v>15</v>
      </c>
      <c r="E34" t="s">
        <v>723</v>
      </c>
      <c r="F34" s="3">
        <v>2017830</v>
      </c>
      <c r="G34" s="2">
        <f t="shared" si="0"/>
        <v>30.000347222223354</v>
      </c>
      <c r="H34" s="2">
        <f t="shared" ca="1" si="1"/>
        <v>1856</v>
      </c>
      <c r="I34" s="4">
        <v>44264</v>
      </c>
      <c r="J34" s="4">
        <v>44294.000347222223</v>
      </c>
      <c r="K34" t="s">
        <v>716</v>
      </c>
      <c r="L34" t="s">
        <v>18</v>
      </c>
      <c r="M34" t="s">
        <v>19</v>
      </c>
      <c r="N34" t="s">
        <v>20</v>
      </c>
      <c r="O34">
        <v>30</v>
      </c>
    </row>
    <row r="35" spans="1:15" hidden="1" x14ac:dyDescent="0.25">
      <c r="A35" t="s">
        <v>2820</v>
      </c>
      <c r="B35" t="s">
        <v>13</v>
      </c>
      <c r="C35" t="s">
        <v>14</v>
      </c>
      <c r="D35" t="s">
        <v>15</v>
      </c>
      <c r="E35" t="s">
        <v>767</v>
      </c>
      <c r="F35" s="3">
        <v>194665</v>
      </c>
      <c r="G35" s="2">
        <f t="shared" si="0"/>
        <v>30</v>
      </c>
      <c r="H35" s="2">
        <f t="shared" ca="1" si="1"/>
        <v>1856</v>
      </c>
      <c r="I35" s="4">
        <v>44264</v>
      </c>
      <c r="J35" s="4">
        <v>44294</v>
      </c>
      <c r="K35" t="s">
        <v>766</v>
      </c>
      <c r="L35" t="s">
        <v>18</v>
      </c>
      <c r="M35" t="s">
        <v>19</v>
      </c>
      <c r="N35" t="s">
        <v>20</v>
      </c>
      <c r="O35">
        <v>30</v>
      </c>
    </row>
    <row r="36" spans="1:15" hidden="1" x14ac:dyDescent="0.25">
      <c r="A36" t="s">
        <v>2820</v>
      </c>
      <c r="B36" t="s">
        <v>13</v>
      </c>
      <c r="C36" t="s">
        <v>14</v>
      </c>
      <c r="D36" t="s">
        <v>15</v>
      </c>
      <c r="E36" t="s">
        <v>768</v>
      </c>
      <c r="F36" s="3">
        <v>2297695</v>
      </c>
      <c r="G36" s="2">
        <f t="shared" si="0"/>
        <v>30</v>
      </c>
      <c r="H36" s="2">
        <f t="shared" ca="1" si="1"/>
        <v>1856</v>
      </c>
      <c r="I36" s="4">
        <v>44264</v>
      </c>
      <c r="J36" s="4">
        <v>44294</v>
      </c>
      <c r="K36" t="s">
        <v>766</v>
      </c>
      <c r="L36" t="s">
        <v>18</v>
      </c>
      <c r="M36" t="s">
        <v>19</v>
      </c>
      <c r="N36" t="s">
        <v>20</v>
      </c>
      <c r="O36">
        <v>30</v>
      </c>
    </row>
    <row r="37" spans="1:15" hidden="1" x14ac:dyDescent="0.25">
      <c r="A37" t="s">
        <v>2820</v>
      </c>
      <c r="B37" t="s">
        <v>13</v>
      </c>
      <c r="C37" t="s">
        <v>14</v>
      </c>
      <c r="D37" t="s">
        <v>15</v>
      </c>
      <c r="E37" t="s">
        <v>1003</v>
      </c>
      <c r="F37" s="3">
        <v>6511691</v>
      </c>
      <c r="G37" s="2">
        <f t="shared" si="0"/>
        <v>30</v>
      </c>
      <c r="H37" s="2">
        <f t="shared" ca="1" si="1"/>
        <v>1854</v>
      </c>
      <c r="I37" s="4">
        <v>44266</v>
      </c>
      <c r="J37" s="4">
        <v>44296</v>
      </c>
      <c r="K37" t="s">
        <v>989</v>
      </c>
      <c r="L37" t="s">
        <v>18</v>
      </c>
      <c r="M37" t="s">
        <v>19</v>
      </c>
      <c r="N37" t="s">
        <v>20</v>
      </c>
      <c r="O37">
        <v>30</v>
      </c>
    </row>
    <row r="38" spans="1:15" hidden="1" x14ac:dyDescent="0.25">
      <c r="A38" t="s">
        <v>2820</v>
      </c>
      <c r="B38" t="s">
        <v>13</v>
      </c>
      <c r="C38" t="s">
        <v>14</v>
      </c>
      <c r="D38" t="s">
        <v>15</v>
      </c>
      <c r="E38" t="s">
        <v>668</v>
      </c>
      <c r="F38" s="3">
        <v>185983</v>
      </c>
      <c r="G38" s="2">
        <f t="shared" si="0"/>
        <v>30.000347222223354</v>
      </c>
      <c r="H38" s="2">
        <f t="shared" ca="1" si="1"/>
        <v>1852</v>
      </c>
      <c r="I38" s="4">
        <v>44268</v>
      </c>
      <c r="J38" s="4">
        <v>44298.000347222223</v>
      </c>
      <c r="K38" t="s">
        <v>638</v>
      </c>
      <c r="L38" t="s">
        <v>47</v>
      </c>
      <c r="M38" t="s">
        <v>19</v>
      </c>
      <c r="N38" t="s">
        <v>20</v>
      </c>
      <c r="O38">
        <v>30</v>
      </c>
    </row>
    <row r="39" spans="1:15" hidden="1" x14ac:dyDescent="0.25">
      <c r="A39" t="s">
        <v>2820</v>
      </c>
      <c r="B39" t="s">
        <v>13</v>
      </c>
      <c r="C39" t="s">
        <v>14</v>
      </c>
      <c r="D39" t="s">
        <v>15</v>
      </c>
      <c r="E39" t="s">
        <v>392</v>
      </c>
      <c r="F39" s="3">
        <v>2582646</v>
      </c>
      <c r="G39" s="2">
        <f t="shared" si="0"/>
        <v>30</v>
      </c>
      <c r="H39" s="2">
        <f t="shared" ca="1" si="1"/>
        <v>1849</v>
      </c>
      <c r="I39" s="4">
        <v>44271</v>
      </c>
      <c r="J39" s="4">
        <v>44301</v>
      </c>
      <c r="K39" t="s">
        <v>343</v>
      </c>
      <c r="L39" t="s">
        <v>18</v>
      </c>
      <c r="M39" t="s">
        <v>19</v>
      </c>
      <c r="N39" t="s">
        <v>20</v>
      </c>
      <c r="O39">
        <v>30</v>
      </c>
    </row>
    <row r="40" spans="1:15" hidden="1" x14ac:dyDescent="0.25">
      <c r="A40" t="s">
        <v>2820</v>
      </c>
      <c r="B40" t="s">
        <v>13</v>
      </c>
      <c r="C40" t="s">
        <v>14</v>
      </c>
      <c r="D40" t="s">
        <v>15</v>
      </c>
      <c r="E40" t="s">
        <v>393</v>
      </c>
      <c r="F40" s="3">
        <v>3368689</v>
      </c>
      <c r="G40" s="2">
        <f t="shared" si="0"/>
        <v>30</v>
      </c>
      <c r="H40" s="2">
        <f t="shared" ca="1" si="1"/>
        <v>1849</v>
      </c>
      <c r="I40" s="4">
        <v>44271</v>
      </c>
      <c r="J40" s="4">
        <v>44301</v>
      </c>
      <c r="K40" t="s">
        <v>343</v>
      </c>
      <c r="L40" t="s">
        <v>18</v>
      </c>
      <c r="M40" t="s">
        <v>19</v>
      </c>
      <c r="N40" t="s">
        <v>20</v>
      </c>
      <c r="O40">
        <v>30</v>
      </c>
    </row>
    <row r="41" spans="1:15" hidden="1" x14ac:dyDescent="0.25">
      <c r="A41" t="s">
        <v>2820</v>
      </c>
      <c r="B41" t="s">
        <v>13</v>
      </c>
      <c r="C41" t="s">
        <v>14</v>
      </c>
      <c r="D41" t="s">
        <v>15</v>
      </c>
      <c r="E41" t="s">
        <v>669</v>
      </c>
      <c r="F41" s="3">
        <v>31434480</v>
      </c>
      <c r="G41" s="2">
        <f t="shared" si="0"/>
        <v>30</v>
      </c>
      <c r="H41" s="2">
        <f t="shared" ca="1" si="1"/>
        <v>1841</v>
      </c>
      <c r="I41" s="4">
        <v>44279</v>
      </c>
      <c r="J41" s="4">
        <v>44309</v>
      </c>
      <c r="K41" t="s">
        <v>638</v>
      </c>
      <c r="L41" t="s">
        <v>18</v>
      </c>
      <c r="M41" t="s">
        <v>19</v>
      </c>
      <c r="N41" t="s">
        <v>20</v>
      </c>
      <c r="O41">
        <v>30</v>
      </c>
    </row>
    <row r="42" spans="1:15" hidden="1" x14ac:dyDescent="0.25">
      <c r="A42" t="s">
        <v>2820</v>
      </c>
      <c r="B42" t="s">
        <v>13</v>
      </c>
      <c r="C42" t="s">
        <v>14</v>
      </c>
      <c r="D42" t="s">
        <v>15</v>
      </c>
      <c r="E42" t="s">
        <v>670</v>
      </c>
      <c r="F42" s="3">
        <v>13312910</v>
      </c>
      <c r="G42" s="2">
        <f t="shared" si="0"/>
        <v>30</v>
      </c>
      <c r="H42" s="2">
        <f t="shared" ca="1" si="1"/>
        <v>1841</v>
      </c>
      <c r="I42" s="4">
        <v>44279</v>
      </c>
      <c r="J42" s="4">
        <v>44309</v>
      </c>
      <c r="K42" t="s">
        <v>638</v>
      </c>
      <c r="L42" t="s">
        <v>18</v>
      </c>
      <c r="M42" t="s">
        <v>19</v>
      </c>
      <c r="N42" t="s">
        <v>20</v>
      </c>
      <c r="O42">
        <v>30</v>
      </c>
    </row>
    <row r="43" spans="1:15" hidden="1" x14ac:dyDescent="0.25">
      <c r="A43" t="s">
        <v>2820</v>
      </c>
      <c r="B43" t="s">
        <v>13</v>
      </c>
      <c r="C43" t="s">
        <v>14</v>
      </c>
      <c r="D43" t="s">
        <v>15</v>
      </c>
      <c r="E43" t="s">
        <v>671</v>
      </c>
      <c r="F43" s="3">
        <v>4130957</v>
      </c>
      <c r="G43" s="2">
        <f t="shared" si="0"/>
        <v>30</v>
      </c>
      <c r="H43" s="2">
        <f t="shared" ca="1" si="1"/>
        <v>1841</v>
      </c>
      <c r="I43" s="4">
        <v>44279</v>
      </c>
      <c r="J43" s="4">
        <v>44309</v>
      </c>
      <c r="K43" t="s">
        <v>638</v>
      </c>
      <c r="L43" t="s">
        <v>18</v>
      </c>
      <c r="M43" t="s">
        <v>19</v>
      </c>
      <c r="N43" t="s">
        <v>20</v>
      </c>
      <c r="O43">
        <v>30</v>
      </c>
    </row>
    <row r="44" spans="1:15" hidden="1" x14ac:dyDescent="0.25">
      <c r="A44" t="s">
        <v>2820</v>
      </c>
      <c r="B44" t="s">
        <v>13</v>
      </c>
      <c r="C44" t="s">
        <v>14</v>
      </c>
      <c r="D44" t="s">
        <v>15</v>
      </c>
      <c r="E44" t="s">
        <v>724</v>
      </c>
      <c r="F44" s="3">
        <v>36866</v>
      </c>
      <c r="G44" s="2">
        <f t="shared" si="0"/>
        <v>30</v>
      </c>
      <c r="H44" s="2">
        <f t="shared" ca="1" si="1"/>
        <v>1841</v>
      </c>
      <c r="I44" s="4">
        <v>44279</v>
      </c>
      <c r="J44" s="4">
        <v>44309</v>
      </c>
      <c r="K44" t="s">
        <v>716</v>
      </c>
      <c r="L44" t="s">
        <v>18</v>
      </c>
      <c r="M44" t="s">
        <v>19</v>
      </c>
      <c r="N44" t="s">
        <v>20</v>
      </c>
      <c r="O44">
        <v>30</v>
      </c>
    </row>
    <row r="45" spans="1:15" hidden="1" x14ac:dyDescent="0.25">
      <c r="A45" t="s">
        <v>2820</v>
      </c>
      <c r="B45" t="s">
        <v>13</v>
      </c>
      <c r="C45" t="s">
        <v>14</v>
      </c>
      <c r="D45" t="s">
        <v>15</v>
      </c>
      <c r="E45" t="s">
        <v>769</v>
      </c>
      <c r="F45" s="3">
        <v>2351143</v>
      </c>
      <c r="G45" s="2">
        <f t="shared" si="0"/>
        <v>30</v>
      </c>
      <c r="H45" s="2">
        <f t="shared" ca="1" si="1"/>
        <v>1841</v>
      </c>
      <c r="I45" s="4">
        <v>44279</v>
      </c>
      <c r="J45" s="4">
        <v>44309</v>
      </c>
      <c r="K45" t="s">
        <v>766</v>
      </c>
      <c r="L45" t="s">
        <v>18</v>
      </c>
      <c r="M45" t="s">
        <v>19</v>
      </c>
      <c r="N45" t="s">
        <v>20</v>
      </c>
      <c r="O45">
        <v>30</v>
      </c>
    </row>
    <row r="46" spans="1:15" hidden="1" x14ac:dyDescent="0.25">
      <c r="A46" t="s">
        <v>2820</v>
      </c>
      <c r="B46" t="s">
        <v>13</v>
      </c>
      <c r="C46" t="s">
        <v>14</v>
      </c>
      <c r="D46" t="s">
        <v>15</v>
      </c>
      <c r="E46" t="s">
        <v>394</v>
      </c>
      <c r="F46" s="3">
        <v>25080000</v>
      </c>
      <c r="G46" s="2">
        <f t="shared" si="0"/>
        <v>30</v>
      </c>
      <c r="H46" s="2">
        <f t="shared" ca="1" si="1"/>
        <v>1839</v>
      </c>
      <c r="I46" s="4">
        <v>44281</v>
      </c>
      <c r="J46" s="4">
        <v>44311</v>
      </c>
      <c r="K46" t="s">
        <v>343</v>
      </c>
      <c r="L46" t="s">
        <v>18</v>
      </c>
      <c r="M46" t="s">
        <v>19</v>
      </c>
      <c r="N46" t="s">
        <v>20</v>
      </c>
      <c r="O46">
        <v>30</v>
      </c>
    </row>
    <row r="47" spans="1:15" hidden="1" x14ac:dyDescent="0.25">
      <c r="A47" t="s">
        <v>2820</v>
      </c>
      <c r="B47" t="s">
        <v>13</v>
      </c>
      <c r="C47" t="s">
        <v>14</v>
      </c>
      <c r="D47" t="s">
        <v>15</v>
      </c>
      <c r="E47" t="s">
        <v>395</v>
      </c>
      <c r="F47" s="3">
        <v>2260613</v>
      </c>
      <c r="G47" s="2">
        <f t="shared" si="0"/>
        <v>30</v>
      </c>
      <c r="H47" s="2">
        <f t="shared" ca="1" si="1"/>
        <v>1835</v>
      </c>
      <c r="I47" s="4">
        <v>44285</v>
      </c>
      <c r="J47" s="4">
        <v>44315</v>
      </c>
      <c r="K47" t="s">
        <v>343</v>
      </c>
      <c r="L47" t="s">
        <v>18</v>
      </c>
      <c r="M47" t="s">
        <v>19</v>
      </c>
      <c r="N47" t="s">
        <v>20</v>
      </c>
      <c r="O47">
        <v>30</v>
      </c>
    </row>
    <row r="48" spans="1:15" hidden="1" x14ac:dyDescent="0.25">
      <c r="A48" t="s">
        <v>2820</v>
      </c>
      <c r="B48" t="s">
        <v>13</v>
      </c>
      <c r="C48" t="s">
        <v>14</v>
      </c>
      <c r="D48" t="s">
        <v>15</v>
      </c>
      <c r="E48" t="s">
        <v>396</v>
      </c>
      <c r="F48" s="3">
        <v>4676067</v>
      </c>
      <c r="G48" s="2">
        <f t="shared" si="0"/>
        <v>30</v>
      </c>
      <c r="H48" s="2">
        <f t="shared" ca="1" si="1"/>
        <v>1835</v>
      </c>
      <c r="I48" s="4">
        <v>44285</v>
      </c>
      <c r="J48" s="4">
        <v>44315</v>
      </c>
      <c r="K48" t="s">
        <v>343</v>
      </c>
      <c r="L48" t="s">
        <v>18</v>
      </c>
      <c r="M48" t="s">
        <v>19</v>
      </c>
      <c r="N48" t="s">
        <v>20</v>
      </c>
      <c r="O48">
        <v>30</v>
      </c>
    </row>
    <row r="49" spans="1:15" hidden="1" x14ac:dyDescent="0.25">
      <c r="A49" t="s">
        <v>2820</v>
      </c>
      <c r="B49" t="s">
        <v>13</v>
      </c>
      <c r="C49" t="s">
        <v>14</v>
      </c>
      <c r="D49" t="s">
        <v>15</v>
      </c>
      <c r="E49" t="s">
        <v>397</v>
      </c>
      <c r="F49" s="3">
        <v>1156935</v>
      </c>
      <c r="G49" s="2">
        <f t="shared" si="0"/>
        <v>30</v>
      </c>
      <c r="H49" s="2">
        <f t="shared" ca="1" si="1"/>
        <v>1835</v>
      </c>
      <c r="I49" s="4">
        <v>44285</v>
      </c>
      <c r="J49" s="4">
        <v>44315</v>
      </c>
      <c r="K49" t="s">
        <v>343</v>
      </c>
      <c r="L49" t="s">
        <v>18</v>
      </c>
      <c r="M49" t="s">
        <v>19</v>
      </c>
      <c r="N49" t="s">
        <v>20</v>
      </c>
      <c r="O49">
        <v>30</v>
      </c>
    </row>
    <row r="50" spans="1:15" hidden="1" x14ac:dyDescent="0.25">
      <c r="A50" t="s">
        <v>2820</v>
      </c>
      <c r="B50" t="s">
        <v>13</v>
      </c>
      <c r="C50" t="s">
        <v>14</v>
      </c>
      <c r="D50" t="s">
        <v>15</v>
      </c>
      <c r="E50" t="s">
        <v>672</v>
      </c>
      <c r="F50" s="3">
        <v>7592277</v>
      </c>
      <c r="G50" s="2">
        <f t="shared" si="0"/>
        <v>30</v>
      </c>
      <c r="H50" s="2">
        <f t="shared" ca="1" si="1"/>
        <v>1828</v>
      </c>
      <c r="I50" s="4">
        <v>44292</v>
      </c>
      <c r="J50" s="4">
        <v>44322</v>
      </c>
      <c r="K50" t="s">
        <v>638</v>
      </c>
      <c r="L50" t="s">
        <v>18</v>
      </c>
      <c r="M50" t="s">
        <v>19</v>
      </c>
      <c r="N50" t="s">
        <v>20</v>
      </c>
      <c r="O50">
        <v>30</v>
      </c>
    </row>
    <row r="51" spans="1:15" hidden="1" x14ac:dyDescent="0.25">
      <c r="A51" t="s">
        <v>2820</v>
      </c>
      <c r="B51" t="s">
        <v>13</v>
      </c>
      <c r="C51" t="s">
        <v>14</v>
      </c>
      <c r="D51" t="s">
        <v>15</v>
      </c>
      <c r="E51" t="s">
        <v>725</v>
      </c>
      <c r="F51" s="3">
        <v>2066286</v>
      </c>
      <c r="G51" s="2">
        <f t="shared" si="0"/>
        <v>30</v>
      </c>
      <c r="H51" s="2">
        <f t="shared" ca="1" si="1"/>
        <v>1828</v>
      </c>
      <c r="I51" s="4">
        <v>44292</v>
      </c>
      <c r="J51" s="4">
        <v>44322</v>
      </c>
      <c r="K51" t="s">
        <v>716</v>
      </c>
      <c r="L51" t="s">
        <v>18</v>
      </c>
      <c r="M51" t="s">
        <v>19</v>
      </c>
      <c r="N51" t="s">
        <v>20</v>
      </c>
      <c r="O51">
        <v>30</v>
      </c>
    </row>
    <row r="52" spans="1:15" hidden="1" x14ac:dyDescent="0.25">
      <c r="A52" t="s">
        <v>2820</v>
      </c>
      <c r="B52" t="s">
        <v>13</v>
      </c>
      <c r="C52" t="s">
        <v>14</v>
      </c>
      <c r="D52" t="s">
        <v>15</v>
      </c>
      <c r="E52" t="s">
        <v>770</v>
      </c>
      <c r="F52" s="3">
        <v>3102049</v>
      </c>
      <c r="G52" s="2">
        <f t="shared" si="0"/>
        <v>30</v>
      </c>
      <c r="H52" s="2">
        <f t="shared" ca="1" si="1"/>
        <v>1828</v>
      </c>
      <c r="I52" s="4">
        <v>44292</v>
      </c>
      <c r="J52" s="4">
        <v>44322</v>
      </c>
      <c r="K52" t="s">
        <v>766</v>
      </c>
      <c r="L52" t="s">
        <v>18</v>
      </c>
      <c r="M52" t="s">
        <v>19</v>
      </c>
      <c r="N52" t="s">
        <v>20</v>
      </c>
      <c r="O52">
        <v>30</v>
      </c>
    </row>
    <row r="53" spans="1:15" hidden="1" x14ac:dyDescent="0.25">
      <c r="A53" t="s">
        <v>2820</v>
      </c>
      <c r="B53" t="s">
        <v>13</v>
      </c>
      <c r="C53" t="s">
        <v>14</v>
      </c>
      <c r="D53" t="s">
        <v>15</v>
      </c>
      <c r="E53" t="s">
        <v>771</v>
      </c>
      <c r="F53" s="3">
        <v>475675</v>
      </c>
      <c r="G53" s="2">
        <f t="shared" si="0"/>
        <v>30</v>
      </c>
      <c r="H53" s="2">
        <f t="shared" ca="1" si="1"/>
        <v>1828</v>
      </c>
      <c r="I53" s="4">
        <v>44292</v>
      </c>
      <c r="J53" s="4">
        <v>44322</v>
      </c>
      <c r="K53" t="s">
        <v>766</v>
      </c>
      <c r="L53" t="s">
        <v>18</v>
      </c>
      <c r="M53" t="s">
        <v>19</v>
      </c>
      <c r="N53" t="s">
        <v>20</v>
      </c>
      <c r="O53">
        <v>30</v>
      </c>
    </row>
    <row r="54" spans="1:15" hidden="1" x14ac:dyDescent="0.25">
      <c r="A54" t="s">
        <v>2820</v>
      </c>
      <c r="B54" t="s">
        <v>13</v>
      </c>
      <c r="C54" t="s">
        <v>14</v>
      </c>
      <c r="D54" t="s">
        <v>15</v>
      </c>
      <c r="E54" t="s">
        <v>1004</v>
      </c>
      <c r="F54" s="3">
        <v>7141014</v>
      </c>
      <c r="G54" s="2">
        <f t="shared" si="0"/>
        <v>30</v>
      </c>
      <c r="H54" s="2">
        <f t="shared" ca="1" si="1"/>
        <v>1826</v>
      </c>
      <c r="I54" s="4">
        <v>44294</v>
      </c>
      <c r="J54" s="4">
        <v>44324</v>
      </c>
      <c r="K54" t="s">
        <v>989</v>
      </c>
      <c r="L54" t="s">
        <v>18</v>
      </c>
      <c r="M54" t="s">
        <v>19</v>
      </c>
      <c r="N54" t="s">
        <v>20</v>
      </c>
      <c r="O54">
        <v>30</v>
      </c>
    </row>
    <row r="55" spans="1:15" hidden="1" x14ac:dyDescent="0.25">
      <c r="A55" t="s">
        <v>2820</v>
      </c>
      <c r="B55" t="s">
        <v>13</v>
      </c>
      <c r="C55" t="s">
        <v>14</v>
      </c>
      <c r="D55" t="s">
        <v>15</v>
      </c>
      <c r="E55" t="s">
        <v>398</v>
      </c>
      <c r="F55" s="3">
        <v>3706728</v>
      </c>
      <c r="G55" s="2">
        <f t="shared" si="0"/>
        <v>30</v>
      </c>
      <c r="H55" s="2">
        <f t="shared" ca="1" si="1"/>
        <v>1821</v>
      </c>
      <c r="I55" s="4">
        <v>44299</v>
      </c>
      <c r="J55" s="4">
        <v>44329</v>
      </c>
      <c r="K55" t="s">
        <v>343</v>
      </c>
      <c r="L55" t="s">
        <v>18</v>
      </c>
      <c r="M55" t="s">
        <v>19</v>
      </c>
      <c r="N55" t="s">
        <v>20</v>
      </c>
      <c r="O55">
        <v>30</v>
      </c>
    </row>
    <row r="56" spans="1:15" hidden="1" x14ac:dyDescent="0.25">
      <c r="A56" t="s">
        <v>2820</v>
      </c>
      <c r="B56" t="s">
        <v>13</v>
      </c>
      <c r="C56" t="s">
        <v>14</v>
      </c>
      <c r="D56" t="s">
        <v>15</v>
      </c>
      <c r="E56" t="s">
        <v>399</v>
      </c>
      <c r="F56" s="3">
        <v>2310861</v>
      </c>
      <c r="G56" s="2">
        <f t="shared" si="0"/>
        <v>30</v>
      </c>
      <c r="H56" s="2">
        <f t="shared" ca="1" si="1"/>
        <v>1821</v>
      </c>
      <c r="I56" s="4">
        <v>44299</v>
      </c>
      <c r="J56" s="4">
        <v>44329</v>
      </c>
      <c r="K56" t="s">
        <v>343</v>
      </c>
      <c r="L56" t="s">
        <v>18</v>
      </c>
      <c r="M56" t="s">
        <v>19</v>
      </c>
      <c r="N56" t="s">
        <v>20</v>
      </c>
      <c r="O56">
        <v>30</v>
      </c>
    </row>
    <row r="57" spans="1:15" hidden="1" x14ac:dyDescent="0.25">
      <c r="A57" t="s">
        <v>2820</v>
      </c>
      <c r="B57" t="s">
        <v>13</v>
      </c>
      <c r="C57" t="s">
        <v>14</v>
      </c>
      <c r="D57" t="s">
        <v>15</v>
      </c>
      <c r="E57" t="s">
        <v>400</v>
      </c>
      <c r="F57" s="3">
        <v>5832225</v>
      </c>
      <c r="G57" s="2">
        <f t="shared" si="0"/>
        <v>30</v>
      </c>
      <c r="H57" s="2">
        <f t="shared" ca="1" si="1"/>
        <v>1821</v>
      </c>
      <c r="I57" s="4">
        <v>44299</v>
      </c>
      <c r="J57" s="4">
        <v>44329</v>
      </c>
      <c r="K57" t="s">
        <v>343</v>
      </c>
      <c r="L57" t="s">
        <v>18</v>
      </c>
      <c r="M57" t="s">
        <v>19</v>
      </c>
      <c r="N57" t="s">
        <v>20</v>
      </c>
      <c r="O57">
        <v>30</v>
      </c>
    </row>
    <row r="58" spans="1:15" hidden="1" x14ac:dyDescent="0.25">
      <c r="A58" t="s">
        <v>2820</v>
      </c>
      <c r="B58" t="s">
        <v>13</v>
      </c>
      <c r="C58" t="s">
        <v>14</v>
      </c>
      <c r="D58" t="s">
        <v>15</v>
      </c>
      <c r="E58" t="s">
        <v>401</v>
      </c>
      <c r="F58" s="3">
        <v>112500</v>
      </c>
      <c r="G58" s="2">
        <f t="shared" si="0"/>
        <v>30</v>
      </c>
      <c r="H58" s="2">
        <f t="shared" ca="1" si="1"/>
        <v>1818</v>
      </c>
      <c r="I58" s="4">
        <v>44302</v>
      </c>
      <c r="J58" s="4">
        <v>44332</v>
      </c>
      <c r="K58" t="s">
        <v>343</v>
      </c>
      <c r="L58" t="s">
        <v>18</v>
      </c>
      <c r="M58" t="s">
        <v>19</v>
      </c>
      <c r="N58" t="s">
        <v>20</v>
      </c>
      <c r="O58">
        <v>30</v>
      </c>
    </row>
    <row r="59" spans="1:15" hidden="1" x14ac:dyDescent="0.25">
      <c r="A59" t="s">
        <v>2820</v>
      </c>
      <c r="B59" t="s">
        <v>13</v>
      </c>
      <c r="C59" t="s">
        <v>14</v>
      </c>
      <c r="D59" t="s">
        <v>15</v>
      </c>
      <c r="E59" t="s">
        <v>673</v>
      </c>
      <c r="F59" s="3">
        <v>1810666</v>
      </c>
      <c r="G59" s="2">
        <f t="shared" si="0"/>
        <v>30</v>
      </c>
      <c r="H59" s="2">
        <f t="shared" ca="1" si="1"/>
        <v>1814</v>
      </c>
      <c r="I59" s="4">
        <v>44306</v>
      </c>
      <c r="J59" s="4">
        <v>44336</v>
      </c>
      <c r="K59" t="s">
        <v>638</v>
      </c>
      <c r="L59" t="s">
        <v>18</v>
      </c>
      <c r="M59" t="s">
        <v>19</v>
      </c>
      <c r="N59" t="s">
        <v>20</v>
      </c>
      <c r="O59">
        <v>30</v>
      </c>
    </row>
    <row r="60" spans="1:15" hidden="1" x14ac:dyDescent="0.25">
      <c r="A60" t="s">
        <v>2820</v>
      </c>
      <c r="B60" t="s">
        <v>13</v>
      </c>
      <c r="C60" t="s">
        <v>14</v>
      </c>
      <c r="D60" t="s">
        <v>15</v>
      </c>
      <c r="E60" t="s">
        <v>772</v>
      </c>
      <c r="F60" s="3">
        <v>2137118</v>
      </c>
      <c r="G60" s="2">
        <f t="shared" si="0"/>
        <v>30</v>
      </c>
      <c r="H60" s="2">
        <f t="shared" ca="1" si="1"/>
        <v>1814</v>
      </c>
      <c r="I60" s="4">
        <v>44306</v>
      </c>
      <c r="J60" s="4">
        <v>44336</v>
      </c>
      <c r="K60" t="s">
        <v>766</v>
      </c>
      <c r="L60" t="s">
        <v>18</v>
      </c>
      <c r="M60" t="s">
        <v>19</v>
      </c>
      <c r="N60" t="s">
        <v>20</v>
      </c>
      <c r="O60">
        <v>30</v>
      </c>
    </row>
    <row r="61" spans="1:15" hidden="1" x14ac:dyDescent="0.25">
      <c r="A61" t="s">
        <v>2820</v>
      </c>
      <c r="B61" t="s">
        <v>13</v>
      </c>
      <c r="C61" t="s">
        <v>14</v>
      </c>
      <c r="D61" t="s">
        <v>15</v>
      </c>
      <c r="E61" t="s">
        <v>773</v>
      </c>
      <c r="F61" s="3">
        <v>594650</v>
      </c>
      <c r="G61" s="2">
        <f t="shared" si="0"/>
        <v>30</v>
      </c>
      <c r="H61" s="2">
        <f t="shared" ca="1" si="1"/>
        <v>1814</v>
      </c>
      <c r="I61" s="4">
        <v>44306</v>
      </c>
      <c r="J61" s="4">
        <v>44336</v>
      </c>
      <c r="K61" t="s">
        <v>766</v>
      </c>
      <c r="L61" t="s">
        <v>18</v>
      </c>
      <c r="M61" t="s">
        <v>19</v>
      </c>
      <c r="N61" t="s">
        <v>20</v>
      </c>
      <c r="O61">
        <v>30</v>
      </c>
    </row>
    <row r="62" spans="1:15" hidden="1" x14ac:dyDescent="0.25">
      <c r="A62" t="s">
        <v>2820</v>
      </c>
      <c r="B62" t="s">
        <v>13</v>
      </c>
      <c r="C62" t="s">
        <v>14</v>
      </c>
      <c r="D62" t="s">
        <v>15</v>
      </c>
      <c r="E62" t="s">
        <v>674</v>
      </c>
      <c r="F62" s="3">
        <v>10427367</v>
      </c>
      <c r="G62" s="2">
        <f t="shared" si="0"/>
        <v>30</v>
      </c>
      <c r="H62" s="2">
        <f t="shared" ca="1" si="1"/>
        <v>1813</v>
      </c>
      <c r="I62" s="4">
        <v>44307</v>
      </c>
      <c r="J62" s="4">
        <v>44337</v>
      </c>
      <c r="K62" t="s">
        <v>638</v>
      </c>
      <c r="L62" t="s">
        <v>18</v>
      </c>
      <c r="M62" t="s">
        <v>19</v>
      </c>
      <c r="N62" t="s">
        <v>20</v>
      </c>
      <c r="O62">
        <v>30</v>
      </c>
    </row>
    <row r="63" spans="1:15" hidden="1" x14ac:dyDescent="0.25">
      <c r="A63" t="s">
        <v>2820</v>
      </c>
      <c r="B63" t="s">
        <v>13</v>
      </c>
      <c r="C63" t="s">
        <v>14</v>
      </c>
      <c r="D63" t="s">
        <v>15</v>
      </c>
      <c r="E63" t="s">
        <v>675</v>
      </c>
      <c r="F63" s="3">
        <v>394685</v>
      </c>
      <c r="G63" s="2">
        <f t="shared" si="0"/>
        <v>30</v>
      </c>
      <c r="H63" s="2">
        <f t="shared" ca="1" si="1"/>
        <v>1813</v>
      </c>
      <c r="I63" s="4">
        <v>44307</v>
      </c>
      <c r="J63" s="4">
        <v>44337</v>
      </c>
      <c r="K63" t="s">
        <v>638</v>
      </c>
      <c r="L63" t="s">
        <v>18</v>
      </c>
      <c r="M63" t="s">
        <v>19</v>
      </c>
      <c r="N63" t="s">
        <v>20</v>
      </c>
      <c r="O63">
        <v>30</v>
      </c>
    </row>
    <row r="64" spans="1:15" hidden="1" x14ac:dyDescent="0.25">
      <c r="A64" t="s">
        <v>2820</v>
      </c>
      <c r="B64" t="s">
        <v>13</v>
      </c>
      <c r="C64" t="s">
        <v>14</v>
      </c>
      <c r="D64" t="s">
        <v>15</v>
      </c>
      <c r="E64" t="s">
        <v>1005</v>
      </c>
      <c r="F64" s="3">
        <v>6180376</v>
      </c>
      <c r="G64" s="2">
        <f t="shared" si="0"/>
        <v>30</v>
      </c>
      <c r="H64" s="2">
        <f t="shared" ca="1" si="1"/>
        <v>1812</v>
      </c>
      <c r="I64" s="4">
        <v>44308</v>
      </c>
      <c r="J64" s="4">
        <v>44338</v>
      </c>
      <c r="K64" t="s">
        <v>989</v>
      </c>
      <c r="L64" t="s">
        <v>18</v>
      </c>
      <c r="M64" t="s">
        <v>19</v>
      </c>
      <c r="N64" t="s">
        <v>20</v>
      </c>
      <c r="O64">
        <v>30</v>
      </c>
    </row>
    <row r="65" spans="1:15" hidden="1" x14ac:dyDescent="0.25">
      <c r="A65" t="s">
        <v>2820</v>
      </c>
      <c r="B65" t="s">
        <v>1661</v>
      </c>
      <c r="C65" t="s">
        <v>1662</v>
      </c>
      <c r="D65" t="s">
        <v>1587</v>
      </c>
      <c r="E65" t="s">
        <v>1686</v>
      </c>
      <c r="F65" s="3">
        <v>38646651</v>
      </c>
      <c r="G65" s="2">
        <f t="shared" si="0"/>
        <v>30</v>
      </c>
      <c r="H65" s="2">
        <f t="shared" ca="1" si="1"/>
        <v>1812</v>
      </c>
      <c r="I65" s="4">
        <v>44308</v>
      </c>
      <c r="J65" s="4">
        <v>44338</v>
      </c>
      <c r="K65" t="s">
        <v>1589</v>
      </c>
      <c r="L65" t="s">
        <v>90</v>
      </c>
      <c r="M65" t="s">
        <v>19</v>
      </c>
      <c r="N65" t="s">
        <v>1663</v>
      </c>
      <c r="O65">
        <v>1</v>
      </c>
    </row>
    <row r="66" spans="1:15" hidden="1" x14ac:dyDescent="0.25">
      <c r="A66" t="s">
        <v>2820</v>
      </c>
      <c r="B66" t="s">
        <v>13</v>
      </c>
      <c r="C66" t="s">
        <v>14</v>
      </c>
      <c r="D66" t="s">
        <v>15</v>
      </c>
      <c r="E66" t="s">
        <v>402</v>
      </c>
      <c r="F66" s="3">
        <v>1888591</v>
      </c>
      <c r="G66" s="2">
        <f t="shared" ref="G66:G129" si="2">+J66-I66</f>
        <v>30</v>
      </c>
      <c r="H66" s="2">
        <f t="shared" ref="H66:H129" ca="1" si="3">+TODAY()-I66</f>
        <v>1807</v>
      </c>
      <c r="I66" s="4">
        <v>44313</v>
      </c>
      <c r="J66" s="4">
        <v>44343</v>
      </c>
      <c r="K66" t="s">
        <v>343</v>
      </c>
      <c r="L66" t="s">
        <v>18</v>
      </c>
      <c r="M66" t="s">
        <v>19</v>
      </c>
      <c r="N66" t="s">
        <v>20</v>
      </c>
      <c r="O66">
        <v>30</v>
      </c>
    </row>
    <row r="67" spans="1:15" hidden="1" x14ac:dyDescent="0.25">
      <c r="A67" t="s">
        <v>2820</v>
      </c>
      <c r="B67" t="s">
        <v>13</v>
      </c>
      <c r="C67" t="s">
        <v>14</v>
      </c>
      <c r="D67" t="s">
        <v>15</v>
      </c>
      <c r="E67" t="s">
        <v>403</v>
      </c>
      <c r="F67" s="3">
        <v>5106846</v>
      </c>
      <c r="G67" s="2">
        <f t="shared" si="2"/>
        <v>30</v>
      </c>
      <c r="H67" s="2">
        <f t="shared" ca="1" si="3"/>
        <v>1807</v>
      </c>
      <c r="I67" s="4">
        <v>44313</v>
      </c>
      <c r="J67" s="4">
        <v>44343</v>
      </c>
      <c r="K67" t="s">
        <v>343</v>
      </c>
      <c r="L67" t="s">
        <v>18</v>
      </c>
      <c r="M67" t="s">
        <v>19</v>
      </c>
      <c r="N67" t="s">
        <v>20</v>
      </c>
      <c r="O67">
        <v>30</v>
      </c>
    </row>
    <row r="68" spans="1:15" hidden="1" x14ac:dyDescent="0.25">
      <c r="A68" t="s">
        <v>2820</v>
      </c>
      <c r="B68" t="s">
        <v>13</v>
      </c>
      <c r="C68" t="s">
        <v>14</v>
      </c>
      <c r="D68" t="s">
        <v>15</v>
      </c>
      <c r="E68" t="s">
        <v>404</v>
      </c>
      <c r="F68" s="3">
        <v>1178323</v>
      </c>
      <c r="G68" s="2">
        <f t="shared" si="2"/>
        <v>30</v>
      </c>
      <c r="H68" s="2">
        <f t="shared" ca="1" si="3"/>
        <v>1807</v>
      </c>
      <c r="I68" s="4">
        <v>44313</v>
      </c>
      <c r="J68" s="4">
        <v>44343</v>
      </c>
      <c r="K68" t="s">
        <v>343</v>
      </c>
      <c r="L68" t="s">
        <v>18</v>
      </c>
      <c r="M68" t="s">
        <v>19</v>
      </c>
      <c r="N68" t="s">
        <v>20</v>
      </c>
      <c r="O68">
        <v>30</v>
      </c>
    </row>
    <row r="69" spans="1:15" hidden="1" x14ac:dyDescent="0.25">
      <c r="A69" t="s">
        <v>2820</v>
      </c>
      <c r="B69" t="s">
        <v>13</v>
      </c>
      <c r="C69" t="s">
        <v>14</v>
      </c>
      <c r="D69" t="s">
        <v>15</v>
      </c>
      <c r="E69" t="s">
        <v>405</v>
      </c>
      <c r="F69" s="3">
        <v>830000</v>
      </c>
      <c r="G69" s="2">
        <f t="shared" si="2"/>
        <v>30</v>
      </c>
      <c r="H69" s="2">
        <f t="shared" ca="1" si="3"/>
        <v>1804</v>
      </c>
      <c r="I69" s="4">
        <v>44316</v>
      </c>
      <c r="J69" s="4">
        <v>44346</v>
      </c>
      <c r="K69" t="s">
        <v>343</v>
      </c>
      <c r="L69" t="s">
        <v>18</v>
      </c>
      <c r="M69" t="s">
        <v>19</v>
      </c>
      <c r="N69" t="s">
        <v>20</v>
      </c>
      <c r="O69">
        <v>30</v>
      </c>
    </row>
    <row r="70" spans="1:15" hidden="1" x14ac:dyDescent="0.25">
      <c r="A70" t="s">
        <v>2820</v>
      </c>
      <c r="B70" t="s">
        <v>13</v>
      </c>
      <c r="C70" t="s">
        <v>14</v>
      </c>
      <c r="D70" t="s">
        <v>15</v>
      </c>
      <c r="E70" t="s">
        <v>406</v>
      </c>
      <c r="F70" s="3">
        <v>830000</v>
      </c>
      <c r="G70" s="2">
        <f t="shared" si="2"/>
        <v>30</v>
      </c>
      <c r="H70" s="2">
        <f t="shared" ca="1" si="3"/>
        <v>1804</v>
      </c>
      <c r="I70" s="4">
        <v>44316</v>
      </c>
      <c r="J70" s="4">
        <v>44346</v>
      </c>
      <c r="K70" t="s">
        <v>343</v>
      </c>
      <c r="L70" t="s">
        <v>18</v>
      </c>
      <c r="M70" t="s">
        <v>19</v>
      </c>
      <c r="N70" t="s">
        <v>20</v>
      </c>
      <c r="O70">
        <v>30</v>
      </c>
    </row>
    <row r="71" spans="1:15" hidden="1" x14ac:dyDescent="0.25">
      <c r="A71" t="s">
        <v>2820</v>
      </c>
      <c r="B71" t="s">
        <v>13</v>
      </c>
      <c r="C71" t="s">
        <v>14</v>
      </c>
      <c r="D71" t="s">
        <v>15</v>
      </c>
      <c r="E71" t="s">
        <v>676</v>
      </c>
      <c r="F71" s="3">
        <v>1992333</v>
      </c>
      <c r="G71" s="2">
        <f t="shared" si="2"/>
        <v>1</v>
      </c>
      <c r="H71" s="2">
        <f t="shared" ca="1" si="3"/>
        <v>1804</v>
      </c>
      <c r="I71" s="4">
        <v>44316</v>
      </c>
      <c r="J71" s="4">
        <v>44317</v>
      </c>
      <c r="K71" t="s">
        <v>638</v>
      </c>
      <c r="L71" t="s">
        <v>317</v>
      </c>
      <c r="M71" t="s">
        <v>19</v>
      </c>
      <c r="N71" t="s">
        <v>20</v>
      </c>
      <c r="O71">
        <v>30</v>
      </c>
    </row>
    <row r="72" spans="1:15" hidden="1" x14ac:dyDescent="0.25">
      <c r="A72" t="s">
        <v>2820</v>
      </c>
      <c r="B72" t="s">
        <v>13</v>
      </c>
      <c r="C72" t="s">
        <v>14</v>
      </c>
      <c r="D72" t="s">
        <v>15</v>
      </c>
      <c r="E72" t="s">
        <v>407</v>
      </c>
      <c r="F72" s="3">
        <v>2971642</v>
      </c>
      <c r="G72" s="2">
        <f t="shared" si="2"/>
        <v>30</v>
      </c>
      <c r="H72" s="2">
        <f t="shared" ca="1" si="3"/>
        <v>1801</v>
      </c>
      <c r="I72" s="4">
        <v>44319</v>
      </c>
      <c r="J72" s="4">
        <v>44349</v>
      </c>
      <c r="K72" t="s">
        <v>343</v>
      </c>
      <c r="L72" t="s">
        <v>18</v>
      </c>
      <c r="M72" t="s">
        <v>19</v>
      </c>
      <c r="N72" t="s">
        <v>20</v>
      </c>
      <c r="O72">
        <v>30</v>
      </c>
    </row>
    <row r="73" spans="1:15" hidden="1" x14ac:dyDescent="0.25">
      <c r="A73" t="s">
        <v>2820</v>
      </c>
      <c r="B73" t="s">
        <v>13</v>
      </c>
      <c r="C73" t="s">
        <v>14</v>
      </c>
      <c r="D73" t="s">
        <v>15</v>
      </c>
      <c r="E73" t="s">
        <v>677</v>
      </c>
      <c r="F73" s="3">
        <v>539035</v>
      </c>
      <c r="G73" s="2">
        <f t="shared" si="2"/>
        <v>30</v>
      </c>
      <c r="H73" s="2">
        <f t="shared" ca="1" si="3"/>
        <v>1801</v>
      </c>
      <c r="I73" s="4">
        <v>44319</v>
      </c>
      <c r="J73" s="4">
        <v>44349</v>
      </c>
      <c r="K73" t="s">
        <v>638</v>
      </c>
      <c r="L73" t="s">
        <v>18</v>
      </c>
      <c r="M73" t="s">
        <v>19</v>
      </c>
      <c r="N73" t="s">
        <v>20</v>
      </c>
      <c r="O73">
        <v>30</v>
      </c>
    </row>
    <row r="74" spans="1:15" hidden="1" x14ac:dyDescent="0.25">
      <c r="A74" t="s">
        <v>2820</v>
      </c>
      <c r="B74" t="s">
        <v>13</v>
      </c>
      <c r="C74" t="s">
        <v>14</v>
      </c>
      <c r="D74" t="s">
        <v>15</v>
      </c>
      <c r="E74" t="s">
        <v>726</v>
      </c>
      <c r="F74" s="3">
        <v>1969207</v>
      </c>
      <c r="G74" s="2">
        <f t="shared" si="2"/>
        <v>30</v>
      </c>
      <c r="H74" s="2">
        <f t="shared" ca="1" si="3"/>
        <v>1800</v>
      </c>
      <c r="I74" s="4">
        <v>44320</v>
      </c>
      <c r="J74" s="4">
        <v>44350</v>
      </c>
      <c r="K74" t="s">
        <v>716</v>
      </c>
      <c r="L74" t="s">
        <v>18</v>
      </c>
      <c r="M74" t="s">
        <v>19</v>
      </c>
      <c r="N74" t="s">
        <v>20</v>
      </c>
      <c r="O74">
        <v>30</v>
      </c>
    </row>
    <row r="75" spans="1:15" hidden="1" x14ac:dyDescent="0.25">
      <c r="A75" t="s">
        <v>2820</v>
      </c>
      <c r="B75" t="s">
        <v>13</v>
      </c>
      <c r="C75" t="s">
        <v>14</v>
      </c>
      <c r="D75" t="s">
        <v>15</v>
      </c>
      <c r="E75" t="s">
        <v>678</v>
      </c>
      <c r="F75" s="3">
        <v>16483678</v>
      </c>
      <c r="G75" s="2">
        <f t="shared" si="2"/>
        <v>30</v>
      </c>
      <c r="H75" s="2">
        <f t="shared" ca="1" si="3"/>
        <v>1799</v>
      </c>
      <c r="I75" s="4">
        <v>44321</v>
      </c>
      <c r="J75" s="4">
        <v>44351</v>
      </c>
      <c r="K75" t="s">
        <v>638</v>
      </c>
      <c r="L75" t="s">
        <v>18</v>
      </c>
      <c r="M75" t="s">
        <v>19</v>
      </c>
      <c r="N75" t="s">
        <v>20</v>
      </c>
      <c r="O75">
        <v>30</v>
      </c>
    </row>
    <row r="76" spans="1:15" hidden="1" x14ac:dyDescent="0.25">
      <c r="A76" t="s">
        <v>2820</v>
      </c>
      <c r="B76" t="s">
        <v>13</v>
      </c>
      <c r="C76" t="s">
        <v>14</v>
      </c>
      <c r="D76" t="s">
        <v>15</v>
      </c>
      <c r="E76" t="s">
        <v>679</v>
      </c>
      <c r="F76" s="3">
        <v>3794948</v>
      </c>
      <c r="G76" s="2">
        <f t="shared" si="2"/>
        <v>30</v>
      </c>
      <c r="H76" s="2">
        <f t="shared" ca="1" si="3"/>
        <v>1799</v>
      </c>
      <c r="I76" s="4">
        <v>44321</v>
      </c>
      <c r="J76" s="4">
        <v>44351</v>
      </c>
      <c r="K76" t="s">
        <v>638</v>
      </c>
      <c r="L76" t="s">
        <v>18</v>
      </c>
      <c r="M76" t="s">
        <v>19</v>
      </c>
      <c r="N76" t="s">
        <v>20</v>
      </c>
      <c r="O76">
        <v>30</v>
      </c>
    </row>
    <row r="77" spans="1:15" hidden="1" x14ac:dyDescent="0.25">
      <c r="A77" t="s">
        <v>2820</v>
      </c>
      <c r="B77" t="s">
        <v>13</v>
      </c>
      <c r="C77" t="s">
        <v>14</v>
      </c>
      <c r="D77" t="s">
        <v>15</v>
      </c>
      <c r="E77" t="s">
        <v>1006</v>
      </c>
      <c r="F77" s="3">
        <v>6558530</v>
      </c>
      <c r="G77" s="2">
        <f t="shared" si="2"/>
        <v>30</v>
      </c>
      <c r="H77" s="2">
        <f t="shared" ca="1" si="3"/>
        <v>1798</v>
      </c>
      <c r="I77" s="4">
        <v>44322</v>
      </c>
      <c r="J77" s="4">
        <v>44352</v>
      </c>
      <c r="K77" t="s">
        <v>989</v>
      </c>
      <c r="L77" t="s">
        <v>18</v>
      </c>
      <c r="M77" t="s">
        <v>19</v>
      </c>
      <c r="N77" t="s">
        <v>20</v>
      </c>
      <c r="O77">
        <v>30</v>
      </c>
    </row>
    <row r="78" spans="1:15" hidden="1" x14ac:dyDescent="0.25">
      <c r="A78" t="s">
        <v>2820</v>
      </c>
      <c r="B78" t="s">
        <v>13</v>
      </c>
      <c r="C78" t="s">
        <v>14</v>
      </c>
      <c r="D78" t="s">
        <v>15</v>
      </c>
      <c r="E78" t="s">
        <v>408</v>
      </c>
      <c r="F78" s="3">
        <v>6439807</v>
      </c>
      <c r="G78" s="2">
        <f t="shared" si="2"/>
        <v>30</v>
      </c>
      <c r="H78" s="2">
        <f t="shared" ca="1" si="3"/>
        <v>1792</v>
      </c>
      <c r="I78" s="4">
        <v>44328</v>
      </c>
      <c r="J78" s="4">
        <v>44358</v>
      </c>
      <c r="K78" t="s">
        <v>343</v>
      </c>
      <c r="L78" t="s">
        <v>18</v>
      </c>
      <c r="M78" t="s">
        <v>19</v>
      </c>
      <c r="N78" t="s">
        <v>20</v>
      </c>
      <c r="O78">
        <v>30</v>
      </c>
    </row>
    <row r="79" spans="1:15" hidden="1" x14ac:dyDescent="0.25">
      <c r="A79" t="s">
        <v>2820</v>
      </c>
      <c r="B79" t="s">
        <v>13</v>
      </c>
      <c r="C79" t="s">
        <v>14</v>
      </c>
      <c r="D79" t="s">
        <v>15</v>
      </c>
      <c r="E79" t="s">
        <v>409</v>
      </c>
      <c r="F79" s="3">
        <v>6693404</v>
      </c>
      <c r="G79" s="2">
        <f t="shared" si="2"/>
        <v>30</v>
      </c>
      <c r="H79" s="2">
        <f t="shared" ca="1" si="3"/>
        <v>1792</v>
      </c>
      <c r="I79" s="4">
        <v>44328</v>
      </c>
      <c r="J79" s="4">
        <v>44358</v>
      </c>
      <c r="K79" t="s">
        <v>343</v>
      </c>
      <c r="L79" t="s">
        <v>18</v>
      </c>
      <c r="M79" t="s">
        <v>19</v>
      </c>
      <c r="N79" t="s">
        <v>20</v>
      </c>
      <c r="O79">
        <v>30</v>
      </c>
    </row>
    <row r="80" spans="1:15" hidden="1" x14ac:dyDescent="0.25">
      <c r="A80" t="s">
        <v>2820</v>
      </c>
      <c r="B80" t="s">
        <v>13</v>
      </c>
      <c r="C80" t="s">
        <v>14</v>
      </c>
      <c r="D80" t="s">
        <v>15</v>
      </c>
      <c r="E80" t="s">
        <v>410</v>
      </c>
      <c r="F80" s="3">
        <v>811842</v>
      </c>
      <c r="G80" s="2">
        <f t="shared" si="2"/>
        <v>30</v>
      </c>
      <c r="H80" s="2">
        <f t="shared" ca="1" si="3"/>
        <v>1792</v>
      </c>
      <c r="I80" s="4">
        <v>44328</v>
      </c>
      <c r="J80" s="4">
        <v>44358</v>
      </c>
      <c r="K80" t="s">
        <v>343</v>
      </c>
      <c r="L80" t="s">
        <v>18</v>
      </c>
      <c r="M80" t="s">
        <v>19</v>
      </c>
      <c r="N80" t="s">
        <v>20</v>
      </c>
      <c r="O80">
        <v>30</v>
      </c>
    </row>
    <row r="81" spans="1:15" hidden="1" x14ac:dyDescent="0.25">
      <c r="A81" t="s">
        <v>2820</v>
      </c>
      <c r="B81" t="s">
        <v>13</v>
      </c>
      <c r="C81" t="s">
        <v>14</v>
      </c>
      <c r="D81" t="s">
        <v>15</v>
      </c>
      <c r="E81" t="s">
        <v>411</v>
      </c>
      <c r="F81" s="3">
        <v>259004</v>
      </c>
      <c r="G81" s="2">
        <f t="shared" si="2"/>
        <v>30</v>
      </c>
      <c r="H81" s="2">
        <f t="shared" ca="1" si="3"/>
        <v>1792</v>
      </c>
      <c r="I81" s="4">
        <v>44328</v>
      </c>
      <c r="J81" s="4">
        <v>44358</v>
      </c>
      <c r="K81" t="s">
        <v>343</v>
      </c>
      <c r="L81" t="s">
        <v>18</v>
      </c>
      <c r="M81" t="s">
        <v>19</v>
      </c>
      <c r="N81" t="s">
        <v>20</v>
      </c>
      <c r="O81">
        <v>30</v>
      </c>
    </row>
    <row r="82" spans="1:15" hidden="1" x14ac:dyDescent="0.25">
      <c r="A82" t="s">
        <v>2820</v>
      </c>
      <c r="B82" t="s">
        <v>13</v>
      </c>
      <c r="C82" t="s">
        <v>14</v>
      </c>
      <c r="D82" t="s">
        <v>15</v>
      </c>
      <c r="E82" t="s">
        <v>680</v>
      </c>
      <c r="F82" s="3">
        <v>7185004</v>
      </c>
      <c r="G82" s="2">
        <f t="shared" si="2"/>
        <v>30</v>
      </c>
      <c r="H82" s="2">
        <f t="shared" ca="1" si="3"/>
        <v>1785</v>
      </c>
      <c r="I82" s="4">
        <v>44335</v>
      </c>
      <c r="J82" s="4">
        <v>44365</v>
      </c>
      <c r="K82" t="s">
        <v>638</v>
      </c>
      <c r="L82" t="s">
        <v>18</v>
      </c>
      <c r="M82" t="s">
        <v>19</v>
      </c>
      <c r="N82" t="s">
        <v>20</v>
      </c>
      <c r="O82">
        <v>30</v>
      </c>
    </row>
    <row r="83" spans="1:15" hidden="1" x14ac:dyDescent="0.25">
      <c r="A83" t="s">
        <v>2820</v>
      </c>
      <c r="B83" t="s">
        <v>13</v>
      </c>
      <c r="C83" t="s">
        <v>14</v>
      </c>
      <c r="D83" t="s">
        <v>15</v>
      </c>
      <c r="E83" t="s">
        <v>727</v>
      </c>
      <c r="F83" s="3">
        <v>2280001</v>
      </c>
      <c r="G83" s="2">
        <f t="shared" si="2"/>
        <v>30</v>
      </c>
      <c r="H83" s="2">
        <f t="shared" ca="1" si="3"/>
        <v>1785</v>
      </c>
      <c r="I83" s="4">
        <v>44335</v>
      </c>
      <c r="J83" s="4">
        <v>44365</v>
      </c>
      <c r="K83" t="s">
        <v>716</v>
      </c>
      <c r="L83" t="s">
        <v>18</v>
      </c>
      <c r="M83" t="s">
        <v>19</v>
      </c>
      <c r="N83" t="s">
        <v>20</v>
      </c>
      <c r="O83">
        <v>30</v>
      </c>
    </row>
    <row r="84" spans="1:15" hidden="1" x14ac:dyDescent="0.25">
      <c r="A84" t="s">
        <v>2820</v>
      </c>
      <c r="B84" t="s">
        <v>13</v>
      </c>
      <c r="C84" t="s">
        <v>14</v>
      </c>
      <c r="D84" t="s">
        <v>15</v>
      </c>
      <c r="E84" t="s">
        <v>774</v>
      </c>
      <c r="F84" s="3">
        <v>4527285</v>
      </c>
      <c r="G84" s="2">
        <f t="shared" si="2"/>
        <v>30</v>
      </c>
      <c r="H84" s="2">
        <f t="shared" ca="1" si="3"/>
        <v>1785</v>
      </c>
      <c r="I84" s="4">
        <v>44335</v>
      </c>
      <c r="J84" s="4">
        <v>44365</v>
      </c>
      <c r="K84" t="s">
        <v>766</v>
      </c>
      <c r="L84" t="s">
        <v>18</v>
      </c>
      <c r="M84" t="s">
        <v>19</v>
      </c>
      <c r="N84" t="s">
        <v>20</v>
      </c>
      <c r="O84">
        <v>30</v>
      </c>
    </row>
    <row r="85" spans="1:15" hidden="1" x14ac:dyDescent="0.25">
      <c r="A85" t="s">
        <v>2820</v>
      </c>
      <c r="B85" t="s">
        <v>13</v>
      </c>
      <c r="C85" t="s">
        <v>14</v>
      </c>
      <c r="D85" t="s">
        <v>15</v>
      </c>
      <c r="E85" t="s">
        <v>775</v>
      </c>
      <c r="F85" s="3">
        <v>481800</v>
      </c>
      <c r="G85" s="2">
        <f t="shared" si="2"/>
        <v>30</v>
      </c>
      <c r="H85" s="2">
        <f t="shared" ca="1" si="3"/>
        <v>1785</v>
      </c>
      <c r="I85" s="4">
        <v>44335</v>
      </c>
      <c r="J85" s="4">
        <v>44365</v>
      </c>
      <c r="K85" t="s">
        <v>766</v>
      </c>
      <c r="L85" t="s">
        <v>18</v>
      </c>
      <c r="M85" t="s">
        <v>19</v>
      </c>
      <c r="N85" t="s">
        <v>20</v>
      </c>
      <c r="O85">
        <v>30</v>
      </c>
    </row>
    <row r="86" spans="1:15" hidden="1" x14ac:dyDescent="0.25">
      <c r="A86" t="s">
        <v>2820</v>
      </c>
      <c r="B86" t="s">
        <v>13</v>
      </c>
      <c r="C86" t="s">
        <v>14</v>
      </c>
      <c r="D86" t="s">
        <v>15</v>
      </c>
      <c r="E86" t="s">
        <v>1007</v>
      </c>
      <c r="F86" s="3">
        <v>7185004</v>
      </c>
      <c r="G86" s="2">
        <f t="shared" si="2"/>
        <v>30</v>
      </c>
      <c r="H86" s="2">
        <f t="shared" ca="1" si="3"/>
        <v>1785</v>
      </c>
      <c r="I86" s="4">
        <v>44335</v>
      </c>
      <c r="J86" s="4">
        <v>44365</v>
      </c>
      <c r="K86" t="s">
        <v>989</v>
      </c>
      <c r="L86" t="s">
        <v>18</v>
      </c>
      <c r="M86" t="s">
        <v>19</v>
      </c>
      <c r="N86" t="s">
        <v>20</v>
      </c>
      <c r="O86">
        <v>30</v>
      </c>
    </row>
    <row r="87" spans="1:15" hidden="1" x14ac:dyDescent="0.25">
      <c r="A87" t="s">
        <v>2820</v>
      </c>
      <c r="B87" t="s">
        <v>13</v>
      </c>
      <c r="C87" t="s">
        <v>14</v>
      </c>
      <c r="D87" t="s">
        <v>15</v>
      </c>
      <c r="E87" t="s">
        <v>1219</v>
      </c>
      <c r="F87" s="3">
        <v>5377069</v>
      </c>
      <c r="G87" s="2">
        <f t="shared" si="2"/>
        <v>30</v>
      </c>
      <c r="H87" s="2">
        <f t="shared" ca="1" si="3"/>
        <v>1785</v>
      </c>
      <c r="I87" s="4">
        <v>44335</v>
      </c>
      <c r="J87" s="4">
        <v>44365</v>
      </c>
      <c r="K87" t="s">
        <v>1217</v>
      </c>
      <c r="L87" t="s">
        <v>893</v>
      </c>
      <c r="M87" t="s">
        <v>19</v>
      </c>
      <c r="N87" t="s">
        <v>20</v>
      </c>
      <c r="O87">
        <v>30</v>
      </c>
    </row>
    <row r="88" spans="1:15" hidden="1" x14ac:dyDescent="0.25">
      <c r="A88" t="s">
        <v>2820</v>
      </c>
      <c r="B88" t="s">
        <v>13</v>
      </c>
      <c r="C88" t="s">
        <v>14</v>
      </c>
      <c r="D88" t="s">
        <v>15</v>
      </c>
      <c r="E88" t="s">
        <v>1220</v>
      </c>
      <c r="F88" s="3">
        <v>356435</v>
      </c>
      <c r="G88" s="2">
        <f t="shared" si="2"/>
        <v>30</v>
      </c>
      <c r="H88" s="2">
        <f t="shared" ca="1" si="3"/>
        <v>1785</v>
      </c>
      <c r="I88" s="4">
        <v>44335</v>
      </c>
      <c r="J88" s="4">
        <v>44365</v>
      </c>
      <c r="K88" t="s">
        <v>1217</v>
      </c>
      <c r="L88" t="s">
        <v>893</v>
      </c>
      <c r="M88" t="s">
        <v>19</v>
      </c>
      <c r="N88" t="s">
        <v>20</v>
      </c>
      <c r="O88">
        <v>30</v>
      </c>
    </row>
    <row r="89" spans="1:15" hidden="1" x14ac:dyDescent="0.25">
      <c r="A89" t="s">
        <v>2820</v>
      </c>
      <c r="B89" t="s">
        <v>13</v>
      </c>
      <c r="C89" t="s">
        <v>14</v>
      </c>
      <c r="D89" t="s">
        <v>15</v>
      </c>
      <c r="E89" t="s">
        <v>681</v>
      </c>
      <c r="F89" s="3">
        <v>14556010</v>
      </c>
      <c r="G89" s="2">
        <f t="shared" si="2"/>
        <v>30</v>
      </c>
      <c r="H89" s="2">
        <f t="shared" ca="1" si="3"/>
        <v>1784</v>
      </c>
      <c r="I89" s="4">
        <v>44336</v>
      </c>
      <c r="J89" s="4">
        <v>44366</v>
      </c>
      <c r="K89" t="s">
        <v>638</v>
      </c>
      <c r="L89" t="s">
        <v>18</v>
      </c>
      <c r="M89" t="s">
        <v>19</v>
      </c>
      <c r="N89" t="s">
        <v>20</v>
      </c>
      <c r="O89">
        <v>30</v>
      </c>
    </row>
    <row r="90" spans="1:15" hidden="1" x14ac:dyDescent="0.25">
      <c r="A90" t="s">
        <v>2820</v>
      </c>
      <c r="B90" t="s">
        <v>13</v>
      </c>
      <c r="C90" t="s">
        <v>14</v>
      </c>
      <c r="D90" t="s">
        <v>15</v>
      </c>
      <c r="E90" t="s">
        <v>1008</v>
      </c>
      <c r="F90" s="3">
        <v>5085026</v>
      </c>
      <c r="G90" s="2">
        <f t="shared" si="2"/>
        <v>30</v>
      </c>
      <c r="H90" s="2">
        <f t="shared" ca="1" si="3"/>
        <v>1783</v>
      </c>
      <c r="I90" s="4">
        <v>44337</v>
      </c>
      <c r="J90" s="4">
        <v>44367</v>
      </c>
      <c r="K90" t="s">
        <v>989</v>
      </c>
      <c r="L90" t="s">
        <v>18</v>
      </c>
      <c r="M90" t="s">
        <v>19</v>
      </c>
      <c r="N90" t="s">
        <v>20</v>
      </c>
      <c r="O90">
        <v>30</v>
      </c>
    </row>
    <row r="91" spans="1:15" hidden="1" x14ac:dyDescent="0.25">
      <c r="A91" t="s">
        <v>2820</v>
      </c>
      <c r="B91" t="s">
        <v>13</v>
      </c>
      <c r="C91" t="s">
        <v>14</v>
      </c>
      <c r="D91" t="s">
        <v>15</v>
      </c>
      <c r="E91" t="s">
        <v>1009</v>
      </c>
      <c r="F91" s="3">
        <v>110947</v>
      </c>
      <c r="G91" s="2">
        <f t="shared" si="2"/>
        <v>30</v>
      </c>
      <c r="H91" s="2">
        <f t="shared" ca="1" si="3"/>
        <v>1783</v>
      </c>
      <c r="I91" s="4">
        <v>44337</v>
      </c>
      <c r="J91" s="4">
        <v>44367</v>
      </c>
      <c r="K91" t="s">
        <v>989</v>
      </c>
      <c r="L91" t="s">
        <v>18</v>
      </c>
      <c r="M91" t="s">
        <v>19</v>
      </c>
      <c r="N91" t="s">
        <v>20</v>
      </c>
      <c r="O91">
        <v>30</v>
      </c>
    </row>
    <row r="92" spans="1:15" hidden="1" x14ac:dyDescent="0.25">
      <c r="A92" t="s">
        <v>2820</v>
      </c>
      <c r="B92" t="s">
        <v>13</v>
      </c>
      <c r="C92" t="s">
        <v>14</v>
      </c>
      <c r="D92" t="s">
        <v>15</v>
      </c>
      <c r="E92" t="s">
        <v>682</v>
      </c>
      <c r="F92" s="3">
        <v>1678436</v>
      </c>
      <c r="G92" s="2">
        <f t="shared" si="2"/>
        <v>30</v>
      </c>
      <c r="H92" s="2">
        <f t="shared" ca="1" si="3"/>
        <v>1780</v>
      </c>
      <c r="I92" s="4">
        <v>44340</v>
      </c>
      <c r="J92" s="4">
        <v>44370</v>
      </c>
      <c r="K92" t="s">
        <v>638</v>
      </c>
      <c r="L92" t="s">
        <v>47</v>
      </c>
      <c r="M92" t="s">
        <v>19</v>
      </c>
      <c r="N92" t="s">
        <v>20</v>
      </c>
      <c r="O92">
        <v>30</v>
      </c>
    </row>
    <row r="93" spans="1:15" hidden="1" x14ac:dyDescent="0.25">
      <c r="A93" t="s">
        <v>2820</v>
      </c>
      <c r="B93" t="s">
        <v>13</v>
      </c>
      <c r="C93" t="s">
        <v>14</v>
      </c>
      <c r="D93" t="s">
        <v>15</v>
      </c>
      <c r="E93" t="s">
        <v>412</v>
      </c>
      <c r="F93" s="3">
        <v>508320</v>
      </c>
      <c r="G93" s="2">
        <f t="shared" si="2"/>
        <v>30</v>
      </c>
      <c r="H93" s="2">
        <f t="shared" ca="1" si="3"/>
        <v>1779</v>
      </c>
      <c r="I93" s="4">
        <v>44341</v>
      </c>
      <c r="J93" s="4">
        <v>44371</v>
      </c>
      <c r="K93" t="s">
        <v>343</v>
      </c>
      <c r="L93" t="s">
        <v>18</v>
      </c>
      <c r="M93" t="s">
        <v>19</v>
      </c>
      <c r="N93" t="s">
        <v>20</v>
      </c>
      <c r="O93">
        <v>30</v>
      </c>
    </row>
    <row r="94" spans="1:15" hidden="1" x14ac:dyDescent="0.25">
      <c r="A94" t="s">
        <v>2820</v>
      </c>
      <c r="B94" t="s">
        <v>13</v>
      </c>
      <c r="C94" t="s">
        <v>14</v>
      </c>
      <c r="D94" t="s">
        <v>15</v>
      </c>
      <c r="E94" t="s">
        <v>413</v>
      </c>
      <c r="F94" s="3">
        <v>9583028</v>
      </c>
      <c r="G94" s="2">
        <f t="shared" si="2"/>
        <v>30</v>
      </c>
      <c r="H94" s="2">
        <f t="shared" ca="1" si="3"/>
        <v>1778</v>
      </c>
      <c r="I94" s="4">
        <v>44342</v>
      </c>
      <c r="J94" s="4">
        <v>44372</v>
      </c>
      <c r="K94" t="s">
        <v>343</v>
      </c>
      <c r="L94" t="s">
        <v>18</v>
      </c>
      <c r="M94" t="s">
        <v>19</v>
      </c>
      <c r="N94" t="s">
        <v>20</v>
      </c>
      <c r="O94">
        <v>30</v>
      </c>
    </row>
    <row r="95" spans="1:15" hidden="1" x14ac:dyDescent="0.25">
      <c r="A95" t="s">
        <v>2820</v>
      </c>
      <c r="B95" t="s">
        <v>13</v>
      </c>
      <c r="C95" t="s">
        <v>14</v>
      </c>
      <c r="D95" t="s">
        <v>15</v>
      </c>
      <c r="E95" t="s">
        <v>414</v>
      </c>
      <c r="F95" s="3">
        <v>4397761</v>
      </c>
      <c r="G95" s="2">
        <f t="shared" si="2"/>
        <v>30</v>
      </c>
      <c r="H95" s="2">
        <f t="shared" ca="1" si="3"/>
        <v>1778</v>
      </c>
      <c r="I95" s="4">
        <v>44342</v>
      </c>
      <c r="J95" s="4">
        <v>44372</v>
      </c>
      <c r="K95" t="s">
        <v>343</v>
      </c>
      <c r="L95" t="s">
        <v>18</v>
      </c>
      <c r="M95" t="s">
        <v>19</v>
      </c>
      <c r="N95" t="s">
        <v>20</v>
      </c>
      <c r="O95">
        <v>30</v>
      </c>
    </row>
    <row r="96" spans="1:15" hidden="1" x14ac:dyDescent="0.25">
      <c r="A96" t="s">
        <v>2820</v>
      </c>
      <c r="B96" t="s">
        <v>13</v>
      </c>
      <c r="C96" t="s">
        <v>14</v>
      </c>
      <c r="D96" t="s">
        <v>15</v>
      </c>
      <c r="E96" t="s">
        <v>415</v>
      </c>
      <c r="F96" s="3">
        <v>128254</v>
      </c>
      <c r="G96" s="2">
        <f t="shared" si="2"/>
        <v>30</v>
      </c>
      <c r="H96" s="2">
        <f t="shared" ca="1" si="3"/>
        <v>1778</v>
      </c>
      <c r="I96" s="4">
        <v>44342</v>
      </c>
      <c r="J96" s="4">
        <v>44372</v>
      </c>
      <c r="K96" t="s">
        <v>343</v>
      </c>
      <c r="L96" t="s">
        <v>18</v>
      </c>
      <c r="M96" t="s">
        <v>19</v>
      </c>
      <c r="N96" t="s">
        <v>20</v>
      </c>
      <c r="O96">
        <v>30</v>
      </c>
    </row>
    <row r="97" spans="1:15" hidden="1" x14ac:dyDescent="0.25">
      <c r="A97" t="s">
        <v>2820</v>
      </c>
      <c r="B97" t="s">
        <v>13</v>
      </c>
      <c r="C97" t="s">
        <v>14</v>
      </c>
      <c r="D97" t="s">
        <v>15</v>
      </c>
      <c r="E97" t="s">
        <v>416</v>
      </c>
      <c r="F97" s="3">
        <v>858816</v>
      </c>
      <c r="G97" s="2">
        <f t="shared" si="2"/>
        <v>30</v>
      </c>
      <c r="H97" s="2">
        <f t="shared" ca="1" si="3"/>
        <v>1777</v>
      </c>
      <c r="I97" s="4">
        <v>44343</v>
      </c>
      <c r="J97" s="4">
        <v>44373</v>
      </c>
      <c r="K97" t="s">
        <v>343</v>
      </c>
      <c r="L97" t="s">
        <v>18</v>
      </c>
      <c r="M97" t="s">
        <v>19</v>
      </c>
      <c r="N97" t="s">
        <v>20</v>
      </c>
      <c r="O97">
        <v>30</v>
      </c>
    </row>
    <row r="98" spans="1:15" hidden="1" x14ac:dyDescent="0.25">
      <c r="A98" t="s">
        <v>2820</v>
      </c>
      <c r="B98" t="s">
        <v>13</v>
      </c>
      <c r="C98" t="s">
        <v>14</v>
      </c>
      <c r="D98" t="s">
        <v>15</v>
      </c>
      <c r="E98" t="s">
        <v>776</v>
      </c>
      <c r="F98" s="3">
        <v>2055084</v>
      </c>
      <c r="G98" s="2">
        <f t="shared" si="2"/>
        <v>30</v>
      </c>
      <c r="H98" s="2">
        <f t="shared" ca="1" si="3"/>
        <v>1773</v>
      </c>
      <c r="I98" s="4">
        <v>44347</v>
      </c>
      <c r="J98" s="4">
        <v>44377</v>
      </c>
      <c r="K98" t="s">
        <v>766</v>
      </c>
      <c r="L98" t="s">
        <v>18</v>
      </c>
      <c r="M98" t="s">
        <v>19</v>
      </c>
      <c r="N98" t="s">
        <v>20</v>
      </c>
      <c r="O98">
        <v>30</v>
      </c>
    </row>
    <row r="99" spans="1:15" hidden="1" x14ac:dyDescent="0.25">
      <c r="A99" t="s">
        <v>2820</v>
      </c>
      <c r="B99" t="s">
        <v>13</v>
      </c>
      <c r="C99" t="s">
        <v>14</v>
      </c>
      <c r="D99" t="s">
        <v>15</v>
      </c>
      <c r="E99" t="s">
        <v>777</v>
      </c>
      <c r="F99" s="3">
        <v>691210</v>
      </c>
      <c r="G99" s="2">
        <f t="shared" si="2"/>
        <v>30</v>
      </c>
      <c r="H99" s="2">
        <f t="shared" ca="1" si="3"/>
        <v>1773</v>
      </c>
      <c r="I99" s="4">
        <v>44347</v>
      </c>
      <c r="J99" s="4">
        <v>44377</v>
      </c>
      <c r="K99" t="s">
        <v>766</v>
      </c>
      <c r="L99" t="s">
        <v>18</v>
      </c>
      <c r="M99" t="s">
        <v>19</v>
      </c>
      <c r="N99" t="s">
        <v>20</v>
      </c>
      <c r="O99">
        <v>30</v>
      </c>
    </row>
    <row r="100" spans="1:15" hidden="1" x14ac:dyDescent="0.25">
      <c r="A100" t="s">
        <v>2820</v>
      </c>
      <c r="B100" t="s">
        <v>13</v>
      </c>
      <c r="C100" t="s">
        <v>14</v>
      </c>
      <c r="D100" t="s">
        <v>15</v>
      </c>
      <c r="E100" t="s">
        <v>683</v>
      </c>
      <c r="F100" s="3">
        <v>12193601</v>
      </c>
      <c r="G100" s="2">
        <f t="shared" si="2"/>
        <v>30</v>
      </c>
      <c r="H100" s="2">
        <f t="shared" ca="1" si="3"/>
        <v>1772</v>
      </c>
      <c r="I100" s="4">
        <v>44348</v>
      </c>
      <c r="J100" s="4">
        <v>44378</v>
      </c>
      <c r="K100" t="s">
        <v>638</v>
      </c>
      <c r="L100" t="s">
        <v>18</v>
      </c>
      <c r="M100" t="s">
        <v>19</v>
      </c>
      <c r="N100" t="s">
        <v>20</v>
      </c>
      <c r="O100">
        <v>30</v>
      </c>
    </row>
    <row r="101" spans="1:15" hidden="1" x14ac:dyDescent="0.25">
      <c r="A101" t="s">
        <v>2820</v>
      </c>
      <c r="B101" t="s">
        <v>13</v>
      </c>
      <c r="C101" t="s">
        <v>14</v>
      </c>
      <c r="D101" t="s">
        <v>15</v>
      </c>
      <c r="E101" t="s">
        <v>684</v>
      </c>
      <c r="F101" s="3">
        <v>467557</v>
      </c>
      <c r="G101" s="2">
        <f t="shared" si="2"/>
        <v>30</v>
      </c>
      <c r="H101" s="2">
        <f t="shared" ca="1" si="3"/>
        <v>1772</v>
      </c>
      <c r="I101" s="4">
        <v>44348</v>
      </c>
      <c r="J101" s="4">
        <v>44378</v>
      </c>
      <c r="K101" t="s">
        <v>638</v>
      </c>
      <c r="L101" t="s">
        <v>18</v>
      </c>
      <c r="M101" t="s">
        <v>19</v>
      </c>
      <c r="N101" t="s">
        <v>20</v>
      </c>
      <c r="O101">
        <v>30</v>
      </c>
    </row>
    <row r="102" spans="1:15" hidden="1" x14ac:dyDescent="0.25">
      <c r="A102" t="s">
        <v>2820</v>
      </c>
      <c r="B102" t="s">
        <v>13</v>
      </c>
      <c r="C102" t="s">
        <v>14</v>
      </c>
      <c r="D102" t="s">
        <v>15</v>
      </c>
      <c r="E102" t="s">
        <v>728</v>
      </c>
      <c r="F102" s="3">
        <v>1443286</v>
      </c>
      <c r="G102" s="2">
        <f t="shared" si="2"/>
        <v>30</v>
      </c>
      <c r="H102" s="2">
        <f t="shared" ca="1" si="3"/>
        <v>1772</v>
      </c>
      <c r="I102" s="4">
        <v>44348</v>
      </c>
      <c r="J102" s="4">
        <v>44378</v>
      </c>
      <c r="K102" t="s">
        <v>716</v>
      </c>
      <c r="L102" t="s">
        <v>18</v>
      </c>
      <c r="M102" t="s">
        <v>19</v>
      </c>
      <c r="N102" t="s">
        <v>20</v>
      </c>
      <c r="O102">
        <v>30</v>
      </c>
    </row>
    <row r="103" spans="1:15" hidden="1" x14ac:dyDescent="0.25">
      <c r="A103" t="s">
        <v>2820</v>
      </c>
      <c r="B103" t="s">
        <v>13</v>
      </c>
      <c r="C103" t="s">
        <v>14</v>
      </c>
      <c r="D103" t="s">
        <v>15</v>
      </c>
      <c r="E103" t="s">
        <v>1010</v>
      </c>
      <c r="F103" s="3">
        <v>7080807</v>
      </c>
      <c r="G103" s="2">
        <f t="shared" si="2"/>
        <v>30</v>
      </c>
      <c r="H103" s="2">
        <f t="shared" ca="1" si="3"/>
        <v>1771</v>
      </c>
      <c r="I103" s="4">
        <v>44349</v>
      </c>
      <c r="J103" s="4">
        <v>44379</v>
      </c>
      <c r="K103" t="s">
        <v>989</v>
      </c>
      <c r="L103" t="s">
        <v>18</v>
      </c>
      <c r="M103" t="s">
        <v>19</v>
      </c>
      <c r="N103" t="s">
        <v>20</v>
      </c>
      <c r="O103">
        <v>30</v>
      </c>
    </row>
    <row r="104" spans="1:15" hidden="1" x14ac:dyDescent="0.25">
      <c r="A104" t="s">
        <v>2820</v>
      </c>
      <c r="B104" t="s">
        <v>13</v>
      </c>
      <c r="C104" t="s">
        <v>14</v>
      </c>
      <c r="D104" t="s">
        <v>15</v>
      </c>
      <c r="E104" t="s">
        <v>685</v>
      </c>
      <c r="F104" s="3">
        <v>2629276</v>
      </c>
      <c r="G104" s="2">
        <f t="shared" si="2"/>
        <v>30</v>
      </c>
      <c r="H104" s="2">
        <f t="shared" ca="1" si="3"/>
        <v>1770</v>
      </c>
      <c r="I104" s="4">
        <v>44350</v>
      </c>
      <c r="J104" s="4">
        <v>44380</v>
      </c>
      <c r="K104" t="s">
        <v>638</v>
      </c>
      <c r="L104" t="s">
        <v>47</v>
      </c>
      <c r="M104" t="s">
        <v>19</v>
      </c>
      <c r="N104" t="s">
        <v>20</v>
      </c>
      <c r="O104">
        <v>30</v>
      </c>
    </row>
    <row r="105" spans="1:15" hidden="1" x14ac:dyDescent="0.25">
      <c r="A105" t="s">
        <v>2820</v>
      </c>
      <c r="B105" t="s">
        <v>13</v>
      </c>
      <c r="C105" t="s">
        <v>14</v>
      </c>
      <c r="D105" t="s">
        <v>15</v>
      </c>
      <c r="E105" t="s">
        <v>892</v>
      </c>
      <c r="F105" s="3">
        <v>6876043</v>
      </c>
      <c r="G105" s="2">
        <f t="shared" si="2"/>
        <v>30</v>
      </c>
      <c r="H105" s="2">
        <f t="shared" ca="1" si="3"/>
        <v>1770</v>
      </c>
      <c r="I105" s="4">
        <v>44350</v>
      </c>
      <c r="J105" s="4">
        <v>44380</v>
      </c>
      <c r="K105" t="s">
        <v>845</v>
      </c>
      <c r="L105" t="s">
        <v>893</v>
      </c>
      <c r="M105" t="s">
        <v>19</v>
      </c>
      <c r="N105" t="s">
        <v>20</v>
      </c>
      <c r="O105">
        <v>30</v>
      </c>
    </row>
    <row r="106" spans="1:15" hidden="1" x14ac:dyDescent="0.25">
      <c r="A106" t="s">
        <v>2820</v>
      </c>
      <c r="B106" t="s">
        <v>13</v>
      </c>
      <c r="C106" t="s">
        <v>14</v>
      </c>
      <c r="D106" t="s">
        <v>15</v>
      </c>
      <c r="E106" t="s">
        <v>417</v>
      </c>
      <c r="F106" s="3">
        <v>3530592</v>
      </c>
      <c r="G106" s="2">
        <f t="shared" si="2"/>
        <v>30</v>
      </c>
      <c r="H106" s="2">
        <f t="shared" ca="1" si="3"/>
        <v>1764</v>
      </c>
      <c r="I106" s="4">
        <v>44356</v>
      </c>
      <c r="J106" s="4">
        <v>44386</v>
      </c>
      <c r="K106" t="s">
        <v>343</v>
      </c>
      <c r="L106" t="s">
        <v>18</v>
      </c>
      <c r="M106" t="s">
        <v>19</v>
      </c>
      <c r="N106" t="s">
        <v>20</v>
      </c>
      <c r="O106">
        <v>30</v>
      </c>
    </row>
    <row r="107" spans="1:15" hidden="1" x14ac:dyDescent="0.25">
      <c r="A107" t="s">
        <v>2820</v>
      </c>
      <c r="B107" t="s">
        <v>13</v>
      </c>
      <c r="C107" t="s">
        <v>14</v>
      </c>
      <c r="D107" t="s">
        <v>15</v>
      </c>
      <c r="E107" t="s">
        <v>418</v>
      </c>
      <c r="F107" s="3">
        <v>3590833</v>
      </c>
      <c r="G107" s="2">
        <f t="shared" si="2"/>
        <v>30</v>
      </c>
      <c r="H107" s="2">
        <f t="shared" ca="1" si="3"/>
        <v>1764</v>
      </c>
      <c r="I107" s="4">
        <v>44356</v>
      </c>
      <c r="J107" s="4">
        <v>44386</v>
      </c>
      <c r="K107" t="s">
        <v>343</v>
      </c>
      <c r="L107" t="s">
        <v>18</v>
      </c>
      <c r="M107" t="s">
        <v>19</v>
      </c>
      <c r="N107" t="s">
        <v>20</v>
      </c>
      <c r="O107">
        <v>30</v>
      </c>
    </row>
    <row r="108" spans="1:15" hidden="1" x14ac:dyDescent="0.25">
      <c r="A108" t="s">
        <v>2820</v>
      </c>
      <c r="B108" t="s">
        <v>13</v>
      </c>
      <c r="C108" t="s">
        <v>14</v>
      </c>
      <c r="D108" t="s">
        <v>15</v>
      </c>
      <c r="E108" t="s">
        <v>419</v>
      </c>
      <c r="F108" s="3">
        <v>714560</v>
      </c>
      <c r="G108" s="2">
        <f t="shared" si="2"/>
        <v>30</v>
      </c>
      <c r="H108" s="2">
        <f t="shared" ca="1" si="3"/>
        <v>1764</v>
      </c>
      <c r="I108" s="4">
        <v>44356</v>
      </c>
      <c r="J108" s="4">
        <v>44386</v>
      </c>
      <c r="K108" t="s">
        <v>343</v>
      </c>
      <c r="L108" t="s">
        <v>18</v>
      </c>
      <c r="M108" t="s">
        <v>19</v>
      </c>
      <c r="N108" t="s">
        <v>20</v>
      </c>
      <c r="O108">
        <v>30</v>
      </c>
    </row>
    <row r="109" spans="1:15" hidden="1" x14ac:dyDescent="0.25">
      <c r="A109" t="s">
        <v>2820</v>
      </c>
      <c r="B109" t="s">
        <v>13</v>
      </c>
      <c r="C109" t="s">
        <v>14</v>
      </c>
      <c r="D109" t="s">
        <v>15</v>
      </c>
      <c r="E109" t="s">
        <v>420</v>
      </c>
      <c r="F109" s="3">
        <v>996069</v>
      </c>
      <c r="G109" s="2">
        <f t="shared" si="2"/>
        <v>30</v>
      </c>
      <c r="H109" s="2">
        <f t="shared" ca="1" si="3"/>
        <v>1763</v>
      </c>
      <c r="I109" s="4">
        <v>44357</v>
      </c>
      <c r="J109" s="4">
        <v>44387</v>
      </c>
      <c r="K109" t="s">
        <v>343</v>
      </c>
      <c r="L109" t="s">
        <v>47</v>
      </c>
      <c r="M109" t="s">
        <v>19</v>
      </c>
      <c r="N109" t="s">
        <v>20</v>
      </c>
      <c r="O109">
        <v>30</v>
      </c>
    </row>
    <row r="110" spans="1:15" hidden="1" x14ac:dyDescent="0.25">
      <c r="A110" t="s">
        <v>2820</v>
      </c>
      <c r="B110" t="s">
        <v>13</v>
      </c>
      <c r="C110" t="s">
        <v>14</v>
      </c>
      <c r="D110" t="s">
        <v>15</v>
      </c>
      <c r="E110" t="s">
        <v>686</v>
      </c>
      <c r="F110" s="3">
        <v>2382144</v>
      </c>
      <c r="G110" s="2">
        <f t="shared" si="2"/>
        <v>30</v>
      </c>
      <c r="H110" s="2">
        <f t="shared" ca="1" si="3"/>
        <v>1763</v>
      </c>
      <c r="I110" s="4">
        <v>44357</v>
      </c>
      <c r="J110" s="4">
        <v>44387</v>
      </c>
      <c r="K110" t="s">
        <v>638</v>
      </c>
      <c r="L110" t="s">
        <v>47</v>
      </c>
      <c r="M110" t="s">
        <v>19</v>
      </c>
      <c r="N110" t="s">
        <v>20</v>
      </c>
      <c r="O110">
        <v>30</v>
      </c>
    </row>
    <row r="111" spans="1:15" hidden="1" x14ac:dyDescent="0.25">
      <c r="A111" t="s">
        <v>2820</v>
      </c>
      <c r="B111" t="s">
        <v>13</v>
      </c>
      <c r="C111" t="s">
        <v>14</v>
      </c>
      <c r="D111" t="s">
        <v>15</v>
      </c>
      <c r="E111" t="s">
        <v>637</v>
      </c>
      <c r="F111" s="3">
        <v>1319209</v>
      </c>
      <c r="G111" s="2">
        <f t="shared" si="2"/>
        <v>1</v>
      </c>
      <c r="H111" s="2">
        <f t="shared" ca="1" si="3"/>
        <v>1761</v>
      </c>
      <c r="I111" s="4">
        <v>44359</v>
      </c>
      <c r="J111" s="4">
        <v>44360</v>
      </c>
      <c r="K111" t="s">
        <v>638</v>
      </c>
      <c r="L111" t="s">
        <v>317</v>
      </c>
      <c r="M111" t="s">
        <v>19</v>
      </c>
      <c r="N111" t="s">
        <v>20</v>
      </c>
      <c r="O111">
        <v>30</v>
      </c>
    </row>
    <row r="112" spans="1:15" hidden="1" x14ac:dyDescent="0.25">
      <c r="A112" t="s">
        <v>2820</v>
      </c>
      <c r="B112" t="s">
        <v>13</v>
      </c>
      <c r="C112" t="s">
        <v>14</v>
      </c>
      <c r="D112" t="s">
        <v>15</v>
      </c>
      <c r="E112" t="s">
        <v>687</v>
      </c>
      <c r="F112" s="3">
        <v>683244</v>
      </c>
      <c r="G112" s="2">
        <f t="shared" si="2"/>
        <v>30</v>
      </c>
      <c r="H112" s="2">
        <f t="shared" ca="1" si="3"/>
        <v>1758</v>
      </c>
      <c r="I112" s="4">
        <v>44362</v>
      </c>
      <c r="J112" s="4">
        <v>44392</v>
      </c>
      <c r="K112" t="s">
        <v>638</v>
      </c>
      <c r="L112" t="s">
        <v>18</v>
      </c>
      <c r="M112" t="s">
        <v>19</v>
      </c>
      <c r="N112" t="s">
        <v>20</v>
      </c>
      <c r="O112">
        <v>30</v>
      </c>
    </row>
    <row r="113" spans="1:15" hidden="1" x14ac:dyDescent="0.25">
      <c r="A113" t="s">
        <v>2820</v>
      </c>
      <c r="B113" t="s">
        <v>13</v>
      </c>
      <c r="C113" t="s">
        <v>14</v>
      </c>
      <c r="D113" t="s">
        <v>15</v>
      </c>
      <c r="E113" t="s">
        <v>1221</v>
      </c>
      <c r="F113" s="3">
        <v>6396013</v>
      </c>
      <c r="G113" s="2">
        <f t="shared" si="2"/>
        <v>30</v>
      </c>
      <c r="H113" s="2">
        <f t="shared" ca="1" si="3"/>
        <v>1758</v>
      </c>
      <c r="I113" s="4">
        <v>44362</v>
      </c>
      <c r="J113" s="4">
        <v>44392</v>
      </c>
      <c r="K113" t="s">
        <v>1217</v>
      </c>
      <c r="L113" t="s">
        <v>893</v>
      </c>
      <c r="M113" t="s">
        <v>19</v>
      </c>
      <c r="N113" t="s">
        <v>20</v>
      </c>
      <c r="O113">
        <v>30</v>
      </c>
    </row>
    <row r="114" spans="1:15" hidden="1" x14ac:dyDescent="0.25">
      <c r="A114" t="s">
        <v>2820</v>
      </c>
      <c r="B114" t="s">
        <v>13</v>
      </c>
      <c r="C114" t="s">
        <v>14</v>
      </c>
      <c r="D114" t="s">
        <v>15</v>
      </c>
      <c r="E114" t="s">
        <v>729</v>
      </c>
      <c r="F114" s="3">
        <v>4109630</v>
      </c>
      <c r="G114" s="2">
        <f t="shared" si="2"/>
        <v>30</v>
      </c>
      <c r="H114" s="2">
        <f t="shared" ca="1" si="3"/>
        <v>1757</v>
      </c>
      <c r="I114" s="4">
        <v>44363</v>
      </c>
      <c r="J114" s="4">
        <v>44393</v>
      </c>
      <c r="K114" t="s">
        <v>716</v>
      </c>
      <c r="L114" t="s">
        <v>18</v>
      </c>
      <c r="M114" t="s">
        <v>19</v>
      </c>
      <c r="N114" t="s">
        <v>20</v>
      </c>
      <c r="O114">
        <v>30</v>
      </c>
    </row>
    <row r="115" spans="1:15" hidden="1" x14ac:dyDescent="0.25">
      <c r="A115" t="s">
        <v>2820</v>
      </c>
      <c r="B115" t="s">
        <v>13</v>
      </c>
      <c r="C115" t="s">
        <v>14</v>
      </c>
      <c r="D115" t="s">
        <v>15</v>
      </c>
      <c r="E115" t="s">
        <v>778</v>
      </c>
      <c r="F115" s="3">
        <v>4112253</v>
      </c>
      <c r="G115" s="2">
        <f t="shared" si="2"/>
        <v>30</v>
      </c>
      <c r="H115" s="2">
        <f t="shared" ca="1" si="3"/>
        <v>1757</v>
      </c>
      <c r="I115" s="4">
        <v>44363</v>
      </c>
      <c r="J115" s="4">
        <v>44393</v>
      </c>
      <c r="K115" t="s">
        <v>766</v>
      </c>
      <c r="L115" t="s">
        <v>18</v>
      </c>
      <c r="M115" t="s">
        <v>19</v>
      </c>
      <c r="N115" t="s">
        <v>20</v>
      </c>
      <c r="O115">
        <v>30</v>
      </c>
    </row>
    <row r="116" spans="1:15" hidden="1" x14ac:dyDescent="0.25">
      <c r="A116" t="s">
        <v>2820</v>
      </c>
      <c r="B116" t="s">
        <v>13</v>
      </c>
      <c r="C116" t="s">
        <v>14</v>
      </c>
      <c r="D116" t="s">
        <v>15</v>
      </c>
      <c r="E116" t="s">
        <v>779</v>
      </c>
      <c r="F116" s="3">
        <v>344033</v>
      </c>
      <c r="G116" s="2">
        <f t="shared" si="2"/>
        <v>30</v>
      </c>
      <c r="H116" s="2">
        <f t="shared" ca="1" si="3"/>
        <v>1757</v>
      </c>
      <c r="I116" s="4">
        <v>44363</v>
      </c>
      <c r="J116" s="4">
        <v>44393</v>
      </c>
      <c r="K116" t="s">
        <v>766</v>
      </c>
      <c r="L116" t="s">
        <v>18</v>
      </c>
      <c r="M116" t="s">
        <v>19</v>
      </c>
      <c r="N116" t="s">
        <v>20</v>
      </c>
      <c r="O116">
        <v>30</v>
      </c>
    </row>
    <row r="117" spans="1:15" hidden="1" x14ac:dyDescent="0.25">
      <c r="A117" t="s">
        <v>2820</v>
      </c>
      <c r="B117" t="s">
        <v>1489</v>
      </c>
      <c r="C117" t="s">
        <v>1490</v>
      </c>
      <c r="D117" t="s">
        <v>1478</v>
      </c>
      <c r="E117" t="s">
        <v>1491</v>
      </c>
      <c r="F117" s="3">
        <v>3399936</v>
      </c>
      <c r="G117" s="2">
        <f t="shared" si="2"/>
        <v>30</v>
      </c>
      <c r="H117" s="2">
        <f t="shared" ca="1" si="3"/>
        <v>1757</v>
      </c>
      <c r="I117" s="4">
        <v>44363</v>
      </c>
      <c r="J117" s="4">
        <v>44393</v>
      </c>
      <c r="K117" t="s">
        <v>1470</v>
      </c>
      <c r="L117" t="s">
        <v>981</v>
      </c>
      <c r="M117" t="s">
        <v>19</v>
      </c>
      <c r="N117" t="s">
        <v>1492</v>
      </c>
      <c r="O117">
        <v>30</v>
      </c>
    </row>
    <row r="118" spans="1:15" hidden="1" x14ac:dyDescent="0.25">
      <c r="A118" t="s">
        <v>2820</v>
      </c>
      <c r="B118" t="s">
        <v>13</v>
      </c>
      <c r="C118" t="s">
        <v>14</v>
      </c>
      <c r="D118" t="s">
        <v>15</v>
      </c>
      <c r="E118" t="s">
        <v>688</v>
      </c>
      <c r="F118" s="3">
        <v>14040514</v>
      </c>
      <c r="G118" s="2">
        <f t="shared" si="2"/>
        <v>30</v>
      </c>
      <c r="H118" s="2">
        <f t="shared" ca="1" si="3"/>
        <v>1756</v>
      </c>
      <c r="I118" s="4">
        <v>44364</v>
      </c>
      <c r="J118" s="4">
        <v>44394</v>
      </c>
      <c r="K118" t="s">
        <v>638</v>
      </c>
      <c r="L118" t="s">
        <v>18</v>
      </c>
      <c r="M118" t="s">
        <v>19</v>
      </c>
      <c r="N118" t="s">
        <v>20</v>
      </c>
      <c r="O118">
        <v>30</v>
      </c>
    </row>
    <row r="119" spans="1:15" hidden="1" x14ac:dyDescent="0.25">
      <c r="A119" t="s">
        <v>2820</v>
      </c>
      <c r="B119" t="s">
        <v>13</v>
      </c>
      <c r="C119" t="s">
        <v>14</v>
      </c>
      <c r="D119" t="s">
        <v>15</v>
      </c>
      <c r="E119" t="s">
        <v>1011</v>
      </c>
      <c r="F119" s="3">
        <v>6455963</v>
      </c>
      <c r="G119" s="2">
        <f t="shared" si="2"/>
        <v>30</v>
      </c>
      <c r="H119" s="2">
        <f t="shared" ca="1" si="3"/>
        <v>1756</v>
      </c>
      <c r="I119" s="4">
        <v>44364</v>
      </c>
      <c r="J119" s="4">
        <v>44394</v>
      </c>
      <c r="K119" t="s">
        <v>989</v>
      </c>
      <c r="L119" t="s">
        <v>18</v>
      </c>
      <c r="M119" t="s">
        <v>19</v>
      </c>
      <c r="N119" t="s">
        <v>20</v>
      </c>
      <c r="O119">
        <v>30</v>
      </c>
    </row>
    <row r="120" spans="1:15" hidden="1" x14ac:dyDescent="0.25">
      <c r="A120" t="s">
        <v>2820</v>
      </c>
      <c r="B120" t="s">
        <v>13</v>
      </c>
      <c r="C120" t="s">
        <v>14</v>
      </c>
      <c r="D120" t="s">
        <v>15</v>
      </c>
      <c r="E120" t="s">
        <v>894</v>
      </c>
      <c r="F120" s="3">
        <v>207312</v>
      </c>
      <c r="G120" s="2">
        <f t="shared" si="2"/>
        <v>30</v>
      </c>
      <c r="H120" s="2">
        <f t="shared" ca="1" si="3"/>
        <v>1755</v>
      </c>
      <c r="I120" s="4">
        <v>44365</v>
      </c>
      <c r="J120" s="4">
        <v>44395</v>
      </c>
      <c r="K120" t="s">
        <v>845</v>
      </c>
      <c r="L120" t="s">
        <v>47</v>
      </c>
      <c r="M120" t="s">
        <v>19</v>
      </c>
      <c r="N120" t="s">
        <v>20</v>
      </c>
      <c r="O120">
        <v>30</v>
      </c>
    </row>
    <row r="121" spans="1:15" hidden="1" x14ac:dyDescent="0.25">
      <c r="A121" t="s">
        <v>2820</v>
      </c>
      <c r="B121" t="s">
        <v>13</v>
      </c>
      <c r="C121" t="s">
        <v>14</v>
      </c>
      <c r="D121" t="s">
        <v>15</v>
      </c>
      <c r="E121" t="s">
        <v>689</v>
      </c>
      <c r="F121" s="3">
        <v>2405128</v>
      </c>
      <c r="G121" s="2">
        <f t="shared" si="2"/>
        <v>30</v>
      </c>
      <c r="H121" s="2">
        <f t="shared" ca="1" si="3"/>
        <v>1750</v>
      </c>
      <c r="I121" s="4">
        <v>44370</v>
      </c>
      <c r="J121" s="4">
        <v>44400</v>
      </c>
      <c r="K121" t="s">
        <v>638</v>
      </c>
      <c r="L121" t="s">
        <v>18</v>
      </c>
      <c r="M121" t="s">
        <v>19</v>
      </c>
      <c r="N121" t="s">
        <v>20</v>
      </c>
      <c r="O121">
        <v>30</v>
      </c>
    </row>
    <row r="122" spans="1:15" hidden="1" x14ac:dyDescent="0.25">
      <c r="A122" t="s">
        <v>2820</v>
      </c>
      <c r="B122" t="s">
        <v>13</v>
      </c>
      <c r="C122" t="s">
        <v>14</v>
      </c>
      <c r="D122" t="s">
        <v>15</v>
      </c>
      <c r="E122" t="s">
        <v>690</v>
      </c>
      <c r="F122" s="3">
        <v>22307682</v>
      </c>
      <c r="G122" s="2">
        <f t="shared" si="2"/>
        <v>30</v>
      </c>
      <c r="H122" s="2">
        <f t="shared" ca="1" si="3"/>
        <v>1750</v>
      </c>
      <c r="I122" s="4">
        <v>44370</v>
      </c>
      <c r="J122" s="4">
        <v>44400</v>
      </c>
      <c r="K122" t="s">
        <v>638</v>
      </c>
      <c r="L122" t="s">
        <v>18</v>
      </c>
      <c r="M122" t="s">
        <v>19</v>
      </c>
      <c r="N122" t="s">
        <v>20</v>
      </c>
      <c r="O122">
        <v>30</v>
      </c>
    </row>
    <row r="123" spans="1:15" hidden="1" x14ac:dyDescent="0.25">
      <c r="A123" t="s">
        <v>2820</v>
      </c>
      <c r="B123" t="s">
        <v>13</v>
      </c>
      <c r="C123" t="s">
        <v>14</v>
      </c>
      <c r="D123" t="s">
        <v>15</v>
      </c>
      <c r="E123" t="s">
        <v>421</v>
      </c>
      <c r="F123" s="3">
        <v>7377848</v>
      </c>
      <c r="G123" s="2">
        <f t="shared" si="2"/>
        <v>30</v>
      </c>
      <c r="H123" s="2">
        <f t="shared" ca="1" si="3"/>
        <v>1749</v>
      </c>
      <c r="I123" s="4">
        <v>44371</v>
      </c>
      <c r="J123" s="4">
        <v>44401</v>
      </c>
      <c r="K123" t="s">
        <v>343</v>
      </c>
      <c r="L123" t="s">
        <v>18</v>
      </c>
      <c r="M123" t="s">
        <v>19</v>
      </c>
      <c r="N123" t="s">
        <v>20</v>
      </c>
      <c r="O123">
        <v>30</v>
      </c>
    </row>
    <row r="124" spans="1:15" hidden="1" x14ac:dyDescent="0.25">
      <c r="A124" t="s">
        <v>2820</v>
      </c>
      <c r="B124" t="s">
        <v>13</v>
      </c>
      <c r="C124" t="s">
        <v>14</v>
      </c>
      <c r="D124" t="s">
        <v>15</v>
      </c>
      <c r="E124" t="s">
        <v>422</v>
      </c>
      <c r="F124" s="3">
        <v>3005542</v>
      </c>
      <c r="G124" s="2">
        <f t="shared" si="2"/>
        <v>30</v>
      </c>
      <c r="H124" s="2">
        <f t="shared" ca="1" si="3"/>
        <v>1749</v>
      </c>
      <c r="I124" s="4">
        <v>44371</v>
      </c>
      <c r="J124" s="4">
        <v>44401</v>
      </c>
      <c r="K124" t="s">
        <v>343</v>
      </c>
      <c r="L124" t="s">
        <v>18</v>
      </c>
      <c r="M124" t="s">
        <v>19</v>
      </c>
      <c r="N124" t="s">
        <v>20</v>
      </c>
      <c r="O124">
        <v>30</v>
      </c>
    </row>
    <row r="125" spans="1:15" hidden="1" x14ac:dyDescent="0.25">
      <c r="A125" t="s">
        <v>2820</v>
      </c>
      <c r="B125" t="s">
        <v>13</v>
      </c>
      <c r="C125" t="s">
        <v>14</v>
      </c>
      <c r="D125" t="s">
        <v>15</v>
      </c>
      <c r="E125" t="s">
        <v>423</v>
      </c>
      <c r="F125" s="3">
        <v>769024</v>
      </c>
      <c r="G125" s="2">
        <f t="shared" si="2"/>
        <v>30</v>
      </c>
      <c r="H125" s="2">
        <f t="shared" ca="1" si="3"/>
        <v>1749</v>
      </c>
      <c r="I125" s="4">
        <v>44371</v>
      </c>
      <c r="J125" s="4">
        <v>44401</v>
      </c>
      <c r="K125" t="s">
        <v>343</v>
      </c>
      <c r="L125" t="s">
        <v>18</v>
      </c>
      <c r="M125" t="s">
        <v>19</v>
      </c>
      <c r="N125" t="s">
        <v>20</v>
      </c>
      <c r="O125">
        <v>30</v>
      </c>
    </row>
    <row r="126" spans="1:15" hidden="1" x14ac:dyDescent="0.25">
      <c r="A126" t="s">
        <v>2820</v>
      </c>
      <c r="B126" t="s">
        <v>13</v>
      </c>
      <c r="C126" t="s">
        <v>14</v>
      </c>
      <c r="D126" t="s">
        <v>15</v>
      </c>
      <c r="E126" t="s">
        <v>730</v>
      </c>
      <c r="F126" s="3">
        <v>3477610</v>
      </c>
      <c r="G126" s="2">
        <f t="shared" si="2"/>
        <v>30</v>
      </c>
      <c r="H126" s="2">
        <f t="shared" ca="1" si="3"/>
        <v>1744</v>
      </c>
      <c r="I126" s="4">
        <v>44376</v>
      </c>
      <c r="J126" s="4">
        <v>44406</v>
      </c>
      <c r="K126" t="s">
        <v>716</v>
      </c>
      <c r="L126" t="s">
        <v>18</v>
      </c>
      <c r="M126" t="s">
        <v>19</v>
      </c>
      <c r="N126" t="s">
        <v>20</v>
      </c>
      <c r="O126">
        <v>30</v>
      </c>
    </row>
    <row r="127" spans="1:15" hidden="1" x14ac:dyDescent="0.25">
      <c r="A127" t="s">
        <v>2820</v>
      </c>
      <c r="B127" t="s">
        <v>13</v>
      </c>
      <c r="C127" t="s">
        <v>14</v>
      </c>
      <c r="D127" t="s">
        <v>15</v>
      </c>
      <c r="E127" t="s">
        <v>639</v>
      </c>
      <c r="F127" s="3">
        <v>1200000</v>
      </c>
      <c r="G127" s="2">
        <f t="shared" si="2"/>
        <v>30</v>
      </c>
      <c r="H127" s="2">
        <f t="shared" ca="1" si="3"/>
        <v>1743</v>
      </c>
      <c r="I127" s="4">
        <v>44377</v>
      </c>
      <c r="J127" s="4">
        <v>44407</v>
      </c>
      <c r="K127" t="s">
        <v>638</v>
      </c>
      <c r="L127" t="s">
        <v>18</v>
      </c>
      <c r="M127" t="s">
        <v>19</v>
      </c>
      <c r="N127" t="s">
        <v>20</v>
      </c>
      <c r="O127">
        <v>30</v>
      </c>
    </row>
    <row r="128" spans="1:15" hidden="1" x14ac:dyDescent="0.25">
      <c r="A128" t="s">
        <v>2820</v>
      </c>
      <c r="B128" t="s">
        <v>13</v>
      </c>
      <c r="C128" t="s">
        <v>14</v>
      </c>
      <c r="D128" t="s">
        <v>15</v>
      </c>
      <c r="E128" t="s">
        <v>691</v>
      </c>
      <c r="F128" s="3">
        <v>11389856</v>
      </c>
      <c r="G128" s="2">
        <f t="shared" si="2"/>
        <v>30</v>
      </c>
      <c r="H128" s="2">
        <f t="shared" ca="1" si="3"/>
        <v>1743</v>
      </c>
      <c r="I128" s="4">
        <v>44377</v>
      </c>
      <c r="J128" s="4">
        <v>44407</v>
      </c>
      <c r="K128" t="s">
        <v>638</v>
      </c>
      <c r="L128" t="s">
        <v>18</v>
      </c>
      <c r="M128" t="s">
        <v>19</v>
      </c>
      <c r="N128" t="s">
        <v>20</v>
      </c>
      <c r="O128">
        <v>30</v>
      </c>
    </row>
    <row r="129" spans="1:15" hidden="1" x14ac:dyDescent="0.25">
      <c r="A129" t="s">
        <v>2820</v>
      </c>
      <c r="B129" t="s">
        <v>13</v>
      </c>
      <c r="C129" t="s">
        <v>14</v>
      </c>
      <c r="D129" t="s">
        <v>15</v>
      </c>
      <c r="E129" t="s">
        <v>895</v>
      </c>
      <c r="F129" s="3">
        <v>4710947</v>
      </c>
      <c r="G129" s="2">
        <f t="shared" si="2"/>
        <v>30</v>
      </c>
      <c r="H129" s="2">
        <f t="shared" ca="1" si="3"/>
        <v>1743</v>
      </c>
      <c r="I129" s="4">
        <v>44377</v>
      </c>
      <c r="J129" s="4">
        <v>44407</v>
      </c>
      <c r="K129" t="s">
        <v>845</v>
      </c>
      <c r="L129" t="s">
        <v>893</v>
      </c>
      <c r="M129" t="s">
        <v>19</v>
      </c>
      <c r="N129" t="s">
        <v>20</v>
      </c>
      <c r="O129">
        <v>30</v>
      </c>
    </row>
    <row r="130" spans="1:15" hidden="1" x14ac:dyDescent="0.25">
      <c r="A130" t="s">
        <v>2820</v>
      </c>
      <c r="B130" t="s">
        <v>13</v>
      </c>
      <c r="C130" t="s">
        <v>14</v>
      </c>
      <c r="D130" t="s">
        <v>15</v>
      </c>
      <c r="E130" t="s">
        <v>896</v>
      </c>
      <c r="F130" s="3">
        <v>4239681</v>
      </c>
      <c r="G130" s="2">
        <f t="shared" ref="G130:G193" si="4">+J130-I130</f>
        <v>30</v>
      </c>
      <c r="H130" s="2">
        <f t="shared" ref="H130:H193" ca="1" si="5">+TODAY()-I130</f>
        <v>1743</v>
      </c>
      <c r="I130" s="4">
        <v>44377</v>
      </c>
      <c r="J130" s="4">
        <v>44407</v>
      </c>
      <c r="K130" t="s">
        <v>845</v>
      </c>
      <c r="L130" t="s">
        <v>893</v>
      </c>
      <c r="M130" t="s">
        <v>19</v>
      </c>
      <c r="N130" t="s">
        <v>20</v>
      </c>
      <c r="O130">
        <v>30</v>
      </c>
    </row>
    <row r="131" spans="1:15" hidden="1" x14ac:dyDescent="0.25">
      <c r="A131" t="s">
        <v>2820</v>
      </c>
      <c r="B131" t="s">
        <v>13</v>
      </c>
      <c r="C131" t="s">
        <v>14</v>
      </c>
      <c r="D131" t="s">
        <v>15</v>
      </c>
      <c r="E131" t="s">
        <v>988</v>
      </c>
      <c r="F131" s="3">
        <v>5760933</v>
      </c>
      <c r="G131" s="2">
        <f t="shared" si="4"/>
        <v>30</v>
      </c>
      <c r="H131" s="2">
        <f t="shared" ca="1" si="5"/>
        <v>1743</v>
      </c>
      <c r="I131" s="4">
        <v>44377</v>
      </c>
      <c r="J131" s="4">
        <v>44407</v>
      </c>
      <c r="K131" t="s">
        <v>989</v>
      </c>
      <c r="L131" t="s">
        <v>18</v>
      </c>
      <c r="M131" t="s">
        <v>19</v>
      </c>
      <c r="N131" t="s">
        <v>20</v>
      </c>
      <c r="O131">
        <v>30</v>
      </c>
    </row>
    <row r="132" spans="1:15" hidden="1" x14ac:dyDescent="0.25">
      <c r="A132" t="s">
        <v>2820</v>
      </c>
      <c r="B132" t="s">
        <v>13</v>
      </c>
      <c r="C132" t="s">
        <v>14</v>
      </c>
      <c r="D132" t="s">
        <v>15</v>
      </c>
      <c r="E132" t="s">
        <v>424</v>
      </c>
      <c r="F132" s="3">
        <v>6240459</v>
      </c>
      <c r="G132" s="2">
        <f t="shared" si="4"/>
        <v>30</v>
      </c>
      <c r="H132" s="2">
        <f t="shared" ca="1" si="5"/>
        <v>1735</v>
      </c>
      <c r="I132" s="4">
        <v>44385</v>
      </c>
      <c r="J132" s="4">
        <v>44415</v>
      </c>
      <c r="K132" t="s">
        <v>343</v>
      </c>
      <c r="L132" t="s">
        <v>18</v>
      </c>
      <c r="M132" t="s">
        <v>19</v>
      </c>
      <c r="N132" t="s">
        <v>20</v>
      </c>
      <c r="O132">
        <v>30</v>
      </c>
    </row>
    <row r="133" spans="1:15" hidden="1" x14ac:dyDescent="0.25">
      <c r="A133" t="s">
        <v>2820</v>
      </c>
      <c r="B133" t="s">
        <v>13</v>
      </c>
      <c r="C133" t="s">
        <v>14</v>
      </c>
      <c r="D133" t="s">
        <v>15</v>
      </c>
      <c r="E133" t="s">
        <v>425</v>
      </c>
      <c r="F133" s="3">
        <v>2287827</v>
      </c>
      <c r="G133" s="2">
        <f t="shared" si="4"/>
        <v>30</v>
      </c>
      <c r="H133" s="2">
        <f t="shared" ca="1" si="5"/>
        <v>1735</v>
      </c>
      <c r="I133" s="4">
        <v>44385</v>
      </c>
      <c r="J133" s="4">
        <v>44415</v>
      </c>
      <c r="K133" t="s">
        <v>343</v>
      </c>
      <c r="L133" t="s">
        <v>18</v>
      </c>
      <c r="M133" t="s">
        <v>19</v>
      </c>
      <c r="N133" t="s">
        <v>20</v>
      </c>
      <c r="O133">
        <v>30</v>
      </c>
    </row>
    <row r="134" spans="1:15" hidden="1" x14ac:dyDescent="0.25">
      <c r="A134" t="s">
        <v>2820</v>
      </c>
      <c r="B134" t="s">
        <v>13</v>
      </c>
      <c r="C134" t="s">
        <v>14</v>
      </c>
      <c r="D134" t="s">
        <v>15</v>
      </c>
      <c r="E134" t="s">
        <v>426</v>
      </c>
      <c r="F134" s="3">
        <v>3555732</v>
      </c>
      <c r="G134" s="2">
        <f t="shared" si="4"/>
        <v>30</v>
      </c>
      <c r="H134" s="2">
        <f t="shared" ca="1" si="5"/>
        <v>1735</v>
      </c>
      <c r="I134" s="4">
        <v>44385</v>
      </c>
      <c r="J134" s="4">
        <v>44415</v>
      </c>
      <c r="K134" t="s">
        <v>343</v>
      </c>
      <c r="L134" t="s">
        <v>18</v>
      </c>
      <c r="M134" t="s">
        <v>19</v>
      </c>
      <c r="N134" t="s">
        <v>20</v>
      </c>
      <c r="O134">
        <v>30</v>
      </c>
    </row>
    <row r="135" spans="1:15" hidden="1" x14ac:dyDescent="0.25">
      <c r="A135" t="s">
        <v>2820</v>
      </c>
      <c r="B135" t="s">
        <v>13</v>
      </c>
      <c r="C135" t="s">
        <v>14</v>
      </c>
      <c r="D135" t="s">
        <v>15</v>
      </c>
      <c r="E135" t="s">
        <v>427</v>
      </c>
      <c r="F135" s="3">
        <v>338266</v>
      </c>
      <c r="G135" s="2">
        <f t="shared" si="4"/>
        <v>30</v>
      </c>
      <c r="H135" s="2">
        <f t="shared" ca="1" si="5"/>
        <v>1735</v>
      </c>
      <c r="I135" s="4">
        <v>44385</v>
      </c>
      <c r="J135" s="4">
        <v>44415</v>
      </c>
      <c r="K135" t="s">
        <v>343</v>
      </c>
      <c r="L135" t="s">
        <v>18</v>
      </c>
      <c r="M135" t="s">
        <v>19</v>
      </c>
      <c r="N135" t="s">
        <v>20</v>
      </c>
      <c r="O135">
        <v>30</v>
      </c>
    </row>
    <row r="136" spans="1:15" hidden="1" x14ac:dyDescent="0.25">
      <c r="A136" t="s">
        <v>2820</v>
      </c>
      <c r="B136" t="s">
        <v>13</v>
      </c>
      <c r="C136" t="s">
        <v>14</v>
      </c>
      <c r="D136" t="s">
        <v>15</v>
      </c>
      <c r="E136" t="s">
        <v>428</v>
      </c>
      <c r="F136" s="3">
        <v>478250</v>
      </c>
      <c r="G136" s="2">
        <f t="shared" si="4"/>
        <v>30</v>
      </c>
      <c r="H136" s="2">
        <f t="shared" ca="1" si="5"/>
        <v>1734</v>
      </c>
      <c r="I136" s="4">
        <v>44386</v>
      </c>
      <c r="J136" s="4">
        <v>44416</v>
      </c>
      <c r="K136" t="s">
        <v>343</v>
      </c>
      <c r="L136" t="s">
        <v>47</v>
      </c>
      <c r="M136" t="s">
        <v>19</v>
      </c>
      <c r="N136" t="s">
        <v>20</v>
      </c>
      <c r="O136">
        <v>30</v>
      </c>
    </row>
    <row r="137" spans="1:15" hidden="1" x14ac:dyDescent="0.25">
      <c r="A137" t="s">
        <v>2820</v>
      </c>
      <c r="B137" t="s">
        <v>13</v>
      </c>
      <c r="C137" t="s">
        <v>14</v>
      </c>
      <c r="D137" t="s">
        <v>15</v>
      </c>
      <c r="E137" t="s">
        <v>692</v>
      </c>
      <c r="F137" s="3">
        <v>734010</v>
      </c>
      <c r="G137" s="2">
        <f t="shared" si="4"/>
        <v>30</v>
      </c>
      <c r="H137" s="2">
        <f t="shared" ca="1" si="5"/>
        <v>1730</v>
      </c>
      <c r="I137" s="4">
        <v>44390</v>
      </c>
      <c r="J137" s="4">
        <v>44420</v>
      </c>
      <c r="K137" t="s">
        <v>638</v>
      </c>
      <c r="L137" t="s">
        <v>47</v>
      </c>
      <c r="M137" t="s">
        <v>19</v>
      </c>
      <c r="N137" t="s">
        <v>20</v>
      </c>
      <c r="O137">
        <v>30</v>
      </c>
    </row>
    <row r="138" spans="1:15" hidden="1" x14ac:dyDescent="0.25">
      <c r="A138" t="s">
        <v>2820</v>
      </c>
      <c r="B138" t="s">
        <v>13</v>
      </c>
      <c r="C138" t="s">
        <v>14</v>
      </c>
      <c r="D138" t="s">
        <v>15</v>
      </c>
      <c r="E138" t="s">
        <v>731</v>
      </c>
      <c r="F138" s="3">
        <v>1772694</v>
      </c>
      <c r="G138" s="2">
        <f t="shared" si="4"/>
        <v>30</v>
      </c>
      <c r="H138" s="2">
        <f t="shared" ca="1" si="5"/>
        <v>1730</v>
      </c>
      <c r="I138" s="4">
        <v>44390</v>
      </c>
      <c r="J138" s="4">
        <v>44420</v>
      </c>
      <c r="K138" t="s">
        <v>716</v>
      </c>
      <c r="L138" t="s">
        <v>18</v>
      </c>
      <c r="M138" t="s">
        <v>19</v>
      </c>
      <c r="N138" t="s">
        <v>20</v>
      </c>
      <c r="O138">
        <v>30</v>
      </c>
    </row>
    <row r="139" spans="1:15" hidden="1" x14ac:dyDescent="0.25">
      <c r="A139" t="s">
        <v>2820</v>
      </c>
      <c r="B139" t="s">
        <v>13</v>
      </c>
      <c r="C139" t="s">
        <v>14</v>
      </c>
      <c r="D139" t="s">
        <v>15</v>
      </c>
      <c r="E139" t="s">
        <v>780</v>
      </c>
      <c r="F139" s="3">
        <v>3631059</v>
      </c>
      <c r="G139" s="2">
        <f t="shared" si="4"/>
        <v>30</v>
      </c>
      <c r="H139" s="2">
        <f t="shared" ca="1" si="5"/>
        <v>1730</v>
      </c>
      <c r="I139" s="4">
        <v>44390</v>
      </c>
      <c r="J139" s="4">
        <v>44420</v>
      </c>
      <c r="K139" t="s">
        <v>766</v>
      </c>
      <c r="L139" t="s">
        <v>18</v>
      </c>
      <c r="M139" t="s">
        <v>19</v>
      </c>
      <c r="N139" t="s">
        <v>20</v>
      </c>
      <c r="O139">
        <v>30</v>
      </c>
    </row>
    <row r="140" spans="1:15" hidden="1" x14ac:dyDescent="0.25">
      <c r="A140" t="s">
        <v>2820</v>
      </c>
      <c r="B140" t="s">
        <v>13</v>
      </c>
      <c r="C140" t="s">
        <v>14</v>
      </c>
      <c r="D140" t="s">
        <v>15</v>
      </c>
      <c r="E140" t="s">
        <v>781</v>
      </c>
      <c r="F140" s="3">
        <v>1265233</v>
      </c>
      <c r="G140" s="2">
        <f t="shared" si="4"/>
        <v>30</v>
      </c>
      <c r="H140" s="2">
        <f t="shared" ca="1" si="5"/>
        <v>1730</v>
      </c>
      <c r="I140" s="4">
        <v>44390</v>
      </c>
      <c r="J140" s="4">
        <v>44420</v>
      </c>
      <c r="K140" t="s">
        <v>766</v>
      </c>
      <c r="L140" t="s">
        <v>18</v>
      </c>
      <c r="M140" t="s">
        <v>19</v>
      </c>
      <c r="N140" t="s">
        <v>20</v>
      </c>
      <c r="O140">
        <v>30</v>
      </c>
    </row>
    <row r="141" spans="1:15" hidden="1" x14ac:dyDescent="0.25">
      <c r="A141" t="s">
        <v>2820</v>
      </c>
      <c r="B141" t="s">
        <v>13</v>
      </c>
      <c r="C141" t="s">
        <v>14</v>
      </c>
      <c r="D141" t="s">
        <v>15</v>
      </c>
      <c r="E141" t="s">
        <v>1222</v>
      </c>
      <c r="F141" s="3">
        <v>1817717</v>
      </c>
      <c r="G141" s="2">
        <f t="shared" si="4"/>
        <v>30</v>
      </c>
      <c r="H141" s="2">
        <f t="shared" ca="1" si="5"/>
        <v>1730</v>
      </c>
      <c r="I141" s="4">
        <v>44390</v>
      </c>
      <c r="J141" s="4">
        <v>44420</v>
      </c>
      <c r="K141" t="s">
        <v>1217</v>
      </c>
      <c r="L141" t="s">
        <v>893</v>
      </c>
      <c r="M141" t="s">
        <v>19</v>
      </c>
      <c r="N141" t="s">
        <v>20</v>
      </c>
      <c r="O141">
        <v>30</v>
      </c>
    </row>
    <row r="142" spans="1:15" hidden="1" x14ac:dyDescent="0.25">
      <c r="A142" t="s">
        <v>2820</v>
      </c>
      <c r="B142" t="s">
        <v>13</v>
      </c>
      <c r="C142" t="s">
        <v>14</v>
      </c>
      <c r="D142" t="s">
        <v>15</v>
      </c>
      <c r="E142" t="s">
        <v>1223</v>
      </c>
      <c r="F142" s="3">
        <v>364960</v>
      </c>
      <c r="G142" s="2">
        <f t="shared" si="4"/>
        <v>30</v>
      </c>
      <c r="H142" s="2">
        <f t="shared" ca="1" si="5"/>
        <v>1730</v>
      </c>
      <c r="I142" s="4">
        <v>44390</v>
      </c>
      <c r="J142" s="4">
        <v>44420</v>
      </c>
      <c r="K142" t="s">
        <v>1217</v>
      </c>
      <c r="L142" t="s">
        <v>893</v>
      </c>
      <c r="M142" t="s">
        <v>19</v>
      </c>
      <c r="N142" t="s">
        <v>20</v>
      </c>
      <c r="O142">
        <v>30</v>
      </c>
    </row>
    <row r="143" spans="1:15" hidden="1" x14ac:dyDescent="0.25">
      <c r="A143" t="s">
        <v>2820</v>
      </c>
      <c r="B143" t="s">
        <v>13</v>
      </c>
      <c r="C143" t="s">
        <v>14</v>
      </c>
      <c r="D143" t="s">
        <v>15</v>
      </c>
      <c r="E143" t="s">
        <v>1224</v>
      </c>
      <c r="F143" s="3">
        <v>1000500</v>
      </c>
      <c r="G143" s="2">
        <f t="shared" si="4"/>
        <v>30</v>
      </c>
      <c r="H143" s="2">
        <f t="shared" ca="1" si="5"/>
        <v>1730</v>
      </c>
      <c r="I143" s="4">
        <v>44390</v>
      </c>
      <c r="J143" s="4">
        <v>44420</v>
      </c>
      <c r="K143" t="s">
        <v>1217</v>
      </c>
      <c r="L143" t="s">
        <v>893</v>
      </c>
      <c r="M143" t="s">
        <v>19</v>
      </c>
      <c r="N143" t="s">
        <v>20</v>
      </c>
      <c r="O143">
        <v>30</v>
      </c>
    </row>
    <row r="144" spans="1:15" hidden="1" x14ac:dyDescent="0.25">
      <c r="A144" t="s">
        <v>2820</v>
      </c>
      <c r="B144" t="s">
        <v>13</v>
      </c>
      <c r="C144" t="s">
        <v>14</v>
      </c>
      <c r="D144" t="s">
        <v>15</v>
      </c>
      <c r="E144" t="s">
        <v>693</v>
      </c>
      <c r="F144" s="3">
        <v>5850122</v>
      </c>
      <c r="G144" s="2">
        <f t="shared" si="4"/>
        <v>30</v>
      </c>
      <c r="H144" s="2">
        <f t="shared" ca="1" si="5"/>
        <v>1729</v>
      </c>
      <c r="I144" s="4">
        <v>44391</v>
      </c>
      <c r="J144" s="4">
        <v>44421</v>
      </c>
      <c r="K144" t="s">
        <v>638</v>
      </c>
      <c r="L144" t="s">
        <v>18</v>
      </c>
      <c r="M144" t="s">
        <v>19</v>
      </c>
      <c r="N144" t="s">
        <v>20</v>
      </c>
      <c r="O144">
        <v>30</v>
      </c>
    </row>
    <row r="145" spans="1:15" hidden="1" x14ac:dyDescent="0.25">
      <c r="A145" t="s">
        <v>2820</v>
      </c>
      <c r="B145" t="s">
        <v>13</v>
      </c>
      <c r="C145" t="s">
        <v>14</v>
      </c>
      <c r="D145" t="s">
        <v>15</v>
      </c>
      <c r="E145" t="s">
        <v>694</v>
      </c>
      <c r="F145" s="3">
        <v>1366570</v>
      </c>
      <c r="G145" s="2">
        <f t="shared" si="4"/>
        <v>30</v>
      </c>
      <c r="H145" s="2">
        <f t="shared" ca="1" si="5"/>
        <v>1729</v>
      </c>
      <c r="I145" s="4">
        <v>44391</v>
      </c>
      <c r="J145" s="4">
        <v>44421</v>
      </c>
      <c r="K145" t="s">
        <v>638</v>
      </c>
      <c r="L145" t="s">
        <v>47</v>
      </c>
      <c r="M145" t="s">
        <v>19</v>
      </c>
      <c r="N145" t="s">
        <v>20</v>
      </c>
      <c r="O145">
        <v>30</v>
      </c>
    </row>
    <row r="146" spans="1:15" hidden="1" x14ac:dyDescent="0.25">
      <c r="A146" t="s">
        <v>2820</v>
      </c>
      <c r="B146" t="s">
        <v>13</v>
      </c>
      <c r="C146" t="s">
        <v>14</v>
      </c>
      <c r="D146" t="s">
        <v>15</v>
      </c>
      <c r="E146" t="s">
        <v>695</v>
      </c>
      <c r="F146" s="3">
        <v>2199677</v>
      </c>
      <c r="G146" s="2">
        <f t="shared" si="4"/>
        <v>30</v>
      </c>
      <c r="H146" s="2">
        <f t="shared" ca="1" si="5"/>
        <v>1729</v>
      </c>
      <c r="I146" s="4">
        <v>44391</v>
      </c>
      <c r="J146" s="4">
        <v>44421</v>
      </c>
      <c r="K146" t="s">
        <v>638</v>
      </c>
      <c r="L146" t="s">
        <v>47</v>
      </c>
      <c r="M146" t="s">
        <v>19</v>
      </c>
      <c r="N146" t="s">
        <v>20</v>
      </c>
      <c r="O146">
        <v>30</v>
      </c>
    </row>
    <row r="147" spans="1:15" hidden="1" x14ac:dyDescent="0.25">
      <c r="A147" t="s">
        <v>2820</v>
      </c>
      <c r="B147" t="s">
        <v>13</v>
      </c>
      <c r="C147" t="s">
        <v>14</v>
      </c>
      <c r="D147" t="s">
        <v>15</v>
      </c>
      <c r="E147" t="s">
        <v>1012</v>
      </c>
      <c r="F147" s="3">
        <v>8180251</v>
      </c>
      <c r="G147" s="2">
        <f t="shared" si="4"/>
        <v>30</v>
      </c>
      <c r="H147" s="2">
        <f t="shared" ca="1" si="5"/>
        <v>1729</v>
      </c>
      <c r="I147" s="4">
        <v>44391</v>
      </c>
      <c r="J147" s="4">
        <v>44421</v>
      </c>
      <c r="K147" t="s">
        <v>989</v>
      </c>
      <c r="L147" t="s">
        <v>18</v>
      </c>
      <c r="M147" t="s">
        <v>19</v>
      </c>
      <c r="N147" t="s">
        <v>20</v>
      </c>
      <c r="O147">
        <v>30</v>
      </c>
    </row>
    <row r="148" spans="1:15" hidden="1" x14ac:dyDescent="0.25">
      <c r="A148" t="s">
        <v>2820</v>
      </c>
      <c r="B148" t="s">
        <v>13</v>
      </c>
      <c r="C148" t="s">
        <v>14</v>
      </c>
      <c r="D148" t="s">
        <v>15</v>
      </c>
      <c r="E148" t="s">
        <v>429</v>
      </c>
      <c r="F148" s="3">
        <v>8225486</v>
      </c>
      <c r="G148" s="2">
        <f t="shared" si="4"/>
        <v>30</v>
      </c>
      <c r="H148" s="2">
        <f t="shared" ca="1" si="5"/>
        <v>1723</v>
      </c>
      <c r="I148" s="4">
        <v>44397</v>
      </c>
      <c r="J148" s="4">
        <v>44427</v>
      </c>
      <c r="K148" t="s">
        <v>343</v>
      </c>
      <c r="L148" t="s">
        <v>18</v>
      </c>
      <c r="M148" t="s">
        <v>19</v>
      </c>
      <c r="N148" t="s">
        <v>20</v>
      </c>
      <c r="O148">
        <v>30</v>
      </c>
    </row>
    <row r="149" spans="1:15" hidden="1" x14ac:dyDescent="0.25">
      <c r="A149" t="s">
        <v>2820</v>
      </c>
      <c r="B149" t="s">
        <v>13</v>
      </c>
      <c r="C149" t="s">
        <v>14</v>
      </c>
      <c r="D149" t="s">
        <v>15</v>
      </c>
      <c r="E149" t="s">
        <v>430</v>
      </c>
      <c r="F149" s="3">
        <v>2030581</v>
      </c>
      <c r="G149" s="2">
        <f t="shared" si="4"/>
        <v>30</v>
      </c>
      <c r="H149" s="2">
        <f t="shared" ca="1" si="5"/>
        <v>1723</v>
      </c>
      <c r="I149" s="4">
        <v>44397</v>
      </c>
      <c r="J149" s="4">
        <v>44427</v>
      </c>
      <c r="K149" t="s">
        <v>343</v>
      </c>
      <c r="L149" t="s">
        <v>18</v>
      </c>
      <c r="M149" t="s">
        <v>19</v>
      </c>
      <c r="N149" t="s">
        <v>20</v>
      </c>
      <c r="O149">
        <v>30</v>
      </c>
    </row>
    <row r="150" spans="1:15" hidden="1" x14ac:dyDescent="0.25">
      <c r="A150" t="s">
        <v>2820</v>
      </c>
      <c r="B150" t="s">
        <v>13</v>
      </c>
      <c r="C150" t="s">
        <v>14</v>
      </c>
      <c r="D150" t="s">
        <v>15</v>
      </c>
      <c r="E150" t="s">
        <v>431</v>
      </c>
      <c r="F150" s="3">
        <v>2811032</v>
      </c>
      <c r="G150" s="2">
        <f t="shared" si="4"/>
        <v>30</v>
      </c>
      <c r="H150" s="2">
        <f t="shared" ca="1" si="5"/>
        <v>1723</v>
      </c>
      <c r="I150" s="4">
        <v>44397</v>
      </c>
      <c r="J150" s="4">
        <v>44427</v>
      </c>
      <c r="K150" t="s">
        <v>343</v>
      </c>
      <c r="L150" t="s">
        <v>18</v>
      </c>
      <c r="M150" t="s">
        <v>19</v>
      </c>
      <c r="N150" t="s">
        <v>20</v>
      </c>
      <c r="O150">
        <v>30</v>
      </c>
    </row>
    <row r="151" spans="1:15" hidden="1" x14ac:dyDescent="0.25">
      <c r="A151" t="s">
        <v>2820</v>
      </c>
      <c r="B151" t="s">
        <v>13</v>
      </c>
      <c r="C151" t="s">
        <v>14</v>
      </c>
      <c r="D151" t="s">
        <v>15</v>
      </c>
      <c r="E151" t="s">
        <v>432</v>
      </c>
      <c r="F151" s="3">
        <v>119695</v>
      </c>
      <c r="G151" s="2">
        <f t="shared" si="4"/>
        <v>30</v>
      </c>
      <c r="H151" s="2">
        <f t="shared" ca="1" si="5"/>
        <v>1723</v>
      </c>
      <c r="I151" s="4">
        <v>44397</v>
      </c>
      <c r="J151" s="4">
        <v>44427</v>
      </c>
      <c r="K151" t="s">
        <v>343</v>
      </c>
      <c r="L151" t="s">
        <v>47</v>
      </c>
      <c r="M151" t="s">
        <v>19</v>
      </c>
      <c r="N151" t="s">
        <v>20</v>
      </c>
      <c r="O151">
        <v>30</v>
      </c>
    </row>
    <row r="152" spans="1:15" hidden="1" x14ac:dyDescent="0.25">
      <c r="A152" t="s">
        <v>2820</v>
      </c>
      <c r="B152" t="s">
        <v>13</v>
      </c>
      <c r="C152" t="s">
        <v>14</v>
      </c>
      <c r="D152" t="s">
        <v>15</v>
      </c>
      <c r="E152" t="s">
        <v>732</v>
      </c>
      <c r="F152" s="3">
        <v>927721</v>
      </c>
      <c r="G152" s="2">
        <f t="shared" si="4"/>
        <v>30</v>
      </c>
      <c r="H152" s="2">
        <f t="shared" ca="1" si="5"/>
        <v>1716</v>
      </c>
      <c r="I152" s="4">
        <v>44404</v>
      </c>
      <c r="J152" s="4">
        <v>44434</v>
      </c>
      <c r="K152" t="s">
        <v>716</v>
      </c>
      <c r="L152" t="s">
        <v>18</v>
      </c>
      <c r="M152" t="s">
        <v>19</v>
      </c>
      <c r="N152" t="s">
        <v>20</v>
      </c>
      <c r="O152">
        <v>30</v>
      </c>
    </row>
    <row r="153" spans="1:15" hidden="1" x14ac:dyDescent="0.25">
      <c r="A153" t="s">
        <v>2820</v>
      </c>
      <c r="B153" t="s">
        <v>13</v>
      </c>
      <c r="C153" t="s">
        <v>14</v>
      </c>
      <c r="D153" t="s">
        <v>15</v>
      </c>
      <c r="E153" t="s">
        <v>782</v>
      </c>
      <c r="F153" s="3">
        <v>4045973</v>
      </c>
      <c r="G153" s="2">
        <f t="shared" si="4"/>
        <v>30</v>
      </c>
      <c r="H153" s="2">
        <f t="shared" ca="1" si="5"/>
        <v>1716</v>
      </c>
      <c r="I153" s="4">
        <v>44404</v>
      </c>
      <c r="J153" s="4">
        <v>44434</v>
      </c>
      <c r="K153" t="s">
        <v>766</v>
      </c>
      <c r="L153" t="s">
        <v>18</v>
      </c>
      <c r="M153" t="s">
        <v>19</v>
      </c>
      <c r="N153" t="s">
        <v>20</v>
      </c>
      <c r="O153">
        <v>30</v>
      </c>
    </row>
    <row r="154" spans="1:15" hidden="1" x14ac:dyDescent="0.25">
      <c r="A154" t="s">
        <v>2820</v>
      </c>
      <c r="B154" t="s">
        <v>13</v>
      </c>
      <c r="C154" t="s">
        <v>14</v>
      </c>
      <c r="D154" t="s">
        <v>15</v>
      </c>
      <c r="E154" t="s">
        <v>783</v>
      </c>
      <c r="F154" s="3">
        <v>1363881</v>
      </c>
      <c r="G154" s="2">
        <f t="shared" si="4"/>
        <v>30</v>
      </c>
      <c r="H154" s="2">
        <f t="shared" ca="1" si="5"/>
        <v>1716</v>
      </c>
      <c r="I154" s="4">
        <v>44404</v>
      </c>
      <c r="J154" s="4">
        <v>44434</v>
      </c>
      <c r="K154" t="s">
        <v>766</v>
      </c>
      <c r="L154" t="s">
        <v>18</v>
      </c>
      <c r="M154" t="s">
        <v>19</v>
      </c>
      <c r="N154" t="s">
        <v>20</v>
      </c>
      <c r="O154">
        <v>30</v>
      </c>
    </row>
    <row r="155" spans="1:15" hidden="1" x14ac:dyDescent="0.25">
      <c r="A155" t="s">
        <v>2820</v>
      </c>
      <c r="B155" t="s">
        <v>13</v>
      </c>
      <c r="C155" t="s">
        <v>14</v>
      </c>
      <c r="D155" t="s">
        <v>15</v>
      </c>
      <c r="E155" t="s">
        <v>784</v>
      </c>
      <c r="F155" s="3">
        <v>536533</v>
      </c>
      <c r="G155" s="2">
        <f t="shared" si="4"/>
        <v>30</v>
      </c>
      <c r="H155" s="2">
        <f t="shared" ca="1" si="5"/>
        <v>1716</v>
      </c>
      <c r="I155" s="4">
        <v>44404</v>
      </c>
      <c r="J155" s="4">
        <v>44434</v>
      </c>
      <c r="K155" t="s">
        <v>766</v>
      </c>
      <c r="L155" t="s">
        <v>18</v>
      </c>
      <c r="M155" t="s">
        <v>19</v>
      </c>
      <c r="N155" t="s">
        <v>20</v>
      </c>
      <c r="O155">
        <v>30</v>
      </c>
    </row>
    <row r="156" spans="1:15" hidden="1" x14ac:dyDescent="0.25">
      <c r="A156" t="s">
        <v>2820</v>
      </c>
      <c r="B156" t="s">
        <v>13</v>
      </c>
      <c r="C156" t="s">
        <v>14</v>
      </c>
      <c r="D156" t="s">
        <v>15</v>
      </c>
      <c r="E156" t="s">
        <v>696</v>
      </c>
      <c r="F156" s="3">
        <v>11798293</v>
      </c>
      <c r="G156" s="2">
        <f t="shared" si="4"/>
        <v>30</v>
      </c>
      <c r="H156" s="2">
        <f t="shared" ca="1" si="5"/>
        <v>1715</v>
      </c>
      <c r="I156" s="4">
        <v>44405</v>
      </c>
      <c r="J156" s="4">
        <v>44435</v>
      </c>
      <c r="K156" t="s">
        <v>638</v>
      </c>
      <c r="L156" t="s">
        <v>18</v>
      </c>
      <c r="M156" t="s">
        <v>19</v>
      </c>
      <c r="N156" t="s">
        <v>20</v>
      </c>
      <c r="O156">
        <v>30</v>
      </c>
    </row>
    <row r="157" spans="1:15" hidden="1" x14ac:dyDescent="0.25">
      <c r="A157" t="s">
        <v>2820</v>
      </c>
      <c r="B157" t="s">
        <v>13</v>
      </c>
      <c r="C157" t="s">
        <v>14</v>
      </c>
      <c r="D157" t="s">
        <v>15</v>
      </c>
      <c r="E157" t="s">
        <v>897</v>
      </c>
      <c r="F157" s="3">
        <v>336516</v>
      </c>
      <c r="G157" s="2">
        <f t="shared" si="4"/>
        <v>30</v>
      </c>
      <c r="H157" s="2">
        <f t="shared" ca="1" si="5"/>
        <v>1714</v>
      </c>
      <c r="I157" s="4">
        <v>44406</v>
      </c>
      <c r="J157" s="4">
        <v>44436</v>
      </c>
      <c r="K157" t="s">
        <v>845</v>
      </c>
      <c r="L157" t="s">
        <v>47</v>
      </c>
      <c r="M157" t="s">
        <v>19</v>
      </c>
      <c r="N157" t="s">
        <v>20</v>
      </c>
      <c r="O157">
        <v>30</v>
      </c>
    </row>
    <row r="158" spans="1:15" hidden="1" x14ac:dyDescent="0.25">
      <c r="A158" t="s">
        <v>2820</v>
      </c>
      <c r="B158" t="s">
        <v>13</v>
      </c>
      <c r="C158" t="s">
        <v>14</v>
      </c>
      <c r="D158" t="s">
        <v>15</v>
      </c>
      <c r="E158" t="s">
        <v>1013</v>
      </c>
      <c r="F158" s="3">
        <v>7947031</v>
      </c>
      <c r="G158" s="2">
        <f t="shared" si="4"/>
        <v>30</v>
      </c>
      <c r="H158" s="2">
        <f t="shared" ca="1" si="5"/>
        <v>1714</v>
      </c>
      <c r="I158" s="4">
        <v>44406</v>
      </c>
      <c r="J158" s="4">
        <v>44436</v>
      </c>
      <c r="K158" t="s">
        <v>989</v>
      </c>
      <c r="L158" t="s">
        <v>18</v>
      </c>
      <c r="M158" t="s">
        <v>19</v>
      </c>
      <c r="N158" t="s">
        <v>20</v>
      </c>
      <c r="O158">
        <v>30</v>
      </c>
    </row>
    <row r="159" spans="1:15" hidden="1" x14ac:dyDescent="0.25">
      <c r="A159" t="s">
        <v>2820</v>
      </c>
      <c r="B159" t="s">
        <v>13</v>
      </c>
      <c r="C159" t="s">
        <v>14</v>
      </c>
      <c r="D159" t="s">
        <v>15</v>
      </c>
      <c r="E159" t="s">
        <v>898</v>
      </c>
      <c r="F159" s="3">
        <v>691040</v>
      </c>
      <c r="G159" s="2">
        <f t="shared" si="4"/>
        <v>30</v>
      </c>
      <c r="H159" s="2">
        <f t="shared" ca="1" si="5"/>
        <v>1713</v>
      </c>
      <c r="I159" s="4">
        <v>44407</v>
      </c>
      <c r="J159" s="4">
        <v>44437</v>
      </c>
      <c r="K159" t="s">
        <v>845</v>
      </c>
      <c r="L159" t="s">
        <v>47</v>
      </c>
      <c r="M159" t="s">
        <v>19</v>
      </c>
      <c r="N159" t="s">
        <v>20</v>
      </c>
      <c r="O159">
        <v>30</v>
      </c>
    </row>
    <row r="160" spans="1:15" hidden="1" x14ac:dyDescent="0.25">
      <c r="A160" t="s">
        <v>2820</v>
      </c>
      <c r="B160" t="s">
        <v>13</v>
      </c>
      <c r="C160" t="s">
        <v>14</v>
      </c>
      <c r="D160" t="s">
        <v>15</v>
      </c>
      <c r="E160" t="s">
        <v>433</v>
      </c>
      <c r="F160" s="3">
        <v>1744664</v>
      </c>
      <c r="G160" s="2">
        <f t="shared" si="4"/>
        <v>30</v>
      </c>
      <c r="H160" s="2">
        <f t="shared" ca="1" si="5"/>
        <v>1708</v>
      </c>
      <c r="I160" s="4">
        <v>44412</v>
      </c>
      <c r="J160" s="4">
        <v>44442</v>
      </c>
      <c r="K160" t="s">
        <v>343</v>
      </c>
      <c r="L160" t="s">
        <v>47</v>
      </c>
      <c r="M160" t="s">
        <v>19</v>
      </c>
      <c r="N160" t="s">
        <v>20</v>
      </c>
      <c r="O160">
        <v>30</v>
      </c>
    </row>
    <row r="161" spans="1:15" hidden="1" x14ac:dyDescent="0.25">
      <c r="A161" t="s">
        <v>2820</v>
      </c>
      <c r="B161" t="s">
        <v>13</v>
      </c>
      <c r="C161" t="s">
        <v>14</v>
      </c>
      <c r="D161" t="s">
        <v>15</v>
      </c>
      <c r="E161" t="s">
        <v>434</v>
      </c>
      <c r="F161" s="3">
        <v>3588189</v>
      </c>
      <c r="G161" s="2">
        <f t="shared" si="4"/>
        <v>30</v>
      </c>
      <c r="H161" s="2">
        <f t="shared" ca="1" si="5"/>
        <v>1708</v>
      </c>
      <c r="I161" s="4">
        <v>44412</v>
      </c>
      <c r="J161" s="4">
        <v>44442</v>
      </c>
      <c r="K161" t="s">
        <v>343</v>
      </c>
      <c r="L161" t="s">
        <v>18</v>
      </c>
      <c r="M161" t="s">
        <v>19</v>
      </c>
      <c r="N161" t="s">
        <v>20</v>
      </c>
      <c r="O161">
        <v>30</v>
      </c>
    </row>
    <row r="162" spans="1:15" hidden="1" x14ac:dyDescent="0.25">
      <c r="A162" t="s">
        <v>2820</v>
      </c>
      <c r="B162" t="s">
        <v>13</v>
      </c>
      <c r="C162" t="s">
        <v>14</v>
      </c>
      <c r="D162" t="s">
        <v>15</v>
      </c>
      <c r="E162" t="s">
        <v>435</v>
      </c>
      <c r="F162" s="3">
        <v>2285734</v>
      </c>
      <c r="G162" s="2">
        <f t="shared" si="4"/>
        <v>30</v>
      </c>
      <c r="H162" s="2">
        <f t="shared" ca="1" si="5"/>
        <v>1708</v>
      </c>
      <c r="I162" s="4">
        <v>44412</v>
      </c>
      <c r="J162" s="4">
        <v>44442</v>
      </c>
      <c r="K162" t="s">
        <v>343</v>
      </c>
      <c r="L162" t="s">
        <v>18</v>
      </c>
      <c r="M162" t="s">
        <v>19</v>
      </c>
      <c r="N162" t="s">
        <v>20</v>
      </c>
      <c r="O162">
        <v>30</v>
      </c>
    </row>
    <row r="163" spans="1:15" hidden="1" x14ac:dyDescent="0.25">
      <c r="A163" t="s">
        <v>2820</v>
      </c>
      <c r="B163" t="s">
        <v>13</v>
      </c>
      <c r="C163" t="s">
        <v>14</v>
      </c>
      <c r="D163" t="s">
        <v>15</v>
      </c>
      <c r="E163" t="s">
        <v>436</v>
      </c>
      <c r="F163" s="3">
        <v>754301</v>
      </c>
      <c r="G163" s="2">
        <f t="shared" si="4"/>
        <v>30</v>
      </c>
      <c r="H163" s="2">
        <f t="shared" ca="1" si="5"/>
        <v>1706</v>
      </c>
      <c r="I163" s="4">
        <v>44414</v>
      </c>
      <c r="J163" s="4">
        <v>44444</v>
      </c>
      <c r="K163" t="s">
        <v>343</v>
      </c>
      <c r="L163" t="s">
        <v>18</v>
      </c>
      <c r="M163" t="s">
        <v>19</v>
      </c>
      <c r="N163" t="s">
        <v>20</v>
      </c>
      <c r="O163">
        <v>30</v>
      </c>
    </row>
    <row r="164" spans="1:15" hidden="1" x14ac:dyDescent="0.25">
      <c r="A164" t="s">
        <v>2820</v>
      </c>
      <c r="B164" t="s">
        <v>13</v>
      </c>
      <c r="C164" t="s">
        <v>14</v>
      </c>
      <c r="D164" t="s">
        <v>15</v>
      </c>
      <c r="E164" t="s">
        <v>697</v>
      </c>
      <c r="F164" s="3">
        <v>3306259</v>
      </c>
      <c r="G164" s="2">
        <f t="shared" si="4"/>
        <v>30</v>
      </c>
      <c r="H164" s="2">
        <f t="shared" ca="1" si="5"/>
        <v>1706</v>
      </c>
      <c r="I164" s="4">
        <v>44414</v>
      </c>
      <c r="J164" s="4">
        <v>44444</v>
      </c>
      <c r="K164" t="s">
        <v>638</v>
      </c>
      <c r="L164" t="s">
        <v>18</v>
      </c>
      <c r="M164" t="s">
        <v>19</v>
      </c>
      <c r="N164" t="s">
        <v>20</v>
      </c>
      <c r="O164">
        <v>30</v>
      </c>
    </row>
    <row r="165" spans="1:15" hidden="1" x14ac:dyDescent="0.25">
      <c r="A165" t="s">
        <v>2820</v>
      </c>
      <c r="B165" t="s">
        <v>13</v>
      </c>
      <c r="C165" t="s">
        <v>14</v>
      </c>
      <c r="D165" t="s">
        <v>15</v>
      </c>
      <c r="E165" t="s">
        <v>698</v>
      </c>
      <c r="F165" s="3">
        <v>8743874</v>
      </c>
      <c r="G165" s="2">
        <f t="shared" si="4"/>
        <v>30</v>
      </c>
      <c r="H165" s="2">
        <f t="shared" ca="1" si="5"/>
        <v>1702</v>
      </c>
      <c r="I165" s="4">
        <v>44418</v>
      </c>
      <c r="J165" s="4">
        <v>44448</v>
      </c>
      <c r="K165" t="s">
        <v>638</v>
      </c>
      <c r="L165" t="s">
        <v>18</v>
      </c>
      <c r="M165" t="s">
        <v>19</v>
      </c>
      <c r="N165" t="s">
        <v>20</v>
      </c>
      <c r="O165">
        <v>30</v>
      </c>
    </row>
    <row r="166" spans="1:15" hidden="1" x14ac:dyDescent="0.25">
      <c r="A166" t="s">
        <v>2820</v>
      </c>
      <c r="B166" t="s">
        <v>13</v>
      </c>
      <c r="C166" t="s">
        <v>14</v>
      </c>
      <c r="D166" t="s">
        <v>15</v>
      </c>
      <c r="E166" t="s">
        <v>1225</v>
      </c>
      <c r="F166" s="3">
        <v>2814462</v>
      </c>
      <c r="G166" s="2">
        <f t="shared" si="4"/>
        <v>30</v>
      </c>
      <c r="H166" s="2">
        <f t="shared" ca="1" si="5"/>
        <v>1702</v>
      </c>
      <c r="I166" s="4">
        <v>44418</v>
      </c>
      <c r="J166" s="4">
        <v>44448</v>
      </c>
      <c r="K166" t="s">
        <v>1217</v>
      </c>
      <c r="L166" t="s">
        <v>893</v>
      </c>
      <c r="M166" t="s">
        <v>19</v>
      </c>
      <c r="N166" t="s">
        <v>20</v>
      </c>
      <c r="O166">
        <v>30</v>
      </c>
    </row>
    <row r="167" spans="1:15" hidden="1" x14ac:dyDescent="0.25">
      <c r="A167" t="s">
        <v>2820</v>
      </c>
      <c r="B167" t="s">
        <v>13</v>
      </c>
      <c r="C167" t="s">
        <v>14</v>
      </c>
      <c r="D167" t="s">
        <v>15</v>
      </c>
      <c r="E167" t="s">
        <v>699</v>
      </c>
      <c r="F167" s="3">
        <v>5733873</v>
      </c>
      <c r="G167" s="2">
        <f t="shared" si="4"/>
        <v>30</v>
      </c>
      <c r="H167" s="2">
        <f t="shared" ca="1" si="5"/>
        <v>1700</v>
      </c>
      <c r="I167" s="4">
        <v>44420</v>
      </c>
      <c r="J167" s="4">
        <v>44450</v>
      </c>
      <c r="K167" t="s">
        <v>638</v>
      </c>
      <c r="L167" t="s">
        <v>18</v>
      </c>
      <c r="M167" t="s">
        <v>19</v>
      </c>
      <c r="N167" t="s">
        <v>20</v>
      </c>
      <c r="O167">
        <v>30</v>
      </c>
    </row>
    <row r="168" spans="1:15" hidden="1" x14ac:dyDescent="0.25">
      <c r="A168" t="s">
        <v>2820</v>
      </c>
      <c r="B168" t="s">
        <v>13</v>
      </c>
      <c r="C168" t="s">
        <v>14</v>
      </c>
      <c r="D168" t="s">
        <v>15</v>
      </c>
      <c r="E168" t="s">
        <v>733</v>
      </c>
      <c r="F168" s="3">
        <v>2545820</v>
      </c>
      <c r="G168" s="2">
        <f t="shared" si="4"/>
        <v>30</v>
      </c>
      <c r="H168" s="2">
        <f t="shared" ca="1" si="5"/>
        <v>1700</v>
      </c>
      <c r="I168" s="4">
        <v>44420</v>
      </c>
      <c r="J168" s="4">
        <v>44450</v>
      </c>
      <c r="K168" t="s">
        <v>716</v>
      </c>
      <c r="L168" t="s">
        <v>18</v>
      </c>
      <c r="M168" t="s">
        <v>19</v>
      </c>
      <c r="N168" t="s">
        <v>20</v>
      </c>
      <c r="O168">
        <v>30</v>
      </c>
    </row>
    <row r="169" spans="1:15" hidden="1" x14ac:dyDescent="0.25">
      <c r="A169" t="s">
        <v>2820</v>
      </c>
      <c r="B169" t="s">
        <v>13</v>
      </c>
      <c r="C169" t="s">
        <v>14</v>
      </c>
      <c r="D169" t="s">
        <v>15</v>
      </c>
      <c r="E169" t="s">
        <v>785</v>
      </c>
      <c r="F169" s="3">
        <v>2478056</v>
      </c>
      <c r="G169" s="2">
        <f t="shared" si="4"/>
        <v>30</v>
      </c>
      <c r="H169" s="2">
        <f t="shared" ca="1" si="5"/>
        <v>1700</v>
      </c>
      <c r="I169" s="4">
        <v>44420</v>
      </c>
      <c r="J169" s="4">
        <v>44450</v>
      </c>
      <c r="K169" t="s">
        <v>766</v>
      </c>
      <c r="L169" t="s">
        <v>18</v>
      </c>
      <c r="M169" t="s">
        <v>19</v>
      </c>
      <c r="N169" t="s">
        <v>20</v>
      </c>
      <c r="O169">
        <v>30</v>
      </c>
    </row>
    <row r="170" spans="1:15" hidden="1" x14ac:dyDescent="0.25">
      <c r="A170" t="s">
        <v>2820</v>
      </c>
      <c r="B170" t="s">
        <v>13</v>
      </c>
      <c r="C170" t="s">
        <v>14</v>
      </c>
      <c r="D170" t="s">
        <v>15</v>
      </c>
      <c r="E170" t="s">
        <v>700</v>
      </c>
      <c r="F170" s="3">
        <v>1264448</v>
      </c>
      <c r="G170" s="2">
        <f t="shared" si="4"/>
        <v>30</v>
      </c>
      <c r="H170" s="2">
        <f t="shared" ca="1" si="5"/>
        <v>1699</v>
      </c>
      <c r="I170" s="4">
        <v>44421</v>
      </c>
      <c r="J170" s="4">
        <v>44451</v>
      </c>
      <c r="K170" t="s">
        <v>638</v>
      </c>
      <c r="L170" t="s">
        <v>47</v>
      </c>
      <c r="M170" t="s">
        <v>19</v>
      </c>
      <c r="N170" t="s">
        <v>20</v>
      </c>
      <c r="O170">
        <v>30</v>
      </c>
    </row>
    <row r="171" spans="1:15" hidden="1" x14ac:dyDescent="0.25">
      <c r="A171" t="s">
        <v>2820</v>
      </c>
      <c r="B171" t="s">
        <v>13</v>
      </c>
      <c r="C171" t="s">
        <v>14</v>
      </c>
      <c r="D171" t="s">
        <v>15</v>
      </c>
      <c r="E171" t="s">
        <v>1014</v>
      </c>
      <c r="F171" s="3">
        <v>6592574</v>
      </c>
      <c r="G171" s="2">
        <f t="shared" si="4"/>
        <v>30</v>
      </c>
      <c r="H171" s="2">
        <f t="shared" ca="1" si="5"/>
        <v>1699</v>
      </c>
      <c r="I171" s="4">
        <v>44421</v>
      </c>
      <c r="J171" s="4">
        <v>44451</v>
      </c>
      <c r="K171" t="s">
        <v>989</v>
      </c>
      <c r="L171" t="s">
        <v>18</v>
      </c>
      <c r="M171" t="s">
        <v>19</v>
      </c>
      <c r="N171" t="s">
        <v>20</v>
      </c>
      <c r="O171">
        <v>30</v>
      </c>
    </row>
    <row r="172" spans="1:15" hidden="1" x14ac:dyDescent="0.25">
      <c r="A172" t="s">
        <v>2820</v>
      </c>
      <c r="B172" t="s">
        <v>13</v>
      </c>
      <c r="C172" t="s">
        <v>14</v>
      </c>
      <c r="D172" t="s">
        <v>15</v>
      </c>
      <c r="E172" t="s">
        <v>899</v>
      </c>
      <c r="F172" s="3">
        <v>5095492</v>
      </c>
      <c r="G172" s="2">
        <f t="shared" si="4"/>
        <v>30</v>
      </c>
      <c r="H172" s="2">
        <f t="shared" ca="1" si="5"/>
        <v>1698</v>
      </c>
      <c r="I172" s="4">
        <v>44422</v>
      </c>
      <c r="J172" s="4">
        <v>44452</v>
      </c>
      <c r="K172" t="s">
        <v>845</v>
      </c>
      <c r="L172" t="s">
        <v>893</v>
      </c>
      <c r="M172" t="s">
        <v>19</v>
      </c>
      <c r="N172" t="s">
        <v>20</v>
      </c>
      <c r="O172">
        <v>30</v>
      </c>
    </row>
    <row r="173" spans="1:15" hidden="1" x14ac:dyDescent="0.25">
      <c r="A173" t="s">
        <v>2820</v>
      </c>
      <c r="B173" t="s">
        <v>13</v>
      </c>
      <c r="C173" t="s">
        <v>14</v>
      </c>
      <c r="D173" t="s">
        <v>15</v>
      </c>
      <c r="E173" t="s">
        <v>900</v>
      </c>
      <c r="F173" s="3">
        <v>3989988</v>
      </c>
      <c r="G173" s="2">
        <f t="shared" si="4"/>
        <v>30</v>
      </c>
      <c r="H173" s="2">
        <f t="shared" ca="1" si="5"/>
        <v>1698</v>
      </c>
      <c r="I173" s="4">
        <v>44422</v>
      </c>
      <c r="J173" s="4">
        <v>44452</v>
      </c>
      <c r="K173" t="s">
        <v>845</v>
      </c>
      <c r="L173" t="s">
        <v>893</v>
      </c>
      <c r="M173" t="s">
        <v>19</v>
      </c>
      <c r="N173" t="s">
        <v>20</v>
      </c>
      <c r="O173">
        <v>30</v>
      </c>
    </row>
    <row r="174" spans="1:15" hidden="1" x14ac:dyDescent="0.25">
      <c r="A174" t="s">
        <v>2820</v>
      </c>
      <c r="B174" t="s">
        <v>13</v>
      </c>
      <c r="C174" t="s">
        <v>14</v>
      </c>
      <c r="D174" t="s">
        <v>15</v>
      </c>
      <c r="E174" t="s">
        <v>901</v>
      </c>
      <c r="F174" s="3">
        <v>2375288</v>
      </c>
      <c r="G174" s="2">
        <f t="shared" si="4"/>
        <v>30</v>
      </c>
      <c r="H174" s="2">
        <f t="shared" ca="1" si="5"/>
        <v>1698</v>
      </c>
      <c r="I174" s="4">
        <v>44422</v>
      </c>
      <c r="J174" s="4">
        <v>44452</v>
      </c>
      <c r="K174" t="s">
        <v>845</v>
      </c>
      <c r="L174" t="s">
        <v>893</v>
      </c>
      <c r="M174" t="s">
        <v>19</v>
      </c>
      <c r="N174" t="s">
        <v>20</v>
      </c>
      <c r="O174">
        <v>30</v>
      </c>
    </row>
    <row r="175" spans="1:15" hidden="1" x14ac:dyDescent="0.25">
      <c r="A175" t="s">
        <v>2820</v>
      </c>
      <c r="B175" t="s">
        <v>13</v>
      </c>
      <c r="C175" t="s">
        <v>14</v>
      </c>
      <c r="D175" t="s">
        <v>15</v>
      </c>
      <c r="E175" t="s">
        <v>437</v>
      </c>
      <c r="F175" s="3">
        <v>941001</v>
      </c>
      <c r="G175" s="2">
        <f t="shared" si="4"/>
        <v>30</v>
      </c>
      <c r="H175" s="2">
        <f t="shared" ca="1" si="5"/>
        <v>1694</v>
      </c>
      <c r="I175" s="4">
        <v>44426</v>
      </c>
      <c r="J175" s="4">
        <v>44456</v>
      </c>
      <c r="K175" t="s">
        <v>343</v>
      </c>
      <c r="L175" t="s">
        <v>47</v>
      </c>
      <c r="M175" t="s">
        <v>19</v>
      </c>
      <c r="N175" t="s">
        <v>20</v>
      </c>
      <c r="O175">
        <v>30</v>
      </c>
    </row>
    <row r="176" spans="1:15" hidden="1" x14ac:dyDescent="0.25">
      <c r="A176" t="s">
        <v>2820</v>
      </c>
      <c r="B176" t="s">
        <v>13</v>
      </c>
      <c r="C176" t="s">
        <v>14</v>
      </c>
      <c r="D176" t="s">
        <v>15</v>
      </c>
      <c r="E176" t="s">
        <v>438</v>
      </c>
      <c r="F176" s="3">
        <v>5245654</v>
      </c>
      <c r="G176" s="2">
        <f t="shared" si="4"/>
        <v>30</v>
      </c>
      <c r="H176" s="2">
        <f t="shared" ca="1" si="5"/>
        <v>1692</v>
      </c>
      <c r="I176" s="4">
        <v>44428</v>
      </c>
      <c r="J176" s="4">
        <v>44458</v>
      </c>
      <c r="K176" t="s">
        <v>343</v>
      </c>
      <c r="L176" t="s">
        <v>18</v>
      </c>
      <c r="M176" t="s">
        <v>19</v>
      </c>
      <c r="N176" t="s">
        <v>20</v>
      </c>
      <c r="O176">
        <v>30</v>
      </c>
    </row>
    <row r="177" spans="1:15" hidden="1" x14ac:dyDescent="0.25">
      <c r="A177" t="s">
        <v>2820</v>
      </c>
      <c r="B177" t="s">
        <v>13</v>
      </c>
      <c r="C177" t="s">
        <v>14</v>
      </c>
      <c r="D177" t="s">
        <v>15</v>
      </c>
      <c r="E177" t="s">
        <v>439</v>
      </c>
      <c r="F177" s="3">
        <v>2504400</v>
      </c>
      <c r="G177" s="2">
        <f t="shared" si="4"/>
        <v>30</v>
      </c>
      <c r="H177" s="2">
        <f t="shared" ca="1" si="5"/>
        <v>1692</v>
      </c>
      <c r="I177" s="4">
        <v>44428</v>
      </c>
      <c r="J177" s="4">
        <v>44458</v>
      </c>
      <c r="K177" t="s">
        <v>343</v>
      </c>
      <c r="L177" t="s">
        <v>18</v>
      </c>
      <c r="M177" t="s">
        <v>19</v>
      </c>
      <c r="N177" t="s">
        <v>20</v>
      </c>
      <c r="O177">
        <v>30</v>
      </c>
    </row>
    <row r="178" spans="1:15" hidden="1" x14ac:dyDescent="0.25">
      <c r="A178" t="s">
        <v>2820</v>
      </c>
      <c r="B178" t="s">
        <v>13</v>
      </c>
      <c r="C178" t="s">
        <v>14</v>
      </c>
      <c r="D178" t="s">
        <v>15</v>
      </c>
      <c r="E178" t="s">
        <v>440</v>
      </c>
      <c r="F178" s="3">
        <v>1606380</v>
      </c>
      <c r="G178" s="2">
        <f t="shared" si="4"/>
        <v>30</v>
      </c>
      <c r="H178" s="2">
        <f t="shared" ca="1" si="5"/>
        <v>1692</v>
      </c>
      <c r="I178" s="4">
        <v>44428</v>
      </c>
      <c r="J178" s="4">
        <v>44458</v>
      </c>
      <c r="K178" t="s">
        <v>343</v>
      </c>
      <c r="L178" t="s">
        <v>18</v>
      </c>
      <c r="M178" t="s">
        <v>19</v>
      </c>
      <c r="N178" t="s">
        <v>20</v>
      </c>
      <c r="O178">
        <v>30</v>
      </c>
    </row>
    <row r="179" spans="1:15" hidden="1" x14ac:dyDescent="0.25">
      <c r="A179" t="s">
        <v>2820</v>
      </c>
      <c r="B179" t="s">
        <v>13</v>
      </c>
      <c r="C179" t="s">
        <v>14</v>
      </c>
      <c r="D179" t="s">
        <v>15</v>
      </c>
      <c r="E179" t="s">
        <v>701</v>
      </c>
      <c r="F179" s="3">
        <v>819807</v>
      </c>
      <c r="G179" s="2">
        <f t="shared" si="4"/>
        <v>30</v>
      </c>
      <c r="H179" s="2">
        <f t="shared" ca="1" si="5"/>
        <v>1691</v>
      </c>
      <c r="I179" s="4">
        <v>44429</v>
      </c>
      <c r="J179" s="4">
        <v>44459</v>
      </c>
      <c r="K179" t="s">
        <v>638</v>
      </c>
      <c r="L179" t="s">
        <v>317</v>
      </c>
      <c r="M179" t="s">
        <v>19</v>
      </c>
      <c r="N179" t="s">
        <v>20</v>
      </c>
      <c r="O179">
        <v>30</v>
      </c>
    </row>
    <row r="180" spans="1:15" hidden="1" x14ac:dyDescent="0.25">
      <c r="A180" t="s">
        <v>2820</v>
      </c>
      <c r="B180" t="s">
        <v>13</v>
      </c>
      <c r="C180" t="s">
        <v>14</v>
      </c>
      <c r="D180" t="s">
        <v>15</v>
      </c>
      <c r="E180" t="s">
        <v>441</v>
      </c>
      <c r="F180" s="3">
        <v>1079284</v>
      </c>
      <c r="G180" s="2">
        <f t="shared" si="4"/>
        <v>30</v>
      </c>
      <c r="H180" s="2">
        <f t="shared" ca="1" si="5"/>
        <v>1688</v>
      </c>
      <c r="I180" s="4">
        <v>44432</v>
      </c>
      <c r="J180" s="4">
        <v>44462</v>
      </c>
      <c r="K180" t="s">
        <v>343</v>
      </c>
      <c r="L180" t="s">
        <v>18</v>
      </c>
      <c r="M180" t="s">
        <v>19</v>
      </c>
      <c r="N180" t="s">
        <v>20</v>
      </c>
      <c r="O180">
        <v>30</v>
      </c>
    </row>
    <row r="181" spans="1:15" hidden="1" x14ac:dyDescent="0.25">
      <c r="A181" t="s">
        <v>2820</v>
      </c>
      <c r="B181" t="s">
        <v>13</v>
      </c>
      <c r="C181" t="s">
        <v>14</v>
      </c>
      <c r="D181" t="s">
        <v>15</v>
      </c>
      <c r="E181" t="s">
        <v>442</v>
      </c>
      <c r="F181" s="3">
        <v>379011</v>
      </c>
      <c r="G181" s="2">
        <f t="shared" si="4"/>
        <v>30</v>
      </c>
      <c r="H181" s="2">
        <f t="shared" ca="1" si="5"/>
        <v>1688</v>
      </c>
      <c r="I181" s="4">
        <v>44432</v>
      </c>
      <c r="J181" s="4">
        <v>44462</v>
      </c>
      <c r="K181" t="s">
        <v>343</v>
      </c>
      <c r="L181" t="s">
        <v>18</v>
      </c>
      <c r="M181" t="s">
        <v>19</v>
      </c>
      <c r="N181" t="s">
        <v>20</v>
      </c>
      <c r="O181">
        <v>30</v>
      </c>
    </row>
    <row r="182" spans="1:15" hidden="1" x14ac:dyDescent="0.25">
      <c r="A182" t="s">
        <v>2820</v>
      </c>
      <c r="B182" t="s">
        <v>13</v>
      </c>
      <c r="C182" t="s">
        <v>14</v>
      </c>
      <c r="D182" t="s">
        <v>15</v>
      </c>
      <c r="E182" t="s">
        <v>443</v>
      </c>
      <c r="F182" s="3">
        <v>2228034</v>
      </c>
      <c r="G182" s="2">
        <f t="shared" si="4"/>
        <v>30</v>
      </c>
      <c r="H182" s="2">
        <f t="shared" ca="1" si="5"/>
        <v>1688</v>
      </c>
      <c r="I182" s="4">
        <v>44432</v>
      </c>
      <c r="J182" s="4">
        <v>44462</v>
      </c>
      <c r="K182" t="s">
        <v>343</v>
      </c>
      <c r="L182" t="s">
        <v>18</v>
      </c>
      <c r="M182" t="s">
        <v>19</v>
      </c>
      <c r="N182" t="s">
        <v>20</v>
      </c>
      <c r="O182">
        <v>30</v>
      </c>
    </row>
    <row r="183" spans="1:15" hidden="1" x14ac:dyDescent="0.25">
      <c r="A183" t="s">
        <v>2820</v>
      </c>
      <c r="B183" t="s">
        <v>13</v>
      </c>
      <c r="C183" t="s">
        <v>14</v>
      </c>
      <c r="D183" t="s">
        <v>15</v>
      </c>
      <c r="E183" t="s">
        <v>786</v>
      </c>
      <c r="F183" s="3">
        <v>2358754</v>
      </c>
      <c r="G183" s="2">
        <f t="shared" si="4"/>
        <v>30</v>
      </c>
      <c r="H183" s="2">
        <f t="shared" ca="1" si="5"/>
        <v>1688</v>
      </c>
      <c r="I183" s="4">
        <v>44432</v>
      </c>
      <c r="J183" s="4">
        <v>44462</v>
      </c>
      <c r="K183" t="s">
        <v>766</v>
      </c>
      <c r="L183" t="s">
        <v>18</v>
      </c>
      <c r="M183" t="s">
        <v>19</v>
      </c>
      <c r="N183" t="s">
        <v>20</v>
      </c>
      <c r="O183">
        <v>30</v>
      </c>
    </row>
    <row r="184" spans="1:15" hidden="1" x14ac:dyDescent="0.25">
      <c r="A184" t="s">
        <v>2820</v>
      </c>
      <c r="B184" t="s">
        <v>13</v>
      </c>
      <c r="C184" t="s">
        <v>14</v>
      </c>
      <c r="D184" t="s">
        <v>15</v>
      </c>
      <c r="E184" t="s">
        <v>702</v>
      </c>
      <c r="F184" s="3">
        <v>645599</v>
      </c>
      <c r="G184" s="2">
        <f t="shared" si="4"/>
        <v>1</v>
      </c>
      <c r="H184" s="2">
        <f t="shared" ca="1" si="5"/>
        <v>1686</v>
      </c>
      <c r="I184" s="4">
        <v>44434</v>
      </c>
      <c r="J184" s="4">
        <v>44435</v>
      </c>
      <c r="K184" t="s">
        <v>638</v>
      </c>
      <c r="L184" t="s">
        <v>317</v>
      </c>
      <c r="M184" t="s">
        <v>19</v>
      </c>
      <c r="N184" t="s">
        <v>20</v>
      </c>
      <c r="O184">
        <v>30</v>
      </c>
    </row>
    <row r="185" spans="1:15" hidden="1" x14ac:dyDescent="0.25">
      <c r="A185" t="s">
        <v>2820</v>
      </c>
      <c r="B185" t="s">
        <v>13</v>
      </c>
      <c r="C185" t="s">
        <v>14</v>
      </c>
      <c r="D185" t="s">
        <v>15</v>
      </c>
      <c r="E185" t="s">
        <v>902</v>
      </c>
      <c r="F185" s="3">
        <v>276000</v>
      </c>
      <c r="G185" s="2">
        <f t="shared" si="4"/>
        <v>30</v>
      </c>
      <c r="H185" s="2">
        <f t="shared" ca="1" si="5"/>
        <v>1686</v>
      </c>
      <c r="I185" s="4">
        <v>44434</v>
      </c>
      <c r="J185" s="4">
        <v>44464</v>
      </c>
      <c r="K185" t="s">
        <v>845</v>
      </c>
      <c r="L185" t="s">
        <v>893</v>
      </c>
      <c r="M185" t="s">
        <v>19</v>
      </c>
      <c r="N185" t="s">
        <v>20</v>
      </c>
      <c r="O185">
        <v>30</v>
      </c>
    </row>
    <row r="186" spans="1:15" hidden="1" x14ac:dyDescent="0.25">
      <c r="A186" t="s">
        <v>2820</v>
      </c>
      <c r="B186" t="s">
        <v>13</v>
      </c>
      <c r="C186" t="s">
        <v>14</v>
      </c>
      <c r="D186" t="s">
        <v>15</v>
      </c>
      <c r="E186" t="s">
        <v>903</v>
      </c>
      <c r="F186" s="3">
        <v>3685599</v>
      </c>
      <c r="G186" s="2">
        <f t="shared" si="4"/>
        <v>30</v>
      </c>
      <c r="H186" s="2">
        <f t="shared" ca="1" si="5"/>
        <v>1686</v>
      </c>
      <c r="I186" s="4">
        <v>44434</v>
      </c>
      <c r="J186" s="4">
        <v>44464</v>
      </c>
      <c r="K186" t="s">
        <v>845</v>
      </c>
      <c r="L186" t="s">
        <v>893</v>
      </c>
      <c r="M186" t="s">
        <v>19</v>
      </c>
      <c r="N186" t="s">
        <v>20</v>
      </c>
      <c r="O186">
        <v>30</v>
      </c>
    </row>
    <row r="187" spans="1:15" hidden="1" x14ac:dyDescent="0.25">
      <c r="A187" t="s">
        <v>2820</v>
      </c>
      <c r="B187" t="s">
        <v>13</v>
      </c>
      <c r="C187" t="s">
        <v>14</v>
      </c>
      <c r="D187" t="s">
        <v>15</v>
      </c>
      <c r="E187" t="s">
        <v>1015</v>
      </c>
      <c r="F187" s="3">
        <v>4762936</v>
      </c>
      <c r="G187" s="2">
        <f t="shared" si="4"/>
        <v>30</v>
      </c>
      <c r="H187" s="2">
        <f t="shared" ca="1" si="5"/>
        <v>1686</v>
      </c>
      <c r="I187" s="4">
        <v>44434</v>
      </c>
      <c r="J187" s="4">
        <v>44464</v>
      </c>
      <c r="K187" t="s">
        <v>989</v>
      </c>
      <c r="L187" t="s">
        <v>18</v>
      </c>
      <c r="M187" t="s">
        <v>19</v>
      </c>
      <c r="N187" t="s">
        <v>20</v>
      </c>
      <c r="O187">
        <v>30</v>
      </c>
    </row>
    <row r="188" spans="1:15" hidden="1" x14ac:dyDescent="0.25">
      <c r="A188" t="s">
        <v>2820</v>
      </c>
      <c r="B188" t="s">
        <v>13</v>
      </c>
      <c r="C188" t="s">
        <v>14</v>
      </c>
      <c r="D188" t="s">
        <v>15</v>
      </c>
      <c r="E188" t="s">
        <v>444</v>
      </c>
      <c r="F188" s="3">
        <v>7074120</v>
      </c>
      <c r="G188" s="2">
        <f t="shared" si="4"/>
        <v>30</v>
      </c>
      <c r="H188" s="2">
        <f t="shared" ca="1" si="5"/>
        <v>1681</v>
      </c>
      <c r="I188" s="4">
        <v>44439</v>
      </c>
      <c r="J188" s="4">
        <v>44469</v>
      </c>
      <c r="K188" t="s">
        <v>343</v>
      </c>
      <c r="L188" t="s">
        <v>18</v>
      </c>
      <c r="M188" t="s">
        <v>19</v>
      </c>
      <c r="N188" t="s">
        <v>20</v>
      </c>
      <c r="O188">
        <v>30</v>
      </c>
    </row>
    <row r="189" spans="1:15" hidden="1" x14ac:dyDescent="0.25">
      <c r="A189" t="s">
        <v>2820</v>
      </c>
      <c r="B189" t="s">
        <v>13</v>
      </c>
      <c r="C189" t="s">
        <v>14</v>
      </c>
      <c r="D189" t="s">
        <v>15</v>
      </c>
      <c r="E189" t="s">
        <v>445</v>
      </c>
      <c r="F189" s="3">
        <v>1903819</v>
      </c>
      <c r="G189" s="2">
        <f t="shared" si="4"/>
        <v>30</v>
      </c>
      <c r="H189" s="2">
        <f t="shared" ca="1" si="5"/>
        <v>1681</v>
      </c>
      <c r="I189" s="4">
        <v>44439</v>
      </c>
      <c r="J189" s="4">
        <v>44469</v>
      </c>
      <c r="K189" t="s">
        <v>343</v>
      </c>
      <c r="L189" t="s">
        <v>18</v>
      </c>
      <c r="M189" t="s">
        <v>19</v>
      </c>
      <c r="N189" t="s">
        <v>20</v>
      </c>
      <c r="O189">
        <v>30</v>
      </c>
    </row>
    <row r="190" spans="1:15" hidden="1" x14ac:dyDescent="0.25">
      <c r="A190" t="s">
        <v>2820</v>
      </c>
      <c r="B190" t="s">
        <v>13</v>
      </c>
      <c r="C190" t="s">
        <v>14</v>
      </c>
      <c r="D190" t="s">
        <v>15</v>
      </c>
      <c r="E190" t="s">
        <v>446</v>
      </c>
      <c r="F190" s="3">
        <v>263448</v>
      </c>
      <c r="G190" s="2">
        <f t="shared" si="4"/>
        <v>30</v>
      </c>
      <c r="H190" s="2">
        <f t="shared" ca="1" si="5"/>
        <v>1681</v>
      </c>
      <c r="I190" s="4">
        <v>44439</v>
      </c>
      <c r="J190" s="4">
        <v>44469</v>
      </c>
      <c r="K190" t="s">
        <v>343</v>
      </c>
      <c r="L190" t="s">
        <v>18</v>
      </c>
      <c r="M190" t="s">
        <v>19</v>
      </c>
      <c r="N190" t="s">
        <v>20</v>
      </c>
      <c r="O190">
        <v>30</v>
      </c>
    </row>
    <row r="191" spans="1:15" hidden="1" x14ac:dyDescent="0.25">
      <c r="A191" t="s">
        <v>2820</v>
      </c>
      <c r="B191" t="s">
        <v>13</v>
      </c>
      <c r="C191" t="s">
        <v>14</v>
      </c>
      <c r="D191" t="s">
        <v>15</v>
      </c>
      <c r="E191" t="s">
        <v>1016</v>
      </c>
      <c r="F191" s="3">
        <v>1239360</v>
      </c>
      <c r="G191" s="2">
        <f t="shared" si="4"/>
        <v>30</v>
      </c>
      <c r="H191" s="2">
        <f t="shared" ca="1" si="5"/>
        <v>1680</v>
      </c>
      <c r="I191" s="4">
        <v>44440</v>
      </c>
      <c r="J191" s="4">
        <v>44470</v>
      </c>
      <c r="K191" t="s">
        <v>989</v>
      </c>
      <c r="L191" t="s">
        <v>18</v>
      </c>
      <c r="M191" t="s">
        <v>19</v>
      </c>
      <c r="N191" t="s">
        <v>20</v>
      </c>
      <c r="O191">
        <v>30</v>
      </c>
    </row>
    <row r="192" spans="1:15" hidden="1" x14ac:dyDescent="0.25">
      <c r="A192" t="s">
        <v>2820</v>
      </c>
      <c r="B192" t="s">
        <v>13</v>
      </c>
      <c r="C192" t="s">
        <v>14</v>
      </c>
      <c r="D192" t="s">
        <v>15</v>
      </c>
      <c r="E192" t="s">
        <v>447</v>
      </c>
      <c r="F192" s="3">
        <v>563410</v>
      </c>
      <c r="G192" s="2">
        <f t="shared" si="4"/>
        <v>30</v>
      </c>
      <c r="H192" s="2">
        <f t="shared" ca="1" si="5"/>
        <v>1679</v>
      </c>
      <c r="I192" s="4">
        <v>44441</v>
      </c>
      <c r="J192" s="4">
        <v>44471</v>
      </c>
      <c r="K192" t="s">
        <v>343</v>
      </c>
      <c r="L192" t="s">
        <v>47</v>
      </c>
      <c r="M192" t="s">
        <v>19</v>
      </c>
      <c r="N192" t="s">
        <v>20</v>
      </c>
      <c r="O192">
        <v>30</v>
      </c>
    </row>
    <row r="193" spans="1:15" hidden="1" x14ac:dyDescent="0.25">
      <c r="A193" t="s">
        <v>2820</v>
      </c>
      <c r="B193" t="s">
        <v>13</v>
      </c>
      <c r="C193" t="s">
        <v>14</v>
      </c>
      <c r="D193" t="s">
        <v>15</v>
      </c>
      <c r="E193" t="s">
        <v>213</v>
      </c>
      <c r="F193" s="3">
        <v>16745564</v>
      </c>
      <c r="G193" s="2">
        <f t="shared" si="4"/>
        <v>30</v>
      </c>
      <c r="H193" s="2">
        <f t="shared" ca="1" si="5"/>
        <v>1678</v>
      </c>
      <c r="I193" s="4">
        <v>44442</v>
      </c>
      <c r="J193" s="4">
        <v>44472</v>
      </c>
      <c r="K193" t="s">
        <v>17</v>
      </c>
      <c r="L193" t="s">
        <v>18</v>
      </c>
      <c r="M193" t="s">
        <v>19</v>
      </c>
      <c r="N193" t="s">
        <v>20</v>
      </c>
      <c r="O193">
        <v>30</v>
      </c>
    </row>
    <row r="194" spans="1:15" hidden="1" x14ac:dyDescent="0.25">
      <c r="A194" t="s">
        <v>2820</v>
      </c>
      <c r="B194" t="s">
        <v>13</v>
      </c>
      <c r="C194" t="s">
        <v>14</v>
      </c>
      <c r="D194" t="s">
        <v>15</v>
      </c>
      <c r="E194" t="s">
        <v>214</v>
      </c>
      <c r="F194" s="3">
        <v>3601335</v>
      </c>
      <c r="G194" s="2">
        <f t="shared" ref="G194:G257" si="6">+J194-I194</f>
        <v>30</v>
      </c>
      <c r="H194" s="2">
        <f t="shared" ref="H194:H257" ca="1" si="7">+TODAY()-I194</f>
        <v>1678</v>
      </c>
      <c r="I194" s="4">
        <v>44442</v>
      </c>
      <c r="J194" s="4">
        <v>44472</v>
      </c>
      <c r="K194" t="s">
        <v>17</v>
      </c>
      <c r="L194" t="s">
        <v>18</v>
      </c>
      <c r="M194" t="s">
        <v>19</v>
      </c>
      <c r="N194" t="s">
        <v>20</v>
      </c>
      <c r="O194">
        <v>30</v>
      </c>
    </row>
    <row r="195" spans="1:15" hidden="1" x14ac:dyDescent="0.25">
      <c r="A195" t="s">
        <v>2820</v>
      </c>
      <c r="B195" t="s">
        <v>13</v>
      </c>
      <c r="C195" t="s">
        <v>14</v>
      </c>
      <c r="D195" t="s">
        <v>15</v>
      </c>
      <c r="E195" t="s">
        <v>215</v>
      </c>
      <c r="F195" s="3">
        <v>1990017</v>
      </c>
      <c r="G195" s="2">
        <f t="shared" si="6"/>
        <v>30</v>
      </c>
      <c r="H195" s="2">
        <f t="shared" ca="1" si="7"/>
        <v>1678</v>
      </c>
      <c r="I195" s="4">
        <v>44442</v>
      </c>
      <c r="J195" s="4">
        <v>44472</v>
      </c>
      <c r="K195" t="s">
        <v>17</v>
      </c>
      <c r="L195" t="s">
        <v>18</v>
      </c>
      <c r="M195" t="s">
        <v>19</v>
      </c>
      <c r="N195" t="s">
        <v>20</v>
      </c>
      <c r="O195">
        <v>30</v>
      </c>
    </row>
    <row r="196" spans="1:15" hidden="1" x14ac:dyDescent="0.25">
      <c r="A196" t="s">
        <v>2820</v>
      </c>
      <c r="B196" t="s">
        <v>13</v>
      </c>
      <c r="C196" t="s">
        <v>14</v>
      </c>
      <c r="D196" t="s">
        <v>15</v>
      </c>
      <c r="E196" t="s">
        <v>216</v>
      </c>
      <c r="F196" s="3">
        <v>6052437</v>
      </c>
      <c r="G196" s="2">
        <f t="shared" si="6"/>
        <v>30</v>
      </c>
      <c r="H196" s="2">
        <f t="shared" ca="1" si="7"/>
        <v>1675</v>
      </c>
      <c r="I196" s="4">
        <v>44445</v>
      </c>
      <c r="J196" s="4">
        <v>44475</v>
      </c>
      <c r="K196" t="s">
        <v>17</v>
      </c>
      <c r="L196" t="s">
        <v>47</v>
      </c>
      <c r="M196" t="s">
        <v>19</v>
      </c>
      <c r="N196" t="s">
        <v>20</v>
      </c>
      <c r="O196">
        <v>30</v>
      </c>
    </row>
    <row r="197" spans="1:15" hidden="1" x14ac:dyDescent="0.25">
      <c r="A197" t="s">
        <v>2820</v>
      </c>
      <c r="B197" t="s">
        <v>13</v>
      </c>
      <c r="C197" t="s">
        <v>14</v>
      </c>
      <c r="D197" t="s">
        <v>15</v>
      </c>
      <c r="E197" t="s">
        <v>1226</v>
      </c>
      <c r="F197" s="3">
        <v>3366164</v>
      </c>
      <c r="G197" s="2">
        <f t="shared" si="6"/>
        <v>30</v>
      </c>
      <c r="H197" s="2">
        <f t="shared" ca="1" si="7"/>
        <v>1674</v>
      </c>
      <c r="I197" s="4">
        <v>44446</v>
      </c>
      <c r="J197" s="4">
        <v>44476</v>
      </c>
      <c r="K197" t="s">
        <v>1217</v>
      </c>
      <c r="L197" t="s">
        <v>893</v>
      </c>
      <c r="M197" t="s">
        <v>19</v>
      </c>
      <c r="N197" t="s">
        <v>20</v>
      </c>
      <c r="O197">
        <v>30</v>
      </c>
    </row>
    <row r="198" spans="1:15" hidden="1" x14ac:dyDescent="0.25">
      <c r="A198" t="s">
        <v>2820</v>
      </c>
      <c r="B198" t="s">
        <v>13</v>
      </c>
      <c r="C198" t="s">
        <v>14</v>
      </c>
      <c r="D198" t="s">
        <v>15</v>
      </c>
      <c r="E198" t="s">
        <v>217</v>
      </c>
      <c r="F198" s="3">
        <v>1036602</v>
      </c>
      <c r="G198" s="2">
        <f t="shared" si="6"/>
        <v>30</v>
      </c>
      <c r="H198" s="2">
        <f t="shared" ca="1" si="7"/>
        <v>1673</v>
      </c>
      <c r="I198" s="4">
        <v>44447</v>
      </c>
      <c r="J198" s="4">
        <v>44477</v>
      </c>
      <c r="K198" t="s">
        <v>17</v>
      </c>
      <c r="L198" t="s">
        <v>47</v>
      </c>
      <c r="M198" t="s">
        <v>19</v>
      </c>
      <c r="N198" t="s">
        <v>20</v>
      </c>
      <c r="O198">
        <v>30</v>
      </c>
    </row>
    <row r="199" spans="1:15" hidden="1" x14ac:dyDescent="0.25">
      <c r="A199" t="s">
        <v>2820</v>
      </c>
      <c r="B199" t="s">
        <v>13</v>
      </c>
      <c r="C199" t="s">
        <v>14</v>
      </c>
      <c r="D199" t="s">
        <v>15</v>
      </c>
      <c r="E199" t="s">
        <v>734</v>
      </c>
      <c r="F199" s="3">
        <v>1161230</v>
      </c>
      <c r="G199" s="2">
        <f t="shared" si="6"/>
        <v>30</v>
      </c>
      <c r="H199" s="2">
        <f t="shared" ca="1" si="7"/>
        <v>1673</v>
      </c>
      <c r="I199" s="4">
        <v>44447</v>
      </c>
      <c r="J199" s="4">
        <v>44477</v>
      </c>
      <c r="K199" t="s">
        <v>716</v>
      </c>
      <c r="L199" t="s">
        <v>18</v>
      </c>
      <c r="M199" t="s">
        <v>19</v>
      </c>
      <c r="N199" t="s">
        <v>20</v>
      </c>
      <c r="O199">
        <v>30</v>
      </c>
    </row>
    <row r="200" spans="1:15" hidden="1" x14ac:dyDescent="0.25">
      <c r="A200" t="s">
        <v>2820</v>
      </c>
      <c r="B200" t="s">
        <v>13</v>
      </c>
      <c r="C200" t="s">
        <v>14</v>
      </c>
      <c r="D200" t="s">
        <v>15</v>
      </c>
      <c r="E200" t="s">
        <v>735</v>
      </c>
      <c r="F200" s="3">
        <v>550000</v>
      </c>
      <c r="G200" s="2">
        <f t="shared" si="6"/>
        <v>30</v>
      </c>
      <c r="H200" s="2">
        <f t="shared" ca="1" si="7"/>
        <v>1673</v>
      </c>
      <c r="I200" s="4">
        <v>44447</v>
      </c>
      <c r="J200" s="4">
        <v>44477</v>
      </c>
      <c r="K200" t="s">
        <v>716</v>
      </c>
      <c r="L200" t="s">
        <v>18</v>
      </c>
      <c r="M200" t="s">
        <v>19</v>
      </c>
      <c r="N200" t="s">
        <v>20</v>
      </c>
      <c r="O200">
        <v>30</v>
      </c>
    </row>
    <row r="201" spans="1:15" hidden="1" x14ac:dyDescent="0.25">
      <c r="A201" t="s">
        <v>2820</v>
      </c>
      <c r="B201" t="s">
        <v>13</v>
      </c>
      <c r="C201" t="s">
        <v>14</v>
      </c>
      <c r="D201" t="s">
        <v>15</v>
      </c>
      <c r="E201" t="s">
        <v>787</v>
      </c>
      <c r="F201" s="3">
        <v>2973615</v>
      </c>
      <c r="G201" s="2">
        <f t="shared" si="6"/>
        <v>30</v>
      </c>
      <c r="H201" s="2">
        <f t="shared" ca="1" si="7"/>
        <v>1673</v>
      </c>
      <c r="I201" s="4">
        <v>44447</v>
      </c>
      <c r="J201" s="4">
        <v>44477</v>
      </c>
      <c r="K201" t="s">
        <v>766</v>
      </c>
      <c r="L201" t="s">
        <v>18</v>
      </c>
      <c r="M201" t="s">
        <v>19</v>
      </c>
      <c r="N201" t="s">
        <v>20</v>
      </c>
      <c r="O201">
        <v>30</v>
      </c>
    </row>
    <row r="202" spans="1:15" hidden="1" x14ac:dyDescent="0.25">
      <c r="A202" t="s">
        <v>2820</v>
      </c>
      <c r="B202" t="s">
        <v>13</v>
      </c>
      <c r="C202" t="s">
        <v>14</v>
      </c>
      <c r="D202" t="s">
        <v>15</v>
      </c>
      <c r="E202" t="s">
        <v>788</v>
      </c>
      <c r="F202" s="3">
        <v>2133606</v>
      </c>
      <c r="G202" s="2">
        <f t="shared" si="6"/>
        <v>30</v>
      </c>
      <c r="H202" s="2">
        <f t="shared" ca="1" si="7"/>
        <v>1673</v>
      </c>
      <c r="I202" s="4">
        <v>44447</v>
      </c>
      <c r="J202" s="4">
        <v>44477</v>
      </c>
      <c r="K202" t="s">
        <v>766</v>
      </c>
      <c r="L202" t="s">
        <v>18</v>
      </c>
      <c r="M202" t="s">
        <v>19</v>
      </c>
      <c r="N202" t="s">
        <v>20</v>
      </c>
      <c r="O202">
        <v>30</v>
      </c>
    </row>
    <row r="203" spans="1:15" hidden="1" x14ac:dyDescent="0.25">
      <c r="A203" t="s">
        <v>2820</v>
      </c>
      <c r="B203" t="s">
        <v>13</v>
      </c>
      <c r="C203" t="s">
        <v>14</v>
      </c>
      <c r="D203" t="s">
        <v>15</v>
      </c>
      <c r="E203" t="s">
        <v>789</v>
      </c>
      <c r="F203" s="3">
        <v>413532</v>
      </c>
      <c r="G203" s="2">
        <f t="shared" si="6"/>
        <v>30</v>
      </c>
      <c r="H203" s="2">
        <f t="shared" ca="1" si="7"/>
        <v>1673</v>
      </c>
      <c r="I203" s="4">
        <v>44447</v>
      </c>
      <c r="J203" s="4">
        <v>44477</v>
      </c>
      <c r="K203" t="s">
        <v>766</v>
      </c>
      <c r="L203" t="s">
        <v>18</v>
      </c>
      <c r="M203" t="s">
        <v>19</v>
      </c>
      <c r="N203" t="s">
        <v>20</v>
      </c>
      <c r="O203">
        <v>30</v>
      </c>
    </row>
    <row r="204" spans="1:15" hidden="1" x14ac:dyDescent="0.25">
      <c r="A204" t="s">
        <v>2820</v>
      </c>
      <c r="B204" t="s">
        <v>13</v>
      </c>
      <c r="C204" t="s">
        <v>14</v>
      </c>
      <c r="D204" t="s">
        <v>15</v>
      </c>
      <c r="E204" t="s">
        <v>904</v>
      </c>
      <c r="F204" s="3">
        <v>1269618</v>
      </c>
      <c r="G204" s="2">
        <f t="shared" si="6"/>
        <v>30</v>
      </c>
      <c r="H204" s="2">
        <f t="shared" ca="1" si="7"/>
        <v>1673</v>
      </c>
      <c r="I204" s="4">
        <v>44447</v>
      </c>
      <c r="J204" s="4">
        <v>44477</v>
      </c>
      <c r="K204" t="s">
        <v>845</v>
      </c>
      <c r="L204" t="s">
        <v>47</v>
      </c>
      <c r="M204" t="s">
        <v>19</v>
      </c>
      <c r="N204" t="s">
        <v>20</v>
      </c>
      <c r="O204">
        <v>30</v>
      </c>
    </row>
    <row r="205" spans="1:15" hidden="1" x14ac:dyDescent="0.25">
      <c r="A205" t="s">
        <v>2820</v>
      </c>
      <c r="B205" t="s">
        <v>13</v>
      </c>
      <c r="C205" t="s">
        <v>14</v>
      </c>
      <c r="D205" t="s">
        <v>15</v>
      </c>
      <c r="E205" t="s">
        <v>1017</v>
      </c>
      <c r="F205" s="3">
        <v>2751860</v>
      </c>
      <c r="G205" s="2">
        <f t="shared" si="6"/>
        <v>30</v>
      </c>
      <c r="H205" s="2">
        <f t="shared" ca="1" si="7"/>
        <v>1672</v>
      </c>
      <c r="I205" s="4">
        <v>44448</v>
      </c>
      <c r="J205" s="4">
        <v>44478</v>
      </c>
      <c r="K205" t="s">
        <v>989</v>
      </c>
      <c r="L205" t="s">
        <v>18</v>
      </c>
      <c r="M205" t="s">
        <v>19</v>
      </c>
      <c r="N205" t="s">
        <v>20</v>
      </c>
      <c r="O205">
        <v>30</v>
      </c>
    </row>
    <row r="206" spans="1:15" hidden="1" x14ac:dyDescent="0.25">
      <c r="A206" t="s">
        <v>2820</v>
      </c>
      <c r="B206" t="s">
        <v>13</v>
      </c>
      <c r="C206" t="s">
        <v>14</v>
      </c>
      <c r="D206" t="s">
        <v>15</v>
      </c>
      <c r="E206" t="s">
        <v>1018</v>
      </c>
      <c r="F206" s="3">
        <v>5955600</v>
      </c>
      <c r="G206" s="2">
        <f t="shared" si="6"/>
        <v>30</v>
      </c>
      <c r="H206" s="2">
        <f t="shared" ca="1" si="7"/>
        <v>1672</v>
      </c>
      <c r="I206" s="4">
        <v>44448</v>
      </c>
      <c r="J206" s="4">
        <v>44478</v>
      </c>
      <c r="K206" t="s">
        <v>989</v>
      </c>
      <c r="L206" t="s">
        <v>18</v>
      </c>
      <c r="M206" t="s">
        <v>19</v>
      </c>
      <c r="N206" t="s">
        <v>20</v>
      </c>
      <c r="O206">
        <v>30</v>
      </c>
    </row>
    <row r="207" spans="1:15" hidden="1" x14ac:dyDescent="0.25">
      <c r="A207" t="s">
        <v>2820</v>
      </c>
      <c r="B207" t="s">
        <v>13</v>
      </c>
      <c r="C207" t="s">
        <v>14</v>
      </c>
      <c r="D207" t="s">
        <v>15</v>
      </c>
      <c r="E207" t="s">
        <v>448</v>
      </c>
      <c r="F207" s="3">
        <v>3636627</v>
      </c>
      <c r="G207" s="2">
        <f t="shared" si="6"/>
        <v>30</v>
      </c>
      <c r="H207" s="2">
        <f t="shared" ca="1" si="7"/>
        <v>1667</v>
      </c>
      <c r="I207" s="4">
        <v>44453</v>
      </c>
      <c r="J207" s="4">
        <v>44483</v>
      </c>
      <c r="K207" t="s">
        <v>343</v>
      </c>
      <c r="L207" t="s">
        <v>18</v>
      </c>
      <c r="M207" t="s">
        <v>19</v>
      </c>
      <c r="N207" t="s">
        <v>20</v>
      </c>
      <c r="O207">
        <v>30</v>
      </c>
    </row>
    <row r="208" spans="1:15" hidden="1" x14ac:dyDescent="0.25">
      <c r="A208" t="s">
        <v>2820</v>
      </c>
      <c r="B208" t="s">
        <v>13</v>
      </c>
      <c r="C208" t="s">
        <v>14</v>
      </c>
      <c r="D208" t="s">
        <v>15</v>
      </c>
      <c r="E208" t="s">
        <v>449</v>
      </c>
      <c r="F208" s="3">
        <v>2678507</v>
      </c>
      <c r="G208" s="2">
        <f t="shared" si="6"/>
        <v>30</v>
      </c>
      <c r="H208" s="2">
        <f t="shared" ca="1" si="7"/>
        <v>1667</v>
      </c>
      <c r="I208" s="4">
        <v>44453</v>
      </c>
      <c r="J208" s="4">
        <v>44483</v>
      </c>
      <c r="K208" t="s">
        <v>343</v>
      </c>
      <c r="L208" t="s">
        <v>18</v>
      </c>
      <c r="M208" t="s">
        <v>19</v>
      </c>
      <c r="N208" t="s">
        <v>20</v>
      </c>
      <c r="O208">
        <v>30</v>
      </c>
    </row>
    <row r="209" spans="1:15" hidden="1" x14ac:dyDescent="0.25">
      <c r="A209" t="s">
        <v>2820</v>
      </c>
      <c r="B209" t="s">
        <v>13</v>
      </c>
      <c r="C209" t="s">
        <v>14</v>
      </c>
      <c r="D209" t="s">
        <v>15</v>
      </c>
      <c r="E209" t="s">
        <v>450</v>
      </c>
      <c r="F209" s="3">
        <v>1796661</v>
      </c>
      <c r="G209" s="2">
        <f t="shared" si="6"/>
        <v>30</v>
      </c>
      <c r="H209" s="2">
        <f t="shared" ca="1" si="7"/>
        <v>1667</v>
      </c>
      <c r="I209" s="4">
        <v>44453</v>
      </c>
      <c r="J209" s="4">
        <v>44483</v>
      </c>
      <c r="K209" t="s">
        <v>343</v>
      </c>
      <c r="L209" t="s">
        <v>18</v>
      </c>
      <c r="M209" t="s">
        <v>19</v>
      </c>
      <c r="N209" t="s">
        <v>20</v>
      </c>
      <c r="O209">
        <v>30</v>
      </c>
    </row>
    <row r="210" spans="1:15" hidden="1" x14ac:dyDescent="0.25">
      <c r="A210" t="s">
        <v>2820</v>
      </c>
      <c r="B210" t="s">
        <v>13</v>
      </c>
      <c r="C210" t="s">
        <v>14</v>
      </c>
      <c r="D210" t="s">
        <v>15</v>
      </c>
      <c r="E210" t="s">
        <v>451</v>
      </c>
      <c r="F210" s="3">
        <v>9001796</v>
      </c>
      <c r="G210" s="2">
        <f t="shared" si="6"/>
        <v>30</v>
      </c>
      <c r="H210" s="2">
        <f t="shared" ca="1" si="7"/>
        <v>1667</v>
      </c>
      <c r="I210" s="4">
        <v>44453</v>
      </c>
      <c r="J210" s="4">
        <v>44483</v>
      </c>
      <c r="K210" t="s">
        <v>343</v>
      </c>
      <c r="L210" t="s">
        <v>18</v>
      </c>
      <c r="M210" t="s">
        <v>19</v>
      </c>
      <c r="N210" t="s">
        <v>20</v>
      </c>
      <c r="O210">
        <v>30</v>
      </c>
    </row>
    <row r="211" spans="1:15" hidden="1" x14ac:dyDescent="0.25">
      <c r="A211" t="s">
        <v>2820</v>
      </c>
      <c r="B211" t="s">
        <v>13</v>
      </c>
      <c r="C211" t="s">
        <v>14</v>
      </c>
      <c r="D211" t="s">
        <v>15</v>
      </c>
      <c r="E211" t="s">
        <v>218</v>
      </c>
      <c r="F211" s="3">
        <v>14996668</v>
      </c>
      <c r="G211" s="2">
        <f t="shared" si="6"/>
        <v>30</v>
      </c>
      <c r="H211" s="2">
        <f t="shared" ca="1" si="7"/>
        <v>1664</v>
      </c>
      <c r="I211" s="4">
        <v>44456</v>
      </c>
      <c r="J211" s="4">
        <v>44486</v>
      </c>
      <c r="K211" t="s">
        <v>17</v>
      </c>
      <c r="L211" t="s">
        <v>18</v>
      </c>
      <c r="M211" t="s">
        <v>19</v>
      </c>
      <c r="N211" t="s">
        <v>20</v>
      </c>
      <c r="O211">
        <v>30</v>
      </c>
    </row>
    <row r="212" spans="1:15" hidden="1" x14ac:dyDescent="0.25">
      <c r="A212" t="s">
        <v>2820</v>
      </c>
      <c r="B212" t="s">
        <v>13</v>
      </c>
      <c r="C212" t="s">
        <v>14</v>
      </c>
      <c r="D212" t="s">
        <v>15</v>
      </c>
      <c r="E212" t="s">
        <v>790</v>
      </c>
      <c r="F212" s="3">
        <v>2724221</v>
      </c>
      <c r="G212" s="2">
        <f t="shared" si="6"/>
        <v>30</v>
      </c>
      <c r="H212" s="2">
        <f t="shared" ca="1" si="7"/>
        <v>1660</v>
      </c>
      <c r="I212" s="4">
        <v>44460</v>
      </c>
      <c r="J212" s="4">
        <v>44490</v>
      </c>
      <c r="K212" t="s">
        <v>766</v>
      </c>
      <c r="L212" t="s">
        <v>18</v>
      </c>
      <c r="M212" t="s">
        <v>19</v>
      </c>
      <c r="N212" t="s">
        <v>20</v>
      </c>
      <c r="O212">
        <v>30</v>
      </c>
    </row>
    <row r="213" spans="1:15" hidden="1" x14ac:dyDescent="0.25">
      <c r="A213" t="s">
        <v>2820</v>
      </c>
      <c r="B213" t="s">
        <v>13</v>
      </c>
      <c r="C213" t="s">
        <v>14</v>
      </c>
      <c r="D213" t="s">
        <v>15</v>
      </c>
      <c r="E213" t="s">
        <v>791</v>
      </c>
      <c r="F213" s="3">
        <v>596840</v>
      </c>
      <c r="G213" s="2">
        <f t="shared" si="6"/>
        <v>30</v>
      </c>
      <c r="H213" s="2">
        <f t="shared" ca="1" si="7"/>
        <v>1660</v>
      </c>
      <c r="I213" s="4">
        <v>44460</v>
      </c>
      <c r="J213" s="4">
        <v>44490</v>
      </c>
      <c r="K213" t="s">
        <v>766</v>
      </c>
      <c r="L213" t="s">
        <v>18</v>
      </c>
      <c r="M213" t="s">
        <v>19</v>
      </c>
      <c r="N213" t="s">
        <v>20</v>
      </c>
      <c r="O213">
        <v>30</v>
      </c>
    </row>
    <row r="214" spans="1:15" hidden="1" x14ac:dyDescent="0.25">
      <c r="A214" t="s">
        <v>2820</v>
      </c>
      <c r="B214" t="s">
        <v>13</v>
      </c>
      <c r="C214" t="s">
        <v>14</v>
      </c>
      <c r="D214" t="s">
        <v>15</v>
      </c>
      <c r="E214" t="s">
        <v>1019</v>
      </c>
      <c r="F214" s="3">
        <v>9486272</v>
      </c>
      <c r="G214" s="2">
        <f t="shared" si="6"/>
        <v>30</v>
      </c>
      <c r="H214" s="2">
        <f t="shared" ca="1" si="7"/>
        <v>1659</v>
      </c>
      <c r="I214" s="4">
        <v>44461</v>
      </c>
      <c r="J214" s="4">
        <v>44491</v>
      </c>
      <c r="K214" t="s">
        <v>989</v>
      </c>
      <c r="L214" t="s">
        <v>18</v>
      </c>
      <c r="M214" t="s">
        <v>19</v>
      </c>
      <c r="N214" t="s">
        <v>20</v>
      </c>
      <c r="O214">
        <v>30</v>
      </c>
    </row>
    <row r="215" spans="1:15" hidden="1" x14ac:dyDescent="0.25">
      <c r="A215" t="s">
        <v>2820</v>
      </c>
      <c r="B215" t="s">
        <v>13</v>
      </c>
      <c r="C215" t="s">
        <v>14</v>
      </c>
      <c r="D215" t="s">
        <v>15</v>
      </c>
      <c r="E215" t="s">
        <v>452</v>
      </c>
      <c r="F215" s="3">
        <v>4455547</v>
      </c>
      <c r="G215" s="2">
        <f t="shared" si="6"/>
        <v>30</v>
      </c>
      <c r="H215" s="2">
        <f t="shared" ca="1" si="7"/>
        <v>1652</v>
      </c>
      <c r="I215" s="4">
        <v>44468</v>
      </c>
      <c r="J215" s="4">
        <v>44498</v>
      </c>
      <c r="K215" t="s">
        <v>343</v>
      </c>
      <c r="L215" t="s">
        <v>18</v>
      </c>
      <c r="M215" t="s">
        <v>19</v>
      </c>
      <c r="N215" t="s">
        <v>20</v>
      </c>
      <c r="O215">
        <v>30</v>
      </c>
    </row>
    <row r="216" spans="1:15" hidden="1" x14ac:dyDescent="0.25">
      <c r="A216" t="s">
        <v>2820</v>
      </c>
      <c r="B216" t="s">
        <v>13</v>
      </c>
      <c r="C216" t="s">
        <v>14</v>
      </c>
      <c r="D216" t="s">
        <v>15</v>
      </c>
      <c r="E216" t="s">
        <v>453</v>
      </c>
      <c r="F216" s="3">
        <v>2616334</v>
      </c>
      <c r="G216" s="2">
        <f t="shared" si="6"/>
        <v>30</v>
      </c>
      <c r="H216" s="2">
        <f t="shared" ca="1" si="7"/>
        <v>1652</v>
      </c>
      <c r="I216" s="4">
        <v>44468</v>
      </c>
      <c r="J216" s="4">
        <v>44498</v>
      </c>
      <c r="K216" t="s">
        <v>343</v>
      </c>
      <c r="L216" t="s">
        <v>18</v>
      </c>
      <c r="M216" t="s">
        <v>19</v>
      </c>
      <c r="N216" t="s">
        <v>20</v>
      </c>
      <c r="O216">
        <v>30</v>
      </c>
    </row>
    <row r="217" spans="1:15" hidden="1" x14ac:dyDescent="0.25">
      <c r="A217" t="s">
        <v>2820</v>
      </c>
      <c r="B217" t="s">
        <v>13</v>
      </c>
      <c r="C217" t="s">
        <v>14</v>
      </c>
      <c r="D217" t="s">
        <v>15</v>
      </c>
      <c r="E217" t="s">
        <v>454</v>
      </c>
      <c r="F217" s="3">
        <v>2120380</v>
      </c>
      <c r="G217" s="2">
        <f t="shared" si="6"/>
        <v>30</v>
      </c>
      <c r="H217" s="2">
        <f t="shared" ca="1" si="7"/>
        <v>1652</v>
      </c>
      <c r="I217" s="4">
        <v>44468</v>
      </c>
      <c r="J217" s="4">
        <v>44498</v>
      </c>
      <c r="K217" t="s">
        <v>343</v>
      </c>
      <c r="L217" t="s">
        <v>18</v>
      </c>
      <c r="M217" t="s">
        <v>19</v>
      </c>
      <c r="N217" t="s">
        <v>20</v>
      </c>
      <c r="O217">
        <v>30</v>
      </c>
    </row>
    <row r="218" spans="1:15" hidden="1" x14ac:dyDescent="0.25">
      <c r="A218" t="s">
        <v>2820</v>
      </c>
      <c r="B218" t="s">
        <v>13</v>
      </c>
      <c r="C218" t="s">
        <v>14</v>
      </c>
      <c r="D218" t="s">
        <v>15</v>
      </c>
      <c r="E218" t="s">
        <v>455</v>
      </c>
      <c r="F218" s="3">
        <v>336853</v>
      </c>
      <c r="G218" s="2">
        <f t="shared" si="6"/>
        <v>30</v>
      </c>
      <c r="H218" s="2">
        <f t="shared" ca="1" si="7"/>
        <v>1652</v>
      </c>
      <c r="I218" s="4">
        <v>44468</v>
      </c>
      <c r="J218" s="4">
        <v>44498</v>
      </c>
      <c r="K218" t="s">
        <v>343</v>
      </c>
      <c r="L218" t="s">
        <v>18</v>
      </c>
      <c r="M218" t="s">
        <v>19</v>
      </c>
      <c r="N218" t="s">
        <v>20</v>
      </c>
      <c r="O218">
        <v>30</v>
      </c>
    </row>
    <row r="219" spans="1:15" hidden="1" x14ac:dyDescent="0.25">
      <c r="A219" t="s">
        <v>2820</v>
      </c>
      <c r="B219" t="s">
        <v>1195</v>
      </c>
      <c r="C219" t="s">
        <v>1196</v>
      </c>
      <c r="D219" t="s">
        <v>1181</v>
      </c>
      <c r="E219" t="s">
        <v>1197</v>
      </c>
      <c r="F219" s="3">
        <v>5991700</v>
      </c>
      <c r="G219" s="2">
        <f t="shared" si="6"/>
        <v>30</v>
      </c>
      <c r="H219" s="2">
        <f t="shared" ca="1" si="7"/>
        <v>1652</v>
      </c>
      <c r="I219" s="4">
        <v>44468</v>
      </c>
      <c r="J219" s="4">
        <v>44498</v>
      </c>
      <c r="K219" t="s">
        <v>1183</v>
      </c>
      <c r="L219" t="s">
        <v>984</v>
      </c>
      <c r="M219" t="s">
        <v>19</v>
      </c>
      <c r="N219" t="s">
        <v>1198</v>
      </c>
      <c r="O219">
        <v>1</v>
      </c>
    </row>
    <row r="220" spans="1:15" hidden="1" x14ac:dyDescent="0.25">
      <c r="A220" t="s">
        <v>2820</v>
      </c>
      <c r="B220" t="s">
        <v>13</v>
      </c>
      <c r="C220" t="s">
        <v>14</v>
      </c>
      <c r="D220" t="s">
        <v>15</v>
      </c>
      <c r="E220" t="s">
        <v>22</v>
      </c>
      <c r="F220" s="3">
        <v>11924282</v>
      </c>
      <c r="G220" s="2">
        <f t="shared" si="6"/>
        <v>30</v>
      </c>
      <c r="H220" s="2">
        <f t="shared" ca="1" si="7"/>
        <v>1651</v>
      </c>
      <c r="I220" s="4">
        <v>44469</v>
      </c>
      <c r="J220" s="4">
        <v>44499</v>
      </c>
      <c r="K220" t="s">
        <v>17</v>
      </c>
      <c r="L220" t="s">
        <v>18</v>
      </c>
      <c r="M220" t="s">
        <v>19</v>
      </c>
      <c r="N220" t="s">
        <v>20</v>
      </c>
      <c r="O220">
        <v>30</v>
      </c>
    </row>
    <row r="221" spans="1:15" hidden="1" x14ac:dyDescent="0.25">
      <c r="A221" t="s">
        <v>2820</v>
      </c>
      <c r="B221" t="s">
        <v>13</v>
      </c>
      <c r="C221" t="s">
        <v>14</v>
      </c>
      <c r="D221" t="s">
        <v>15</v>
      </c>
      <c r="E221" t="s">
        <v>342</v>
      </c>
      <c r="F221" s="3">
        <v>1560006</v>
      </c>
      <c r="G221" s="2">
        <f t="shared" si="6"/>
        <v>30</v>
      </c>
      <c r="H221" s="2">
        <f t="shared" ca="1" si="7"/>
        <v>1651</v>
      </c>
      <c r="I221" s="4">
        <v>44469</v>
      </c>
      <c r="J221" s="4">
        <v>44499</v>
      </c>
      <c r="K221" t="s">
        <v>343</v>
      </c>
      <c r="L221" t="s">
        <v>18</v>
      </c>
      <c r="M221" t="s">
        <v>19</v>
      </c>
      <c r="N221" t="s">
        <v>20</v>
      </c>
      <c r="O221">
        <v>30</v>
      </c>
    </row>
    <row r="222" spans="1:15" hidden="1" x14ac:dyDescent="0.25">
      <c r="A222" t="s">
        <v>2820</v>
      </c>
      <c r="B222" t="s">
        <v>13</v>
      </c>
      <c r="C222" t="s">
        <v>14</v>
      </c>
      <c r="D222" t="s">
        <v>15</v>
      </c>
      <c r="E222" t="s">
        <v>1227</v>
      </c>
      <c r="F222" s="3">
        <v>1450771</v>
      </c>
      <c r="G222" s="2">
        <f t="shared" si="6"/>
        <v>30</v>
      </c>
      <c r="H222" s="2">
        <f t="shared" ca="1" si="7"/>
        <v>1646</v>
      </c>
      <c r="I222" s="4">
        <v>44474</v>
      </c>
      <c r="J222" s="4">
        <v>44504</v>
      </c>
      <c r="K222" t="s">
        <v>1217</v>
      </c>
      <c r="L222" t="s">
        <v>893</v>
      </c>
      <c r="M222" t="s">
        <v>19</v>
      </c>
      <c r="N222" t="s">
        <v>20</v>
      </c>
      <c r="O222">
        <v>30</v>
      </c>
    </row>
    <row r="223" spans="1:15" hidden="1" x14ac:dyDescent="0.25">
      <c r="A223" t="s">
        <v>2820</v>
      </c>
      <c r="B223" t="s">
        <v>13</v>
      </c>
      <c r="C223" t="s">
        <v>14</v>
      </c>
      <c r="D223" t="s">
        <v>15</v>
      </c>
      <c r="E223" t="s">
        <v>736</v>
      </c>
      <c r="F223" s="3">
        <v>1628574</v>
      </c>
      <c r="G223" s="2">
        <f t="shared" si="6"/>
        <v>30</v>
      </c>
      <c r="H223" s="2">
        <f t="shared" ca="1" si="7"/>
        <v>1645</v>
      </c>
      <c r="I223" s="4">
        <v>44475</v>
      </c>
      <c r="J223" s="4">
        <v>44505</v>
      </c>
      <c r="K223" t="s">
        <v>716</v>
      </c>
      <c r="L223" t="s">
        <v>18</v>
      </c>
      <c r="M223" t="s">
        <v>19</v>
      </c>
      <c r="N223" t="s">
        <v>20</v>
      </c>
      <c r="O223">
        <v>30</v>
      </c>
    </row>
    <row r="224" spans="1:15" hidden="1" x14ac:dyDescent="0.25">
      <c r="A224" t="s">
        <v>2820</v>
      </c>
      <c r="B224" t="s">
        <v>13</v>
      </c>
      <c r="C224" t="s">
        <v>14</v>
      </c>
      <c r="D224" t="s">
        <v>15</v>
      </c>
      <c r="E224" t="s">
        <v>792</v>
      </c>
      <c r="F224" s="3">
        <v>3392073</v>
      </c>
      <c r="G224" s="2">
        <f t="shared" si="6"/>
        <v>30</v>
      </c>
      <c r="H224" s="2">
        <f t="shared" ca="1" si="7"/>
        <v>1645</v>
      </c>
      <c r="I224" s="4">
        <v>44475</v>
      </c>
      <c r="J224" s="4">
        <v>44505</v>
      </c>
      <c r="K224" t="s">
        <v>766</v>
      </c>
      <c r="L224" t="s">
        <v>18</v>
      </c>
      <c r="M224" t="s">
        <v>19</v>
      </c>
      <c r="N224" t="s">
        <v>20</v>
      </c>
      <c r="O224">
        <v>30</v>
      </c>
    </row>
    <row r="225" spans="1:15" hidden="1" x14ac:dyDescent="0.25">
      <c r="A225" t="s">
        <v>2820</v>
      </c>
      <c r="B225" t="s">
        <v>13</v>
      </c>
      <c r="C225" t="s">
        <v>14</v>
      </c>
      <c r="D225" t="s">
        <v>15</v>
      </c>
      <c r="E225" t="s">
        <v>793</v>
      </c>
      <c r="F225" s="3">
        <v>343866</v>
      </c>
      <c r="G225" s="2">
        <f t="shared" si="6"/>
        <v>30</v>
      </c>
      <c r="H225" s="2">
        <f t="shared" ca="1" si="7"/>
        <v>1645</v>
      </c>
      <c r="I225" s="4">
        <v>44475</v>
      </c>
      <c r="J225" s="4">
        <v>44505</v>
      </c>
      <c r="K225" t="s">
        <v>766</v>
      </c>
      <c r="L225" t="s">
        <v>18</v>
      </c>
      <c r="M225" t="s">
        <v>19</v>
      </c>
      <c r="N225" t="s">
        <v>20</v>
      </c>
      <c r="O225">
        <v>30</v>
      </c>
    </row>
    <row r="226" spans="1:15" hidden="1" x14ac:dyDescent="0.25">
      <c r="A226" t="s">
        <v>2820</v>
      </c>
      <c r="B226" t="s">
        <v>13</v>
      </c>
      <c r="C226" t="s">
        <v>14</v>
      </c>
      <c r="D226" t="s">
        <v>15</v>
      </c>
      <c r="E226" t="s">
        <v>1020</v>
      </c>
      <c r="F226" s="3">
        <v>7536576</v>
      </c>
      <c r="G226" s="2">
        <f t="shared" si="6"/>
        <v>30</v>
      </c>
      <c r="H226" s="2">
        <f t="shared" ca="1" si="7"/>
        <v>1644</v>
      </c>
      <c r="I226" s="4">
        <v>44476</v>
      </c>
      <c r="J226" s="4">
        <v>44506</v>
      </c>
      <c r="K226" t="s">
        <v>989</v>
      </c>
      <c r="L226" t="s">
        <v>18</v>
      </c>
      <c r="M226" t="s">
        <v>19</v>
      </c>
      <c r="N226" t="s">
        <v>20</v>
      </c>
      <c r="O226">
        <v>30</v>
      </c>
    </row>
    <row r="227" spans="1:15" hidden="1" x14ac:dyDescent="0.25">
      <c r="A227" t="s">
        <v>2820</v>
      </c>
      <c r="B227" t="s">
        <v>13</v>
      </c>
      <c r="C227" t="s">
        <v>14</v>
      </c>
      <c r="D227" t="s">
        <v>15</v>
      </c>
      <c r="E227" t="s">
        <v>219</v>
      </c>
      <c r="F227" s="3">
        <v>41492761</v>
      </c>
      <c r="G227" s="2">
        <f t="shared" si="6"/>
        <v>30</v>
      </c>
      <c r="H227" s="2">
        <f t="shared" ca="1" si="7"/>
        <v>1638</v>
      </c>
      <c r="I227" s="4">
        <v>44482</v>
      </c>
      <c r="J227" s="4">
        <v>44512</v>
      </c>
      <c r="K227" t="s">
        <v>17</v>
      </c>
      <c r="L227" t="s">
        <v>18</v>
      </c>
      <c r="M227" t="s">
        <v>19</v>
      </c>
      <c r="N227" t="s">
        <v>20</v>
      </c>
      <c r="O227">
        <v>30</v>
      </c>
    </row>
    <row r="228" spans="1:15" hidden="1" x14ac:dyDescent="0.25">
      <c r="A228" t="s">
        <v>2820</v>
      </c>
      <c r="B228" t="s">
        <v>13</v>
      </c>
      <c r="C228" t="s">
        <v>14</v>
      </c>
      <c r="D228" t="s">
        <v>15</v>
      </c>
      <c r="E228" t="s">
        <v>456</v>
      </c>
      <c r="F228" s="3">
        <v>2173266</v>
      </c>
      <c r="G228" s="2">
        <f t="shared" si="6"/>
        <v>30</v>
      </c>
      <c r="H228" s="2">
        <f t="shared" ca="1" si="7"/>
        <v>1637</v>
      </c>
      <c r="I228" s="4">
        <v>44483</v>
      </c>
      <c r="J228" s="4">
        <v>44513</v>
      </c>
      <c r="K228" t="s">
        <v>343</v>
      </c>
      <c r="L228" t="s">
        <v>18</v>
      </c>
      <c r="M228" t="s">
        <v>19</v>
      </c>
      <c r="N228" t="s">
        <v>20</v>
      </c>
      <c r="O228">
        <v>30</v>
      </c>
    </row>
    <row r="229" spans="1:15" hidden="1" x14ac:dyDescent="0.25">
      <c r="A229" t="s">
        <v>2820</v>
      </c>
      <c r="B229" t="s">
        <v>13</v>
      </c>
      <c r="C229" t="s">
        <v>14</v>
      </c>
      <c r="D229" t="s">
        <v>15</v>
      </c>
      <c r="E229" t="s">
        <v>457</v>
      </c>
      <c r="F229" s="3">
        <v>4309961</v>
      </c>
      <c r="G229" s="2">
        <f t="shared" si="6"/>
        <v>30</v>
      </c>
      <c r="H229" s="2">
        <f t="shared" ca="1" si="7"/>
        <v>1637</v>
      </c>
      <c r="I229" s="4">
        <v>44483</v>
      </c>
      <c r="J229" s="4">
        <v>44513</v>
      </c>
      <c r="K229" t="s">
        <v>343</v>
      </c>
      <c r="L229" t="s">
        <v>18</v>
      </c>
      <c r="M229" t="s">
        <v>19</v>
      </c>
      <c r="N229" t="s">
        <v>20</v>
      </c>
      <c r="O229">
        <v>30</v>
      </c>
    </row>
    <row r="230" spans="1:15" hidden="1" x14ac:dyDescent="0.25">
      <c r="A230" t="s">
        <v>2820</v>
      </c>
      <c r="B230" t="s">
        <v>13</v>
      </c>
      <c r="C230" t="s">
        <v>14</v>
      </c>
      <c r="D230" t="s">
        <v>15</v>
      </c>
      <c r="E230" t="s">
        <v>458</v>
      </c>
      <c r="F230" s="3">
        <v>2001201</v>
      </c>
      <c r="G230" s="2">
        <f t="shared" si="6"/>
        <v>30</v>
      </c>
      <c r="H230" s="2">
        <f t="shared" ca="1" si="7"/>
        <v>1637</v>
      </c>
      <c r="I230" s="4">
        <v>44483</v>
      </c>
      <c r="J230" s="4">
        <v>44513</v>
      </c>
      <c r="K230" t="s">
        <v>343</v>
      </c>
      <c r="L230" t="s">
        <v>18</v>
      </c>
      <c r="M230" t="s">
        <v>19</v>
      </c>
      <c r="N230" t="s">
        <v>20</v>
      </c>
      <c r="O230">
        <v>30</v>
      </c>
    </row>
    <row r="231" spans="1:15" hidden="1" x14ac:dyDescent="0.25">
      <c r="A231" t="s">
        <v>2820</v>
      </c>
      <c r="B231" t="s">
        <v>13</v>
      </c>
      <c r="C231" t="s">
        <v>14</v>
      </c>
      <c r="D231" t="s">
        <v>15</v>
      </c>
      <c r="E231" t="s">
        <v>459</v>
      </c>
      <c r="F231" s="3">
        <v>2296128</v>
      </c>
      <c r="G231" s="2">
        <f t="shared" si="6"/>
        <v>30</v>
      </c>
      <c r="H231" s="2">
        <f t="shared" ca="1" si="7"/>
        <v>1636</v>
      </c>
      <c r="I231" s="4">
        <v>44484</v>
      </c>
      <c r="J231" s="4">
        <v>44514</v>
      </c>
      <c r="K231" t="s">
        <v>343</v>
      </c>
      <c r="L231" t="s">
        <v>47</v>
      </c>
      <c r="M231" t="s">
        <v>19</v>
      </c>
      <c r="N231" t="s">
        <v>20</v>
      </c>
      <c r="O231">
        <v>30</v>
      </c>
    </row>
    <row r="232" spans="1:15" hidden="1" x14ac:dyDescent="0.25">
      <c r="A232" t="s">
        <v>2820</v>
      </c>
      <c r="B232" t="s">
        <v>13</v>
      </c>
      <c r="C232" t="s">
        <v>14</v>
      </c>
      <c r="D232" t="s">
        <v>15</v>
      </c>
      <c r="E232" t="s">
        <v>737</v>
      </c>
      <c r="F232" s="3">
        <v>733348</v>
      </c>
      <c r="G232" s="2">
        <f t="shared" si="6"/>
        <v>30</v>
      </c>
      <c r="H232" s="2">
        <f t="shared" ca="1" si="7"/>
        <v>1631</v>
      </c>
      <c r="I232" s="4">
        <v>44489</v>
      </c>
      <c r="J232" s="4">
        <v>44519</v>
      </c>
      <c r="K232" t="s">
        <v>716</v>
      </c>
      <c r="L232" t="s">
        <v>18</v>
      </c>
      <c r="M232" t="s">
        <v>19</v>
      </c>
      <c r="N232" t="s">
        <v>20</v>
      </c>
      <c r="O232">
        <v>30</v>
      </c>
    </row>
    <row r="233" spans="1:15" hidden="1" x14ac:dyDescent="0.25">
      <c r="A233" t="s">
        <v>2820</v>
      </c>
      <c r="B233" t="s">
        <v>13</v>
      </c>
      <c r="C233" t="s">
        <v>14</v>
      </c>
      <c r="D233" t="s">
        <v>15</v>
      </c>
      <c r="E233" t="s">
        <v>794</v>
      </c>
      <c r="F233" s="3">
        <v>4526844</v>
      </c>
      <c r="G233" s="2">
        <f t="shared" si="6"/>
        <v>30</v>
      </c>
      <c r="H233" s="2">
        <f t="shared" ca="1" si="7"/>
        <v>1631</v>
      </c>
      <c r="I233" s="4">
        <v>44489</v>
      </c>
      <c r="J233" s="4">
        <v>44519</v>
      </c>
      <c r="K233" t="s">
        <v>766</v>
      </c>
      <c r="L233" t="s">
        <v>18</v>
      </c>
      <c r="M233" t="s">
        <v>19</v>
      </c>
      <c r="N233" t="s">
        <v>20</v>
      </c>
      <c r="O233">
        <v>30</v>
      </c>
    </row>
    <row r="234" spans="1:15" hidden="1" x14ac:dyDescent="0.25">
      <c r="A234" t="s">
        <v>2820</v>
      </c>
      <c r="B234" t="s">
        <v>13</v>
      </c>
      <c r="C234" t="s">
        <v>14</v>
      </c>
      <c r="D234" t="s">
        <v>15</v>
      </c>
      <c r="E234" t="s">
        <v>460</v>
      </c>
      <c r="F234" s="3">
        <v>3941286</v>
      </c>
      <c r="G234" s="2">
        <f t="shared" si="6"/>
        <v>30</v>
      </c>
      <c r="H234" s="2">
        <f t="shared" ca="1" si="7"/>
        <v>1630</v>
      </c>
      <c r="I234" s="4">
        <v>44490</v>
      </c>
      <c r="J234" s="4">
        <v>44520</v>
      </c>
      <c r="K234" t="s">
        <v>343</v>
      </c>
      <c r="L234" t="s">
        <v>18</v>
      </c>
      <c r="M234" t="s">
        <v>19</v>
      </c>
      <c r="N234" t="s">
        <v>20</v>
      </c>
      <c r="O234">
        <v>30</v>
      </c>
    </row>
    <row r="235" spans="1:15" hidden="1" x14ac:dyDescent="0.25">
      <c r="A235" t="s">
        <v>2820</v>
      </c>
      <c r="B235" t="s">
        <v>13</v>
      </c>
      <c r="C235" t="s">
        <v>14</v>
      </c>
      <c r="D235" t="s">
        <v>15</v>
      </c>
      <c r="E235" t="s">
        <v>1021</v>
      </c>
      <c r="F235" s="3">
        <v>10218028</v>
      </c>
      <c r="G235" s="2">
        <f t="shared" si="6"/>
        <v>30</v>
      </c>
      <c r="H235" s="2">
        <f t="shared" ca="1" si="7"/>
        <v>1630</v>
      </c>
      <c r="I235" s="4">
        <v>44490</v>
      </c>
      <c r="J235" s="4">
        <v>44520</v>
      </c>
      <c r="K235" t="s">
        <v>989</v>
      </c>
      <c r="L235" t="s">
        <v>18</v>
      </c>
      <c r="M235" t="s">
        <v>19</v>
      </c>
      <c r="N235" t="s">
        <v>20</v>
      </c>
      <c r="O235">
        <v>30</v>
      </c>
    </row>
    <row r="236" spans="1:15" hidden="1" x14ac:dyDescent="0.25">
      <c r="A236" t="s">
        <v>2820</v>
      </c>
      <c r="B236" t="s">
        <v>13</v>
      </c>
      <c r="C236" t="s">
        <v>14</v>
      </c>
      <c r="D236" t="s">
        <v>15</v>
      </c>
      <c r="E236" t="s">
        <v>220</v>
      </c>
      <c r="F236" s="3">
        <v>16749179</v>
      </c>
      <c r="G236" s="2">
        <f t="shared" si="6"/>
        <v>30</v>
      </c>
      <c r="H236" s="2">
        <f t="shared" ca="1" si="7"/>
        <v>1628</v>
      </c>
      <c r="I236" s="4">
        <v>44492</v>
      </c>
      <c r="J236" s="4">
        <v>44522</v>
      </c>
      <c r="K236" t="s">
        <v>17</v>
      </c>
      <c r="L236" t="s">
        <v>18</v>
      </c>
      <c r="M236" t="s">
        <v>19</v>
      </c>
      <c r="N236" t="s">
        <v>20</v>
      </c>
      <c r="O236">
        <v>30</v>
      </c>
    </row>
    <row r="237" spans="1:15" hidden="1" x14ac:dyDescent="0.25">
      <c r="A237" t="s">
        <v>2820</v>
      </c>
      <c r="B237" t="s">
        <v>13</v>
      </c>
      <c r="C237" t="s">
        <v>14</v>
      </c>
      <c r="D237" t="s">
        <v>15</v>
      </c>
      <c r="E237" t="s">
        <v>221</v>
      </c>
      <c r="F237" s="3">
        <v>6131240</v>
      </c>
      <c r="G237" s="2">
        <f t="shared" si="6"/>
        <v>30</v>
      </c>
      <c r="H237" s="2">
        <f t="shared" ca="1" si="7"/>
        <v>1628</v>
      </c>
      <c r="I237" s="4">
        <v>44492</v>
      </c>
      <c r="J237" s="4">
        <v>44522</v>
      </c>
      <c r="K237" t="s">
        <v>17</v>
      </c>
      <c r="L237" t="s">
        <v>18</v>
      </c>
      <c r="M237" t="s">
        <v>19</v>
      </c>
      <c r="N237" t="s">
        <v>20</v>
      </c>
      <c r="O237">
        <v>30</v>
      </c>
    </row>
    <row r="238" spans="1:15" hidden="1" x14ac:dyDescent="0.25">
      <c r="A238" t="s">
        <v>2820</v>
      </c>
      <c r="B238" t="s">
        <v>13</v>
      </c>
      <c r="C238" t="s">
        <v>14</v>
      </c>
      <c r="D238" t="s">
        <v>15</v>
      </c>
      <c r="E238" t="s">
        <v>461</v>
      </c>
      <c r="F238" s="3">
        <v>3258018</v>
      </c>
      <c r="G238" s="2">
        <f t="shared" si="6"/>
        <v>30</v>
      </c>
      <c r="H238" s="2">
        <f t="shared" ca="1" si="7"/>
        <v>1625</v>
      </c>
      <c r="I238" s="4">
        <v>44495</v>
      </c>
      <c r="J238" s="4">
        <v>44525</v>
      </c>
      <c r="K238" t="s">
        <v>343</v>
      </c>
      <c r="L238" t="s">
        <v>18</v>
      </c>
      <c r="M238" t="s">
        <v>19</v>
      </c>
      <c r="N238" t="s">
        <v>20</v>
      </c>
      <c r="O238">
        <v>30</v>
      </c>
    </row>
    <row r="239" spans="1:15" hidden="1" x14ac:dyDescent="0.25">
      <c r="A239" t="s">
        <v>2820</v>
      </c>
      <c r="B239" t="s">
        <v>13</v>
      </c>
      <c r="C239" t="s">
        <v>14</v>
      </c>
      <c r="D239" t="s">
        <v>15</v>
      </c>
      <c r="E239" t="s">
        <v>462</v>
      </c>
      <c r="F239" s="3">
        <v>3512076</v>
      </c>
      <c r="G239" s="2">
        <f t="shared" si="6"/>
        <v>30</v>
      </c>
      <c r="H239" s="2">
        <f t="shared" ca="1" si="7"/>
        <v>1625</v>
      </c>
      <c r="I239" s="4">
        <v>44495</v>
      </c>
      <c r="J239" s="4">
        <v>44525</v>
      </c>
      <c r="K239" t="s">
        <v>343</v>
      </c>
      <c r="L239" t="s">
        <v>18</v>
      </c>
      <c r="M239" t="s">
        <v>19</v>
      </c>
      <c r="N239" t="s">
        <v>20</v>
      </c>
      <c r="O239">
        <v>30</v>
      </c>
    </row>
    <row r="240" spans="1:15" hidden="1" x14ac:dyDescent="0.25">
      <c r="A240" t="s">
        <v>2820</v>
      </c>
      <c r="B240" t="s">
        <v>13</v>
      </c>
      <c r="C240" t="s">
        <v>14</v>
      </c>
      <c r="D240" t="s">
        <v>15</v>
      </c>
      <c r="E240" t="s">
        <v>463</v>
      </c>
      <c r="F240" s="3">
        <v>1833106</v>
      </c>
      <c r="G240" s="2">
        <f t="shared" si="6"/>
        <v>30</v>
      </c>
      <c r="H240" s="2">
        <f t="shared" ca="1" si="7"/>
        <v>1625</v>
      </c>
      <c r="I240" s="4">
        <v>44495</v>
      </c>
      <c r="J240" s="4">
        <v>44525</v>
      </c>
      <c r="K240" t="s">
        <v>343</v>
      </c>
      <c r="L240" t="s">
        <v>18</v>
      </c>
      <c r="M240" t="s">
        <v>19</v>
      </c>
      <c r="N240" t="s">
        <v>20</v>
      </c>
      <c r="O240">
        <v>30</v>
      </c>
    </row>
    <row r="241" spans="1:15" hidden="1" x14ac:dyDescent="0.25">
      <c r="A241" t="s">
        <v>2820</v>
      </c>
      <c r="B241" t="s">
        <v>13</v>
      </c>
      <c r="C241" t="s">
        <v>14</v>
      </c>
      <c r="D241" t="s">
        <v>15</v>
      </c>
      <c r="E241" t="s">
        <v>464</v>
      </c>
      <c r="F241" s="3">
        <v>2292945</v>
      </c>
      <c r="G241" s="2">
        <f t="shared" si="6"/>
        <v>30</v>
      </c>
      <c r="H241" s="2">
        <f t="shared" ca="1" si="7"/>
        <v>1625</v>
      </c>
      <c r="I241" s="4">
        <v>44495</v>
      </c>
      <c r="J241" s="4">
        <v>44525</v>
      </c>
      <c r="K241" t="s">
        <v>343</v>
      </c>
      <c r="L241" t="s">
        <v>18</v>
      </c>
      <c r="M241" t="s">
        <v>19</v>
      </c>
      <c r="N241" t="s">
        <v>20</v>
      </c>
      <c r="O241">
        <v>30</v>
      </c>
    </row>
    <row r="242" spans="1:15" hidden="1" x14ac:dyDescent="0.25">
      <c r="A242" t="s">
        <v>2820</v>
      </c>
      <c r="B242" t="s">
        <v>13</v>
      </c>
      <c r="C242" t="s">
        <v>14</v>
      </c>
      <c r="D242" t="s">
        <v>15</v>
      </c>
      <c r="E242" t="s">
        <v>465</v>
      </c>
      <c r="F242" s="3">
        <v>825783</v>
      </c>
      <c r="G242" s="2">
        <f t="shared" si="6"/>
        <v>30</v>
      </c>
      <c r="H242" s="2">
        <f t="shared" ca="1" si="7"/>
        <v>1625</v>
      </c>
      <c r="I242" s="4">
        <v>44495</v>
      </c>
      <c r="J242" s="4">
        <v>44525</v>
      </c>
      <c r="K242" t="s">
        <v>343</v>
      </c>
      <c r="L242" t="s">
        <v>18</v>
      </c>
      <c r="M242" t="s">
        <v>19</v>
      </c>
      <c r="N242" t="s">
        <v>20</v>
      </c>
      <c r="O242">
        <v>30</v>
      </c>
    </row>
    <row r="243" spans="1:15" hidden="1" x14ac:dyDescent="0.25">
      <c r="A243" t="s">
        <v>2820</v>
      </c>
      <c r="B243" t="s">
        <v>13</v>
      </c>
      <c r="C243" t="s">
        <v>14</v>
      </c>
      <c r="D243" t="s">
        <v>15</v>
      </c>
      <c r="E243" t="s">
        <v>1228</v>
      </c>
      <c r="F243" s="3">
        <v>1653708</v>
      </c>
      <c r="G243" s="2">
        <f t="shared" si="6"/>
        <v>30</v>
      </c>
      <c r="H243" s="2">
        <f t="shared" ca="1" si="7"/>
        <v>1618</v>
      </c>
      <c r="I243" s="4">
        <v>44502</v>
      </c>
      <c r="J243" s="4">
        <v>44532</v>
      </c>
      <c r="K243" t="s">
        <v>1217</v>
      </c>
      <c r="L243" t="s">
        <v>893</v>
      </c>
      <c r="M243" t="s">
        <v>19</v>
      </c>
      <c r="N243" t="s">
        <v>20</v>
      </c>
      <c r="O243">
        <v>30</v>
      </c>
    </row>
    <row r="244" spans="1:15" hidden="1" x14ac:dyDescent="0.25">
      <c r="A244" t="s">
        <v>2820</v>
      </c>
      <c r="B244" t="s">
        <v>13</v>
      </c>
      <c r="C244" t="s">
        <v>14</v>
      </c>
      <c r="D244" t="s">
        <v>15</v>
      </c>
      <c r="E244" t="s">
        <v>738</v>
      </c>
      <c r="F244" s="3">
        <v>1707031</v>
      </c>
      <c r="G244" s="2">
        <f t="shared" si="6"/>
        <v>30</v>
      </c>
      <c r="H244" s="2">
        <f t="shared" ca="1" si="7"/>
        <v>1617</v>
      </c>
      <c r="I244" s="4">
        <v>44503</v>
      </c>
      <c r="J244" s="4">
        <v>44533</v>
      </c>
      <c r="K244" t="s">
        <v>716</v>
      </c>
      <c r="L244" t="s">
        <v>18</v>
      </c>
      <c r="M244" t="s">
        <v>19</v>
      </c>
      <c r="N244" t="s">
        <v>20</v>
      </c>
      <c r="O244">
        <v>30</v>
      </c>
    </row>
    <row r="245" spans="1:15" hidden="1" x14ac:dyDescent="0.25">
      <c r="A245" t="s">
        <v>2820</v>
      </c>
      <c r="B245" t="s">
        <v>13</v>
      </c>
      <c r="C245" t="s">
        <v>14</v>
      </c>
      <c r="D245" t="s">
        <v>15</v>
      </c>
      <c r="E245" t="s">
        <v>795</v>
      </c>
      <c r="F245" s="3">
        <v>3028252</v>
      </c>
      <c r="G245" s="2">
        <f t="shared" si="6"/>
        <v>30</v>
      </c>
      <c r="H245" s="2">
        <f t="shared" ca="1" si="7"/>
        <v>1617</v>
      </c>
      <c r="I245" s="4">
        <v>44503</v>
      </c>
      <c r="J245" s="4">
        <v>44533</v>
      </c>
      <c r="K245" t="s">
        <v>766</v>
      </c>
      <c r="L245" t="s">
        <v>18</v>
      </c>
      <c r="M245" t="s">
        <v>19</v>
      </c>
      <c r="N245" t="s">
        <v>20</v>
      </c>
      <c r="O245">
        <v>30</v>
      </c>
    </row>
    <row r="246" spans="1:15" hidden="1" x14ac:dyDescent="0.25">
      <c r="A246" t="s">
        <v>2820</v>
      </c>
      <c r="B246" t="s">
        <v>13</v>
      </c>
      <c r="C246" t="s">
        <v>14</v>
      </c>
      <c r="D246" t="s">
        <v>15</v>
      </c>
      <c r="E246" t="s">
        <v>796</v>
      </c>
      <c r="F246" s="3">
        <v>707804</v>
      </c>
      <c r="G246" s="2">
        <f t="shared" si="6"/>
        <v>30</v>
      </c>
      <c r="H246" s="2">
        <f t="shared" ca="1" si="7"/>
        <v>1617</v>
      </c>
      <c r="I246" s="4">
        <v>44503</v>
      </c>
      <c r="J246" s="4">
        <v>44533</v>
      </c>
      <c r="K246" t="s">
        <v>766</v>
      </c>
      <c r="L246" t="s">
        <v>18</v>
      </c>
      <c r="M246" t="s">
        <v>19</v>
      </c>
      <c r="N246" t="s">
        <v>20</v>
      </c>
      <c r="O246">
        <v>30</v>
      </c>
    </row>
    <row r="247" spans="1:15" hidden="1" x14ac:dyDescent="0.25">
      <c r="A247" t="s">
        <v>2820</v>
      </c>
      <c r="B247" t="s">
        <v>13</v>
      </c>
      <c r="C247" t="s">
        <v>14</v>
      </c>
      <c r="D247" t="s">
        <v>15</v>
      </c>
      <c r="E247" t="s">
        <v>1229</v>
      </c>
      <c r="F247" s="3">
        <v>39024</v>
      </c>
      <c r="G247" s="2">
        <f t="shared" si="6"/>
        <v>30</v>
      </c>
      <c r="H247" s="2">
        <f t="shared" ca="1" si="7"/>
        <v>1617</v>
      </c>
      <c r="I247" s="4">
        <v>44503</v>
      </c>
      <c r="J247" s="4">
        <v>44533</v>
      </c>
      <c r="K247" t="s">
        <v>1217</v>
      </c>
      <c r="L247" t="s">
        <v>893</v>
      </c>
      <c r="M247" t="s">
        <v>19</v>
      </c>
      <c r="N247" t="s">
        <v>20</v>
      </c>
      <c r="O247">
        <v>30</v>
      </c>
    </row>
    <row r="248" spans="1:15" hidden="1" x14ac:dyDescent="0.25">
      <c r="A248" t="s">
        <v>2820</v>
      </c>
      <c r="B248" t="s">
        <v>13</v>
      </c>
      <c r="C248" t="s">
        <v>14</v>
      </c>
      <c r="D248" t="s">
        <v>15</v>
      </c>
      <c r="E248" t="s">
        <v>222</v>
      </c>
      <c r="F248" s="3">
        <v>14166124</v>
      </c>
      <c r="G248" s="2">
        <f t="shared" si="6"/>
        <v>30</v>
      </c>
      <c r="H248" s="2">
        <f t="shared" ca="1" si="7"/>
        <v>1616</v>
      </c>
      <c r="I248" s="4">
        <v>44504</v>
      </c>
      <c r="J248" s="4">
        <v>44534</v>
      </c>
      <c r="K248" t="s">
        <v>17</v>
      </c>
      <c r="L248" t="s">
        <v>18</v>
      </c>
      <c r="M248" t="s">
        <v>19</v>
      </c>
      <c r="N248" t="s">
        <v>20</v>
      </c>
      <c r="O248">
        <v>30</v>
      </c>
    </row>
    <row r="249" spans="1:15" hidden="1" x14ac:dyDescent="0.25">
      <c r="A249" t="s">
        <v>2820</v>
      </c>
      <c r="B249" t="s">
        <v>13</v>
      </c>
      <c r="C249" t="s">
        <v>14</v>
      </c>
      <c r="D249" t="s">
        <v>15</v>
      </c>
      <c r="E249" t="s">
        <v>223</v>
      </c>
      <c r="F249" s="3">
        <v>4458973</v>
      </c>
      <c r="G249" s="2">
        <f t="shared" si="6"/>
        <v>30</v>
      </c>
      <c r="H249" s="2">
        <f t="shared" ca="1" si="7"/>
        <v>1614</v>
      </c>
      <c r="I249" s="4">
        <v>44506</v>
      </c>
      <c r="J249" s="4">
        <v>44536</v>
      </c>
      <c r="K249" t="s">
        <v>17</v>
      </c>
      <c r="L249" t="s">
        <v>47</v>
      </c>
      <c r="M249" t="s">
        <v>19</v>
      </c>
      <c r="N249" t="s">
        <v>20</v>
      </c>
      <c r="O249">
        <v>30</v>
      </c>
    </row>
    <row r="250" spans="1:15" hidden="1" x14ac:dyDescent="0.25">
      <c r="A250" t="s">
        <v>2820</v>
      </c>
      <c r="B250" t="s">
        <v>13</v>
      </c>
      <c r="C250" t="s">
        <v>14</v>
      </c>
      <c r="D250" t="s">
        <v>15</v>
      </c>
      <c r="E250" t="s">
        <v>224</v>
      </c>
      <c r="F250" s="3">
        <v>2138352</v>
      </c>
      <c r="G250" s="2">
        <f t="shared" si="6"/>
        <v>30</v>
      </c>
      <c r="H250" s="2">
        <f t="shared" ca="1" si="7"/>
        <v>1614</v>
      </c>
      <c r="I250" s="4">
        <v>44506</v>
      </c>
      <c r="J250" s="4">
        <v>44536</v>
      </c>
      <c r="K250" t="s">
        <v>17</v>
      </c>
      <c r="L250" t="s">
        <v>47</v>
      </c>
      <c r="M250" t="s">
        <v>19</v>
      </c>
      <c r="N250" t="s">
        <v>20</v>
      </c>
      <c r="O250">
        <v>30</v>
      </c>
    </row>
    <row r="251" spans="1:15" hidden="1" x14ac:dyDescent="0.25">
      <c r="A251" t="s">
        <v>2820</v>
      </c>
      <c r="B251" t="s">
        <v>13</v>
      </c>
      <c r="C251" t="s">
        <v>14</v>
      </c>
      <c r="D251" t="s">
        <v>15</v>
      </c>
      <c r="E251" t="s">
        <v>225</v>
      </c>
      <c r="F251" s="3">
        <v>1707544</v>
      </c>
      <c r="G251" s="2">
        <f t="shared" si="6"/>
        <v>30</v>
      </c>
      <c r="H251" s="2">
        <f t="shared" ca="1" si="7"/>
        <v>1611</v>
      </c>
      <c r="I251" s="4">
        <v>44509</v>
      </c>
      <c r="J251" s="4">
        <v>44539</v>
      </c>
      <c r="K251" t="s">
        <v>17</v>
      </c>
      <c r="L251" t="s">
        <v>18</v>
      </c>
      <c r="M251" t="s">
        <v>19</v>
      </c>
      <c r="N251" t="s">
        <v>20</v>
      </c>
      <c r="O251">
        <v>30</v>
      </c>
    </row>
    <row r="252" spans="1:15" hidden="1" x14ac:dyDescent="0.25">
      <c r="A252" t="s">
        <v>2820</v>
      </c>
      <c r="B252" t="s">
        <v>13</v>
      </c>
      <c r="C252" t="s">
        <v>14</v>
      </c>
      <c r="D252" t="s">
        <v>15</v>
      </c>
      <c r="E252" t="s">
        <v>466</v>
      </c>
      <c r="F252" s="3">
        <v>3302400</v>
      </c>
      <c r="G252" s="2">
        <f t="shared" si="6"/>
        <v>30</v>
      </c>
      <c r="H252" s="2">
        <f t="shared" ca="1" si="7"/>
        <v>1611</v>
      </c>
      <c r="I252" s="4">
        <v>44509</v>
      </c>
      <c r="J252" s="4">
        <v>44539</v>
      </c>
      <c r="K252" t="s">
        <v>343</v>
      </c>
      <c r="L252" t="s">
        <v>18</v>
      </c>
      <c r="M252" t="s">
        <v>19</v>
      </c>
      <c r="N252" t="s">
        <v>20</v>
      </c>
      <c r="O252">
        <v>30</v>
      </c>
    </row>
    <row r="253" spans="1:15" hidden="1" x14ac:dyDescent="0.25">
      <c r="A253" t="s">
        <v>2820</v>
      </c>
      <c r="B253" t="s">
        <v>13</v>
      </c>
      <c r="C253" t="s">
        <v>14</v>
      </c>
      <c r="D253" t="s">
        <v>15</v>
      </c>
      <c r="E253" t="s">
        <v>467</v>
      </c>
      <c r="F253" s="3">
        <v>4994970</v>
      </c>
      <c r="G253" s="2">
        <f t="shared" si="6"/>
        <v>30</v>
      </c>
      <c r="H253" s="2">
        <f t="shared" ca="1" si="7"/>
        <v>1611</v>
      </c>
      <c r="I253" s="4">
        <v>44509</v>
      </c>
      <c r="J253" s="4">
        <v>44539</v>
      </c>
      <c r="K253" t="s">
        <v>343</v>
      </c>
      <c r="L253" t="s">
        <v>18</v>
      </c>
      <c r="M253" t="s">
        <v>19</v>
      </c>
      <c r="N253" t="s">
        <v>20</v>
      </c>
      <c r="O253">
        <v>30</v>
      </c>
    </row>
    <row r="254" spans="1:15" hidden="1" x14ac:dyDescent="0.25">
      <c r="A254" t="s">
        <v>2820</v>
      </c>
      <c r="B254" t="s">
        <v>13</v>
      </c>
      <c r="C254" t="s">
        <v>14</v>
      </c>
      <c r="D254" t="s">
        <v>15</v>
      </c>
      <c r="E254" t="s">
        <v>468</v>
      </c>
      <c r="F254" s="3">
        <v>4745001</v>
      </c>
      <c r="G254" s="2">
        <f t="shared" si="6"/>
        <v>30</v>
      </c>
      <c r="H254" s="2">
        <f t="shared" ca="1" si="7"/>
        <v>1611</v>
      </c>
      <c r="I254" s="4">
        <v>44509</v>
      </c>
      <c r="J254" s="4">
        <v>44539</v>
      </c>
      <c r="K254" t="s">
        <v>343</v>
      </c>
      <c r="L254" t="s">
        <v>18</v>
      </c>
      <c r="M254" t="s">
        <v>19</v>
      </c>
      <c r="N254" t="s">
        <v>20</v>
      </c>
      <c r="O254">
        <v>30</v>
      </c>
    </row>
    <row r="255" spans="1:15" hidden="1" x14ac:dyDescent="0.25">
      <c r="A255" t="s">
        <v>2820</v>
      </c>
      <c r="B255" t="s">
        <v>13</v>
      </c>
      <c r="C255" t="s">
        <v>14</v>
      </c>
      <c r="D255" t="s">
        <v>15</v>
      </c>
      <c r="E255" t="s">
        <v>469</v>
      </c>
      <c r="F255" s="3">
        <v>1516510</v>
      </c>
      <c r="G255" s="2">
        <f t="shared" si="6"/>
        <v>30</v>
      </c>
      <c r="H255" s="2">
        <f t="shared" ca="1" si="7"/>
        <v>1611</v>
      </c>
      <c r="I255" s="4">
        <v>44509</v>
      </c>
      <c r="J255" s="4">
        <v>44539</v>
      </c>
      <c r="K255" t="s">
        <v>343</v>
      </c>
      <c r="L255" t="s">
        <v>18</v>
      </c>
      <c r="M255" t="s">
        <v>19</v>
      </c>
      <c r="N255" t="s">
        <v>20</v>
      </c>
      <c r="O255">
        <v>30</v>
      </c>
    </row>
    <row r="256" spans="1:15" hidden="1" x14ac:dyDescent="0.25">
      <c r="A256" t="s">
        <v>2820</v>
      </c>
      <c r="B256" t="s">
        <v>13</v>
      </c>
      <c r="C256" t="s">
        <v>14</v>
      </c>
      <c r="D256" t="s">
        <v>15</v>
      </c>
      <c r="E256" t="s">
        <v>470</v>
      </c>
      <c r="F256" s="3">
        <v>50394</v>
      </c>
      <c r="G256" s="2">
        <f t="shared" si="6"/>
        <v>30</v>
      </c>
      <c r="H256" s="2">
        <f t="shared" ca="1" si="7"/>
        <v>1611</v>
      </c>
      <c r="I256" s="4">
        <v>44509</v>
      </c>
      <c r="J256" s="4">
        <v>44539</v>
      </c>
      <c r="K256" t="s">
        <v>343</v>
      </c>
      <c r="L256" t="s">
        <v>18</v>
      </c>
      <c r="M256" t="s">
        <v>19</v>
      </c>
      <c r="N256" t="s">
        <v>20</v>
      </c>
      <c r="O256">
        <v>30</v>
      </c>
    </row>
    <row r="257" spans="1:15" hidden="1" x14ac:dyDescent="0.25">
      <c r="A257" t="s">
        <v>2820</v>
      </c>
      <c r="B257" t="s">
        <v>13</v>
      </c>
      <c r="C257" t="s">
        <v>14</v>
      </c>
      <c r="D257" t="s">
        <v>15</v>
      </c>
      <c r="E257" t="s">
        <v>471</v>
      </c>
      <c r="F257" s="3">
        <v>284000</v>
      </c>
      <c r="G257" s="2">
        <f t="shared" si="6"/>
        <v>30</v>
      </c>
      <c r="H257" s="2">
        <f t="shared" ca="1" si="7"/>
        <v>1611</v>
      </c>
      <c r="I257" s="4">
        <v>44509</v>
      </c>
      <c r="J257" s="4">
        <v>44539</v>
      </c>
      <c r="K257" t="s">
        <v>343</v>
      </c>
      <c r="L257" t="s">
        <v>18</v>
      </c>
      <c r="M257" t="s">
        <v>19</v>
      </c>
      <c r="N257" t="s">
        <v>20</v>
      </c>
      <c r="O257">
        <v>30</v>
      </c>
    </row>
    <row r="258" spans="1:15" hidden="1" x14ac:dyDescent="0.25">
      <c r="A258" t="s">
        <v>2820</v>
      </c>
      <c r="B258" t="s">
        <v>13</v>
      </c>
      <c r="C258" t="s">
        <v>14</v>
      </c>
      <c r="D258" t="s">
        <v>15</v>
      </c>
      <c r="E258" t="s">
        <v>472</v>
      </c>
      <c r="F258" s="3">
        <v>1353197</v>
      </c>
      <c r="G258" s="2">
        <f t="shared" ref="G258:G321" si="8">+J258-I258</f>
        <v>30</v>
      </c>
      <c r="H258" s="2">
        <f t="shared" ref="H258:H321" ca="1" si="9">+TODAY()-I258</f>
        <v>1609</v>
      </c>
      <c r="I258" s="4">
        <v>44511</v>
      </c>
      <c r="J258" s="4">
        <v>44541</v>
      </c>
      <c r="K258" t="s">
        <v>343</v>
      </c>
      <c r="L258" t="s">
        <v>47</v>
      </c>
      <c r="M258" t="s">
        <v>19</v>
      </c>
      <c r="N258" t="s">
        <v>20</v>
      </c>
      <c r="O258">
        <v>30</v>
      </c>
    </row>
    <row r="259" spans="1:15" hidden="1" x14ac:dyDescent="0.25">
      <c r="A259" t="s">
        <v>2820</v>
      </c>
      <c r="B259" t="s">
        <v>13</v>
      </c>
      <c r="C259" t="s">
        <v>14</v>
      </c>
      <c r="D259" t="s">
        <v>15</v>
      </c>
      <c r="E259" t="s">
        <v>473</v>
      </c>
      <c r="F259" s="3">
        <v>360228</v>
      </c>
      <c r="G259" s="2">
        <f t="shared" si="8"/>
        <v>30</v>
      </c>
      <c r="H259" s="2">
        <f t="shared" ca="1" si="9"/>
        <v>1607</v>
      </c>
      <c r="I259" s="4">
        <v>44513</v>
      </c>
      <c r="J259" s="4">
        <v>44543</v>
      </c>
      <c r="K259" t="s">
        <v>343</v>
      </c>
      <c r="L259" t="s">
        <v>18</v>
      </c>
      <c r="M259" t="s">
        <v>19</v>
      </c>
      <c r="N259" t="s">
        <v>20</v>
      </c>
      <c r="O259">
        <v>30</v>
      </c>
    </row>
    <row r="260" spans="1:15" hidden="1" x14ac:dyDescent="0.25">
      <c r="A260" t="s">
        <v>2820</v>
      </c>
      <c r="B260" t="s">
        <v>13</v>
      </c>
      <c r="C260" t="s">
        <v>14</v>
      </c>
      <c r="D260" t="s">
        <v>15</v>
      </c>
      <c r="E260" t="s">
        <v>226</v>
      </c>
      <c r="F260" s="3">
        <v>5449984</v>
      </c>
      <c r="G260" s="2">
        <f t="shared" si="8"/>
        <v>30</v>
      </c>
      <c r="H260" s="2">
        <f t="shared" ca="1" si="9"/>
        <v>1604</v>
      </c>
      <c r="I260" s="4">
        <v>44516</v>
      </c>
      <c r="J260" s="4">
        <v>44546</v>
      </c>
      <c r="K260" t="s">
        <v>17</v>
      </c>
      <c r="L260" t="s">
        <v>18</v>
      </c>
      <c r="M260" t="s">
        <v>19</v>
      </c>
      <c r="N260" t="s">
        <v>20</v>
      </c>
      <c r="O260">
        <v>30</v>
      </c>
    </row>
    <row r="261" spans="1:15" hidden="1" x14ac:dyDescent="0.25">
      <c r="A261" t="s">
        <v>2820</v>
      </c>
      <c r="B261" t="s">
        <v>13</v>
      </c>
      <c r="C261" t="s">
        <v>14</v>
      </c>
      <c r="D261" t="s">
        <v>15</v>
      </c>
      <c r="E261" t="s">
        <v>227</v>
      </c>
      <c r="F261" s="3">
        <v>1685170</v>
      </c>
      <c r="G261" s="2">
        <f t="shared" si="8"/>
        <v>30</v>
      </c>
      <c r="H261" s="2">
        <f t="shared" ca="1" si="9"/>
        <v>1604</v>
      </c>
      <c r="I261" s="4">
        <v>44516</v>
      </c>
      <c r="J261" s="4">
        <v>44546</v>
      </c>
      <c r="K261" t="s">
        <v>17</v>
      </c>
      <c r="L261" t="s">
        <v>47</v>
      </c>
      <c r="M261" t="s">
        <v>19</v>
      </c>
      <c r="N261" t="s">
        <v>20</v>
      </c>
      <c r="O261">
        <v>30</v>
      </c>
    </row>
    <row r="262" spans="1:15" hidden="1" x14ac:dyDescent="0.25">
      <c r="A262" t="s">
        <v>2820</v>
      </c>
      <c r="B262" t="s">
        <v>13</v>
      </c>
      <c r="C262" t="s">
        <v>14</v>
      </c>
      <c r="D262" t="s">
        <v>15</v>
      </c>
      <c r="E262" t="s">
        <v>228</v>
      </c>
      <c r="F262" s="3">
        <v>1654243</v>
      </c>
      <c r="G262" s="2">
        <f t="shared" si="8"/>
        <v>30</v>
      </c>
      <c r="H262" s="2">
        <f t="shared" ca="1" si="9"/>
        <v>1604</v>
      </c>
      <c r="I262" s="4">
        <v>44516</v>
      </c>
      <c r="J262" s="4">
        <v>44546</v>
      </c>
      <c r="K262" t="s">
        <v>17</v>
      </c>
      <c r="L262" t="s">
        <v>18</v>
      </c>
      <c r="M262" t="s">
        <v>19</v>
      </c>
      <c r="N262" t="s">
        <v>20</v>
      </c>
      <c r="O262">
        <v>30</v>
      </c>
    </row>
    <row r="263" spans="1:15" hidden="1" x14ac:dyDescent="0.25">
      <c r="A263" t="s">
        <v>2820</v>
      </c>
      <c r="B263" t="s">
        <v>13</v>
      </c>
      <c r="C263" t="s">
        <v>14</v>
      </c>
      <c r="D263" t="s">
        <v>15</v>
      </c>
      <c r="E263" t="s">
        <v>739</v>
      </c>
      <c r="F263" s="3">
        <v>5129200</v>
      </c>
      <c r="G263" s="2">
        <f t="shared" si="8"/>
        <v>30</v>
      </c>
      <c r="H263" s="2">
        <f t="shared" ca="1" si="9"/>
        <v>1603</v>
      </c>
      <c r="I263" s="4">
        <v>44517</v>
      </c>
      <c r="J263" s="4">
        <v>44547</v>
      </c>
      <c r="K263" t="s">
        <v>716</v>
      </c>
      <c r="L263" t="s">
        <v>18</v>
      </c>
      <c r="M263" t="s">
        <v>19</v>
      </c>
      <c r="N263" t="s">
        <v>20</v>
      </c>
      <c r="O263">
        <v>30</v>
      </c>
    </row>
    <row r="264" spans="1:15" hidden="1" x14ac:dyDescent="0.25">
      <c r="A264" t="s">
        <v>2820</v>
      </c>
      <c r="B264" t="s">
        <v>13</v>
      </c>
      <c r="C264" t="s">
        <v>14</v>
      </c>
      <c r="D264" t="s">
        <v>15</v>
      </c>
      <c r="E264" t="s">
        <v>797</v>
      </c>
      <c r="F264" s="3">
        <v>3436573</v>
      </c>
      <c r="G264" s="2">
        <f t="shared" si="8"/>
        <v>30</v>
      </c>
      <c r="H264" s="2">
        <f t="shared" ca="1" si="9"/>
        <v>1603</v>
      </c>
      <c r="I264" s="4">
        <v>44517</v>
      </c>
      <c r="J264" s="4">
        <v>44547</v>
      </c>
      <c r="K264" t="s">
        <v>766</v>
      </c>
      <c r="L264" t="s">
        <v>18</v>
      </c>
      <c r="M264" t="s">
        <v>19</v>
      </c>
      <c r="N264" t="s">
        <v>20</v>
      </c>
      <c r="O264">
        <v>30</v>
      </c>
    </row>
    <row r="265" spans="1:15" hidden="1" x14ac:dyDescent="0.25">
      <c r="A265" t="s">
        <v>2820</v>
      </c>
      <c r="B265" t="s">
        <v>13</v>
      </c>
      <c r="C265" t="s">
        <v>14</v>
      </c>
      <c r="D265" t="s">
        <v>15</v>
      </c>
      <c r="E265" t="s">
        <v>798</v>
      </c>
      <c r="F265" s="3">
        <v>1274007</v>
      </c>
      <c r="G265" s="2">
        <f t="shared" si="8"/>
        <v>30</v>
      </c>
      <c r="H265" s="2">
        <f t="shared" ca="1" si="9"/>
        <v>1603</v>
      </c>
      <c r="I265" s="4">
        <v>44517</v>
      </c>
      <c r="J265" s="4">
        <v>44547</v>
      </c>
      <c r="K265" t="s">
        <v>766</v>
      </c>
      <c r="L265" t="s">
        <v>18</v>
      </c>
      <c r="M265" t="s">
        <v>19</v>
      </c>
      <c r="N265" t="s">
        <v>20</v>
      </c>
      <c r="O265">
        <v>30</v>
      </c>
    </row>
    <row r="266" spans="1:15" hidden="1" x14ac:dyDescent="0.25">
      <c r="A266" t="s">
        <v>2820</v>
      </c>
      <c r="B266" t="s">
        <v>13</v>
      </c>
      <c r="C266" t="s">
        <v>14</v>
      </c>
      <c r="D266" t="s">
        <v>15</v>
      </c>
      <c r="E266" t="s">
        <v>229</v>
      </c>
      <c r="F266" s="3">
        <v>265890</v>
      </c>
      <c r="G266" s="2">
        <f t="shared" si="8"/>
        <v>30</v>
      </c>
      <c r="H266" s="2">
        <f t="shared" ca="1" si="9"/>
        <v>1602</v>
      </c>
      <c r="I266" s="4">
        <v>44518</v>
      </c>
      <c r="J266" s="4">
        <v>44548</v>
      </c>
      <c r="K266" t="s">
        <v>17</v>
      </c>
      <c r="L266" t="s">
        <v>47</v>
      </c>
      <c r="M266" t="s">
        <v>19</v>
      </c>
      <c r="N266" t="s">
        <v>20</v>
      </c>
      <c r="O266">
        <v>30</v>
      </c>
    </row>
    <row r="267" spans="1:15" hidden="1" x14ac:dyDescent="0.25">
      <c r="A267" t="s">
        <v>2820</v>
      </c>
      <c r="B267" t="s">
        <v>13</v>
      </c>
      <c r="C267" t="s">
        <v>14</v>
      </c>
      <c r="D267" t="s">
        <v>15</v>
      </c>
      <c r="E267" t="s">
        <v>1022</v>
      </c>
      <c r="F267" s="3">
        <v>8956687</v>
      </c>
      <c r="G267" s="2">
        <f t="shared" si="8"/>
        <v>30</v>
      </c>
      <c r="H267" s="2">
        <f t="shared" ca="1" si="9"/>
        <v>1601</v>
      </c>
      <c r="I267" s="4">
        <v>44519</v>
      </c>
      <c r="J267" s="4">
        <v>44549</v>
      </c>
      <c r="K267" t="s">
        <v>989</v>
      </c>
      <c r="L267" t="s">
        <v>18</v>
      </c>
      <c r="M267" t="s">
        <v>19</v>
      </c>
      <c r="N267" t="s">
        <v>20</v>
      </c>
      <c r="O267">
        <v>30</v>
      </c>
    </row>
    <row r="268" spans="1:15" hidden="1" x14ac:dyDescent="0.25">
      <c r="A268" t="s">
        <v>2820</v>
      </c>
      <c r="B268" t="s">
        <v>1290</v>
      </c>
      <c r="C268" t="s">
        <v>1291</v>
      </c>
      <c r="D268" t="s">
        <v>1259</v>
      </c>
      <c r="E268" t="s">
        <v>1292</v>
      </c>
      <c r="F268" s="3">
        <v>2665741</v>
      </c>
      <c r="G268" s="2">
        <f t="shared" si="8"/>
        <v>30</v>
      </c>
      <c r="H268" s="2">
        <f t="shared" ca="1" si="9"/>
        <v>1601</v>
      </c>
      <c r="I268" s="4">
        <v>44519</v>
      </c>
      <c r="J268" s="4">
        <v>44549</v>
      </c>
      <c r="K268" t="s">
        <v>1260</v>
      </c>
      <c r="L268" t="s">
        <v>981</v>
      </c>
      <c r="M268" t="s">
        <v>19</v>
      </c>
      <c r="N268" t="s">
        <v>1293</v>
      </c>
      <c r="O268">
        <v>30</v>
      </c>
    </row>
    <row r="269" spans="1:15" hidden="1" x14ac:dyDescent="0.25">
      <c r="A269" t="s">
        <v>2820</v>
      </c>
      <c r="B269" t="s">
        <v>13</v>
      </c>
      <c r="C269" t="s">
        <v>14</v>
      </c>
      <c r="D269" t="s">
        <v>15</v>
      </c>
      <c r="E269" t="s">
        <v>230</v>
      </c>
      <c r="F269" s="3">
        <v>2341731</v>
      </c>
      <c r="G269" s="2">
        <f t="shared" si="8"/>
        <v>30</v>
      </c>
      <c r="H269" s="2">
        <f t="shared" ca="1" si="9"/>
        <v>1600</v>
      </c>
      <c r="I269" s="4">
        <v>44520</v>
      </c>
      <c r="J269" s="4">
        <v>44550</v>
      </c>
      <c r="K269" t="s">
        <v>17</v>
      </c>
      <c r="L269" t="s">
        <v>18</v>
      </c>
      <c r="M269" t="s">
        <v>19</v>
      </c>
      <c r="N269" t="s">
        <v>20</v>
      </c>
      <c r="O269">
        <v>30</v>
      </c>
    </row>
    <row r="270" spans="1:15" hidden="1" x14ac:dyDescent="0.25">
      <c r="A270" t="s">
        <v>2820</v>
      </c>
      <c r="B270" t="s">
        <v>13</v>
      </c>
      <c r="C270" t="s">
        <v>14</v>
      </c>
      <c r="D270" t="s">
        <v>15</v>
      </c>
      <c r="E270" t="s">
        <v>474</v>
      </c>
      <c r="F270" s="3">
        <v>7208738</v>
      </c>
      <c r="G270" s="2">
        <f t="shared" si="8"/>
        <v>30</v>
      </c>
      <c r="H270" s="2">
        <f t="shared" ca="1" si="9"/>
        <v>1596</v>
      </c>
      <c r="I270" s="4">
        <v>44524</v>
      </c>
      <c r="J270" s="4">
        <v>44554</v>
      </c>
      <c r="K270" t="s">
        <v>343</v>
      </c>
      <c r="L270" t="s">
        <v>18</v>
      </c>
      <c r="M270" t="s">
        <v>19</v>
      </c>
      <c r="N270" t="s">
        <v>20</v>
      </c>
      <c r="O270">
        <v>30</v>
      </c>
    </row>
    <row r="271" spans="1:15" hidden="1" x14ac:dyDescent="0.25">
      <c r="A271" t="s">
        <v>2820</v>
      </c>
      <c r="B271" t="s">
        <v>13</v>
      </c>
      <c r="C271" t="s">
        <v>14</v>
      </c>
      <c r="D271" t="s">
        <v>15</v>
      </c>
      <c r="E271" t="s">
        <v>475</v>
      </c>
      <c r="F271" s="3">
        <v>2157715</v>
      </c>
      <c r="G271" s="2">
        <f t="shared" si="8"/>
        <v>30</v>
      </c>
      <c r="H271" s="2">
        <f t="shared" ca="1" si="9"/>
        <v>1596</v>
      </c>
      <c r="I271" s="4">
        <v>44524</v>
      </c>
      <c r="J271" s="4">
        <v>44554</v>
      </c>
      <c r="K271" t="s">
        <v>343</v>
      </c>
      <c r="L271" t="s">
        <v>18</v>
      </c>
      <c r="M271" t="s">
        <v>19</v>
      </c>
      <c r="N271" t="s">
        <v>20</v>
      </c>
      <c r="O271">
        <v>30</v>
      </c>
    </row>
    <row r="272" spans="1:15" hidden="1" x14ac:dyDescent="0.25">
      <c r="A272" t="s">
        <v>2820</v>
      </c>
      <c r="B272" t="s">
        <v>13</v>
      </c>
      <c r="C272" t="s">
        <v>14</v>
      </c>
      <c r="D272" t="s">
        <v>15</v>
      </c>
      <c r="E272" t="s">
        <v>476</v>
      </c>
      <c r="F272" s="3">
        <v>2391678</v>
      </c>
      <c r="G272" s="2">
        <f t="shared" si="8"/>
        <v>30</v>
      </c>
      <c r="H272" s="2">
        <f t="shared" ca="1" si="9"/>
        <v>1596</v>
      </c>
      <c r="I272" s="4">
        <v>44524</v>
      </c>
      <c r="J272" s="4">
        <v>44554</v>
      </c>
      <c r="K272" t="s">
        <v>343</v>
      </c>
      <c r="L272" t="s">
        <v>18</v>
      </c>
      <c r="M272" t="s">
        <v>19</v>
      </c>
      <c r="N272" t="s">
        <v>20</v>
      </c>
      <c r="O272">
        <v>30</v>
      </c>
    </row>
    <row r="273" spans="1:15" hidden="1" x14ac:dyDescent="0.25">
      <c r="A273" t="s">
        <v>2820</v>
      </c>
      <c r="B273" t="s">
        <v>13</v>
      </c>
      <c r="C273" t="s">
        <v>14</v>
      </c>
      <c r="D273" t="s">
        <v>15</v>
      </c>
      <c r="E273" t="s">
        <v>477</v>
      </c>
      <c r="F273" s="3">
        <v>1486467</v>
      </c>
      <c r="G273" s="2">
        <f t="shared" si="8"/>
        <v>30</v>
      </c>
      <c r="H273" s="2">
        <f t="shared" ca="1" si="9"/>
        <v>1596</v>
      </c>
      <c r="I273" s="4">
        <v>44524</v>
      </c>
      <c r="J273" s="4">
        <v>44554</v>
      </c>
      <c r="K273" t="s">
        <v>343</v>
      </c>
      <c r="L273" t="s">
        <v>18</v>
      </c>
      <c r="M273" t="s">
        <v>19</v>
      </c>
      <c r="N273" t="s">
        <v>20</v>
      </c>
      <c r="O273">
        <v>30</v>
      </c>
    </row>
    <row r="274" spans="1:15" hidden="1" x14ac:dyDescent="0.25">
      <c r="A274" t="s">
        <v>2820</v>
      </c>
      <c r="B274" t="s">
        <v>13</v>
      </c>
      <c r="C274" t="s">
        <v>14</v>
      </c>
      <c r="D274" t="s">
        <v>15</v>
      </c>
      <c r="E274" t="s">
        <v>1230</v>
      </c>
      <c r="F274" s="3">
        <v>2490651</v>
      </c>
      <c r="G274" s="2">
        <f t="shared" si="8"/>
        <v>30</v>
      </c>
      <c r="H274" s="2">
        <f t="shared" ca="1" si="9"/>
        <v>1593</v>
      </c>
      <c r="I274" s="4">
        <v>44527</v>
      </c>
      <c r="J274" s="4">
        <v>44557</v>
      </c>
      <c r="K274" t="s">
        <v>1217</v>
      </c>
      <c r="L274" t="s">
        <v>893</v>
      </c>
      <c r="M274" t="s">
        <v>19</v>
      </c>
      <c r="N274" t="s">
        <v>20</v>
      </c>
      <c r="O274">
        <v>30</v>
      </c>
    </row>
    <row r="275" spans="1:15" hidden="1" x14ac:dyDescent="0.25">
      <c r="A275" t="s">
        <v>2820</v>
      </c>
      <c r="B275" t="s">
        <v>13</v>
      </c>
      <c r="C275" t="s">
        <v>14</v>
      </c>
      <c r="D275" t="s">
        <v>15</v>
      </c>
      <c r="E275" t="s">
        <v>231</v>
      </c>
      <c r="F275" s="3">
        <v>18120000</v>
      </c>
      <c r="G275" s="2">
        <f t="shared" si="8"/>
        <v>30</v>
      </c>
      <c r="H275" s="2">
        <f t="shared" ca="1" si="9"/>
        <v>1591</v>
      </c>
      <c r="I275" s="4">
        <v>44529</v>
      </c>
      <c r="J275" s="4">
        <v>44559</v>
      </c>
      <c r="K275" t="s">
        <v>17</v>
      </c>
      <c r="L275" t="s">
        <v>18</v>
      </c>
      <c r="M275" t="s">
        <v>19</v>
      </c>
      <c r="N275" t="s">
        <v>20</v>
      </c>
      <c r="O275">
        <v>30</v>
      </c>
    </row>
    <row r="276" spans="1:15" hidden="1" x14ac:dyDescent="0.25">
      <c r="A276" t="s">
        <v>2820</v>
      </c>
      <c r="B276" t="s">
        <v>13</v>
      </c>
      <c r="C276" t="s">
        <v>14</v>
      </c>
      <c r="D276" t="s">
        <v>15</v>
      </c>
      <c r="E276" t="s">
        <v>232</v>
      </c>
      <c r="F276" s="3">
        <v>11905051</v>
      </c>
      <c r="G276" s="2">
        <f t="shared" si="8"/>
        <v>30</v>
      </c>
      <c r="H276" s="2">
        <f t="shared" ca="1" si="9"/>
        <v>1590</v>
      </c>
      <c r="I276" s="4">
        <v>44530</v>
      </c>
      <c r="J276" s="4">
        <v>44560</v>
      </c>
      <c r="K276" t="s">
        <v>17</v>
      </c>
      <c r="L276" t="s">
        <v>18</v>
      </c>
      <c r="M276" t="s">
        <v>19</v>
      </c>
      <c r="N276" t="s">
        <v>20</v>
      </c>
      <c r="O276">
        <v>30</v>
      </c>
    </row>
    <row r="277" spans="1:15" hidden="1" x14ac:dyDescent="0.25">
      <c r="A277" t="s">
        <v>2820</v>
      </c>
      <c r="B277" t="s">
        <v>13</v>
      </c>
      <c r="C277" t="s">
        <v>14</v>
      </c>
      <c r="D277" t="s">
        <v>15</v>
      </c>
      <c r="E277" t="s">
        <v>740</v>
      </c>
      <c r="F277" s="3">
        <v>4140649</v>
      </c>
      <c r="G277" s="2">
        <f t="shared" si="8"/>
        <v>30</v>
      </c>
      <c r="H277" s="2">
        <f t="shared" ca="1" si="9"/>
        <v>1590</v>
      </c>
      <c r="I277" s="4">
        <v>44530</v>
      </c>
      <c r="J277" s="4">
        <v>44560</v>
      </c>
      <c r="K277" t="s">
        <v>716</v>
      </c>
      <c r="L277" t="s">
        <v>18</v>
      </c>
      <c r="M277" t="s">
        <v>19</v>
      </c>
      <c r="N277" t="s">
        <v>20</v>
      </c>
      <c r="O277">
        <v>30</v>
      </c>
    </row>
    <row r="278" spans="1:15" hidden="1" x14ac:dyDescent="0.25">
      <c r="A278" t="s">
        <v>2820</v>
      </c>
      <c r="B278" t="s">
        <v>13</v>
      </c>
      <c r="C278" t="s">
        <v>14</v>
      </c>
      <c r="D278" t="s">
        <v>15</v>
      </c>
      <c r="E278" t="s">
        <v>799</v>
      </c>
      <c r="F278" s="3">
        <v>2260471</v>
      </c>
      <c r="G278" s="2">
        <f t="shared" si="8"/>
        <v>30</v>
      </c>
      <c r="H278" s="2">
        <f t="shared" ca="1" si="9"/>
        <v>1590</v>
      </c>
      <c r="I278" s="4">
        <v>44530</v>
      </c>
      <c r="J278" s="4">
        <v>44560</v>
      </c>
      <c r="K278" t="s">
        <v>766</v>
      </c>
      <c r="L278" t="s">
        <v>18</v>
      </c>
      <c r="M278" t="s">
        <v>19</v>
      </c>
      <c r="N278" t="s">
        <v>20</v>
      </c>
      <c r="O278">
        <v>30</v>
      </c>
    </row>
    <row r="279" spans="1:15" hidden="1" x14ac:dyDescent="0.25">
      <c r="A279" t="s">
        <v>2820</v>
      </c>
      <c r="B279" t="s">
        <v>13</v>
      </c>
      <c r="C279" t="s">
        <v>14</v>
      </c>
      <c r="D279" t="s">
        <v>15</v>
      </c>
      <c r="E279" t="s">
        <v>800</v>
      </c>
      <c r="F279" s="3">
        <v>1652119</v>
      </c>
      <c r="G279" s="2">
        <f t="shared" si="8"/>
        <v>30</v>
      </c>
      <c r="H279" s="2">
        <f t="shared" ca="1" si="9"/>
        <v>1590</v>
      </c>
      <c r="I279" s="4">
        <v>44530</v>
      </c>
      <c r="J279" s="4">
        <v>44560</v>
      </c>
      <c r="K279" t="s">
        <v>766</v>
      </c>
      <c r="L279" t="s">
        <v>18</v>
      </c>
      <c r="M279" t="s">
        <v>19</v>
      </c>
      <c r="N279" t="s">
        <v>20</v>
      </c>
      <c r="O279">
        <v>30</v>
      </c>
    </row>
    <row r="280" spans="1:15" hidden="1" x14ac:dyDescent="0.25">
      <c r="A280" t="s">
        <v>2820</v>
      </c>
      <c r="B280" t="s">
        <v>13</v>
      </c>
      <c r="C280" t="s">
        <v>14</v>
      </c>
      <c r="D280" t="s">
        <v>15</v>
      </c>
      <c r="E280" t="s">
        <v>1023</v>
      </c>
      <c r="F280" s="3">
        <v>7125093</v>
      </c>
      <c r="G280" s="2">
        <f t="shared" si="8"/>
        <v>30</v>
      </c>
      <c r="H280" s="2">
        <f t="shared" ca="1" si="9"/>
        <v>1589</v>
      </c>
      <c r="I280" s="4">
        <v>44531</v>
      </c>
      <c r="J280" s="4">
        <v>44561</v>
      </c>
      <c r="K280" t="s">
        <v>989</v>
      </c>
      <c r="L280" t="s">
        <v>18</v>
      </c>
      <c r="M280" t="s">
        <v>19</v>
      </c>
      <c r="N280" t="s">
        <v>20</v>
      </c>
      <c r="O280">
        <v>30</v>
      </c>
    </row>
    <row r="281" spans="1:15" hidden="1" x14ac:dyDescent="0.25">
      <c r="A281" t="s">
        <v>2820</v>
      </c>
      <c r="B281" t="s">
        <v>1290</v>
      </c>
      <c r="C281" t="s">
        <v>1291</v>
      </c>
      <c r="D281" t="s">
        <v>1259</v>
      </c>
      <c r="E281" t="s">
        <v>1294</v>
      </c>
      <c r="F281" s="3">
        <v>5261092</v>
      </c>
      <c r="G281" s="2">
        <f t="shared" si="8"/>
        <v>30</v>
      </c>
      <c r="H281" s="2">
        <f t="shared" ca="1" si="9"/>
        <v>1589</v>
      </c>
      <c r="I281" s="4">
        <v>44531</v>
      </c>
      <c r="J281" s="4">
        <v>44561</v>
      </c>
      <c r="K281" t="s">
        <v>1260</v>
      </c>
      <c r="L281" t="s">
        <v>981</v>
      </c>
      <c r="M281" t="s">
        <v>19</v>
      </c>
      <c r="N281" t="s">
        <v>1293</v>
      </c>
      <c r="O281">
        <v>30</v>
      </c>
    </row>
    <row r="282" spans="1:15" hidden="1" x14ac:dyDescent="0.25">
      <c r="A282" t="s">
        <v>2820</v>
      </c>
      <c r="B282" t="s">
        <v>13</v>
      </c>
      <c r="C282" t="s">
        <v>14</v>
      </c>
      <c r="D282" t="s">
        <v>15</v>
      </c>
      <c r="E282" t="s">
        <v>478</v>
      </c>
      <c r="F282" s="3">
        <v>6621973</v>
      </c>
      <c r="G282" s="2">
        <f t="shared" si="8"/>
        <v>30</v>
      </c>
      <c r="H282" s="2">
        <f t="shared" ca="1" si="9"/>
        <v>1583</v>
      </c>
      <c r="I282" s="4">
        <v>44537</v>
      </c>
      <c r="J282" s="4">
        <v>44567</v>
      </c>
      <c r="K282" t="s">
        <v>343</v>
      </c>
      <c r="L282" t="s">
        <v>18</v>
      </c>
      <c r="M282" t="s">
        <v>19</v>
      </c>
      <c r="N282" t="s">
        <v>20</v>
      </c>
      <c r="O282">
        <v>30</v>
      </c>
    </row>
    <row r="283" spans="1:15" hidden="1" x14ac:dyDescent="0.25">
      <c r="A283" t="s">
        <v>2820</v>
      </c>
      <c r="B283" t="s">
        <v>13</v>
      </c>
      <c r="C283" t="s">
        <v>14</v>
      </c>
      <c r="D283" t="s">
        <v>15</v>
      </c>
      <c r="E283" t="s">
        <v>479</v>
      </c>
      <c r="F283" s="3">
        <v>2125948</v>
      </c>
      <c r="G283" s="2">
        <f t="shared" si="8"/>
        <v>30</v>
      </c>
      <c r="H283" s="2">
        <f t="shared" ca="1" si="9"/>
        <v>1583</v>
      </c>
      <c r="I283" s="4">
        <v>44537</v>
      </c>
      <c r="J283" s="4">
        <v>44567</v>
      </c>
      <c r="K283" t="s">
        <v>343</v>
      </c>
      <c r="L283" t="s">
        <v>18</v>
      </c>
      <c r="M283" t="s">
        <v>19</v>
      </c>
      <c r="N283" t="s">
        <v>20</v>
      </c>
      <c r="O283">
        <v>30</v>
      </c>
    </row>
    <row r="284" spans="1:15" hidden="1" x14ac:dyDescent="0.25">
      <c r="A284" t="s">
        <v>2820</v>
      </c>
      <c r="B284" t="s">
        <v>13</v>
      </c>
      <c r="C284" t="s">
        <v>14</v>
      </c>
      <c r="D284" t="s">
        <v>15</v>
      </c>
      <c r="E284" t="s">
        <v>480</v>
      </c>
      <c r="F284" s="3">
        <v>2650157</v>
      </c>
      <c r="G284" s="2">
        <f t="shared" si="8"/>
        <v>30</v>
      </c>
      <c r="H284" s="2">
        <f t="shared" ca="1" si="9"/>
        <v>1583</v>
      </c>
      <c r="I284" s="4">
        <v>44537</v>
      </c>
      <c r="J284" s="4">
        <v>44567</v>
      </c>
      <c r="K284" t="s">
        <v>343</v>
      </c>
      <c r="L284" t="s">
        <v>18</v>
      </c>
      <c r="M284" t="s">
        <v>19</v>
      </c>
      <c r="N284" t="s">
        <v>20</v>
      </c>
      <c r="O284">
        <v>30</v>
      </c>
    </row>
    <row r="285" spans="1:15" hidden="1" x14ac:dyDescent="0.25">
      <c r="A285" t="s">
        <v>2820</v>
      </c>
      <c r="B285" t="s">
        <v>13</v>
      </c>
      <c r="C285" t="s">
        <v>14</v>
      </c>
      <c r="D285" t="s">
        <v>15</v>
      </c>
      <c r="E285" t="s">
        <v>481</v>
      </c>
      <c r="F285" s="3">
        <v>1748844</v>
      </c>
      <c r="G285" s="2">
        <f t="shared" si="8"/>
        <v>30</v>
      </c>
      <c r="H285" s="2">
        <f t="shared" ca="1" si="9"/>
        <v>1583</v>
      </c>
      <c r="I285" s="4">
        <v>44537</v>
      </c>
      <c r="J285" s="4">
        <v>44567</v>
      </c>
      <c r="K285" t="s">
        <v>343</v>
      </c>
      <c r="L285" t="s">
        <v>18</v>
      </c>
      <c r="M285" t="s">
        <v>19</v>
      </c>
      <c r="N285" t="s">
        <v>20</v>
      </c>
      <c r="O285">
        <v>30</v>
      </c>
    </row>
    <row r="286" spans="1:15" hidden="1" x14ac:dyDescent="0.25">
      <c r="A286" t="s">
        <v>2820</v>
      </c>
      <c r="B286" t="s">
        <v>13</v>
      </c>
      <c r="C286" t="s">
        <v>14</v>
      </c>
      <c r="D286" t="s">
        <v>15</v>
      </c>
      <c r="E286" t="s">
        <v>482</v>
      </c>
      <c r="F286" s="3">
        <v>857646</v>
      </c>
      <c r="G286" s="2">
        <f t="shared" si="8"/>
        <v>30</v>
      </c>
      <c r="H286" s="2">
        <f t="shared" ca="1" si="9"/>
        <v>1583</v>
      </c>
      <c r="I286" s="4">
        <v>44537</v>
      </c>
      <c r="J286" s="4">
        <v>44567</v>
      </c>
      <c r="K286" t="s">
        <v>343</v>
      </c>
      <c r="L286" t="s">
        <v>47</v>
      </c>
      <c r="M286" t="s">
        <v>19</v>
      </c>
      <c r="N286" t="s">
        <v>20</v>
      </c>
      <c r="O286">
        <v>30</v>
      </c>
    </row>
    <row r="287" spans="1:15" hidden="1" x14ac:dyDescent="0.25">
      <c r="A287" t="s">
        <v>2820</v>
      </c>
      <c r="B287" t="s">
        <v>13</v>
      </c>
      <c r="C287" t="s">
        <v>14</v>
      </c>
      <c r="D287" t="s">
        <v>15</v>
      </c>
      <c r="E287" t="s">
        <v>741</v>
      </c>
      <c r="F287" s="3">
        <v>5710747</v>
      </c>
      <c r="G287" s="2">
        <f t="shared" si="8"/>
        <v>30</v>
      </c>
      <c r="H287" s="2">
        <f t="shared" ca="1" si="9"/>
        <v>1576</v>
      </c>
      <c r="I287" s="4">
        <v>44544</v>
      </c>
      <c r="J287" s="4">
        <v>44574</v>
      </c>
      <c r="K287" t="s">
        <v>716</v>
      </c>
      <c r="L287" t="s">
        <v>18</v>
      </c>
      <c r="M287" t="s">
        <v>19</v>
      </c>
      <c r="N287" t="s">
        <v>20</v>
      </c>
      <c r="O287">
        <v>30</v>
      </c>
    </row>
    <row r="288" spans="1:15" hidden="1" x14ac:dyDescent="0.25">
      <c r="A288" t="s">
        <v>2820</v>
      </c>
      <c r="B288" t="s">
        <v>13</v>
      </c>
      <c r="C288" t="s">
        <v>14</v>
      </c>
      <c r="D288" t="s">
        <v>15</v>
      </c>
      <c r="E288" t="s">
        <v>801</v>
      </c>
      <c r="F288" s="3">
        <v>2104831</v>
      </c>
      <c r="G288" s="2">
        <f t="shared" si="8"/>
        <v>30</v>
      </c>
      <c r="H288" s="2">
        <f t="shared" ca="1" si="9"/>
        <v>1576</v>
      </c>
      <c r="I288" s="4">
        <v>44544</v>
      </c>
      <c r="J288" s="4">
        <v>44574</v>
      </c>
      <c r="K288" t="s">
        <v>766</v>
      </c>
      <c r="L288" t="s">
        <v>18</v>
      </c>
      <c r="M288" t="s">
        <v>19</v>
      </c>
      <c r="N288" t="s">
        <v>20</v>
      </c>
      <c r="O288">
        <v>30</v>
      </c>
    </row>
    <row r="289" spans="1:15" hidden="1" x14ac:dyDescent="0.25">
      <c r="A289" t="s">
        <v>2820</v>
      </c>
      <c r="B289" t="s">
        <v>1290</v>
      </c>
      <c r="C289" t="s">
        <v>1291</v>
      </c>
      <c r="D289" t="s">
        <v>1259</v>
      </c>
      <c r="E289" t="s">
        <v>1295</v>
      </c>
      <c r="F289" s="3">
        <v>3883533</v>
      </c>
      <c r="G289" s="2">
        <f t="shared" si="8"/>
        <v>30</v>
      </c>
      <c r="H289" s="2">
        <f t="shared" ca="1" si="9"/>
        <v>1576</v>
      </c>
      <c r="I289" s="4">
        <v>44544</v>
      </c>
      <c r="J289" s="4">
        <v>44574</v>
      </c>
      <c r="K289" t="s">
        <v>1260</v>
      </c>
      <c r="L289" t="s">
        <v>981</v>
      </c>
      <c r="M289" t="s">
        <v>19</v>
      </c>
      <c r="N289" t="s">
        <v>1293</v>
      </c>
      <c r="O289">
        <v>30</v>
      </c>
    </row>
    <row r="290" spans="1:15" hidden="1" x14ac:dyDescent="0.25">
      <c r="A290" t="s">
        <v>2820</v>
      </c>
      <c r="B290" t="s">
        <v>13</v>
      </c>
      <c r="C290" t="s">
        <v>14</v>
      </c>
      <c r="D290" t="s">
        <v>15</v>
      </c>
      <c r="E290" t="s">
        <v>233</v>
      </c>
      <c r="F290" s="3">
        <v>67159734</v>
      </c>
      <c r="G290" s="2">
        <f t="shared" si="8"/>
        <v>30</v>
      </c>
      <c r="H290" s="2">
        <f t="shared" ca="1" si="9"/>
        <v>1574</v>
      </c>
      <c r="I290" s="4">
        <v>44546</v>
      </c>
      <c r="J290" s="4">
        <v>44576</v>
      </c>
      <c r="K290" t="s">
        <v>17</v>
      </c>
      <c r="L290" t="s">
        <v>18</v>
      </c>
      <c r="M290" t="s">
        <v>19</v>
      </c>
      <c r="N290" t="s">
        <v>20</v>
      </c>
      <c r="O290">
        <v>30</v>
      </c>
    </row>
    <row r="291" spans="1:15" hidden="1" x14ac:dyDescent="0.25">
      <c r="A291" t="s">
        <v>2820</v>
      </c>
      <c r="B291" t="s">
        <v>13</v>
      </c>
      <c r="C291" t="s">
        <v>14</v>
      </c>
      <c r="D291" t="s">
        <v>15</v>
      </c>
      <c r="E291" t="s">
        <v>234</v>
      </c>
      <c r="F291" s="3">
        <v>9851764</v>
      </c>
      <c r="G291" s="2">
        <f t="shared" si="8"/>
        <v>30</v>
      </c>
      <c r="H291" s="2">
        <f t="shared" ca="1" si="9"/>
        <v>1574</v>
      </c>
      <c r="I291" s="4">
        <v>44546</v>
      </c>
      <c r="J291" s="4">
        <v>44576</v>
      </c>
      <c r="K291" t="s">
        <v>17</v>
      </c>
      <c r="L291" t="s">
        <v>18</v>
      </c>
      <c r="M291" t="s">
        <v>19</v>
      </c>
      <c r="N291" t="s">
        <v>20</v>
      </c>
      <c r="O291">
        <v>30</v>
      </c>
    </row>
    <row r="292" spans="1:15" hidden="1" x14ac:dyDescent="0.25">
      <c r="A292" t="s">
        <v>2820</v>
      </c>
      <c r="B292" t="s">
        <v>13</v>
      </c>
      <c r="C292" t="s">
        <v>14</v>
      </c>
      <c r="D292" t="s">
        <v>15</v>
      </c>
      <c r="E292" t="s">
        <v>1024</v>
      </c>
      <c r="F292" s="3">
        <v>6670394</v>
      </c>
      <c r="G292" s="2">
        <f t="shared" si="8"/>
        <v>30</v>
      </c>
      <c r="H292" s="2">
        <f t="shared" ca="1" si="9"/>
        <v>1574</v>
      </c>
      <c r="I292" s="4">
        <v>44546</v>
      </c>
      <c r="J292" s="4">
        <v>44576</v>
      </c>
      <c r="K292" t="s">
        <v>989</v>
      </c>
      <c r="L292" t="s">
        <v>18</v>
      </c>
      <c r="M292" t="s">
        <v>19</v>
      </c>
      <c r="N292" t="s">
        <v>20</v>
      </c>
      <c r="O292">
        <v>30</v>
      </c>
    </row>
    <row r="293" spans="1:15" hidden="1" x14ac:dyDescent="0.25">
      <c r="A293" t="s">
        <v>2820</v>
      </c>
      <c r="B293" t="s">
        <v>13</v>
      </c>
      <c r="C293" t="s">
        <v>14</v>
      </c>
      <c r="D293" t="s">
        <v>15</v>
      </c>
      <c r="E293" t="s">
        <v>235</v>
      </c>
      <c r="F293" s="3">
        <v>5115086</v>
      </c>
      <c r="G293" s="2">
        <f t="shared" si="8"/>
        <v>30</v>
      </c>
      <c r="H293" s="2">
        <f t="shared" ca="1" si="9"/>
        <v>1573</v>
      </c>
      <c r="I293" s="4">
        <v>44547</v>
      </c>
      <c r="J293" s="4">
        <v>44577</v>
      </c>
      <c r="K293" t="s">
        <v>17</v>
      </c>
      <c r="L293" t="s">
        <v>18</v>
      </c>
      <c r="M293" t="s">
        <v>19</v>
      </c>
      <c r="N293" t="s">
        <v>20</v>
      </c>
      <c r="O293">
        <v>30</v>
      </c>
    </row>
    <row r="294" spans="1:15" hidden="1" x14ac:dyDescent="0.25">
      <c r="A294" t="s">
        <v>2820</v>
      </c>
      <c r="B294" t="s">
        <v>13</v>
      </c>
      <c r="C294" t="s">
        <v>14</v>
      </c>
      <c r="D294" t="s">
        <v>15</v>
      </c>
      <c r="E294" t="s">
        <v>1025</v>
      </c>
      <c r="F294" s="3">
        <v>6120000</v>
      </c>
      <c r="G294" s="2">
        <f t="shared" si="8"/>
        <v>30</v>
      </c>
      <c r="H294" s="2">
        <f t="shared" ca="1" si="9"/>
        <v>1573</v>
      </c>
      <c r="I294" s="4">
        <v>44547</v>
      </c>
      <c r="J294" s="4">
        <v>44577</v>
      </c>
      <c r="K294" t="s">
        <v>989</v>
      </c>
      <c r="L294" t="s">
        <v>18</v>
      </c>
      <c r="M294" t="s">
        <v>19</v>
      </c>
      <c r="N294" t="s">
        <v>20</v>
      </c>
      <c r="O294">
        <v>30</v>
      </c>
    </row>
    <row r="295" spans="1:15" hidden="1" x14ac:dyDescent="0.25">
      <c r="A295" t="s">
        <v>2820</v>
      </c>
      <c r="B295" t="s">
        <v>13</v>
      </c>
      <c r="C295" t="s">
        <v>14</v>
      </c>
      <c r="D295" t="s">
        <v>15</v>
      </c>
      <c r="E295" t="s">
        <v>483</v>
      </c>
      <c r="F295" s="3">
        <v>6381510</v>
      </c>
      <c r="G295" s="2">
        <f t="shared" si="8"/>
        <v>30</v>
      </c>
      <c r="H295" s="2">
        <f t="shared" ca="1" si="9"/>
        <v>1569</v>
      </c>
      <c r="I295" s="4">
        <v>44551</v>
      </c>
      <c r="J295" s="4">
        <v>44581</v>
      </c>
      <c r="K295" t="s">
        <v>343</v>
      </c>
      <c r="L295" t="s">
        <v>18</v>
      </c>
      <c r="M295" t="s">
        <v>19</v>
      </c>
      <c r="N295" t="s">
        <v>20</v>
      </c>
      <c r="O295">
        <v>30</v>
      </c>
    </row>
    <row r="296" spans="1:15" hidden="1" x14ac:dyDescent="0.25">
      <c r="A296" t="s">
        <v>2820</v>
      </c>
      <c r="B296" t="s">
        <v>13</v>
      </c>
      <c r="C296" t="s">
        <v>14</v>
      </c>
      <c r="D296" t="s">
        <v>15</v>
      </c>
      <c r="E296" t="s">
        <v>484</v>
      </c>
      <c r="F296" s="3">
        <v>1898999</v>
      </c>
      <c r="G296" s="2">
        <f t="shared" si="8"/>
        <v>30</v>
      </c>
      <c r="H296" s="2">
        <f t="shared" ca="1" si="9"/>
        <v>1569</v>
      </c>
      <c r="I296" s="4">
        <v>44551</v>
      </c>
      <c r="J296" s="4">
        <v>44581</v>
      </c>
      <c r="K296" t="s">
        <v>343</v>
      </c>
      <c r="L296" t="s">
        <v>18</v>
      </c>
      <c r="M296" t="s">
        <v>19</v>
      </c>
      <c r="N296" t="s">
        <v>20</v>
      </c>
      <c r="O296">
        <v>30</v>
      </c>
    </row>
    <row r="297" spans="1:15" hidden="1" x14ac:dyDescent="0.25">
      <c r="A297" t="s">
        <v>2820</v>
      </c>
      <c r="B297" t="s">
        <v>13</v>
      </c>
      <c r="C297" t="s">
        <v>14</v>
      </c>
      <c r="D297" t="s">
        <v>15</v>
      </c>
      <c r="E297" t="s">
        <v>485</v>
      </c>
      <c r="F297" s="3">
        <v>3543950</v>
      </c>
      <c r="G297" s="2">
        <f t="shared" si="8"/>
        <v>30</v>
      </c>
      <c r="H297" s="2">
        <f t="shared" ca="1" si="9"/>
        <v>1569</v>
      </c>
      <c r="I297" s="4">
        <v>44551</v>
      </c>
      <c r="J297" s="4">
        <v>44581</v>
      </c>
      <c r="K297" t="s">
        <v>343</v>
      </c>
      <c r="L297" t="s">
        <v>18</v>
      </c>
      <c r="M297" t="s">
        <v>19</v>
      </c>
      <c r="N297" t="s">
        <v>20</v>
      </c>
      <c r="O297">
        <v>30</v>
      </c>
    </row>
    <row r="298" spans="1:15" hidden="1" x14ac:dyDescent="0.25">
      <c r="A298" t="s">
        <v>2820</v>
      </c>
      <c r="B298" t="s">
        <v>13</v>
      </c>
      <c r="C298" t="s">
        <v>14</v>
      </c>
      <c r="D298" t="s">
        <v>15</v>
      </c>
      <c r="E298" t="s">
        <v>486</v>
      </c>
      <c r="F298" s="3">
        <v>1409280</v>
      </c>
      <c r="G298" s="2">
        <f t="shared" si="8"/>
        <v>30</v>
      </c>
      <c r="H298" s="2">
        <f t="shared" ca="1" si="9"/>
        <v>1569</v>
      </c>
      <c r="I298" s="4">
        <v>44551</v>
      </c>
      <c r="J298" s="4">
        <v>44581</v>
      </c>
      <c r="K298" t="s">
        <v>343</v>
      </c>
      <c r="L298" t="s">
        <v>18</v>
      </c>
      <c r="M298" t="s">
        <v>19</v>
      </c>
      <c r="N298" t="s">
        <v>20</v>
      </c>
      <c r="O298">
        <v>30</v>
      </c>
    </row>
    <row r="299" spans="1:15" hidden="1" x14ac:dyDescent="0.25">
      <c r="A299" t="s">
        <v>2820</v>
      </c>
      <c r="B299" t="s">
        <v>1290</v>
      </c>
      <c r="C299" t="s">
        <v>1291</v>
      </c>
      <c r="D299" t="s">
        <v>1259</v>
      </c>
      <c r="E299" t="s">
        <v>1296</v>
      </c>
      <c r="F299" s="3">
        <v>2971203</v>
      </c>
      <c r="G299" s="2">
        <f t="shared" si="8"/>
        <v>30</v>
      </c>
      <c r="H299" s="2">
        <f t="shared" ca="1" si="9"/>
        <v>1563</v>
      </c>
      <c r="I299" s="4">
        <v>44557</v>
      </c>
      <c r="J299" s="4">
        <v>44587</v>
      </c>
      <c r="K299" t="s">
        <v>1260</v>
      </c>
      <c r="L299" t="s">
        <v>981</v>
      </c>
      <c r="M299" t="s">
        <v>19</v>
      </c>
      <c r="N299" t="s">
        <v>1293</v>
      </c>
      <c r="O299">
        <v>30</v>
      </c>
    </row>
    <row r="300" spans="1:15" hidden="1" x14ac:dyDescent="0.25">
      <c r="A300" t="s">
        <v>2820</v>
      </c>
      <c r="B300" t="s">
        <v>13</v>
      </c>
      <c r="C300" t="s">
        <v>14</v>
      </c>
      <c r="D300" t="s">
        <v>15</v>
      </c>
      <c r="E300" t="s">
        <v>742</v>
      </c>
      <c r="F300" s="3">
        <v>8058183</v>
      </c>
      <c r="G300" s="2">
        <f t="shared" si="8"/>
        <v>30</v>
      </c>
      <c r="H300" s="2">
        <f t="shared" ca="1" si="9"/>
        <v>1562</v>
      </c>
      <c r="I300" s="4">
        <v>44558</v>
      </c>
      <c r="J300" s="4">
        <v>44588</v>
      </c>
      <c r="K300" t="s">
        <v>716</v>
      </c>
      <c r="L300" t="s">
        <v>18</v>
      </c>
      <c r="M300" t="s">
        <v>19</v>
      </c>
      <c r="N300" t="s">
        <v>20</v>
      </c>
      <c r="O300">
        <v>30</v>
      </c>
    </row>
    <row r="301" spans="1:15" hidden="1" x14ac:dyDescent="0.25">
      <c r="A301" t="s">
        <v>2820</v>
      </c>
      <c r="B301" t="s">
        <v>13</v>
      </c>
      <c r="C301" t="s">
        <v>14</v>
      </c>
      <c r="D301" t="s">
        <v>15</v>
      </c>
      <c r="E301" t="s">
        <v>802</v>
      </c>
      <c r="F301" s="3">
        <v>3276036</v>
      </c>
      <c r="G301" s="2">
        <f t="shared" si="8"/>
        <v>1</v>
      </c>
      <c r="H301" s="2">
        <f t="shared" ca="1" si="9"/>
        <v>1562</v>
      </c>
      <c r="I301" s="4">
        <v>44558</v>
      </c>
      <c r="J301" s="4">
        <v>44559</v>
      </c>
      <c r="K301" t="s">
        <v>766</v>
      </c>
      <c r="L301" t="s">
        <v>18</v>
      </c>
      <c r="M301" t="s">
        <v>19</v>
      </c>
      <c r="N301" t="s">
        <v>20</v>
      </c>
      <c r="O301">
        <v>30</v>
      </c>
    </row>
    <row r="302" spans="1:15" hidden="1" x14ac:dyDescent="0.25">
      <c r="A302" t="s">
        <v>2820</v>
      </c>
      <c r="B302" t="s">
        <v>13</v>
      </c>
      <c r="C302" t="s">
        <v>14</v>
      </c>
      <c r="D302" t="s">
        <v>15</v>
      </c>
      <c r="E302" t="s">
        <v>236</v>
      </c>
      <c r="F302" s="3">
        <v>25064457</v>
      </c>
      <c r="G302" s="2">
        <f t="shared" si="8"/>
        <v>30</v>
      </c>
      <c r="H302" s="2">
        <f t="shared" ca="1" si="9"/>
        <v>1556</v>
      </c>
      <c r="I302" s="4">
        <v>44564</v>
      </c>
      <c r="J302" s="4">
        <v>44594</v>
      </c>
      <c r="K302" t="s">
        <v>17</v>
      </c>
      <c r="L302" t="s">
        <v>18</v>
      </c>
      <c r="M302" t="s">
        <v>19</v>
      </c>
      <c r="N302" t="s">
        <v>20</v>
      </c>
      <c r="O302">
        <v>30</v>
      </c>
    </row>
    <row r="303" spans="1:15" hidden="1" x14ac:dyDescent="0.25">
      <c r="A303" t="s">
        <v>2820</v>
      </c>
      <c r="B303" t="s">
        <v>13</v>
      </c>
      <c r="C303" t="s">
        <v>14</v>
      </c>
      <c r="D303" t="s">
        <v>15</v>
      </c>
      <c r="E303" t="s">
        <v>803</v>
      </c>
      <c r="F303" s="3">
        <v>1400722</v>
      </c>
      <c r="G303" s="2">
        <f t="shared" si="8"/>
        <v>30</v>
      </c>
      <c r="H303" s="2">
        <f t="shared" ca="1" si="9"/>
        <v>1556</v>
      </c>
      <c r="I303" s="4">
        <v>44564</v>
      </c>
      <c r="J303" s="4">
        <v>44594</v>
      </c>
      <c r="K303" t="s">
        <v>766</v>
      </c>
      <c r="L303" t="s">
        <v>18</v>
      </c>
      <c r="M303" t="s">
        <v>19</v>
      </c>
      <c r="N303" t="s">
        <v>20</v>
      </c>
      <c r="O303">
        <v>30</v>
      </c>
    </row>
    <row r="304" spans="1:15" hidden="1" x14ac:dyDescent="0.25">
      <c r="A304" t="s">
        <v>2820</v>
      </c>
      <c r="B304" t="s">
        <v>13</v>
      </c>
      <c r="C304" t="s">
        <v>14</v>
      </c>
      <c r="D304" t="s">
        <v>15</v>
      </c>
      <c r="E304" t="s">
        <v>487</v>
      </c>
      <c r="F304" s="3">
        <v>5817172</v>
      </c>
      <c r="G304" s="2">
        <f t="shared" si="8"/>
        <v>30</v>
      </c>
      <c r="H304" s="2">
        <f t="shared" ca="1" si="9"/>
        <v>1553</v>
      </c>
      <c r="I304" s="4">
        <v>44567</v>
      </c>
      <c r="J304" s="4">
        <v>44597</v>
      </c>
      <c r="K304" t="s">
        <v>343</v>
      </c>
      <c r="L304" t="s">
        <v>18</v>
      </c>
      <c r="M304" t="s">
        <v>19</v>
      </c>
      <c r="N304" t="s">
        <v>20</v>
      </c>
      <c r="O304">
        <v>30</v>
      </c>
    </row>
    <row r="305" spans="1:15" hidden="1" x14ac:dyDescent="0.25">
      <c r="A305" t="s">
        <v>2820</v>
      </c>
      <c r="B305" t="s">
        <v>13</v>
      </c>
      <c r="C305" t="s">
        <v>14</v>
      </c>
      <c r="D305" t="s">
        <v>15</v>
      </c>
      <c r="E305" t="s">
        <v>488</v>
      </c>
      <c r="F305" s="3">
        <v>1220540</v>
      </c>
      <c r="G305" s="2">
        <f t="shared" si="8"/>
        <v>30</v>
      </c>
      <c r="H305" s="2">
        <f t="shared" ca="1" si="9"/>
        <v>1553</v>
      </c>
      <c r="I305" s="4">
        <v>44567</v>
      </c>
      <c r="J305" s="4">
        <v>44597</v>
      </c>
      <c r="K305" t="s">
        <v>343</v>
      </c>
      <c r="L305" t="s">
        <v>18</v>
      </c>
      <c r="M305" t="s">
        <v>19</v>
      </c>
      <c r="N305" t="s">
        <v>20</v>
      </c>
      <c r="O305">
        <v>30</v>
      </c>
    </row>
    <row r="306" spans="1:15" hidden="1" x14ac:dyDescent="0.25">
      <c r="A306" t="s">
        <v>2820</v>
      </c>
      <c r="B306" t="s">
        <v>13</v>
      </c>
      <c r="C306" t="s">
        <v>14</v>
      </c>
      <c r="D306" t="s">
        <v>15</v>
      </c>
      <c r="E306" t="s">
        <v>489</v>
      </c>
      <c r="F306" s="3">
        <v>970120</v>
      </c>
      <c r="G306" s="2">
        <f t="shared" si="8"/>
        <v>30</v>
      </c>
      <c r="H306" s="2">
        <f t="shared" ca="1" si="9"/>
        <v>1553</v>
      </c>
      <c r="I306" s="4">
        <v>44567</v>
      </c>
      <c r="J306" s="4">
        <v>44597</v>
      </c>
      <c r="K306" t="s">
        <v>343</v>
      </c>
      <c r="L306" t="s">
        <v>18</v>
      </c>
      <c r="M306" t="s">
        <v>19</v>
      </c>
      <c r="N306" t="s">
        <v>20</v>
      </c>
      <c r="O306">
        <v>30</v>
      </c>
    </row>
    <row r="307" spans="1:15" hidden="1" x14ac:dyDescent="0.25">
      <c r="A307" t="s">
        <v>2820</v>
      </c>
      <c r="B307" t="s">
        <v>13</v>
      </c>
      <c r="C307" t="s">
        <v>14</v>
      </c>
      <c r="D307" t="s">
        <v>15</v>
      </c>
      <c r="E307" t="s">
        <v>490</v>
      </c>
      <c r="F307" s="3">
        <v>1832930</v>
      </c>
      <c r="G307" s="2">
        <f t="shared" si="8"/>
        <v>1</v>
      </c>
      <c r="H307" s="2">
        <f t="shared" ca="1" si="9"/>
        <v>1552</v>
      </c>
      <c r="I307" s="4">
        <v>44568</v>
      </c>
      <c r="J307" s="4">
        <v>44569</v>
      </c>
      <c r="K307" t="s">
        <v>343</v>
      </c>
      <c r="L307" t="s">
        <v>18</v>
      </c>
      <c r="M307" t="s">
        <v>19</v>
      </c>
      <c r="N307" t="s">
        <v>20</v>
      </c>
      <c r="O307">
        <v>30</v>
      </c>
    </row>
    <row r="308" spans="1:15" hidden="1" x14ac:dyDescent="0.25">
      <c r="A308" t="s">
        <v>2820</v>
      </c>
      <c r="B308" t="s">
        <v>13</v>
      </c>
      <c r="C308" t="s">
        <v>14</v>
      </c>
      <c r="D308" t="s">
        <v>15</v>
      </c>
      <c r="E308" t="s">
        <v>23</v>
      </c>
      <c r="F308" s="3">
        <v>1955099</v>
      </c>
      <c r="G308" s="2">
        <f t="shared" si="8"/>
        <v>30</v>
      </c>
      <c r="H308" s="2">
        <f t="shared" ca="1" si="9"/>
        <v>1547</v>
      </c>
      <c r="I308" s="4">
        <v>44573</v>
      </c>
      <c r="J308" s="4">
        <v>44603</v>
      </c>
      <c r="K308" t="s">
        <v>17</v>
      </c>
      <c r="L308" t="s">
        <v>18</v>
      </c>
      <c r="M308" t="s">
        <v>19</v>
      </c>
      <c r="N308" t="s">
        <v>20</v>
      </c>
      <c r="O308">
        <v>30</v>
      </c>
    </row>
    <row r="309" spans="1:15" hidden="1" x14ac:dyDescent="0.25">
      <c r="A309" t="s">
        <v>2820</v>
      </c>
      <c r="B309" t="s">
        <v>13</v>
      </c>
      <c r="C309" t="s">
        <v>14</v>
      </c>
      <c r="D309" t="s">
        <v>15</v>
      </c>
      <c r="E309" t="s">
        <v>24</v>
      </c>
      <c r="F309" s="3">
        <v>3944067</v>
      </c>
      <c r="G309" s="2">
        <f t="shared" si="8"/>
        <v>30</v>
      </c>
      <c r="H309" s="2">
        <f t="shared" ca="1" si="9"/>
        <v>1547</v>
      </c>
      <c r="I309" s="4">
        <v>44573</v>
      </c>
      <c r="J309" s="4">
        <v>44603</v>
      </c>
      <c r="K309" t="s">
        <v>17</v>
      </c>
      <c r="L309" t="s">
        <v>18</v>
      </c>
      <c r="M309" t="s">
        <v>19</v>
      </c>
      <c r="N309" t="s">
        <v>20</v>
      </c>
      <c r="O309">
        <v>30</v>
      </c>
    </row>
    <row r="310" spans="1:15" hidden="1" x14ac:dyDescent="0.25">
      <c r="A310" t="s">
        <v>2820</v>
      </c>
      <c r="B310" t="s">
        <v>13</v>
      </c>
      <c r="C310" t="s">
        <v>14</v>
      </c>
      <c r="D310" t="s">
        <v>15</v>
      </c>
      <c r="E310" t="s">
        <v>715</v>
      </c>
      <c r="F310" s="3">
        <v>3980167</v>
      </c>
      <c r="G310" s="2">
        <f t="shared" si="8"/>
        <v>30</v>
      </c>
      <c r="H310" s="2">
        <f t="shared" ca="1" si="9"/>
        <v>1547</v>
      </c>
      <c r="I310" s="4">
        <v>44573</v>
      </c>
      <c r="J310" s="4">
        <v>44603</v>
      </c>
      <c r="K310" t="s">
        <v>716</v>
      </c>
      <c r="L310" t="s">
        <v>18</v>
      </c>
      <c r="M310" t="s">
        <v>19</v>
      </c>
      <c r="N310" t="s">
        <v>20</v>
      </c>
      <c r="O310">
        <v>30</v>
      </c>
    </row>
    <row r="311" spans="1:15" hidden="1" x14ac:dyDescent="0.25">
      <c r="A311" t="s">
        <v>2820</v>
      </c>
      <c r="B311" t="s">
        <v>13</v>
      </c>
      <c r="C311" t="s">
        <v>14</v>
      </c>
      <c r="D311" t="s">
        <v>15</v>
      </c>
      <c r="E311" t="s">
        <v>25</v>
      </c>
      <c r="F311" s="3">
        <v>1076569</v>
      </c>
      <c r="G311" s="2">
        <f t="shared" si="8"/>
        <v>30</v>
      </c>
      <c r="H311" s="2">
        <f t="shared" ca="1" si="9"/>
        <v>1546</v>
      </c>
      <c r="I311" s="4">
        <v>44574</v>
      </c>
      <c r="J311" s="4">
        <v>44604</v>
      </c>
      <c r="K311" t="s">
        <v>17</v>
      </c>
      <c r="L311" t="s">
        <v>18</v>
      </c>
      <c r="M311" t="s">
        <v>19</v>
      </c>
      <c r="N311" t="s">
        <v>20</v>
      </c>
      <c r="O311">
        <v>30</v>
      </c>
    </row>
    <row r="312" spans="1:15" hidden="1" x14ac:dyDescent="0.25">
      <c r="A312" t="s">
        <v>2820</v>
      </c>
      <c r="B312" t="s">
        <v>13</v>
      </c>
      <c r="C312" t="s">
        <v>14</v>
      </c>
      <c r="D312" t="s">
        <v>15</v>
      </c>
      <c r="E312" t="s">
        <v>26</v>
      </c>
      <c r="F312" s="3">
        <v>21473908</v>
      </c>
      <c r="G312" s="2">
        <f t="shared" si="8"/>
        <v>30</v>
      </c>
      <c r="H312" s="2">
        <f t="shared" ca="1" si="9"/>
        <v>1546</v>
      </c>
      <c r="I312" s="4">
        <v>44574</v>
      </c>
      <c r="J312" s="4">
        <v>44604</v>
      </c>
      <c r="K312" t="s">
        <v>17</v>
      </c>
      <c r="L312" t="s">
        <v>18</v>
      </c>
      <c r="M312" t="s">
        <v>19</v>
      </c>
      <c r="N312" t="s">
        <v>20</v>
      </c>
      <c r="O312">
        <v>30</v>
      </c>
    </row>
    <row r="313" spans="1:15" hidden="1" x14ac:dyDescent="0.25">
      <c r="A313" t="s">
        <v>2820</v>
      </c>
      <c r="B313" t="s">
        <v>13</v>
      </c>
      <c r="C313" t="s">
        <v>14</v>
      </c>
      <c r="D313" t="s">
        <v>15</v>
      </c>
      <c r="E313" t="s">
        <v>905</v>
      </c>
      <c r="F313" s="3">
        <v>349022</v>
      </c>
      <c r="G313" s="2">
        <f t="shared" si="8"/>
        <v>30</v>
      </c>
      <c r="H313" s="2">
        <f t="shared" ca="1" si="9"/>
        <v>1546</v>
      </c>
      <c r="I313" s="4">
        <v>44574</v>
      </c>
      <c r="J313" s="4">
        <v>44604</v>
      </c>
      <c r="K313" t="s">
        <v>845</v>
      </c>
      <c r="L313" t="s">
        <v>47</v>
      </c>
      <c r="M313" t="s">
        <v>19</v>
      </c>
      <c r="N313" t="s">
        <v>20</v>
      </c>
      <c r="O313">
        <v>30</v>
      </c>
    </row>
    <row r="314" spans="1:15" hidden="1" x14ac:dyDescent="0.25">
      <c r="A314" t="s">
        <v>2820</v>
      </c>
      <c r="B314" t="s">
        <v>13</v>
      </c>
      <c r="C314" t="s">
        <v>14</v>
      </c>
      <c r="D314" t="s">
        <v>15</v>
      </c>
      <c r="E314" t="s">
        <v>237</v>
      </c>
      <c r="F314" s="3">
        <v>7963174</v>
      </c>
      <c r="G314" s="2">
        <f t="shared" si="8"/>
        <v>30</v>
      </c>
      <c r="H314" s="2">
        <f t="shared" ca="1" si="9"/>
        <v>1545</v>
      </c>
      <c r="I314" s="4">
        <v>44575</v>
      </c>
      <c r="J314" s="4">
        <v>44605</v>
      </c>
      <c r="K314" t="s">
        <v>17</v>
      </c>
      <c r="L314" t="s">
        <v>47</v>
      </c>
      <c r="M314" t="s">
        <v>19</v>
      </c>
      <c r="N314" t="s">
        <v>20</v>
      </c>
      <c r="O314">
        <v>30</v>
      </c>
    </row>
    <row r="315" spans="1:15" hidden="1" x14ac:dyDescent="0.25">
      <c r="A315" t="s">
        <v>2820</v>
      </c>
      <c r="B315" t="s">
        <v>13</v>
      </c>
      <c r="C315" t="s">
        <v>14</v>
      </c>
      <c r="D315" t="s">
        <v>15</v>
      </c>
      <c r="E315" t="s">
        <v>238</v>
      </c>
      <c r="F315" s="3">
        <v>3783586</v>
      </c>
      <c r="G315" s="2">
        <f t="shared" si="8"/>
        <v>30</v>
      </c>
      <c r="H315" s="2">
        <f t="shared" ca="1" si="9"/>
        <v>1545</v>
      </c>
      <c r="I315" s="4">
        <v>44575</v>
      </c>
      <c r="J315" s="4">
        <v>44605</v>
      </c>
      <c r="K315" t="s">
        <v>17</v>
      </c>
      <c r="L315" t="s">
        <v>47</v>
      </c>
      <c r="M315" t="s">
        <v>19</v>
      </c>
      <c r="N315" t="s">
        <v>20</v>
      </c>
      <c r="O315">
        <v>30</v>
      </c>
    </row>
    <row r="316" spans="1:15" hidden="1" x14ac:dyDescent="0.25">
      <c r="A316" t="s">
        <v>2820</v>
      </c>
      <c r="B316" t="s">
        <v>13</v>
      </c>
      <c r="C316" t="s">
        <v>14</v>
      </c>
      <c r="D316" t="s">
        <v>15</v>
      </c>
      <c r="E316" t="s">
        <v>1026</v>
      </c>
      <c r="F316" s="3">
        <v>7763970</v>
      </c>
      <c r="G316" s="2">
        <f t="shared" si="8"/>
        <v>30</v>
      </c>
      <c r="H316" s="2">
        <f t="shared" ca="1" si="9"/>
        <v>1545</v>
      </c>
      <c r="I316" s="4">
        <v>44575</v>
      </c>
      <c r="J316" s="4">
        <v>44605</v>
      </c>
      <c r="K316" t="s">
        <v>989</v>
      </c>
      <c r="L316" t="s">
        <v>18</v>
      </c>
      <c r="M316" t="s">
        <v>19</v>
      </c>
      <c r="N316" t="s">
        <v>20</v>
      </c>
      <c r="O316">
        <v>30</v>
      </c>
    </row>
    <row r="317" spans="1:15" hidden="1" x14ac:dyDescent="0.25">
      <c r="A317" t="s">
        <v>2820</v>
      </c>
      <c r="B317" t="s">
        <v>13</v>
      </c>
      <c r="C317" t="s">
        <v>14</v>
      </c>
      <c r="D317" t="s">
        <v>15</v>
      </c>
      <c r="E317" t="s">
        <v>239</v>
      </c>
      <c r="F317" s="3">
        <v>1264315</v>
      </c>
      <c r="G317" s="2">
        <f t="shared" si="8"/>
        <v>30</v>
      </c>
      <c r="H317" s="2">
        <f t="shared" ca="1" si="9"/>
        <v>1542</v>
      </c>
      <c r="I317" s="4">
        <v>44578</v>
      </c>
      <c r="J317" s="4">
        <v>44608</v>
      </c>
      <c r="K317" t="s">
        <v>17</v>
      </c>
      <c r="L317" t="s">
        <v>18</v>
      </c>
      <c r="M317" t="s">
        <v>19</v>
      </c>
      <c r="N317" t="s">
        <v>20</v>
      </c>
      <c r="O317">
        <v>30</v>
      </c>
    </row>
    <row r="318" spans="1:15" hidden="1" x14ac:dyDescent="0.25">
      <c r="A318" t="s">
        <v>2820</v>
      </c>
      <c r="B318" t="s">
        <v>13</v>
      </c>
      <c r="C318" t="s">
        <v>14</v>
      </c>
      <c r="D318" t="s">
        <v>15</v>
      </c>
      <c r="E318" t="s">
        <v>491</v>
      </c>
      <c r="F318" s="3">
        <v>3807939</v>
      </c>
      <c r="G318" s="2">
        <f t="shared" si="8"/>
        <v>30</v>
      </c>
      <c r="H318" s="2">
        <f t="shared" ca="1" si="9"/>
        <v>1540</v>
      </c>
      <c r="I318" s="4">
        <v>44580</v>
      </c>
      <c r="J318" s="4">
        <v>44610</v>
      </c>
      <c r="K318" t="s">
        <v>343</v>
      </c>
      <c r="L318" t="s">
        <v>18</v>
      </c>
      <c r="M318" t="s">
        <v>19</v>
      </c>
      <c r="N318" t="s">
        <v>20</v>
      </c>
      <c r="O318">
        <v>30</v>
      </c>
    </row>
    <row r="319" spans="1:15" hidden="1" x14ac:dyDescent="0.25">
      <c r="A319" t="s">
        <v>2820</v>
      </c>
      <c r="B319" t="s">
        <v>13</v>
      </c>
      <c r="C319" t="s">
        <v>14</v>
      </c>
      <c r="D319" t="s">
        <v>15</v>
      </c>
      <c r="E319" t="s">
        <v>492</v>
      </c>
      <c r="F319" s="3">
        <v>7020761</v>
      </c>
      <c r="G319" s="2">
        <f t="shared" si="8"/>
        <v>30</v>
      </c>
      <c r="H319" s="2">
        <f t="shared" ca="1" si="9"/>
        <v>1540</v>
      </c>
      <c r="I319" s="4">
        <v>44580</v>
      </c>
      <c r="J319" s="4">
        <v>44610</v>
      </c>
      <c r="K319" t="s">
        <v>343</v>
      </c>
      <c r="L319" t="s">
        <v>18</v>
      </c>
      <c r="M319" t="s">
        <v>19</v>
      </c>
      <c r="N319" t="s">
        <v>20</v>
      </c>
      <c r="O319">
        <v>30</v>
      </c>
    </row>
    <row r="320" spans="1:15" hidden="1" x14ac:dyDescent="0.25">
      <c r="A320" t="s">
        <v>2820</v>
      </c>
      <c r="B320" t="s">
        <v>13</v>
      </c>
      <c r="C320" t="s">
        <v>14</v>
      </c>
      <c r="D320" t="s">
        <v>15</v>
      </c>
      <c r="E320" t="s">
        <v>493</v>
      </c>
      <c r="F320" s="3">
        <v>3317678</v>
      </c>
      <c r="G320" s="2">
        <f t="shared" si="8"/>
        <v>30</v>
      </c>
      <c r="H320" s="2">
        <f t="shared" ca="1" si="9"/>
        <v>1540</v>
      </c>
      <c r="I320" s="4">
        <v>44580</v>
      </c>
      <c r="J320" s="4">
        <v>44610</v>
      </c>
      <c r="K320" t="s">
        <v>343</v>
      </c>
      <c r="L320" t="s">
        <v>18</v>
      </c>
      <c r="M320" t="s">
        <v>19</v>
      </c>
      <c r="N320" t="s">
        <v>20</v>
      </c>
      <c r="O320">
        <v>30</v>
      </c>
    </row>
    <row r="321" spans="1:15" hidden="1" x14ac:dyDescent="0.25">
      <c r="A321" t="s">
        <v>2820</v>
      </c>
      <c r="B321" t="s">
        <v>13</v>
      </c>
      <c r="C321" t="s">
        <v>14</v>
      </c>
      <c r="D321" t="s">
        <v>15</v>
      </c>
      <c r="E321" t="s">
        <v>494</v>
      </c>
      <c r="F321" s="3">
        <v>197444</v>
      </c>
      <c r="G321" s="2">
        <f t="shared" si="8"/>
        <v>30</v>
      </c>
      <c r="H321" s="2">
        <f t="shared" ca="1" si="9"/>
        <v>1540</v>
      </c>
      <c r="I321" s="4">
        <v>44580</v>
      </c>
      <c r="J321" s="4">
        <v>44610</v>
      </c>
      <c r="K321" t="s">
        <v>343</v>
      </c>
      <c r="L321" t="s">
        <v>18</v>
      </c>
      <c r="M321" t="s">
        <v>19</v>
      </c>
      <c r="N321" t="s">
        <v>20</v>
      </c>
      <c r="O321">
        <v>30</v>
      </c>
    </row>
    <row r="322" spans="1:15" hidden="1" x14ac:dyDescent="0.25">
      <c r="A322" t="s">
        <v>2820</v>
      </c>
      <c r="B322" t="s">
        <v>13</v>
      </c>
      <c r="C322" t="s">
        <v>14</v>
      </c>
      <c r="D322" t="s">
        <v>15</v>
      </c>
      <c r="E322" t="s">
        <v>495</v>
      </c>
      <c r="F322" s="3">
        <v>250943</v>
      </c>
      <c r="G322" s="2">
        <f t="shared" ref="G322:G385" si="10">+J322-I322</f>
        <v>30</v>
      </c>
      <c r="H322" s="2">
        <f t="shared" ref="H322:H385" ca="1" si="11">+TODAY()-I322</f>
        <v>1538</v>
      </c>
      <c r="I322" s="4">
        <v>44582</v>
      </c>
      <c r="J322" s="4">
        <v>44612</v>
      </c>
      <c r="K322" t="s">
        <v>343</v>
      </c>
      <c r="L322" t="s">
        <v>18</v>
      </c>
      <c r="M322" t="s">
        <v>19</v>
      </c>
      <c r="N322" t="s">
        <v>20</v>
      </c>
      <c r="O322">
        <v>30</v>
      </c>
    </row>
    <row r="323" spans="1:15" hidden="1" x14ac:dyDescent="0.25">
      <c r="A323" t="s">
        <v>2820</v>
      </c>
      <c r="B323" t="s">
        <v>13</v>
      </c>
      <c r="C323" t="s">
        <v>14</v>
      </c>
      <c r="D323" t="s">
        <v>15</v>
      </c>
      <c r="E323" t="s">
        <v>496</v>
      </c>
      <c r="F323" s="3">
        <v>1081297</v>
      </c>
      <c r="G323" s="2">
        <f t="shared" si="10"/>
        <v>30</v>
      </c>
      <c r="H323" s="2">
        <f t="shared" ca="1" si="11"/>
        <v>1538</v>
      </c>
      <c r="I323" s="4">
        <v>44582</v>
      </c>
      <c r="J323" s="4">
        <v>44612</v>
      </c>
      <c r="K323" t="s">
        <v>343</v>
      </c>
      <c r="L323" t="s">
        <v>47</v>
      </c>
      <c r="M323" t="s">
        <v>19</v>
      </c>
      <c r="N323" t="s">
        <v>20</v>
      </c>
      <c r="O323">
        <v>30</v>
      </c>
    </row>
    <row r="324" spans="1:15" hidden="1" x14ac:dyDescent="0.25">
      <c r="A324" t="s">
        <v>2820</v>
      </c>
      <c r="B324" t="s">
        <v>13</v>
      </c>
      <c r="C324" t="s">
        <v>14</v>
      </c>
      <c r="D324" t="s">
        <v>15</v>
      </c>
      <c r="E324" t="s">
        <v>497</v>
      </c>
      <c r="F324" s="3">
        <v>2621394</v>
      </c>
      <c r="G324" s="2">
        <f t="shared" si="10"/>
        <v>30</v>
      </c>
      <c r="H324" s="2">
        <f t="shared" ca="1" si="11"/>
        <v>1538</v>
      </c>
      <c r="I324" s="4">
        <v>44582</v>
      </c>
      <c r="J324" s="4">
        <v>44612</v>
      </c>
      <c r="K324" t="s">
        <v>343</v>
      </c>
      <c r="L324" t="s">
        <v>47</v>
      </c>
      <c r="M324" t="s">
        <v>19</v>
      </c>
      <c r="N324" t="s">
        <v>20</v>
      </c>
      <c r="O324">
        <v>30</v>
      </c>
    </row>
    <row r="325" spans="1:15" hidden="1" x14ac:dyDescent="0.25">
      <c r="A325" t="s">
        <v>2820</v>
      </c>
      <c r="B325" t="s">
        <v>13</v>
      </c>
      <c r="C325" t="s">
        <v>14</v>
      </c>
      <c r="D325" t="s">
        <v>15</v>
      </c>
      <c r="E325" t="s">
        <v>1231</v>
      </c>
      <c r="F325" s="3">
        <v>1305795</v>
      </c>
      <c r="G325" s="2">
        <f t="shared" si="10"/>
        <v>1</v>
      </c>
      <c r="H325" s="2">
        <f t="shared" ca="1" si="11"/>
        <v>1534</v>
      </c>
      <c r="I325" s="4">
        <v>44586</v>
      </c>
      <c r="J325" s="4">
        <v>44587</v>
      </c>
      <c r="K325" t="s">
        <v>1217</v>
      </c>
      <c r="L325" t="s">
        <v>893</v>
      </c>
      <c r="M325" t="s">
        <v>19</v>
      </c>
      <c r="N325" t="s">
        <v>20</v>
      </c>
      <c r="O325">
        <v>30</v>
      </c>
    </row>
    <row r="326" spans="1:15" hidden="1" x14ac:dyDescent="0.25">
      <c r="A326" t="s">
        <v>2820</v>
      </c>
      <c r="B326" t="s">
        <v>13</v>
      </c>
      <c r="C326" t="s">
        <v>14</v>
      </c>
      <c r="D326" t="s">
        <v>15</v>
      </c>
      <c r="E326" t="s">
        <v>1232</v>
      </c>
      <c r="F326" s="3">
        <v>1212486</v>
      </c>
      <c r="G326" s="2">
        <f t="shared" si="10"/>
        <v>1</v>
      </c>
      <c r="H326" s="2">
        <f t="shared" ca="1" si="11"/>
        <v>1534</v>
      </c>
      <c r="I326" s="4">
        <v>44586</v>
      </c>
      <c r="J326" s="4">
        <v>44587</v>
      </c>
      <c r="K326" t="s">
        <v>1217</v>
      </c>
      <c r="L326" t="s">
        <v>893</v>
      </c>
      <c r="M326" t="s">
        <v>19</v>
      </c>
      <c r="N326" t="s">
        <v>20</v>
      </c>
      <c r="O326">
        <v>30</v>
      </c>
    </row>
    <row r="327" spans="1:15" hidden="1" x14ac:dyDescent="0.25">
      <c r="A327" t="s">
        <v>2820</v>
      </c>
      <c r="B327" t="s">
        <v>13</v>
      </c>
      <c r="C327" t="s">
        <v>14</v>
      </c>
      <c r="D327" t="s">
        <v>15</v>
      </c>
      <c r="E327" t="s">
        <v>240</v>
      </c>
      <c r="F327" s="3">
        <v>22920883</v>
      </c>
      <c r="G327" s="2">
        <f t="shared" si="10"/>
        <v>30</v>
      </c>
      <c r="H327" s="2">
        <f t="shared" ca="1" si="11"/>
        <v>1532</v>
      </c>
      <c r="I327" s="4">
        <v>44588</v>
      </c>
      <c r="J327" s="4">
        <v>44618</v>
      </c>
      <c r="K327" t="s">
        <v>17</v>
      </c>
      <c r="L327" t="s">
        <v>18</v>
      </c>
      <c r="M327" t="s">
        <v>19</v>
      </c>
      <c r="N327" t="s">
        <v>20</v>
      </c>
      <c r="O327">
        <v>30</v>
      </c>
    </row>
    <row r="328" spans="1:15" hidden="1" x14ac:dyDescent="0.25">
      <c r="A328" t="s">
        <v>2820</v>
      </c>
      <c r="B328" t="s">
        <v>13</v>
      </c>
      <c r="C328" t="s">
        <v>14</v>
      </c>
      <c r="D328" t="s">
        <v>15</v>
      </c>
      <c r="E328" t="s">
        <v>241</v>
      </c>
      <c r="F328" s="3">
        <v>1130093</v>
      </c>
      <c r="G328" s="2">
        <f t="shared" si="10"/>
        <v>30</v>
      </c>
      <c r="H328" s="2">
        <f t="shared" ca="1" si="11"/>
        <v>1532</v>
      </c>
      <c r="I328" s="4">
        <v>44588</v>
      </c>
      <c r="J328" s="4">
        <v>44618</v>
      </c>
      <c r="K328" t="s">
        <v>17</v>
      </c>
      <c r="L328" t="s">
        <v>18</v>
      </c>
      <c r="M328" t="s">
        <v>19</v>
      </c>
      <c r="N328" t="s">
        <v>20</v>
      </c>
      <c r="O328">
        <v>30</v>
      </c>
    </row>
    <row r="329" spans="1:15" hidden="1" x14ac:dyDescent="0.25">
      <c r="A329" t="s">
        <v>2820</v>
      </c>
      <c r="B329" t="s">
        <v>13</v>
      </c>
      <c r="C329" t="s">
        <v>14</v>
      </c>
      <c r="D329" t="s">
        <v>15</v>
      </c>
      <c r="E329" t="s">
        <v>1027</v>
      </c>
      <c r="F329" s="3">
        <v>1848632</v>
      </c>
      <c r="G329" s="2">
        <f t="shared" si="10"/>
        <v>30</v>
      </c>
      <c r="H329" s="2">
        <f t="shared" ca="1" si="11"/>
        <v>1532</v>
      </c>
      <c r="I329" s="4">
        <v>44588</v>
      </c>
      <c r="J329" s="4">
        <v>44618</v>
      </c>
      <c r="K329" t="s">
        <v>989</v>
      </c>
      <c r="L329" t="s">
        <v>18</v>
      </c>
      <c r="M329" t="s">
        <v>19</v>
      </c>
      <c r="N329" t="s">
        <v>20</v>
      </c>
      <c r="O329">
        <v>30</v>
      </c>
    </row>
    <row r="330" spans="1:15" hidden="1" x14ac:dyDescent="0.25">
      <c r="A330" t="s">
        <v>2820</v>
      </c>
      <c r="B330" t="s">
        <v>13</v>
      </c>
      <c r="C330" t="s">
        <v>14</v>
      </c>
      <c r="D330" t="s">
        <v>15</v>
      </c>
      <c r="E330" t="s">
        <v>498</v>
      </c>
      <c r="F330" s="3">
        <v>1135241</v>
      </c>
      <c r="G330" s="2">
        <f t="shared" si="10"/>
        <v>30</v>
      </c>
      <c r="H330" s="2">
        <f t="shared" ca="1" si="11"/>
        <v>1526</v>
      </c>
      <c r="I330" s="4">
        <v>44594</v>
      </c>
      <c r="J330" s="4">
        <v>44624</v>
      </c>
      <c r="K330" t="s">
        <v>343</v>
      </c>
      <c r="L330" t="s">
        <v>18</v>
      </c>
      <c r="M330" t="s">
        <v>19</v>
      </c>
      <c r="N330" t="s">
        <v>20</v>
      </c>
      <c r="O330">
        <v>30</v>
      </c>
    </row>
    <row r="331" spans="1:15" hidden="1" x14ac:dyDescent="0.25">
      <c r="A331" t="s">
        <v>2820</v>
      </c>
      <c r="B331" t="s">
        <v>13</v>
      </c>
      <c r="C331" t="s">
        <v>14</v>
      </c>
      <c r="D331" t="s">
        <v>15</v>
      </c>
      <c r="E331" t="s">
        <v>499</v>
      </c>
      <c r="F331" s="3">
        <v>5664283</v>
      </c>
      <c r="G331" s="2">
        <f t="shared" si="10"/>
        <v>30</v>
      </c>
      <c r="H331" s="2">
        <f t="shared" ca="1" si="11"/>
        <v>1526</v>
      </c>
      <c r="I331" s="4">
        <v>44594</v>
      </c>
      <c r="J331" s="4">
        <v>44624</v>
      </c>
      <c r="K331" t="s">
        <v>343</v>
      </c>
      <c r="L331" t="s">
        <v>18</v>
      </c>
      <c r="M331" t="s">
        <v>19</v>
      </c>
      <c r="N331" t="s">
        <v>20</v>
      </c>
      <c r="O331">
        <v>30</v>
      </c>
    </row>
    <row r="332" spans="1:15" hidden="1" x14ac:dyDescent="0.25">
      <c r="A332" t="s">
        <v>2820</v>
      </c>
      <c r="B332" t="s">
        <v>13</v>
      </c>
      <c r="C332" t="s">
        <v>14</v>
      </c>
      <c r="D332" t="s">
        <v>15</v>
      </c>
      <c r="E332" t="s">
        <v>500</v>
      </c>
      <c r="F332" s="3">
        <v>1057036</v>
      </c>
      <c r="G332" s="2">
        <f t="shared" si="10"/>
        <v>30</v>
      </c>
      <c r="H332" s="2">
        <f t="shared" ca="1" si="11"/>
        <v>1526</v>
      </c>
      <c r="I332" s="4">
        <v>44594</v>
      </c>
      <c r="J332" s="4">
        <v>44624</v>
      </c>
      <c r="K332" t="s">
        <v>343</v>
      </c>
      <c r="L332" t="s">
        <v>18</v>
      </c>
      <c r="M332" t="s">
        <v>19</v>
      </c>
      <c r="N332" t="s">
        <v>20</v>
      </c>
      <c r="O332">
        <v>30</v>
      </c>
    </row>
    <row r="333" spans="1:15" hidden="1" x14ac:dyDescent="0.25">
      <c r="A333" t="s">
        <v>2820</v>
      </c>
      <c r="B333" t="s">
        <v>13</v>
      </c>
      <c r="C333" t="s">
        <v>14</v>
      </c>
      <c r="D333" t="s">
        <v>15</v>
      </c>
      <c r="E333" t="s">
        <v>242</v>
      </c>
      <c r="F333" s="3">
        <v>13770787</v>
      </c>
      <c r="G333" s="2">
        <f t="shared" si="10"/>
        <v>30</v>
      </c>
      <c r="H333" s="2">
        <f t="shared" ca="1" si="11"/>
        <v>1520</v>
      </c>
      <c r="I333" s="4">
        <v>44600</v>
      </c>
      <c r="J333" s="4">
        <v>44630</v>
      </c>
      <c r="K333" t="s">
        <v>17</v>
      </c>
      <c r="L333" t="s">
        <v>18</v>
      </c>
      <c r="M333" t="s">
        <v>19</v>
      </c>
      <c r="N333" t="s">
        <v>20</v>
      </c>
      <c r="O333">
        <v>30</v>
      </c>
    </row>
    <row r="334" spans="1:15" hidden="1" x14ac:dyDescent="0.25">
      <c r="A334" t="s">
        <v>2820</v>
      </c>
      <c r="B334" t="s">
        <v>13</v>
      </c>
      <c r="C334" t="s">
        <v>14</v>
      </c>
      <c r="D334" t="s">
        <v>15</v>
      </c>
      <c r="E334" t="s">
        <v>243</v>
      </c>
      <c r="F334" s="3">
        <v>732386</v>
      </c>
      <c r="G334" s="2">
        <f t="shared" si="10"/>
        <v>30</v>
      </c>
      <c r="H334" s="2">
        <f t="shared" ca="1" si="11"/>
        <v>1520</v>
      </c>
      <c r="I334" s="4">
        <v>44600</v>
      </c>
      <c r="J334" s="4">
        <v>44630</v>
      </c>
      <c r="K334" t="s">
        <v>17</v>
      </c>
      <c r="L334" t="s">
        <v>18</v>
      </c>
      <c r="M334" t="s">
        <v>19</v>
      </c>
      <c r="N334" t="s">
        <v>20</v>
      </c>
      <c r="O334">
        <v>30</v>
      </c>
    </row>
    <row r="335" spans="1:15" hidden="1" x14ac:dyDescent="0.25">
      <c r="A335" t="s">
        <v>2820</v>
      </c>
      <c r="B335" t="s">
        <v>13</v>
      </c>
      <c r="C335" t="s">
        <v>14</v>
      </c>
      <c r="D335" t="s">
        <v>15</v>
      </c>
      <c r="E335" t="s">
        <v>244</v>
      </c>
      <c r="F335" s="3">
        <v>261600</v>
      </c>
      <c r="G335" s="2">
        <f t="shared" si="10"/>
        <v>30</v>
      </c>
      <c r="H335" s="2">
        <f t="shared" ca="1" si="11"/>
        <v>1520</v>
      </c>
      <c r="I335" s="4">
        <v>44600</v>
      </c>
      <c r="J335" s="4">
        <v>44630</v>
      </c>
      <c r="K335" t="s">
        <v>17</v>
      </c>
      <c r="L335" t="s">
        <v>18</v>
      </c>
      <c r="M335" t="s">
        <v>19</v>
      </c>
      <c r="N335" t="s">
        <v>20</v>
      </c>
      <c r="O335">
        <v>30</v>
      </c>
    </row>
    <row r="336" spans="1:15" hidden="1" x14ac:dyDescent="0.25">
      <c r="A336" t="s">
        <v>2820</v>
      </c>
      <c r="B336" t="s">
        <v>13</v>
      </c>
      <c r="C336" t="s">
        <v>14</v>
      </c>
      <c r="D336" t="s">
        <v>15</v>
      </c>
      <c r="E336" t="s">
        <v>743</v>
      </c>
      <c r="F336" s="3">
        <v>5999945</v>
      </c>
      <c r="G336" s="2">
        <f t="shared" si="10"/>
        <v>30</v>
      </c>
      <c r="H336" s="2">
        <f t="shared" ca="1" si="11"/>
        <v>1520</v>
      </c>
      <c r="I336" s="4">
        <v>44600</v>
      </c>
      <c r="J336" s="4">
        <v>44630</v>
      </c>
      <c r="K336" t="s">
        <v>716</v>
      </c>
      <c r="L336" t="s">
        <v>18</v>
      </c>
      <c r="M336" t="s">
        <v>19</v>
      </c>
      <c r="N336" t="s">
        <v>20</v>
      </c>
      <c r="O336">
        <v>30</v>
      </c>
    </row>
    <row r="337" spans="1:15" hidden="1" x14ac:dyDescent="0.25">
      <c r="A337" t="s">
        <v>2820</v>
      </c>
      <c r="B337" t="s">
        <v>13</v>
      </c>
      <c r="C337" t="s">
        <v>14</v>
      </c>
      <c r="D337" t="s">
        <v>15</v>
      </c>
      <c r="E337" t="s">
        <v>804</v>
      </c>
      <c r="F337" s="3">
        <v>5934257</v>
      </c>
      <c r="G337" s="2">
        <f t="shared" si="10"/>
        <v>30</v>
      </c>
      <c r="H337" s="2">
        <f t="shared" ca="1" si="11"/>
        <v>1520</v>
      </c>
      <c r="I337" s="4">
        <v>44600</v>
      </c>
      <c r="J337" s="4">
        <v>44630</v>
      </c>
      <c r="K337" t="s">
        <v>766</v>
      </c>
      <c r="L337" t="s">
        <v>18</v>
      </c>
      <c r="M337" t="s">
        <v>19</v>
      </c>
      <c r="N337" t="s">
        <v>20</v>
      </c>
      <c r="O337">
        <v>30</v>
      </c>
    </row>
    <row r="338" spans="1:15" hidden="1" x14ac:dyDescent="0.25">
      <c r="A338" t="s">
        <v>2820</v>
      </c>
      <c r="B338" t="s">
        <v>13</v>
      </c>
      <c r="C338" t="s">
        <v>14</v>
      </c>
      <c r="D338" t="s">
        <v>15</v>
      </c>
      <c r="E338" t="s">
        <v>805</v>
      </c>
      <c r="F338" s="3">
        <v>2068238</v>
      </c>
      <c r="G338" s="2">
        <f t="shared" si="10"/>
        <v>30</v>
      </c>
      <c r="H338" s="2">
        <f t="shared" ca="1" si="11"/>
        <v>1520</v>
      </c>
      <c r="I338" s="4">
        <v>44600</v>
      </c>
      <c r="J338" s="4">
        <v>44630</v>
      </c>
      <c r="K338" t="s">
        <v>766</v>
      </c>
      <c r="L338" t="s">
        <v>18</v>
      </c>
      <c r="M338" t="s">
        <v>19</v>
      </c>
      <c r="N338" t="s">
        <v>20</v>
      </c>
      <c r="O338">
        <v>30</v>
      </c>
    </row>
    <row r="339" spans="1:15" hidden="1" x14ac:dyDescent="0.25">
      <c r="A339" t="s">
        <v>2820</v>
      </c>
      <c r="B339" t="s">
        <v>13</v>
      </c>
      <c r="C339" t="s">
        <v>14</v>
      </c>
      <c r="D339" t="s">
        <v>15</v>
      </c>
      <c r="E339" t="s">
        <v>1028</v>
      </c>
      <c r="F339" s="3">
        <v>2569329</v>
      </c>
      <c r="G339" s="2">
        <f t="shared" si="10"/>
        <v>30</v>
      </c>
      <c r="H339" s="2">
        <f t="shared" ca="1" si="11"/>
        <v>1519</v>
      </c>
      <c r="I339" s="4">
        <v>44601</v>
      </c>
      <c r="J339" s="4">
        <v>44631</v>
      </c>
      <c r="K339" t="s">
        <v>989</v>
      </c>
      <c r="L339" t="s">
        <v>18</v>
      </c>
      <c r="M339" t="s">
        <v>19</v>
      </c>
      <c r="N339" t="s">
        <v>20</v>
      </c>
      <c r="O339">
        <v>30</v>
      </c>
    </row>
    <row r="340" spans="1:15" hidden="1" x14ac:dyDescent="0.25">
      <c r="A340" t="s">
        <v>2820</v>
      </c>
      <c r="B340" t="s">
        <v>13</v>
      </c>
      <c r="C340" t="s">
        <v>14</v>
      </c>
      <c r="D340" t="s">
        <v>15</v>
      </c>
      <c r="E340" t="s">
        <v>245</v>
      </c>
      <c r="F340" s="3">
        <v>11631263</v>
      </c>
      <c r="G340" s="2">
        <f t="shared" si="10"/>
        <v>30</v>
      </c>
      <c r="H340" s="2">
        <f t="shared" ca="1" si="11"/>
        <v>1516</v>
      </c>
      <c r="I340" s="4">
        <v>44604</v>
      </c>
      <c r="J340" s="4">
        <v>44634</v>
      </c>
      <c r="K340" t="s">
        <v>17</v>
      </c>
      <c r="L340" t="s">
        <v>18</v>
      </c>
      <c r="M340" t="s">
        <v>19</v>
      </c>
      <c r="N340" t="s">
        <v>20</v>
      </c>
      <c r="O340">
        <v>30</v>
      </c>
    </row>
    <row r="341" spans="1:15" hidden="1" x14ac:dyDescent="0.25">
      <c r="A341" t="s">
        <v>2820</v>
      </c>
      <c r="B341" t="s">
        <v>13</v>
      </c>
      <c r="C341" t="s">
        <v>14</v>
      </c>
      <c r="D341" t="s">
        <v>15</v>
      </c>
      <c r="E341" t="s">
        <v>246</v>
      </c>
      <c r="F341" s="3">
        <v>720125</v>
      </c>
      <c r="G341" s="2">
        <f t="shared" si="10"/>
        <v>30</v>
      </c>
      <c r="H341" s="2">
        <f t="shared" ca="1" si="11"/>
        <v>1513</v>
      </c>
      <c r="I341" s="4">
        <v>44607</v>
      </c>
      <c r="J341" s="4">
        <v>44637</v>
      </c>
      <c r="K341" t="s">
        <v>17</v>
      </c>
      <c r="L341" t="s">
        <v>18</v>
      </c>
      <c r="M341" t="s">
        <v>19</v>
      </c>
      <c r="N341" t="s">
        <v>20</v>
      </c>
      <c r="O341">
        <v>30</v>
      </c>
    </row>
    <row r="342" spans="1:15" hidden="1" x14ac:dyDescent="0.25">
      <c r="A342" t="s">
        <v>2820</v>
      </c>
      <c r="B342" t="s">
        <v>13</v>
      </c>
      <c r="C342" t="s">
        <v>14</v>
      </c>
      <c r="D342" t="s">
        <v>15</v>
      </c>
      <c r="E342" t="s">
        <v>501</v>
      </c>
      <c r="F342" s="3">
        <v>3244844</v>
      </c>
      <c r="G342" s="2">
        <f t="shared" si="10"/>
        <v>30</v>
      </c>
      <c r="H342" s="2">
        <f t="shared" ca="1" si="11"/>
        <v>1513</v>
      </c>
      <c r="I342" s="4">
        <v>44607</v>
      </c>
      <c r="J342" s="4">
        <v>44637</v>
      </c>
      <c r="K342" t="s">
        <v>343</v>
      </c>
      <c r="L342" t="s">
        <v>18</v>
      </c>
      <c r="M342" t="s">
        <v>19</v>
      </c>
      <c r="N342" t="s">
        <v>20</v>
      </c>
      <c r="O342">
        <v>30</v>
      </c>
    </row>
    <row r="343" spans="1:15" hidden="1" x14ac:dyDescent="0.25">
      <c r="A343" t="s">
        <v>2820</v>
      </c>
      <c r="B343" t="s">
        <v>13</v>
      </c>
      <c r="C343" t="s">
        <v>14</v>
      </c>
      <c r="D343" t="s">
        <v>15</v>
      </c>
      <c r="E343" t="s">
        <v>502</v>
      </c>
      <c r="F343" s="3">
        <v>4081023</v>
      </c>
      <c r="G343" s="2">
        <f t="shared" si="10"/>
        <v>30</v>
      </c>
      <c r="H343" s="2">
        <f t="shared" ca="1" si="11"/>
        <v>1513</v>
      </c>
      <c r="I343" s="4">
        <v>44607</v>
      </c>
      <c r="J343" s="4">
        <v>44637</v>
      </c>
      <c r="K343" t="s">
        <v>343</v>
      </c>
      <c r="L343" t="s">
        <v>18</v>
      </c>
      <c r="M343" t="s">
        <v>19</v>
      </c>
      <c r="N343" t="s">
        <v>20</v>
      </c>
      <c r="O343">
        <v>30</v>
      </c>
    </row>
    <row r="344" spans="1:15" hidden="1" x14ac:dyDescent="0.25">
      <c r="A344" t="s">
        <v>2820</v>
      </c>
      <c r="B344" t="s">
        <v>13</v>
      </c>
      <c r="C344" t="s">
        <v>14</v>
      </c>
      <c r="D344" t="s">
        <v>15</v>
      </c>
      <c r="E344" t="s">
        <v>503</v>
      </c>
      <c r="F344" s="3">
        <v>4742881</v>
      </c>
      <c r="G344" s="2">
        <f t="shared" si="10"/>
        <v>30</v>
      </c>
      <c r="H344" s="2">
        <f t="shared" ca="1" si="11"/>
        <v>1513</v>
      </c>
      <c r="I344" s="4">
        <v>44607</v>
      </c>
      <c r="J344" s="4">
        <v>44637</v>
      </c>
      <c r="K344" t="s">
        <v>343</v>
      </c>
      <c r="L344" t="s">
        <v>18</v>
      </c>
      <c r="M344" t="s">
        <v>19</v>
      </c>
      <c r="N344" t="s">
        <v>20</v>
      </c>
      <c r="O344">
        <v>30</v>
      </c>
    </row>
    <row r="345" spans="1:15" hidden="1" x14ac:dyDescent="0.25">
      <c r="A345" t="s">
        <v>2820</v>
      </c>
      <c r="B345" t="s">
        <v>13</v>
      </c>
      <c r="C345" t="s">
        <v>14</v>
      </c>
      <c r="D345" t="s">
        <v>15</v>
      </c>
      <c r="E345" t="s">
        <v>504</v>
      </c>
      <c r="F345" s="3">
        <v>2622431</v>
      </c>
      <c r="G345" s="2">
        <f t="shared" si="10"/>
        <v>30</v>
      </c>
      <c r="H345" s="2">
        <f t="shared" ca="1" si="11"/>
        <v>1513</v>
      </c>
      <c r="I345" s="4">
        <v>44607</v>
      </c>
      <c r="J345" s="4">
        <v>44637</v>
      </c>
      <c r="K345" t="s">
        <v>343</v>
      </c>
      <c r="L345" t="s">
        <v>18</v>
      </c>
      <c r="M345" t="s">
        <v>19</v>
      </c>
      <c r="N345" t="s">
        <v>20</v>
      </c>
      <c r="O345">
        <v>30</v>
      </c>
    </row>
    <row r="346" spans="1:15" hidden="1" x14ac:dyDescent="0.25">
      <c r="A346" t="s">
        <v>2820</v>
      </c>
      <c r="B346" t="s">
        <v>13</v>
      </c>
      <c r="C346" t="s">
        <v>14</v>
      </c>
      <c r="D346" t="s">
        <v>15</v>
      </c>
      <c r="E346" t="s">
        <v>505</v>
      </c>
      <c r="F346" s="3">
        <v>1871514</v>
      </c>
      <c r="G346" s="2">
        <f t="shared" si="10"/>
        <v>30</v>
      </c>
      <c r="H346" s="2">
        <f t="shared" ca="1" si="11"/>
        <v>1511</v>
      </c>
      <c r="I346" s="4">
        <v>44609</v>
      </c>
      <c r="J346" s="4">
        <v>44639</v>
      </c>
      <c r="K346" t="s">
        <v>343</v>
      </c>
      <c r="L346" t="s">
        <v>47</v>
      </c>
      <c r="M346" t="s">
        <v>19</v>
      </c>
      <c r="N346" t="s">
        <v>20</v>
      </c>
      <c r="O346">
        <v>30</v>
      </c>
    </row>
    <row r="347" spans="1:15" hidden="1" x14ac:dyDescent="0.25">
      <c r="A347" t="s">
        <v>2820</v>
      </c>
      <c r="B347" t="s">
        <v>13</v>
      </c>
      <c r="C347" t="s">
        <v>14</v>
      </c>
      <c r="D347" t="s">
        <v>15</v>
      </c>
      <c r="E347" t="s">
        <v>506</v>
      </c>
      <c r="F347" s="3">
        <v>3714000</v>
      </c>
      <c r="G347" s="2">
        <f t="shared" si="10"/>
        <v>30</v>
      </c>
      <c r="H347" s="2">
        <f t="shared" ca="1" si="11"/>
        <v>1507</v>
      </c>
      <c r="I347" s="4">
        <v>44613</v>
      </c>
      <c r="J347" s="4">
        <v>44643</v>
      </c>
      <c r="K347" t="s">
        <v>343</v>
      </c>
      <c r="L347" t="s">
        <v>18</v>
      </c>
      <c r="M347" t="s">
        <v>19</v>
      </c>
      <c r="N347" t="s">
        <v>20</v>
      </c>
      <c r="O347">
        <v>30</v>
      </c>
    </row>
    <row r="348" spans="1:15" hidden="1" x14ac:dyDescent="0.25">
      <c r="A348" t="s">
        <v>2820</v>
      </c>
      <c r="B348" t="s">
        <v>13</v>
      </c>
      <c r="C348" t="s">
        <v>14</v>
      </c>
      <c r="D348" t="s">
        <v>15</v>
      </c>
      <c r="E348" t="s">
        <v>744</v>
      </c>
      <c r="F348" s="3">
        <v>5200000</v>
      </c>
      <c r="G348" s="2">
        <f t="shared" si="10"/>
        <v>30</v>
      </c>
      <c r="H348" s="2">
        <f t="shared" ca="1" si="11"/>
        <v>1505</v>
      </c>
      <c r="I348" s="4">
        <v>44615</v>
      </c>
      <c r="J348" s="4">
        <v>44645</v>
      </c>
      <c r="K348" t="s">
        <v>716</v>
      </c>
      <c r="L348" t="s">
        <v>18</v>
      </c>
      <c r="M348" t="s">
        <v>19</v>
      </c>
      <c r="N348" t="s">
        <v>20</v>
      </c>
      <c r="O348">
        <v>30</v>
      </c>
    </row>
    <row r="349" spans="1:15" hidden="1" x14ac:dyDescent="0.25">
      <c r="A349" t="s">
        <v>2820</v>
      </c>
      <c r="B349" t="s">
        <v>13</v>
      </c>
      <c r="C349" t="s">
        <v>14</v>
      </c>
      <c r="D349" t="s">
        <v>15</v>
      </c>
      <c r="E349" t="s">
        <v>745</v>
      </c>
      <c r="F349" s="3">
        <v>1093620</v>
      </c>
      <c r="G349" s="2">
        <f t="shared" si="10"/>
        <v>30</v>
      </c>
      <c r="H349" s="2">
        <f t="shared" ca="1" si="11"/>
        <v>1505</v>
      </c>
      <c r="I349" s="4">
        <v>44615</v>
      </c>
      <c r="J349" s="4">
        <v>44645</v>
      </c>
      <c r="K349" t="s">
        <v>716</v>
      </c>
      <c r="L349" t="s">
        <v>18</v>
      </c>
      <c r="M349" t="s">
        <v>19</v>
      </c>
      <c r="N349" t="s">
        <v>20</v>
      </c>
      <c r="O349">
        <v>30</v>
      </c>
    </row>
    <row r="350" spans="1:15" hidden="1" x14ac:dyDescent="0.25">
      <c r="A350" t="s">
        <v>2820</v>
      </c>
      <c r="B350" t="s">
        <v>13</v>
      </c>
      <c r="C350" t="s">
        <v>14</v>
      </c>
      <c r="D350" t="s">
        <v>15</v>
      </c>
      <c r="E350" t="s">
        <v>806</v>
      </c>
      <c r="F350" s="3">
        <v>6605000</v>
      </c>
      <c r="G350" s="2">
        <f t="shared" si="10"/>
        <v>30</v>
      </c>
      <c r="H350" s="2">
        <f t="shared" ca="1" si="11"/>
        <v>1505</v>
      </c>
      <c r="I350" s="4">
        <v>44615</v>
      </c>
      <c r="J350" s="4">
        <v>44645</v>
      </c>
      <c r="K350" t="s">
        <v>766</v>
      </c>
      <c r="L350" t="s">
        <v>18</v>
      </c>
      <c r="M350" t="s">
        <v>19</v>
      </c>
      <c r="N350" t="s">
        <v>20</v>
      </c>
      <c r="O350">
        <v>30</v>
      </c>
    </row>
    <row r="351" spans="1:15" hidden="1" x14ac:dyDescent="0.25">
      <c r="A351" t="s">
        <v>2820</v>
      </c>
      <c r="B351" t="s">
        <v>13</v>
      </c>
      <c r="C351" t="s">
        <v>14</v>
      </c>
      <c r="D351" t="s">
        <v>15</v>
      </c>
      <c r="E351" t="s">
        <v>807</v>
      </c>
      <c r="F351" s="3">
        <v>2459211</v>
      </c>
      <c r="G351" s="2">
        <f t="shared" si="10"/>
        <v>30</v>
      </c>
      <c r="H351" s="2">
        <f t="shared" ca="1" si="11"/>
        <v>1505</v>
      </c>
      <c r="I351" s="4">
        <v>44615</v>
      </c>
      <c r="J351" s="4">
        <v>44645</v>
      </c>
      <c r="K351" t="s">
        <v>766</v>
      </c>
      <c r="L351" t="s">
        <v>18</v>
      </c>
      <c r="M351" t="s">
        <v>19</v>
      </c>
      <c r="N351" t="s">
        <v>20</v>
      </c>
      <c r="O351">
        <v>30</v>
      </c>
    </row>
    <row r="352" spans="1:15" hidden="1" x14ac:dyDescent="0.25">
      <c r="A352" t="s">
        <v>2820</v>
      </c>
      <c r="B352" t="s">
        <v>13</v>
      </c>
      <c r="C352" t="s">
        <v>14</v>
      </c>
      <c r="D352" t="s">
        <v>15</v>
      </c>
      <c r="E352" t="s">
        <v>808</v>
      </c>
      <c r="F352" s="3">
        <v>723478</v>
      </c>
      <c r="G352" s="2">
        <f t="shared" si="10"/>
        <v>30</v>
      </c>
      <c r="H352" s="2">
        <f t="shared" ca="1" si="11"/>
        <v>1505</v>
      </c>
      <c r="I352" s="4">
        <v>44615</v>
      </c>
      <c r="J352" s="4">
        <v>44645</v>
      </c>
      <c r="K352" t="s">
        <v>766</v>
      </c>
      <c r="L352" t="s">
        <v>18</v>
      </c>
      <c r="M352" t="s">
        <v>19</v>
      </c>
      <c r="N352" t="s">
        <v>20</v>
      </c>
      <c r="O352">
        <v>30</v>
      </c>
    </row>
    <row r="353" spans="1:15" hidden="1" x14ac:dyDescent="0.25">
      <c r="A353" t="s">
        <v>2820</v>
      </c>
      <c r="B353" t="s">
        <v>13</v>
      </c>
      <c r="C353" t="s">
        <v>14</v>
      </c>
      <c r="D353" t="s">
        <v>15</v>
      </c>
      <c r="E353" t="s">
        <v>1029</v>
      </c>
      <c r="F353" s="3">
        <v>12620000</v>
      </c>
      <c r="G353" s="2">
        <f t="shared" si="10"/>
        <v>30</v>
      </c>
      <c r="H353" s="2">
        <f t="shared" ca="1" si="11"/>
        <v>1504</v>
      </c>
      <c r="I353" s="4">
        <v>44616</v>
      </c>
      <c r="J353" s="4">
        <v>44646</v>
      </c>
      <c r="K353" t="s">
        <v>989</v>
      </c>
      <c r="L353" t="s">
        <v>18</v>
      </c>
      <c r="M353" t="s">
        <v>19</v>
      </c>
      <c r="N353" t="s">
        <v>20</v>
      </c>
      <c r="O353">
        <v>30</v>
      </c>
    </row>
    <row r="354" spans="1:15" hidden="1" x14ac:dyDescent="0.25">
      <c r="A354" t="s">
        <v>2820</v>
      </c>
      <c r="B354" t="s">
        <v>13</v>
      </c>
      <c r="C354" t="s">
        <v>14</v>
      </c>
      <c r="D354" t="s">
        <v>15</v>
      </c>
      <c r="E354" t="s">
        <v>247</v>
      </c>
      <c r="F354" s="3">
        <v>26869061</v>
      </c>
      <c r="G354" s="2">
        <f t="shared" si="10"/>
        <v>30</v>
      </c>
      <c r="H354" s="2">
        <f t="shared" ca="1" si="11"/>
        <v>1503</v>
      </c>
      <c r="I354" s="4">
        <v>44617</v>
      </c>
      <c r="J354" s="4">
        <v>44647</v>
      </c>
      <c r="K354" t="s">
        <v>17</v>
      </c>
      <c r="L354" t="s">
        <v>18</v>
      </c>
      <c r="M354" t="s">
        <v>19</v>
      </c>
      <c r="N354" t="s">
        <v>20</v>
      </c>
      <c r="O354">
        <v>30</v>
      </c>
    </row>
    <row r="355" spans="1:15" hidden="1" x14ac:dyDescent="0.25">
      <c r="A355" t="s">
        <v>2820</v>
      </c>
      <c r="B355" t="s">
        <v>13</v>
      </c>
      <c r="C355" t="s">
        <v>14</v>
      </c>
      <c r="D355" t="s">
        <v>15</v>
      </c>
      <c r="E355" t="s">
        <v>703</v>
      </c>
      <c r="F355" s="3">
        <v>2980000</v>
      </c>
      <c r="G355" s="2">
        <f t="shared" si="10"/>
        <v>30</v>
      </c>
      <c r="H355" s="2">
        <f t="shared" ca="1" si="11"/>
        <v>1503</v>
      </c>
      <c r="I355" s="4">
        <v>44617</v>
      </c>
      <c r="J355" s="4">
        <v>44647</v>
      </c>
      <c r="K355" t="s">
        <v>638</v>
      </c>
      <c r="L355" t="s">
        <v>18</v>
      </c>
      <c r="M355" t="s">
        <v>19</v>
      </c>
      <c r="N355" t="s">
        <v>20</v>
      </c>
      <c r="O355">
        <v>30</v>
      </c>
    </row>
    <row r="356" spans="1:15" hidden="1" x14ac:dyDescent="0.25">
      <c r="A356" t="s">
        <v>2820</v>
      </c>
      <c r="B356" t="s">
        <v>13</v>
      </c>
      <c r="C356" t="s">
        <v>14</v>
      </c>
      <c r="D356" t="s">
        <v>15</v>
      </c>
      <c r="E356" t="s">
        <v>1030</v>
      </c>
      <c r="F356" s="3">
        <v>2557729</v>
      </c>
      <c r="G356" s="2">
        <f t="shared" si="10"/>
        <v>30</v>
      </c>
      <c r="H356" s="2">
        <f t="shared" ca="1" si="11"/>
        <v>1503</v>
      </c>
      <c r="I356" s="4">
        <v>44617</v>
      </c>
      <c r="J356" s="4">
        <v>44647</v>
      </c>
      <c r="K356" t="s">
        <v>989</v>
      </c>
      <c r="L356" t="s">
        <v>18</v>
      </c>
      <c r="M356" t="s">
        <v>19</v>
      </c>
      <c r="N356" t="s">
        <v>20</v>
      </c>
      <c r="O356">
        <v>30</v>
      </c>
    </row>
    <row r="357" spans="1:15" hidden="1" x14ac:dyDescent="0.25">
      <c r="A357" t="s">
        <v>2820</v>
      </c>
      <c r="B357" t="s">
        <v>13</v>
      </c>
      <c r="C357" t="s">
        <v>14</v>
      </c>
      <c r="D357" t="s">
        <v>15</v>
      </c>
      <c r="E357" t="s">
        <v>248</v>
      </c>
      <c r="F357" s="3">
        <v>29539512</v>
      </c>
      <c r="G357" s="2">
        <f t="shared" si="10"/>
        <v>30</v>
      </c>
      <c r="H357" s="2">
        <f t="shared" ca="1" si="11"/>
        <v>1500</v>
      </c>
      <c r="I357" s="4">
        <v>44620</v>
      </c>
      <c r="J357" s="4">
        <v>44650</v>
      </c>
      <c r="K357" t="s">
        <v>17</v>
      </c>
      <c r="L357" t="s">
        <v>18</v>
      </c>
      <c r="M357" t="s">
        <v>19</v>
      </c>
      <c r="N357" t="s">
        <v>20</v>
      </c>
      <c r="O357">
        <v>30</v>
      </c>
    </row>
    <row r="358" spans="1:15" hidden="1" x14ac:dyDescent="0.25">
      <c r="A358" t="s">
        <v>2820</v>
      </c>
      <c r="B358" t="s">
        <v>13</v>
      </c>
      <c r="C358" t="s">
        <v>14</v>
      </c>
      <c r="D358" t="s">
        <v>15</v>
      </c>
      <c r="E358" t="s">
        <v>507</v>
      </c>
      <c r="F358" s="3">
        <v>10874400</v>
      </c>
      <c r="G358" s="2">
        <f t="shared" si="10"/>
        <v>30</v>
      </c>
      <c r="H358" s="2">
        <f t="shared" ca="1" si="11"/>
        <v>1500</v>
      </c>
      <c r="I358" s="4">
        <v>44620</v>
      </c>
      <c r="J358" s="4">
        <v>44650</v>
      </c>
      <c r="K358" t="s">
        <v>343</v>
      </c>
      <c r="L358" t="s">
        <v>18</v>
      </c>
      <c r="M358" t="s">
        <v>19</v>
      </c>
      <c r="N358" t="s">
        <v>20</v>
      </c>
      <c r="O358">
        <v>30</v>
      </c>
    </row>
    <row r="359" spans="1:15" hidden="1" x14ac:dyDescent="0.25">
      <c r="A359" t="s">
        <v>2820</v>
      </c>
      <c r="B359" t="s">
        <v>13</v>
      </c>
      <c r="C359" t="s">
        <v>14</v>
      </c>
      <c r="D359" t="s">
        <v>15</v>
      </c>
      <c r="E359" t="s">
        <v>508</v>
      </c>
      <c r="F359" s="3">
        <v>8251680</v>
      </c>
      <c r="G359" s="2">
        <f t="shared" si="10"/>
        <v>30</v>
      </c>
      <c r="H359" s="2">
        <f t="shared" ca="1" si="11"/>
        <v>1500</v>
      </c>
      <c r="I359" s="4">
        <v>44620</v>
      </c>
      <c r="J359" s="4">
        <v>44650</v>
      </c>
      <c r="K359" t="s">
        <v>343</v>
      </c>
      <c r="L359" t="s">
        <v>18</v>
      </c>
      <c r="M359" t="s">
        <v>19</v>
      </c>
      <c r="N359" t="s">
        <v>20</v>
      </c>
      <c r="O359">
        <v>30</v>
      </c>
    </row>
    <row r="360" spans="1:15" hidden="1" x14ac:dyDescent="0.25">
      <c r="A360" t="s">
        <v>2820</v>
      </c>
      <c r="B360" t="s">
        <v>13</v>
      </c>
      <c r="C360" t="s">
        <v>14</v>
      </c>
      <c r="D360" t="s">
        <v>15</v>
      </c>
      <c r="E360" t="s">
        <v>509</v>
      </c>
      <c r="F360" s="3">
        <v>3607612</v>
      </c>
      <c r="G360" s="2">
        <f t="shared" si="10"/>
        <v>30</v>
      </c>
      <c r="H360" s="2">
        <f t="shared" ca="1" si="11"/>
        <v>1498</v>
      </c>
      <c r="I360" s="4">
        <v>44622</v>
      </c>
      <c r="J360" s="4">
        <v>44652</v>
      </c>
      <c r="K360" t="s">
        <v>343</v>
      </c>
      <c r="L360" t="s">
        <v>18</v>
      </c>
      <c r="M360" t="s">
        <v>19</v>
      </c>
      <c r="N360" t="s">
        <v>20</v>
      </c>
      <c r="O360">
        <v>30</v>
      </c>
    </row>
    <row r="361" spans="1:15" hidden="1" x14ac:dyDescent="0.25">
      <c r="A361" t="s">
        <v>2820</v>
      </c>
      <c r="B361" t="s">
        <v>13</v>
      </c>
      <c r="C361" t="s">
        <v>14</v>
      </c>
      <c r="D361" t="s">
        <v>15</v>
      </c>
      <c r="E361" t="s">
        <v>510</v>
      </c>
      <c r="F361" s="3">
        <v>2065205</v>
      </c>
      <c r="G361" s="2">
        <f t="shared" si="10"/>
        <v>30</v>
      </c>
      <c r="H361" s="2">
        <f t="shared" ca="1" si="11"/>
        <v>1498</v>
      </c>
      <c r="I361" s="4">
        <v>44622</v>
      </c>
      <c r="J361" s="4">
        <v>44652</v>
      </c>
      <c r="K361" t="s">
        <v>343</v>
      </c>
      <c r="L361" t="s">
        <v>18</v>
      </c>
      <c r="M361" t="s">
        <v>19</v>
      </c>
      <c r="N361" t="s">
        <v>20</v>
      </c>
      <c r="O361">
        <v>30</v>
      </c>
    </row>
    <row r="362" spans="1:15" hidden="1" x14ac:dyDescent="0.25">
      <c r="A362" t="s">
        <v>2820</v>
      </c>
      <c r="B362" t="s">
        <v>13</v>
      </c>
      <c r="C362" t="s">
        <v>14</v>
      </c>
      <c r="D362" t="s">
        <v>15</v>
      </c>
      <c r="E362" t="s">
        <v>511</v>
      </c>
      <c r="F362" s="3">
        <v>5051519</v>
      </c>
      <c r="G362" s="2">
        <f t="shared" si="10"/>
        <v>30</v>
      </c>
      <c r="H362" s="2">
        <f t="shared" ca="1" si="11"/>
        <v>1498</v>
      </c>
      <c r="I362" s="4">
        <v>44622</v>
      </c>
      <c r="J362" s="4">
        <v>44652</v>
      </c>
      <c r="K362" t="s">
        <v>343</v>
      </c>
      <c r="L362" t="s">
        <v>18</v>
      </c>
      <c r="M362" t="s">
        <v>19</v>
      </c>
      <c r="N362" t="s">
        <v>20</v>
      </c>
      <c r="O362">
        <v>30</v>
      </c>
    </row>
    <row r="363" spans="1:15" hidden="1" x14ac:dyDescent="0.25">
      <c r="A363" t="s">
        <v>2820</v>
      </c>
      <c r="B363" t="s">
        <v>13</v>
      </c>
      <c r="C363" t="s">
        <v>14</v>
      </c>
      <c r="D363" t="s">
        <v>15</v>
      </c>
      <c r="E363" t="s">
        <v>512</v>
      </c>
      <c r="F363" s="3">
        <v>2737904</v>
      </c>
      <c r="G363" s="2">
        <f t="shared" si="10"/>
        <v>30</v>
      </c>
      <c r="H363" s="2">
        <f t="shared" ca="1" si="11"/>
        <v>1498</v>
      </c>
      <c r="I363" s="4">
        <v>44622</v>
      </c>
      <c r="J363" s="4">
        <v>44652</v>
      </c>
      <c r="K363" t="s">
        <v>343</v>
      </c>
      <c r="L363" t="s">
        <v>18</v>
      </c>
      <c r="M363" t="s">
        <v>19</v>
      </c>
      <c r="N363" t="s">
        <v>20</v>
      </c>
      <c r="O363">
        <v>30</v>
      </c>
    </row>
    <row r="364" spans="1:15" hidden="1" x14ac:dyDescent="0.25">
      <c r="A364" t="s">
        <v>2820</v>
      </c>
      <c r="B364" t="s">
        <v>13</v>
      </c>
      <c r="C364" t="s">
        <v>14</v>
      </c>
      <c r="D364" t="s">
        <v>15</v>
      </c>
      <c r="E364" t="s">
        <v>249</v>
      </c>
      <c r="F364" s="3">
        <v>2688505</v>
      </c>
      <c r="G364" s="2">
        <f t="shared" si="10"/>
        <v>30</v>
      </c>
      <c r="H364" s="2">
        <f t="shared" ca="1" si="11"/>
        <v>1495</v>
      </c>
      <c r="I364" s="4">
        <v>44625</v>
      </c>
      <c r="J364" s="4">
        <v>44655</v>
      </c>
      <c r="K364" t="s">
        <v>17</v>
      </c>
      <c r="L364" t="s">
        <v>18</v>
      </c>
      <c r="M364" t="s">
        <v>19</v>
      </c>
      <c r="N364" t="s">
        <v>20</v>
      </c>
      <c r="O364">
        <v>30</v>
      </c>
    </row>
    <row r="365" spans="1:15" hidden="1" x14ac:dyDescent="0.25">
      <c r="A365" t="s">
        <v>2820</v>
      </c>
      <c r="B365" t="s">
        <v>13</v>
      </c>
      <c r="C365" t="s">
        <v>14</v>
      </c>
      <c r="D365" t="s">
        <v>15</v>
      </c>
      <c r="E365" t="s">
        <v>809</v>
      </c>
      <c r="F365" s="3">
        <v>3770345</v>
      </c>
      <c r="G365" s="2">
        <f t="shared" si="10"/>
        <v>30</v>
      </c>
      <c r="H365" s="2">
        <f t="shared" ca="1" si="11"/>
        <v>1492</v>
      </c>
      <c r="I365" s="4">
        <v>44628</v>
      </c>
      <c r="J365" s="4">
        <v>44658</v>
      </c>
      <c r="K365" t="s">
        <v>766</v>
      </c>
      <c r="L365" t="s">
        <v>18</v>
      </c>
      <c r="M365" t="s">
        <v>19</v>
      </c>
      <c r="N365" t="s">
        <v>20</v>
      </c>
      <c r="O365">
        <v>30</v>
      </c>
    </row>
    <row r="366" spans="1:15" hidden="1" x14ac:dyDescent="0.25">
      <c r="A366" t="s">
        <v>2820</v>
      </c>
      <c r="B366" t="s">
        <v>13</v>
      </c>
      <c r="C366" t="s">
        <v>14</v>
      </c>
      <c r="D366" t="s">
        <v>15</v>
      </c>
      <c r="E366" t="s">
        <v>810</v>
      </c>
      <c r="F366" s="3">
        <v>29950</v>
      </c>
      <c r="G366" s="2">
        <f t="shared" si="10"/>
        <v>30</v>
      </c>
      <c r="H366" s="2">
        <f t="shared" ca="1" si="11"/>
        <v>1492</v>
      </c>
      <c r="I366" s="4">
        <v>44628</v>
      </c>
      <c r="J366" s="4">
        <v>44658</v>
      </c>
      <c r="K366" t="s">
        <v>766</v>
      </c>
      <c r="L366" t="s">
        <v>18</v>
      </c>
      <c r="M366" t="s">
        <v>19</v>
      </c>
      <c r="N366" t="s">
        <v>20</v>
      </c>
      <c r="O366">
        <v>30</v>
      </c>
    </row>
    <row r="367" spans="1:15" hidden="1" x14ac:dyDescent="0.25">
      <c r="A367" t="s">
        <v>2820</v>
      </c>
      <c r="B367" t="s">
        <v>13</v>
      </c>
      <c r="C367" t="s">
        <v>14</v>
      </c>
      <c r="D367" t="s">
        <v>15</v>
      </c>
      <c r="E367" t="s">
        <v>250</v>
      </c>
      <c r="F367" s="3">
        <v>4239891</v>
      </c>
      <c r="G367" s="2">
        <f t="shared" si="10"/>
        <v>30</v>
      </c>
      <c r="H367" s="2">
        <f t="shared" ca="1" si="11"/>
        <v>1491</v>
      </c>
      <c r="I367" s="4">
        <v>44629</v>
      </c>
      <c r="J367" s="4">
        <v>44659</v>
      </c>
      <c r="K367" t="s">
        <v>17</v>
      </c>
      <c r="L367" t="s">
        <v>18</v>
      </c>
      <c r="M367" t="s">
        <v>19</v>
      </c>
      <c r="N367" t="s">
        <v>20</v>
      </c>
      <c r="O367">
        <v>30</v>
      </c>
    </row>
    <row r="368" spans="1:15" hidden="1" x14ac:dyDescent="0.25">
      <c r="A368" t="s">
        <v>2820</v>
      </c>
      <c r="B368" t="s">
        <v>13</v>
      </c>
      <c r="C368" t="s">
        <v>14</v>
      </c>
      <c r="D368" t="s">
        <v>15</v>
      </c>
      <c r="E368" t="s">
        <v>1031</v>
      </c>
      <c r="F368" s="3">
        <v>10738639</v>
      </c>
      <c r="G368" s="2">
        <f t="shared" si="10"/>
        <v>30</v>
      </c>
      <c r="H368" s="2">
        <f t="shared" ca="1" si="11"/>
        <v>1490</v>
      </c>
      <c r="I368" s="4">
        <v>44630</v>
      </c>
      <c r="J368" s="4">
        <v>44660</v>
      </c>
      <c r="K368" t="s">
        <v>989</v>
      </c>
      <c r="L368" t="s">
        <v>18</v>
      </c>
      <c r="M368" t="s">
        <v>19</v>
      </c>
      <c r="N368" t="s">
        <v>20</v>
      </c>
      <c r="O368">
        <v>30</v>
      </c>
    </row>
    <row r="369" spans="1:15" hidden="1" x14ac:dyDescent="0.25">
      <c r="A369" t="s">
        <v>2820</v>
      </c>
      <c r="B369" t="s">
        <v>13</v>
      </c>
      <c r="C369" t="s">
        <v>14</v>
      </c>
      <c r="D369" t="s">
        <v>15</v>
      </c>
      <c r="E369" t="s">
        <v>251</v>
      </c>
      <c r="F369" s="3">
        <v>9676128</v>
      </c>
      <c r="G369" s="2">
        <f t="shared" si="10"/>
        <v>30</v>
      </c>
      <c r="H369" s="2">
        <f t="shared" ca="1" si="11"/>
        <v>1488</v>
      </c>
      <c r="I369" s="4">
        <v>44632</v>
      </c>
      <c r="J369" s="4">
        <v>44662</v>
      </c>
      <c r="K369" t="s">
        <v>17</v>
      </c>
      <c r="L369" t="s">
        <v>18</v>
      </c>
      <c r="M369" t="s">
        <v>19</v>
      </c>
      <c r="N369" t="s">
        <v>20</v>
      </c>
      <c r="O369">
        <v>30</v>
      </c>
    </row>
    <row r="370" spans="1:15" hidden="1" x14ac:dyDescent="0.25">
      <c r="A370" t="s">
        <v>2820</v>
      </c>
      <c r="B370" t="s">
        <v>13</v>
      </c>
      <c r="C370" t="s">
        <v>14</v>
      </c>
      <c r="D370" t="s">
        <v>15</v>
      </c>
      <c r="E370" t="s">
        <v>513</v>
      </c>
      <c r="F370" s="3">
        <v>2635916</v>
      </c>
      <c r="G370" s="2">
        <f t="shared" si="10"/>
        <v>30</v>
      </c>
      <c r="H370" s="2">
        <f t="shared" ca="1" si="11"/>
        <v>1484</v>
      </c>
      <c r="I370" s="4">
        <v>44636</v>
      </c>
      <c r="J370" s="4">
        <v>44666</v>
      </c>
      <c r="K370" t="s">
        <v>343</v>
      </c>
      <c r="L370" t="s">
        <v>18</v>
      </c>
      <c r="M370" t="s">
        <v>19</v>
      </c>
      <c r="N370" t="s">
        <v>20</v>
      </c>
      <c r="O370">
        <v>30</v>
      </c>
    </row>
    <row r="371" spans="1:15" hidden="1" x14ac:dyDescent="0.25">
      <c r="A371" t="s">
        <v>2820</v>
      </c>
      <c r="B371" t="s">
        <v>13</v>
      </c>
      <c r="C371" t="s">
        <v>14</v>
      </c>
      <c r="D371" t="s">
        <v>15</v>
      </c>
      <c r="E371" t="s">
        <v>514</v>
      </c>
      <c r="F371" s="3">
        <v>3274000</v>
      </c>
      <c r="G371" s="2">
        <f t="shared" si="10"/>
        <v>30</v>
      </c>
      <c r="H371" s="2">
        <f t="shared" ca="1" si="11"/>
        <v>1484</v>
      </c>
      <c r="I371" s="4">
        <v>44636</v>
      </c>
      <c r="J371" s="4">
        <v>44666</v>
      </c>
      <c r="K371" t="s">
        <v>343</v>
      </c>
      <c r="L371" t="s">
        <v>18</v>
      </c>
      <c r="M371" t="s">
        <v>19</v>
      </c>
      <c r="N371" t="s">
        <v>20</v>
      </c>
      <c r="O371">
        <v>30</v>
      </c>
    </row>
    <row r="372" spans="1:15" hidden="1" x14ac:dyDescent="0.25">
      <c r="A372" t="s">
        <v>2820</v>
      </c>
      <c r="B372" t="s">
        <v>13</v>
      </c>
      <c r="C372" t="s">
        <v>14</v>
      </c>
      <c r="D372" t="s">
        <v>15</v>
      </c>
      <c r="E372" t="s">
        <v>515</v>
      </c>
      <c r="F372" s="3">
        <v>2187838</v>
      </c>
      <c r="G372" s="2">
        <f t="shared" si="10"/>
        <v>30</v>
      </c>
      <c r="H372" s="2">
        <f t="shared" ca="1" si="11"/>
        <v>1484</v>
      </c>
      <c r="I372" s="4">
        <v>44636</v>
      </c>
      <c r="J372" s="4">
        <v>44666</v>
      </c>
      <c r="K372" t="s">
        <v>343</v>
      </c>
      <c r="L372" t="s">
        <v>18</v>
      </c>
      <c r="M372" t="s">
        <v>19</v>
      </c>
      <c r="N372" t="s">
        <v>20</v>
      </c>
      <c r="O372">
        <v>30</v>
      </c>
    </row>
    <row r="373" spans="1:15" hidden="1" x14ac:dyDescent="0.25">
      <c r="A373" t="s">
        <v>2820</v>
      </c>
      <c r="B373" t="s">
        <v>13</v>
      </c>
      <c r="C373" t="s">
        <v>14</v>
      </c>
      <c r="D373" t="s">
        <v>15</v>
      </c>
      <c r="E373" t="s">
        <v>516</v>
      </c>
      <c r="F373" s="3">
        <v>6821358</v>
      </c>
      <c r="G373" s="2">
        <f t="shared" si="10"/>
        <v>30</v>
      </c>
      <c r="H373" s="2">
        <f t="shared" ca="1" si="11"/>
        <v>1484</v>
      </c>
      <c r="I373" s="4">
        <v>44636</v>
      </c>
      <c r="J373" s="4">
        <v>44666</v>
      </c>
      <c r="K373" t="s">
        <v>343</v>
      </c>
      <c r="L373" t="s">
        <v>18</v>
      </c>
      <c r="M373" t="s">
        <v>19</v>
      </c>
      <c r="N373" t="s">
        <v>20</v>
      </c>
      <c r="O373">
        <v>30</v>
      </c>
    </row>
    <row r="374" spans="1:15" hidden="1" x14ac:dyDescent="0.25">
      <c r="A374" t="s">
        <v>2820</v>
      </c>
      <c r="B374" t="s">
        <v>13</v>
      </c>
      <c r="C374" t="s">
        <v>14</v>
      </c>
      <c r="D374" t="s">
        <v>15</v>
      </c>
      <c r="E374" t="s">
        <v>517</v>
      </c>
      <c r="F374" s="3">
        <v>3459730</v>
      </c>
      <c r="G374" s="2">
        <f t="shared" si="10"/>
        <v>30</v>
      </c>
      <c r="H374" s="2">
        <f t="shared" ca="1" si="11"/>
        <v>1484</v>
      </c>
      <c r="I374" s="4">
        <v>44636</v>
      </c>
      <c r="J374" s="4">
        <v>44666</v>
      </c>
      <c r="K374" t="s">
        <v>343</v>
      </c>
      <c r="L374" t="s">
        <v>18</v>
      </c>
      <c r="M374" t="s">
        <v>19</v>
      </c>
      <c r="N374" t="s">
        <v>20</v>
      </c>
      <c r="O374">
        <v>30</v>
      </c>
    </row>
    <row r="375" spans="1:15" hidden="1" x14ac:dyDescent="0.25">
      <c r="A375" t="s">
        <v>2820</v>
      </c>
      <c r="B375" t="s">
        <v>13</v>
      </c>
      <c r="C375" t="s">
        <v>14</v>
      </c>
      <c r="D375" t="s">
        <v>15</v>
      </c>
      <c r="E375" t="s">
        <v>518</v>
      </c>
      <c r="F375" s="3">
        <v>5630709</v>
      </c>
      <c r="G375" s="2">
        <f t="shared" si="10"/>
        <v>30</v>
      </c>
      <c r="H375" s="2">
        <f t="shared" ca="1" si="11"/>
        <v>1482</v>
      </c>
      <c r="I375" s="4">
        <v>44638</v>
      </c>
      <c r="J375" s="4">
        <v>44668</v>
      </c>
      <c r="K375" t="s">
        <v>343</v>
      </c>
      <c r="L375" t="s">
        <v>18</v>
      </c>
      <c r="M375" t="s">
        <v>19</v>
      </c>
      <c r="N375" t="s">
        <v>20</v>
      </c>
      <c r="O375">
        <v>30</v>
      </c>
    </row>
    <row r="376" spans="1:15" hidden="1" x14ac:dyDescent="0.25">
      <c r="A376" t="s">
        <v>2820</v>
      </c>
      <c r="B376" t="s">
        <v>13</v>
      </c>
      <c r="C376" t="s">
        <v>14</v>
      </c>
      <c r="D376" t="s">
        <v>15</v>
      </c>
      <c r="E376" t="s">
        <v>252</v>
      </c>
      <c r="F376" s="3">
        <v>1582170</v>
      </c>
      <c r="G376" s="2">
        <f t="shared" si="10"/>
        <v>30</v>
      </c>
      <c r="H376" s="2">
        <f t="shared" ca="1" si="11"/>
        <v>1477</v>
      </c>
      <c r="I376" s="4">
        <v>44643</v>
      </c>
      <c r="J376" s="4">
        <v>44673</v>
      </c>
      <c r="K376" t="s">
        <v>17</v>
      </c>
      <c r="L376" t="s">
        <v>18</v>
      </c>
      <c r="M376" t="s">
        <v>19</v>
      </c>
      <c r="N376" t="s">
        <v>20</v>
      </c>
      <c r="O376">
        <v>30</v>
      </c>
    </row>
    <row r="377" spans="1:15" hidden="1" x14ac:dyDescent="0.25">
      <c r="A377" t="s">
        <v>2820</v>
      </c>
      <c r="B377" t="s">
        <v>13</v>
      </c>
      <c r="C377" t="s">
        <v>14</v>
      </c>
      <c r="D377" t="s">
        <v>15</v>
      </c>
      <c r="E377" t="s">
        <v>746</v>
      </c>
      <c r="F377" s="3">
        <v>328008</v>
      </c>
      <c r="G377" s="2">
        <f t="shared" si="10"/>
        <v>30</v>
      </c>
      <c r="H377" s="2">
        <f t="shared" ca="1" si="11"/>
        <v>1477</v>
      </c>
      <c r="I377" s="4">
        <v>44643</v>
      </c>
      <c r="J377" s="4">
        <v>44673</v>
      </c>
      <c r="K377" t="s">
        <v>716</v>
      </c>
      <c r="L377" t="s">
        <v>18</v>
      </c>
      <c r="M377" t="s">
        <v>19</v>
      </c>
      <c r="N377" t="s">
        <v>20</v>
      </c>
      <c r="O377">
        <v>30</v>
      </c>
    </row>
    <row r="378" spans="1:15" hidden="1" x14ac:dyDescent="0.25">
      <c r="A378" t="s">
        <v>2820</v>
      </c>
      <c r="B378" t="s">
        <v>13</v>
      </c>
      <c r="C378" t="s">
        <v>14</v>
      </c>
      <c r="D378" t="s">
        <v>15</v>
      </c>
      <c r="E378" t="s">
        <v>811</v>
      </c>
      <c r="F378" s="3">
        <v>835000</v>
      </c>
      <c r="G378" s="2">
        <f t="shared" si="10"/>
        <v>30</v>
      </c>
      <c r="H378" s="2">
        <f t="shared" ca="1" si="11"/>
        <v>1477</v>
      </c>
      <c r="I378" s="4">
        <v>44643</v>
      </c>
      <c r="J378" s="4">
        <v>44673</v>
      </c>
      <c r="K378" t="s">
        <v>766</v>
      </c>
      <c r="L378" t="s">
        <v>18</v>
      </c>
      <c r="M378" t="s">
        <v>19</v>
      </c>
      <c r="N378" t="s">
        <v>20</v>
      </c>
      <c r="O378">
        <v>30</v>
      </c>
    </row>
    <row r="379" spans="1:15" hidden="1" x14ac:dyDescent="0.25">
      <c r="A379" t="s">
        <v>2820</v>
      </c>
      <c r="B379" t="s">
        <v>13</v>
      </c>
      <c r="C379" t="s">
        <v>14</v>
      </c>
      <c r="D379" t="s">
        <v>15</v>
      </c>
      <c r="E379" t="s">
        <v>253</v>
      </c>
      <c r="F379" s="3">
        <v>1244997</v>
      </c>
      <c r="G379" s="2">
        <f t="shared" si="10"/>
        <v>30</v>
      </c>
      <c r="H379" s="2">
        <f t="shared" ca="1" si="11"/>
        <v>1476</v>
      </c>
      <c r="I379" s="4">
        <v>44644</v>
      </c>
      <c r="J379" s="4">
        <v>44674</v>
      </c>
      <c r="K379" t="s">
        <v>17</v>
      </c>
      <c r="L379" t="s">
        <v>18</v>
      </c>
      <c r="M379" t="s">
        <v>19</v>
      </c>
      <c r="N379" t="s">
        <v>20</v>
      </c>
      <c r="O379">
        <v>30</v>
      </c>
    </row>
    <row r="380" spans="1:15" hidden="1" x14ac:dyDescent="0.25">
      <c r="A380" t="s">
        <v>2820</v>
      </c>
      <c r="B380" t="s">
        <v>13</v>
      </c>
      <c r="C380" t="s">
        <v>14</v>
      </c>
      <c r="D380" t="s">
        <v>15</v>
      </c>
      <c r="E380" t="s">
        <v>1032</v>
      </c>
      <c r="F380" s="3">
        <v>3986995</v>
      </c>
      <c r="G380" s="2">
        <f t="shared" si="10"/>
        <v>30</v>
      </c>
      <c r="H380" s="2">
        <f t="shared" ca="1" si="11"/>
        <v>1476</v>
      </c>
      <c r="I380" s="4">
        <v>44644</v>
      </c>
      <c r="J380" s="4">
        <v>44674</v>
      </c>
      <c r="K380" t="s">
        <v>989</v>
      </c>
      <c r="L380" t="s">
        <v>18</v>
      </c>
      <c r="M380" t="s">
        <v>19</v>
      </c>
      <c r="N380" t="s">
        <v>20</v>
      </c>
      <c r="O380">
        <v>30</v>
      </c>
    </row>
    <row r="381" spans="1:15" hidden="1" x14ac:dyDescent="0.25">
      <c r="A381" t="s">
        <v>2820</v>
      </c>
      <c r="B381" t="s">
        <v>13</v>
      </c>
      <c r="C381" t="s">
        <v>14</v>
      </c>
      <c r="D381" t="s">
        <v>15</v>
      </c>
      <c r="E381" t="s">
        <v>254</v>
      </c>
      <c r="F381" s="3">
        <v>8827204</v>
      </c>
      <c r="G381" s="2">
        <f t="shared" si="10"/>
        <v>30</v>
      </c>
      <c r="H381" s="2">
        <f t="shared" ca="1" si="11"/>
        <v>1474</v>
      </c>
      <c r="I381" s="4">
        <v>44646</v>
      </c>
      <c r="J381" s="4">
        <v>44676</v>
      </c>
      <c r="K381" t="s">
        <v>17</v>
      </c>
      <c r="L381" t="s">
        <v>18</v>
      </c>
      <c r="M381" t="s">
        <v>19</v>
      </c>
      <c r="N381" t="s">
        <v>20</v>
      </c>
      <c r="O381">
        <v>30</v>
      </c>
    </row>
    <row r="382" spans="1:15" hidden="1" x14ac:dyDescent="0.25">
      <c r="A382" t="s">
        <v>2820</v>
      </c>
      <c r="B382" t="s">
        <v>13</v>
      </c>
      <c r="C382" t="s">
        <v>14</v>
      </c>
      <c r="D382" t="s">
        <v>15</v>
      </c>
      <c r="E382" t="s">
        <v>519</v>
      </c>
      <c r="F382" s="3">
        <v>5743865</v>
      </c>
      <c r="G382" s="2">
        <f t="shared" si="10"/>
        <v>30</v>
      </c>
      <c r="H382" s="2">
        <f t="shared" ca="1" si="11"/>
        <v>1470</v>
      </c>
      <c r="I382" s="4">
        <v>44650</v>
      </c>
      <c r="J382" s="4">
        <v>44680</v>
      </c>
      <c r="K382" t="s">
        <v>343</v>
      </c>
      <c r="L382" t="s">
        <v>18</v>
      </c>
      <c r="M382" t="s">
        <v>19</v>
      </c>
      <c r="N382" t="s">
        <v>20</v>
      </c>
      <c r="O382">
        <v>30</v>
      </c>
    </row>
    <row r="383" spans="1:15" hidden="1" x14ac:dyDescent="0.25">
      <c r="A383" t="s">
        <v>2820</v>
      </c>
      <c r="B383" t="s">
        <v>13</v>
      </c>
      <c r="C383" t="s">
        <v>14</v>
      </c>
      <c r="D383" t="s">
        <v>15</v>
      </c>
      <c r="E383" t="s">
        <v>520</v>
      </c>
      <c r="F383" s="3">
        <v>2421568</v>
      </c>
      <c r="G383" s="2">
        <f t="shared" si="10"/>
        <v>30</v>
      </c>
      <c r="H383" s="2">
        <f t="shared" ca="1" si="11"/>
        <v>1470</v>
      </c>
      <c r="I383" s="4">
        <v>44650</v>
      </c>
      <c r="J383" s="4">
        <v>44680</v>
      </c>
      <c r="K383" t="s">
        <v>343</v>
      </c>
      <c r="L383" t="s">
        <v>18</v>
      </c>
      <c r="M383" t="s">
        <v>19</v>
      </c>
      <c r="N383" t="s">
        <v>20</v>
      </c>
      <c r="O383">
        <v>30</v>
      </c>
    </row>
    <row r="384" spans="1:15" hidden="1" x14ac:dyDescent="0.25">
      <c r="A384" t="s">
        <v>2820</v>
      </c>
      <c r="B384" t="s">
        <v>13</v>
      </c>
      <c r="C384" t="s">
        <v>14</v>
      </c>
      <c r="D384" t="s">
        <v>15</v>
      </c>
      <c r="E384" t="s">
        <v>521</v>
      </c>
      <c r="F384" s="3">
        <v>1635057</v>
      </c>
      <c r="G384" s="2">
        <f t="shared" si="10"/>
        <v>30</v>
      </c>
      <c r="H384" s="2">
        <f t="shared" ca="1" si="11"/>
        <v>1470</v>
      </c>
      <c r="I384" s="4">
        <v>44650</v>
      </c>
      <c r="J384" s="4">
        <v>44680</v>
      </c>
      <c r="K384" t="s">
        <v>343</v>
      </c>
      <c r="L384" t="s">
        <v>18</v>
      </c>
      <c r="M384" t="s">
        <v>19</v>
      </c>
      <c r="N384" t="s">
        <v>20</v>
      </c>
      <c r="O384">
        <v>30</v>
      </c>
    </row>
    <row r="385" spans="1:15" hidden="1" x14ac:dyDescent="0.25">
      <c r="A385" t="s">
        <v>2820</v>
      </c>
      <c r="B385" t="s">
        <v>13</v>
      </c>
      <c r="C385" t="s">
        <v>14</v>
      </c>
      <c r="D385" t="s">
        <v>15</v>
      </c>
      <c r="E385" t="s">
        <v>522</v>
      </c>
      <c r="F385" s="3">
        <v>2679563</v>
      </c>
      <c r="G385" s="2">
        <f t="shared" si="10"/>
        <v>30</v>
      </c>
      <c r="H385" s="2">
        <f t="shared" ca="1" si="11"/>
        <v>1470</v>
      </c>
      <c r="I385" s="4">
        <v>44650</v>
      </c>
      <c r="J385" s="4">
        <v>44680</v>
      </c>
      <c r="K385" t="s">
        <v>343</v>
      </c>
      <c r="L385" t="s">
        <v>18</v>
      </c>
      <c r="M385" t="s">
        <v>19</v>
      </c>
      <c r="N385" t="s">
        <v>20</v>
      </c>
      <c r="O385">
        <v>30</v>
      </c>
    </row>
    <row r="386" spans="1:15" hidden="1" x14ac:dyDescent="0.25">
      <c r="A386" t="s">
        <v>2820</v>
      </c>
      <c r="B386" t="s">
        <v>13</v>
      </c>
      <c r="C386" t="s">
        <v>14</v>
      </c>
      <c r="D386" t="s">
        <v>15</v>
      </c>
      <c r="E386" t="s">
        <v>523</v>
      </c>
      <c r="F386" s="3">
        <v>2018856</v>
      </c>
      <c r="G386" s="2">
        <f t="shared" ref="G386:G449" si="12">+J386-I386</f>
        <v>30</v>
      </c>
      <c r="H386" s="2">
        <f t="shared" ref="H386:H449" ca="1" si="13">+TODAY()-I386</f>
        <v>1470</v>
      </c>
      <c r="I386" s="4">
        <v>44650</v>
      </c>
      <c r="J386" s="4">
        <v>44680</v>
      </c>
      <c r="K386" t="s">
        <v>343</v>
      </c>
      <c r="L386" t="s">
        <v>47</v>
      </c>
      <c r="M386" t="s">
        <v>19</v>
      </c>
      <c r="N386" t="s">
        <v>20</v>
      </c>
      <c r="O386">
        <v>30</v>
      </c>
    </row>
    <row r="387" spans="1:15" hidden="1" x14ac:dyDescent="0.25">
      <c r="A387" t="s">
        <v>2820</v>
      </c>
      <c r="B387" t="s">
        <v>13</v>
      </c>
      <c r="C387" t="s">
        <v>14</v>
      </c>
      <c r="D387" t="s">
        <v>15</v>
      </c>
      <c r="E387" t="s">
        <v>344</v>
      </c>
      <c r="F387" s="3">
        <v>1219226</v>
      </c>
      <c r="G387" s="2">
        <f t="shared" si="12"/>
        <v>30</v>
      </c>
      <c r="H387" s="2">
        <f t="shared" ca="1" si="13"/>
        <v>1469</v>
      </c>
      <c r="I387" s="4">
        <v>44651</v>
      </c>
      <c r="J387" s="4">
        <v>44681</v>
      </c>
      <c r="K387" t="s">
        <v>343</v>
      </c>
      <c r="L387" t="s">
        <v>18</v>
      </c>
      <c r="M387" t="s">
        <v>19</v>
      </c>
      <c r="N387" t="s">
        <v>20</v>
      </c>
      <c r="O387">
        <v>30</v>
      </c>
    </row>
    <row r="388" spans="1:15" hidden="1" x14ac:dyDescent="0.25">
      <c r="A388" t="s">
        <v>2820</v>
      </c>
      <c r="B388" t="s">
        <v>13</v>
      </c>
      <c r="C388" t="s">
        <v>14</v>
      </c>
      <c r="D388" t="s">
        <v>15</v>
      </c>
      <c r="E388" t="s">
        <v>255</v>
      </c>
      <c r="F388" s="3">
        <v>1789950</v>
      </c>
      <c r="G388" s="2">
        <f t="shared" si="12"/>
        <v>30</v>
      </c>
      <c r="H388" s="2">
        <f t="shared" ca="1" si="13"/>
        <v>1464</v>
      </c>
      <c r="I388" s="4">
        <v>44656</v>
      </c>
      <c r="J388" s="4">
        <v>44686</v>
      </c>
      <c r="K388" t="s">
        <v>17</v>
      </c>
      <c r="L388" t="s">
        <v>47</v>
      </c>
      <c r="M388" t="s">
        <v>19</v>
      </c>
      <c r="N388" t="s">
        <v>20</v>
      </c>
      <c r="O388">
        <v>30</v>
      </c>
    </row>
    <row r="389" spans="1:15" hidden="1" x14ac:dyDescent="0.25">
      <c r="A389" t="s">
        <v>2820</v>
      </c>
      <c r="B389" t="s">
        <v>13</v>
      </c>
      <c r="C389" t="s">
        <v>14</v>
      </c>
      <c r="D389" t="s">
        <v>15</v>
      </c>
      <c r="E389" t="s">
        <v>747</v>
      </c>
      <c r="F389" s="3">
        <v>3522641</v>
      </c>
      <c r="G389" s="2">
        <f t="shared" si="12"/>
        <v>30</v>
      </c>
      <c r="H389" s="2">
        <f t="shared" ca="1" si="13"/>
        <v>1464</v>
      </c>
      <c r="I389" s="4">
        <v>44656</v>
      </c>
      <c r="J389" s="4">
        <v>44686</v>
      </c>
      <c r="K389" t="s">
        <v>716</v>
      </c>
      <c r="L389" t="s">
        <v>18</v>
      </c>
      <c r="M389" t="s">
        <v>19</v>
      </c>
      <c r="N389" t="s">
        <v>20</v>
      </c>
      <c r="O389">
        <v>30</v>
      </c>
    </row>
    <row r="390" spans="1:15" hidden="1" x14ac:dyDescent="0.25">
      <c r="A390" t="s">
        <v>2820</v>
      </c>
      <c r="B390" t="s">
        <v>13</v>
      </c>
      <c r="C390" t="s">
        <v>14</v>
      </c>
      <c r="D390" t="s">
        <v>15</v>
      </c>
      <c r="E390" t="s">
        <v>812</v>
      </c>
      <c r="F390" s="3">
        <v>4452120</v>
      </c>
      <c r="G390" s="2">
        <f t="shared" si="12"/>
        <v>30</v>
      </c>
      <c r="H390" s="2">
        <f t="shared" ca="1" si="13"/>
        <v>1464</v>
      </c>
      <c r="I390" s="4">
        <v>44656</v>
      </c>
      <c r="J390" s="4">
        <v>44686</v>
      </c>
      <c r="K390" t="s">
        <v>766</v>
      </c>
      <c r="L390" t="s">
        <v>18</v>
      </c>
      <c r="M390" t="s">
        <v>19</v>
      </c>
      <c r="N390" t="s">
        <v>20</v>
      </c>
      <c r="O390">
        <v>30</v>
      </c>
    </row>
    <row r="391" spans="1:15" hidden="1" x14ac:dyDescent="0.25">
      <c r="A391" t="s">
        <v>2820</v>
      </c>
      <c r="B391" t="s">
        <v>13</v>
      </c>
      <c r="C391" t="s">
        <v>14</v>
      </c>
      <c r="D391" t="s">
        <v>15</v>
      </c>
      <c r="E391" t="s">
        <v>813</v>
      </c>
      <c r="F391" s="3">
        <v>2792310</v>
      </c>
      <c r="G391" s="2">
        <f t="shared" si="12"/>
        <v>30</v>
      </c>
      <c r="H391" s="2">
        <f t="shared" ca="1" si="13"/>
        <v>1464</v>
      </c>
      <c r="I391" s="4">
        <v>44656</v>
      </c>
      <c r="J391" s="4">
        <v>44686</v>
      </c>
      <c r="K391" t="s">
        <v>766</v>
      </c>
      <c r="L391" t="s">
        <v>18</v>
      </c>
      <c r="M391" t="s">
        <v>19</v>
      </c>
      <c r="N391" t="s">
        <v>20</v>
      </c>
      <c r="O391">
        <v>30</v>
      </c>
    </row>
    <row r="392" spans="1:15" hidden="1" x14ac:dyDescent="0.25">
      <c r="A392" t="s">
        <v>2820</v>
      </c>
      <c r="B392" t="s">
        <v>13</v>
      </c>
      <c r="C392" t="s">
        <v>14</v>
      </c>
      <c r="D392" t="s">
        <v>15</v>
      </c>
      <c r="E392" t="s">
        <v>1033</v>
      </c>
      <c r="F392" s="3">
        <v>1207476</v>
      </c>
      <c r="G392" s="2">
        <f t="shared" si="12"/>
        <v>30</v>
      </c>
      <c r="H392" s="2">
        <f t="shared" ca="1" si="13"/>
        <v>1463</v>
      </c>
      <c r="I392" s="4">
        <v>44657</v>
      </c>
      <c r="J392" s="4">
        <v>44687</v>
      </c>
      <c r="K392" t="s">
        <v>989</v>
      </c>
      <c r="L392" t="s">
        <v>18</v>
      </c>
      <c r="M392" t="s">
        <v>19</v>
      </c>
      <c r="N392" t="s">
        <v>20</v>
      </c>
      <c r="O392">
        <v>30</v>
      </c>
    </row>
    <row r="393" spans="1:15" hidden="1" x14ac:dyDescent="0.25">
      <c r="A393" t="s">
        <v>2820</v>
      </c>
      <c r="B393" t="s">
        <v>13</v>
      </c>
      <c r="C393" t="s">
        <v>14</v>
      </c>
      <c r="D393" t="s">
        <v>15</v>
      </c>
      <c r="E393" t="s">
        <v>256</v>
      </c>
      <c r="F393" s="3">
        <v>2657984</v>
      </c>
      <c r="G393" s="2">
        <f t="shared" si="12"/>
        <v>30</v>
      </c>
      <c r="H393" s="2">
        <f t="shared" ca="1" si="13"/>
        <v>1461</v>
      </c>
      <c r="I393" s="4">
        <v>44659</v>
      </c>
      <c r="J393" s="4">
        <v>44689</v>
      </c>
      <c r="K393" t="s">
        <v>17</v>
      </c>
      <c r="L393" t="s">
        <v>18</v>
      </c>
      <c r="M393" t="s">
        <v>19</v>
      </c>
      <c r="N393" t="s">
        <v>20</v>
      </c>
      <c r="O393">
        <v>30</v>
      </c>
    </row>
    <row r="394" spans="1:15" hidden="1" x14ac:dyDescent="0.25">
      <c r="A394" t="s">
        <v>2820</v>
      </c>
      <c r="B394" t="s">
        <v>13</v>
      </c>
      <c r="C394" t="s">
        <v>14</v>
      </c>
      <c r="D394" t="s">
        <v>15</v>
      </c>
      <c r="E394" t="s">
        <v>524</v>
      </c>
      <c r="F394" s="3">
        <v>7130290</v>
      </c>
      <c r="G394" s="2">
        <f t="shared" si="12"/>
        <v>30</v>
      </c>
      <c r="H394" s="2">
        <f t="shared" ca="1" si="13"/>
        <v>1457</v>
      </c>
      <c r="I394" s="4">
        <v>44663</v>
      </c>
      <c r="J394" s="4">
        <v>44693</v>
      </c>
      <c r="K394" t="s">
        <v>343</v>
      </c>
      <c r="L394" t="s">
        <v>18</v>
      </c>
      <c r="M394" t="s">
        <v>19</v>
      </c>
      <c r="N394" t="s">
        <v>20</v>
      </c>
      <c r="O394">
        <v>30</v>
      </c>
    </row>
    <row r="395" spans="1:15" hidden="1" x14ac:dyDescent="0.25">
      <c r="A395" t="s">
        <v>2820</v>
      </c>
      <c r="B395" t="s">
        <v>13</v>
      </c>
      <c r="C395" t="s">
        <v>14</v>
      </c>
      <c r="D395" t="s">
        <v>15</v>
      </c>
      <c r="E395" t="s">
        <v>525</v>
      </c>
      <c r="F395" s="3">
        <v>4103000</v>
      </c>
      <c r="G395" s="2">
        <f t="shared" si="12"/>
        <v>30</v>
      </c>
      <c r="H395" s="2">
        <f t="shared" ca="1" si="13"/>
        <v>1457</v>
      </c>
      <c r="I395" s="4">
        <v>44663</v>
      </c>
      <c r="J395" s="4">
        <v>44693</v>
      </c>
      <c r="K395" t="s">
        <v>343</v>
      </c>
      <c r="L395" t="s">
        <v>18</v>
      </c>
      <c r="M395" t="s">
        <v>19</v>
      </c>
      <c r="N395" t="s">
        <v>20</v>
      </c>
      <c r="O395">
        <v>30</v>
      </c>
    </row>
    <row r="396" spans="1:15" hidden="1" x14ac:dyDescent="0.25">
      <c r="A396" t="s">
        <v>2820</v>
      </c>
      <c r="B396" t="s">
        <v>13</v>
      </c>
      <c r="C396" t="s">
        <v>14</v>
      </c>
      <c r="D396" t="s">
        <v>15</v>
      </c>
      <c r="E396" t="s">
        <v>526</v>
      </c>
      <c r="F396" s="3">
        <v>1763630</v>
      </c>
      <c r="G396" s="2">
        <f t="shared" si="12"/>
        <v>30</v>
      </c>
      <c r="H396" s="2">
        <f t="shared" ca="1" si="13"/>
        <v>1457</v>
      </c>
      <c r="I396" s="4">
        <v>44663</v>
      </c>
      <c r="J396" s="4">
        <v>44693</v>
      </c>
      <c r="K396" t="s">
        <v>343</v>
      </c>
      <c r="L396" t="s">
        <v>18</v>
      </c>
      <c r="M396" t="s">
        <v>19</v>
      </c>
      <c r="N396" t="s">
        <v>20</v>
      </c>
      <c r="O396">
        <v>30</v>
      </c>
    </row>
    <row r="397" spans="1:15" hidden="1" x14ac:dyDescent="0.25">
      <c r="A397" t="s">
        <v>2820</v>
      </c>
      <c r="B397" t="s">
        <v>13</v>
      </c>
      <c r="C397" t="s">
        <v>14</v>
      </c>
      <c r="D397" t="s">
        <v>15</v>
      </c>
      <c r="E397" t="s">
        <v>527</v>
      </c>
      <c r="F397" s="3">
        <v>7407652</v>
      </c>
      <c r="G397" s="2">
        <f t="shared" si="12"/>
        <v>30</v>
      </c>
      <c r="H397" s="2">
        <f t="shared" ca="1" si="13"/>
        <v>1457</v>
      </c>
      <c r="I397" s="4">
        <v>44663</v>
      </c>
      <c r="J397" s="4">
        <v>44693</v>
      </c>
      <c r="K397" t="s">
        <v>343</v>
      </c>
      <c r="L397" t="s">
        <v>18</v>
      </c>
      <c r="M397" t="s">
        <v>19</v>
      </c>
      <c r="N397" t="s">
        <v>20</v>
      </c>
      <c r="O397">
        <v>30</v>
      </c>
    </row>
    <row r="398" spans="1:15" hidden="1" x14ac:dyDescent="0.25">
      <c r="A398" t="s">
        <v>2820</v>
      </c>
      <c r="B398" t="s">
        <v>13</v>
      </c>
      <c r="C398" t="s">
        <v>14</v>
      </c>
      <c r="D398" t="s">
        <v>15</v>
      </c>
      <c r="E398" t="s">
        <v>528</v>
      </c>
      <c r="F398" s="3">
        <v>16157327</v>
      </c>
      <c r="G398" s="2">
        <f t="shared" si="12"/>
        <v>30</v>
      </c>
      <c r="H398" s="2">
        <f t="shared" ca="1" si="13"/>
        <v>1457</v>
      </c>
      <c r="I398" s="4">
        <v>44663</v>
      </c>
      <c r="J398" s="4">
        <v>44693</v>
      </c>
      <c r="K398" t="s">
        <v>343</v>
      </c>
      <c r="L398" t="s">
        <v>18</v>
      </c>
      <c r="M398" t="s">
        <v>19</v>
      </c>
      <c r="N398" t="s">
        <v>20</v>
      </c>
      <c r="O398">
        <v>30</v>
      </c>
    </row>
    <row r="399" spans="1:15" hidden="1" x14ac:dyDescent="0.25">
      <c r="A399" t="s">
        <v>2820</v>
      </c>
      <c r="B399" t="s">
        <v>13</v>
      </c>
      <c r="C399" t="s">
        <v>14</v>
      </c>
      <c r="D399" t="s">
        <v>15</v>
      </c>
      <c r="E399" t="s">
        <v>529</v>
      </c>
      <c r="F399" s="3">
        <v>1426305</v>
      </c>
      <c r="G399" s="2">
        <f t="shared" si="12"/>
        <v>30</v>
      </c>
      <c r="H399" s="2">
        <f t="shared" ca="1" si="13"/>
        <v>1457</v>
      </c>
      <c r="I399" s="4">
        <v>44663</v>
      </c>
      <c r="J399" s="4">
        <v>44693</v>
      </c>
      <c r="K399" t="s">
        <v>343</v>
      </c>
      <c r="L399" t="s">
        <v>18</v>
      </c>
      <c r="M399" t="s">
        <v>19</v>
      </c>
      <c r="N399" t="s">
        <v>20</v>
      </c>
      <c r="O399">
        <v>30</v>
      </c>
    </row>
    <row r="400" spans="1:15" hidden="1" x14ac:dyDescent="0.25">
      <c r="A400" t="s">
        <v>2820</v>
      </c>
      <c r="B400" t="s">
        <v>13</v>
      </c>
      <c r="C400" t="s">
        <v>14</v>
      </c>
      <c r="D400" t="s">
        <v>15</v>
      </c>
      <c r="E400" t="s">
        <v>257</v>
      </c>
      <c r="F400" s="3">
        <v>4767690</v>
      </c>
      <c r="G400" s="2">
        <f t="shared" si="12"/>
        <v>30</v>
      </c>
      <c r="H400" s="2">
        <f t="shared" ca="1" si="13"/>
        <v>1448</v>
      </c>
      <c r="I400" s="4">
        <v>44672</v>
      </c>
      <c r="J400" s="4">
        <v>44702</v>
      </c>
      <c r="K400" t="s">
        <v>17</v>
      </c>
      <c r="L400" t="s">
        <v>18</v>
      </c>
      <c r="M400" t="s">
        <v>19</v>
      </c>
      <c r="N400" t="s">
        <v>20</v>
      </c>
      <c r="O400">
        <v>30</v>
      </c>
    </row>
    <row r="401" spans="1:15" hidden="1" x14ac:dyDescent="0.25">
      <c r="A401" t="s">
        <v>2820</v>
      </c>
      <c r="B401" t="s">
        <v>13</v>
      </c>
      <c r="C401" t="s">
        <v>14</v>
      </c>
      <c r="D401" t="s">
        <v>15</v>
      </c>
      <c r="E401" t="s">
        <v>814</v>
      </c>
      <c r="F401" s="3">
        <v>4831594</v>
      </c>
      <c r="G401" s="2">
        <f t="shared" si="12"/>
        <v>30</v>
      </c>
      <c r="H401" s="2">
        <f t="shared" ca="1" si="13"/>
        <v>1448</v>
      </c>
      <c r="I401" s="4">
        <v>44672</v>
      </c>
      <c r="J401" s="4">
        <v>44702</v>
      </c>
      <c r="K401" t="s">
        <v>766</v>
      </c>
      <c r="L401" t="s">
        <v>18</v>
      </c>
      <c r="M401" t="s">
        <v>19</v>
      </c>
      <c r="N401" t="s">
        <v>20</v>
      </c>
      <c r="O401">
        <v>30</v>
      </c>
    </row>
    <row r="402" spans="1:15" hidden="1" x14ac:dyDescent="0.25">
      <c r="A402" t="s">
        <v>2820</v>
      </c>
      <c r="B402" t="s">
        <v>13</v>
      </c>
      <c r="C402" t="s">
        <v>14</v>
      </c>
      <c r="D402" t="s">
        <v>15</v>
      </c>
      <c r="E402" t="s">
        <v>815</v>
      </c>
      <c r="F402" s="3">
        <v>1413663</v>
      </c>
      <c r="G402" s="2">
        <f t="shared" si="12"/>
        <v>30</v>
      </c>
      <c r="H402" s="2">
        <f t="shared" ca="1" si="13"/>
        <v>1448</v>
      </c>
      <c r="I402" s="4">
        <v>44672</v>
      </c>
      <c r="J402" s="4">
        <v>44702</v>
      </c>
      <c r="K402" t="s">
        <v>766</v>
      </c>
      <c r="L402" t="s">
        <v>18</v>
      </c>
      <c r="M402" t="s">
        <v>19</v>
      </c>
      <c r="N402" t="s">
        <v>20</v>
      </c>
      <c r="O402">
        <v>30</v>
      </c>
    </row>
    <row r="403" spans="1:15" hidden="1" x14ac:dyDescent="0.25">
      <c r="A403" t="s">
        <v>2820</v>
      </c>
      <c r="B403" t="s">
        <v>13</v>
      </c>
      <c r="C403" t="s">
        <v>14</v>
      </c>
      <c r="D403" t="s">
        <v>15</v>
      </c>
      <c r="E403" t="s">
        <v>258</v>
      </c>
      <c r="F403" s="3">
        <v>3911559</v>
      </c>
      <c r="G403" s="2">
        <f t="shared" si="12"/>
        <v>30</v>
      </c>
      <c r="H403" s="2">
        <f t="shared" ca="1" si="13"/>
        <v>1446</v>
      </c>
      <c r="I403" s="4">
        <v>44674</v>
      </c>
      <c r="J403" s="4">
        <v>44704</v>
      </c>
      <c r="K403" t="s">
        <v>17</v>
      </c>
      <c r="L403" t="s">
        <v>18</v>
      </c>
      <c r="M403" t="s">
        <v>19</v>
      </c>
      <c r="N403" t="s">
        <v>20</v>
      </c>
      <c r="O403">
        <v>30</v>
      </c>
    </row>
    <row r="404" spans="1:15" hidden="1" x14ac:dyDescent="0.25">
      <c r="A404" t="s">
        <v>2820</v>
      </c>
      <c r="B404" t="s">
        <v>13</v>
      </c>
      <c r="C404" t="s">
        <v>14</v>
      </c>
      <c r="D404" t="s">
        <v>15</v>
      </c>
      <c r="E404" t="s">
        <v>259</v>
      </c>
      <c r="F404" s="3">
        <v>4469164</v>
      </c>
      <c r="G404" s="2">
        <f t="shared" si="12"/>
        <v>30</v>
      </c>
      <c r="H404" s="2">
        <f t="shared" ca="1" si="13"/>
        <v>1444</v>
      </c>
      <c r="I404" s="4">
        <v>44676</v>
      </c>
      <c r="J404" s="4">
        <v>44706</v>
      </c>
      <c r="K404" t="s">
        <v>17</v>
      </c>
      <c r="L404" t="s">
        <v>18</v>
      </c>
      <c r="M404" t="s">
        <v>19</v>
      </c>
      <c r="N404" t="s">
        <v>20</v>
      </c>
      <c r="O404">
        <v>30</v>
      </c>
    </row>
    <row r="405" spans="1:15" hidden="1" x14ac:dyDescent="0.25">
      <c r="A405" t="s">
        <v>2820</v>
      </c>
      <c r="B405" t="s">
        <v>13</v>
      </c>
      <c r="C405" t="s">
        <v>14</v>
      </c>
      <c r="D405" t="s">
        <v>15</v>
      </c>
      <c r="E405" t="s">
        <v>530</v>
      </c>
      <c r="F405" s="3">
        <v>2828011</v>
      </c>
      <c r="G405" s="2">
        <f t="shared" si="12"/>
        <v>30</v>
      </c>
      <c r="H405" s="2">
        <f t="shared" ca="1" si="13"/>
        <v>1442</v>
      </c>
      <c r="I405" s="4">
        <v>44678</v>
      </c>
      <c r="J405" s="4">
        <v>44708</v>
      </c>
      <c r="K405" t="s">
        <v>343</v>
      </c>
      <c r="L405" t="s">
        <v>18</v>
      </c>
      <c r="M405" t="s">
        <v>19</v>
      </c>
      <c r="N405" t="s">
        <v>20</v>
      </c>
      <c r="O405">
        <v>30</v>
      </c>
    </row>
    <row r="406" spans="1:15" hidden="1" x14ac:dyDescent="0.25">
      <c r="A406" t="s">
        <v>2820</v>
      </c>
      <c r="B406" t="s">
        <v>13</v>
      </c>
      <c r="C406" t="s">
        <v>14</v>
      </c>
      <c r="D406" t="s">
        <v>15</v>
      </c>
      <c r="E406" t="s">
        <v>531</v>
      </c>
      <c r="F406" s="3">
        <v>3727000</v>
      </c>
      <c r="G406" s="2">
        <f t="shared" si="12"/>
        <v>30</v>
      </c>
      <c r="H406" s="2">
        <f t="shared" ca="1" si="13"/>
        <v>1442</v>
      </c>
      <c r="I406" s="4">
        <v>44678</v>
      </c>
      <c r="J406" s="4">
        <v>44708</v>
      </c>
      <c r="K406" t="s">
        <v>343</v>
      </c>
      <c r="L406" t="s">
        <v>18</v>
      </c>
      <c r="M406" t="s">
        <v>19</v>
      </c>
      <c r="N406" t="s">
        <v>20</v>
      </c>
      <c r="O406">
        <v>30</v>
      </c>
    </row>
    <row r="407" spans="1:15" hidden="1" x14ac:dyDescent="0.25">
      <c r="A407" t="s">
        <v>2820</v>
      </c>
      <c r="B407" t="s">
        <v>13</v>
      </c>
      <c r="C407" t="s">
        <v>14</v>
      </c>
      <c r="D407" t="s">
        <v>15</v>
      </c>
      <c r="E407" t="s">
        <v>532</v>
      </c>
      <c r="F407" s="3">
        <v>4982382</v>
      </c>
      <c r="G407" s="2">
        <f t="shared" si="12"/>
        <v>30</v>
      </c>
      <c r="H407" s="2">
        <f t="shared" ca="1" si="13"/>
        <v>1442</v>
      </c>
      <c r="I407" s="4">
        <v>44678</v>
      </c>
      <c r="J407" s="4">
        <v>44708</v>
      </c>
      <c r="K407" t="s">
        <v>343</v>
      </c>
      <c r="L407" t="s">
        <v>18</v>
      </c>
      <c r="M407" t="s">
        <v>19</v>
      </c>
      <c r="N407" t="s">
        <v>20</v>
      </c>
      <c r="O407">
        <v>30</v>
      </c>
    </row>
    <row r="408" spans="1:15" hidden="1" x14ac:dyDescent="0.25">
      <c r="A408" t="s">
        <v>2820</v>
      </c>
      <c r="B408" t="s">
        <v>13</v>
      </c>
      <c r="C408" t="s">
        <v>14</v>
      </c>
      <c r="D408" t="s">
        <v>15</v>
      </c>
      <c r="E408" t="s">
        <v>533</v>
      </c>
      <c r="F408" s="3">
        <v>2319807</v>
      </c>
      <c r="G408" s="2">
        <f t="shared" si="12"/>
        <v>30</v>
      </c>
      <c r="H408" s="2">
        <f t="shared" ca="1" si="13"/>
        <v>1442</v>
      </c>
      <c r="I408" s="4">
        <v>44678</v>
      </c>
      <c r="J408" s="4">
        <v>44708</v>
      </c>
      <c r="K408" t="s">
        <v>343</v>
      </c>
      <c r="L408" t="s">
        <v>18</v>
      </c>
      <c r="M408" t="s">
        <v>19</v>
      </c>
      <c r="N408" t="s">
        <v>20</v>
      </c>
      <c r="O408">
        <v>30</v>
      </c>
    </row>
    <row r="409" spans="1:15" hidden="1" x14ac:dyDescent="0.25">
      <c r="A409" t="s">
        <v>2820</v>
      </c>
      <c r="B409" t="s">
        <v>13</v>
      </c>
      <c r="C409" t="s">
        <v>14</v>
      </c>
      <c r="D409" t="s">
        <v>15</v>
      </c>
      <c r="E409" t="s">
        <v>534</v>
      </c>
      <c r="F409" s="3">
        <v>176115</v>
      </c>
      <c r="G409" s="2">
        <f t="shared" si="12"/>
        <v>30</v>
      </c>
      <c r="H409" s="2">
        <f t="shared" ca="1" si="13"/>
        <v>1442</v>
      </c>
      <c r="I409" s="4">
        <v>44678</v>
      </c>
      <c r="J409" s="4">
        <v>44708</v>
      </c>
      <c r="K409" t="s">
        <v>343</v>
      </c>
      <c r="L409" t="s">
        <v>18</v>
      </c>
      <c r="M409" t="s">
        <v>19</v>
      </c>
      <c r="N409" t="s">
        <v>20</v>
      </c>
      <c r="O409">
        <v>30</v>
      </c>
    </row>
    <row r="410" spans="1:15" hidden="1" x14ac:dyDescent="0.25">
      <c r="A410" t="s">
        <v>2820</v>
      </c>
      <c r="B410" t="s">
        <v>13</v>
      </c>
      <c r="C410" t="s">
        <v>14</v>
      </c>
      <c r="D410" t="s">
        <v>15</v>
      </c>
      <c r="E410" t="s">
        <v>535</v>
      </c>
      <c r="F410" s="3">
        <v>206427</v>
      </c>
      <c r="G410" s="2">
        <f t="shared" si="12"/>
        <v>30</v>
      </c>
      <c r="H410" s="2">
        <f t="shared" ca="1" si="13"/>
        <v>1442</v>
      </c>
      <c r="I410" s="4">
        <v>44678</v>
      </c>
      <c r="J410" s="4">
        <v>44708</v>
      </c>
      <c r="K410" t="s">
        <v>343</v>
      </c>
      <c r="L410" t="s">
        <v>18</v>
      </c>
      <c r="M410" t="s">
        <v>19</v>
      </c>
      <c r="N410" t="s">
        <v>20</v>
      </c>
      <c r="O410">
        <v>30</v>
      </c>
    </row>
    <row r="411" spans="1:15" hidden="1" x14ac:dyDescent="0.25">
      <c r="A411" t="s">
        <v>2820</v>
      </c>
      <c r="B411" t="s">
        <v>13</v>
      </c>
      <c r="C411" t="s">
        <v>14</v>
      </c>
      <c r="D411" t="s">
        <v>15</v>
      </c>
      <c r="E411" t="s">
        <v>536</v>
      </c>
      <c r="F411" s="3">
        <v>146066</v>
      </c>
      <c r="G411" s="2">
        <f t="shared" si="12"/>
        <v>30</v>
      </c>
      <c r="H411" s="2">
        <f t="shared" ca="1" si="13"/>
        <v>1441</v>
      </c>
      <c r="I411" s="4">
        <v>44679</v>
      </c>
      <c r="J411" s="4">
        <v>44709</v>
      </c>
      <c r="K411" t="s">
        <v>343</v>
      </c>
      <c r="L411" t="s">
        <v>18</v>
      </c>
      <c r="M411" t="s">
        <v>19</v>
      </c>
      <c r="N411" t="s">
        <v>20</v>
      </c>
      <c r="O411">
        <v>30</v>
      </c>
    </row>
    <row r="412" spans="1:15" hidden="1" x14ac:dyDescent="0.25">
      <c r="A412" t="s">
        <v>2820</v>
      </c>
      <c r="B412" t="s">
        <v>13</v>
      </c>
      <c r="C412" t="s">
        <v>14</v>
      </c>
      <c r="D412" t="s">
        <v>15</v>
      </c>
      <c r="E412" t="s">
        <v>260</v>
      </c>
      <c r="F412" s="3">
        <v>24166469</v>
      </c>
      <c r="G412" s="2">
        <f t="shared" si="12"/>
        <v>30</v>
      </c>
      <c r="H412" s="2">
        <f t="shared" ca="1" si="13"/>
        <v>1440</v>
      </c>
      <c r="I412" s="4">
        <v>44680</v>
      </c>
      <c r="J412" s="4">
        <v>44710</v>
      </c>
      <c r="K412" t="s">
        <v>17</v>
      </c>
      <c r="L412" t="s">
        <v>18</v>
      </c>
      <c r="M412" t="s">
        <v>19</v>
      </c>
      <c r="N412" t="s">
        <v>20</v>
      </c>
      <c r="O412">
        <v>30</v>
      </c>
    </row>
    <row r="413" spans="1:15" hidden="1" x14ac:dyDescent="0.25">
      <c r="A413" t="s">
        <v>2820</v>
      </c>
      <c r="B413" t="s">
        <v>13</v>
      </c>
      <c r="C413" t="s">
        <v>14</v>
      </c>
      <c r="D413" t="s">
        <v>15</v>
      </c>
      <c r="E413" t="s">
        <v>816</v>
      </c>
      <c r="F413" s="3">
        <v>3079000</v>
      </c>
      <c r="G413" s="2">
        <f t="shared" si="12"/>
        <v>30</v>
      </c>
      <c r="H413" s="2">
        <f t="shared" ca="1" si="13"/>
        <v>1436</v>
      </c>
      <c r="I413" s="4">
        <v>44684</v>
      </c>
      <c r="J413" s="4">
        <v>44714</v>
      </c>
      <c r="K413" t="s">
        <v>766</v>
      </c>
      <c r="L413" t="s">
        <v>18</v>
      </c>
      <c r="M413" t="s">
        <v>19</v>
      </c>
      <c r="N413" t="s">
        <v>20</v>
      </c>
      <c r="O413">
        <v>30</v>
      </c>
    </row>
    <row r="414" spans="1:15" hidden="1" x14ac:dyDescent="0.25">
      <c r="A414" t="s">
        <v>2820</v>
      </c>
      <c r="B414" t="s">
        <v>13</v>
      </c>
      <c r="C414" t="s">
        <v>14</v>
      </c>
      <c r="D414" t="s">
        <v>15</v>
      </c>
      <c r="E414" t="s">
        <v>817</v>
      </c>
      <c r="F414" s="3">
        <v>4265882</v>
      </c>
      <c r="G414" s="2">
        <f t="shared" si="12"/>
        <v>30</v>
      </c>
      <c r="H414" s="2">
        <f t="shared" ca="1" si="13"/>
        <v>1436</v>
      </c>
      <c r="I414" s="4">
        <v>44684</v>
      </c>
      <c r="J414" s="4">
        <v>44714</v>
      </c>
      <c r="K414" t="s">
        <v>766</v>
      </c>
      <c r="L414" t="s">
        <v>18</v>
      </c>
      <c r="M414" t="s">
        <v>19</v>
      </c>
      <c r="N414" t="s">
        <v>20</v>
      </c>
      <c r="O414">
        <v>30</v>
      </c>
    </row>
    <row r="415" spans="1:15" hidden="1" x14ac:dyDescent="0.25">
      <c r="A415" t="s">
        <v>2820</v>
      </c>
      <c r="B415" t="s">
        <v>13</v>
      </c>
      <c r="C415" t="s">
        <v>14</v>
      </c>
      <c r="D415" t="s">
        <v>15</v>
      </c>
      <c r="E415" t="s">
        <v>818</v>
      </c>
      <c r="F415" s="3">
        <v>255878</v>
      </c>
      <c r="G415" s="2">
        <f t="shared" si="12"/>
        <v>30</v>
      </c>
      <c r="H415" s="2">
        <f t="shared" ca="1" si="13"/>
        <v>1436</v>
      </c>
      <c r="I415" s="4">
        <v>44684</v>
      </c>
      <c r="J415" s="4">
        <v>44714</v>
      </c>
      <c r="K415" t="s">
        <v>766</v>
      </c>
      <c r="L415" t="s">
        <v>18</v>
      </c>
      <c r="M415" t="s">
        <v>19</v>
      </c>
      <c r="N415" t="s">
        <v>20</v>
      </c>
      <c r="O415">
        <v>30</v>
      </c>
    </row>
    <row r="416" spans="1:15" hidden="1" x14ac:dyDescent="0.25">
      <c r="A416" t="s">
        <v>2820</v>
      </c>
      <c r="B416" t="s">
        <v>13</v>
      </c>
      <c r="C416" t="s">
        <v>14</v>
      </c>
      <c r="D416" t="s">
        <v>15</v>
      </c>
      <c r="E416" t="s">
        <v>1034</v>
      </c>
      <c r="F416" s="3">
        <v>5889762</v>
      </c>
      <c r="G416" s="2">
        <f t="shared" si="12"/>
        <v>30</v>
      </c>
      <c r="H416" s="2">
        <f t="shared" ca="1" si="13"/>
        <v>1435</v>
      </c>
      <c r="I416" s="4">
        <v>44685</v>
      </c>
      <c r="J416" s="4">
        <v>44715</v>
      </c>
      <c r="K416" t="s">
        <v>989</v>
      </c>
      <c r="L416" t="s">
        <v>18</v>
      </c>
      <c r="M416" t="s">
        <v>19</v>
      </c>
      <c r="N416" t="s">
        <v>20</v>
      </c>
      <c r="O416">
        <v>30</v>
      </c>
    </row>
    <row r="417" spans="1:15" hidden="1" x14ac:dyDescent="0.25">
      <c r="A417" t="s">
        <v>2820</v>
      </c>
      <c r="B417" t="s">
        <v>13</v>
      </c>
      <c r="C417" t="s">
        <v>14</v>
      </c>
      <c r="D417" t="s">
        <v>15</v>
      </c>
      <c r="E417" t="s">
        <v>261</v>
      </c>
      <c r="F417" s="3">
        <v>1296072</v>
      </c>
      <c r="G417" s="2">
        <f t="shared" si="12"/>
        <v>30</v>
      </c>
      <c r="H417" s="2">
        <f t="shared" ca="1" si="13"/>
        <v>1430</v>
      </c>
      <c r="I417" s="4">
        <v>44690</v>
      </c>
      <c r="J417" s="4">
        <v>44720</v>
      </c>
      <c r="K417" t="s">
        <v>17</v>
      </c>
      <c r="L417" t="s">
        <v>18</v>
      </c>
      <c r="M417" t="s">
        <v>19</v>
      </c>
      <c r="N417" t="s">
        <v>20</v>
      </c>
      <c r="O417">
        <v>30</v>
      </c>
    </row>
    <row r="418" spans="1:15" hidden="1" x14ac:dyDescent="0.25">
      <c r="A418" t="s">
        <v>2820</v>
      </c>
      <c r="B418" t="s">
        <v>13</v>
      </c>
      <c r="C418" t="s">
        <v>14</v>
      </c>
      <c r="D418" t="s">
        <v>15</v>
      </c>
      <c r="E418" t="s">
        <v>262</v>
      </c>
      <c r="F418" s="3">
        <v>7284068</v>
      </c>
      <c r="G418" s="2">
        <f t="shared" si="12"/>
        <v>30</v>
      </c>
      <c r="H418" s="2">
        <f t="shared" ca="1" si="13"/>
        <v>1430</v>
      </c>
      <c r="I418" s="4">
        <v>44690</v>
      </c>
      <c r="J418" s="4">
        <v>44720</v>
      </c>
      <c r="K418" t="s">
        <v>17</v>
      </c>
      <c r="L418" t="s">
        <v>18</v>
      </c>
      <c r="M418" t="s">
        <v>19</v>
      </c>
      <c r="N418" t="s">
        <v>20</v>
      </c>
      <c r="O418">
        <v>30</v>
      </c>
    </row>
    <row r="419" spans="1:15" hidden="1" x14ac:dyDescent="0.25">
      <c r="A419" t="s">
        <v>2820</v>
      </c>
      <c r="B419" t="s">
        <v>13</v>
      </c>
      <c r="C419" t="s">
        <v>14</v>
      </c>
      <c r="D419" t="s">
        <v>15</v>
      </c>
      <c r="E419" t="s">
        <v>537</v>
      </c>
      <c r="F419" s="3">
        <v>9877138</v>
      </c>
      <c r="G419" s="2">
        <f t="shared" si="12"/>
        <v>30</v>
      </c>
      <c r="H419" s="2">
        <f t="shared" ca="1" si="13"/>
        <v>1428</v>
      </c>
      <c r="I419" s="4">
        <v>44692</v>
      </c>
      <c r="J419" s="4">
        <v>44722</v>
      </c>
      <c r="K419" t="s">
        <v>343</v>
      </c>
      <c r="L419" t="s">
        <v>18</v>
      </c>
      <c r="M419" t="s">
        <v>19</v>
      </c>
      <c r="N419" t="s">
        <v>20</v>
      </c>
      <c r="O419">
        <v>30</v>
      </c>
    </row>
    <row r="420" spans="1:15" hidden="1" x14ac:dyDescent="0.25">
      <c r="A420" t="s">
        <v>2820</v>
      </c>
      <c r="B420" t="s">
        <v>13</v>
      </c>
      <c r="C420" t="s">
        <v>14</v>
      </c>
      <c r="D420" t="s">
        <v>15</v>
      </c>
      <c r="E420" t="s">
        <v>538</v>
      </c>
      <c r="F420" s="3">
        <v>2505070</v>
      </c>
      <c r="G420" s="2">
        <f t="shared" si="12"/>
        <v>30</v>
      </c>
      <c r="H420" s="2">
        <f t="shared" ca="1" si="13"/>
        <v>1428</v>
      </c>
      <c r="I420" s="4">
        <v>44692</v>
      </c>
      <c r="J420" s="4">
        <v>44722</v>
      </c>
      <c r="K420" t="s">
        <v>343</v>
      </c>
      <c r="L420" t="s">
        <v>18</v>
      </c>
      <c r="M420" t="s">
        <v>19</v>
      </c>
      <c r="N420" t="s">
        <v>20</v>
      </c>
      <c r="O420">
        <v>30</v>
      </c>
    </row>
    <row r="421" spans="1:15" hidden="1" x14ac:dyDescent="0.25">
      <c r="A421" t="s">
        <v>2820</v>
      </c>
      <c r="B421" t="s">
        <v>13</v>
      </c>
      <c r="C421" t="s">
        <v>14</v>
      </c>
      <c r="D421" t="s">
        <v>15</v>
      </c>
      <c r="E421" t="s">
        <v>539</v>
      </c>
      <c r="F421" s="3">
        <v>5259291</v>
      </c>
      <c r="G421" s="2">
        <f t="shared" si="12"/>
        <v>30</v>
      </c>
      <c r="H421" s="2">
        <f t="shared" ca="1" si="13"/>
        <v>1428</v>
      </c>
      <c r="I421" s="4">
        <v>44692</v>
      </c>
      <c r="J421" s="4">
        <v>44722</v>
      </c>
      <c r="K421" t="s">
        <v>343</v>
      </c>
      <c r="L421" t="s">
        <v>18</v>
      </c>
      <c r="M421" t="s">
        <v>19</v>
      </c>
      <c r="N421" t="s">
        <v>20</v>
      </c>
      <c r="O421">
        <v>30</v>
      </c>
    </row>
    <row r="422" spans="1:15" hidden="1" x14ac:dyDescent="0.25">
      <c r="A422" t="s">
        <v>2820</v>
      </c>
      <c r="B422" t="s">
        <v>13</v>
      </c>
      <c r="C422" t="s">
        <v>14</v>
      </c>
      <c r="D422" t="s">
        <v>15</v>
      </c>
      <c r="E422" t="s">
        <v>540</v>
      </c>
      <c r="F422" s="3">
        <v>2395473</v>
      </c>
      <c r="G422" s="2">
        <f t="shared" si="12"/>
        <v>30</v>
      </c>
      <c r="H422" s="2">
        <f t="shared" ca="1" si="13"/>
        <v>1428</v>
      </c>
      <c r="I422" s="4">
        <v>44692</v>
      </c>
      <c r="J422" s="4">
        <v>44722</v>
      </c>
      <c r="K422" t="s">
        <v>343</v>
      </c>
      <c r="L422" t="s">
        <v>18</v>
      </c>
      <c r="M422" t="s">
        <v>19</v>
      </c>
      <c r="N422" t="s">
        <v>20</v>
      </c>
      <c r="O422">
        <v>30</v>
      </c>
    </row>
    <row r="423" spans="1:15" hidden="1" x14ac:dyDescent="0.25">
      <c r="A423" t="s">
        <v>2820</v>
      </c>
      <c r="B423" t="s">
        <v>13</v>
      </c>
      <c r="C423" t="s">
        <v>14</v>
      </c>
      <c r="D423" t="s">
        <v>15</v>
      </c>
      <c r="E423" t="s">
        <v>541</v>
      </c>
      <c r="F423" s="3">
        <v>1619948</v>
      </c>
      <c r="G423" s="2">
        <f t="shared" si="12"/>
        <v>30</v>
      </c>
      <c r="H423" s="2">
        <f t="shared" ca="1" si="13"/>
        <v>1428</v>
      </c>
      <c r="I423" s="4">
        <v>44692</v>
      </c>
      <c r="J423" s="4">
        <v>44722</v>
      </c>
      <c r="K423" t="s">
        <v>343</v>
      </c>
      <c r="L423" t="s">
        <v>47</v>
      </c>
      <c r="M423" t="s">
        <v>19</v>
      </c>
      <c r="N423" t="s">
        <v>20</v>
      </c>
      <c r="O423">
        <v>30</v>
      </c>
    </row>
    <row r="424" spans="1:15" hidden="1" x14ac:dyDescent="0.25">
      <c r="A424" t="s">
        <v>2820</v>
      </c>
      <c r="B424" t="s">
        <v>13</v>
      </c>
      <c r="C424" t="s">
        <v>14</v>
      </c>
      <c r="D424" t="s">
        <v>15</v>
      </c>
      <c r="E424" t="s">
        <v>542</v>
      </c>
      <c r="F424" s="3">
        <v>708396</v>
      </c>
      <c r="G424" s="2">
        <f t="shared" si="12"/>
        <v>30</v>
      </c>
      <c r="H424" s="2">
        <f t="shared" ca="1" si="13"/>
        <v>1428</v>
      </c>
      <c r="I424" s="4">
        <v>44692</v>
      </c>
      <c r="J424" s="4">
        <v>44722</v>
      </c>
      <c r="K424" t="s">
        <v>343</v>
      </c>
      <c r="L424" t="s">
        <v>18</v>
      </c>
      <c r="M424" t="s">
        <v>19</v>
      </c>
      <c r="N424" t="s">
        <v>20</v>
      </c>
      <c r="O424">
        <v>30</v>
      </c>
    </row>
    <row r="425" spans="1:15" hidden="1" x14ac:dyDescent="0.25">
      <c r="A425" t="s">
        <v>2820</v>
      </c>
      <c r="B425" t="s">
        <v>13</v>
      </c>
      <c r="C425" t="s">
        <v>14</v>
      </c>
      <c r="D425" t="s">
        <v>15</v>
      </c>
      <c r="E425" t="s">
        <v>263</v>
      </c>
      <c r="F425" s="3">
        <v>10646908</v>
      </c>
      <c r="G425" s="2">
        <f t="shared" si="12"/>
        <v>30</v>
      </c>
      <c r="H425" s="2">
        <f t="shared" ca="1" si="13"/>
        <v>1427</v>
      </c>
      <c r="I425" s="4">
        <v>44693</v>
      </c>
      <c r="J425" s="4">
        <v>44723</v>
      </c>
      <c r="K425" t="s">
        <v>17</v>
      </c>
      <c r="L425" t="s">
        <v>18</v>
      </c>
      <c r="M425" t="s">
        <v>19</v>
      </c>
      <c r="N425" t="s">
        <v>20</v>
      </c>
      <c r="O425">
        <v>30</v>
      </c>
    </row>
    <row r="426" spans="1:15" hidden="1" x14ac:dyDescent="0.25">
      <c r="A426" t="s">
        <v>2820</v>
      </c>
      <c r="B426" t="s">
        <v>13</v>
      </c>
      <c r="C426" t="s">
        <v>14</v>
      </c>
      <c r="D426" t="s">
        <v>15</v>
      </c>
      <c r="E426" t="s">
        <v>264</v>
      </c>
      <c r="F426" s="3">
        <v>61461600</v>
      </c>
      <c r="G426" s="2">
        <f t="shared" si="12"/>
        <v>30</v>
      </c>
      <c r="H426" s="2">
        <f t="shared" ca="1" si="13"/>
        <v>1427</v>
      </c>
      <c r="I426" s="4">
        <v>44693</v>
      </c>
      <c r="J426" s="4">
        <v>44723</v>
      </c>
      <c r="K426" t="s">
        <v>17</v>
      </c>
      <c r="L426" t="s">
        <v>18</v>
      </c>
      <c r="M426" t="s">
        <v>19</v>
      </c>
      <c r="N426" t="s">
        <v>20</v>
      </c>
      <c r="O426">
        <v>30</v>
      </c>
    </row>
    <row r="427" spans="1:15" hidden="1" x14ac:dyDescent="0.25">
      <c r="A427" t="s">
        <v>2820</v>
      </c>
      <c r="B427" t="s">
        <v>13</v>
      </c>
      <c r="C427" t="s">
        <v>14</v>
      </c>
      <c r="D427" t="s">
        <v>15</v>
      </c>
      <c r="E427" t="s">
        <v>543</v>
      </c>
      <c r="F427" s="3">
        <v>4519000</v>
      </c>
      <c r="G427" s="2">
        <f t="shared" si="12"/>
        <v>30</v>
      </c>
      <c r="H427" s="2">
        <f t="shared" ca="1" si="13"/>
        <v>1425</v>
      </c>
      <c r="I427" s="4">
        <v>44695</v>
      </c>
      <c r="J427" s="4">
        <v>44725</v>
      </c>
      <c r="K427" t="s">
        <v>343</v>
      </c>
      <c r="L427" t="s">
        <v>18</v>
      </c>
      <c r="M427" t="s">
        <v>19</v>
      </c>
      <c r="N427" t="s">
        <v>20</v>
      </c>
      <c r="O427">
        <v>30</v>
      </c>
    </row>
    <row r="428" spans="1:15" hidden="1" x14ac:dyDescent="0.25">
      <c r="A428" t="s">
        <v>2820</v>
      </c>
      <c r="B428" t="s">
        <v>13</v>
      </c>
      <c r="C428" t="s">
        <v>14</v>
      </c>
      <c r="D428" t="s">
        <v>15</v>
      </c>
      <c r="E428" t="s">
        <v>265</v>
      </c>
      <c r="F428" s="3">
        <v>589410</v>
      </c>
      <c r="G428" s="2">
        <f t="shared" si="12"/>
        <v>30</v>
      </c>
      <c r="H428" s="2">
        <f t="shared" ca="1" si="13"/>
        <v>1423</v>
      </c>
      <c r="I428" s="4">
        <v>44697</v>
      </c>
      <c r="J428" s="4">
        <v>44727</v>
      </c>
      <c r="K428" t="s">
        <v>17</v>
      </c>
      <c r="L428" t="s">
        <v>18</v>
      </c>
      <c r="M428" t="s">
        <v>19</v>
      </c>
      <c r="N428" t="s">
        <v>20</v>
      </c>
      <c r="O428">
        <v>30</v>
      </c>
    </row>
    <row r="429" spans="1:15" hidden="1" x14ac:dyDescent="0.25">
      <c r="A429" t="s">
        <v>2820</v>
      </c>
      <c r="B429" t="s">
        <v>13</v>
      </c>
      <c r="C429" t="s">
        <v>14</v>
      </c>
      <c r="D429" t="s">
        <v>15</v>
      </c>
      <c r="E429" t="s">
        <v>544</v>
      </c>
      <c r="F429" s="3">
        <v>6582576</v>
      </c>
      <c r="G429" s="2">
        <f t="shared" si="12"/>
        <v>30</v>
      </c>
      <c r="H429" s="2">
        <f t="shared" ca="1" si="13"/>
        <v>1422</v>
      </c>
      <c r="I429" s="4">
        <v>44698</v>
      </c>
      <c r="J429" s="4">
        <v>44728</v>
      </c>
      <c r="K429" t="s">
        <v>343</v>
      </c>
      <c r="L429" t="s">
        <v>18</v>
      </c>
      <c r="M429" t="s">
        <v>19</v>
      </c>
      <c r="N429" t="s">
        <v>20</v>
      </c>
      <c r="O429">
        <v>30</v>
      </c>
    </row>
    <row r="430" spans="1:15" hidden="1" x14ac:dyDescent="0.25">
      <c r="A430" t="s">
        <v>2820</v>
      </c>
      <c r="B430" t="s">
        <v>13</v>
      </c>
      <c r="C430" t="s">
        <v>14</v>
      </c>
      <c r="D430" t="s">
        <v>15</v>
      </c>
      <c r="E430" t="s">
        <v>819</v>
      </c>
      <c r="F430" s="3">
        <v>489705</v>
      </c>
      <c r="G430" s="2">
        <f t="shared" si="12"/>
        <v>30</v>
      </c>
      <c r="H430" s="2">
        <f t="shared" ca="1" si="13"/>
        <v>1422</v>
      </c>
      <c r="I430" s="4">
        <v>44698</v>
      </c>
      <c r="J430" s="4">
        <v>44728</v>
      </c>
      <c r="K430" t="s">
        <v>766</v>
      </c>
      <c r="L430" t="s">
        <v>18</v>
      </c>
      <c r="M430" t="s">
        <v>19</v>
      </c>
      <c r="N430" t="s">
        <v>20</v>
      </c>
      <c r="O430">
        <v>30</v>
      </c>
    </row>
    <row r="431" spans="1:15" hidden="1" x14ac:dyDescent="0.25">
      <c r="A431" t="s">
        <v>2820</v>
      </c>
      <c r="B431" t="s">
        <v>13</v>
      </c>
      <c r="C431" t="s">
        <v>14</v>
      </c>
      <c r="D431" t="s">
        <v>15</v>
      </c>
      <c r="E431" t="s">
        <v>266</v>
      </c>
      <c r="F431" s="3">
        <v>7730988</v>
      </c>
      <c r="G431" s="2">
        <f t="shared" si="12"/>
        <v>30</v>
      </c>
      <c r="H431" s="2">
        <f t="shared" ca="1" si="13"/>
        <v>1421</v>
      </c>
      <c r="I431" s="4">
        <v>44699</v>
      </c>
      <c r="J431" s="4">
        <v>44729</v>
      </c>
      <c r="K431" t="s">
        <v>17</v>
      </c>
      <c r="L431" t="s">
        <v>18</v>
      </c>
      <c r="M431" t="s">
        <v>19</v>
      </c>
      <c r="N431" t="s">
        <v>20</v>
      </c>
      <c r="O431">
        <v>30</v>
      </c>
    </row>
    <row r="432" spans="1:15" hidden="1" x14ac:dyDescent="0.25">
      <c r="A432" t="s">
        <v>2820</v>
      </c>
      <c r="B432" t="s">
        <v>13</v>
      </c>
      <c r="C432" t="s">
        <v>14</v>
      </c>
      <c r="D432" t="s">
        <v>15</v>
      </c>
      <c r="E432" t="s">
        <v>748</v>
      </c>
      <c r="F432" s="3">
        <v>2097361</v>
      </c>
      <c r="G432" s="2">
        <f t="shared" si="12"/>
        <v>30</v>
      </c>
      <c r="H432" s="2">
        <f t="shared" ca="1" si="13"/>
        <v>1420</v>
      </c>
      <c r="I432" s="4">
        <v>44700</v>
      </c>
      <c r="J432" s="4">
        <v>44730</v>
      </c>
      <c r="K432" t="s">
        <v>716</v>
      </c>
      <c r="L432" t="s">
        <v>18</v>
      </c>
      <c r="M432" t="s">
        <v>19</v>
      </c>
      <c r="N432" t="s">
        <v>20</v>
      </c>
      <c r="O432">
        <v>30</v>
      </c>
    </row>
    <row r="433" spans="1:15" hidden="1" x14ac:dyDescent="0.25">
      <c r="A433" t="s">
        <v>2820</v>
      </c>
      <c r="B433" t="s">
        <v>13</v>
      </c>
      <c r="C433" t="s">
        <v>14</v>
      </c>
      <c r="D433" t="s">
        <v>15</v>
      </c>
      <c r="E433" t="s">
        <v>267</v>
      </c>
      <c r="F433" s="3">
        <v>10340000</v>
      </c>
      <c r="G433" s="2">
        <f t="shared" si="12"/>
        <v>30</v>
      </c>
      <c r="H433" s="2">
        <f t="shared" ca="1" si="13"/>
        <v>1419</v>
      </c>
      <c r="I433" s="4">
        <v>44701</v>
      </c>
      <c r="J433" s="4">
        <v>44731</v>
      </c>
      <c r="K433" t="s">
        <v>17</v>
      </c>
      <c r="L433" t="s">
        <v>18</v>
      </c>
      <c r="M433" t="s">
        <v>19</v>
      </c>
      <c r="N433" t="s">
        <v>20</v>
      </c>
      <c r="O433">
        <v>30</v>
      </c>
    </row>
    <row r="434" spans="1:15" hidden="1" x14ac:dyDescent="0.25">
      <c r="A434" t="s">
        <v>2820</v>
      </c>
      <c r="B434" t="s">
        <v>13</v>
      </c>
      <c r="C434" t="s">
        <v>14</v>
      </c>
      <c r="D434" t="s">
        <v>15</v>
      </c>
      <c r="E434" t="s">
        <v>268</v>
      </c>
      <c r="F434" s="3">
        <v>7632000</v>
      </c>
      <c r="G434" s="2">
        <f t="shared" si="12"/>
        <v>30</v>
      </c>
      <c r="H434" s="2">
        <f t="shared" ca="1" si="13"/>
        <v>1419</v>
      </c>
      <c r="I434" s="4">
        <v>44701</v>
      </c>
      <c r="J434" s="4">
        <v>44731</v>
      </c>
      <c r="K434" t="s">
        <v>17</v>
      </c>
      <c r="L434" t="s">
        <v>18</v>
      </c>
      <c r="M434" t="s">
        <v>19</v>
      </c>
      <c r="N434" t="s">
        <v>20</v>
      </c>
      <c r="O434">
        <v>30</v>
      </c>
    </row>
    <row r="435" spans="1:15" hidden="1" x14ac:dyDescent="0.25">
      <c r="A435" t="s">
        <v>2820</v>
      </c>
      <c r="B435" t="s">
        <v>13</v>
      </c>
      <c r="C435" t="s">
        <v>14</v>
      </c>
      <c r="D435" t="s">
        <v>15</v>
      </c>
      <c r="E435" t="s">
        <v>1035</v>
      </c>
      <c r="F435" s="3">
        <v>1812484</v>
      </c>
      <c r="G435" s="2">
        <f t="shared" si="12"/>
        <v>30</v>
      </c>
      <c r="H435" s="2">
        <f t="shared" ca="1" si="13"/>
        <v>1419</v>
      </c>
      <c r="I435" s="4">
        <v>44701</v>
      </c>
      <c r="J435" s="4">
        <v>44731</v>
      </c>
      <c r="K435" t="s">
        <v>989</v>
      </c>
      <c r="L435" t="s">
        <v>18</v>
      </c>
      <c r="M435" t="s">
        <v>19</v>
      </c>
      <c r="N435" t="s">
        <v>20</v>
      </c>
      <c r="O435">
        <v>30</v>
      </c>
    </row>
    <row r="436" spans="1:15" hidden="1" x14ac:dyDescent="0.25">
      <c r="A436" t="s">
        <v>2820</v>
      </c>
      <c r="B436" t="s">
        <v>13</v>
      </c>
      <c r="C436" t="s">
        <v>14</v>
      </c>
      <c r="D436" t="s">
        <v>15</v>
      </c>
      <c r="E436" t="s">
        <v>269</v>
      </c>
      <c r="F436" s="3">
        <v>5458838</v>
      </c>
      <c r="G436" s="2">
        <f t="shared" si="12"/>
        <v>30</v>
      </c>
      <c r="H436" s="2">
        <f t="shared" ca="1" si="13"/>
        <v>1418</v>
      </c>
      <c r="I436" s="4">
        <v>44702</v>
      </c>
      <c r="J436" s="4">
        <v>44732</v>
      </c>
      <c r="K436" t="s">
        <v>17</v>
      </c>
      <c r="L436" t="s">
        <v>18</v>
      </c>
      <c r="M436" t="s">
        <v>19</v>
      </c>
      <c r="N436" t="s">
        <v>20</v>
      </c>
      <c r="O436">
        <v>30</v>
      </c>
    </row>
    <row r="437" spans="1:15" hidden="1" x14ac:dyDescent="0.25">
      <c r="A437" t="s">
        <v>2820</v>
      </c>
      <c r="B437" t="s">
        <v>13</v>
      </c>
      <c r="C437" t="s">
        <v>14</v>
      </c>
      <c r="D437" t="s">
        <v>15</v>
      </c>
      <c r="E437" t="s">
        <v>545</v>
      </c>
      <c r="F437" s="3">
        <v>4835925</v>
      </c>
      <c r="G437" s="2">
        <f t="shared" si="12"/>
        <v>30</v>
      </c>
      <c r="H437" s="2">
        <f t="shared" ca="1" si="13"/>
        <v>1415</v>
      </c>
      <c r="I437" s="4">
        <v>44705</v>
      </c>
      <c r="J437" s="4">
        <v>44735</v>
      </c>
      <c r="K437" t="s">
        <v>343</v>
      </c>
      <c r="L437" t="s">
        <v>18</v>
      </c>
      <c r="M437" t="s">
        <v>19</v>
      </c>
      <c r="N437" t="s">
        <v>20</v>
      </c>
      <c r="O437">
        <v>30</v>
      </c>
    </row>
    <row r="438" spans="1:15" hidden="1" x14ac:dyDescent="0.25">
      <c r="A438" t="s">
        <v>2820</v>
      </c>
      <c r="B438" t="s">
        <v>13</v>
      </c>
      <c r="C438" t="s">
        <v>14</v>
      </c>
      <c r="D438" t="s">
        <v>15</v>
      </c>
      <c r="E438" t="s">
        <v>546</v>
      </c>
      <c r="F438" s="3">
        <v>2681000</v>
      </c>
      <c r="G438" s="2">
        <f t="shared" si="12"/>
        <v>30</v>
      </c>
      <c r="H438" s="2">
        <f t="shared" ca="1" si="13"/>
        <v>1415</v>
      </c>
      <c r="I438" s="4">
        <v>44705</v>
      </c>
      <c r="J438" s="4">
        <v>44735</v>
      </c>
      <c r="K438" t="s">
        <v>343</v>
      </c>
      <c r="L438" t="s">
        <v>18</v>
      </c>
      <c r="M438" t="s">
        <v>19</v>
      </c>
      <c r="N438" t="s">
        <v>20</v>
      </c>
      <c r="O438">
        <v>30</v>
      </c>
    </row>
    <row r="439" spans="1:15" hidden="1" x14ac:dyDescent="0.25">
      <c r="A439" t="s">
        <v>2820</v>
      </c>
      <c r="B439" t="s">
        <v>13</v>
      </c>
      <c r="C439" t="s">
        <v>14</v>
      </c>
      <c r="D439" t="s">
        <v>15</v>
      </c>
      <c r="E439" t="s">
        <v>547</v>
      </c>
      <c r="F439" s="3">
        <v>4235227</v>
      </c>
      <c r="G439" s="2">
        <f t="shared" si="12"/>
        <v>30</v>
      </c>
      <c r="H439" s="2">
        <f t="shared" ca="1" si="13"/>
        <v>1415</v>
      </c>
      <c r="I439" s="4">
        <v>44705</v>
      </c>
      <c r="J439" s="4">
        <v>44735</v>
      </c>
      <c r="K439" t="s">
        <v>343</v>
      </c>
      <c r="L439" t="s">
        <v>18</v>
      </c>
      <c r="M439" t="s">
        <v>19</v>
      </c>
      <c r="N439" t="s">
        <v>20</v>
      </c>
      <c r="O439">
        <v>30</v>
      </c>
    </row>
    <row r="440" spans="1:15" hidden="1" x14ac:dyDescent="0.25">
      <c r="A440" t="s">
        <v>2820</v>
      </c>
      <c r="B440" t="s">
        <v>13</v>
      </c>
      <c r="C440" t="s">
        <v>14</v>
      </c>
      <c r="D440" t="s">
        <v>15</v>
      </c>
      <c r="E440" t="s">
        <v>548</v>
      </c>
      <c r="F440" s="3">
        <v>1488252</v>
      </c>
      <c r="G440" s="2">
        <f t="shared" si="12"/>
        <v>30</v>
      </c>
      <c r="H440" s="2">
        <f t="shared" ca="1" si="13"/>
        <v>1415</v>
      </c>
      <c r="I440" s="4">
        <v>44705</v>
      </c>
      <c r="J440" s="4">
        <v>44735</v>
      </c>
      <c r="K440" t="s">
        <v>343</v>
      </c>
      <c r="L440" t="s">
        <v>18</v>
      </c>
      <c r="M440" t="s">
        <v>19</v>
      </c>
      <c r="N440" t="s">
        <v>20</v>
      </c>
      <c r="O440">
        <v>30</v>
      </c>
    </row>
    <row r="441" spans="1:15" hidden="1" x14ac:dyDescent="0.25">
      <c r="A441" t="s">
        <v>2820</v>
      </c>
      <c r="B441" t="s">
        <v>13</v>
      </c>
      <c r="C441" t="s">
        <v>14</v>
      </c>
      <c r="D441" t="s">
        <v>15</v>
      </c>
      <c r="E441" t="s">
        <v>549</v>
      </c>
      <c r="F441" s="3">
        <v>1069834</v>
      </c>
      <c r="G441" s="2">
        <f t="shared" si="12"/>
        <v>30</v>
      </c>
      <c r="H441" s="2">
        <f t="shared" ca="1" si="13"/>
        <v>1415</v>
      </c>
      <c r="I441" s="4">
        <v>44705</v>
      </c>
      <c r="J441" s="4">
        <v>44735</v>
      </c>
      <c r="K441" t="s">
        <v>343</v>
      </c>
      <c r="L441" t="s">
        <v>18</v>
      </c>
      <c r="M441" t="s">
        <v>19</v>
      </c>
      <c r="N441" t="s">
        <v>20</v>
      </c>
      <c r="O441">
        <v>30</v>
      </c>
    </row>
    <row r="442" spans="1:15" hidden="1" x14ac:dyDescent="0.25">
      <c r="A442" t="s">
        <v>2820</v>
      </c>
      <c r="B442" t="s">
        <v>13</v>
      </c>
      <c r="C442" t="s">
        <v>14</v>
      </c>
      <c r="D442" t="s">
        <v>15</v>
      </c>
      <c r="E442" t="s">
        <v>270</v>
      </c>
      <c r="F442" s="3">
        <v>1062075</v>
      </c>
      <c r="G442" s="2">
        <f t="shared" si="12"/>
        <v>30</v>
      </c>
      <c r="H442" s="2">
        <f t="shared" ca="1" si="13"/>
        <v>1414</v>
      </c>
      <c r="I442" s="4">
        <v>44706</v>
      </c>
      <c r="J442" s="4">
        <v>44736</v>
      </c>
      <c r="K442" t="s">
        <v>17</v>
      </c>
      <c r="L442" t="s">
        <v>18</v>
      </c>
      <c r="M442" t="s">
        <v>19</v>
      </c>
      <c r="N442" t="s">
        <v>20</v>
      </c>
      <c r="O442">
        <v>30</v>
      </c>
    </row>
    <row r="443" spans="1:15" hidden="1" x14ac:dyDescent="0.25">
      <c r="A443" t="s">
        <v>2820</v>
      </c>
      <c r="B443" t="s">
        <v>13</v>
      </c>
      <c r="C443" t="s">
        <v>14</v>
      </c>
      <c r="D443" t="s">
        <v>15</v>
      </c>
      <c r="E443" t="s">
        <v>271</v>
      </c>
      <c r="F443" s="3">
        <v>1180442</v>
      </c>
      <c r="G443" s="2">
        <f t="shared" si="12"/>
        <v>30</v>
      </c>
      <c r="H443" s="2">
        <f t="shared" ca="1" si="13"/>
        <v>1408</v>
      </c>
      <c r="I443" s="4">
        <v>44712</v>
      </c>
      <c r="J443" s="4">
        <v>44742</v>
      </c>
      <c r="K443" t="s">
        <v>17</v>
      </c>
      <c r="L443" t="s">
        <v>18</v>
      </c>
      <c r="M443" t="s">
        <v>19</v>
      </c>
      <c r="N443" t="s">
        <v>20</v>
      </c>
      <c r="O443">
        <v>30</v>
      </c>
    </row>
    <row r="444" spans="1:15" hidden="1" x14ac:dyDescent="0.25">
      <c r="A444" t="s">
        <v>2820</v>
      </c>
      <c r="B444" t="s">
        <v>13</v>
      </c>
      <c r="C444" t="s">
        <v>14</v>
      </c>
      <c r="D444" t="s">
        <v>15</v>
      </c>
      <c r="E444" t="s">
        <v>272</v>
      </c>
      <c r="F444" s="3">
        <v>3824608</v>
      </c>
      <c r="G444" s="2">
        <f t="shared" si="12"/>
        <v>30</v>
      </c>
      <c r="H444" s="2">
        <f t="shared" ca="1" si="13"/>
        <v>1406</v>
      </c>
      <c r="I444" s="4">
        <v>44714</v>
      </c>
      <c r="J444" s="4">
        <v>44744</v>
      </c>
      <c r="K444" t="s">
        <v>17</v>
      </c>
      <c r="L444" t="s">
        <v>18</v>
      </c>
      <c r="M444" t="s">
        <v>19</v>
      </c>
      <c r="N444" t="s">
        <v>20</v>
      </c>
      <c r="O444">
        <v>30</v>
      </c>
    </row>
    <row r="445" spans="1:15" hidden="1" x14ac:dyDescent="0.25">
      <c r="A445" t="s">
        <v>2820</v>
      </c>
      <c r="B445" t="s">
        <v>13</v>
      </c>
      <c r="C445" t="s">
        <v>14</v>
      </c>
      <c r="D445" t="s">
        <v>15</v>
      </c>
      <c r="E445" t="s">
        <v>1036</v>
      </c>
      <c r="F445" s="3">
        <v>843000</v>
      </c>
      <c r="G445" s="2">
        <f t="shared" si="12"/>
        <v>30</v>
      </c>
      <c r="H445" s="2">
        <f t="shared" ca="1" si="13"/>
        <v>1406</v>
      </c>
      <c r="I445" s="4">
        <v>44714</v>
      </c>
      <c r="J445" s="4">
        <v>44744</v>
      </c>
      <c r="K445" t="s">
        <v>989</v>
      </c>
      <c r="L445" t="s">
        <v>18</v>
      </c>
      <c r="M445" t="s">
        <v>19</v>
      </c>
      <c r="N445" t="s">
        <v>20</v>
      </c>
      <c r="O445">
        <v>30</v>
      </c>
    </row>
    <row r="446" spans="1:15" hidden="1" x14ac:dyDescent="0.25">
      <c r="A446" t="s">
        <v>2820</v>
      </c>
      <c r="B446" t="s">
        <v>13</v>
      </c>
      <c r="C446" t="s">
        <v>14</v>
      </c>
      <c r="D446" t="s">
        <v>15</v>
      </c>
      <c r="E446" t="s">
        <v>273</v>
      </c>
      <c r="F446" s="3">
        <v>6735577</v>
      </c>
      <c r="G446" s="2">
        <f t="shared" si="12"/>
        <v>30</v>
      </c>
      <c r="H446" s="2">
        <f t="shared" ca="1" si="13"/>
        <v>1404</v>
      </c>
      <c r="I446" s="4">
        <v>44716</v>
      </c>
      <c r="J446" s="4">
        <v>44746</v>
      </c>
      <c r="K446" t="s">
        <v>17</v>
      </c>
      <c r="L446" t="s">
        <v>18</v>
      </c>
      <c r="M446" t="s">
        <v>19</v>
      </c>
      <c r="N446" t="s">
        <v>20</v>
      </c>
      <c r="O446">
        <v>30</v>
      </c>
    </row>
    <row r="447" spans="1:15" hidden="1" x14ac:dyDescent="0.25">
      <c r="A447" t="s">
        <v>2820</v>
      </c>
      <c r="B447" t="s">
        <v>13</v>
      </c>
      <c r="C447" t="s">
        <v>14</v>
      </c>
      <c r="D447" t="s">
        <v>15</v>
      </c>
      <c r="E447" t="s">
        <v>550</v>
      </c>
      <c r="F447" s="3">
        <v>6525618</v>
      </c>
      <c r="G447" s="2">
        <f t="shared" si="12"/>
        <v>30</v>
      </c>
      <c r="H447" s="2">
        <f t="shared" ca="1" si="13"/>
        <v>1401</v>
      </c>
      <c r="I447" s="4">
        <v>44719</v>
      </c>
      <c r="J447" s="4">
        <v>44749</v>
      </c>
      <c r="K447" t="s">
        <v>343</v>
      </c>
      <c r="L447" t="s">
        <v>18</v>
      </c>
      <c r="M447" t="s">
        <v>19</v>
      </c>
      <c r="N447" t="s">
        <v>20</v>
      </c>
      <c r="O447">
        <v>30</v>
      </c>
    </row>
    <row r="448" spans="1:15" hidden="1" x14ac:dyDescent="0.25">
      <c r="A448" t="s">
        <v>2820</v>
      </c>
      <c r="B448" t="s">
        <v>13</v>
      </c>
      <c r="C448" t="s">
        <v>14</v>
      </c>
      <c r="D448" t="s">
        <v>15</v>
      </c>
      <c r="E448" t="s">
        <v>551</v>
      </c>
      <c r="F448" s="3">
        <v>3921200</v>
      </c>
      <c r="G448" s="2">
        <f t="shared" si="12"/>
        <v>30</v>
      </c>
      <c r="H448" s="2">
        <f t="shared" ca="1" si="13"/>
        <v>1401</v>
      </c>
      <c r="I448" s="4">
        <v>44719</v>
      </c>
      <c r="J448" s="4">
        <v>44749</v>
      </c>
      <c r="K448" t="s">
        <v>343</v>
      </c>
      <c r="L448" t="s">
        <v>18</v>
      </c>
      <c r="M448" t="s">
        <v>19</v>
      </c>
      <c r="N448" t="s">
        <v>20</v>
      </c>
      <c r="O448">
        <v>30</v>
      </c>
    </row>
    <row r="449" spans="1:15" hidden="1" x14ac:dyDescent="0.25">
      <c r="A449" t="s">
        <v>2820</v>
      </c>
      <c r="B449" t="s">
        <v>13</v>
      </c>
      <c r="C449" t="s">
        <v>14</v>
      </c>
      <c r="D449" t="s">
        <v>15</v>
      </c>
      <c r="E449" t="s">
        <v>552</v>
      </c>
      <c r="F449" s="3">
        <v>2315769</v>
      </c>
      <c r="G449" s="2">
        <f t="shared" si="12"/>
        <v>30</v>
      </c>
      <c r="H449" s="2">
        <f t="shared" ca="1" si="13"/>
        <v>1401</v>
      </c>
      <c r="I449" s="4">
        <v>44719</v>
      </c>
      <c r="J449" s="4">
        <v>44749</v>
      </c>
      <c r="K449" t="s">
        <v>343</v>
      </c>
      <c r="L449" t="s">
        <v>18</v>
      </c>
      <c r="M449" t="s">
        <v>19</v>
      </c>
      <c r="N449" t="s">
        <v>20</v>
      </c>
      <c r="O449">
        <v>30</v>
      </c>
    </row>
    <row r="450" spans="1:15" hidden="1" x14ac:dyDescent="0.25">
      <c r="A450" t="s">
        <v>2820</v>
      </c>
      <c r="B450" t="s">
        <v>13</v>
      </c>
      <c r="C450" t="s">
        <v>14</v>
      </c>
      <c r="D450" t="s">
        <v>15</v>
      </c>
      <c r="E450" t="s">
        <v>553</v>
      </c>
      <c r="F450" s="3">
        <v>4789981</v>
      </c>
      <c r="G450" s="2">
        <f t="shared" ref="G450:G513" si="14">+J450-I450</f>
        <v>30</v>
      </c>
      <c r="H450" s="2">
        <f t="shared" ref="H450:H513" ca="1" si="15">+TODAY()-I450</f>
        <v>1401</v>
      </c>
      <c r="I450" s="4">
        <v>44719</v>
      </c>
      <c r="J450" s="4">
        <v>44749</v>
      </c>
      <c r="K450" t="s">
        <v>343</v>
      </c>
      <c r="L450" t="s">
        <v>18</v>
      </c>
      <c r="M450" t="s">
        <v>19</v>
      </c>
      <c r="N450" t="s">
        <v>20</v>
      </c>
      <c r="O450">
        <v>30</v>
      </c>
    </row>
    <row r="451" spans="1:15" hidden="1" x14ac:dyDescent="0.25">
      <c r="A451" t="s">
        <v>2820</v>
      </c>
      <c r="B451" t="s">
        <v>13</v>
      </c>
      <c r="C451" t="s">
        <v>14</v>
      </c>
      <c r="D451" t="s">
        <v>15</v>
      </c>
      <c r="E451" t="s">
        <v>554</v>
      </c>
      <c r="F451" s="3">
        <v>2868259</v>
      </c>
      <c r="G451" s="2">
        <f t="shared" si="14"/>
        <v>30</v>
      </c>
      <c r="H451" s="2">
        <f t="shared" ca="1" si="15"/>
        <v>1401</v>
      </c>
      <c r="I451" s="4">
        <v>44719</v>
      </c>
      <c r="J451" s="4">
        <v>44749</v>
      </c>
      <c r="K451" t="s">
        <v>343</v>
      </c>
      <c r="L451" t="s">
        <v>18</v>
      </c>
      <c r="M451" t="s">
        <v>19</v>
      </c>
      <c r="N451" t="s">
        <v>20</v>
      </c>
      <c r="O451">
        <v>30</v>
      </c>
    </row>
    <row r="452" spans="1:15" hidden="1" x14ac:dyDescent="0.25">
      <c r="A452" t="s">
        <v>2820</v>
      </c>
      <c r="B452" t="s">
        <v>13</v>
      </c>
      <c r="C452" t="s">
        <v>14</v>
      </c>
      <c r="D452" t="s">
        <v>15</v>
      </c>
      <c r="E452" t="s">
        <v>555</v>
      </c>
      <c r="F452" s="3">
        <v>452332</v>
      </c>
      <c r="G452" s="2">
        <f t="shared" si="14"/>
        <v>30</v>
      </c>
      <c r="H452" s="2">
        <f t="shared" ca="1" si="15"/>
        <v>1400</v>
      </c>
      <c r="I452" s="4">
        <v>44720</v>
      </c>
      <c r="J452" s="4">
        <v>44750</v>
      </c>
      <c r="K452" t="s">
        <v>343</v>
      </c>
      <c r="L452" t="s">
        <v>47</v>
      </c>
      <c r="M452" t="s">
        <v>19</v>
      </c>
      <c r="N452" t="s">
        <v>20</v>
      </c>
      <c r="O452">
        <v>30</v>
      </c>
    </row>
    <row r="453" spans="1:15" hidden="1" x14ac:dyDescent="0.25">
      <c r="A453" t="s">
        <v>2820</v>
      </c>
      <c r="B453" t="s">
        <v>13</v>
      </c>
      <c r="C453" t="s">
        <v>14</v>
      </c>
      <c r="D453" t="s">
        <v>15</v>
      </c>
      <c r="E453" t="s">
        <v>556</v>
      </c>
      <c r="F453" s="3">
        <v>2255629</v>
      </c>
      <c r="G453" s="2">
        <f t="shared" si="14"/>
        <v>30</v>
      </c>
      <c r="H453" s="2">
        <f t="shared" ca="1" si="15"/>
        <v>1400</v>
      </c>
      <c r="I453" s="4">
        <v>44720</v>
      </c>
      <c r="J453" s="4">
        <v>44750</v>
      </c>
      <c r="K453" t="s">
        <v>343</v>
      </c>
      <c r="L453" t="s">
        <v>18</v>
      </c>
      <c r="M453" t="s">
        <v>19</v>
      </c>
      <c r="N453" t="s">
        <v>20</v>
      </c>
      <c r="O453">
        <v>30</v>
      </c>
    </row>
    <row r="454" spans="1:15" hidden="1" x14ac:dyDescent="0.25">
      <c r="A454" t="s">
        <v>2820</v>
      </c>
      <c r="B454" t="s">
        <v>13</v>
      </c>
      <c r="C454" t="s">
        <v>14</v>
      </c>
      <c r="D454" t="s">
        <v>15</v>
      </c>
      <c r="E454" t="s">
        <v>749</v>
      </c>
      <c r="F454" s="3">
        <v>2246712</v>
      </c>
      <c r="G454" s="2">
        <f t="shared" si="14"/>
        <v>30</v>
      </c>
      <c r="H454" s="2">
        <f t="shared" ca="1" si="15"/>
        <v>1393</v>
      </c>
      <c r="I454" s="4">
        <v>44727</v>
      </c>
      <c r="J454" s="4">
        <v>44757</v>
      </c>
      <c r="K454" t="s">
        <v>716</v>
      </c>
      <c r="L454" t="s">
        <v>18</v>
      </c>
      <c r="M454" t="s">
        <v>19</v>
      </c>
      <c r="N454" t="s">
        <v>20</v>
      </c>
      <c r="O454">
        <v>30</v>
      </c>
    </row>
    <row r="455" spans="1:15" hidden="1" x14ac:dyDescent="0.25">
      <c r="A455" t="s">
        <v>2820</v>
      </c>
      <c r="B455" t="s">
        <v>1729</v>
      </c>
      <c r="C455" t="s">
        <v>1730</v>
      </c>
      <c r="D455" t="s">
        <v>1705</v>
      </c>
      <c r="E455" t="s">
        <v>1731</v>
      </c>
      <c r="F455" s="3">
        <v>1904346</v>
      </c>
      <c r="G455" s="2">
        <f t="shared" si="14"/>
        <v>30</v>
      </c>
      <c r="H455" s="2">
        <f t="shared" ca="1" si="15"/>
        <v>1392</v>
      </c>
      <c r="I455" s="4">
        <v>44728</v>
      </c>
      <c r="J455" s="4">
        <v>44758</v>
      </c>
      <c r="K455" t="s">
        <v>1706</v>
      </c>
      <c r="L455" t="s">
        <v>90</v>
      </c>
      <c r="M455" t="s">
        <v>19</v>
      </c>
      <c r="N455" t="s">
        <v>1732</v>
      </c>
      <c r="O455">
        <v>1</v>
      </c>
    </row>
    <row r="456" spans="1:15" hidden="1" x14ac:dyDescent="0.25">
      <c r="A456" t="s">
        <v>2820</v>
      </c>
      <c r="B456" t="s">
        <v>1729</v>
      </c>
      <c r="C456" t="s">
        <v>1730</v>
      </c>
      <c r="D456" t="s">
        <v>1705</v>
      </c>
      <c r="E456" t="s">
        <v>1733</v>
      </c>
      <c r="F456" s="3">
        <v>414437</v>
      </c>
      <c r="G456" s="2">
        <f t="shared" si="14"/>
        <v>30</v>
      </c>
      <c r="H456" s="2">
        <f t="shared" ca="1" si="15"/>
        <v>1392</v>
      </c>
      <c r="I456" s="4">
        <v>44728</v>
      </c>
      <c r="J456" s="4">
        <v>44758</v>
      </c>
      <c r="K456" t="s">
        <v>1706</v>
      </c>
      <c r="L456" t="s">
        <v>90</v>
      </c>
      <c r="M456" t="s">
        <v>19</v>
      </c>
      <c r="N456" t="s">
        <v>1732</v>
      </c>
      <c r="O456">
        <v>1</v>
      </c>
    </row>
    <row r="457" spans="1:15" hidden="1" x14ac:dyDescent="0.25">
      <c r="A457" t="s">
        <v>2820</v>
      </c>
      <c r="B457" t="s">
        <v>13</v>
      </c>
      <c r="C457" t="s">
        <v>14</v>
      </c>
      <c r="D457" t="s">
        <v>15</v>
      </c>
      <c r="E457" t="s">
        <v>557</v>
      </c>
      <c r="F457" s="3">
        <v>777936</v>
      </c>
      <c r="G457" s="2">
        <f t="shared" si="14"/>
        <v>30</v>
      </c>
      <c r="H457" s="2">
        <f t="shared" ca="1" si="15"/>
        <v>1391</v>
      </c>
      <c r="I457" s="4">
        <v>44729</v>
      </c>
      <c r="J457" s="4">
        <v>44759</v>
      </c>
      <c r="K457" t="s">
        <v>343</v>
      </c>
      <c r="L457" t="s">
        <v>18</v>
      </c>
      <c r="M457" t="s">
        <v>19</v>
      </c>
      <c r="N457" t="s">
        <v>20</v>
      </c>
      <c r="O457">
        <v>30</v>
      </c>
    </row>
    <row r="458" spans="1:15" hidden="1" x14ac:dyDescent="0.25">
      <c r="A458" t="s">
        <v>2820</v>
      </c>
      <c r="B458" t="s">
        <v>13</v>
      </c>
      <c r="C458" t="s">
        <v>14</v>
      </c>
      <c r="D458" t="s">
        <v>15</v>
      </c>
      <c r="E458" t="s">
        <v>1037</v>
      </c>
      <c r="F458" s="3">
        <v>811000</v>
      </c>
      <c r="G458" s="2">
        <f t="shared" si="14"/>
        <v>30</v>
      </c>
      <c r="H458" s="2">
        <f t="shared" ca="1" si="15"/>
        <v>1391</v>
      </c>
      <c r="I458" s="4">
        <v>44729</v>
      </c>
      <c r="J458" s="4">
        <v>44759</v>
      </c>
      <c r="K458" t="s">
        <v>989</v>
      </c>
      <c r="L458" t="s">
        <v>18</v>
      </c>
      <c r="M458" t="s">
        <v>19</v>
      </c>
      <c r="N458" t="s">
        <v>20</v>
      </c>
      <c r="O458">
        <v>30</v>
      </c>
    </row>
    <row r="459" spans="1:15" hidden="1" x14ac:dyDescent="0.25">
      <c r="A459" t="s">
        <v>2820</v>
      </c>
      <c r="B459" t="s">
        <v>13</v>
      </c>
      <c r="C459" t="s">
        <v>14</v>
      </c>
      <c r="D459" t="s">
        <v>15</v>
      </c>
      <c r="E459" t="s">
        <v>274</v>
      </c>
      <c r="F459" s="3">
        <v>8280006</v>
      </c>
      <c r="G459" s="2">
        <f t="shared" si="14"/>
        <v>30</v>
      </c>
      <c r="H459" s="2">
        <f t="shared" ca="1" si="15"/>
        <v>1390</v>
      </c>
      <c r="I459" s="4">
        <v>44730</v>
      </c>
      <c r="J459" s="4">
        <v>44760</v>
      </c>
      <c r="K459" t="s">
        <v>17</v>
      </c>
      <c r="L459" t="s">
        <v>18</v>
      </c>
      <c r="M459" t="s">
        <v>19</v>
      </c>
      <c r="N459" t="s">
        <v>20</v>
      </c>
      <c r="O459">
        <v>30</v>
      </c>
    </row>
    <row r="460" spans="1:15" hidden="1" x14ac:dyDescent="0.25">
      <c r="A460" t="s">
        <v>2820</v>
      </c>
      <c r="B460" t="s">
        <v>13</v>
      </c>
      <c r="C460" t="s">
        <v>14</v>
      </c>
      <c r="D460" t="s">
        <v>15</v>
      </c>
      <c r="E460" t="s">
        <v>275</v>
      </c>
      <c r="F460" s="3">
        <v>15949736</v>
      </c>
      <c r="G460" s="2">
        <f t="shared" si="14"/>
        <v>30</v>
      </c>
      <c r="H460" s="2">
        <f t="shared" ca="1" si="15"/>
        <v>1387</v>
      </c>
      <c r="I460" s="4">
        <v>44733</v>
      </c>
      <c r="J460" s="4">
        <v>44763</v>
      </c>
      <c r="K460" t="s">
        <v>17</v>
      </c>
      <c r="L460" t="s">
        <v>18</v>
      </c>
      <c r="M460" t="s">
        <v>19</v>
      </c>
      <c r="N460" t="s">
        <v>20</v>
      </c>
      <c r="O460">
        <v>30</v>
      </c>
    </row>
    <row r="461" spans="1:15" hidden="1" x14ac:dyDescent="0.25">
      <c r="A461" t="s">
        <v>2820</v>
      </c>
      <c r="B461" t="s">
        <v>13</v>
      </c>
      <c r="C461" t="s">
        <v>14</v>
      </c>
      <c r="D461" t="s">
        <v>15</v>
      </c>
      <c r="E461" t="s">
        <v>558</v>
      </c>
      <c r="F461" s="3">
        <v>3556801</v>
      </c>
      <c r="G461" s="2">
        <f t="shared" si="14"/>
        <v>30</v>
      </c>
      <c r="H461" s="2">
        <f t="shared" ca="1" si="15"/>
        <v>1386</v>
      </c>
      <c r="I461" s="4">
        <v>44734</v>
      </c>
      <c r="J461" s="4">
        <v>44764</v>
      </c>
      <c r="K461" t="s">
        <v>343</v>
      </c>
      <c r="L461" t="s">
        <v>18</v>
      </c>
      <c r="M461" t="s">
        <v>19</v>
      </c>
      <c r="N461" t="s">
        <v>20</v>
      </c>
      <c r="O461">
        <v>30</v>
      </c>
    </row>
    <row r="462" spans="1:15" hidden="1" x14ac:dyDescent="0.25">
      <c r="A462" t="s">
        <v>2820</v>
      </c>
      <c r="B462" t="s">
        <v>13</v>
      </c>
      <c r="C462" t="s">
        <v>14</v>
      </c>
      <c r="D462" t="s">
        <v>15</v>
      </c>
      <c r="E462" t="s">
        <v>559</v>
      </c>
      <c r="F462" s="3">
        <v>3539200</v>
      </c>
      <c r="G462" s="2">
        <f t="shared" si="14"/>
        <v>30</v>
      </c>
      <c r="H462" s="2">
        <f t="shared" ca="1" si="15"/>
        <v>1386</v>
      </c>
      <c r="I462" s="4">
        <v>44734</v>
      </c>
      <c r="J462" s="4">
        <v>44764</v>
      </c>
      <c r="K462" t="s">
        <v>343</v>
      </c>
      <c r="L462" t="s">
        <v>18</v>
      </c>
      <c r="M462" t="s">
        <v>19</v>
      </c>
      <c r="N462" t="s">
        <v>20</v>
      </c>
      <c r="O462">
        <v>30</v>
      </c>
    </row>
    <row r="463" spans="1:15" hidden="1" x14ac:dyDescent="0.25">
      <c r="A463" t="s">
        <v>2820</v>
      </c>
      <c r="B463" t="s">
        <v>13</v>
      </c>
      <c r="C463" t="s">
        <v>14</v>
      </c>
      <c r="D463" t="s">
        <v>15</v>
      </c>
      <c r="E463" t="s">
        <v>560</v>
      </c>
      <c r="F463" s="3">
        <v>2261542</v>
      </c>
      <c r="G463" s="2">
        <f t="shared" si="14"/>
        <v>30</v>
      </c>
      <c r="H463" s="2">
        <f t="shared" ca="1" si="15"/>
        <v>1386</v>
      </c>
      <c r="I463" s="4">
        <v>44734</v>
      </c>
      <c r="J463" s="4">
        <v>44764</v>
      </c>
      <c r="K463" t="s">
        <v>343</v>
      </c>
      <c r="L463" t="s">
        <v>18</v>
      </c>
      <c r="M463" t="s">
        <v>19</v>
      </c>
      <c r="N463" t="s">
        <v>20</v>
      </c>
      <c r="O463">
        <v>30</v>
      </c>
    </row>
    <row r="464" spans="1:15" hidden="1" x14ac:dyDescent="0.25">
      <c r="A464" t="s">
        <v>2820</v>
      </c>
      <c r="B464" t="s">
        <v>13</v>
      </c>
      <c r="C464" t="s">
        <v>14</v>
      </c>
      <c r="D464" t="s">
        <v>15</v>
      </c>
      <c r="E464" t="s">
        <v>561</v>
      </c>
      <c r="F464" s="3">
        <v>2553008</v>
      </c>
      <c r="G464" s="2">
        <f t="shared" si="14"/>
        <v>30</v>
      </c>
      <c r="H464" s="2">
        <f t="shared" ca="1" si="15"/>
        <v>1386</v>
      </c>
      <c r="I464" s="4">
        <v>44734</v>
      </c>
      <c r="J464" s="4">
        <v>44764</v>
      </c>
      <c r="K464" t="s">
        <v>343</v>
      </c>
      <c r="L464" t="s">
        <v>18</v>
      </c>
      <c r="M464" t="s">
        <v>19</v>
      </c>
      <c r="N464" t="s">
        <v>20</v>
      </c>
      <c r="O464">
        <v>30</v>
      </c>
    </row>
    <row r="465" spans="1:15" hidden="1" x14ac:dyDescent="0.25">
      <c r="A465" t="s">
        <v>2820</v>
      </c>
      <c r="B465" t="s">
        <v>13</v>
      </c>
      <c r="C465" t="s">
        <v>14</v>
      </c>
      <c r="D465" t="s">
        <v>15</v>
      </c>
      <c r="E465" t="s">
        <v>562</v>
      </c>
      <c r="F465" s="3">
        <v>1041330</v>
      </c>
      <c r="G465" s="2">
        <f t="shared" si="14"/>
        <v>30</v>
      </c>
      <c r="H465" s="2">
        <f t="shared" ca="1" si="15"/>
        <v>1386</v>
      </c>
      <c r="I465" s="4">
        <v>44734</v>
      </c>
      <c r="J465" s="4">
        <v>44764</v>
      </c>
      <c r="K465" t="s">
        <v>343</v>
      </c>
      <c r="L465" t="s">
        <v>18</v>
      </c>
      <c r="M465" t="s">
        <v>19</v>
      </c>
      <c r="N465" t="s">
        <v>20</v>
      </c>
      <c r="O465">
        <v>30</v>
      </c>
    </row>
    <row r="466" spans="1:15" hidden="1" x14ac:dyDescent="0.25">
      <c r="A466" t="s">
        <v>2820</v>
      </c>
      <c r="B466" t="s">
        <v>13</v>
      </c>
      <c r="C466" t="s">
        <v>14</v>
      </c>
      <c r="D466" t="s">
        <v>15</v>
      </c>
      <c r="E466" t="s">
        <v>1038</v>
      </c>
      <c r="F466" s="3">
        <v>8280006</v>
      </c>
      <c r="G466" s="2">
        <f t="shared" si="14"/>
        <v>30</v>
      </c>
      <c r="H466" s="2">
        <f t="shared" ca="1" si="15"/>
        <v>1385</v>
      </c>
      <c r="I466" s="4">
        <v>44735</v>
      </c>
      <c r="J466" s="4">
        <v>44765</v>
      </c>
      <c r="K466" t="s">
        <v>989</v>
      </c>
      <c r="L466" t="s">
        <v>18</v>
      </c>
      <c r="M466" t="s">
        <v>19</v>
      </c>
      <c r="N466" t="s">
        <v>20</v>
      </c>
      <c r="O466">
        <v>30</v>
      </c>
    </row>
    <row r="467" spans="1:15" hidden="1" x14ac:dyDescent="0.25">
      <c r="A467" t="s">
        <v>2820</v>
      </c>
      <c r="B467" t="s">
        <v>13</v>
      </c>
      <c r="C467" t="s">
        <v>14</v>
      </c>
      <c r="D467" t="s">
        <v>15</v>
      </c>
      <c r="E467" t="s">
        <v>276</v>
      </c>
      <c r="F467" s="3">
        <v>6662382</v>
      </c>
      <c r="G467" s="2">
        <f t="shared" si="14"/>
        <v>30</v>
      </c>
      <c r="H467" s="2">
        <f t="shared" ca="1" si="15"/>
        <v>1379</v>
      </c>
      <c r="I467" s="4">
        <v>44741</v>
      </c>
      <c r="J467" s="4">
        <v>44771</v>
      </c>
      <c r="K467" t="s">
        <v>17</v>
      </c>
      <c r="L467" t="s">
        <v>18</v>
      </c>
      <c r="M467" t="s">
        <v>19</v>
      </c>
      <c r="N467" t="s">
        <v>20</v>
      </c>
      <c r="O467">
        <v>30</v>
      </c>
    </row>
    <row r="468" spans="1:15" hidden="1" x14ac:dyDescent="0.25">
      <c r="A468" t="s">
        <v>2820</v>
      </c>
      <c r="B468" t="s">
        <v>13</v>
      </c>
      <c r="C468" t="s">
        <v>14</v>
      </c>
      <c r="D468" t="s">
        <v>15</v>
      </c>
      <c r="E468" t="s">
        <v>750</v>
      </c>
      <c r="F468" s="3">
        <v>2905001</v>
      </c>
      <c r="G468" s="2">
        <f t="shared" si="14"/>
        <v>30</v>
      </c>
      <c r="H468" s="2">
        <f t="shared" ca="1" si="15"/>
        <v>1379</v>
      </c>
      <c r="I468" s="4">
        <v>44741</v>
      </c>
      <c r="J468" s="4">
        <v>44771</v>
      </c>
      <c r="K468" t="s">
        <v>716</v>
      </c>
      <c r="L468" t="s">
        <v>18</v>
      </c>
      <c r="M468" t="s">
        <v>19</v>
      </c>
      <c r="N468" t="s">
        <v>20</v>
      </c>
      <c r="O468">
        <v>30</v>
      </c>
    </row>
    <row r="469" spans="1:15" hidden="1" x14ac:dyDescent="0.25">
      <c r="A469" t="s">
        <v>2820</v>
      </c>
      <c r="B469" t="s">
        <v>13</v>
      </c>
      <c r="C469" t="s">
        <v>14</v>
      </c>
      <c r="D469" t="s">
        <v>15</v>
      </c>
      <c r="E469" t="s">
        <v>751</v>
      </c>
      <c r="F469" s="3">
        <v>564522</v>
      </c>
      <c r="G469" s="2">
        <f t="shared" si="14"/>
        <v>30</v>
      </c>
      <c r="H469" s="2">
        <f t="shared" ca="1" si="15"/>
        <v>1379</v>
      </c>
      <c r="I469" s="4">
        <v>44741</v>
      </c>
      <c r="J469" s="4">
        <v>44771</v>
      </c>
      <c r="K469" t="s">
        <v>716</v>
      </c>
      <c r="L469" t="s">
        <v>18</v>
      </c>
      <c r="M469" t="s">
        <v>19</v>
      </c>
      <c r="N469" t="s">
        <v>20</v>
      </c>
      <c r="O469">
        <v>30</v>
      </c>
    </row>
    <row r="470" spans="1:15" hidden="1" x14ac:dyDescent="0.25">
      <c r="A470" t="s">
        <v>2820</v>
      </c>
      <c r="B470" t="s">
        <v>13</v>
      </c>
      <c r="C470" t="s">
        <v>14</v>
      </c>
      <c r="D470" t="s">
        <v>15</v>
      </c>
      <c r="E470" t="s">
        <v>16</v>
      </c>
      <c r="F470" s="3">
        <v>1634000</v>
      </c>
      <c r="G470" s="2">
        <f t="shared" si="14"/>
        <v>30</v>
      </c>
      <c r="H470" s="2">
        <f t="shared" ca="1" si="15"/>
        <v>1378</v>
      </c>
      <c r="I470" s="4">
        <v>44742</v>
      </c>
      <c r="J470" s="4">
        <v>44772</v>
      </c>
      <c r="K470" t="s">
        <v>17</v>
      </c>
      <c r="L470" t="s">
        <v>18</v>
      </c>
      <c r="M470" t="s">
        <v>19</v>
      </c>
      <c r="N470" t="s">
        <v>20</v>
      </c>
      <c r="O470">
        <v>30</v>
      </c>
    </row>
    <row r="471" spans="1:15" hidden="1" x14ac:dyDescent="0.25">
      <c r="A471" t="s">
        <v>2820</v>
      </c>
      <c r="B471" t="s">
        <v>13</v>
      </c>
      <c r="C471" t="s">
        <v>14</v>
      </c>
      <c r="D471" t="s">
        <v>15</v>
      </c>
      <c r="E471" t="s">
        <v>21</v>
      </c>
      <c r="F471" s="3">
        <v>8898695</v>
      </c>
      <c r="G471" s="2">
        <f t="shared" si="14"/>
        <v>30</v>
      </c>
      <c r="H471" s="2">
        <f t="shared" ca="1" si="15"/>
        <v>1378</v>
      </c>
      <c r="I471" s="4">
        <v>44742</v>
      </c>
      <c r="J471" s="4">
        <v>44772</v>
      </c>
      <c r="K471" t="s">
        <v>17</v>
      </c>
      <c r="L471" t="s">
        <v>18</v>
      </c>
      <c r="M471" t="s">
        <v>19</v>
      </c>
      <c r="N471" t="s">
        <v>20</v>
      </c>
      <c r="O471">
        <v>30</v>
      </c>
    </row>
    <row r="472" spans="1:15" hidden="1" x14ac:dyDescent="0.25">
      <c r="A472" t="s">
        <v>2820</v>
      </c>
      <c r="B472" t="s">
        <v>13</v>
      </c>
      <c r="C472" t="s">
        <v>14</v>
      </c>
      <c r="D472" t="s">
        <v>15</v>
      </c>
      <c r="E472" t="s">
        <v>27</v>
      </c>
      <c r="F472" s="3">
        <v>16200012</v>
      </c>
      <c r="G472" s="2">
        <f t="shared" si="14"/>
        <v>30</v>
      </c>
      <c r="H472" s="2">
        <f t="shared" ca="1" si="15"/>
        <v>1378</v>
      </c>
      <c r="I472" s="4">
        <v>44742</v>
      </c>
      <c r="J472" s="4">
        <v>44772</v>
      </c>
      <c r="K472" t="s">
        <v>17</v>
      </c>
      <c r="L472" t="s">
        <v>18</v>
      </c>
      <c r="M472" t="s">
        <v>19</v>
      </c>
      <c r="N472" t="s">
        <v>20</v>
      </c>
      <c r="O472">
        <v>30</v>
      </c>
    </row>
    <row r="473" spans="1:15" hidden="1" x14ac:dyDescent="0.25">
      <c r="A473" t="s">
        <v>2820</v>
      </c>
      <c r="B473" t="s">
        <v>13</v>
      </c>
      <c r="C473" t="s">
        <v>14</v>
      </c>
      <c r="D473" t="s">
        <v>15</v>
      </c>
      <c r="E473" t="s">
        <v>277</v>
      </c>
      <c r="F473" s="3">
        <v>94380000</v>
      </c>
      <c r="G473" s="2">
        <f t="shared" si="14"/>
        <v>30</v>
      </c>
      <c r="H473" s="2">
        <f t="shared" ca="1" si="15"/>
        <v>1378</v>
      </c>
      <c r="I473" s="4">
        <v>44742</v>
      </c>
      <c r="J473" s="4">
        <v>44772</v>
      </c>
      <c r="K473" t="s">
        <v>17</v>
      </c>
      <c r="L473" t="s">
        <v>18</v>
      </c>
      <c r="M473" t="s">
        <v>19</v>
      </c>
      <c r="N473" t="s">
        <v>20</v>
      </c>
      <c r="O473">
        <v>30</v>
      </c>
    </row>
    <row r="474" spans="1:15" hidden="1" x14ac:dyDescent="0.25">
      <c r="A474" t="s">
        <v>2820</v>
      </c>
      <c r="B474" t="s">
        <v>13</v>
      </c>
      <c r="C474" t="s">
        <v>14</v>
      </c>
      <c r="D474" t="s">
        <v>15</v>
      </c>
      <c r="E474" t="s">
        <v>990</v>
      </c>
      <c r="F474" s="3">
        <v>8100003</v>
      </c>
      <c r="G474" s="2">
        <f t="shared" si="14"/>
        <v>30</v>
      </c>
      <c r="H474" s="2">
        <f t="shared" ca="1" si="15"/>
        <v>1378</v>
      </c>
      <c r="I474" s="4">
        <v>44742</v>
      </c>
      <c r="J474" s="4">
        <v>44772</v>
      </c>
      <c r="K474" t="s">
        <v>989</v>
      </c>
      <c r="L474" t="s">
        <v>18</v>
      </c>
      <c r="M474" t="s">
        <v>19</v>
      </c>
      <c r="N474" t="s">
        <v>20</v>
      </c>
      <c r="O474">
        <v>30</v>
      </c>
    </row>
    <row r="475" spans="1:15" hidden="1" x14ac:dyDescent="0.25">
      <c r="A475" t="s">
        <v>2820</v>
      </c>
      <c r="B475" t="s">
        <v>13</v>
      </c>
      <c r="C475" t="s">
        <v>14</v>
      </c>
      <c r="D475" t="s">
        <v>15</v>
      </c>
      <c r="E475" t="s">
        <v>991</v>
      </c>
      <c r="F475" s="3">
        <v>4050003</v>
      </c>
      <c r="G475" s="2">
        <f t="shared" si="14"/>
        <v>30</v>
      </c>
      <c r="H475" s="2">
        <f t="shared" ca="1" si="15"/>
        <v>1378</v>
      </c>
      <c r="I475" s="4">
        <v>44742</v>
      </c>
      <c r="J475" s="4">
        <v>44772</v>
      </c>
      <c r="K475" t="s">
        <v>989</v>
      </c>
      <c r="L475" t="s">
        <v>18</v>
      </c>
      <c r="M475" t="s">
        <v>19</v>
      </c>
      <c r="N475" t="s">
        <v>20</v>
      </c>
      <c r="O475">
        <v>30</v>
      </c>
    </row>
    <row r="476" spans="1:15" hidden="1" x14ac:dyDescent="0.25">
      <c r="A476" t="s">
        <v>2820</v>
      </c>
      <c r="B476" t="s">
        <v>13</v>
      </c>
      <c r="C476" t="s">
        <v>14</v>
      </c>
      <c r="D476" t="s">
        <v>15</v>
      </c>
      <c r="E476" t="s">
        <v>1039</v>
      </c>
      <c r="F476" s="3">
        <v>341153</v>
      </c>
      <c r="G476" s="2">
        <f t="shared" si="14"/>
        <v>30</v>
      </c>
      <c r="H476" s="2">
        <f t="shared" ca="1" si="15"/>
        <v>1378</v>
      </c>
      <c r="I476" s="4">
        <v>44742</v>
      </c>
      <c r="J476" s="4">
        <v>44772</v>
      </c>
      <c r="K476" t="s">
        <v>989</v>
      </c>
      <c r="L476" t="s">
        <v>18</v>
      </c>
      <c r="M476" t="s">
        <v>19</v>
      </c>
      <c r="N476" t="s">
        <v>20</v>
      </c>
      <c r="O476">
        <v>30</v>
      </c>
    </row>
    <row r="477" spans="1:15" hidden="1" x14ac:dyDescent="0.25">
      <c r="A477" t="s">
        <v>2820</v>
      </c>
      <c r="B477" t="s">
        <v>13</v>
      </c>
      <c r="C477" t="s">
        <v>14</v>
      </c>
      <c r="D477" t="s">
        <v>15</v>
      </c>
      <c r="E477" t="s">
        <v>1040</v>
      </c>
      <c r="F477" s="3">
        <v>6303804</v>
      </c>
      <c r="G477" s="2">
        <f t="shared" si="14"/>
        <v>30</v>
      </c>
      <c r="H477" s="2">
        <f t="shared" ca="1" si="15"/>
        <v>1378</v>
      </c>
      <c r="I477" s="4">
        <v>44742</v>
      </c>
      <c r="J477" s="4">
        <v>44772</v>
      </c>
      <c r="K477" t="s">
        <v>989</v>
      </c>
      <c r="L477" t="s">
        <v>18</v>
      </c>
      <c r="M477" t="s">
        <v>19</v>
      </c>
      <c r="N477" t="s">
        <v>20</v>
      </c>
      <c r="O477">
        <v>30</v>
      </c>
    </row>
    <row r="478" spans="1:15" hidden="1" x14ac:dyDescent="0.25">
      <c r="A478" t="s">
        <v>2820</v>
      </c>
      <c r="B478" t="s">
        <v>13</v>
      </c>
      <c r="C478" t="s">
        <v>14</v>
      </c>
      <c r="D478" t="s">
        <v>15</v>
      </c>
      <c r="E478" t="s">
        <v>704</v>
      </c>
      <c r="F478" s="3">
        <v>4867003</v>
      </c>
      <c r="G478" s="2">
        <f t="shared" si="14"/>
        <v>30</v>
      </c>
      <c r="H478" s="2">
        <f t="shared" ca="1" si="15"/>
        <v>1373</v>
      </c>
      <c r="I478" s="4">
        <v>44747</v>
      </c>
      <c r="J478" s="4">
        <v>44777</v>
      </c>
      <c r="K478" t="s">
        <v>638</v>
      </c>
      <c r="L478" t="s">
        <v>18</v>
      </c>
      <c r="M478" t="s">
        <v>19</v>
      </c>
      <c r="N478" t="s">
        <v>20</v>
      </c>
      <c r="O478">
        <v>30</v>
      </c>
    </row>
    <row r="479" spans="1:15" hidden="1" x14ac:dyDescent="0.25">
      <c r="A479" t="s">
        <v>2820</v>
      </c>
      <c r="B479" t="s">
        <v>13</v>
      </c>
      <c r="C479" t="s">
        <v>14</v>
      </c>
      <c r="D479" t="s">
        <v>15</v>
      </c>
      <c r="E479" t="s">
        <v>752</v>
      </c>
      <c r="F479" s="3">
        <v>4867003</v>
      </c>
      <c r="G479" s="2">
        <f t="shared" si="14"/>
        <v>30</v>
      </c>
      <c r="H479" s="2">
        <f t="shared" ca="1" si="15"/>
        <v>1373</v>
      </c>
      <c r="I479" s="4">
        <v>44747</v>
      </c>
      <c r="J479" s="4">
        <v>44777</v>
      </c>
      <c r="K479" t="s">
        <v>716</v>
      </c>
      <c r="L479" t="s">
        <v>18</v>
      </c>
      <c r="M479" t="s">
        <v>19</v>
      </c>
      <c r="N479" t="s">
        <v>20</v>
      </c>
      <c r="O479">
        <v>30</v>
      </c>
    </row>
    <row r="480" spans="1:15" hidden="1" x14ac:dyDescent="0.25">
      <c r="A480" t="s">
        <v>2820</v>
      </c>
      <c r="B480" t="s">
        <v>13</v>
      </c>
      <c r="C480" t="s">
        <v>14</v>
      </c>
      <c r="D480" t="s">
        <v>15</v>
      </c>
      <c r="E480" t="s">
        <v>820</v>
      </c>
      <c r="F480" s="3">
        <v>4867003</v>
      </c>
      <c r="G480" s="2">
        <f t="shared" si="14"/>
        <v>30</v>
      </c>
      <c r="H480" s="2">
        <f t="shared" ca="1" si="15"/>
        <v>1373</v>
      </c>
      <c r="I480" s="4">
        <v>44747</v>
      </c>
      <c r="J480" s="4">
        <v>44777</v>
      </c>
      <c r="K480" t="s">
        <v>766</v>
      </c>
      <c r="L480" t="s">
        <v>18</v>
      </c>
      <c r="M480" t="s">
        <v>19</v>
      </c>
      <c r="N480" t="s">
        <v>20</v>
      </c>
      <c r="O480">
        <v>30</v>
      </c>
    </row>
    <row r="481" spans="1:15" hidden="1" x14ac:dyDescent="0.25">
      <c r="A481" t="s">
        <v>2820</v>
      </c>
      <c r="B481" t="s">
        <v>13</v>
      </c>
      <c r="C481" t="s">
        <v>14</v>
      </c>
      <c r="D481" t="s">
        <v>15</v>
      </c>
      <c r="E481" t="s">
        <v>1041</v>
      </c>
      <c r="F481" s="3">
        <v>4867003</v>
      </c>
      <c r="G481" s="2">
        <f t="shared" si="14"/>
        <v>30</v>
      </c>
      <c r="H481" s="2">
        <f t="shared" ca="1" si="15"/>
        <v>1373</v>
      </c>
      <c r="I481" s="4">
        <v>44747</v>
      </c>
      <c r="J481" s="4">
        <v>44777</v>
      </c>
      <c r="K481" t="s">
        <v>989</v>
      </c>
      <c r="L481" t="s">
        <v>18</v>
      </c>
      <c r="M481" t="s">
        <v>19</v>
      </c>
      <c r="N481" t="s">
        <v>20</v>
      </c>
      <c r="O481">
        <v>30</v>
      </c>
    </row>
    <row r="482" spans="1:15" hidden="1" x14ac:dyDescent="0.25">
      <c r="A482" t="s">
        <v>2820</v>
      </c>
      <c r="B482" t="s">
        <v>13</v>
      </c>
      <c r="C482" t="s">
        <v>14</v>
      </c>
      <c r="D482" t="s">
        <v>15</v>
      </c>
      <c r="E482" t="s">
        <v>563</v>
      </c>
      <c r="F482" s="3">
        <v>5268109</v>
      </c>
      <c r="G482" s="2">
        <f t="shared" si="14"/>
        <v>30</v>
      </c>
      <c r="H482" s="2">
        <f t="shared" ca="1" si="15"/>
        <v>1371</v>
      </c>
      <c r="I482" s="4">
        <v>44749</v>
      </c>
      <c r="J482" s="4">
        <v>44779</v>
      </c>
      <c r="K482" t="s">
        <v>343</v>
      </c>
      <c r="L482" t="s">
        <v>18</v>
      </c>
      <c r="M482" t="s">
        <v>19</v>
      </c>
      <c r="N482" t="s">
        <v>20</v>
      </c>
      <c r="O482">
        <v>30</v>
      </c>
    </row>
    <row r="483" spans="1:15" hidden="1" x14ac:dyDescent="0.25">
      <c r="A483" t="s">
        <v>2820</v>
      </c>
      <c r="B483" t="s">
        <v>13</v>
      </c>
      <c r="C483" t="s">
        <v>14</v>
      </c>
      <c r="D483" t="s">
        <v>15</v>
      </c>
      <c r="E483" t="s">
        <v>564</v>
      </c>
      <c r="F483" s="3">
        <v>4521002</v>
      </c>
      <c r="G483" s="2">
        <f t="shared" si="14"/>
        <v>30</v>
      </c>
      <c r="H483" s="2">
        <f t="shared" ca="1" si="15"/>
        <v>1371</v>
      </c>
      <c r="I483" s="4">
        <v>44749</v>
      </c>
      <c r="J483" s="4">
        <v>44779</v>
      </c>
      <c r="K483" t="s">
        <v>343</v>
      </c>
      <c r="L483" t="s">
        <v>18</v>
      </c>
      <c r="M483" t="s">
        <v>19</v>
      </c>
      <c r="N483" t="s">
        <v>20</v>
      </c>
      <c r="O483">
        <v>30</v>
      </c>
    </row>
    <row r="484" spans="1:15" hidden="1" x14ac:dyDescent="0.25">
      <c r="A484" t="s">
        <v>2820</v>
      </c>
      <c r="B484" t="s">
        <v>13</v>
      </c>
      <c r="C484" t="s">
        <v>14</v>
      </c>
      <c r="D484" t="s">
        <v>15</v>
      </c>
      <c r="E484" t="s">
        <v>565</v>
      </c>
      <c r="F484" s="3">
        <v>1284605</v>
      </c>
      <c r="G484" s="2">
        <f t="shared" si="14"/>
        <v>30</v>
      </c>
      <c r="H484" s="2">
        <f t="shared" ca="1" si="15"/>
        <v>1371</v>
      </c>
      <c r="I484" s="4">
        <v>44749</v>
      </c>
      <c r="J484" s="4">
        <v>44779</v>
      </c>
      <c r="K484" t="s">
        <v>343</v>
      </c>
      <c r="L484" t="s">
        <v>18</v>
      </c>
      <c r="M484" t="s">
        <v>19</v>
      </c>
      <c r="N484" t="s">
        <v>20</v>
      </c>
      <c r="O484">
        <v>30</v>
      </c>
    </row>
    <row r="485" spans="1:15" hidden="1" x14ac:dyDescent="0.25">
      <c r="A485" t="s">
        <v>2820</v>
      </c>
      <c r="B485" t="s">
        <v>13</v>
      </c>
      <c r="C485" t="s">
        <v>14</v>
      </c>
      <c r="D485" t="s">
        <v>15</v>
      </c>
      <c r="E485" t="s">
        <v>566</v>
      </c>
      <c r="F485" s="3">
        <v>2398616</v>
      </c>
      <c r="G485" s="2">
        <f t="shared" si="14"/>
        <v>30</v>
      </c>
      <c r="H485" s="2">
        <f t="shared" ca="1" si="15"/>
        <v>1371</v>
      </c>
      <c r="I485" s="4">
        <v>44749</v>
      </c>
      <c r="J485" s="4">
        <v>44779</v>
      </c>
      <c r="K485" t="s">
        <v>343</v>
      </c>
      <c r="L485" t="s">
        <v>18</v>
      </c>
      <c r="M485" t="s">
        <v>19</v>
      </c>
      <c r="N485" t="s">
        <v>20</v>
      </c>
      <c r="O485">
        <v>30</v>
      </c>
    </row>
    <row r="486" spans="1:15" hidden="1" x14ac:dyDescent="0.25">
      <c r="A486" t="s">
        <v>2820</v>
      </c>
      <c r="B486" t="s">
        <v>13</v>
      </c>
      <c r="C486" t="s">
        <v>14</v>
      </c>
      <c r="D486" t="s">
        <v>15</v>
      </c>
      <c r="E486" t="s">
        <v>567</v>
      </c>
      <c r="F486" s="3">
        <v>3582188</v>
      </c>
      <c r="G486" s="2">
        <f t="shared" si="14"/>
        <v>30</v>
      </c>
      <c r="H486" s="2">
        <f t="shared" ca="1" si="15"/>
        <v>1371</v>
      </c>
      <c r="I486" s="4">
        <v>44749</v>
      </c>
      <c r="J486" s="4">
        <v>44779</v>
      </c>
      <c r="K486" t="s">
        <v>343</v>
      </c>
      <c r="L486" t="s">
        <v>18</v>
      </c>
      <c r="M486" t="s">
        <v>19</v>
      </c>
      <c r="N486" t="s">
        <v>20</v>
      </c>
      <c r="O486">
        <v>30</v>
      </c>
    </row>
    <row r="487" spans="1:15" hidden="1" x14ac:dyDescent="0.25">
      <c r="A487" t="s">
        <v>2820</v>
      </c>
      <c r="B487" t="s">
        <v>13</v>
      </c>
      <c r="C487" t="s">
        <v>14</v>
      </c>
      <c r="D487" t="s">
        <v>15</v>
      </c>
      <c r="E487" t="s">
        <v>753</v>
      </c>
      <c r="F487" s="3">
        <v>485760</v>
      </c>
      <c r="G487" s="2">
        <f t="shared" si="14"/>
        <v>30</v>
      </c>
      <c r="H487" s="2">
        <f t="shared" ca="1" si="15"/>
        <v>1365</v>
      </c>
      <c r="I487" s="4">
        <v>44755</v>
      </c>
      <c r="J487" s="4">
        <v>44785</v>
      </c>
      <c r="K487" t="s">
        <v>716</v>
      </c>
      <c r="L487" t="s">
        <v>18</v>
      </c>
      <c r="M487" t="s">
        <v>19</v>
      </c>
      <c r="N487" t="s">
        <v>20</v>
      </c>
      <c r="O487">
        <v>30</v>
      </c>
    </row>
    <row r="488" spans="1:15" hidden="1" x14ac:dyDescent="0.25">
      <c r="A488" t="s">
        <v>2820</v>
      </c>
      <c r="B488" t="s">
        <v>13</v>
      </c>
      <c r="C488" t="s">
        <v>14</v>
      </c>
      <c r="D488" t="s">
        <v>15</v>
      </c>
      <c r="E488" t="s">
        <v>821</v>
      </c>
      <c r="F488" s="3">
        <v>1047883</v>
      </c>
      <c r="G488" s="2">
        <f t="shared" si="14"/>
        <v>30</v>
      </c>
      <c r="H488" s="2">
        <f t="shared" ca="1" si="15"/>
        <v>1365</v>
      </c>
      <c r="I488" s="4">
        <v>44755</v>
      </c>
      <c r="J488" s="4">
        <v>44785</v>
      </c>
      <c r="K488" t="s">
        <v>766</v>
      </c>
      <c r="L488" t="s">
        <v>18</v>
      </c>
      <c r="M488" t="s">
        <v>19</v>
      </c>
      <c r="N488" t="s">
        <v>20</v>
      </c>
      <c r="O488">
        <v>30</v>
      </c>
    </row>
    <row r="489" spans="1:15" hidden="1" x14ac:dyDescent="0.25">
      <c r="A489" t="s">
        <v>2820</v>
      </c>
      <c r="B489" t="s">
        <v>13</v>
      </c>
      <c r="C489" t="s">
        <v>14</v>
      </c>
      <c r="D489" t="s">
        <v>15</v>
      </c>
      <c r="E489" t="s">
        <v>705</v>
      </c>
      <c r="F489" s="3">
        <v>866428</v>
      </c>
      <c r="G489" s="2">
        <f t="shared" si="14"/>
        <v>30</v>
      </c>
      <c r="H489" s="2">
        <f t="shared" ca="1" si="15"/>
        <v>1364</v>
      </c>
      <c r="I489" s="4">
        <v>44756</v>
      </c>
      <c r="J489" s="4">
        <v>44786</v>
      </c>
      <c r="K489" t="s">
        <v>638</v>
      </c>
      <c r="L489" t="s">
        <v>18</v>
      </c>
      <c r="M489" t="s">
        <v>19</v>
      </c>
      <c r="N489" t="s">
        <v>20</v>
      </c>
      <c r="O489">
        <v>30</v>
      </c>
    </row>
    <row r="490" spans="1:15" hidden="1" x14ac:dyDescent="0.25">
      <c r="A490" t="s">
        <v>2820</v>
      </c>
      <c r="B490" t="s">
        <v>13</v>
      </c>
      <c r="C490" t="s">
        <v>14</v>
      </c>
      <c r="D490" t="s">
        <v>15</v>
      </c>
      <c r="E490" t="s">
        <v>1042</v>
      </c>
      <c r="F490" s="3">
        <v>2672273</v>
      </c>
      <c r="G490" s="2">
        <f t="shared" si="14"/>
        <v>30</v>
      </c>
      <c r="H490" s="2">
        <f t="shared" ca="1" si="15"/>
        <v>1363</v>
      </c>
      <c r="I490" s="4">
        <v>44757</v>
      </c>
      <c r="J490" s="4">
        <v>44787</v>
      </c>
      <c r="K490" t="s">
        <v>989</v>
      </c>
      <c r="L490" t="s">
        <v>18</v>
      </c>
      <c r="M490" t="s">
        <v>19</v>
      </c>
      <c r="N490" t="s">
        <v>20</v>
      </c>
      <c r="O490">
        <v>30</v>
      </c>
    </row>
    <row r="491" spans="1:15" hidden="1" x14ac:dyDescent="0.25">
      <c r="A491" t="s">
        <v>2820</v>
      </c>
      <c r="B491" t="s">
        <v>13</v>
      </c>
      <c r="C491" t="s">
        <v>14</v>
      </c>
      <c r="D491" t="s">
        <v>15</v>
      </c>
      <c r="E491" t="s">
        <v>1043</v>
      </c>
      <c r="F491" s="3">
        <v>1318496</v>
      </c>
      <c r="G491" s="2">
        <f t="shared" si="14"/>
        <v>15</v>
      </c>
      <c r="H491" s="2">
        <f t="shared" ca="1" si="15"/>
        <v>1363</v>
      </c>
      <c r="I491" s="4">
        <v>44757</v>
      </c>
      <c r="J491" s="4">
        <v>44772</v>
      </c>
      <c r="K491" t="s">
        <v>989</v>
      </c>
      <c r="L491" t="s">
        <v>18</v>
      </c>
      <c r="M491" t="s">
        <v>19</v>
      </c>
      <c r="N491" t="s">
        <v>20</v>
      </c>
      <c r="O491">
        <v>30</v>
      </c>
    </row>
    <row r="492" spans="1:15" hidden="1" x14ac:dyDescent="0.25">
      <c r="A492" t="s">
        <v>2820</v>
      </c>
      <c r="B492" t="s">
        <v>13</v>
      </c>
      <c r="C492" t="s">
        <v>14</v>
      </c>
      <c r="D492" t="s">
        <v>15</v>
      </c>
      <c r="E492" t="s">
        <v>278</v>
      </c>
      <c r="F492" s="3">
        <v>14296980</v>
      </c>
      <c r="G492" s="2">
        <f t="shared" si="14"/>
        <v>30</v>
      </c>
      <c r="H492" s="2">
        <f t="shared" ca="1" si="15"/>
        <v>1360</v>
      </c>
      <c r="I492" s="4">
        <v>44760</v>
      </c>
      <c r="J492" s="4">
        <v>44790</v>
      </c>
      <c r="K492" t="s">
        <v>17</v>
      </c>
      <c r="L492" t="s">
        <v>18</v>
      </c>
      <c r="M492" t="s">
        <v>19</v>
      </c>
      <c r="N492" t="s">
        <v>20</v>
      </c>
      <c r="O492">
        <v>30</v>
      </c>
    </row>
    <row r="493" spans="1:15" hidden="1" x14ac:dyDescent="0.25">
      <c r="A493" t="s">
        <v>2820</v>
      </c>
      <c r="B493" t="s">
        <v>13</v>
      </c>
      <c r="C493" t="s">
        <v>14</v>
      </c>
      <c r="D493" t="s">
        <v>15</v>
      </c>
      <c r="E493" t="s">
        <v>568</v>
      </c>
      <c r="F493" s="3">
        <v>4000390</v>
      </c>
      <c r="G493" s="2">
        <f t="shared" si="14"/>
        <v>30</v>
      </c>
      <c r="H493" s="2">
        <f t="shared" ca="1" si="15"/>
        <v>1355</v>
      </c>
      <c r="I493" s="4">
        <v>44765</v>
      </c>
      <c r="J493" s="4">
        <v>44795</v>
      </c>
      <c r="K493" t="s">
        <v>343</v>
      </c>
      <c r="L493" t="s">
        <v>18</v>
      </c>
      <c r="M493" t="s">
        <v>19</v>
      </c>
      <c r="N493" t="s">
        <v>20</v>
      </c>
      <c r="O493">
        <v>30</v>
      </c>
    </row>
    <row r="494" spans="1:15" hidden="1" x14ac:dyDescent="0.25">
      <c r="A494" t="s">
        <v>2820</v>
      </c>
      <c r="B494" t="s">
        <v>13</v>
      </c>
      <c r="C494" t="s">
        <v>14</v>
      </c>
      <c r="D494" t="s">
        <v>15</v>
      </c>
      <c r="E494" t="s">
        <v>569</v>
      </c>
      <c r="F494" s="3">
        <v>2116541</v>
      </c>
      <c r="G494" s="2">
        <f t="shared" si="14"/>
        <v>30</v>
      </c>
      <c r="H494" s="2">
        <f t="shared" ca="1" si="15"/>
        <v>1355</v>
      </c>
      <c r="I494" s="4">
        <v>44765</v>
      </c>
      <c r="J494" s="4">
        <v>44795</v>
      </c>
      <c r="K494" t="s">
        <v>343</v>
      </c>
      <c r="L494" t="s">
        <v>18</v>
      </c>
      <c r="M494" t="s">
        <v>19</v>
      </c>
      <c r="N494" t="s">
        <v>20</v>
      </c>
      <c r="O494">
        <v>30</v>
      </c>
    </row>
    <row r="495" spans="1:15" hidden="1" x14ac:dyDescent="0.25">
      <c r="A495" t="s">
        <v>2820</v>
      </c>
      <c r="B495" t="s">
        <v>13</v>
      </c>
      <c r="C495" t="s">
        <v>14</v>
      </c>
      <c r="D495" t="s">
        <v>15</v>
      </c>
      <c r="E495" t="s">
        <v>570</v>
      </c>
      <c r="F495" s="3">
        <v>2643600</v>
      </c>
      <c r="G495" s="2">
        <f t="shared" si="14"/>
        <v>30</v>
      </c>
      <c r="H495" s="2">
        <f t="shared" ca="1" si="15"/>
        <v>1355</v>
      </c>
      <c r="I495" s="4">
        <v>44765</v>
      </c>
      <c r="J495" s="4">
        <v>44795</v>
      </c>
      <c r="K495" t="s">
        <v>343</v>
      </c>
      <c r="L495" t="s">
        <v>18</v>
      </c>
      <c r="M495" t="s">
        <v>19</v>
      </c>
      <c r="N495" t="s">
        <v>20</v>
      </c>
      <c r="O495">
        <v>30</v>
      </c>
    </row>
    <row r="496" spans="1:15" hidden="1" x14ac:dyDescent="0.25">
      <c r="A496" t="s">
        <v>2820</v>
      </c>
      <c r="B496" t="s">
        <v>13</v>
      </c>
      <c r="C496" t="s">
        <v>14</v>
      </c>
      <c r="D496" t="s">
        <v>15</v>
      </c>
      <c r="E496" t="s">
        <v>571</v>
      </c>
      <c r="F496" s="3">
        <v>5586385</v>
      </c>
      <c r="G496" s="2">
        <f t="shared" si="14"/>
        <v>30</v>
      </c>
      <c r="H496" s="2">
        <f t="shared" ca="1" si="15"/>
        <v>1355</v>
      </c>
      <c r="I496" s="4">
        <v>44765</v>
      </c>
      <c r="J496" s="4">
        <v>44795</v>
      </c>
      <c r="K496" t="s">
        <v>343</v>
      </c>
      <c r="L496" t="s">
        <v>18</v>
      </c>
      <c r="M496" t="s">
        <v>19</v>
      </c>
      <c r="N496" t="s">
        <v>20</v>
      </c>
      <c r="O496">
        <v>30</v>
      </c>
    </row>
    <row r="497" spans="1:15" hidden="1" x14ac:dyDescent="0.25">
      <c r="A497" t="s">
        <v>2820</v>
      </c>
      <c r="B497" t="s">
        <v>1391</v>
      </c>
      <c r="C497" t="s">
        <v>1392</v>
      </c>
      <c r="D497" t="s">
        <v>1323</v>
      </c>
      <c r="E497" t="s">
        <v>1393</v>
      </c>
      <c r="F497" s="3">
        <v>79027</v>
      </c>
      <c r="G497" s="2">
        <f t="shared" si="14"/>
        <v>30</v>
      </c>
      <c r="H497" s="2">
        <f t="shared" ca="1" si="15"/>
        <v>1355</v>
      </c>
      <c r="I497" s="4">
        <v>44765</v>
      </c>
      <c r="J497" s="4">
        <v>44795</v>
      </c>
      <c r="K497" t="s">
        <v>1325</v>
      </c>
      <c r="L497" t="s">
        <v>90</v>
      </c>
      <c r="M497" t="s">
        <v>19</v>
      </c>
      <c r="N497" t="s">
        <v>1394</v>
      </c>
      <c r="O497">
        <v>30</v>
      </c>
    </row>
    <row r="498" spans="1:15" hidden="1" x14ac:dyDescent="0.25">
      <c r="A498" t="s">
        <v>2820</v>
      </c>
      <c r="B498" t="s">
        <v>13</v>
      </c>
      <c r="C498" t="s">
        <v>14</v>
      </c>
      <c r="D498" t="s">
        <v>15</v>
      </c>
      <c r="E498" t="s">
        <v>754</v>
      </c>
      <c r="F498" s="3">
        <v>1205579</v>
      </c>
      <c r="G498" s="2">
        <f t="shared" si="14"/>
        <v>30</v>
      </c>
      <c r="H498" s="2">
        <f t="shared" ca="1" si="15"/>
        <v>1351</v>
      </c>
      <c r="I498" s="4">
        <v>44769</v>
      </c>
      <c r="J498" s="4">
        <v>44799</v>
      </c>
      <c r="K498" t="s">
        <v>716</v>
      </c>
      <c r="L498" t="s">
        <v>18</v>
      </c>
      <c r="M498" t="s">
        <v>19</v>
      </c>
      <c r="N498" t="s">
        <v>20</v>
      </c>
      <c r="O498">
        <v>30</v>
      </c>
    </row>
    <row r="499" spans="1:15" hidden="1" x14ac:dyDescent="0.25">
      <c r="A499" t="s">
        <v>2820</v>
      </c>
      <c r="B499" t="s">
        <v>13</v>
      </c>
      <c r="C499" t="s">
        <v>14</v>
      </c>
      <c r="D499" t="s">
        <v>15</v>
      </c>
      <c r="E499" t="s">
        <v>822</v>
      </c>
      <c r="F499" s="3">
        <v>1193502</v>
      </c>
      <c r="G499" s="2">
        <f t="shared" si="14"/>
        <v>30</v>
      </c>
      <c r="H499" s="2">
        <f t="shared" ca="1" si="15"/>
        <v>1351</v>
      </c>
      <c r="I499" s="4">
        <v>44769</v>
      </c>
      <c r="J499" s="4">
        <v>44799</v>
      </c>
      <c r="K499" t="s">
        <v>766</v>
      </c>
      <c r="L499" t="s">
        <v>18</v>
      </c>
      <c r="M499" t="s">
        <v>19</v>
      </c>
      <c r="N499" t="s">
        <v>20</v>
      </c>
      <c r="O499">
        <v>30</v>
      </c>
    </row>
    <row r="500" spans="1:15" hidden="1" x14ac:dyDescent="0.25">
      <c r="A500" t="s">
        <v>2820</v>
      </c>
      <c r="B500" t="s">
        <v>13</v>
      </c>
      <c r="C500" t="s">
        <v>14</v>
      </c>
      <c r="D500" t="s">
        <v>15</v>
      </c>
      <c r="E500" t="s">
        <v>572</v>
      </c>
      <c r="F500" s="3">
        <v>3064680</v>
      </c>
      <c r="G500" s="2">
        <f t="shared" si="14"/>
        <v>30</v>
      </c>
      <c r="H500" s="2">
        <f t="shared" ca="1" si="15"/>
        <v>1350</v>
      </c>
      <c r="I500" s="4">
        <v>44770</v>
      </c>
      <c r="J500" s="4">
        <v>44800</v>
      </c>
      <c r="K500" t="s">
        <v>343</v>
      </c>
      <c r="L500" t="s">
        <v>18</v>
      </c>
      <c r="M500" t="s">
        <v>19</v>
      </c>
      <c r="N500" t="s">
        <v>20</v>
      </c>
      <c r="O500">
        <v>30</v>
      </c>
    </row>
    <row r="501" spans="1:15" hidden="1" x14ac:dyDescent="0.25">
      <c r="A501" t="s">
        <v>2820</v>
      </c>
      <c r="B501" t="s">
        <v>13</v>
      </c>
      <c r="C501" t="s">
        <v>14</v>
      </c>
      <c r="D501" t="s">
        <v>15</v>
      </c>
      <c r="E501" t="s">
        <v>1044</v>
      </c>
      <c r="F501" s="3">
        <v>1293000</v>
      </c>
      <c r="G501" s="2">
        <f t="shared" si="14"/>
        <v>30</v>
      </c>
      <c r="H501" s="2">
        <f t="shared" ca="1" si="15"/>
        <v>1350</v>
      </c>
      <c r="I501" s="4">
        <v>44770</v>
      </c>
      <c r="J501" s="4">
        <v>44800</v>
      </c>
      <c r="K501" t="s">
        <v>989</v>
      </c>
      <c r="L501" t="s">
        <v>18</v>
      </c>
      <c r="M501" t="s">
        <v>19</v>
      </c>
      <c r="N501" t="s">
        <v>20</v>
      </c>
      <c r="O501">
        <v>30</v>
      </c>
    </row>
    <row r="502" spans="1:15" hidden="1" x14ac:dyDescent="0.25">
      <c r="A502" t="s">
        <v>2820</v>
      </c>
      <c r="B502" t="s">
        <v>13</v>
      </c>
      <c r="C502" t="s">
        <v>14</v>
      </c>
      <c r="D502" t="s">
        <v>15</v>
      </c>
      <c r="E502" t="s">
        <v>706</v>
      </c>
      <c r="F502" s="3">
        <v>9020000</v>
      </c>
      <c r="G502" s="2">
        <f t="shared" si="14"/>
        <v>30</v>
      </c>
      <c r="H502" s="2">
        <f t="shared" ca="1" si="15"/>
        <v>1349</v>
      </c>
      <c r="I502" s="4">
        <v>44771</v>
      </c>
      <c r="J502" s="4">
        <v>44801</v>
      </c>
      <c r="K502" t="s">
        <v>638</v>
      </c>
      <c r="L502" t="s">
        <v>18</v>
      </c>
      <c r="M502" t="s">
        <v>19</v>
      </c>
      <c r="N502" t="s">
        <v>20</v>
      </c>
      <c r="O502">
        <v>30</v>
      </c>
    </row>
    <row r="503" spans="1:15" hidden="1" x14ac:dyDescent="0.25">
      <c r="A503" t="s">
        <v>2820</v>
      </c>
      <c r="B503" t="s">
        <v>13</v>
      </c>
      <c r="C503" t="s">
        <v>14</v>
      </c>
      <c r="D503" t="s">
        <v>15</v>
      </c>
      <c r="E503" t="s">
        <v>755</v>
      </c>
      <c r="F503" s="3">
        <v>4510000</v>
      </c>
      <c r="G503" s="2">
        <f t="shared" si="14"/>
        <v>30</v>
      </c>
      <c r="H503" s="2">
        <f t="shared" ca="1" si="15"/>
        <v>1349</v>
      </c>
      <c r="I503" s="4">
        <v>44771</v>
      </c>
      <c r="J503" s="4">
        <v>44801</v>
      </c>
      <c r="K503" t="s">
        <v>716</v>
      </c>
      <c r="L503" t="s">
        <v>18</v>
      </c>
      <c r="M503" t="s">
        <v>19</v>
      </c>
      <c r="N503" t="s">
        <v>20</v>
      </c>
      <c r="O503">
        <v>30</v>
      </c>
    </row>
    <row r="504" spans="1:15" hidden="1" x14ac:dyDescent="0.25">
      <c r="A504" t="s">
        <v>2820</v>
      </c>
      <c r="B504" t="s">
        <v>13</v>
      </c>
      <c r="C504" t="s">
        <v>14</v>
      </c>
      <c r="D504" t="s">
        <v>15</v>
      </c>
      <c r="E504" t="s">
        <v>823</v>
      </c>
      <c r="F504" s="3">
        <v>4510000</v>
      </c>
      <c r="G504" s="2">
        <f t="shared" si="14"/>
        <v>30</v>
      </c>
      <c r="H504" s="2">
        <f t="shared" ca="1" si="15"/>
        <v>1349</v>
      </c>
      <c r="I504" s="4">
        <v>44771</v>
      </c>
      <c r="J504" s="4">
        <v>44801</v>
      </c>
      <c r="K504" t="s">
        <v>766</v>
      </c>
      <c r="L504" t="s">
        <v>18</v>
      </c>
      <c r="M504" t="s">
        <v>19</v>
      </c>
      <c r="N504" t="s">
        <v>20</v>
      </c>
      <c r="O504">
        <v>30</v>
      </c>
    </row>
    <row r="505" spans="1:15" hidden="1" x14ac:dyDescent="0.25">
      <c r="A505" t="s">
        <v>2820</v>
      </c>
      <c r="B505" t="s">
        <v>13</v>
      </c>
      <c r="C505" t="s">
        <v>14</v>
      </c>
      <c r="D505" t="s">
        <v>15</v>
      </c>
      <c r="E505" t="s">
        <v>1045</v>
      </c>
      <c r="F505" s="3">
        <v>13093000</v>
      </c>
      <c r="G505" s="2">
        <f t="shared" si="14"/>
        <v>30</v>
      </c>
      <c r="H505" s="2">
        <f t="shared" ca="1" si="15"/>
        <v>1349</v>
      </c>
      <c r="I505" s="4">
        <v>44771</v>
      </c>
      <c r="J505" s="4">
        <v>44801</v>
      </c>
      <c r="K505" t="s">
        <v>989</v>
      </c>
      <c r="L505" t="s">
        <v>18</v>
      </c>
      <c r="M505" t="s">
        <v>19</v>
      </c>
      <c r="N505" t="s">
        <v>20</v>
      </c>
      <c r="O505">
        <v>30</v>
      </c>
    </row>
    <row r="506" spans="1:15" hidden="1" x14ac:dyDescent="0.25">
      <c r="A506" t="s">
        <v>2820</v>
      </c>
      <c r="B506" t="s">
        <v>13</v>
      </c>
      <c r="C506" t="s">
        <v>14</v>
      </c>
      <c r="D506" t="s">
        <v>15</v>
      </c>
      <c r="E506" t="s">
        <v>279</v>
      </c>
      <c r="F506" s="3">
        <v>16257000</v>
      </c>
      <c r="G506" s="2">
        <f t="shared" si="14"/>
        <v>30</v>
      </c>
      <c r="H506" s="2">
        <f t="shared" ca="1" si="15"/>
        <v>1348</v>
      </c>
      <c r="I506" s="4">
        <v>44772</v>
      </c>
      <c r="J506" s="4">
        <v>44802</v>
      </c>
      <c r="K506" t="s">
        <v>17</v>
      </c>
      <c r="L506" t="s">
        <v>18</v>
      </c>
      <c r="M506" t="s">
        <v>19</v>
      </c>
      <c r="N506" t="s">
        <v>20</v>
      </c>
      <c r="O506">
        <v>30</v>
      </c>
    </row>
    <row r="507" spans="1:15" hidden="1" x14ac:dyDescent="0.25">
      <c r="A507" t="s">
        <v>2820</v>
      </c>
      <c r="B507" t="s">
        <v>13</v>
      </c>
      <c r="C507" t="s">
        <v>14</v>
      </c>
      <c r="D507" t="s">
        <v>15</v>
      </c>
      <c r="E507" t="s">
        <v>280</v>
      </c>
      <c r="F507" s="3">
        <v>5866795</v>
      </c>
      <c r="G507" s="2">
        <f t="shared" si="14"/>
        <v>30</v>
      </c>
      <c r="H507" s="2">
        <f t="shared" ca="1" si="15"/>
        <v>1348</v>
      </c>
      <c r="I507" s="4">
        <v>44772</v>
      </c>
      <c r="J507" s="4">
        <v>44802</v>
      </c>
      <c r="K507" t="s">
        <v>17</v>
      </c>
      <c r="L507" t="s">
        <v>18</v>
      </c>
      <c r="M507" t="s">
        <v>19</v>
      </c>
      <c r="N507" t="s">
        <v>20</v>
      </c>
      <c r="O507">
        <v>30</v>
      </c>
    </row>
    <row r="508" spans="1:15" hidden="1" x14ac:dyDescent="0.25">
      <c r="A508" t="s">
        <v>2820</v>
      </c>
      <c r="B508" t="s">
        <v>13</v>
      </c>
      <c r="C508" t="s">
        <v>14</v>
      </c>
      <c r="D508" t="s">
        <v>15</v>
      </c>
      <c r="E508" t="s">
        <v>573</v>
      </c>
      <c r="F508" s="3">
        <v>5134758</v>
      </c>
      <c r="G508" s="2">
        <f t="shared" si="14"/>
        <v>30</v>
      </c>
      <c r="H508" s="2">
        <f t="shared" ca="1" si="15"/>
        <v>1343</v>
      </c>
      <c r="I508" s="4">
        <v>44777</v>
      </c>
      <c r="J508" s="4">
        <v>44807</v>
      </c>
      <c r="K508" t="s">
        <v>343</v>
      </c>
      <c r="L508" t="s">
        <v>18</v>
      </c>
      <c r="M508" t="s">
        <v>19</v>
      </c>
      <c r="N508" t="s">
        <v>20</v>
      </c>
      <c r="O508">
        <v>30</v>
      </c>
    </row>
    <row r="509" spans="1:15" hidden="1" x14ac:dyDescent="0.25">
      <c r="A509" t="s">
        <v>2820</v>
      </c>
      <c r="B509" t="s">
        <v>13</v>
      </c>
      <c r="C509" t="s">
        <v>14</v>
      </c>
      <c r="D509" t="s">
        <v>15</v>
      </c>
      <c r="E509" t="s">
        <v>574</v>
      </c>
      <c r="F509" s="3">
        <v>545400</v>
      </c>
      <c r="G509" s="2">
        <f t="shared" si="14"/>
        <v>30</v>
      </c>
      <c r="H509" s="2">
        <f t="shared" ca="1" si="15"/>
        <v>1343</v>
      </c>
      <c r="I509" s="4">
        <v>44777</v>
      </c>
      <c r="J509" s="4">
        <v>44807</v>
      </c>
      <c r="K509" t="s">
        <v>343</v>
      </c>
      <c r="L509" t="s">
        <v>18</v>
      </c>
      <c r="M509" t="s">
        <v>19</v>
      </c>
      <c r="N509" t="s">
        <v>20</v>
      </c>
      <c r="O509">
        <v>30</v>
      </c>
    </row>
    <row r="510" spans="1:15" hidden="1" x14ac:dyDescent="0.25">
      <c r="A510" t="s">
        <v>2820</v>
      </c>
      <c r="B510" t="s">
        <v>13</v>
      </c>
      <c r="C510" t="s">
        <v>14</v>
      </c>
      <c r="D510" t="s">
        <v>15</v>
      </c>
      <c r="E510" t="s">
        <v>575</v>
      </c>
      <c r="F510" s="3">
        <v>1852817</v>
      </c>
      <c r="G510" s="2">
        <f t="shared" si="14"/>
        <v>30</v>
      </c>
      <c r="H510" s="2">
        <f t="shared" ca="1" si="15"/>
        <v>1343</v>
      </c>
      <c r="I510" s="4">
        <v>44777</v>
      </c>
      <c r="J510" s="4">
        <v>44807</v>
      </c>
      <c r="K510" t="s">
        <v>343</v>
      </c>
      <c r="L510" t="s">
        <v>18</v>
      </c>
      <c r="M510" t="s">
        <v>19</v>
      </c>
      <c r="N510" t="s">
        <v>20</v>
      </c>
      <c r="O510">
        <v>30</v>
      </c>
    </row>
    <row r="511" spans="1:15" hidden="1" x14ac:dyDescent="0.25">
      <c r="A511" t="s">
        <v>2820</v>
      </c>
      <c r="B511" t="s">
        <v>13</v>
      </c>
      <c r="C511" t="s">
        <v>14</v>
      </c>
      <c r="D511" t="s">
        <v>15</v>
      </c>
      <c r="E511" t="s">
        <v>576</v>
      </c>
      <c r="F511" s="3">
        <v>1934338</v>
      </c>
      <c r="G511" s="2">
        <f t="shared" si="14"/>
        <v>30</v>
      </c>
      <c r="H511" s="2">
        <f t="shared" ca="1" si="15"/>
        <v>1343</v>
      </c>
      <c r="I511" s="4">
        <v>44777</v>
      </c>
      <c r="J511" s="4">
        <v>44807</v>
      </c>
      <c r="K511" t="s">
        <v>343</v>
      </c>
      <c r="L511" t="s">
        <v>18</v>
      </c>
      <c r="M511" t="s">
        <v>19</v>
      </c>
      <c r="N511" t="s">
        <v>20</v>
      </c>
      <c r="O511">
        <v>30</v>
      </c>
    </row>
    <row r="512" spans="1:15" hidden="1" x14ac:dyDescent="0.25">
      <c r="A512" t="s">
        <v>2820</v>
      </c>
      <c r="B512" t="s">
        <v>13</v>
      </c>
      <c r="C512" t="s">
        <v>14</v>
      </c>
      <c r="D512" t="s">
        <v>15</v>
      </c>
      <c r="E512" t="s">
        <v>577</v>
      </c>
      <c r="F512" s="3">
        <v>3075861</v>
      </c>
      <c r="G512" s="2">
        <f t="shared" si="14"/>
        <v>30</v>
      </c>
      <c r="H512" s="2">
        <f t="shared" ca="1" si="15"/>
        <v>1343</v>
      </c>
      <c r="I512" s="4">
        <v>44777</v>
      </c>
      <c r="J512" s="4">
        <v>44807</v>
      </c>
      <c r="K512" t="s">
        <v>343</v>
      </c>
      <c r="L512" t="s">
        <v>18</v>
      </c>
      <c r="M512" t="s">
        <v>19</v>
      </c>
      <c r="N512" t="s">
        <v>20</v>
      </c>
      <c r="O512">
        <v>30</v>
      </c>
    </row>
    <row r="513" spans="1:15" hidden="1" x14ac:dyDescent="0.25">
      <c r="A513" t="s">
        <v>2820</v>
      </c>
      <c r="B513" t="s">
        <v>13</v>
      </c>
      <c r="C513" t="s">
        <v>14</v>
      </c>
      <c r="D513" t="s">
        <v>15</v>
      </c>
      <c r="E513" t="s">
        <v>281</v>
      </c>
      <c r="F513" s="3">
        <v>1587740</v>
      </c>
      <c r="G513" s="2">
        <f t="shared" si="14"/>
        <v>30</v>
      </c>
      <c r="H513" s="2">
        <f t="shared" ca="1" si="15"/>
        <v>1341</v>
      </c>
      <c r="I513" s="4">
        <v>44779</v>
      </c>
      <c r="J513" s="4">
        <v>44809</v>
      </c>
      <c r="K513" t="s">
        <v>17</v>
      </c>
      <c r="L513" t="s">
        <v>18</v>
      </c>
      <c r="M513" t="s">
        <v>19</v>
      </c>
      <c r="N513" t="s">
        <v>20</v>
      </c>
      <c r="O513">
        <v>30</v>
      </c>
    </row>
    <row r="514" spans="1:15" hidden="1" x14ac:dyDescent="0.25">
      <c r="A514" t="s">
        <v>2820</v>
      </c>
      <c r="B514" t="s">
        <v>13</v>
      </c>
      <c r="C514" t="s">
        <v>14</v>
      </c>
      <c r="D514" t="s">
        <v>15</v>
      </c>
      <c r="E514" t="s">
        <v>756</v>
      </c>
      <c r="F514" s="3">
        <v>6328000</v>
      </c>
      <c r="G514" s="2">
        <f t="shared" ref="G514:G577" si="16">+J514-I514</f>
        <v>30</v>
      </c>
      <c r="H514" s="2">
        <f t="shared" ref="H514:H577" ca="1" si="17">+TODAY()-I514</f>
        <v>1336</v>
      </c>
      <c r="I514" s="4">
        <v>44784</v>
      </c>
      <c r="J514" s="4">
        <v>44814</v>
      </c>
      <c r="K514" t="s">
        <v>716</v>
      </c>
      <c r="L514" t="s">
        <v>18</v>
      </c>
      <c r="M514" t="s">
        <v>19</v>
      </c>
      <c r="N514" t="s">
        <v>20</v>
      </c>
      <c r="O514">
        <v>30</v>
      </c>
    </row>
    <row r="515" spans="1:15" hidden="1" x14ac:dyDescent="0.25">
      <c r="A515" t="s">
        <v>2820</v>
      </c>
      <c r="B515" t="s">
        <v>13</v>
      </c>
      <c r="C515" t="s">
        <v>14</v>
      </c>
      <c r="D515" t="s">
        <v>15</v>
      </c>
      <c r="E515" t="s">
        <v>757</v>
      </c>
      <c r="F515" s="3">
        <v>1229612</v>
      </c>
      <c r="G515" s="2">
        <f t="shared" si="16"/>
        <v>30</v>
      </c>
      <c r="H515" s="2">
        <f t="shared" ca="1" si="17"/>
        <v>1336</v>
      </c>
      <c r="I515" s="4">
        <v>44784</v>
      </c>
      <c r="J515" s="4">
        <v>44814</v>
      </c>
      <c r="K515" t="s">
        <v>716</v>
      </c>
      <c r="L515" t="s">
        <v>18</v>
      </c>
      <c r="M515" t="s">
        <v>19</v>
      </c>
      <c r="N515" t="s">
        <v>20</v>
      </c>
      <c r="O515">
        <v>30</v>
      </c>
    </row>
    <row r="516" spans="1:15" hidden="1" x14ac:dyDescent="0.25">
      <c r="A516" t="s">
        <v>2820</v>
      </c>
      <c r="B516" t="s">
        <v>13</v>
      </c>
      <c r="C516" t="s">
        <v>14</v>
      </c>
      <c r="D516" t="s">
        <v>15</v>
      </c>
      <c r="E516" t="s">
        <v>824</v>
      </c>
      <c r="F516" s="3">
        <v>2112388</v>
      </c>
      <c r="G516" s="2">
        <f t="shared" si="16"/>
        <v>30</v>
      </c>
      <c r="H516" s="2">
        <f t="shared" ca="1" si="17"/>
        <v>1336</v>
      </c>
      <c r="I516" s="4">
        <v>44784</v>
      </c>
      <c r="J516" s="4">
        <v>44814</v>
      </c>
      <c r="K516" t="s">
        <v>766</v>
      </c>
      <c r="L516" t="s">
        <v>18</v>
      </c>
      <c r="M516" t="s">
        <v>19</v>
      </c>
      <c r="N516" t="s">
        <v>20</v>
      </c>
      <c r="O516">
        <v>30</v>
      </c>
    </row>
    <row r="517" spans="1:15" hidden="1" x14ac:dyDescent="0.25">
      <c r="A517" t="s">
        <v>2820</v>
      </c>
      <c r="B517" t="s">
        <v>13</v>
      </c>
      <c r="C517" t="s">
        <v>14</v>
      </c>
      <c r="D517" t="s">
        <v>15</v>
      </c>
      <c r="E517" t="s">
        <v>825</v>
      </c>
      <c r="F517" s="3">
        <v>584795</v>
      </c>
      <c r="G517" s="2">
        <f t="shared" si="16"/>
        <v>30</v>
      </c>
      <c r="H517" s="2">
        <f t="shared" ca="1" si="17"/>
        <v>1336</v>
      </c>
      <c r="I517" s="4">
        <v>44784</v>
      </c>
      <c r="J517" s="4">
        <v>44814</v>
      </c>
      <c r="K517" t="s">
        <v>766</v>
      </c>
      <c r="L517" t="s">
        <v>18</v>
      </c>
      <c r="M517" t="s">
        <v>19</v>
      </c>
      <c r="N517" t="s">
        <v>20</v>
      </c>
      <c r="O517">
        <v>30</v>
      </c>
    </row>
    <row r="518" spans="1:15" hidden="1" x14ac:dyDescent="0.25">
      <c r="A518" t="s">
        <v>2820</v>
      </c>
      <c r="B518" t="s">
        <v>13</v>
      </c>
      <c r="C518" t="s">
        <v>14</v>
      </c>
      <c r="D518" t="s">
        <v>15</v>
      </c>
      <c r="E518" t="s">
        <v>282</v>
      </c>
      <c r="F518" s="3">
        <v>850857</v>
      </c>
      <c r="G518" s="2">
        <f t="shared" si="16"/>
        <v>30</v>
      </c>
      <c r="H518" s="2">
        <f t="shared" ca="1" si="17"/>
        <v>1335</v>
      </c>
      <c r="I518" s="4">
        <v>44785</v>
      </c>
      <c r="J518" s="4">
        <v>44815</v>
      </c>
      <c r="K518" t="s">
        <v>17</v>
      </c>
      <c r="L518" t="s">
        <v>18</v>
      </c>
      <c r="M518" t="s">
        <v>19</v>
      </c>
      <c r="N518" t="s">
        <v>20</v>
      </c>
      <c r="O518">
        <v>30</v>
      </c>
    </row>
    <row r="519" spans="1:15" hidden="1" x14ac:dyDescent="0.25">
      <c r="A519" t="s">
        <v>2820</v>
      </c>
      <c r="B519" t="s">
        <v>13</v>
      </c>
      <c r="C519" t="s">
        <v>14</v>
      </c>
      <c r="D519" t="s">
        <v>15</v>
      </c>
      <c r="E519" t="s">
        <v>707</v>
      </c>
      <c r="F519" s="3">
        <v>1166714</v>
      </c>
      <c r="G519" s="2">
        <f t="shared" si="16"/>
        <v>30</v>
      </c>
      <c r="H519" s="2">
        <f t="shared" ca="1" si="17"/>
        <v>1335</v>
      </c>
      <c r="I519" s="4">
        <v>44785</v>
      </c>
      <c r="J519" s="4">
        <v>44815</v>
      </c>
      <c r="K519" t="s">
        <v>638</v>
      </c>
      <c r="L519" t="s">
        <v>18</v>
      </c>
      <c r="M519" t="s">
        <v>19</v>
      </c>
      <c r="N519" t="s">
        <v>20</v>
      </c>
      <c r="O519">
        <v>30</v>
      </c>
    </row>
    <row r="520" spans="1:15" hidden="1" x14ac:dyDescent="0.25">
      <c r="A520" t="s">
        <v>2820</v>
      </c>
      <c r="B520" t="s">
        <v>13</v>
      </c>
      <c r="C520" t="s">
        <v>14</v>
      </c>
      <c r="D520" t="s">
        <v>15</v>
      </c>
      <c r="E520" t="s">
        <v>1046</v>
      </c>
      <c r="F520" s="3">
        <v>13093000</v>
      </c>
      <c r="G520" s="2">
        <f t="shared" si="16"/>
        <v>30</v>
      </c>
      <c r="H520" s="2">
        <f t="shared" ca="1" si="17"/>
        <v>1335</v>
      </c>
      <c r="I520" s="4">
        <v>44785</v>
      </c>
      <c r="J520" s="4">
        <v>44815</v>
      </c>
      <c r="K520" t="s">
        <v>989</v>
      </c>
      <c r="L520" t="s">
        <v>18</v>
      </c>
      <c r="M520" t="s">
        <v>19</v>
      </c>
      <c r="N520" t="s">
        <v>20</v>
      </c>
      <c r="O520">
        <v>30</v>
      </c>
    </row>
    <row r="521" spans="1:15" hidden="1" x14ac:dyDescent="0.25">
      <c r="A521" t="s">
        <v>2820</v>
      </c>
      <c r="B521" t="s">
        <v>13</v>
      </c>
      <c r="C521" t="s">
        <v>14</v>
      </c>
      <c r="D521" t="s">
        <v>15</v>
      </c>
      <c r="E521" t="s">
        <v>1047</v>
      </c>
      <c r="F521" s="3">
        <v>530400</v>
      </c>
      <c r="G521" s="2">
        <f t="shared" si="16"/>
        <v>30</v>
      </c>
      <c r="H521" s="2">
        <f t="shared" ca="1" si="17"/>
        <v>1335</v>
      </c>
      <c r="I521" s="4">
        <v>44785</v>
      </c>
      <c r="J521" s="4">
        <v>44815</v>
      </c>
      <c r="K521" t="s">
        <v>989</v>
      </c>
      <c r="L521" t="s">
        <v>18</v>
      </c>
      <c r="M521" t="s">
        <v>19</v>
      </c>
      <c r="N521" t="s">
        <v>20</v>
      </c>
      <c r="O521">
        <v>30</v>
      </c>
    </row>
    <row r="522" spans="1:15" hidden="1" x14ac:dyDescent="0.25">
      <c r="A522" t="s">
        <v>2820</v>
      </c>
      <c r="B522" t="s">
        <v>13</v>
      </c>
      <c r="C522" t="s">
        <v>14</v>
      </c>
      <c r="D522" t="s">
        <v>15</v>
      </c>
      <c r="E522" t="s">
        <v>283</v>
      </c>
      <c r="F522" s="3">
        <v>2350805</v>
      </c>
      <c r="G522" s="2">
        <f t="shared" si="16"/>
        <v>30</v>
      </c>
      <c r="H522" s="2">
        <f t="shared" ca="1" si="17"/>
        <v>1334</v>
      </c>
      <c r="I522" s="4">
        <v>44786</v>
      </c>
      <c r="J522" s="4">
        <v>44816</v>
      </c>
      <c r="K522" t="s">
        <v>17</v>
      </c>
      <c r="L522" t="s">
        <v>18</v>
      </c>
      <c r="M522" t="s">
        <v>19</v>
      </c>
      <c r="N522" t="s">
        <v>20</v>
      </c>
      <c r="O522">
        <v>30</v>
      </c>
    </row>
    <row r="523" spans="1:15" hidden="1" x14ac:dyDescent="0.25">
      <c r="A523" t="s">
        <v>2820</v>
      </c>
      <c r="B523" t="s">
        <v>13</v>
      </c>
      <c r="C523" t="s">
        <v>14</v>
      </c>
      <c r="D523" t="s">
        <v>15</v>
      </c>
      <c r="E523" t="s">
        <v>284</v>
      </c>
      <c r="F523" s="3">
        <v>511393</v>
      </c>
      <c r="G523" s="2">
        <f t="shared" si="16"/>
        <v>30</v>
      </c>
      <c r="H523" s="2">
        <f t="shared" ca="1" si="17"/>
        <v>1334</v>
      </c>
      <c r="I523" s="4">
        <v>44786</v>
      </c>
      <c r="J523" s="4">
        <v>44816</v>
      </c>
      <c r="K523" t="s">
        <v>17</v>
      </c>
      <c r="L523" t="s">
        <v>18</v>
      </c>
      <c r="M523" t="s">
        <v>19</v>
      </c>
      <c r="N523" t="s">
        <v>20</v>
      </c>
      <c r="O523">
        <v>30</v>
      </c>
    </row>
    <row r="524" spans="1:15" hidden="1" x14ac:dyDescent="0.25">
      <c r="A524" t="s">
        <v>2820</v>
      </c>
      <c r="B524" t="s">
        <v>13</v>
      </c>
      <c r="C524" t="s">
        <v>14</v>
      </c>
      <c r="D524" t="s">
        <v>15</v>
      </c>
      <c r="E524" t="s">
        <v>578</v>
      </c>
      <c r="F524" s="3">
        <v>3539174</v>
      </c>
      <c r="G524" s="2">
        <f t="shared" si="16"/>
        <v>30</v>
      </c>
      <c r="H524" s="2">
        <f t="shared" ca="1" si="17"/>
        <v>1330</v>
      </c>
      <c r="I524" s="4">
        <v>44790</v>
      </c>
      <c r="J524" s="4">
        <v>44820</v>
      </c>
      <c r="K524" t="s">
        <v>343</v>
      </c>
      <c r="L524" t="s">
        <v>18</v>
      </c>
      <c r="M524" t="s">
        <v>19</v>
      </c>
      <c r="N524" t="s">
        <v>20</v>
      </c>
      <c r="O524">
        <v>30</v>
      </c>
    </row>
    <row r="525" spans="1:15" hidden="1" x14ac:dyDescent="0.25">
      <c r="A525" t="s">
        <v>2820</v>
      </c>
      <c r="B525" t="s">
        <v>13</v>
      </c>
      <c r="C525" t="s">
        <v>14</v>
      </c>
      <c r="D525" t="s">
        <v>15</v>
      </c>
      <c r="E525" t="s">
        <v>579</v>
      </c>
      <c r="F525" s="3">
        <v>1840200</v>
      </c>
      <c r="G525" s="2">
        <f t="shared" si="16"/>
        <v>30</v>
      </c>
      <c r="H525" s="2">
        <f t="shared" ca="1" si="17"/>
        <v>1330</v>
      </c>
      <c r="I525" s="4">
        <v>44790</v>
      </c>
      <c r="J525" s="4">
        <v>44820</v>
      </c>
      <c r="K525" t="s">
        <v>343</v>
      </c>
      <c r="L525" t="s">
        <v>18</v>
      </c>
      <c r="M525" t="s">
        <v>19</v>
      </c>
      <c r="N525" t="s">
        <v>20</v>
      </c>
      <c r="O525">
        <v>30</v>
      </c>
    </row>
    <row r="526" spans="1:15" hidden="1" x14ac:dyDescent="0.25">
      <c r="A526" t="s">
        <v>2820</v>
      </c>
      <c r="B526" t="s">
        <v>13</v>
      </c>
      <c r="C526" t="s">
        <v>14</v>
      </c>
      <c r="D526" t="s">
        <v>15</v>
      </c>
      <c r="E526" t="s">
        <v>580</v>
      </c>
      <c r="F526" s="3">
        <v>2189962</v>
      </c>
      <c r="G526" s="2">
        <f t="shared" si="16"/>
        <v>30</v>
      </c>
      <c r="H526" s="2">
        <f t="shared" ca="1" si="17"/>
        <v>1330</v>
      </c>
      <c r="I526" s="4">
        <v>44790</v>
      </c>
      <c r="J526" s="4">
        <v>44820</v>
      </c>
      <c r="K526" t="s">
        <v>343</v>
      </c>
      <c r="L526" t="s">
        <v>18</v>
      </c>
      <c r="M526" t="s">
        <v>19</v>
      </c>
      <c r="N526" t="s">
        <v>20</v>
      </c>
      <c r="O526">
        <v>30</v>
      </c>
    </row>
    <row r="527" spans="1:15" hidden="1" x14ac:dyDescent="0.25">
      <c r="A527" t="s">
        <v>2820</v>
      </c>
      <c r="B527" t="s">
        <v>13</v>
      </c>
      <c r="C527" t="s">
        <v>14</v>
      </c>
      <c r="D527" t="s">
        <v>15</v>
      </c>
      <c r="E527" t="s">
        <v>581</v>
      </c>
      <c r="F527" s="3">
        <v>2042821</v>
      </c>
      <c r="G527" s="2">
        <f t="shared" si="16"/>
        <v>30</v>
      </c>
      <c r="H527" s="2">
        <f t="shared" ca="1" si="17"/>
        <v>1330</v>
      </c>
      <c r="I527" s="4">
        <v>44790</v>
      </c>
      <c r="J527" s="4">
        <v>44820</v>
      </c>
      <c r="K527" t="s">
        <v>343</v>
      </c>
      <c r="L527" t="s">
        <v>18</v>
      </c>
      <c r="M527" t="s">
        <v>19</v>
      </c>
      <c r="N527" t="s">
        <v>20</v>
      </c>
      <c r="O527">
        <v>30</v>
      </c>
    </row>
    <row r="528" spans="1:15" hidden="1" x14ac:dyDescent="0.25">
      <c r="A528" t="s">
        <v>2820</v>
      </c>
      <c r="B528" t="s">
        <v>13</v>
      </c>
      <c r="C528" t="s">
        <v>14</v>
      </c>
      <c r="D528" t="s">
        <v>15</v>
      </c>
      <c r="E528" t="s">
        <v>582</v>
      </c>
      <c r="F528" s="3">
        <v>382965</v>
      </c>
      <c r="G528" s="2">
        <f t="shared" si="16"/>
        <v>30</v>
      </c>
      <c r="H528" s="2">
        <f t="shared" ca="1" si="17"/>
        <v>1330</v>
      </c>
      <c r="I528" s="4">
        <v>44790</v>
      </c>
      <c r="J528" s="4">
        <v>44820</v>
      </c>
      <c r="K528" t="s">
        <v>343</v>
      </c>
      <c r="L528" t="s">
        <v>18</v>
      </c>
      <c r="M528" t="s">
        <v>19</v>
      </c>
      <c r="N528" t="s">
        <v>20</v>
      </c>
      <c r="O528">
        <v>30</v>
      </c>
    </row>
    <row r="529" spans="1:15" hidden="1" x14ac:dyDescent="0.25">
      <c r="A529" t="s">
        <v>2820</v>
      </c>
      <c r="B529" t="s">
        <v>13</v>
      </c>
      <c r="C529" t="s">
        <v>14</v>
      </c>
      <c r="D529" t="s">
        <v>15</v>
      </c>
      <c r="E529" t="s">
        <v>583</v>
      </c>
      <c r="F529" s="3">
        <v>218879</v>
      </c>
      <c r="G529" s="2">
        <f t="shared" si="16"/>
        <v>30</v>
      </c>
      <c r="H529" s="2">
        <f t="shared" ca="1" si="17"/>
        <v>1330</v>
      </c>
      <c r="I529" s="4">
        <v>44790</v>
      </c>
      <c r="J529" s="4">
        <v>44820</v>
      </c>
      <c r="K529" t="s">
        <v>343</v>
      </c>
      <c r="L529" t="s">
        <v>18</v>
      </c>
      <c r="M529" t="s">
        <v>19</v>
      </c>
      <c r="N529" t="s">
        <v>20</v>
      </c>
      <c r="O529">
        <v>30</v>
      </c>
    </row>
    <row r="530" spans="1:15" hidden="1" x14ac:dyDescent="0.25">
      <c r="A530" t="s">
        <v>2820</v>
      </c>
      <c r="B530" t="s">
        <v>13</v>
      </c>
      <c r="C530" t="s">
        <v>14</v>
      </c>
      <c r="D530" t="s">
        <v>15</v>
      </c>
      <c r="E530" t="s">
        <v>584</v>
      </c>
      <c r="F530" s="3">
        <v>2337397</v>
      </c>
      <c r="G530" s="2">
        <f t="shared" si="16"/>
        <v>30</v>
      </c>
      <c r="H530" s="2">
        <f t="shared" ca="1" si="17"/>
        <v>1328</v>
      </c>
      <c r="I530" s="4">
        <v>44792</v>
      </c>
      <c r="J530" s="4">
        <v>44822</v>
      </c>
      <c r="K530" t="s">
        <v>343</v>
      </c>
      <c r="L530" t="s">
        <v>47</v>
      </c>
      <c r="M530" t="s">
        <v>19</v>
      </c>
      <c r="N530" t="s">
        <v>20</v>
      </c>
      <c r="O530">
        <v>30</v>
      </c>
    </row>
    <row r="531" spans="1:15" hidden="1" x14ac:dyDescent="0.25">
      <c r="A531" t="s">
        <v>2820</v>
      </c>
      <c r="B531" t="s">
        <v>13</v>
      </c>
      <c r="C531" t="s">
        <v>14</v>
      </c>
      <c r="D531" t="s">
        <v>15</v>
      </c>
      <c r="E531" t="s">
        <v>585</v>
      </c>
      <c r="F531" s="3">
        <v>728341</v>
      </c>
      <c r="G531" s="2">
        <f t="shared" si="16"/>
        <v>30</v>
      </c>
      <c r="H531" s="2">
        <f t="shared" ca="1" si="17"/>
        <v>1328</v>
      </c>
      <c r="I531" s="4">
        <v>44792</v>
      </c>
      <c r="J531" s="4">
        <v>44822</v>
      </c>
      <c r="K531" t="s">
        <v>343</v>
      </c>
      <c r="L531" t="s">
        <v>47</v>
      </c>
      <c r="M531" t="s">
        <v>19</v>
      </c>
      <c r="N531" t="s">
        <v>20</v>
      </c>
      <c r="O531">
        <v>30</v>
      </c>
    </row>
    <row r="532" spans="1:15" hidden="1" x14ac:dyDescent="0.25">
      <c r="A532" t="s">
        <v>2820</v>
      </c>
      <c r="B532" t="s">
        <v>13</v>
      </c>
      <c r="C532" t="s">
        <v>14</v>
      </c>
      <c r="D532" t="s">
        <v>15</v>
      </c>
      <c r="E532" t="s">
        <v>586</v>
      </c>
      <c r="F532" s="3">
        <v>301155</v>
      </c>
      <c r="G532" s="2">
        <f t="shared" si="16"/>
        <v>30</v>
      </c>
      <c r="H532" s="2">
        <f t="shared" ca="1" si="17"/>
        <v>1328</v>
      </c>
      <c r="I532" s="4">
        <v>44792</v>
      </c>
      <c r="J532" s="4">
        <v>44822</v>
      </c>
      <c r="K532" t="s">
        <v>343</v>
      </c>
      <c r="L532" t="s">
        <v>47</v>
      </c>
      <c r="M532" t="s">
        <v>19</v>
      </c>
      <c r="N532" t="s">
        <v>20</v>
      </c>
      <c r="O532">
        <v>30</v>
      </c>
    </row>
    <row r="533" spans="1:15" hidden="1" x14ac:dyDescent="0.25">
      <c r="A533" t="s">
        <v>2820</v>
      </c>
      <c r="B533" t="s">
        <v>13</v>
      </c>
      <c r="C533" t="s">
        <v>14</v>
      </c>
      <c r="D533" t="s">
        <v>15</v>
      </c>
      <c r="E533" t="s">
        <v>826</v>
      </c>
      <c r="F533" s="3">
        <v>1701527</v>
      </c>
      <c r="G533" s="2">
        <f t="shared" si="16"/>
        <v>30</v>
      </c>
      <c r="H533" s="2">
        <f t="shared" ca="1" si="17"/>
        <v>1324</v>
      </c>
      <c r="I533" s="4">
        <v>44796</v>
      </c>
      <c r="J533" s="4">
        <v>44826</v>
      </c>
      <c r="K533" t="s">
        <v>766</v>
      </c>
      <c r="L533" t="s">
        <v>18</v>
      </c>
      <c r="M533" t="s">
        <v>19</v>
      </c>
      <c r="N533" t="s">
        <v>20</v>
      </c>
      <c r="O533">
        <v>30</v>
      </c>
    </row>
    <row r="534" spans="1:15" hidden="1" x14ac:dyDescent="0.25">
      <c r="A534" t="s">
        <v>2820</v>
      </c>
      <c r="B534" t="s">
        <v>13</v>
      </c>
      <c r="C534" t="s">
        <v>14</v>
      </c>
      <c r="D534" t="s">
        <v>15</v>
      </c>
      <c r="E534" t="s">
        <v>285</v>
      </c>
      <c r="F534" s="3">
        <v>6905348</v>
      </c>
      <c r="G534" s="2">
        <f t="shared" si="16"/>
        <v>30</v>
      </c>
      <c r="H534" s="2">
        <f t="shared" ca="1" si="17"/>
        <v>1323</v>
      </c>
      <c r="I534" s="4">
        <v>44797</v>
      </c>
      <c r="J534" s="4">
        <v>44827</v>
      </c>
      <c r="K534" t="s">
        <v>17</v>
      </c>
      <c r="L534" t="s">
        <v>18</v>
      </c>
      <c r="M534" t="s">
        <v>19</v>
      </c>
      <c r="N534" t="s">
        <v>20</v>
      </c>
      <c r="O534">
        <v>30</v>
      </c>
    </row>
    <row r="535" spans="1:15" hidden="1" x14ac:dyDescent="0.25">
      <c r="A535" t="s">
        <v>2820</v>
      </c>
      <c r="B535" t="s">
        <v>13</v>
      </c>
      <c r="C535" t="s">
        <v>14</v>
      </c>
      <c r="D535" t="s">
        <v>15</v>
      </c>
      <c r="E535" t="s">
        <v>286</v>
      </c>
      <c r="F535" s="3">
        <v>1195944</v>
      </c>
      <c r="G535" s="2">
        <f t="shared" si="16"/>
        <v>30</v>
      </c>
      <c r="H535" s="2">
        <f t="shared" ca="1" si="17"/>
        <v>1323</v>
      </c>
      <c r="I535" s="4">
        <v>44797</v>
      </c>
      <c r="J535" s="4">
        <v>44827</v>
      </c>
      <c r="K535" t="s">
        <v>17</v>
      </c>
      <c r="L535" t="s">
        <v>18</v>
      </c>
      <c r="M535" t="s">
        <v>19</v>
      </c>
      <c r="N535" t="s">
        <v>20</v>
      </c>
      <c r="O535">
        <v>30</v>
      </c>
    </row>
    <row r="536" spans="1:15" hidden="1" x14ac:dyDescent="0.25">
      <c r="A536" t="s">
        <v>2820</v>
      </c>
      <c r="B536" t="s">
        <v>13</v>
      </c>
      <c r="C536" t="s">
        <v>14</v>
      </c>
      <c r="D536" t="s">
        <v>15</v>
      </c>
      <c r="E536" t="s">
        <v>587</v>
      </c>
      <c r="F536" s="3">
        <v>1166247</v>
      </c>
      <c r="G536" s="2">
        <f t="shared" si="16"/>
        <v>30</v>
      </c>
      <c r="H536" s="2">
        <f t="shared" ca="1" si="17"/>
        <v>1323</v>
      </c>
      <c r="I536" s="4">
        <v>44797</v>
      </c>
      <c r="J536" s="4">
        <v>44827</v>
      </c>
      <c r="K536" t="s">
        <v>343</v>
      </c>
      <c r="L536" t="s">
        <v>18</v>
      </c>
      <c r="M536" t="s">
        <v>19</v>
      </c>
      <c r="N536" t="s">
        <v>20</v>
      </c>
      <c r="O536">
        <v>30</v>
      </c>
    </row>
    <row r="537" spans="1:15" hidden="1" x14ac:dyDescent="0.25">
      <c r="A537" t="s">
        <v>2820</v>
      </c>
      <c r="B537" t="s">
        <v>1493</v>
      </c>
      <c r="C537" t="s">
        <v>1494</v>
      </c>
      <c r="D537" t="s">
        <v>341</v>
      </c>
      <c r="E537" t="s">
        <v>1495</v>
      </c>
      <c r="F537" s="3">
        <v>400000</v>
      </c>
      <c r="G537" s="2">
        <f t="shared" si="16"/>
        <v>30</v>
      </c>
      <c r="H537" s="2">
        <f t="shared" ca="1" si="17"/>
        <v>1322</v>
      </c>
      <c r="I537" s="4">
        <v>44798</v>
      </c>
      <c r="J537" s="4">
        <v>44828</v>
      </c>
      <c r="K537" t="s">
        <v>1470</v>
      </c>
      <c r="L537" t="s">
        <v>981</v>
      </c>
      <c r="M537" t="s">
        <v>19</v>
      </c>
      <c r="N537" t="s">
        <v>20</v>
      </c>
      <c r="O537">
        <v>30</v>
      </c>
    </row>
    <row r="538" spans="1:15" hidden="1" x14ac:dyDescent="0.25">
      <c r="A538" t="s">
        <v>2820</v>
      </c>
      <c r="B538" t="s">
        <v>13</v>
      </c>
      <c r="C538" t="s">
        <v>14</v>
      </c>
      <c r="D538" t="s">
        <v>15</v>
      </c>
      <c r="E538" t="s">
        <v>287</v>
      </c>
      <c r="F538" s="3">
        <v>19734689</v>
      </c>
      <c r="G538" s="2">
        <f t="shared" si="16"/>
        <v>30</v>
      </c>
      <c r="H538" s="2">
        <f t="shared" ca="1" si="17"/>
        <v>1320</v>
      </c>
      <c r="I538" s="4">
        <v>44800</v>
      </c>
      <c r="J538" s="4">
        <v>44830</v>
      </c>
      <c r="K538" t="s">
        <v>17</v>
      </c>
      <c r="L538" t="s">
        <v>18</v>
      </c>
      <c r="M538" t="s">
        <v>19</v>
      </c>
      <c r="N538" t="s">
        <v>20</v>
      </c>
      <c r="O538">
        <v>30</v>
      </c>
    </row>
    <row r="539" spans="1:15" hidden="1" x14ac:dyDescent="0.25">
      <c r="A539" t="s">
        <v>2820</v>
      </c>
      <c r="B539" t="s">
        <v>13</v>
      </c>
      <c r="C539" t="s">
        <v>14</v>
      </c>
      <c r="D539" t="s">
        <v>15</v>
      </c>
      <c r="E539" t="s">
        <v>288</v>
      </c>
      <c r="F539" s="3">
        <v>1858000</v>
      </c>
      <c r="G539" s="2">
        <f t="shared" si="16"/>
        <v>30</v>
      </c>
      <c r="H539" s="2">
        <f t="shared" ca="1" si="17"/>
        <v>1320</v>
      </c>
      <c r="I539" s="4">
        <v>44800</v>
      </c>
      <c r="J539" s="4">
        <v>44830</v>
      </c>
      <c r="K539" t="s">
        <v>17</v>
      </c>
      <c r="L539" t="s">
        <v>18</v>
      </c>
      <c r="M539" t="s">
        <v>19</v>
      </c>
      <c r="N539" t="s">
        <v>20</v>
      </c>
      <c r="O539">
        <v>30</v>
      </c>
    </row>
    <row r="540" spans="1:15" hidden="1" x14ac:dyDescent="0.25">
      <c r="A540" t="s">
        <v>2820</v>
      </c>
      <c r="B540" t="s">
        <v>13</v>
      </c>
      <c r="C540" t="s">
        <v>14</v>
      </c>
      <c r="D540" t="s">
        <v>15</v>
      </c>
      <c r="E540" t="s">
        <v>289</v>
      </c>
      <c r="F540" s="3">
        <v>2009958</v>
      </c>
      <c r="G540" s="2">
        <f t="shared" si="16"/>
        <v>30</v>
      </c>
      <c r="H540" s="2">
        <f t="shared" ca="1" si="17"/>
        <v>1320</v>
      </c>
      <c r="I540" s="4">
        <v>44800</v>
      </c>
      <c r="J540" s="4">
        <v>44830</v>
      </c>
      <c r="K540" t="s">
        <v>17</v>
      </c>
      <c r="L540" t="s">
        <v>18</v>
      </c>
      <c r="M540" t="s">
        <v>19</v>
      </c>
      <c r="N540" t="s">
        <v>20</v>
      </c>
      <c r="O540">
        <v>30</v>
      </c>
    </row>
    <row r="541" spans="1:15" hidden="1" x14ac:dyDescent="0.25">
      <c r="A541" t="s">
        <v>2820</v>
      </c>
      <c r="B541" t="s">
        <v>13</v>
      </c>
      <c r="C541" t="s">
        <v>14</v>
      </c>
      <c r="D541" t="s">
        <v>15</v>
      </c>
      <c r="E541" t="s">
        <v>290</v>
      </c>
      <c r="F541" s="3">
        <v>699150</v>
      </c>
      <c r="G541" s="2">
        <f t="shared" si="16"/>
        <v>30</v>
      </c>
      <c r="H541" s="2">
        <f t="shared" ca="1" si="17"/>
        <v>1320</v>
      </c>
      <c r="I541" s="4">
        <v>44800</v>
      </c>
      <c r="J541" s="4">
        <v>44830</v>
      </c>
      <c r="K541" t="s">
        <v>17</v>
      </c>
      <c r="L541" t="s">
        <v>18</v>
      </c>
      <c r="M541" t="s">
        <v>19</v>
      </c>
      <c r="N541" t="s">
        <v>20</v>
      </c>
      <c r="O541">
        <v>30</v>
      </c>
    </row>
    <row r="542" spans="1:15" hidden="1" x14ac:dyDescent="0.25">
      <c r="A542" t="s">
        <v>2820</v>
      </c>
      <c r="B542" t="s">
        <v>13</v>
      </c>
      <c r="C542" t="s">
        <v>14</v>
      </c>
      <c r="D542" t="s">
        <v>15</v>
      </c>
      <c r="E542" t="s">
        <v>588</v>
      </c>
      <c r="F542" s="3">
        <v>3198310</v>
      </c>
      <c r="G542" s="2">
        <f t="shared" si="16"/>
        <v>30</v>
      </c>
      <c r="H542" s="2">
        <f t="shared" ca="1" si="17"/>
        <v>1316</v>
      </c>
      <c r="I542" s="4">
        <v>44804</v>
      </c>
      <c r="J542" s="4">
        <v>44834</v>
      </c>
      <c r="K542" t="s">
        <v>343</v>
      </c>
      <c r="L542" t="s">
        <v>18</v>
      </c>
      <c r="M542" t="s">
        <v>19</v>
      </c>
      <c r="N542" t="s">
        <v>20</v>
      </c>
      <c r="O542">
        <v>30</v>
      </c>
    </row>
    <row r="543" spans="1:15" hidden="1" x14ac:dyDescent="0.25">
      <c r="A543" t="s">
        <v>2820</v>
      </c>
      <c r="B543" t="s">
        <v>13</v>
      </c>
      <c r="C543" t="s">
        <v>14</v>
      </c>
      <c r="D543" t="s">
        <v>15</v>
      </c>
      <c r="E543" t="s">
        <v>589</v>
      </c>
      <c r="F543" s="3">
        <v>1654400</v>
      </c>
      <c r="G543" s="2">
        <f t="shared" si="16"/>
        <v>30</v>
      </c>
      <c r="H543" s="2">
        <f t="shared" ca="1" si="17"/>
        <v>1316</v>
      </c>
      <c r="I543" s="4">
        <v>44804</v>
      </c>
      <c r="J543" s="4">
        <v>44834</v>
      </c>
      <c r="K543" t="s">
        <v>343</v>
      </c>
      <c r="L543" t="s">
        <v>18</v>
      </c>
      <c r="M543" t="s">
        <v>19</v>
      </c>
      <c r="N543" t="s">
        <v>20</v>
      </c>
      <c r="O543">
        <v>30</v>
      </c>
    </row>
    <row r="544" spans="1:15" hidden="1" x14ac:dyDescent="0.25">
      <c r="A544" t="s">
        <v>2820</v>
      </c>
      <c r="B544" t="s">
        <v>13</v>
      </c>
      <c r="C544" t="s">
        <v>14</v>
      </c>
      <c r="D544" t="s">
        <v>15</v>
      </c>
      <c r="E544" t="s">
        <v>590</v>
      </c>
      <c r="F544" s="3">
        <v>2607679</v>
      </c>
      <c r="G544" s="2">
        <f t="shared" si="16"/>
        <v>30</v>
      </c>
      <c r="H544" s="2">
        <f t="shared" ca="1" si="17"/>
        <v>1316</v>
      </c>
      <c r="I544" s="4">
        <v>44804</v>
      </c>
      <c r="J544" s="4">
        <v>44834</v>
      </c>
      <c r="K544" t="s">
        <v>343</v>
      </c>
      <c r="L544" t="s">
        <v>18</v>
      </c>
      <c r="M544" t="s">
        <v>19</v>
      </c>
      <c r="N544" t="s">
        <v>20</v>
      </c>
      <c r="O544">
        <v>30</v>
      </c>
    </row>
    <row r="545" spans="1:15" hidden="1" x14ac:dyDescent="0.25">
      <c r="A545" t="s">
        <v>2820</v>
      </c>
      <c r="B545" t="s">
        <v>13</v>
      </c>
      <c r="C545" t="s">
        <v>14</v>
      </c>
      <c r="D545" t="s">
        <v>15</v>
      </c>
      <c r="E545" t="s">
        <v>591</v>
      </c>
      <c r="F545" s="3">
        <v>1343620</v>
      </c>
      <c r="G545" s="2">
        <f t="shared" si="16"/>
        <v>30</v>
      </c>
      <c r="H545" s="2">
        <f t="shared" ca="1" si="17"/>
        <v>1316</v>
      </c>
      <c r="I545" s="4">
        <v>44804</v>
      </c>
      <c r="J545" s="4">
        <v>44834</v>
      </c>
      <c r="K545" t="s">
        <v>343</v>
      </c>
      <c r="L545" t="s">
        <v>18</v>
      </c>
      <c r="M545" t="s">
        <v>19</v>
      </c>
      <c r="N545" t="s">
        <v>20</v>
      </c>
      <c r="O545">
        <v>30</v>
      </c>
    </row>
    <row r="546" spans="1:15" hidden="1" x14ac:dyDescent="0.25">
      <c r="A546" t="s">
        <v>2820</v>
      </c>
      <c r="B546" t="s">
        <v>914</v>
      </c>
      <c r="C546" t="s">
        <v>915</v>
      </c>
      <c r="D546" t="s">
        <v>916</v>
      </c>
      <c r="E546" t="s">
        <v>917</v>
      </c>
      <c r="F546" s="3">
        <v>139106</v>
      </c>
      <c r="G546" s="2">
        <f t="shared" si="16"/>
        <v>1</v>
      </c>
      <c r="H546" s="2">
        <f t="shared" ca="1" si="17"/>
        <v>1311</v>
      </c>
      <c r="I546" s="4">
        <v>44809</v>
      </c>
      <c r="J546" s="4">
        <v>44810</v>
      </c>
      <c r="K546" t="s">
        <v>918</v>
      </c>
      <c r="L546" t="s">
        <v>312</v>
      </c>
      <c r="M546" t="s">
        <v>19</v>
      </c>
      <c r="N546" t="s">
        <v>919</v>
      </c>
      <c r="O546">
        <v>1</v>
      </c>
    </row>
    <row r="547" spans="1:15" hidden="1" x14ac:dyDescent="0.25">
      <c r="A547" t="s">
        <v>2820</v>
      </c>
      <c r="B547" t="s">
        <v>13</v>
      </c>
      <c r="C547" t="s">
        <v>14</v>
      </c>
      <c r="D547" t="s">
        <v>15</v>
      </c>
      <c r="E547" t="s">
        <v>758</v>
      </c>
      <c r="F547" s="3">
        <v>2573837</v>
      </c>
      <c r="G547" s="2">
        <f t="shared" si="16"/>
        <v>30</v>
      </c>
      <c r="H547" s="2">
        <f t="shared" ca="1" si="17"/>
        <v>1309</v>
      </c>
      <c r="I547" s="4">
        <v>44811</v>
      </c>
      <c r="J547" s="4">
        <v>44841</v>
      </c>
      <c r="K547" t="s">
        <v>716</v>
      </c>
      <c r="L547" t="s">
        <v>18</v>
      </c>
      <c r="M547" t="s">
        <v>19</v>
      </c>
      <c r="N547" t="s">
        <v>20</v>
      </c>
      <c r="O547">
        <v>30</v>
      </c>
    </row>
    <row r="548" spans="1:15" hidden="1" x14ac:dyDescent="0.25">
      <c r="A548" t="s">
        <v>2820</v>
      </c>
      <c r="B548" t="s">
        <v>13</v>
      </c>
      <c r="C548" t="s">
        <v>14</v>
      </c>
      <c r="D548" t="s">
        <v>15</v>
      </c>
      <c r="E548" t="s">
        <v>827</v>
      </c>
      <c r="F548" s="3">
        <v>1321114</v>
      </c>
      <c r="G548" s="2">
        <f t="shared" si="16"/>
        <v>1</v>
      </c>
      <c r="H548" s="2">
        <f t="shared" ca="1" si="17"/>
        <v>1309</v>
      </c>
      <c r="I548" s="4">
        <v>44811</v>
      </c>
      <c r="J548" s="4">
        <v>44812</v>
      </c>
      <c r="K548" t="s">
        <v>766</v>
      </c>
      <c r="L548" t="s">
        <v>18</v>
      </c>
      <c r="M548" t="s">
        <v>19</v>
      </c>
      <c r="N548" t="s">
        <v>20</v>
      </c>
      <c r="O548">
        <v>30</v>
      </c>
    </row>
    <row r="549" spans="1:15" hidden="1" x14ac:dyDescent="0.25">
      <c r="A549" t="s">
        <v>2820</v>
      </c>
      <c r="B549" t="s">
        <v>13</v>
      </c>
      <c r="C549" t="s">
        <v>14</v>
      </c>
      <c r="D549" t="s">
        <v>15</v>
      </c>
      <c r="E549" t="s">
        <v>828</v>
      </c>
      <c r="F549" s="3">
        <v>1829072</v>
      </c>
      <c r="G549" s="2">
        <f t="shared" si="16"/>
        <v>1</v>
      </c>
      <c r="H549" s="2">
        <f t="shared" ca="1" si="17"/>
        <v>1309</v>
      </c>
      <c r="I549" s="4">
        <v>44811</v>
      </c>
      <c r="J549" s="4">
        <v>44812</v>
      </c>
      <c r="K549" t="s">
        <v>766</v>
      </c>
      <c r="L549" t="s">
        <v>18</v>
      </c>
      <c r="M549" t="s">
        <v>19</v>
      </c>
      <c r="N549" t="s">
        <v>20</v>
      </c>
      <c r="O549">
        <v>30</v>
      </c>
    </row>
    <row r="550" spans="1:15" hidden="1" x14ac:dyDescent="0.25">
      <c r="A550" t="s">
        <v>2820</v>
      </c>
      <c r="B550" t="s">
        <v>13</v>
      </c>
      <c r="C550" t="s">
        <v>14</v>
      </c>
      <c r="D550" t="s">
        <v>15</v>
      </c>
      <c r="E550" t="s">
        <v>291</v>
      </c>
      <c r="F550" s="3">
        <v>6841869</v>
      </c>
      <c r="G550" s="2">
        <f t="shared" si="16"/>
        <v>30</v>
      </c>
      <c r="H550" s="2">
        <f t="shared" ca="1" si="17"/>
        <v>1307</v>
      </c>
      <c r="I550" s="4">
        <v>44813</v>
      </c>
      <c r="J550" s="4">
        <v>44843</v>
      </c>
      <c r="K550" t="s">
        <v>17</v>
      </c>
      <c r="L550" t="s">
        <v>18</v>
      </c>
      <c r="M550" t="s">
        <v>19</v>
      </c>
      <c r="N550" t="s">
        <v>20</v>
      </c>
      <c r="O550">
        <v>30</v>
      </c>
    </row>
    <row r="551" spans="1:15" hidden="1" x14ac:dyDescent="0.25">
      <c r="A551" t="s">
        <v>2820</v>
      </c>
      <c r="B551" t="s">
        <v>13</v>
      </c>
      <c r="C551" t="s">
        <v>14</v>
      </c>
      <c r="D551" t="s">
        <v>15</v>
      </c>
      <c r="E551" t="s">
        <v>292</v>
      </c>
      <c r="F551" s="3">
        <v>1858000</v>
      </c>
      <c r="G551" s="2">
        <f t="shared" si="16"/>
        <v>30</v>
      </c>
      <c r="H551" s="2">
        <f t="shared" ca="1" si="17"/>
        <v>1307</v>
      </c>
      <c r="I551" s="4">
        <v>44813</v>
      </c>
      <c r="J551" s="4">
        <v>44843</v>
      </c>
      <c r="K551" t="s">
        <v>17</v>
      </c>
      <c r="L551" t="s">
        <v>18</v>
      </c>
      <c r="M551" t="s">
        <v>19</v>
      </c>
      <c r="N551" t="s">
        <v>20</v>
      </c>
      <c r="O551">
        <v>30</v>
      </c>
    </row>
    <row r="552" spans="1:15" hidden="1" x14ac:dyDescent="0.25">
      <c r="A552" t="s">
        <v>2820</v>
      </c>
      <c r="B552" t="s">
        <v>13</v>
      </c>
      <c r="C552" t="s">
        <v>14</v>
      </c>
      <c r="D552" t="s">
        <v>15</v>
      </c>
      <c r="E552" t="s">
        <v>708</v>
      </c>
      <c r="F552" s="3">
        <v>667421</v>
      </c>
      <c r="G552" s="2">
        <f t="shared" si="16"/>
        <v>30</v>
      </c>
      <c r="H552" s="2">
        <f t="shared" ca="1" si="17"/>
        <v>1307</v>
      </c>
      <c r="I552" s="4">
        <v>44813</v>
      </c>
      <c r="J552" s="4">
        <v>44843</v>
      </c>
      <c r="K552" t="s">
        <v>638</v>
      </c>
      <c r="L552" t="s">
        <v>18</v>
      </c>
      <c r="M552" t="s">
        <v>19</v>
      </c>
      <c r="N552" t="s">
        <v>20</v>
      </c>
      <c r="O552">
        <v>30</v>
      </c>
    </row>
    <row r="553" spans="1:15" hidden="1" x14ac:dyDescent="0.25">
      <c r="A553" t="s">
        <v>2820</v>
      </c>
      <c r="B553" t="s">
        <v>13</v>
      </c>
      <c r="C553" t="s">
        <v>14</v>
      </c>
      <c r="D553" t="s">
        <v>15</v>
      </c>
      <c r="E553" t="s">
        <v>1048</v>
      </c>
      <c r="F553" s="3">
        <v>757498</v>
      </c>
      <c r="G553" s="2">
        <f t="shared" si="16"/>
        <v>30</v>
      </c>
      <c r="H553" s="2">
        <f t="shared" ca="1" si="17"/>
        <v>1307</v>
      </c>
      <c r="I553" s="4">
        <v>44813</v>
      </c>
      <c r="J553" s="4">
        <v>44843</v>
      </c>
      <c r="K553" t="s">
        <v>989</v>
      </c>
      <c r="L553" t="s">
        <v>18</v>
      </c>
      <c r="M553" t="s">
        <v>19</v>
      </c>
      <c r="N553" t="s">
        <v>20</v>
      </c>
      <c r="O553">
        <v>30</v>
      </c>
    </row>
    <row r="554" spans="1:15" hidden="1" x14ac:dyDescent="0.25">
      <c r="A554" t="s">
        <v>2820</v>
      </c>
      <c r="B554" t="s">
        <v>13</v>
      </c>
      <c r="C554" t="s">
        <v>14</v>
      </c>
      <c r="D554" t="s">
        <v>15</v>
      </c>
      <c r="E554" t="s">
        <v>592</v>
      </c>
      <c r="F554" s="3">
        <v>2300302</v>
      </c>
      <c r="G554" s="2">
        <f t="shared" si="16"/>
        <v>30</v>
      </c>
      <c r="H554" s="2">
        <f t="shared" ca="1" si="17"/>
        <v>1303</v>
      </c>
      <c r="I554" s="4">
        <v>44817</v>
      </c>
      <c r="J554" s="4">
        <v>44847</v>
      </c>
      <c r="K554" t="s">
        <v>343</v>
      </c>
      <c r="L554" t="s">
        <v>18</v>
      </c>
      <c r="M554" t="s">
        <v>19</v>
      </c>
      <c r="N554" t="s">
        <v>20</v>
      </c>
      <c r="O554">
        <v>30</v>
      </c>
    </row>
    <row r="555" spans="1:15" hidden="1" x14ac:dyDescent="0.25">
      <c r="A555" t="s">
        <v>2820</v>
      </c>
      <c r="B555" t="s">
        <v>13</v>
      </c>
      <c r="C555" t="s">
        <v>14</v>
      </c>
      <c r="D555" t="s">
        <v>15</v>
      </c>
      <c r="E555" t="s">
        <v>593</v>
      </c>
      <c r="F555" s="3">
        <v>2795600</v>
      </c>
      <c r="G555" s="2">
        <f t="shared" si="16"/>
        <v>30</v>
      </c>
      <c r="H555" s="2">
        <f t="shared" ca="1" si="17"/>
        <v>1303</v>
      </c>
      <c r="I555" s="4">
        <v>44817</v>
      </c>
      <c r="J555" s="4">
        <v>44847</v>
      </c>
      <c r="K555" t="s">
        <v>343</v>
      </c>
      <c r="L555" t="s">
        <v>18</v>
      </c>
      <c r="M555" t="s">
        <v>19</v>
      </c>
      <c r="N555" t="s">
        <v>20</v>
      </c>
      <c r="O555">
        <v>30</v>
      </c>
    </row>
    <row r="556" spans="1:15" hidden="1" x14ac:dyDescent="0.25">
      <c r="A556" t="s">
        <v>2820</v>
      </c>
      <c r="B556" t="s">
        <v>13</v>
      </c>
      <c r="C556" t="s">
        <v>14</v>
      </c>
      <c r="D556" t="s">
        <v>15</v>
      </c>
      <c r="E556" t="s">
        <v>594</v>
      </c>
      <c r="F556" s="3">
        <v>1083566</v>
      </c>
      <c r="G556" s="2">
        <f t="shared" si="16"/>
        <v>30</v>
      </c>
      <c r="H556" s="2">
        <f t="shared" ca="1" si="17"/>
        <v>1303</v>
      </c>
      <c r="I556" s="4">
        <v>44817</v>
      </c>
      <c r="J556" s="4">
        <v>44847</v>
      </c>
      <c r="K556" t="s">
        <v>343</v>
      </c>
      <c r="L556" t="s">
        <v>18</v>
      </c>
      <c r="M556" t="s">
        <v>19</v>
      </c>
      <c r="N556" t="s">
        <v>20</v>
      </c>
      <c r="O556">
        <v>30</v>
      </c>
    </row>
    <row r="557" spans="1:15" hidden="1" x14ac:dyDescent="0.25">
      <c r="A557" t="s">
        <v>2820</v>
      </c>
      <c r="B557" t="s">
        <v>13</v>
      </c>
      <c r="C557" t="s">
        <v>14</v>
      </c>
      <c r="D557" t="s">
        <v>15</v>
      </c>
      <c r="E557" t="s">
        <v>595</v>
      </c>
      <c r="F557" s="3">
        <v>3000836</v>
      </c>
      <c r="G557" s="2">
        <f t="shared" si="16"/>
        <v>30</v>
      </c>
      <c r="H557" s="2">
        <f t="shared" ca="1" si="17"/>
        <v>1303</v>
      </c>
      <c r="I557" s="4">
        <v>44817</v>
      </c>
      <c r="J557" s="4">
        <v>44847</v>
      </c>
      <c r="K557" t="s">
        <v>343</v>
      </c>
      <c r="L557" t="s">
        <v>18</v>
      </c>
      <c r="M557" t="s">
        <v>19</v>
      </c>
      <c r="N557" t="s">
        <v>20</v>
      </c>
      <c r="O557">
        <v>30</v>
      </c>
    </row>
    <row r="558" spans="1:15" hidden="1" x14ac:dyDescent="0.25">
      <c r="A558" t="s">
        <v>2820</v>
      </c>
      <c r="B558" t="s">
        <v>13</v>
      </c>
      <c r="C558" t="s">
        <v>14</v>
      </c>
      <c r="D558" t="s">
        <v>15</v>
      </c>
      <c r="E558" t="s">
        <v>596</v>
      </c>
      <c r="F558" s="3">
        <v>1621424</v>
      </c>
      <c r="G558" s="2">
        <f t="shared" si="16"/>
        <v>30</v>
      </c>
      <c r="H558" s="2">
        <f t="shared" ca="1" si="17"/>
        <v>1303</v>
      </c>
      <c r="I558" s="4">
        <v>44817</v>
      </c>
      <c r="J558" s="4">
        <v>44847</v>
      </c>
      <c r="K558" t="s">
        <v>343</v>
      </c>
      <c r="L558" t="s">
        <v>18</v>
      </c>
      <c r="M558" t="s">
        <v>19</v>
      </c>
      <c r="N558" t="s">
        <v>20</v>
      </c>
      <c r="O558">
        <v>30</v>
      </c>
    </row>
    <row r="559" spans="1:15" hidden="1" x14ac:dyDescent="0.25">
      <c r="A559" t="s">
        <v>2820</v>
      </c>
      <c r="B559" t="s">
        <v>1395</v>
      </c>
      <c r="C559" t="s">
        <v>1396</v>
      </c>
      <c r="D559" t="s">
        <v>1323</v>
      </c>
      <c r="E559" t="s">
        <v>1397</v>
      </c>
      <c r="F559" s="3">
        <v>695264</v>
      </c>
      <c r="G559" s="2">
        <f t="shared" si="16"/>
        <v>30</v>
      </c>
      <c r="H559" s="2">
        <f t="shared" ca="1" si="17"/>
        <v>1300</v>
      </c>
      <c r="I559" s="4">
        <v>44820</v>
      </c>
      <c r="J559" s="4">
        <v>44850</v>
      </c>
      <c r="K559" t="s">
        <v>1325</v>
      </c>
      <c r="L559" t="s">
        <v>90</v>
      </c>
      <c r="M559" t="s">
        <v>19</v>
      </c>
      <c r="N559" t="s">
        <v>1398</v>
      </c>
      <c r="O559">
        <v>30</v>
      </c>
    </row>
    <row r="560" spans="1:15" hidden="1" x14ac:dyDescent="0.25">
      <c r="A560" t="s">
        <v>2820</v>
      </c>
      <c r="B560" t="s">
        <v>13</v>
      </c>
      <c r="C560" t="s">
        <v>14</v>
      </c>
      <c r="D560" t="s">
        <v>15</v>
      </c>
      <c r="E560" t="s">
        <v>597</v>
      </c>
      <c r="F560" s="3">
        <v>2460938</v>
      </c>
      <c r="G560" s="2">
        <f t="shared" si="16"/>
        <v>30</v>
      </c>
      <c r="H560" s="2">
        <f t="shared" ca="1" si="17"/>
        <v>1299</v>
      </c>
      <c r="I560" s="4">
        <v>44821</v>
      </c>
      <c r="J560" s="4">
        <v>44851</v>
      </c>
      <c r="K560" t="s">
        <v>343</v>
      </c>
      <c r="L560" t="s">
        <v>47</v>
      </c>
      <c r="M560" t="s">
        <v>19</v>
      </c>
      <c r="N560" t="s">
        <v>20</v>
      </c>
      <c r="O560">
        <v>30</v>
      </c>
    </row>
    <row r="561" spans="1:15" hidden="1" x14ac:dyDescent="0.25">
      <c r="A561" t="s">
        <v>2820</v>
      </c>
      <c r="B561" t="s">
        <v>13</v>
      </c>
      <c r="C561" t="s">
        <v>14</v>
      </c>
      <c r="D561" t="s">
        <v>15</v>
      </c>
      <c r="E561" t="s">
        <v>293</v>
      </c>
      <c r="F561" s="3">
        <v>15688000</v>
      </c>
      <c r="G561" s="2">
        <f t="shared" si="16"/>
        <v>30</v>
      </c>
      <c r="H561" s="2">
        <f t="shared" ca="1" si="17"/>
        <v>1297</v>
      </c>
      <c r="I561" s="4">
        <v>44823</v>
      </c>
      <c r="J561" s="4">
        <v>44853</v>
      </c>
      <c r="K561" t="s">
        <v>17</v>
      </c>
      <c r="L561" t="s">
        <v>18</v>
      </c>
      <c r="M561" t="s">
        <v>19</v>
      </c>
      <c r="N561" t="s">
        <v>20</v>
      </c>
      <c r="O561">
        <v>30</v>
      </c>
    </row>
    <row r="562" spans="1:15" hidden="1" x14ac:dyDescent="0.25">
      <c r="A562" t="s">
        <v>2820</v>
      </c>
      <c r="B562" t="s">
        <v>13</v>
      </c>
      <c r="C562" t="s">
        <v>14</v>
      </c>
      <c r="D562" t="s">
        <v>15</v>
      </c>
      <c r="E562" t="s">
        <v>709</v>
      </c>
      <c r="F562" s="3">
        <v>11078000</v>
      </c>
      <c r="G562" s="2">
        <f t="shared" si="16"/>
        <v>30</v>
      </c>
      <c r="H562" s="2">
        <f t="shared" ca="1" si="17"/>
        <v>1297</v>
      </c>
      <c r="I562" s="4">
        <v>44823</v>
      </c>
      <c r="J562" s="4">
        <v>44853</v>
      </c>
      <c r="K562" t="s">
        <v>638</v>
      </c>
      <c r="L562" t="s">
        <v>18</v>
      </c>
      <c r="M562" t="s">
        <v>19</v>
      </c>
      <c r="N562" t="s">
        <v>20</v>
      </c>
      <c r="O562">
        <v>30</v>
      </c>
    </row>
    <row r="563" spans="1:15" hidden="1" x14ac:dyDescent="0.25">
      <c r="A563" t="s">
        <v>2820</v>
      </c>
      <c r="B563" t="s">
        <v>13</v>
      </c>
      <c r="C563" t="s">
        <v>14</v>
      </c>
      <c r="D563" t="s">
        <v>15</v>
      </c>
      <c r="E563" t="s">
        <v>759</v>
      </c>
      <c r="F563" s="3">
        <v>8773000</v>
      </c>
      <c r="G563" s="2">
        <f t="shared" si="16"/>
        <v>30</v>
      </c>
      <c r="H563" s="2">
        <f t="shared" ca="1" si="17"/>
        <v>1297</v>
      </c>
      <c r="I563" s="4">
        <v>44823</v>
      </c>
      <c r="J563" s="4">
        <v>44853</v>
      </c>
      <c r="K563" t="s">
        <v>716</v>
      </c>
      <c r="L563" t="s">
        <v>18</v>
      </c>
      <c r="M563" t="s">
        <v>19</v>
      </c>
      <c r="N563" t="s">
        <v>20</v>
      </c>
      <c r="O563">
        <v>30</v>
      </c>
    </row>
    <row r="564" spans="1:15" hidden="1" x14ac:dyDescent="0.25">
      <c r="A564" t="s">
        <v>2820</v>
      </c>
      <c r="B564" t="s">
        <v>13</v>
      </c>
      <c r="C564" t="s">
        <v>14</v>
      </c>
      <c r="D564" t="s">
        <v>15</v>
      </c>
      <c r="E564" t="s">
        <v>829</v>
      </c>
      <c r="F564" s="3">
        <v>11078000</v>
      </c>
      <c r="G564" s="2">
        <f t="shared" si="16"/>
        <v>30</v>
      </c>
      <c r="H564" s="2">
        <f t="shared" ca="1" si="17"/>
        <v>1297</v>
      </c>
      <c r="I564" s="4">
        <v>44823</v>
      </c>
      <c r="J564" s="4">
        <v>44853</v>
      </c>
      <c r="K564" t="s">
        <v>766</v>
      </c>
      <c r="L564" t="s">
        <v>18</v>
      </c>
      <c r="M564" t="s">
        <v>19</v>
      </c>
      <c r="N564" t="s">
        <v>20</v>
      </c>
      <c r="O564">
        <v>30</v>
      </c>
    </row>
    <row r="565" spans="1:15" hidden="1" x14ac:dyDescent="0.25">
      <c r="A565" t="s">
        <v>2820</v>
      </c>
      <c r="B565" t="s">
        <v>13</v>
      </c>
      <c r="C565" t="s">
        <v>14</v>
      </c>
      <c r="D565" t="s">
        <v>15</v>
      </c>
      <c r="E565" t="s">
        <v>760</v>
      </c>
      <c r="F565" s="3">
        <v>1284360</v>
      </c>
      <c r="G565" s="2">
        <f t="shared" si="16"/>
        <v>30</v>
      </c>
      <c r="H565" s="2">
        <f t="shared" ca="1" si="17"/>
        <v>1296</v>
      </c>
      <c r="I565" s="4">
        <v>44824</v>
      </c>
      <c r="J565" s="4">
        <v>44854</v>
      </c>
      <c r="K565" t="s">
        <v>716</v>
      </c>
      <c r="L565" t="s">
        <v>18</v>
      </c>
      <c r="M565" t="s">
        <v>19</v>
      </c>
      <c r="N565" t="s">
        <v>20</v>
      </c>
      <c r="O565">
        <v>30</v>
      </c>
    </row>
    <row r="566" spans="1:15" hidden="1" x14ac:dyDescent="0.25">
      <c r="A566" t="s">
        <v>2820</v>
      </c>
      <c r="B566" t="s">
        <v>13</v>
      </c>
      <c r="C566" t="s">
        <v>14</v>
      </c>
      <c r="D566" t="s">
        <v>15</v>
      </c>
      <c r="E566" t="s">
        <v>830</v>
      </c>
      <c r="F566" s="3">
        <v>1748217</v>
      </c>
      <c r="G566" s="2">
        <f t="shared" si="16"/>
        <v>30</v>
      </c>
      <c r="H566" s="2">
        <f t="shared" ca="1" si="17"/>
        <v>1296</v>
      </c>
      <c r="I566" s="4">
        <v>44824</v>
      </c>
      <c r="J566" s="4">
        <v>44854</v>
      </c>
      <c r="K566" t="s">
        <v>766</v>
      </c>
      <c r="L566" t="s">
        <v>18</v>
      </c>
      <c r="M566" t="s">
        <v>19</v>
      </c>
      <c r="N566" t="s">
        <v>20</v>
      </c>
      <c r="O566">
        <v>30</v>
      </c>
    </row>
    <row r="567" spans="1:15" hidden="1" x14ac:dyDescent="0.25">
      <c r="A567" t="s">
        <v>2820</v>
      </c>
      <c r="B567" t="s">
        <v>13</v>
      </c>
      <c r="C567" t="s">
        <v>14</v>
      </c>
      <c r="D567" t="s">
        <v>15</v>
      </c>
      <c r="E567" t="s">
        <v>831</v>
      </c>
      <c r="F567" s="3">
        <v>205932</v>
      </c>
      <c r="G567" s="2">
        <f t="shared" si="16"/>
        <v>30</v>
      </c>
      <c r="H567" s="2">
        <f t="shared" ca="1" si="17"/>
        <v>1296</v>
      </c>
      <c r="I567" s="4">
        <v>44824</v>
      </c>
      <c r="J567" s="4">
        <v>44854</v>
      </c>
      <c r="K567" t="s">
        <v>766</v>
      </c>
      <c r="L567" t="s">
        <v>18</v>
      </c>
      <c r="M567" t="s">
        <v>19</v>
      </c>
      <c r="N567" t="s">
        <v>20</v>
      </c>
      <c r="O567">
        <v>30</v>
      </c>
    </row>
    <row r="568" spans="1:15" hidden="1" x14ac:dyDescent="0.25">
      <c r="A568" t="s">
        <v>2820</v>
      </c>
      <c r="B568" t="s">
        <v>13</v>
      </c>
      <c r="C568" t="s">
        <v>14</v>
      </c>
      <c r="D568" t="s">
        <v>15</v>
      </c>
      <c r="E568" t="s">
        <v>1049</v>
      </c>
      <c r="F568" s="3">
        <v>20298000</v>
      </c>
      <c r="G568" s="2">
        <f t="shared" si="16"/>
        <v>30</v>
      </c>
      <c r="H568" s="2">
        <f t="shared" ca="1" si="17"/>
        <v>1295</v>
      </c>
      <c r="I568" s="4">
        <v>44825</v>
      </c>
      <c r="J568" s="4">
        <v>44855</v>
      </c>
      <c r="K568" t="s">
        <v>989</v>
      </c>
      <c r="L568" t="s">
        <v>18</v>
      </c>
      <c r="M568" t="s">
        <v>19</v>
      </c>
      <c r="N568" t="s">
        <v>20</v>
      </c>
      <c r="O568">
        <v>30</v>
      </c>
    </row>
    <row r="569" spans="1:15" hidden="1" x14ac:dyDescent="0.25">
      <c r="A569" t="s">
        <v>2820</v>
      </c>
      <c r="B569" t="s">
        <v>13</v>
      </c>
      <c r="C569" t="s">
        <v>14</v>
      </c>
      <c r="D569" t="s">
        <v>15</v>
      </c>
      <c r="E569" t="s">
        <v>1050</v>
      </c>
      <c r="F569" s="3">
        <v>1750091</v>
      </c>
      <c r="G569" s="2">
        <f t="shared" si="16"/>
        <v>30</v>
      </c>
      <c r="H569" s="2">
        <f t="shared" ca="1" si="17"/>
        <v>1295</v>
      </c>
      <c r="I569" s="4">
        <v>44825</v>
      </c>
      <c r="J569" s="4">
        <v>44855</v>
      </c>
      <c r="K569" t="s">
        <v>989</v>
      </c>
      <c r="L569" t="s">
        <v>18</v>
      </c>
      <c r="M569" t="s">
        <v>19</v>
      </c>
      <c r="N569" t="s">
        <v>20</v>
      </c>
      <c r="O569">
        <v>30</v>
      </c>
    </row>
    <row r="570" spans="1:15" hidden="1" x14ac:dyDescent="0.25">
      <c r="A570" t="s">
        <v>2820</v>
      </c>
      <c r="B570" t="s">
        <v>13</v>
      </c>
      <c r="C570" t="s">
        <v>14</v>
      </c>
      <c r="D570" t="s">
        <v>15</v>
      </c>
      <c r="E570" t="s">
        <v>294</v>
      </c>
      <c r="F570" s="3">
        <v>47207550</v>
      </c>
      <c r="G570" s="2">
        <f t="shared" si="16"/>
        <v>30</v>
      </c>
      <c r="H570" s="2">
        <f t="shared" ca="1" si="17"/>
        <v>1293</v>
      </c>
      <c r="I570" s="4">
        <v>44827</v>
      </c>
      <c r="J570" s="4">
        <v>44857</v>
      </c>
      <c r="K570" t="s">
        <v>17</v>
      </c>
      <c r="L570" t="s">
        <v>18</v>
      </c>
      <c r="M570" t="s">
        <v>19</v>
      </c>
      <c r="N570" t="s">
        <v>20</v>
      </c>
      <c r="O570">
        <v>30</v>
      </c>
    </row>
    <row r="571" spans="1:15" hidden="1" x14ac:dyDescent="0.25">
      <c r="A571" t="s">
        <v>2820</v>
      </c>
      <c r="B571" t="s">
        <v>13</v>
      </c>
      <c r="C571" t="s">
        <v>14</v>
      </c>
      <c r="D571" t="s">
        <v>15</v>
      </c>
      <c r="E571" t="s">
        <v>598</v>
      </c>
      <c r="F571" s="3">
        <v>6748000</v>
      </c>
      <c r="G571" s="2">
        <f t="shared" si="16"/>
        <v>30</v>
      </c>
      <c r="H571" s="2">
        <f t="shared" ca="1" si="17"/>
        <v>1293</v>
      </c>
      <c r="I571" s="4">
        <v>44827</v>
      </c>
      <c r="J571" s="4">
        <v>44857</v>
      </c>
      <c r="K571" t="s">
        <v>343</v>
      </c>
      <c r="L571" t="s">
        <v>18</v>
      </c>
      <c r="M571" t="s">
        <v>19</v>
      </c>
      <c r="N571" t="s">
        <v>20</v>
      </c>
      <c r="O571">
        <v>30</v>
      </c>
    </row>
    <row r="572" spans="1:15" hidden="1" x14ac:dyDescent="0.25">
      <c r="A572" t="s">
        <v>2820</v>
      </c>
      <c r="B572" t="s">
        <v>13</v>
      </c>
      <c r="C572" t="s">
        <v>14</v>
      </c>
      <c r="D572" t="s">
        <v>15</v>
      </c>
      <c r="E572" t="s">
        <v>599</v>
      </c>
      <c r="F572" s="3">
        <v>5327333</v>
      </c>
      <c r="G572" s="2">
        <f t="shared" si="16"/>
        <v>30</v>
      </c>
      <c r="H572" s="2">
        <f t="shared" ca="1" si="17"/>
        <v>1289</v>
      </c>
      <c r="I572" s="4">
        <v>44831</v>
      </c>
      <c r="J572" s="4">
        <v>44861</v>
      </c>
      <c r="K572" t="s">
        <v>343</v>
      </c>
      <c r="L572" t="s">
        <v>18</v>
      </c>
      <c r="M572" t="s">
        <v>19</v>
      </c>
      <c r="N572" t="s">
        <v>20</v>
      </c>
      <c r="O572">
        <v>30</v>
      </c>
    </row>
    <row r="573" spans="1:15" hidden="1" x14ac:dyDescent="0.25">
      <c r="A573" t="s">
        <v>2820</v>
      </c>
      <c r="B573" t="s">
        <v>13</v>
      </c>
      <c r="C573" t="s">
        <v>14</v>
      </c>
      <c r="D573" t="s">
        <v>15</v>
      </c>
      <c r="E573" t="s">
        <v>600</v>
      </c>
      <c r="F573" s="3">
        <v>557400</v>
      </c>
      <c r="G573" s="2">
        <f t="shared" si="16"/>
        <v>30</v>
      </c>
      <c r="H573" s="2">
        <f t="shared" ca="1" si="17"/>
        <v>1289</v>
      </c>
      <c r="I573" s="4">
        <v>44831</v>
      </c>
      <c r="J573" s="4">
        <v>44861</v>
      </c>
      <c r="K573" t="s">
        <v>343</v>
      </c>
      <c r="L573" t="s">
        <v>18</v>
      </c>
      <c r="M573" t="s">
        <v>19</v>
      </c>
      <c r="N573" t="s">
        <v>20</v>
      </c>
      <c r="O573">
        <v>30</v>
      </c>
    </row>
    <row r="574" spans="1:15" hidden="1" x14ac:dyDescent="0.25">
      <c r="A574" t="s">
        <v>2820</v>
      </c>
      <c r="B574" t="s">
        <v>13</v>
      </c>
      <c r="C574" t="s">
        <v>14</v>
      </c>
      <c r="D574" t="s">
        <v>15</v>
      </c>
      <c r="E574" t="s">
        <v>601</v>
      </c>
      <c r="F574" s="3">
        <v>6009493</v>
      </c>
      <c r="G574" s="2">
        <f t="shared" si="16"/>
        <v>30</v>
      </c>
      <c r="H574" s="2">
        <f t="shared" ca="1" si="17"/>
        <v>1289</v>
      </c>
      <c r="I574" s="4">
        <v>44831</v>
      </c>
      <c r="J574" s="4">
        <v>44861</v>
      </c>
      <c r="K574" t="s">
        <v>343</v>
      </c>
      <c r="L574" t="s">
        <v>18</v>
      </c>
      <c r="M574" t="s">
        <v>19</v>
      </c>
      <c r="N574" t="s">
        <v>20</v>
      </c>
      <c r="O574">
        <v>30</v>
      </c>
    </row>
    <row r="575" spans="1:15" hidden="1" x14ac:dyDescent="0.25">
      <c r="A575" t="s">
        <v>2820</v>
      </c>
      <c r="B575" t="s">
        <v>13</v>
      </c>
      <c r="C575" t="s">
        <v>14</v>
      </c>
      <c r="D575" t="s">
        <v>15</v>
      </c>
      <c r="E575" t="s">
        <v>602</v>
      </c>
      <c r="F575" s="3">
        <v>3002916</v>
      </c>
      <c r="G575" s="2">
        <f t="shared" si="16"/>
        <v>30</v>
      </c>
      <c r="H575" s="2">
        <f t="shared" ca="1" si="17"/>
        <v>1289</v>
      </c>
      <c r="I575" s="4">
        <v>44831</v>
      </c>
      <c r="J575" s="4">
        <v>44861</v>
      </c>
      <c r="K575" t="s">
        <v>343</v>
      </c>
      <c r="L575" t="s">
        <v>18</v>
      </c>
      <c r="M575" t="s">
        <v>19</v>
      </c>
      <c r="N575" t="s">
        <v>20</v>
      </c>
      <c r="O575">
        <v>30</v>
      </c>
    </row>
    <row r="576" spans="1:15" hidden="1" x14ac:dyDescent="0.25">
      <c r="A576" t="s">
        <v>2820</v>
      </c>
      <c r="B576" t="s">
        <v>13</v>
      </c>
      <c r="C576" t="s">
        <v>14</v>
      </c>
      <c r="D576" t="s">
        <v>15</v>
      </c>
      <c r="E576" t="s">
        <v>603</v>
      </c>
      <c r="F576" s="3">
        <v>4846119</v>
      </c>
      <c r="G576" s="2">
        <f t="shared" si="16"/>
        <v>30</v>
      </c>
      <c r="H576" s="2">
        <f t="shared" ca="1" si="17"/>
        <v>1289</v>
      </c>
      <c r="I576" s="4">
        <v>44831</v>
      </c>
      <c r="J576" s="4">
        <v>44861</v>
      </c>
      <c r="K576" t="s">
        <v>343</v>
      </c>
      <c r="L576" t="s">
        <v>18</v>
      </c>
      <c r="M576" t="s">
        <v>19</v>
      </c>
      <c r="N576" t="s">
        <v>20</v>
      </c>
      <c r="O576">
        <v>30</v>
      </c>
    </row>
    <row r="577" spans="1:15" hidden="1" x14ac:dyDescent="0.25">
      <c r="A577" t="s">
        <v>2820</v>
      </c>
      <c r="B577" t="s">
        <v>13</v>
      </c>
      <c r="C577" t="s">
        <v>14</v>
      </c>
      <c r="D577" t="s">
        <v>15</v>
      </c>
      <c r="E577" t="s">
        <v>604</v>
      </c>
      <c r="F577" s="3">
        <v>966461</v>
      </c>
      <c r="G577" s="2">
        <f t="shared" si="16"/>
        <v>30</v>
      </c>
      <c r="H577" s="2">
        <f t="shared" ca="1" si="17"/>
        <v>1289</v>
      </c>
      <c r="I577" s="4">
        <v>44831</v>
      </c>
      <c r="J577" s="4">
        <v>44861</v>
      </c>
      <c r="K577" t="s">
        <v>343</v>
      </c>
      <c r="L577" t="s">
        <v>18</v>
      </c>
      <c r="M577" t="s">
        <v>19</v>
      </c>
      <c r="N577" t="s">
        <v>20</v>
      </c>
      <c r="O577">
        <v>30</v>
      </c>
    </row>
    <row r="578" spans="1:15" hidden="1" x14ac:dyDescent="0.25">
      <c r="A578" t="s">
        <v>2820</v>
      </c>
      <c r="B578" t="s">
        <v>13</v>
      </c>
      <c r="C578" t="s">
        <v>14</v>
      </c>
      <c r="D578" t="s">
        <v>15</v>
      </c>
      <c r="E578" t="s">
        <v>761</v>
      </c>
      <c r="F578" s="3">
        <v>1007716</v>
      </c>
      <c r="G578" s="2">
        <f t="shared" ref="G578:G641" si="18">+J578-I578</f>
        <v>30</v>
      </c>
      <c r="H578" s="2">
        <f t="shared" ref="H578:H641" ca="1" si="19">+TODAY()-I578</f>
        <v>1281</v>
      </c>
      <c r="I578" s="4">
        <v>44839</v>
      </c>
      <c r="J578" s="4">
        <v>44869</v>
      </c>
      <c r="K578" t="s">
        <v>716</v>
      </c>
      <c r="L578" t="s">
        <v>18</v>
      </c>
      <c r="M578" t="s">
        <v>19</v>
      </c>
      <c r="N578" t="s">
        <v>20</v>
      </c>
      <c r="O578">
        <v>30</v>
      </c>
    </row>
    <row r="579" spans="1:15" hidden="1" x14ac:dyDescent="0.25">
      <c r="A579" t="s">
        <v>2820</v>
      </c>
      <c r="B579" t="s">
        <v>13</v>
      </c>
      <c r="C579" t="s">
        <v>14</v>
      </c>
      <c r="D579" t="s">
        <v>15</v>
      </c>
      <c r="E579" t="s">
        <v>1051</v>
      </c>
      <c r="F579" s="3">
        <v>2301681</v>
      </c>
      <c r="G579" s="2">
        <f t="shared" si="18"/>
        <v>30</v>
      </c>
      <c r="H579" s="2">
        <f t="shared" ca="1" si="19"/>
        <v>1280</v>
      </c>
      <c r="I579" s="4">
        <v>44840</v>
      </c>
      <c r="J579" s="4">
        <v>44870</v>
      </c>
      <c r="K579" t="s">
        <v>989</v>
      </c>
      <c r="L579" t="s">
        <v>18</v>
      </c>
      <c r="M579" t="s">
        <v>19</v>
      </c>
      <c r="N579" t="s">
        <v>20</v>
      </c>
      <c r="O579">
        <v>30</v>
      </c>
    </row>
    <row r="580" spans="1:15" hidden="1" x14ac:dyDescent="0.25">
      <c r="A580" t="s">
        <v>2820</v>
      </c>
      <c r="B580" t="s">
        <v>13</v>
      </c>
      <c r="C580" t="s">
        <v>14</v>
      </c>
      <c r="D580" t="s">
        <v>15</v>
      </c>
      <c r="E580" t="s">
        <v>295</v>
      </c>
      <c r="F580" s="3">
        <v>1073095</v>
      </c>
      <c r="G580" s="2">
        <f t="shared" si="18"/>
        <v>30</v>
      </c>
      <c r="H580" s="2">
        <f t="shared" ca="1" si="19"/>
        <v>1278</v>
      </c>
      <c r="I580" s="4">
        <v>44842</v>
      </c>
      <c r="J580" s="4">
        <v>44872</v>
      </c>
      <c r="K580" t="s">
        <v>17</v>
      </c>
      <c r="L580" t="s">
        <v>18</v>
      </c>
      <c r="M580" t="s">
        <v>19</v>
      </c>
      <c r="N580" t="s">
        <v>20</v>
      </c>
      <c r="O580">
        <v>30</v>
      </c>
    </row>
    <row r="581" spans="1:15" hidden="1" x14ac:dyDescent="0.25">
      <c r="A581" t="s">
        <v>2820</v>
      </c>
      <c r="B581" t="s">
        <v>13</v>
      </c>
      <c r="C581" t="s">
        <v>14</v>
      </c>
      <c r="D581" t="s">
        <v>15</v>
      </c>
      <c r="E581" t="s">
        <v>296</v>
      </c>
      <c r="F581" s="3">
        <v>1150800</v>
      </c>
      <c r="G581" s="2">
        <f t="shared" si="18"/>
        <v>30</v>
      </c>
      <c r="H581" s="2">
        <f t="shared" ca="1" si="19"/>
        <v>1278</v>
      </c>
      <c r="I581" s="4">
        <v>44842</v>
      </c>
      <c r="J581" s="4">
        <v>44872</v>
      </c>
      <c r="K581" t="s">
        <v>17</v>
      </c>
      <c r="L581" t="s">
        <v>18</v>
      </c>
      <c r="M581" t="s">
        <v>19</v>
      </c>
      <c r="N581" t="s">
        <v>20</v>
      </c>
      <c r="O581">
        <v>30</v>
      </c>
    </row>
    <row r="582" spans="1:15" hidden="1" x14ac:dyDescent="0.25">
      <c r="A582" t="s">
        <v>2820</v>
      </c>
      <c r="B582" t="s">
        <v>13</v>
      </c>
      <c r="C582" t="s">
        <v>14</v>
      </c>
      <c r="D582" t="s">
        <v>15</v>
      </c>
      <c r="E582" t="s">
        <v>297</v>
      </c>
      <c r="F582" s="3">
        <v>45220095</v>
      </c>
      <c r="G582" s="2">
        <f t="shared" si="18"/>
        <v>30</v>
      </c>
      <c r="H582" s="2">
        <f t="shared" ca="1" si="19"/>
        <v>1278</v>
      </c>
      <c r="I582" s="4">
        <v>44842</v>
      </c>
      <c r="J582" s="4">
        <v>44872</v>
      </c>
      <c r="K582" t="s">
        <v>17</v>
      </c>
      <c r="L582" t="s">
        <v>18</v>
      </c>
      <c r="M582" t="s">
        <v>19</v>
      </c>
      <c r="N582" t="s">
        <v>20</v>
      </c>
      <c r="O582">
        <v>30</v>
      </c>
    </row>
    <row r="583" spans="1:15" hidden="1" x14ac:dyDescent="0.25">
      <c r="A583" t="s">
        <v>2820</v>
      </c>
      <c r="B583" t="s">
        <v>13</v>
      </c>
      <c r="C583" t="s">
        <v>14</v>
      </c>
      <c r="D583" t="s">
        <v>15</v>
      </c>
      <c r="E583" t="s">
        <v>605</v>
      </c>
      <c r="F583" s="3">
        <v>5021360</v>
      </c>
      <c r="G583" s="2">
        <f t="shared" si="18"/>
        <v>30</v>
      </c>
      <c r="H583" s="2">
        <f t="shared" ca="1" si="19"/>
        <v>1274</v>
      </c>
      <c r="I583" s="4">
        <v>44846</v>
      </c>
      <c r="J583" s="4">
        <v>44876</v>
      </c>
      <c r="K583" t="s">
        <v>343</v>
      </c>
      <c r="L583" t="s">
        <v>18</v>
      </c>
      <c r="M583" t="s">
        <v>19</v>
      </c>
      <c r="N583" t="s">
        <v>20</v>
      </c>
      <c r="O583">
        <v>30</v>
      </c>
    </row>
    <row r="584" spans="1:15" hidden="1" x14ac:dyDescent="0.25">
      <c r="A584" t="s">
        <v>2820</v>
      </c>
      <c r="B584" t="s">
        <v>13</v>
      </c>
      <c r="C584" t="s">
        <v>14</v>
      </c>
      <c r="D584" t="s">
        <v>15</v>
      </c>
      <c r="E584" t="s">
        <v>606</v>
      </c>
      <c r="F584" s="3">
        <v>2505000</v>
      </c>
      <c r="G584" s="2">
        <f t="shared" si="18"/>
        <v>30</v>
      </c>
      <c r="H584" s="2">
        <f t="shared" ca="1" si="19"/>
        <v>1274</v>
      </c>
      <c r="I584" s="4">
        <v>44846</v>
      </c>
      <c r="J584" s="4">
        <v>44876</v>
      </c>
      <c r="K584" t="s">
        <v>343</v>
      </c>
      <c r="L584" t="s">
        <v>18</v>
      </c>
      <c r="M584" t="s">
        <v>19</v>
      </c>
      <c r="N584" t="s">
        <v>20</v>
      </c>
      <c r="O584">
        <v>30</v>
      </c>
    </row>
    <row r="585" spans="1:15" hidden="1" x14ac:dyDescent="0.25">
      <c r="A585" t="s">
        <v>2820</v>
      </c>
      <c r="B585" t="s">
        <v>13</v>
      </c>
      <c r="C585" t="s">
        <v>14</v>
      </c>
      <c r="D585" t="s">
        <v>15</v>
      </c>
      <c r="E585" t="s">
        <v>607</v>
      </c>
      <c r="F585" s="3">
        <v>1733233</v>
      </c>
      <c r="G585" s="2">
        <f t="shared" si="18"/>
        <v>30</v>
      </c>
      <c r="H585" s="2">
        <f t="shared" ca="1" si="19"/>
        <v>1274</v>
      </c>
      <c r="I585" s="4">
        <v>44846</v>
      </c>
      <c r="J585" s="4">
        <v>44876</v>
      </c>
      <c r="K585" t="s">
        <v>343</v>
      </c>
      <c r="L585" t="s">
        <v>18</v>
      </c>
      <c r="M585" t="s">
        <v>19</v>
      </c>
      <c r="N585" t="s">
        <v>20</v>
      </c>
      <c r="O585">
        <v>30</v>
      </c>
    </row>
    <row r="586" spans="1:15" hidden="1" x14ac:dyDescent="0.25">
      <c r="A586" t="s">
        <v>2820</v>
      </c>
      <c r="B586" t="s">
        <v>13</v>
      </c>
      <c r="C586" t="s">
        <v>14</v>
      </c>
      <c r="D586" t="s">
        <v>15</v>
      </c>
      <c r="E586" t="s">
        <v>608</v>
      </c>
      <c r="F586" s="3">
        <v>5016870</v>
      </c>
      <c r="G586" s="2">
        <f t="shared" si="18"/>
        <v>30</v>
      </c>
      <c r="H586" s="2">
        <f t="shared" ca="1" si="19"/>
        <v>1274</v>
      </c>
      <c r="I586" s="4">
        <v>44846</v>
      </c>
      <c r="J586" s="4">
        <v>44876</v>
      </c>
      <c r="K586" t="s">
        <v>343</v>
      </c>
      <c r="L586" t="s">
        <v>18</v>
      </c>
      <c r="M586" t="s">
        <v>19</v>
      </c>
      <c r="N586" t="s">
        <v>20</v>
      </c>
      <c r="O586">
        <v>30</v>
      </c>
    </row>
    <row r="587" spans="1:15" hidden="1" x14ac:dyDescent="0.25">
      <c r="A587" t="s">
        <v>2820</v>
      </c>
      <c r="B587" t="s">
        <v>13</v>
      </c>
      <c r="C587" t="s">
        <v>14</v>
      </c>
      <c r="D587" t="s">
        <v>15</v>
      </c>
      <c r="E587" t="s">
        <v>609</v>
      </c>
      <c r="F587" s="3">
        <v>1764100</v>
      </c>
      <c r="G587" s="2">
        <f t="shared" si="18"/>
        <v>30</v>
      </c>
      <c r="H587" s="2">
        <f t="shared" ca="1" si="19"/>
        <v>1274</v>
      </c>
      <c r="I587" s="4">
        <v>44846</v>
      </c>
      <c r="J587" s="4">
        <v>44876</v>
      </c>
      <c r="K587" t="s">
        <v>343</v>
      </c>
      <c r="L587" t="s">
        <v>18</v>
      </c>
      <c r="M587" t="s">
        <v>19</v>
      </c>
      <c r="N587" t="s">
        <v>20</v>
      </c>
      <c r="O587">
        <v>30</v>
      </c>
    </row>
    <row r="588" spans="1:15" hidden="1" x14ac:dyDescent="0.25">
      <c r="A588" t="s">
        <v>2820</v>
      </c>
      <c r="B588" t="s">
        <v>13</v>
      </c>
      <c r="C588" t="s">
        <v>14</v>
      </c>
      <c r="D588" t="s">
        <v>15</v>
      </c>
      <c r="E588" t="s">
        <v>610</v>
      </c>
      <c r="F588" s="3">
        <v>5545000</v>
      </c>
      <c r="G588" s="2">
        <f t="shared" si="18"/>
        <v>30</v>
      </c>
      <c r="H588" s="2">
        <f t="shared" ca="1" si="19"/>
        <v>1272</v>
      </c>
      <c r="I588" s="4">
        <v>44848</v>
      </c>
      <c r="J588" s="4">
        <v>44878</v>
      </c>
      <c r="K588" t="s">
        <v>343</v>
      </c>
      <c r="L588" t="s">
        <v>18</v>
      </c>
      <c r="M588" t="s">
        <v>19</v>
      </c>
      <c r="N588" t="s">
        <v>20</v>
      </c>
      <c r="O588">
        <v>30</v>
      </c>
    </row>
    <row r="589" spans="1:15" hidden="1" x14ac:dyDescent="0.25">
      <c r="A589" t="s">
        <v>2820</v>
      </c>
      <c r="B589" t="s">
        <v>13</v>
      </c>
      <c r="C589" t="s">
        <v>14</v>
      </c>
      <c r="D589" t="s">
        <v>15</v>
      </c>
      <c r="E589" t="s">
        <v>611</v>
      </c>
      <c r="F589" s="3">
        <v>1189366</v>
      </c>
      <c r="G589" s="2">
        <f t="shared" si="18"/>
        <v>30</v>
      </c>
      <c r="H589" s="2">
        <f t="shared" ca="1" si="19"/>
        <v>1272</v>
      </c>
      <c r="I589" s="4">
        <v>44848</v>
      </c>
      <c r="J589" s="4">
        <v>44878</v>
      </c>
      <c r="K589" t="s">
        <v>343</v>
      </c>
      <c r="L589" t="s">
        <v>18</v>
      </c>
      <c r="M589" t="s">
        <v>19</v>
      </c>
      <c r="N589" t="s">
        <v>20</v>
      </c>
      <c r="O589">
        <v>30</v>
      </c>
    </row>
    <row r="590" spans="1:15" hidden="1" x14ac:dyDescent="0.25">
      <c r="A590" t="s">
        <v>2820</v>
      </c>
      <c r="B590" t="s">
        <v>13</v>
      </c>
      <c r="C590" t="s">
        <v>14</v>
      </c>
      <c r="D590" t="s">
        <v>15</v>
      </c>
      <c r="E590" t="s">
        <v>298</v>
      </c>
      <c r="F590" s="3">
        <v>7604990</v>
      </c>
      <c r="G590" s="2">
        <f t="shared" si="18"/>
        <v>30</v>
      </c>
      <c r="H590" s="2">
        <f t="shared" ca="1" si="19"/>
        <v>1271</v>
      </c>
      <c r="I590" s="4">
        <v>44849</v>
      </c>
      <c r="J590" s="4">
        <v>44879</v>
      </c>
      <c r="K590" t="s">
        <v>17</v>
      </c>
      <c r="L590" t="s">
        <v>18</v>
      </c>
      <c r="M590" t="s">
        <v>19</v>
      </c>
      <c r="N590" t="s">
        <v>20</v>
      </c>
      <c r="O590">
        <v>30</v>
      </c>
    </row>
    <row r="591" spans="1:15" hidden="1" x14ac:dyDescent="0.25">
      <c r="A591" t="s">
        <v>2820</v>
      </c>
      <c r="B591" t="s">
        <v>13</v>
      </c>
      <c r="C591" t="s">
        <v>14</v>
      </c>
      <c r="D591" t="s">
        <v>15</v>
      </c>
      <c r="E591" t="s">
        <v>299</v>
      </c>
      <c r="F591" s="3">
        <v>9520000</v>
      </c>
      <c r="G591" s="2">
        <f t="shared" si="18"/>
        <v>30</v>
      </c>
      <c r="H591" s="2">
        <f t="shared" ca="1" si="19"/>
        <v>1268</v>
      </c>
      <c r="I591" s="4">
        <v>44852</v>
      </c>
      <c r="J591" s="4">
        <v>44882</v>
      </c>
      <c r="K591" t="s">
        <v>17</v>
      </c>
      <c r="L591" t="s">
        <v>18</v>
      </c>
      <c r="M591" t="s">
        <v>19</v>
      </c>
      <c r="N591" t="s">
        <v>20</v>
      </c>
      <c r="O591">
        <v>30</v>
      </c>
    </row>
    <row r="592" spans="1:15" hidden="1" x14ac:dyDescent="0.25">
      <c r="A592" t="s">
        <v>2820</v>
      </c>
      <c r="B592" t="s">
        <v>13</v>
      </c>
      <c r="C592" t="s">
        <v>14</v>
      </c>
      <c r="D592" t="s">
        <v>15</v>
      </c>
      <c r="E592" t="s">
        <v>300</v>
      </c>
      <c r="F592" s="3">
        <v>1942032</v>
      </c>
      <c r="G592" s="2">
        <f t="shared" si="18"/>
        <v>30</v>
      </c>
      <c r="H592" s="2">
        <f t="shared" ca="1" si="19"/>
        <v>1267</v>
      </c>
      <c r="I592" s="4">
        <v>44853</v>
      </c>
      <c r="J592" s="4">
        <v>44883</v>
      </c>
      <c r="K592" t="s">
        <v>17</v>
      </c>
      <c r="L592" t="s">
        <v>18</v>
      </c>
      <c r="M592" t="s">
        <v>19</v>
      </c>
      <c r="N592" t="s">
        <v>20</v>
      </c>
      <c r="O592">
        <v>30</v>
      </c>
    </row>
    <row r="593" spans="1:15" hidden="1" x14ac:dyDescent="0.25">
      <c r="A593" t="s">
        <v>2820</v>
      </c>
      <c r="B593" t="s">
        <v>13</v>
      </c>
      <c r="C593" t="s">
        <v>14</v>
      </c>
      <c r="D593" t="s">
        <v>15</v>
      </c>
      <c r="E593" t="s">
        <v>762</v>
      </c>
      <c r="F593" s="3">
        <v>1918000</v>
      </c>
      <c r="G593" s="2">
        <f t="shared" si="18"/>
        <v>30</v>
      </c>
      <c r="H593" s="2">
        <f t="shared" ca="1" si="19"/>
        <v>1267</v>
      </c>
      <c r="I593" s="4">
        <v>44853</v>
      </c>
      <c r="J593" s="4">
        <v>44883</v>
      </c>
      <c r="K593" t="s">
        <v>716</v>
      </c>
      <c r="L593" t="s">
        <v>18</v>
      </c>
      <c r="M593" t="s">
        <v>19</v>
      </c>
      <c r="N593" t="s">
        <v>20</v>
      </c>
      <c r="O593">
        <v>30</v>
      </c>
    </row>
    <row r="594" spans="1:15" hidden="1" x14ac:dyDescent="0.25">
      <c r="A594" t="s">
        <v>2820</v>
      </c>
      <c r="B594" t="s">
        <v>13</v>
      </c>
      <c r="C594" t="s">
        <v>14</v>
      </c>
      <c r="D594" t="s">
        <v>15</v>
      </c>
      <c r="E594" t="s">
        <v>832</v>
      </c>
      <c r="F594" s="3">
        <v>1918000</v>
      </c>
      <c r="G594" s="2">
        <f t="shared" si="18"/>
        <v>30</v>
      </c>
      <c r="H594" s="2">
        <f t="shared" ca="1" si="19"/>
        <v>1267</v>
      </c>
      <c r="I594" s="4">
        <v>44853</v>
      </c>
      <c r="J594" s="4">
        <v>44883</v>
      </c>
      <c r="K594" t="s">
        <v>766</v>
      </c>
      <c r="L594" t="s">
        <v>18</v>
      </c>
      <c r="M594" t="s">
        <v>19</v>
      </c>
      <c r="N594" t="s">
        <v>20</v>
      </c>
      <c r="O594">
        <v>30</v>
      </c>
    </row>
    <row r="595" spans="1:15" hidden="1" x14ac:dyDescent="0.25">
      <c r="A595" t="s">
        <v>2820</v>
      </c>
      <c r="B595" t="s">
        <v>13</v>
      </c>
      <c r="C595" t="s">
        <v>14</v>
      </c>
      <c r="D595" t="s">
        <v>15</v>
      </c>
      <c r="E595" t="s">
        <v>833</v>
      </c>
      <c r="F595" s="3">
        <v>1518603</v>
      </c>
      <c r="G595" s="2">
        <f t="shared" si="18"/>
        <v>30</v>
      </c>
      <c r="H595" s="2">
        <f t="shared" ca="1" si="19"/>
        <v>1267</v>
      </c>
      <c r="I595" s="4">
        <v>44853</v>
      </c>
      <c r="J595" s="4">
        <v>44883</v>
      </c>
      <c r="K595" t="s">
        <v>766</v>
      </c>
      <c r="L595" t="s">
        <v>18</v>
      </c>
      <c r="M595" t="s">
        <v>19</v>
      </c>
      <c r="N595" t="s">
        <v>20</v>
      </c>
      <c r="O595">
        <v>30</v>
      </c>
    </row>
    <row r="596" spans="1:15" hidden="1" x14ac:dyDescent="0.25">
      <c r="A596" t="s">
        <v>2820</v>
      </c>
      <c r="B596" t="s">
        <v>13</v>
      </c>
      <c r="C596" t="s">
        <v>14</v>
      </c>
      <c r="D596" t="s">
        <v>15</v>
      </c>
      <c r="E596" t="s">
        <v>612</v>
      </c>
      <c r="F596" s="3">
        <v>4760000</v>
      </c>
      <c r="G596" s="2">
        <f t="shared" si="18"/>
        <v>30</v>
      </c>
      <c r="H596" s="2">
        <f t="shared" ca="1" si="19"/>
        <v>1266</v>
      </c>
      <c r="I596" s="4">
        <v>44854</v>
      </c>
      <c r="J596" s="4">
        <v>44884</v>
      </c>
      <c r="K596" t="s">
        <v>343</v>
      </c>
      <c r="L596" t="s">
        <v>18</v>
      </c>
      <c r="M596" t="s">
        <v>19</v>
      </c>
      <c r="N596" t="s">
        <v>20</v>
      </c>
      <c r="O596">
        <v>30</v>
      </c>
    </row>
    <row r="597" spans="1:15" hidden="1" x14ac:dyDescent="0.25">
      <c r="A597" t="s">
        <v>2820</v>
      </c>
      <c r="B597" t="s">
        <v>13</v>
      </c>
      <c r="C597" t="s">
        <v>14</v>
      </c>
      <c r="D597" t="s">
        <v>15</v>
      </c>
      <c r="E597" t="s">
        <v>710</v>
      </c>
      <c r="F597" s="3">
        <v>3339000</v>
      </c>
      <c r="G597" s="2">
        <f t="shared" si="18"/>
        <v>30</v>
      </c>
      <c r="H597" s="2">
        <f t="shared" ca="1" si="19"/>
        <v>1266</v>
      </c>
      <c r="I597" s="4">
        <v>44854</v>
      </c>
      <c r="J597" s="4">
        <v>44884</v>
      </c>
      <c r="K597" t="s">
        <v>638</v>
      </c>
      <c r="L597" t="s">
        <v>18</v>
      </c>
      <c r="M597" t="s">
        <v>19</v>
      </c>
      <c r="N597" t="s">
        <v>20</v>
      </c>
      <c r="O597">
        <v>30</v>
      </c>
    </row>
    <row r="598" spans="1:15" hidden="1" x14ac:dyDescent="0.25">
      <c r="A598" t="s">
        <v>2820</v>
      </c>
      <c r="B598" t="s">
        <v>13</v>
      </c>
      <c r="C598" t="s">
        <v>14</v>
      </c>
      <c r="D598" t="s">
        <v>15</v>
      </c>
      <c r="E598" t="s">
        <v>711</v>
      </c>
      <c r="F598" s="3">
        <v>1918000</v>
      </c>
      <c r="G598" s="2">
        <f t="shared" si="18"/>
        <v>30</v>
      </c>
      <c r="H598" s="2">
        <f t="shared" ca="1" si="19"/>
        <v>1266</v>
      </c>
      <c r="I598" s="4">
        <v>44854</v>
      </c>
      <c r="J598" s="4">
        <v>44884</v>
      </c>
      <c r="K598" t="s">
        <v>638</v>
      </c>
      <c r="L598" t="s">
        <v>18</v>
      </c>
      <c r="M598" t="s">
        <v>19</v>
      </c>
      <c r="N598" t="s">
        <v>20</v>
      </c>
      <c r="O598">
        <v>30</v>
      </c>
    </row>
    <row r="599" spans="1:15" hidden="1" x14ac:dyDescent="0.25">
      <c r="A599" t="s">
        <v>2820</v>
      </c>
      <c r="B599" t="s">
        <v>13</v>
      </c>
      <c r="C599" t="s">
        <v>14</v>
      </c>
      <c r="D599" t="s">
        <v>15</v>
      </c>
      <c r="E599" t="s">
        <v>712</v>
      </c>
      <c r="F599" s="3">
        <v>334872</v>
      </c>
      <c r="G599" s="2">
        <f t="shared" si="18"/>
        <v>30</v>
      </c>
      <c r="H599" s="2">
        <f t="shared" ca="1" si="19"/>
        <v>1266</v>
      </c>
      <c r="I599" s="4">
        <v>44854</v>
      </c>
      <c r="J599" s="4">
        <v>44884</v>
      </c>
      <c r="K599" t="s">
        <v>638</v>
      </c>
      <c r="L599" t="s">
        <v>18</v>
      </c>
      <c r="M599" t="s">
        <v>19</v>
      </c>
      <c r="N599" t="s">
        <v>20</v>
      </c>
      <c r="O599">
        <v>30</v>
      </c>
    </row>
    <row r="600" spans="1:15" hidden="1" x14ac:dyDescent="0.25">
      <c r="A600" t="s">
        <v>2820</v>
      </c>
      <c r="B600" t="s">
        <v>13</v>
      </c>
      <c r="C600" t="s">
        <v>14</v>
      </c>
      <c r="D600" t="s">
        <v>15</v>
      </c>
      <c r="E600" t="s">
        <v>763</v>
      </c>
      <c r="F600" s="3">
        <v>3044063</v>
      </c>
      <c r="G600" s="2">
        <f t="shared" si="18"/>
        <v>30</v>
      </c>
      <c r="H600" s="2">
        <f t="shared" ca="1" si="19"/>
        <v>1266</v>
      </c>
      <c r="I600" s="4">
        <v>44854</v>
      </c>
      <c r="J600" s="4">
        <v>44884</v>
      </c>
      <c r="K600" t="s">
        <v>716</v>
      </c>
      <c r="L600" t="s">
        <v>18</v>
      </c>
      <c r="M600" t="s">
        <v>19</v>
      </c>
      <c r="N600" t="s">
        <v>20</v>
      </c>
      <c r="O600">
        <v>30</v>
      </c>
    </row>
    <row r="601" spans="1:15" hidden="1" x14ac:dyDescent="0.25">
      <c r="A601" t="s">
        <v>2820</v>
      </c>
      <c r="B601" t="s">
        <v>13</v>
      </c>
      <c r="C601" t="s">
        <v>14</v>
      </c>
      <c r="D601" t="s">
        <v>15</v>
      </c>
      <c r="E601" t="s">
        <v>1052</v>
      </c>
      <c r="F601" s="3">
        <v>1380475</v>
      </c>
      <c r="G601" s="2">
        <f t="shared" si="18"/>
        <v>30</v>
      </c>
      <c r="H601" s="2">
        <f t="shared" ca="1" si="19"/>
        <v>1266</v>
      </c>
      <c r="I601" s="4">
        <v>44854</v>
      </c>
      <c r="J601" s="4">
        <v>44884</v>
      </c>
      <c r="K601" t="s">
        <v>989</v>
      </c>
      <c r="L601" t="s">
        <v>18</v>
      </c>
      <c r="M601" t="s">
        <v>19</v>
      </c>
      <c r="N601" t="s">
        <v>20</v>
      </c>
      <c r="O601">
        <v>30</v>
      </c>
    </row>
    <row r="602" spans="1:15" hidden="1" x14ac:dyDescent="0.25">
      <c r="A602" t="s">
        <v>2820</v>
      </c>
      <c r="B602" t="s">
        <v>13</v>
      </c>
      <c r="C602" t="s">
        <v>14</v>
      </c>
      <c r="D602" t="s">
        <v>15</v>
      </c>
      <c r="E602" t="s">
        <v>301</v>
      </c>
      <c r="F602" s="3">
        <v>9108391</v>
      </c>
      <c r="G602" s="2">
        <f t="shared" si="18"/>
        <v>30</v>
      </c>
      <c r="H602" s="2">
        <f t="shared" ca="1" si="19"/>
        <v>1264</v>
      </c>
      <c r="I602" s="4">
        <v>44856</v>
      </c>
      <c r="J602" s="4">
        <v>44886</v>
      </c>
      <c r="K602" t="s">
        <v>17</v>
      </c>
      <c r="L602" t="s">
        <v>18</v>
      </c>
      <c r="M602" t="s">
        <v>19</v>
      </c>
      <c r="N602" t="s">
        <v>20</v>
      </c>
      <c r="O602">
        <v>30</v>
      </c>
    </row>
    <row r="603" spans="1:15" hidden="1" x14ac:dyDescent="0.25">
      <c r="A603" t="s">
        <v>2820</v>
      </c>
      <c r="B603" t="s">
        <v>13</v>
      </c>
      <c r="C603" t="s">
        <v>14</v>
      </c>
      <c r="D603" t="s">
        <v>15</v>
      </c>
      <c r="E603" t="s">
        <v>613</v>
      </c>
      <c r="F603" s="3">
        <v>7166598</v>
      </c>
      <c r="G603" s="2">
        <f t="shared" si="18"/>
        <v>30</v>
      </c>
      <c r="H603" s="2">
        <f t="shared" ca="1" si="19"/>
        <v>1260</v>
      </c>
      <c r="I603" s="4">
        <v>44860</v>
      </c>
      <c r="J603" s="4">
        <v>44890</v>
      </c>
      <c r="K603" t="s">
        <v>343</v>
      </c>
      <c r="L603" t="s">
        <v>18</v>
      </c>
      <c r="M603" t="s">
        <v>19</v>
      </c>
      <c r="N603" t="s">
        <v>20</v>
      </c>
      <c r="O603">
        <v>30</v>
      </c>
    </row>
    <row r="604" spans="1:15" hidden="1" x14ac:dyDescent="0.25">
      <c r="A604" t="s">
        <v>2820</v>
      </c>
      <c r="B604" t="s">
        <v>13</v>
      </c>
      <c r="C604" t="s">
        <v>14</v>
      </c>
      <c r="D604" t="s">
        <v>15</v>
      </c>
      <c r="E604" t="s">
        <v>614</v>
      </c>
      <c r="F604" s="3">
        <v>1387800</v>
      </c>
      <c r="G604" s="2">
        <f t="shared" si="18"/>
        <v>30</v>
      </c>
      <c r="H604" s="2">
        <f t="shared" ca="1" si="19"/>
        <v>1260</v>
      </c>
      <c r="I604" s="4">
        <v>44860</v>
      </c>
      <c r="J604" s="4">
        <v>44890</v>
      </c>
      <c r="K604" t="s">
        <v>343</v>
      </c>
      <c r="L604" t="s">
        <v>18</v>
      </c>
      <c r="M604" t="s">
        <v>19</v>
      </c>
      <c r="N604" t="s">
        <v>20</v>
      </c>
      <c r="O604">
        <v>30</v>
      </c>
    </row>
    <row r="605" spans="1:15" hidden="1" x14ac:dyDescent="0.25">
      <c r="A605" t="s">
        <v>2820</v>
      </c>
      <c r="B605" t="s">
        <v>13</v>
      </c>
      <c r="C605" t="s">
        <v>14</v>
      </c>
      <c r="D605" t="s">
        <v>15</v>
      </c>
      <c r="E605" t="s">
        <v>615</v>
      </c>
      <c r="F605" s="3">
        <v>1742926</v>
      </c>
      <c r="G605" s="2">
        <f t="shared" si="18"/>
        <v>30</v>
      </c>
      <c r="H605" s="2">
        <f t="shared" ca="1" si="19"/>
        <v>1260</v>
      </c>
      <c r="I605" s="4">
        <v>44860</v>
      </c>
      <c r="J605" s="4">
        <v>44890</v>
      </c>
      <c r="K605" t="s">
        <v>343</v>
      </c>
      <c r="L605" t="s">
        <v>18</v>
      </c>
      <c r="M605" t="s">
        <v>19</v>
      </c>
      <c r="N605" t="s">
        <v>20</v>
      </c>
      <c r="O605">
        <v>30</v>
      </c>
    </row>
    <row r="606" spans="1:15" hidden="1" x14ac:dyDescent="0.25">
      <c r="A606" t="s">
        <v>2820</v>
      </c>
      <c r="B606" t="s">
        <v>13</v>
      </c>
      <c r="C606" t="s">
        <v>14</v>
      </c>
      <c r="D606" t="s">
        <v>15</v>
      </c>
      <c r="E606" t="s">
        <v>616</v>
      </c>
      <c r="F606" s="3">
        <v>2189216</v>
      </c>
      <c r="G606" s="2">
        <f t="shared" si="18"/>
        <v>30</v>
      </c>
      <c r="H606" s="2">
        <f t="shared" ca="1" si="19"/>
        <v>1260</v>
      </c>
      <c r="I606" s="4">
        <v>44860</v>
      </c>
      <c r="J606" s="4">
        <v>44890</v>
      </c>
      <c r="K606" t="s">
        <v>343</v>
      </c>
      <c r="L606" t="s">
        <v>18</v>
      </c>
      <c r="M606" t="s">
        <v>19</v>
      </c>
      <c r="N606" t="s">
        <v>20</v>
      </c>
      <c r="O606">
        <v>30</v>
      </c>
    </row>
    <row r="607" spans="1:15" hidden="1" x14ac:dyDescent="0.25">
      <c r="A607" t="s">
        <v>2820</v>
      </c>
      <c r="B607" t="s">
        <v>13</v>
      </c>
      <c r="C607" t="s">
        <v>14</v>
      </c>
      <c r="D607" t="s">
        <v>15</v>
      </c>
      <c r="E607" t="s">
        <v>617</v>
      </c>
      <c r="F607" s="3">
        <v>2164684</v>
      </c>
      <c r="G607" s="2">
        <f t="shared" si="18"/>
        <v>30</v>
      </c>
      <c r="H607" s="2">
        <f t="shared" ca="1" si="19"/>
        <v>1260</v>
      </c>
      <c r="I607" s="4">
        <v>44860</v>
      </c>
      <c r="J607" s="4">
        <v>44890</v>
      </c>
      <c r="K607" t="s">
        <v>343</v>
      </c>
      <c r="L607" t="s">
        <v>18</v>
      </c>
      <c r="M607" t="s">
        <v>19</v>
      </c>
      <c r="N607" t="s">
        <v>20</v>
      </c>
      <c r="O607">
        <v>30</v>
      </c>
    </row>
    <row r="608" spans="1:15" hidden="1" x14ac:dyDescent="0.25">
      <c r="A608" t="s">
        <v>2820</v>
      </c>
      <c r="B608" t="s">
        <v>13</v>
      </c>
      <c r="C608" t="s">
        <v>14</v>
      </c>
      <c r="D608" t="s">
        <v>15</v>
      </c>
      <c r="E608" t="s">
        <v>764</v>
      </c>
      <c r="F608" s="3">
        <v>512610</v>
      </c>
      <c r="G608" s="2">
        <f t="shared" si="18"/>
        <v>30</v>
      </c>
      <c r="H608" s="2">
        <f t="shared" ca="1" si="19"/>
        <v>1253</v>
      </c>
      <c r="I608" s="4">
        <v>44867</v>
      </c>
      <c r="J608" s="4">
        <v>44897</v>
      </c>
      <c r="K608" t="s">
        <v>716</v>
      </c>
      <c r="L608" t="s">
        <v>18</v>
      </c>
      <c r="M608" t="s">
        <v>19</v>
      </c>
      <c r="N608" t="s">
        <v>20</v>
      </c>
      <c r="O608">
        <v>30</v>
      </c>
    </row>
    <row r="609" spans="1:15" hidden="1" x14ac:dyDescent="0.25">
      <c r="A609" t="s">
        <v>2820</v>
      </c>
      <c r="B609" t="s">
        <v>13</v>
      </c>
      <c r="C609" t="s">
        <v>14</v>
      </c>
      <c r="D609" t="s">
        <v>15</v>
      </c>
      <c r="E609" t="s">
        <v>834</v>
      </c>
      <c r="F609" s="3">
        <v>982996</v>
      </c>
      <c r="G609" s="2">
        <f t="shared" si="18"/>
        <v>30</v>
      </c>
      <c r="H609" s="2">
        <f t="shared" ca="1" si="19"/>
        <v>1253</v>
      </c>
      <c r="I609" s="4">
        <v>44867</v>
      </c>
      <c r="J609" s="4">
        <v>44897</v>
      </c>
      <c r="K609" t="s">
        <v>766</v>
      </c>
      <c r="L609" t="s">
        <v>18</v>
      </c>
      <c r="M609" t="s">
        <v>19</v>
      </c>
      <c r="N609" t="s">
        <v>20</v>
      </c>
      <c r="O609">
        <v>30</v>
      </c>
    </row>
    <row r="610" spans="1:15" hidden="1" x14ac:dyDescent="0.25">
      <c r="A610" t="s">
        <v>2820</v>
      </c>
      <c r="B610" t="s">
        <v>13</v>
      </c>
      <c r="C610" t="s">
        <v>14</v>
      </c>
      <c r="D610" t="s">
        <v>15</v>
      </c>
      <c r="E610" t="s">
        <v>713</v>
      </c>
      <c r="F610" s="3">
        <v>955196</v>
      </c>
      <c r="G610" s="2">
        <f t="shared" si="18"/>
        <v>30</v>
      </c>
      <c r="H610" s="2">
        <f t="shared" ca="1" si="19"/>
        <v>1252</v>
      </c>
      <c r="I610" s="4">
        <v>44868</v>
      </c>
      <c r="J610" s="4">
        <v>44898</v>
      </c>
      <c r="K610" t="s">
        <v>638</v>
      </c>
      <c r="L610" t="s">
        <v>18</v>
      </c>
      <c r="M610" t="s">
        <v>19</v>
      </c>
      <c r="N610" t="s">
        <v>20</v>
      </c>
      <c r="O610">
        <v>30</v>
      </c>
    </row>
    <row r="611" spans="1:15" hidden="1" x14ac:dyDescent="0.25">
      <c r="A611" t="s">
        <v>2820</v>
      </c>
      <c r="B611" t="s">
        <v>13</v>
      </c>
      <c r="C611" t="s">
        <v>14</v>
      </c>
      <c r="D611" t="s">
        <v>15</v>
      </c>
      <c r="E611" t="s">
        <v>1053</v>
      </c>
      <c r="F611" s="3">
        <v>4461655</v>
      </c>
      <c r="G611" s="2">
        <f t="shared" si="18"/>
        <v>30</v>
      </c>
      <c r="H611" s="2">
        <f t="shared" ca="1" si="19"/>
        <v>1252</v>
      </c>
      <c r="I611" s="4">
        <v>44868</v>
      </c>
      <c r="J611" s="4">
        <v>44898</v>
      </c>
      <c r="K611" t="s">
        <v>989</v>
      </c>
      <c r="L611" t="s">
        <v>18</v>
      </c>
      <c r="M611" t="s">
        <v>19</v>
      </c>
      <c r="N611" t="s">
        <v>20</v>
      </c>
      <c r="O611">
        <v>30</v>
      </c>
    </row>
    <row r="612" spans="1:15" hidden="1" x14ac:dyDescent="0.25">
      <c r="A612" t="s">
        <v>2820</v>
      </c>
      <c r="B612" t="s">
        <v>13</v>
      </c>
      <c r="C612" t="s">
        <v>14</v>
      </c>
      <c r="D612" t="s">
        <v>15</v>
      </c>
      <c r="E612" t="s">
        <v>302</v>
      </c>
      <c r="F612" s="3">
        <v>60951775</v>
      </c>
      <c r="G612" s="2">
        <f t="shared" si="18"/>
        <v>30</v>
      </c>
      <c r="H612" s="2">
        <f t="shared" ca="1" si="19"/>
        <v>1250</v>
      </c>
      <c r="I612" s="4">
        <v>44870</v>
      </c>
      <c r="J612" s="4">
        <v>44900</v>
      </c>
      <c r="K612" t="s">
        <v>17</v>
      </c>
      <c r="L612" t="s">
        <v>18</v>
      </c>
      <c r="M612" t="s">
        <v>19</v>
      </c>
      <c r="N612" t="s">
        <v>20</v>
      </c>
      <c r="O612">
        <v>30</v>
      </c>
    </row>
    <row r="613" spans="1:15" hidden="1" x14ac:dyDescent="0.25">
      <c r="A613" t="s">
        <v>2820</v>
      </c>
      <c r="B613" t="s">
        <v>13</v>
      </c>
      <c r="C613" t="s">
        <v>14</v>
      </c>
      <c r="D613" t="s">
        <v>15</v>
      </c>
      <c r="E613" t="s">
        <v>618</v>
      </c>
      <c r="F613" s="3">
        <v>7695911</v>
      </c>
      <c r="G613" s="2">
        <f t="shared" si="18"/>
        <v>30</v>
      </c>
      <c r="H613" s="2">
        <f t="shared" ca="1" si="19"/>
        <v>1244</v>
      </c>
      <c r="I613" s="4">
        <v>44876</v>
      </c>
      <c r="J613" s="4">
        <v>44906</v>
      </c>
      <c r="K613" t="s">
        <v>343</v>
      </c>
      <c r="L613" t="s">
        <v>18</v>
      </c>
      <c r="M613" t="s">
        <v>19</v>
      </c>
      <c r="N613" t="s">
        <v>20</v>
      </c>
      <c r="O613">
        <v>30</v>
      </c>
    </row>
    <row r="614" spans="1:15" hidden="1" x14ac:dyDescent="0.25">
      <c r="A614" t="s">
        <v>2820</v>
      </c>
      <c r="B614" t="s">
        <v>13</v>
      </c>
      <c r="C614" t="s">
        <v>14</v>
      </c>
      <c r="D614" t="s">
        <v>15</v>
      </c>
      <c r="E614" t="s">
        <v>619</v>
      </c>
      <c r="F614" s="3">
        <v>4263800</v>
      </c>
      <c r="G614" s="2">
        <f t="shared" si="18"/>
        <v>30</v>
      </c>
      <c r="H614" s="2">
        <f t="shared" ca="1" si="19"/>
        <v>1244</v>
      </c>
      <c r="I614" s="4">
        <v>44876</v>
      </c>
      <c r="J614" s="4">
        <v>44906</v>
      </c>
      <c r="K614" t="s">
        <v>343</v>
      </c>
      <c r="L614" t="s">
        <v>18</v>
      </c>
      <c r="M614" t="s">
        <v>19</v>
      </c>
      <c r="N614" t="s">
        <v>20</v>
      </c>
      <c r="O614">
        <v>30</v>
      </c>
    </row>
    <row r="615" spans="1:15" hidden="1" x14ac:dyDescent="0.25">
      <c r="A615" t="s">
        <v>2820</v>
      </c>
      <c r="B615" t="s">
        <v>13</v>
      </c>
      <c r="C615" t="s">
        <v>14</v>
      </c>
      <c r="D615" t="s">
        <v>15</v>
      </c>
      <c r="E615" t="s">
        <v>620</v>
      </c>
      <c r="F615" s="3">
        <v>3207168</v>
      </c>
      <c r="G615" s="2">
        <f t="shared" si="18"/>
        <v>30</v>
      </c>
      <c r="H615" s="2">
        <f t="shared" ca="1" si="19"/>
        <v>1244</v>
      </c>
      <c r="I615" s="4">
        <v>44876</v>
      </c>
      <c r="J615" s="4">
        <v>44906</v>
      </c>
      <c r="K615" t="s">
        <v>343</v>
      </c>
      <c r="L615" t="s">
        <v>18</v>
      </c>
      <c r="M615" t="s">
        <v>19</v>
      </c>
      <c r="N615" t="s">
        <v>20</v>
      </c>
      <c r="O615">
        <v>30</v>
      </c>
    </row>
    <row r="616" spans="1:15" hidden="1" x14ac:dyDescent="0.25">
      <c r="A616" t="s">
        <v>2820</v>
      </c>
      <c r="B616" t="s">
        <v>13</v>
      </c>
      <c r="C616" t="s">
        <v>14</v>
      </c>
      <c r="D616" t="s">
        <v>15</v>
      </c>
      <c r="E616" t="s">
        <v>621</v>
      </c>
      <c r="F616" s="3">
        <v>2721163</v>
      </c>
      <c r="G616" s="2">
        <f t="shared" si="18"/>
        <v>30</v>
      </c>
      <c r="H616" s="2">
        <f t="shared" ca="1" si="19"/>
        <v>1244</v>
      </c>
      <c r="I616" s="4">
        <v>44876</v>
      </c>
      <c r="J616" s="4">
        <v>44906</v>
      </c>
      <c r="K616" t="s">
        <v>343</v>
      </c>
      <c r="L616" t="s">
        <v>18</v>
      </c>
      <c r="M616" t="s">
        <v>19</v>
      </c>
      <c r="N616" t="s">
        <v>20</v>
      </c>
      <c r="O616">
        <v>30</v>
      </c>
    </row>
    <row r="617" spans="1:15" hidden="1" x14ac:dyDescent="0.25">
      <c r="A617" t="s">
        <v>2820</v>
      </c>
      <c r="B617" t="s">
        <v>13</v>
      </c>
      <c r="C617" t="s">
        <v>14</v>
      </c>
      <c r="D617" t="s">
        <v>15</v>
      </c>
      <c r="E617" t="s">
        <v>622</v>
      </c>
      <c r="F617" s="3">
        <v>6415993</v>
      </c>
      <c r="G617" s="2">
        <f t="shared" si="18"/>
        <v>30</v>
      </c>
      <c r="H617" s="2">
        <f t="shared" ca="1" si="19"/>
        <v>1244</v>
      </c>
      <c r="I617" s="4">
        <v>44876</v>
      </c>
      <c r="J617" s="4">
        <v>44906</v>
      </c>
      <c r="K617" t="s">
        <v>343</v>
      </c>
      <c r="L617" t="s">
        <v>18</v>
      </c>
      <c r="M617" t="s">
        <v>19</v>
      </c>
      <c r="N617" t="s">
        <v>20</v>
      </c>
      <c r="O617">
        <v>30</v>
      </c>
    </row>
    <row r="618" spans="1:15" hidden="1" x14ac:dyDescent="0.25">
      <c r="A618" t="s">
        <v>2820</v>
      </c>
      <c r="B618" t="s">
        <v>13</v>
      </c>
      <c r="C618" t="s">
        <v>14</v>
      </c>
      <c r="D618" t="s">
        <v>15</v>
      </c>
      <c r="E618" t="s">
        <v>765</v>
      </c>
      <c r="F618" s="3">
        <v>1478976</v>
      </c>
      <c r="G618" s="2">
        <f t="shared" si="18"/>
        <v>30</v>
      </c>
      <c r="H618" s="2">
        <f t="shared" ca="1" si="19"/>
        <v>1239</v>
      </c>
      <c r="I618" s="4">
        <v>44881</v>
      </c>
      <c r="J618" s="4">
        <v>44911</v>
      </c>
      <c r="K618" t="s">
        <v>716</v>
      </c>
      <c r="L618" t="s">
        <v>18</v>
      </c>
      <c r="M618" t="s">
        <v>19</v>
      </c>
      <c r="N618" t="s">
        <v>20</v>
      </c>
      <c r="O618">
        <v>30</v>
      </c>
    </row>
    <row r="619" spans="1:15" hidden="1" x14ac:dyDescent="0.25">
      <c r="A619" t="s">
        <v>2820</v>
      </c>
      <c r="B619" t="s">
        <v>303</v>
      </c>
      <c r="C619" t="s">
        <v>304</v>
      </c>
      <c r="D619" t="s">
        <v>305</v>
      </c>
      <c r="E619" t="s">
        <v>306</v>
      </c>
      <c r="F619" s="3">
        <v>87903300</v>
      </c>
      <c r="G619" s="2">
        <f t="shared" si="18"/>
        <v>5</v>
      </c>
      <c r="H619" s="2">
        <f t="shared" ca="1" si="19"/>
        <v>1238</v>
      </c>
      <c r="I619" s="4">
        <v>44882</v>
      </c>
      <c r="J619" s="4">
        <v>44887</v>
      </c>
      <c r="K619" t="s">
        <v>17</v>
      </c>
      <c r="L619" t="s">
        <v>109</v>
      </c>
      <c r="M619" t="s">
        <v>19</v>
      </c>
      <c r="N619" t="s">
        <v>307</v>
      </c>
      <c r="O619">
        <v>1</v>
      </c>
    </row>
    <row r="620" spans="1:15" hidden="1" x14ac:dyDescent="0.25">
      <c r="A620" t="s">
        <v>2820</v>
      </c>
      <c r="B620" t="s">
        <v>13</v>
      </c>
      <c r="C620" t="s">
        <v>14</v>
      </c>
      <c r="D620" t="s">
        <v>15</v>
      </c>
      <c r="E620" t="s">
        <v>714</v>
      </c>
      <c r="F620" s="3">
        <v>564882</v>
      </c>
      <c r="G620" s="2">
        <f t="shared" si="18"/>
        <v>30</v>
      </c>
      <c r="H620" s="2">
        <f t="shared" ca="1" si="19"/>
        <v>1238</v>
      </c>
      <c r="I620" s="4">
        <v>44882</v>
      </c>
      <c r="J620" s="4">
        <v>44912</v>
      </c>
      <c r="K620" t="s">
        <v>638</v>
      </c>
      <c r="L620" t="s">
        <v>18</v>
      </c>
      <c r="M620" t="s">
        <v>19</v>
      </c>
      <c r="N620" t="s">
        <v>20</v>
      </c>
      <c r="O620">
        <v>30</v>
      </c>
    </row>
    <row r="621" spans="1:15" hidden="1" x14ac:dyDescent="0.25">
      <c r="A621" t="s">
        <v>2820</v>
      </c>
      <c r="B621" t="s">
        <v>13</v>
      </c>
      <c r="C621" t="s">
        <v>14</v>
      </c>
      <c r="D621" t="s">
        <v>15</v>
      </c>
      <c r="E621" t="s">
        <v>1054</v>
      </c>
      <c r="F621" s="3">
        <v>12400000</v>
      </c>
      <c r="G621" s="2">
        <f t="shared" si="18"/>
        <v>30</v>
      </c>
      <c r="H621" s="2">
        <f t="shared" ca="1" si="19"/>
        <v>1238</v>
      </c>
      <c r="I621" s="4">
        <v>44882</v>
      </c>
      <c r="J621" s="4">
        <v>44912</v>
      </c>
      <c r="K621" t="s">
        <v>989</v>
      </c>
      <c r="L621" t="s">
        <v>18</v>
      </c>
      <c r="M621" t="s">
        <v>19</v>
      </c>
      <c r="N621" t="s">
        <v>20</v>
      </c>
      <c r="O621">
        <v>30</v>
      </c>
    </row>
    <row r="622" spans="1:15" hidden="1" x14ac:dyDescent="0.25">
      <c r="A622" t="s">
        <v>2820</v>
      </c>
      <c r="B622" t="s">
        <v>13</v>
      </c>
      <c r="C622" t="s">
        <v>14</v>
      </c>
      <c r="D622" t="s">
        <v>15</v>
      </c>
      <c r="E622" t="s">
        <v>308</v>
      </c>
      <c r="F622" s="3">
        <v>3038121</v>
      </c>
      <c r="G622" s="2">
        <f t="shared" si="18"/>
        <v>30</v>
      </c>
      <c r="H622" s="2">
        <f t="shared" ca="1" si="19"/>
        <v>1236</v>
      </c>
      <c r="I622" s="4">
        <v>44884</v>
      </c>
      <c r="J622" s="4">
        <v>44914</v>
      </c>
      <c r="K622" t="s">
        <v>17</v>
      </c>
      <c r="L622" t="s">
        <v>18</v>
      </c>
      <c r="M622" t="s">
        <v>19</v>
      </c>
      <c r="N622" t="s">
        <v>20</v>
      </c>
      <c r="O622">
        <v>30</v>
      </c>
    </row>
    <row r="623" spans="1:15" hidden="1" x14ac:dyDescent="0.25">
      <c r="A623" t="s">
        <v>2820</v>
      </c>
      <c r="B623" t="s">
        <v>13</v>
      </c>
      <c r="C623" t="s">
        <v>14</v>
      </c>
      <c r="D623" t="s">
        <v>15</v>
      </c>
      <c r="E623" t="s">
        <v>1055</v>
      </c>
      <c r="F623" s="3">
        <v>1980000</v>
      </c>
      <c r="G623" s="2">
        <f t="shared" si="18"/>
        <v>30</v>
      </c>
      <c r="H623" s="2">
        <f t="shared" ca="1" si="19"/>
        <v>1234</v>
      </c>
      <c r="I623" s="4">
        <v>44886</v>
      </c>
      <c r="J623" s="4">
        <v>44916</v>
      </c>
      <c r="K623" t="s">
        <v>989</v>
      </c>
      <c r="L623" t="s">
        <v>18</v>
      </c>
      <c r="M623" t="s">
        <v>19</v>
      </c>
      <c r="N623" t="s">
        <v>20</v>
      </c>
      <c r="O623">
        <v>30</v>
      </c>
    </row>
    <row r="624" spans="1:15" hidden="1" x14ac:dyDescent="0.25">
      <c r="A624" t="s">
        <v>2820</v>
      </c>
      <c r="B624" t="s">
        <v>13</v>
      </c>
      <c r="C624" t="s">
        <v>14</v>
      </c>
      <c r="D624" t="s">
        <v>15</v>
      </c>
      <c r="E624" t="s">
        <v>309</v>
      </c>
      <c r="F624" s="3">
        <v>2509724</v>
      </c>
      <c r="G624" s="2">
        <f t="shared" si="18"/>
        <v>30</v>
      </c>
      <c r="H624" s="2">
        <f t="shared" ca="1" si="19"/>
        <v>1233</v>
      </c>
      <c r="I624" s="4">
        <v>44887</v>
      </c>
      <c r="J624" s="4">
        <v>44917</v>
      </c>
      <c r="K624" t="s">
        <v>17</v>
      </c>
      <c r="L624" t="s">
        <v>18</v>
      </c>
      <c r="M624" t="s">
        <v>19</v>
      </c>
      <c r="N624" t="s">
        <v>20</v>
      </c>
      <c r="O624">
        <v>30</v>
      </c>
    </row>
    <row r="625" spans="1:15" hidden="1" x14ac:dyDescent="0.25">
      <c r="A625" t="s">
        <v>2820</v>
      </c>
      <c r="B625" t="s">
        <v>13</v>
      </c>
      <c r="C625" t="s">
        <v>14</v>
      </c>
      <c r="D625" t="s">
        <v>15</v>
      </c>
      <c r="E625" t="s">
        <v>623</v>
      </c>
      <c r="F625" s="3">
        <v>3554323</v>
      </c>
      <c r="G625" s="2">
        <f t="shared" si="18"/>
        <v>30</v>
      </c>
      <c r="H625" s="2">
        <f t="shared" ca="1" si="19"/>
        <v>1233</v>
      </c>
      <c r="I625" s="4">
        <v>44887</v>
      </c>
      <c r="J625" s="4">
        <v>44917</v>
      </c>
      <c r="K625" t="s">
        <v>343</v>
      </c>
      <c r="L625" t="s">
        <v>18</v>
      </c>
      <c r="M625" t="s">
        <v>19</v>
      </c>
      <c r="N625" t="s">
        <v>20</v>
      </c>
      <c r="O625">
        <v>30</v>
      </c>
    </row>
    <row r="626" spans="1:15" hidden="1" x14ac:dyDescent="0.25">
      <c r="A626" t="s">
        <v>2820</v>
      </c>
      <c r="B626" t="s">
        <v>13</v>
      </c>
      <c r="C626" t="s">
        <v>14</v>
      </c>
      <c r="D626" t="s">
        <v>15</v>
      </c>
      <c r="E626" t="s">
        <v>624</v>
      </c>
      <c r="F626" s="3">
        <v>4461800</v>
      </c>
      <c r="G626" s="2">
        <f t="shared" si="18"/>
        <v>30</v>
      </c>
      <c r="H626" s="2">
        <f t="shared" ca="1" si="19"/>
        <v>1233</v>
      </c>
      <c r="I626" s="4">
        <v>44887</v>
      </c>
      <c r="J626" s="4">
        <v>44917</v>
      </c>
      <c r="K626" t="s">
        <v>343</v>
      </c>
      <c r="L626" t="s">
        <v>18</v>
      </c>
      <c r="M626" t="s">
        <v>19</v>
      </c>
      <c r="N626" t="s">
        <v>20</v>
      </c>
      <c r="O626">
        <v>30</v>
      </c>
    </row>
    <row r="627" spans="1:15" hidden="1" x14ac:dyDescent="0.25">
      <c r="A627" t="s">
        <v>2820</v>
      </c>
      <c r="B627" t="s">
        <v>13</v>
      </c>
      <c r="C627" t="s">
        <v>14</v>
      </c>
      <c r="D627" t="s">
        <v>15</v>
      </c>
      <c r="E627" t="s">
        <v>625</v>
      </c>
      <c r="F627" s="3">
        <v>2133500</v>
      </c>
      <c r="G627" s="2">
        <f t="shared" si="18"/>
        <v>30</v>
      </c>
      <c r="H627" s="2">
        <f t="shared" ca="1" si="19"/>
        <v>1233</v>
      </c>
      <c r="I627" s="4">
        <v>44887</v>
      </c>
      <c r="J627" s="4">
        <v>44917</v>
      </c>
      <c r="K627" t="s">
        <v>343</v>
      </c>
      <c r="L627" t="s">
        <v>18</v>
      </c>
      <c r="M627" t="s">
        <v>19</v>
      </c>
      <c r="N627" t="s">
        <v>20</v>
      </c>
      <c r="O627">
        <v>30</v>
      </c>
    </row>
    <row r="628" spans="1:15" hidden="1" x14ac:dyDescent="0.25">
      <c r="A628" t="s">
        <v>2820</v>
      </c>
      <c r="B628" t="s">
        <v>906</v>
      </c>
      <c r="C628" t="s">
        <v>907</v>
      </c>
      <c r="D628" t="s">
        <v>844</v>
      </c>
      <c r="E628" t="s">
        <v>908</v>
      </c>
      <c r="F628" s="3">
        <v>149983</v>
      </c>
      <c r="G628" s="2">
        <f t="shared" si="18"/>
        <v>30</v>
      </c>
      <c r="H628" s="2">
        <f t="shared" ca="1" si="19"/>
        <v>1225</v>
      </c>
      <c r="I628" s="4">
        <v>44895</v>
      </c>
      <c r="J628" s="4">
        <v>44925</v>
      </c>
      <c r="K628" t="s">
        <v>845</v>
      </c>
      <c r="L628" t="s">
        <v>18</v>
      </c>
      <c r="M628" t="s">
        <v>19</v>
      </c>
      <c r="N628" t="s">
        <v>909</v>
      </c>
      <c r="O628">
        <v>30</v>
      </c>
    </row>
    <row r="629" spans="1:15" hidden="1" x14ac:dyDescent="0.25">
      <c r="A629" t="s">
        <v>2820</v>
      </c>
      <c r="B629" t="s">
        <v>13</v>
      </c>
      <c r="C629" t="s">
        <v>14</v>
      </c>
      <c r="D629" t="s">
        <v>15</v>
      </c>
      <c r="E629" t="s">
        <v>1056</v>
      </c>
      <c r="F629" s="3">
        <v>2644785</v>
      </c>
      <c r="G629" s="2">
        <f t="shared" si="18"/>
        <v>30</v>
      </c>
      <c r="H629" s="2">
        <f t="shared" ca="1" si="19"/>
        <v>1223</v>
      </c>
      <c r="I629" s="4">
        <v>44897</v>
      </c>
      <c r="J629" s="4">
        <v>44927</v>
      </c>
      <c r="K629" t="s">
        <v>989</v>
      </c>
      <c r="L629" t="s">
        <v>18</v>
      </c>
      <c r="M629" t="s">
        <v>19</v>
      </c>
      <c r="N629" t="s">
        <v>20</v>
      </c>
      <c r="O629">
        <v>30</v>
      </c>
    </row>
    <row r="630" spans="1:15" hidden="1" x14ac:dyDescent="0.25">
      <c r="A630" t="s">
        <v>2820</v>
      </c>
      <c r="B630" t="s">
        <v>626</v>
      </c>
      <c r="C630" t="s">
        <v>627</v>
      </c>
      <c r="D630" t="s">
        <v>204</v>
      </c>
      <c r="E630" t="s">
        <v>628</v>
      </c>
      <c r="F630" s="3">
        <v>10729181</v>
      </c>
      <c r="G630" s="2">
        <f t="shared" si="18"/>
        <v>30</v>
      </c>
      <c r="H630" s="2">
        <f t="shared" ca="1" si="19"/>
        <v>1093</v>
      </c>
      <c r="I630" s="4">
        <v>45027</v>
      </c>
      <c r="J630" s="4">
        <v>45057</v>
      </c>
      <c r="K630" t="s">
        <v>343</v>
      </c>
      <c r="L630" t="s">
        <v>18</v>
      </c>
      <c r="M630" t="s">
        <v>19</v>
      </c>
      <c r="N630" t="s">
        <v>629</v>
      </c>
      <c r="O630">
        <v>30</v>
      </c>
    </row>
    <row r="631" spans="1:15" hidden="1" x14ac:dyDescent="0.25">
      <c r="A631" t="s">
        <v>2820</v>
      </c>
      <c r="B631" t="s">
        <v>626</v>
      </c>
      <c r="C631" t="s">
        <v>627</v>
      </c>
      <c r="D631" t="s">
        <v>204</v>
      </c>
      <c r="E631" t="s">
        <v>630</v>
      </c>
      <c r="F631" s="3">
        <v>6990929</v>
      </c>
      <c r="G631" s="2">
        <f t="shared" si="18"/>
        <v>30</v>
      </c>
      <c r="H631" s="2">
        <f t="shared" ca="1" si="19"/>
        <v>1093</v>
      </c>
      <c r="I631" s="4">
        <v>45027</v>
      </c>
      <c r="J631" s="4">
        <v>45057</v>
      </c>
      <c r="K631" t="s">
        <v>343</v>
      </c>
      <c r="L631" t="s">
        <v>18</v>
      </c>
      <c r="M631" t="s">
        <v>19</v>
      </c>
      <c r="N631" t="s">
        <v>629</v>
      </c>
      <c r="O631">
        <v>30</v>
      </c>
    </row>
    <row r="632" spans="1:15" hidden="1" x14ac:dyDescent="0.25">
      <c r="A632" t="s">
        <v>2820</v>
      </c>
      <c r="B632" t="s">
        <v>626</v>
      </c>
      <c r="C632" t="s">
        <v>627</v>
      </c>
      <c r="D632" t="s">
        <v>204</v>
      </c>
      <c r="E632" t="s">
        <v>631</v>
      </c>
      <c r="F632" s="3">
        <v>9798131</v>
      </c>
      <c r="G632" s="2">
        <f t="shared" si="18"/>
        <v>30</v>
      </c>
      <c r="H632" s="2">
        <f t="shared" ca="1" si="19"/>
        <v>1093</v>
      </c>
      <c r="I632" s="4">
        <v>45027</v>
      </c>
      <c r="J632" s="4">
        <v>45057</v>
      </c>
      <c r="K632" t="s">
        <v>343</v>
      </c>
      <c r="L632" t="s">
        <v>18</v>
      </c>
      <c r="M632" t="s">
        <v>19</v>
      </c>
      <c r="N632" t="s">
        <v>629</v>
      </c>
      <c r="O632">
        <v>30</v>
      </c>
    </row>
    <row r="633" spans="1:15" hidden="1" x14ac:dyDescent="0.25">
      <c r="A633" t="s">
        <v>2820</v>
      </c>
      <c r="B633" t="s">
        <v>626</v>
      </c>
      <c r="C633" t="s">
        <v>627</v>
      </c>
      <c r="D633" t="s">
        <v>204</v>
      </c>
      <c r="E633" t="s">
        <v>632</v>
      </c>
      <c r="F633" s="3">
        <v>2431080</v>
      </c>
      <c r="G633" s="2">
        <f t="shared" si="18"/>
        <v>30</v>
      </c>
      <c r="H633" s="2">
        <f t="shared" ca="1" si="19"/>
        <v>1093</v>
      </c>
      <c r="I633" s="4">
        <v>45027</v>
      </c>
      <c r="J633" s="4">
        <v>45057</v>
      </c>
      <c r="K633" t="s">
        <v>343</v>
      </c>
      <c r="L633" t="s">
        <v>18</v>
      </c>
      <c r="M633" t="s">
        <v>19</v>
      </c>
      <c r="N633" t="s">
        <v>629</v>
      </c>
      <c r="O633">
        <v>30</v>
      </c>
    </row>
    <row r="634" spans="1:15" hidden="1" x14ac:dyDescent="0.25">
      <c r="A634" t="s">
        <v>2820</v>
      </c>
      <c r="B634" t="s">
        <v>1237</v>
      </c>
      <c r="C634" t="s">
        <v>1238</v>
      </c>
      <c r="D634" t="s">
        <v>340</v>
      </c>
      <c r="E634" t="s">
        <v>1239</v>
      </c>
      <c r="F634" s="3">
        <v>3086230</v>
      </c>
      <c r="G634" s="2">
        <f t="shared" si="18"/>
        <v>30</v>
      </c>
      <c r="H634" s="2">
        <f t="shared" ca="1" si="19"/>
        <v>1091</v>
      </c>
      <c r="I634" s="4">
        <v>45029</v>
      </c>
      <c r="J634" s="4">
        <v>45059</v>
      </c>
      <c r="K634" t="s">
        <v>1233</v>
      </c>
      <c r="L634" t="s">
        <v>18</v>
      </c>
      <c r="M634" t="s">
        <v>19</v>
      </c>
      <c r="N634" t="s">
        <v>1240</v>
      </c>
      <c r="O634">
        <v>30</v>
      </c>
    </row>
    <row r="635" spans="1:15" hidden="1" x14ac:dyDescent="0.25">
      <c r="A635" t="s">
        <v>2820</v>
      </c>
      <c r="B635" t="s">
        <v>1237</v>
      </c>
      <c r="C635" t="s">
        <v>1238</v>
      </c>
      <c r="D635" t="s">
        <v>340</v>
      </c>
      <c r="E635" t="s">
        <v>1241</v>
      </c>
      <c r="F635" s="3">
        <v>1355995</v>
      </c>
      <c r="G635" s="2">
        <f t="shared" si="18"/>
        <v>30</v>
      </c>
      <c r="H635" s="2">
        <f t="shared" ca="1" si="19"/>
        <v>1091</v>
      </c>
      <c r="I635" s="4">
        <v>45029</v>
      </c>
      <c r="J635" s="4">
        <v>45059</v>
      </c>
      <c r="K635" t="s">
        <v>1233</v>
      </c>
      <c r="L635" t="s">
        <v>18</v>
      </c>
      <c r="M635" t="s">
        <v>19</v>
      </c>
      <c r="N635" t="s">
        <v>1240</v>
      </c>
      <c r="O635">
        <v>30</v>
      </c>
    </row>
    <row r="636" spans="1:15" hidden="1" x14ac:dyDescent="0.25">
      <c r="A636" t="s">
        <v>2820</v>
      </c>
      <c r="B636" t="s">
        <v>1460</v>
      </c>
      <c r="C636" t="s">
        <v>1461</v>
      </c>
      <c r="D636" t="s">
        <v>1401</v>
      </c>
      <c r="E636" t="s">
        <v>1462</v>
      </c>
      <c r="F636" s="3">
        <v>8967823</v>
      </c>
      <c r="G636" s="2">
        <f t="shared" si="18"/>
        <v>30</v>
      </c>
      <c r="H636" s="2">
        <f t="shared" ca="1" si="19"/>
        <v>1076</v>
      </c>
      <c r="I636" s="4">
        <v>45044</v>
      </c>
      <c r="J636" s="4">
        <v>45074</v>
      </c>
      <c r="K636" t="s">
        <v>1403</v>
      </c>
      <c r="L636" t="s">
        <v>90</v>
      </c>
      <c r="M636" t="s">
        <v>19</v>
      </c>
      <c r="N636" t="s">
        <v>1463</v>
      </c>
      <c r="O636">
        <v>30</v>
      </c>
    </row>
    <row r="637" spans="1:15" hidden="1" x14ac:dyDescent="0.25">
      <c r="A637" t="s">
        <v>2820</v>
      </c>
      <c r="B637" t="s">
        <v>1460</v>
      </c>
      <c r="C637" t="s">
        <v>1461</v>
      </c>
      <c r="D637" t="s">
        <v>1401</v>
      </c>
      <c r="E637" t="s">
        <v>1464</v>
      </c>
      <c r="F637" s="3">
        <v>10912382</v>
      </c>
      <c r="G637" s="2">
        <f t="shared" si="18"/>
        <v>30</v>
      </c>
      <c r="H637" s="2">
        <f t="shared" ca="1" si="19"/>
        <v>1076</v>
      </c>
      <c r="I637" s="4">
        <v>45044</v>
      </c>
      <c r="J637" s="4">
        <v>45074</v>
      </c>
      <c r="K637" t="s">
        <v>1403</v>
      </c>
      <c r="L637" t="s">
        <v>90</v>
      </c>
      <c r="M637" t="s">
        <v>19</v>
      </c>
      <c r="N637" t="s">
        <v>1463</v>
      </c>
      <c r="O637">
        <v>30</v>
      </c>
    </row>
    <row r="638" spans="1:15" hidden="1" x14ac:dyDescent="0.25">
      <c r="A638" t="s">
        <v>2820</v>
      </c>
      <c r="B638" t="s">
        <v>1170</v>
      </c>
      <c r="C638" t="s">
        <v>1171</v>
      </c>
      <c r="D638" t="s">
        <v>1118</v>
      </c>
      <c r="E638" t="s">
        <v>1172</v>
      </c>
      <c r="F638" s="3">
        <v>3335575</v>
      </c>
      <c r="G638" s="2">
        <f t="shared" si="18"/>
        <v>30</v>
      </c>
      <c r="H638" s="2">
        <f t="shared" ca="1" si="19"/>
        <v>1066</v>
      </c>
      <c r="I638" s="4">
        <v>45054</v>
      </c>
      <c r="J638" s="4">
        <v>45084</v>
      </c>
      <c r="K638" t="s">
        <v>1144</v>
      </c>
      <c r="L638" t="s">
        <v>207</v>
      </c>
      <c r="M638" t="s">
        <v>19</v>
      </c>
      <c r="N638" t="s">
        <v>1173</v>
      </c>
      <c r="O638">
        <v>30</v>
      </c>
    </row>
    <row r="639" spans="1:15" hidden="1" x14ac:dyDescent="0.25">
      <c r="A639" t="s">
        <v>2820</v>
      </c>
      <c r="B639" t="s">
        <v>1170</v>
      </c>
      <c r="C639" t="s">
        <v>1171</v>
      </c>
      <c r="D639" t="s">
        <v>1118</v>
      </c>
      <c r="E639" t="s">
        <v>1174</v>
      </c>
      <c r="F639" s="3">
        <v>5619425</v>
      </c>
      <c r="G639" s="2">
        <f t="shared" si="18"/>
        <v>30</v>
      </c>
      <c r="H639" s="2">
        <f t="shared" ca="1" si="19"/>
        <v>1059</v>
      </c>
      <c r="I639" s="4">
        <v>45061</v>
      </c>
      <c r="J639" s="4">
        <v>45091</v>
      </c>
      <c r="K639" t="s">
        <v>1144</v>
      </c>
      <c r="L639" t="s">
        <v>207</v>
      </c>
      <c r="M639" t="s">
        <v>19</v>
      </c>
      <c r="N639" t="s">
        <v>1173</v>
      </c>
      <c r="O639">
        <v>30</v>
      </c>
    </row>
    <row r="640" spans="1:15" hidden="1" x14ac:dyDescent="0.25">
      <c r="A640" t="s">
        <v>2820</v>
      </c>
      <c r="B640" t="s">
        <v>910</v>
      </c>
      <c r="C640" t="s">
        <v>911</v>
      </c>
      <c r="D640" t="s">
        <v>854</v>
      </c>
      <c r="E640" t="s">
        <v>912</v>
      </c>
      <c r="F640" s="3">
        <v>1300000</v>
      </c>
      <c r="G640" s="2">
        <f t="shared" si="18"/>
        <v>30</v>
      </c>
      <c r="H640" s="2">
        <f t="shared" ca="1" si="19"/>
        <v>1055</v>
      </c>
      <c r="I640" s="4">
        <v>45065</v>
      </c>
      <c r="J640" s="4">
        <v>45095</v>
      </c>
      <c r="K640" t="s">
        <v>845</v>
      </c>
      <c r="L640" t="s">
        <v>18</v>
      </c>
      <c r="M640" t="s">
        <v>19</v>
      </c>
      <c r="N640" t="s">
        <v>913</v>
      </c>
      <c r="O640">
        <v>30</v>
      </c>
    </row>
    <row r="641" spans="1:15" hidden="1" x14ac:dyDescent="0.25">
      <c r="A641" t="s">
        <v>2820</v>
      </c>
      <c r="B641" t="s">
        <v>1170</v>
      </c>
      <c r="C641" t="s">
        <v>1171</v>
      </c>
      <c r="D641" t="s">
        <v>1118</v>
      </c>
      <c r="E641" t="s">
        <v>1175</v>
      </c>
      <c r="F641" s="3">
        <v>2445000</v>
      </c>
      <c r="G641" s="2">
        <f t="shared" si="18"/>
        <v>30</v>
      </c>
      <c r="H641" s="2">
        <f t="shared" ca="1" si="19"/>
        <v>1051</v>
      </c>
      <c r="I641" s="4">
        <v>45069</v>
      </c>
      <c r="J641" s="4">
        <v>45099</v>
      </c>
      <c r="K641" t="s">
        <v>1144</v>
      </c>
      <c r="L641" t="s">
        <v>207</v>
      </c>
      <c r="M641" t="s">
        <v>19</v>
      </c>
      <c r="N641" t="s">
        <v>1173</v>
      </c>
      <c r="O641">
        <v>30</v>
      </c>
    </row>
    <row r="642" spans="1:15" hidden="1" x14ac:dyDescent="0.25">
      <c r="A642" t="s">
        <v>2820</v>
      </c>
      <c r="B642" t="s">
        <v>626</v>
      </c>
      <c r="C642" t="s">
        <v>627</v>
      </c>
      <c r="D642" t="s">
        <v>204</v>
      </c>
      <c r="E642" t="s">
        <v>633</v>
      </c>
      <c r="F642" s="3">
        <v>9844896</v>
      </c>
      <c r="G642" s="2">
        <f t="shared" ref="G642:G705" si="20">+J642-I642</f>
        <v>30</v>
      </c>
      <c r="H642" s="2">
        <f t="shared" ref="H642:H705" ca="1" si="21">+TODAY()-I642</f>
        <v>1035</v>
      </c>
      <c r="I642" s="4">
        <v>45085</v>
      </c>
      <c r="J642" s="4">
        <v>45115</v>
      </c>
      <c r="K642" t="s">
        <v>343</v>
      </c>
      <c r="L642" t="s">
        <v>18</v>
      </c>
      <c r="M642" t="s">
        <v>19</v>
      </c>
      <c r="N642" t="s">
        <v>629</v>
      </c>
      <c r="O642">
        <v>30</v>
      </c>
    </row>
    <row r="643" spans="1:15" hidden="1" x14ac:dyDescent="0.25">
      <c r="A643" t="s">
        <v>2820</v>
      </c>
      <c r="B643" t="s">
        <v>626</v>
      </c>
      <c r="C643" t="s">
        <v>627</v>
      </c>
      <c r="D643" t="s">
        <v>204</v>
      </c>
      <c r="E643" t="s">
        <v>634</v>
      </c>
      <c r="F643" s="3">
        <v>10744435</v>
      </c>
      <c r="G643" s="2">
        <f t="shared" si="20"/>
        <v>30</v>
      </c>
      <c r="H643" s="2">
        <f t="shared" ca="1" si="21"/>
        <v>1035</v>
      </c>
      <c r="I643" s="4">
        <v>45085</v>
      </c>
      <c r="J643" s="4">
        <v>45115</v>
      </c>
      <c r="K643" t="s">
        <v>343</v>
      </c>
      <c r="L643" t="s">
        <v>18</v>
      </c>
      <c r="M643" t="s">
        <v>19</v>
      </c>
      <c r="N643" t="s">
        <v>629</v>
      </c>
      <c r="O643">
        <v>30</v>
      </c>
    </row>
    <row r="644" spans="1:15" hidden="1" x14ac:dyDescent="0.25">
      <c r="A644" t="s">
        <v>2820</v>
      </c>
      <c r="B644" t="s">
        <v>1557</v>
      </c>
      <c r="C644" t="s">
        <v>1558</v>
      </c>
      <c r="D644" t="s">
        <v>1527</v>
      </c>
      <c r="E644" t="s">
        <v>1559</v>
      </c>
      <c r="F644" s="3">
        <v>342030</v>
      </c>
      <c r="G644" s="2">
        <f t="shared" si="20"/>
        <v>15</v>
      </c>
      <c r="H644" s="2">
        <f t="shared" ca="1" si="21"/>
        <v>999</v>
      </c>
      <c r="I644" s="4">
        <v>45121</v>
      </c>
      <c r="J644" s="4">
        <v>45136</v>
      </c>
      <c r="K644" t="s">
        <v>1528</v>
      </c>
      <c r="L644" t="s">
        <v>207</v>
      </c>
      <c r="M644" t="s">
        <v>19</v>
      </c>
      <c r="N644" t="s">
        <v>1560</v>
      </c>
      <c r="O644">
        <v>15</v>
      </c>
    </row>
    <row r="645" spans="1:15" hidden="1" x14ac:dyDescent="0.25">
      <c r="A645" t="s">
        <v>2820</v>
      </c>
      <c r="B645" t="s">
        <v>345</v>
      </c>
      <c r="C645" t="s">
        <v>346</v>
      </c>
      <c r="D645" t="s">
        <v>347</v>
      </c>
      <c r="E645" t="s">
        <v>635</v>
      </c>
      <c r="F645" s="3">
        <v>8864311</v>
      </c>
      <c r="G645" s="2">
        <f t="shared" si="20"/>
        <v>30</v>
      </c>
      <c r="H645" s="2">
        <f t="shared" ca="1" si="21"/>
        <v>982</v>
      </c>
      <c r="I645" s="4">
        <v>45138</v>
      </c>
      <c r="J645" s="4">
        <v>45168</v>
      </c>
      <c r="K645" t="s">
        <v>343</v>
      </c>
      <c r="L645" t="s">
        <v>18</v>
      </c>
      <c r="M645" t="s">
        <v>19</v>
      </c>
      <c r="N645" t="s">
        <v>349</v>
      </c>
      <c r="O645">
        <v>25</v>
      </c>
    </row>
    <row r="646" spans="1:15" hidden="1" x14ac:dyDescent="0.25">
      <c r="A646" t="s">
        <v>2820</v>
      </c>
      <c r="B646" t="s">
        <v>345</v>
      </c>
      <c r="C646" t="s">
        <v>346</v>
      </c>
      <c r="D646" t="s">
        <v>347</v>
      </c>
      <c r="E646" t="s">
        <v>636</v>
      </c>
      <c r="F646" s="3">
        <v>8755995</v>
      </c>
      <c r="G646" s="2">
        <f t="shared" si="20"/>
        <v>30</v>
      </c>
      <c r="H646" s="2">
        <f t="shared" ca="1" si="21"/>
        <v>982</v>
      </c>
      <c r="I646" s="4">
        <v>45138</v>
      </c>
      <c r="J646" s="4">
        <v>45168</v>
      </c>
      <c r="K646" t="s">
        <v>343</v>
      </c>
      <c r="L646" t="s">
        <v>18</v>
      </c>
      <c r="M646" t="s">
        <v>19</v>
      </c>
      <c r="N646" t="s">
        <v>349</v>
      </c>
      <c r="O646">
        <v>25</v>
      </c>
    </row>
    <row r="647" spans="1:15" hidden="1" x14ac:dyDescent="0.25">
      <c r="A647" t="s">
        <v>2820</v>
      </c>
      <c r="B647" t="s">
        <v>1687</v>
      </c>
      <c r="C647" t="s">
        <v>1688</v>
      </c>
      <c r="D647" t="s">
        <v>1689</v>
      </c>
      <c r="E647" t="s">
        <v>1690</v>
      </c>
      <c r="F647" s="3">
        <v>260167</v>
      </c>
      <c r="G647" s="2">
        <f t="shared" si="20"/>
        <v>30</v>
      </c>
      <c r="H647" s="2">
        <f t="shared" ca="1" si="21"/>
        <v>937</v>
      </c>
      <c r="I647" s="4">
        <v>45183</v>
      </c>
      <c r="J647" s="4">
        <v>45213</v>
      </c>
      <c r="K647" t="s">
        <v>1691</v>
      </c>
      <c r="L647" t="s">
        <v>90</v>
      </c>
      <c r="M647" t="s">
        <v>19</v>
      </c>
      <c r="N647" t="s">
        <v>1692</v>
      </c>
      <c r="O647">
        <v>30</v>
      </c>
    </row>
    <row r="648" spans="1:15" hidden="1" x14ac:dyDescent="0.25">
      <c r="A648" t="s">
        <v>2820</v>
      </c>
      <c r="B648" t="s">
        <v>345</v>
      </c>
      <c r="C648" t="s">
        <v>346</v>
      </c>
      <c r="D648" t="s">
        <v>347</v>
      </c>
      <c r="E648" t="s">
        <v>348</v>
      </c>
      <c r="F648" s="3">
        <v>4742825</v>
      </c>
      <c r="G648" s="2">
        <f t="shared" si="20"/>
        <v>30</v>
      </c>
      <c r="H648" s="2">
        <f t="shared" ca="1" si="21"/>
        <v>908</v>
      </c>
      <c r="I648" s="4">
        <v>45212</v>
      </c>
      <c r="J648" s="4">
        <v>45242</v>
      </c>
      <c r="K648" t="s">
        <v>343</v>
      </c>
      <c r="L648" t="s">
        <v>18</v>
      </c>
      <c r="M648" t="s">
        <v>19</v>
      </c>
      <c r="N648" t="s">
        <v>349</v>
      </c>
      <c r="O648">
        <v>25</v>
      </c>
    </row>
    <row r="649" spans="1:15" hidden="1" x14ac:dyDescent="0.25">
      <c r="A649" t="s">
        <v>2820</v>
      </c>
      <c r="B649" t="s">
        <v>345</v>
      </c>
      <c r="C649" t="s">
        <v>346</v>
      </c>
      <c r="D649" t="s">
        <v>347</v>
      </c>
      <c r="E649" t="s">
        <v>350</v>
      </c>
      <c r="F649" s="3">
        <v>2758707</v>
      </c>
      <c r="G649" s="2">
        <f t="shared" si="20"/>
        <v>30</v>
      </c>
      <c r="H649" s="2">
        <f t="shared" ca="1" si="21"/>
        <v>908</v>
      </c>
      <c r="I649" s="4">
        <v>45212</v>
      </c>
      <c r="J649" s="4">
        <v>45242</v>
      </c>
      <c r="K649" t="s">
        <v>343</v>
      </c>
      <c r="L649" t="s">
        <v>18</v>
      </c>
      <c r="M649" t="s">
        <v>19</v>
      </c>
      <c r="N649" t="s">
        <v>349</v>
      </c>
      <c r="O649">
        <v>25</v>
      </c>
    </row>
    <row r="650" spans="1:15" hidden="1" x14ac:dyDescent="0.25">
      <c r="A650" t="s">
        <v>2820</v>
      </c>
      <c r="B650" t="s">
        <v>1687</v>
      </c>
      <c r="C650" t="s">
        <v>1688</v>
      </c>
      <c r="D650" t="s">
        <v>1689</v>
      </c>
      <c r="E650" t="s">
        <v>1693</v>
      </c>
      <c r="F650" s="3">
        <v>1209400</v>
      </c>
      <c r="G650" s="2">
        <f t="shared" si="20"/>
        <v>30</v>
      </c>
      <c r="H650" s="2">
        <f t="shared" ca="1" si="21"/>
        <v>908</v>
      </c>
      <c r="I650" s="4">
        <v>45212</v>
      </c>
      <c r="J650" s="4">
        <v>45242</v>
      </c>
      <c r="K650" t="s">
        <v>1691</v>
      </c>
      <c r="L650" t="s">
        <v>90</v>
      </c>
      <c r="M650" t="s">
        <v>19</v>
      </c>
      <c r="N650" t="s">
        <v>1692</v>
      </c>
      <c r="O650">
        <v>30</v>
      </c>
    </row>
    <row r="651" spans="1:15" hidden="1" x14ac:dyDescent="0.25">
      <c r="A651" t="s">
        <v>2820</v>
      </c>
      <c r="B651" t="s">
        <v>1687</v>
      </c>
      <c r="C651" t="s">
        <v>1688</v>
      </c>
      <c r="D651" t="s">
        <v>1689</v>
      </c>
      <c r="E651" t="s">
        <v>1694</v>
      </c>
      <c r="F651" s="3">
        <v>1926350</v>
      </c>
      <c r="G651" s="2">
        <f t="shared" si="20"/>
        <v>30</v>
      </c>
      <c r="H651" s="2">
        <f t="shared" ca="1" si="21"/>
        <v>908</v>
      </c>
      <c r="I651" s="4">
        <v>45212</v>
      </c>
      <c r="J651" s="4">
        <v>45242</v>
      </c>
      <c r="K651" t="s">
        <v>1691</v>
      </c>
      <c r="L651" t="s">
        <v>90</v>
      </c>
      <c r="M651" t="s">
        <v>19</v>
      </c>
      <c r="N651" t="s">
        <v>1692</v>
      </c>
      <c r="O651">
        <v>30</v>
      </c>
    </row>
    <row r="652" spans="1:15" hidden="1" x14ac:dyDescent="0.25">
      <c r="A652" t="s">
        <v>2820</v>
      </c>
      <c r="B652" t="s">
        <v>1091</v>
      </c>
      <c r="C652" t="s">
        <v>1092</v>
      </c>
      <c r="D652" t="s">
        <v>1066</v>
      </c>
      <c r="E652" t="s">
        <v>1093</v>
      </c>
      <c r="F652" s="3">
        <v>2246762</v>
      </c>
      <c r="G652" s="2">
        <f t="shared" si="20"/>
        <v>18</v>
      </c>
      <c r="H652" s="2">
        <f t="shared" ca="1" si="21"/>
        <v>890</v>
      </c>
      <c r="I652" s="4">
        <v>45230</v>
      </c>
      <c r="J652" s="4">
        <v>45248</v>
      </c>
      <c r="K652" t="s">
        <v>1068</v>
      </c>
      <c r="L652" t="s">
        <v>321</v>
      </c>
      <c r="M652" t="s">
        <v>19</v>
      </c>
      <c r="N652" t="s">
        <v>1094</v>
      </c>
      <c r="O652">
        <v>1</v>
      </c>
    </row>
    <row r="653" spans="1:15" hidden="1" x14ac:dyDescent="0.25">
      <c r="A653" t="s">
        <v>2820</v>
      </c>
      <c r="B653" t="s">
        <v>351</v>
      </c>
      <c r="C653" t="s">
        <v>352</v>
      </c>
      <c r="D653" t="s">
        <v>204</v>
      </c>
      <c r="E653" t="s">
        <v>353</v>
      </c>
      <c r="F653" s="3">
        <v>743426</v>
      </c>
      <c r="G653" s="2">
        <f t="shared" si="20"/>
        <v>30</v>
      </c>
      <c r="H653" s="2">
        <f t="shared" ca="1" si="21"/>
        <v>841</v>
      </c>
      <c r="I653" s="4">
        <v>45279</v>
      </c>
      <c r="J653" s="4">
        <v>45309</v>
      </c>
      <c r="K653" t="s">
        <v>343</v>
      </c>
      <c r="L653" t="s">
        <v>18</v>
      </c>
      <c r="M653" t="s">
        <v>19</v>
      </c>
      <c r="N653" t="s">
        <v>354</v>
      </c>
      <c r="O653">
        <v>30</v>
      </c>
    </row>
    <row r="654" spans="1:15" hidden="1" x14ac:dyDescent="0.25">
      <c r="A654" t="s">
        <v>2820</v>
      </c>
      <c r="B654" t="s">
        <v>351</v>
      </c>
      <c r="C654" t="s">
        <v>352</v>
      </c>
      <c r="D654" t="s">
        <v>204</v>
      </c>
      <c r="E654" t="s">
        <v>355</v>
      </c>
      <c r="F654" s="3">
        <v>10114453</v>
      </c>
      <c r="G654" s="2">
        <f t="shared" si="20"/>
        <v>30</v>
      </c>
      <c r="H654" s="2">
        <f t="shared" ca="1" si="21"/>
        <v>824</v>
      </c>
      <c r="I654" s="4">
        <v>45296</v>
      </c>
      <c r="J654" s="4">
        <v>45326</v>
      </c>
      <c r="K654" t="s">
        <v>343</v>
      </c>
      <c r="L654" t="s">
        <v>18</v>
      </c>
      <c r="M654" t="s">
        <v>19</v>
      </c>
      <c r="N654" t="s">
        <v>354</v>
      </c>
      <c r="O654">
        <v>30</v>
      </c>
    </row>
    <row r="655" spans="1:15" hidden="1" x14ac:dyDescent="0.25">
      <c r="A655" t="s">
        <v>2820</v>
      </c>
      <c r="B655" t="s">
        <v>842</v>
      </c>
      <c r="C655" t="s">
        <v>843</v>
      </c>
      <c r="D655" t="s">
        <v>844</v>
      </c>
      <c r="E655" t="s">
        <v>847</v>
      </c>
      <c r="F655" s="3">
        <v>354812</v>
      </c>
      <c r="G655" s="2">
        <f t="shared" si="20"/>
        <v>15</v>
      </c>
      <c r="H655" s="2">
        <f t="shared" ca="1" si="21"/>
        <v>817</v>
      </c>
      <c r="I655" s="4">
        <v>45303</v>
      </c>
      <c r="J655" s="4">
        <v>45318</v>
      </c>
      <c r="K655" t="s">
        <v>845</v>
      </c>
      <c r="L655" t="s">
        <v>18</v>
      </c>
      <c r="M655" t="s">
        <v>19</v>
      </c>
      <c r="N655" t="s">
        <v>846</v>
      </c>
      <c r="O655">
        <v>30</v>
      </c>
    </row>
    <row r="656" spans="1:15" hidden="1" x14ac:dyDescent="0.25">
      <c r="A656" t="s">
        <v>2820</v>
      </c>
      <c r="B656" t="s">
        <v>842</v>
      </c>
      <c r="C656" t="s">
        <v>843</v>
      </c>
      <c r="D656" t="s">
        <v>844</v>
      </c>
      <c r="E656" t="s">
        <v>848</v>
      </c>
      <c r="F656" s="3">
        <v>1281442</v>
      </c>
      <c r="G656" s="2">
        <f t="shared" si="20"/>
        <v>30</v>
      </c>
      <c r="H656" s="2">
        <f t="shared" ca="1" si="21"/>
        <v>817</v>
      </c>
      <c r="I656" s="4">
        <v>45303</v>
      </c>
      <c r="J656" s="4">
        <v>45333</v>
      </c>
      <c r="K656" t="s">
        <v>845</v>
      </c>
      <c r="L656" t="s">
        <v>18</v>
      </c>
      <c r="M656" t="s">
        <v>19</v>
      </c>
      <c r="N656" t="s">
        <v>846</v>
      </c>
      <c r="O656">
        <v>30</v>
      </c>
    </row>
    <row r="657" spans="1:15" hidden="1" x14ac:dyDescent="0.25">
      <c r="A657" t="s">
        <v>2820</v>
      </c>
      <c r="B657" t="s">
        <v>842</v>
      </c>
      <c r="C657" t="s">
        <v>843</v>
      </c>
      <c r="D657" t="s">
        <v>844</v>
      </c>
      <c r="E657" t="s">
        <v>849</v>
      </c>
      <c r="F657" s="3">
        <v>994782</v>
      </c>
      <c r="G657" s="2">
        <f t="shared" si="20"/>
        <v>30</v>
      </c>
      <c r="H657" s="2">
        <f t="shared" ca="1" si="21"/>
        <v>817</v>
      </c>
      <c r="I657" s="4">
        <v>45303</v>
      </c>
      <c r="J657" s="4">
        <v>45333</v>
      </c>
      <c r="K657" t="s">
        <v>845</v>
      </c>
      <c r="L657" t="s">
        <v>18</v>
      </c>
      <c r="M657" t="s">
        <v>19</v>
      </c>
      <c r="N657" t="s">
        <v>846</v>
      </c>
      <c r="O657">
        <v>30</v>
      </c>
    </row>
    <row r="658" spans="1:15" hidden="1" x14ac:dyDescent="0.25">
      <c r="A658" t="s">
        <v>2820</v>
      </c>
      <c r="B658" t="s">
        <v>351</v>
      </c>
      <c r="C658" t="s">
        <v>352</v>
      </c>
      <c r="D658" t="s">
        <v>204</v>
      </c>
      <c r="E658" t="s">
        <v>356</v>
      </c>
      <c r="F658" s="3">
        <v>6826177</v>
      </c>
      <c r="G658" s="2">
        <f t="shared" si="20"/>
        <v>30</v>
      </c>
      <c r="H658" s="2">
        <f t="shared" ca="1" si="21"/>
        <v>813</v>
      </c>
      <c r="I658" s="4">
        <v>45307</v>
      </c>
      <c r="J658" s="4">
        <v>45337</v>
      </c>
      <c r="K658" t="s">
        <v>343</v>
      </c>
      <c r="L658" t="s">
        <v>18</v>
      </c>
      <c r="M658" t="s">
        <v>19</v>
      </c>
      <c r="N658" t="s">
        <v>354</v>
      </c>
      <c r="O658">
        <v>30</v>
      </c>
    </row>
    <row r="659" spans="1:15" hidden="1" x14ac:dyDescent="0.25">
      <c r="A659" t="s">
        <v>2820</v>
      </c>
      <c r="B659" t="s">
        <v>351</v>
      </c>
      <c r="C659" t="s">
        <v>352</v>
      </c>
      <c r="D659" t="s">
        <v>204</v>
      </c>
      <c r="E659" t="s">
        <v>357</v>
      </c>
      <c r="F659" s="3">
        <v>5315944</v>
      </c>
      <c r="G659" s="2">
        <f t="shared" si="20"/>
        <v>30</v>
      </c>
      <c r="H659" s="2">
        <f t="shared" ca="1" si="21"/>
        <v>813</v>
      </c>
      <c r="I659" s="4">
        <v>45307</v>
      </c>
      <c r="J659" s="4">
        <v>45337</v>
      </c>
      <c r="K659" t="s">
        <v>343</v>
      </c>
      <c r="L659" t="s">
        <v>18</v>
      </c>
      <c r="M659" t="s">
        <v>19</v>
      </c>
      <c r="N659" t="s">
        <v>354</v>
      </c>
      <c r="O659">
        <v>30</v>
      </c>
    </row>
    <row r="660" spans="1:15" hidden="1" x14ac:dyDescent="0.25">
      <c r="A660" t="s">
        <v>2820</v>
      </c>
      <c r="B660" t="s">
        <v>842</v>
      </c>
      <c r="C660" t="s">
        <v>843</v>
      </c>
      <c r="D660" t="s">
        <v>844</v>
      </c>
      <c r="E660" t="s">
        <v>850</v>
      </c>
      <c r="F660" s="3">
        <v>840999</v>
      </c>
      <c r="G660" s="2">
        <f t="shared" si="20"/>
        <v>15</v>
      </c>
      <c r="H660" s="2">
        <f t="shared" ca="1" si="21"/>
        <v>803</v>
      </c>
      <c r="I660" s="4">
        <v>45317</v>
      </c>
      <c r="J660" s="4">
        <v>45332</v>
      </c>
      <c r="K660" t="s">
        <v>845</v>
      </c>
      <c r="L660" t="s">
        <v>18</v>
      </c>
      <c r="M660" t="s">
        <v>19</v>
      </c>
      <c r="N660" t="s">
        <v>846</v>
      </c>
      <c r="O660">
        <v>30</v>
      </c>
    </row>
    <row r="661" spans="1:15" hidden="1" x14ac:dyDescent="0.25">
      <c r="A661" t="s">
        <v>2820</v>
      </c>
      <c r="B661" t="s">
        <v>842</v>
      </c>
      <c r="C661" t="s">
        <v>843</v>
      </c>
      <c r="D661" t="s">
        <v>844</v>
      </c>
      <c r="E661" t="s">
        <v>851</v>
      </c>
      <c r="F661" s="3">
        <v>4437369</v>
      </c>
      <c r="G661" s="2">
        <f t="shared" si="20"/>
        <v>30</v>
      </c>
      <c r="H661" s="2">
        <f t="shared" ca="1" si="21"/>
        <v>803</v>
      </c>
      <c r="I661" s="4">
        <v>45317</v>
      </c>
      <c r="J661" s="4">
        <v>45347</v>
      </c>
      <c r="K661" t="s">
        <v>845</v>
      </c>
      <c r="L661" t="s">
        <v>18</v>
      </c>
      <c r="M661" t="s">
        <v>19</v>
      </c>
      <c r="N661" t="s">
        <v>846</v>
      </c>
      <c r="O661">
        <v>30</v>
      </c>
    </row>
    <row r="662" spans="1:15" hidden="1" x14ac:dyDescent="0.25">
      <c r="A662" t="s">
        <v>2820</v>
      </c>
      <c r="B662" t="s">
        <v>835</v>
      </c>
      <c r="C662" t="s">
        <v>836</v>
      </c>
      <c r="D662" t="s">
        <v>837</v>
      </c>
      <c r="E662" t="s">
        <v>838</v>
      </c>
      <c r="F662" s="3">
        <v>2409501</v>
      </c>
      <c r="G662" s="2">
        <f t="shared" si="20"/>
        <v>30</v>
      </c>
      <c r="H662" s="2">
        <f t="shared" ca="1" si="21"/>
        <v>778</v>
      </c>
      <c r="I662" s="4">
        <v>45342</v>
      </c>
      <c r="J662" s="4">
        <v>45372</v>
      </c>
      <c r="K662" t="s">
        <v>839</v>
      </c>
      <c r="L662" t="s">
        <v>18</v>
      </c>
      <c r="M662" t="s">
        <v>19</v>
      </c>
      <c r="N662" t="s">
        <v>840</v>
      </c>
      <c r="O662">
        <v>30</v>
      </c>
    </row>
    <row r="663" spans="1:15" hidden="1" x14ac:dyDescent="0.25">
      <c r="A663" t="s">
        <v>2820</v>
      </c>
      <c r="B663" t="s">
        <v>1834</v>
      </c>
      <c r="C663" t="s">
        <v>1835</v>
      </c>
      <c r="D663" t="s">
        <v>1836</v>
      </c>
      <c r="E663" t="s">
        <v>1837</v>
      </c>
      <c r="F663" s="3">
        <v>2861088</v>
      </c>
      <c r="G663" s="2">
        <f t="shared" si="20"/>
        <v>30</v>
      </c>
      <c r="H663" s="2">
        <f t="shared" ca="1" si="21"/>
        <v>778</v>
      </c>
      <c r="I663" s="4">
        <v>45342</v>
      </c>
      <c r="J663" s="4">
        <v>45372</v>
      </c>
      <c r="K663" t="s">
        <v>1838</v>
      </c>
      <c r="L663" t="s">
        <v>18</v>
      </c>
      <c r="M663" t="s">
        <v>19</v>
      </c>
      <c r="N663" t="s">
        <v>1839</v>
      </c>
      <c r="O663">
        <v>30</v>
      </c>
    </row>
    <row r="664" spans="1:15" hidden="1" x14ac:dyDescent="0.25">
      <c r="A664" t="s">
        <v>2820</v>
      </c>
      <c r="B664" t="s">
        <v>835</v>
      </c>
      <c r="C664" t="s">
        <v>836</v>
      </c>
      <c r="D664" t="s">
        <v>837</v>
      </c>
      <c r="E664" t="s">
        <v>841</v>
      </c>
      <c r="F664" s="3">
        <v>3090499</v>
      </c>
      <c r="G664" s="2">
        <f t="shared" si="20"/>
        <v>30</v>
      </c>
      <c r="H664" s="2">
        <f t="shared" ca="1" si="21"/>
        <v>765</v>
      </c>
      <c r="I664" s="4">
        <v>45355</v>
      </c>
      <c r="J664" s="4">
        <v>45385</v>
      </c>
      <c r="K664" t="s">
        <v>839</v>
      </c>
      <c r="L664" t="s">
        <v>18</v>
      </c>
      <c r="M664" t="s">
        <v>19</v>
      </c>
      <c r="N664" t="s">
        <v>840</v>
      </c>
      <c r="O664">
        <v>30</v>
      </c>
    </row>
    <row r="665" spans="1:15" hidden="1" x14ac:dyDescent="0.25">
      <c r="A665" t="s">
        <v>2820</v>
      </c>
      <c r="B665" t="s">
        <v>1467</v>
      </c>
      <c r="C665" t="s">
        <v>1468</v>
      </c>
      <c r="D665" t="s">
        <v>341</v>
      </c>
      <c r="E665" t="s">
        <v>1469</v>
      </c>
      <c r="F665" s="3">
        <v>1079482</v>
      </c>
      <c r="G665" s="2">
        <f t="shared" si="20"/>
        <v>30</v>
      </c>
      <c r="H665" s="2">
        <f t="shared" ca="1" si="21"/>
        <v>730</v>
      </c>
      <c r="I665" s="4">
        <v>45390</v>
      </c>
      <c r="J665" s="4">
        <v>45420</v>
      </c>
      <c r="K665" t="s">
        <v>1470</v>
      </c>
      <c r="L665" t="s">
        <v>981</v>
      </c>
      <c r="M665" t="s">
        <v>19</v>
      </c>
      <c r="N665" t="s">
        <v>1471</v>
      </c>
      <c r="O665">
        <v>30</v>
      </c>
    </row>
    <row r="666" spans="1:15" hidden="1" x14ac:dyDescent="0.25">
      <c r="A666" t="s">
        <v>2820</v>
      </c>
      <c r="B666" t="s">
        <v>973</v>
      </c>
      <c r="C666" t="s">
        <v>974</v>
      </c>
      <c r="D666" t="s">
        <v>916</v>
      </c>
      <c r="E666" t="s">
        <v>975</v>
      </c>
      <c r="F666" s="3">
        <v>866179</v>
      </c>
      <c r="G666" s="2">
        <f t="shared" si="20"/>
        <v>15</v>
      </c>
      <c r="H666" s="2">
        <f t="shared" ca="1" si="21"/>
        <v>715</v>
      </c>
      <c r="I666" s="4">
        <v>45405</v>
      </c>
      <c r="J666" s="4">
        <v>45420</v>
      </c>
      <c r="K666" t="s">
        <v>918</v>
      </c>
      <c r="L666" t="s">
        <v>312</v>
      </c>
      <c r="M666" t="s">
        <v>19</v>
      </c>
      <c r="N666" t="s">
        <v>976</v>
      </c>
      <c r="O666">
        <v>15</v>
      </c>
    </row>
    <row r="667" spans="1:15" hidden="1" x14ac:dyDescent="0.25">
      <c r="A667" t="s">
        <v>2820</v>
      </c>
      <c r="B667" t="s">
        <v>1467</v>
      </c>
      <c r="C667" t="s">
        <v>1468</v>
      </c>
      <c r="D667" t="s">
        <v>341</v>
      </c>
      <c r="E667" t="s">
        <v>1472</v>
      </c>
      <c r="F667" s="3">
        <v>2309590</v>
      </c>
      <c r="G667" s="2">
        <f t="shared" si="20"/>
        <v>30</v>
      </c>
      <c r="H667" s="2">
        <f t="shared" ca="1" si="21"/>
        <v>699</v>
      </c>
      <c r="I667" s="4">
        <v>45421</v>
      </c>
      <c r="J667" s="4">
        <v>45451</v>
      </c>
      <c r="K667" t="s">
        <v>1470</v>
      </c>
      <c r="L667" t="s">
        <v>981</v>
      </c>
      <c r="M667" t="s">
        <v>19</v>
      </c>
      <c r="N667" t="s">
        <v>1471</v>
      </c>
      <c r="O667">
        <v>30</v>
      </c>
    </row>
    <row r="668" spans="1:15" hidden="1" x14ac:dyDescent="0.25">
      <c r="A668" t="s">
        <v>2820</v>
      </c>
      <c r="B668" t="s">
        <v>640</v>
      </c>
      <c r="C668" t="s">
        <v>641</v>
      </c>
      <c r="D668" t="s">
        <v>642</v>
      </c>
      <c r="E668" t="s">
        <v>643</v>
      </c>
      <c r="F668" s="3">
        <v>1200000</v>
      </c>
      <c r="G668" s="2">
        <f t="shared" si="20"/>
        <v>30</v>
      </c>
      <c r="H668" s="2">
        <f t="shared" ca="1" si="21"/>
        <v>692</v>
      </c>
      <c r="I668" s="4">
        <v>45428</v>
      </c>
      <c r="J668" s="4">
        <v>45458</v>
      </c>
      <c r="K668" t="s">
        <v>638</v>
      </c>
      <c r="L668" t="s">
        <v>18</v>
      </c>
      <c r="M668" t="s">
        <v>19</v>
      </c>
      <c r="N668" t="s">
        <v>644</v>
      </c>
      <c r="O668">
        <v>15</v>
      </c>
    </row>
    <row r="669" spans="1:15" hidden="1" x14ac:dyDescent="0.25">
      <c r="A669" t="s">
        <v>2820</v>
      </c>
      <c r="B669" t="s">
        <v>1179</v>
      </c>
      <c r="C669" t="s">
        <v>1180</v>
      </c>
      <c r="D669" t="s">
        <v>1181</v>
      </c>
      <c r="E669" t="s">
        <v>1182</v>
      </c>
      <c r="F669" s="3">
        <v>16031810</v>
      </c>
      <c r="G669" s="2">
        <f t="shared" si="20"/>
        <v>30</v>
      </c>
      <c r="H669" s="2">
        <f t="shared" ca="1" si="21"/>
        <v>653</v>
      </c>
      <c r="I669" s="4">
        <v>45467</v>
      </c>
      <c r="J669" s="4">
        <v>45497</v>
      </c>
      <c r="K669" t="s">
        <v>1183</v>
      </c>
      <c r="L669" t="s">
        <v>984</v>
      </c>
      <c r="M669" t="s">
        <v>19</v>
      </c>
      <c r="N669" t="s">
        <v>1184</v>
      </c>
      <c r="O669">
        <v>30</v>
      </c>
    </row>
    <row r="670" spans="1:15" hidden="1" x14ac:dyDescent="0.25">
      <c r="A670" t="s">
        <v>2820</v>
      </c>
      <c r="B670" t="s">
        <v>1262</v>
      </c>
      <c r="C670" t="s">
        <v>1263</v>
      </c>
      <c r="D670" t="s">
        <v>1259</v>
      </c>
      <c r="E670" t="s">
        <v>1264</v>
      </c>
      <c r="F670" s="3">
        <v>1318986</v>
      </c>
      <c r="G670" s="2">
        <f t="shared" si="20"/>
        <v>30</v>
      </c>
      <c r="H670" s="2">
        <f t="shared" ca="1" si="21"/>
        <v>637</v>
      </c>
      <c r="I670" s="4">
        <v>45483</v>
      </c>
      <c r="J670" s="4">
        <v>45513</v>
      </c>
      <c r="K670" t="s">
        <v>1260</v>
      </c>
      <c r="L670" t="s">
        <v>981</v>
      </c>
      <c r="M670" t="s">
        <v>19</v>
      </c>
      <c r="N670" t="s">
        <v>1265</v>
      </c>
      <c r="O670">
        <v>30</v>
      </c>
    </row>
    <row r="671" spans="1:15" hidden="1" x14ac:dyDescent="0.25">
      <c r="A671" t="s">
        <v>2820</v>
      </c>
      <c r="B671" t="s">
        <v>852</v>
      </c>
      <c r="C671" t="s">
        <v>853</v>
      </c>
      <c r="D671" t="s">
        <v>854</v>
      </c>
      <c r="E671" t="s">
        <v>855</v>
      </c>
      <c r="F671" s="3">
        <v>100000</v>
      </c>
      <c r="G671" s="2">
        <f t="shared" si="20"/>
        <v>30</v>
      </c>
      <c r="H671" s="2">
        <f t="shared" ca="1" si="21"/>
        <v>636</v>
      </c>
      <c r="I671" s="4">
        <v>45484</v>
      </c>
      <c r="J671" s="4">
        <v>45514</v>
      </c>
      <c r="K671" t="s">
        <v>845</v>
      </c>
      <c r="L671" t="s">
        <v>18</v>
      </c>
      <c r="M671" t="s">
        <v>19</v>
      </c>
      <c r="N671" t="s">
        <v>856</v>
      </c>
      <c r="O671">
        <v>1</v>
      </c>
    </row>
    <row r="672" spans="1:15" hidden="1" x14ac:dyDescent="0.25">
      <c r="A672" t="s">
        <v>2820</v>
      </c>
      <c r="B672" t="s">
        <v>920</v>
      </c>
      <c r="C672" t="s">
        <v>921</v>
      </c>
      <c r="D672" t="s">
        <v>916</v>
      </c>
      <c r="E672" t="s">
        <v>922</v>
      </c>
      <c r="F672" s="3">
        <v>782383</v>
      </c>
      <c r="G672" s="2">
        <f t="shared" si="20"/>
        <v>30</v>
      </c>
      <c r="H672" s="2">
        <f t="shared" ca="1" si="21"/>
        <v>631</v>
      </c>
      <c r="I672" s="4">
        <v>45489</v>
      </c>
      <c r="J672" s="4">
        <v>45519</v>
      </c>
      <c r="K672" t="s">
        <v>918</v>
      </c>
      <c r="L672" t="s">
        <v>312</v>
      </c>
      <c r="M672" t="s">
        <v>19</v>
      </c>
      <c r="N672" t="s">
        <v>923</v>
      </c>
      <c r="O672">
        <v>1</v>
      </c>
    </row>
    <row r="673" spans="1:15" hidden="1" x14ac:dyDescent="0.25">
      <c r="A673" t="s">
        <v>2820</v>
      </c>
      <c r="B673" t="s">
        <v>1328</v>
      </c>
      <c r="C673" t="s">
        <v>1329</v>
      </c>
      <c r="D673" t="s">
        <v>1323</v>
      </c>
      <c r="E673" t="s">
        <v>1330</v>
      </c>
      <c r="F673" s="3">
        <v>429892</v>
      </c>
      <c r="G673" s="2">
        <f t="shared" si="20"/>
        <v>30</v>
      </c>
      <c r="H673" s="2">
        <f t="shared" ca="1" si="21"/>
        <v>600</v>
      </c>
      <c r="I673" s="4">
        <v>45520</v>
      </c>
      <c r="J673" s="4">
        <v>45550</v>
      </c>
      <c r="K673" t="s">
        <v>1325</v>
      </c>
      <c r="L673" t="s">
        <v>90</v>
      </c>
      <c r="M673" t="s">
        <v>19</v>
      </c>
      <c r="N673" t="s">
        <v>1331</v>
      </c>
      <c r="O673">
        <v>30</v>
      </c>
    </row>
    <row r="674" spans="1:15" hidden="1" x14ac:dyDescent="0.25">
      <c r="A674" t="s">
        <v>2820</v>
      </c>
      <c r="B674" t="s">
        <v>1321</v>
      </c>
      <c r="C674" t="s">
        <v>1322</v>
      </c>
      <c r="D674" t="s">
        <v>1323</v>
      </c>
      <c r="E674" t="s">
        <v>1332</v>
      </c>
      <c r="F674" s="3">
        <v>999805</v>
      </c>
      <c r="G674" s="2">
        <f t="shared" si="20"/>
        <v>15</v>
      </c>
      <c r="H674" s="2">
        <f t="shared" ca="1" si="21"/>
        <v>600</v>
      </c>
      <c r="I674" s="4">
        <v>45520</v>
      </c>
      <c r="J674" s="4">
        <v>45535</v>
      </c>
      <c r="K674" t="s">
        <v>1325</v>
      </c>
      <c r="L674" t="s">
        <v>90</v>
      </c>
      <c r="M674" t="s">
        <v>19</v>
      </c>
      <c r="N674" t="s">
        <v>1326</v>
      </c>
      <c r="O674">
        <v>1</v>
      </c>
    </row>
    <row r="675" spans="1:15" hidden="1" x14ac:dyDescent="0.25">
      <c r="A675" t="s">
        <v>2820</v>
      </c>
      <c r="B675" t="s">
        <v>1321</v>
      </c>
      <c r="C675" t="s">
        <v>1322</v>
      </c>
      <c r="D675" t="s">
        <v>1323</v>
      </c>
      <c r="E675" t="s">
        <v>1324</v>
      </c>
      <c r="F675" s="3">
        <v>3467878</v>
      </c>
      <c r="G675" s="2">
        <f t="shared" si="20"/>
        <v>15</v>
      </c>
      <c r="H675" s="2">
        <f t="shared" ca="1" si="21"/>
        <v>589</v>
      </c>
      <c r="I675" s="4">
        <v>45531</v>
      </c>
      <c r="J675" s="4">
        <v>45546</v>
      </c>
      <c r="K675" t="s">
        <v>1325</v>
      </c>
      <c r="L675" t="s">
        <v>90</v>
      </c>
      <c r="M675" t="s">
        <v>19</v>
      </c>
      <c r="N675" t="s">
        <v>1326</v>
      </c>
      <c r="O675">
        <v>1</v>
      </c>
    </row>
    <row r="676" spans="1:15" hidden="1" x14ac:dyDescent="0.25">
      <c r="A676" t="s">
        <v>2820</v>
      </c>
      <c r="B676" t="s">
        <v>1321</v>
      </c>
      <c r="C676" t="s">
        <v>1322</v>
      </c>
      <c r="D676" t="s">
        <v>1323</v>
      </c>
      <c r="E676" t="s">
        <v>1327</v>
      </c>
      <c r="F676" s="3">
        <v>1845000</v>
      </c>
      <c r="G676" s="2">
        <f t="shared" si="20"/>
        <v>15</v>
      </c>
      <c r="H676" s="2">
        <f t="shared" ca="1" si="21"/>
        <v>589</v>
      </c>
      <c r="I676" s="4">
        <v>45531</v>
      </c>
      <c r="J676" s="4">
        <v>45546</v>
      </c>
      <c r="K676" t="s">
        <v>1325</v>
      </c>
      <c r="L676" t="s">
        <v>90</v>
      </c>
      <c r="M676" t="s">
        <v>19</v>
      </c>
      <c r="N676" t="s">
        <v>1326</v>
      </c>
      <c r="O676">
        <v>1</v>
      </c>
    </row>
    <row r="677" spans="1:15" hidden="1" x14ac:dyDescent="0.25">
      <c r="A677" t="s">
        <v>2820</v>
      </c>
      <c r="B677" t="s">
        <v>1405</v>
      </c>
      <c r="C677" t="s">
        <v>1406</v>
      </c>
      <c r="D677" t="s">
        <v>1401</v>
      </c>
      <c r="E677" t="s">
        <v>1407</v>
      </c>
      <c r="F677" s="3">
        <v>200000</v>
      </c>
      <c r="G677" s="2">
        <f t="shared" si="20"/>
        <v>30</v>
      </c>
      <c r="H677" s="2">
        <f t="shared" ca="1" si="21"/>
        <v>494</v>
      </c>
      <c r="I677" s="4">
        <v>45626</v>
      </c>
      <c r="J677" s="4">
        <v>45656</v>
      </c>
      <c r="K677" t="s">
        <v>1403</v>
      </c>
      <c r="L677" t="s">
        <v>90</v>
      </c>
      <c r="M677" t="s">
        <v>19</v>
      </c>
      <c r="N677" t="s">
        <v>1408</v>
      </c>
      <c r="O677">
        <v>30</v>
      </c>
    </row>
    <row r="678" spans="1:15" hidden="1" x14ac:dyDescent="0.25">
      <c r="A678" t="s">
        <v>2820</v>
      </c>
      <c r="B678" t="s">
        <v>1496</v>
      </c>
      <c r="C678" t="s">
        <v>1497</v>
      </c>
      <c r="D678" t="s">
        <v>1498</v>
      </c>
      <c r="E678" t="s">
        <v>1499</v>
      </c>
      <c r="F678" s="3">
        <v>5005966</v>
      </c>
      <c r="G678" s="2">
        <f t="shared" si="20"/>
        <v>1</v>
      </c>
      <c r="H678" s="2">
        <f t="shared" ca="1" si="21"/>
        <v>481</v>
      </c>
      <c r="I678" s="4">
        <v>45639</v>
      </c>
      <c r="J678" s="4">
        <v>45640</v>
      </c>
      <c r="K678" t="s">
        <v>1500</v>
      </c>
      <c r="L678" t="s">
        <v>984</v>
      </c>
      <c r="M678" t="s">
        <v>19</v>
      </c>
      <c r="N678" t="s">
        <v>1501</v>
      </c>
      <c r="O678">
        <v>30</v>
      </c>
    </row>
    <row r="679" spans="1:15" hidden="1" x14ac:dyDescent="0.25">
      <c r="A679" t="s">
        <v>2820</v>
      </c>
      <c r="B679" t="s">
        <v>1257</v>
      </c>
      <c r="C679" t="s">
        <v>1258</v>
      </c>
      <c r="D679" t="s">
        <v>1259</v>
      </c>
      <c r="E679" t="s">
        <v>1267</v>
      </c>
      <c r="F679" s="3">
        <v>3537073</v>
      </c>
      <c r="G679" s="2">
        <f t="shared" si="20"/>
        <v>30</v>
      </c>
      <c r="H679" s="2">
        <f t="shared" ca="1" si="21"/>
        <v>441</v>
      </c>
      <c r="I679" s="4">
        <v>45679</v>
      </c>
      <c r="J679" s="4">
        <v>45709</v>
      </c>
      <c r="K679" t="s">
        <v>1260</v>
      </c>
      <c r="L679" t="s">
        <v>981</v>
      </c>
      <c r="M679" t="s">
        <v>19</v>
      </c>
      <c r="N679" t="s">
        <v>1261</v>
      </c>
      <c r="O679">
        <v>30</v>
      </c>
    </row>
    <row r="680" spans="1:15" hidden="1" x14ac:dyDescent="0.25">
      <c r="A680" t="s">
        <v>2820</v>
      </c>
      <c r="B680" t="s">
        <v>29</v>
      </c>
      <c r="C680" t="s">
        <v>30</v>
      </c>
      <c r="D680" t="s">
        <v>15</v>
      </c>
      <c r="E680" t="s">
        <v>31</v>
      </c>
      <c r="F680" s="3">
        <v>1432296</v>
      </c>
      <c r="G680" s="2">
        <f t="shared" si="20"/>
        <v>30</v>
      </c>
      <c r="H680" s="2">
        <f t="shared" ca="1" si="21"/>
        <v>406</v>
      </c>
      <c r="I680" s="4">
        <v>45714</v>
      </c>
      <c r="J680" s="4">
        <v>45744</v>
      </c>
      <c r="K680" t="s">
        <v>17</v>
      </c>
      <c r="L680" t="s">
        <v>32</v>
      </c>
      <c r="M680" t="s">
        <v>19</v>
      </c>
      <c r="N680" t="s">
        <v>33</v>
      </c>
      <c r="O680">
        <v>30</v>
      </c>
    </row>
    <row r="681" spans="1:15" hidden="1" x14ac:dyDescent="0.25">
      <c r="A681" t="s">
        <v>2820</v>
      </c>
      <c r="B681" t="s">
        <v>924</v>
      </c>
      <c r="C681" t="s">
        <v>925</v>
      </c>
      <c r="D681" t="s">
        <v>916</v>
      </c>
      <c r="E681" t="s">
        <v>926</v>
      </c>
      <c r="F681" s="3">
        <v>2815989</v>
      </c>
      <c r="G681" s="2">
        <f t="shared" si="20"/>
        <v>30</v>
      </c>
      <c r="H681" s="2">
        <f t="shared" ca="1" si="21"/>
        <v>386</v>
      </c>
      <c r="I681" s="4">
        <v>45734</v>
      </c>
      <c r="J681" s="4">
        <v>45764</v>
      </c>
      <c r="K681" t="s">
        <v>918</v>
      </c>
      <c r="L681" t="s">
        <v>312</v>
      </c>
      <c r="M681" t="s">
        <v>19</v>
      </c>
      <c r="N681" t="s">
        <v>927</v>
      </c>
      <c r="O681">
        <v>30</v>
      </c>
    </row>
    <row r="682" spans="1:15" hidden="1" x14ac:dyDescent="0.25">
      <c r="A682" t="s">
        <v>2820</v>
      </c>
      <c r="B682" t="s">
        <v>1865</v>
      </c>
      <c r="C682" t="s">
        <v>1866</v>
      </c>
      <c r="D682" t="s">
        <v>1867</v>
      </c>
      <c r="E682" t="s">
        <v>1868</v>
      </c>
      <c r="F682" s="3">
        <v>2594846</v>
      </c>
      <c r="G682" s="2">
        <f t="shared" si="20"/>
        <v>30</v>
      </c>
      <c r="H682" s="2">
        <f t="shared" ca="1" si="21"/>
        <v>386</v>
      </c>
      <c r="I682" s="4">
        <v>45734</v>
      </c>
      <c r="J682" s="4">
        <v>45764</v>
      </c>
      <c r="K682" t="s">
        <v>1863</v>
      </c>
      <c r="L682" t="s">
        <v>984</v>
      </c>
      <c r="M682" t="s">
        <v>19</v>
      </c>
      <c r="N682" t="s">
        <v>1869</v>
      </c>
      <c r="O682">
        <v>30</v>
      </c>
    </row>
    <row r="683" spans="1:15" hidden="1" x14ac:dyDescent="0.25">
      <c r="A683" t="s">
        <v>2820</v>
      </c>
      <c r="B683" t="s">
        <v>29</v>
      </c>
      <c r="C683" t="s">
        <v>30</v>
      </c>
      <c r="D683" t="s">
        <v>15</v>
      </c>
      <c r="E683" t="s">
        <v>34</v>
      </c>
      <c r="F683" s="3">
        <v>748439</v>
      </c>
      <c r="G683" s="2">
        <f t="shared" si="20"/>
        <v>30</v>
      </c>
      <c r="H683" s="2">
        <f t="shared" ca="1" si="21"/>
        <v>384</v>
      </c>
      <c r="I683" s="4">
        <v>45736</v>
      </c>
      <c r="J683" s="4">
        <v>45766</v>
      </c>
      <c r="K683" t="s">
        <v>17</v>
      </c>
      <c r="L683" t="s">
        <v>32</v>
      </c>
      <c r="M683" t="s">
        <v>19</v>
      </c>
      <c r="N683" t="s">
        <v>33</v>
      </c>
      <c r="O683">
        <v>30</v>
      </c>
    </row>
    <row r="684" spans="1:15" hidden="1" x14ac:dyDescent="0.25">
      <c r="A684" t="s">
        <v>2820</v>
      </c>
      <c r="B684" t="s">
        <v>35</v>
      </c>
      <c r="C684" t="s">
        <v>36</v>
      </c>
      <c r="D684" t="s">
        <v>15</v>
      </c>
      <c r="E684" t="s">
        <v>37</v>
      </c>
      <c r="F684" s="3">
        <v>1980795</v>
      </c>
      <c r="G684" s="2">
        <f t="shared" si="20"/>
        <v>30</v>
      </c>
      <c r="H684" s="2">
        <f t="shared" ca="1" si="21"/>
        <v>382</v>
      </c>
      <c r="I684" s="4">
        <v>45738</v>
      </c>
      <c r="J684" s="4">
        <v>45768</v>
      </c>
      <c r="K684" t="s">
        <v>17</v>
      </c>
      <c r="L684" t="s">
        <v>18</v>
      </c>
      <c r="M684" t="s">
        <v>19</v>
      </c>
      <c r="N684" t="s">
        <v>38</v>
      </c>
      <c r="O684">
        <v>30</v>
      </c>
    </row>
    <row r="685" spans="1:15" hidden="1" x14ac:dyDescent="0.25">
      <c r="A685" t="s">
        <v>2820</v>
      </c>
      <c r="B685" t="s">
        <v>924</v>
      </c>
      <c r="C685" t="s">
        <v>925</v>
      </c>
      <c r="D685" t="s">
        <v>916</v>
      </c>
      <c r="E685" t="s">
        <v>928</v>
      </c>
      <c r="F685" s="3">
        <v>532234</v>
      </c>
      <c r="G685" s="2">
        <f t="shared" si="20"/>
        <v>30</v>
      </c>
      <c r="H685" s="2">
        <f t="shared" ca="1" si="21"/>
        <v>373</v>
      </c>
      <c r="I685" s="4">
        <v>45747</v>
      </c>
      <c r="J685" s="4">
        <v>45777</v>
      </c>
      <c r="K685" t="s">
        <v>918</v>
      </c>
      <c r="L685" t="s">
        <v>312</v>
      </c>
      <c r="M685" t="s">
        <v>19</v>
      </c>
      <c r="N685" t="s">
        <v>927</v>
      </c>
      <c r="O685">
        <v>30</v>
      </c>
    </row>
    <row r="686" spans="1:15" hidden="1" x14ac:dyDescent="0.25">
      <c r="A686" t="s">
        <v>2820</v>
      </c>
      <c r="B686" t="s">
        <v>1865</v>
      </c>
      <c r="C686" t="s">
        <v>1866</v>
      </c>
      <c r="D686" t="s">
        <v>1867</v>
      </c>
      <c r="E686" t="s">
        <v>1870</v>
      </c>
      <c r="F686" s="3">
        <v>2977280</v>
      </c>
      <c r="G686" s="2">
        <f t="shared" si="20"/>
        <v>30</v>
      </c>
      <c r="H686" s="2">
        <f t="shared" ca="1" si="21"/>
        <v>373</v>
      </c>
      <c r="I686" s="4">
        <v>45747</v>
      </c>
      <c r="J686" s="4">
        <v>45777</v>
      </c>
      <c r="K686" t="s">
        <v>1863</v>
      </c>
      <c r="L686" t="s">
        <v>984</v>
      </c>
      <c r="M686" t="s">
        <v>19</v>
      </c>
      <c r="N686" t="s">
        <v>1869</v>
      </c>
      <c r="O686">
        <v>30</v>
      </c>
    </row>
    <row r="687" spans="1:15" hidden="1" x14ac:dyDescent="0.25">
      <c r="A687" t="s">
        <v>2820</v>
      </c>
      <c r="B687" t="s">
        <v>35</v>
      </c>
      <c r="C687" t="s">
        <v>36</v>
      </c>
      <c r="D687" t="s">
        <v>15</v>
      </c>
      <c r="E687" t="s">
        <v>39</v>
      </c>
      <c r="F687" s="3">
        <v>1531800</v>
      </c>
      <c r="G687" s="2">
        <f t="shared" si="20"/>
        <v>30</v>
      </c>
      <c r="H687" s="2">
        <f t="shared" ca="1" si="21"/>
        <v>368</v>
      </c>
      <c r="I687" s="4">
        <v>45752</v>
      </c>
      <c r="J687" s="4">
        <v>45782</v>
      </c>
      <c r="K687" t="s">
        <v>17</v>
      </c>
      <c r="L687" t="s">
        <v>18</v>
      </c>
      <c r="M687" t="s">
        <v>19</v>
      </c>
      <c r="N687" t="s">
        <v>38</v>
      </c>
      <c r="O687">
        <v>30</v>
      </c>
    </row>
    <row r="688" spans="1:15" hidden="1" x14ac:dyDescent="0.25">
      <c r="A688" t="s">
        <v>2820</v>
      </c>
      <c r="B688" t="s">
        <v>924</v>
      </c>
      <c r="C688" t="s">
        <v>925</v>
      </c>
      <c r="D688" t="s">
        <v>916</v>
      </c>
      <c r="E688" t="s">
        <v>929</v>
      </c>
      <c r="F688" s="3">
        <v>3921819</v>
      </c>
      <c r="G688" s="2">
        <f t="shared" si="20"/>
        <v>30</v>
      </c>
      <c r="H688" s="2">
        <f t="shared" ca="1" si="21"/>
        <v>365</v>
      </c>
      <c r="I688" s="4">
        <v>45755</v>
      </c>
      <c r="J688" s="4">
        <v>45785</v>
      </c>
      <c r="K688" t="s">
        <v>918</v>
      </c>
      <c r="L688" t="s">
        <v>312</v>
      </c>
      <c r="M688" t="s">
        <v>19</v>
      </c>
      <c r="N688" t="s">
        <v>927</v>
      </c>
      <c r="O688">
        <v>30</v>
      </c>
    </row>
    <row r="689" spans="1:15" hidden="1" x14ac:dyDescent="0.25">
      <c r="A689" t="s">
        <v>2820</v>
      </c>
      <c r="B689" t="s">
        <v>1865</v>
      </c>
      <c r="C689" t="s">
        <v>1866</v>
      </c>
      <c r="D689" t="s">
        <v>1867</v>
      </c>
      <c r="E689" t="s">
        <v>1871</v>
      </c>
      <c r="F689" s="3">
        <v>2559729</v>
      </c>
      <c r="G689" s="2">
        <f t="shared" si="20"/>
        <v>30</v>
      </c>
      <c r="H689" s="2">
        <f t="shared" ca="1" si="21"/>
        <v>358</v>
      </c>
      <c r="I689" s="4">
        <v>45762</v>
      </c>
      <c r="J689" s="4">
        <v>45792</v>
      </c>
      <c r="K689" t="s">
        <v>1863</v>
      </c>
      <c r="L689" t="s">
        <v>984</v>
      </c>
      <c r="M689" t="s">
        <v>19</v>
      </c>
      <c r="N689" t="s">
        <v>1869</v>
      </c>
      <c r="O689">
        <v>30</v>
      </c>
    </row>
    <row r="690" spans="1:15" hidden="1" x14ac:dyDescent="0.25">
      <c r="A690" t="s">
        <v>2820</v>
      </c>
      <c r="B690" t="s">
        <v>1505</v>
      </c>
      <c r="C690" t="s">
        <v>1506</v>
      </c>
      <c r="D690" t="s">
        <v>1507</v>
      </c>
      <c r="E690" t="s">
        <v>1508</v>
      </c>
      <c r="F690" s="3">
        <v>202110</v>
      </c>
      <c r="G690" s="2">
        <f t="shared" si="20"/>
        <v>30</v>
      </c>
      <c r="H690" s="2">
        <f t="shared" ca="1" si="21"/>
        <v>286</v>
      </c>
      <c r="I690" s="4">
        <v>45834</v>
      </c>
      <c r="J690" s="4">
        <v>45864</v>
      </c>
      <c r="K690" t="s">
        <v>1509</v>
      </c>
      <c r="L690" t="s">
        <v>984</v>
      </c>
      <c r="M690" t="s">
        <v>19</v>
      </c>
      <c r="N690" t="s">
        <v>1510</v>
      </c>
      <c r="O690">
        <v>30</v>
      </c>
    </row>
    <row r="691" spans="1:15" hidden="1" x14ac:dyDescent="0.25">
      <c r="A691" t="s">
        <v>2820</v>
      </c>
      <c r="B691" t="s">
        <v>1122</v>
      </c>
      <c r="C691" t="s">
        <v>1123</v>
      </c>
      <c r="D691" t="s">
        <v>320</v>
      </c>
      <c r="E691" t="s">
        <v>1124</v>
      </c>
      <c r="F691" s="3">
        <v>99509</v>
      </c>
      <c r="G691" s="2">
        <f t="shared" si="20"/>
        <v>30</v>
      </c>
      <c r="H691" s="2">
        <f t="shared" ca="1" si="21"/>
        <v>265</v>
      </c>
      <c r="I691" s="4">
        <v>45855</v>
      </c>
      <c r="J691" s="4">
        <v>45885</v>
      </c>
      <c r="K691" t="s">
        <v>1068</v>
      </c>
      <c r="L691" t="s">
        <v>47</v>
      </c>
      <c r="M691" t="s">
        <v>19</v>
      </c>
      <c r="N691" t="s">
        <v>1125</v>
      </c>
      <c r="O691">
        <v>30</v>
      </c>
    </row>
    <row r="692" spans="1:15" hidden="1" x14ac:dyDescent="0.25">
      <c r="A692" t="s">
        <v>2820</v>
      </c>
      <c r="B692" t="s">
        <v>1913</v>
      </c>
      <c r="C692" t="s">
        <v>1914</v>
      </c>
      <c r="D692" t="s">
        <v>320</v>
      </c>
      <c r="E692" t="s">
        <v>1915</v>
      </c>
      <c r="F692" s="3">
        <v>27205</v>
      </c>
      <c r="G692" s="2">
        <f t="shared" si="20"/>
        <v>30</v>
      </c>
      <c r="H692" s="2">
        <f t="shared" ca="1" si="21"/>
        <v>260</v>
      </c>
      <c r="I692" s="4">
        <v>45860</v>
      </c>
      <c r="J692" s="4">
        <v>45890</v>
      </c>
      <c r="K692" t="s">
        <v>1068</v>
      </c>
      <c r="L692" t="s">
        <v>207</v>
      </c>
      <c r="M692" t="s">
        <v>19</v>
      </c>
      <c r="N692" t="s">
        <v>1916</v>
      </c>
      <c r="O692">
        <v>30</v>
      </c>
    </row>
    <row r="693" spans="1:15" hidden="1" x14ac:dyDescent="0.25">
      <c r="A693" t="s">
        <v>2820</v>
      </c>
      <c r="B693" t="s">
        <v>1101</v>
      </c>
      <c r="C693" t="s">
        <v>1102</v>
      </c>
      <c r="D693" t="s">
        <v>1066</v>
      </c>
      <c r="E693" t="s">
        <v>1939</v>
      </c>
      <c r="F693" s="3">
        <v>2105</v>
      </c>
      <c r="G693" s="2">
        <f t="shared" si="20"/>
        <v>30</v>
      </c>
      <c r="H693" s="2">
        <f t="shared" ca="1" si="21"/>
        <v>238</v>
      </c>
      <c r="I693" s="4">
        <v>45882</v>
      </c>
      <c r="J693" s="4">
        <v>45912</v>
      </c>
      <c r="K693" t="s">
        <v>1068</v>
      </c>
      <c r="L693" t="s">
        <v>207</v>
      </c>
      <c r="M693" t="s">
        <v>19</v>
      </c>
      <c r="N693" t="s">
        <v>1103</v>
      </c>
      <c r="O693">
        <v>30</v>
      </c>
    </row>
    <row r="694" spans="1:15" hidden="1" x14ac:dyDescent="0.25">
      <c r="A694" t="s">
        <v>2820</v>
      </c>
      <c r="B694" t="s">
        <v>1748</v>
      </c>
      <c r="C694" t="s">
        <v>1749</v>
      </c>
      <c r="D694" t="s">
        <v>1750</v>
      </c>
      <c r="E694" t="s">
        <v>1946</v>
      </c>
      <c r="F694" s="3">
        <v>980497</v>
      </c>
      <c r="G694" s="2">
        <f t="shared" si="20"/>
        <v>30</v>
      </c>
      <c r="H694" s="2">
        <f t="shared" ca="1" si="21"/>
        <v>238</v>
      </c>
      <c r="I694" s="4">
        <v>45882</v>
      </c>
      <c r="J694" s="4">
        <v>45912</v>
      </c>
      <c r="K694" t="s">
        <v>1747</v>
      </c>
      <c r="L694" t="s">
        <v>981</v>
      </c>
      <c r="M694" t="s">
        <v>19</v>
      </c>
      <c r="N694" t="s">
        <v>1751</v>
      </c>
      <c r="O694">
        <v>1</v>
      </c>
    </row>
    <row r="695" spans="1:15" hidden="1" x14ac:dyDescent="0.25">
      <c r="A695" t="s">
        <v>2820</v>
      </c>
      <c r="B695" t="s">
        <v>1748</v>
      </c>
      <c r="C695" t="s">
        <v>1749</v>
      </c>
      <c r="D695" t="s">
        <v>1750</v>
      </c>
      <c r="E695" t="s">
        <v>1967</v>
      </c>
      <c r="F695" s="3">
        <v>1133779</v>
      </c>
      <c r="G695" s="2">
        <f t="shared" si="20"/>
        <v>30</v>
      </c>
      <c r="H695" s="2">
        <f t="shared" ca="1" si="21"/>
        <v>224</v>
      </c>
      <c r="I695" s="4">
        <v>45896</v>
      </c>
      <c r="J695" s="4">
        <v>45926</v>
      </c>
      <c r="K695" t="s">
        <v>1747</v>
      </c>
      <c r="L695" t="s">
        <v>981</v>
      </c>
      <c r="M695" t="s">
        <v>19</v>
      </c>
      <c r="N695" t="s">
        <v>1751</v>
      </c>
      <c r="O695">
        <v>1</v>
      </c>
    </row>
    <row r="696" spans="1:15" hidden="1" x14ac:dyDescent="0.25">
      <c r="A696" t="s">
        <v>2820</v>
      </c>
      <c r="B696" t="s">
        <v>1735</v>
      </c>
      <c r="C696" t="s">
        <v>1736</v>
      </c>
      <c r="D696" t="s">
        <v>1737</v>
      </c>
      <c r="E696" t="s">
        <v>1988</v>
      </c>
      <c r="F696" s="3">
        <v>98362</v>
      </c>
      <c r="G696" s="2">
        <f t="shared" si="20"/>
        <v>30</v>
      </c>
      <c r="H696" s="2">
        <f t="shared" ca="1" si="21"/>
        <v>210</v>
      </c>
      <c r="I696" s="4">
        <v>45910</v>
      </c>
      <c r="J696" s="4">
        <v>45940</v>
      </c>
      <c r="K696" t="s">
        <v>1738</v>
      </c>
      <c r="L696" t="s">
        <v>981</v>
      </c>
      <c r="M696" t="s">
        <v>19</v>
      </c>
      <c r="N696" t="s">
        <v>1739</v>
      </c>
      <c r="O696">
        <v>30</v>
      </c>
    </row>
    <row r="697" spans="1:15" hidden="1" x14ac:dyDescent="0.25">
      <c r="A697" t="s">
        <v>2820</v>
      </c>
      <c r="B697" t="s">
        <v>58</v>
      </c>
      <c r="C697" t="s">
        <v>59</v>
      </c>
      <c r="D697" t="s">
        <v>46</v>
      </c>
      <c r="E697" t="s">
        <v>1989</v>
      </c>
      <c r="F697" s="3">
        <v>90000</v>
      </c>
      <c r="G697" s="2">
        <f t="shared" si="20"/>
        <v>30</v>
      </c>
      <c r="H697" s="2">
        <f t="shared" ca="1" si="21"/>
        <v>208</v>
      </c>
      <c r="I697" s="4">
        <v>45912</v>
      </c>
      <c r="J697" s="4">
        <v>45942</v>
      </c>
      <c r="K697" t="s">
        <v>17</v>
      </c>
      <c r="L697" t="s">
        <v>212</v>
      </c>
      <c r="M697" t="s">
        <v>19</v>
      </c>
      <c r="N697" t="s">
        <v>60</v>
      </c>
      <c r="O697">
        <v>15</v>
      </c>
    </row>
    <row r="698" spans="1:15" hidden="1" x14ac:dyDescent="0.25">
      <c r="A698" t="s">
        <v>2820</v>
      </c>
      <c r="B698" t="s">
        <v>1748</v>
      </c>
      <c r="C698" t="s">
        <v>1749</v>
      </c>
      <c r="D698" t="s">
        <v>1750</v>
      </c>
      <c r="E698" t="s">
        <v>1993</v>
      </c>
      <c r="F698" s="3">
        <v>658949</v>
      </c>
      <c r="G698" s="2">
        <f t="shared" si="20"/>
        <v>30</v>
      </c>
      <c r="H698" s="2">
        <f t="shared" ca="1" si="21"/>
        <v>205</v>
      </c>
      <c r="I698" s="4">
        <v>45915</v>
      </c>
      <c r="J698" s="4">
        <v>45945</v>
      </c>
      <c r="K698" t="s">
        <v>1854</v>
      </c>
      <c r="L698" t="s">
        <v>981</v>
      </c>
      <c r="M698" t="s">
        <v>19</v>
      </c>
      <c r="N698" t="s">
        <v>1751</v>
      </c>
      <c r="O698">
        <v>1</v>
      </c>
    </row>
    <row r="699" spans="1:15" hidden="1" x14ac:dyDescent="0.25">
      <c r="A699" t="s">
        <v>2820</v>
      </c>
      <c r="B699" t="s">
        <v>1214</v>
      </c>
      <c r="C699" t="s">
        <v>1215</v>
      </c>
      <c r="D699" t="s">
        <v>1216</v>
      </c>
      <c r="E699" t="s">
        <v>1996</v>
      </c>
      <c r="F699" s="3">
        <v>5070</v>
      </c>
      <c r="G699" s="2">
        <f t="shared" si="20"/>
        <v>30</v>
      </c>
      <c r="H699" s="2">
        <f t="shared" ca="1" si="21"/>
        <v>203</v>
      </c>
      <c r="I699" s="4">
        <v>45917</v>
      </c>
      <c r="J699" s="4">
        <v>45947</v>
      </c>
      <c r="K699" t="s">
        <v>1217</v>
      </c>
      <c r="L699" t="s">
        <v>212</v>
      </c>
      <c r="M699" t="s">
        <v>19</v>
      </c>
      <c r="N699" t="s">
        <v>1218</v>
      </c>
      <c r="O699">
        <v>30</v>
      </c>
    </row>
    <row r="700" spans="1:15" hidden="1" x14ac:dyDescent="0.25">
      <c r="A700" t="s">
        <v>2820</v>
      </c>
      <c r="B700" t="s">
        <v>1997</v>
      </c>
      <c r="C700" t="s">
        <v>1998</v>
      </c>
      <c r="D700" t="s">
        <v>1947</v>
      </c>
      <c r="E700" t="s">
        <v>1999</v>
      </c>
      <c r="F700" s="3">
        <v>4822</v>
      </c>
      <c r="G700" s="2">
        <f t="shared" si="20"/>
        <v>1</v>
      </c>
      <c r="H700" s="2">
        <f t="shared" ca="1" si="21"/>
        <v>202</v>
      </c>
      <c r="I700" s="4">
        <v>45918</v>
      </c>
      <c r="J700" s="4">
        <v>45919</v>
      </c>
      <c r="K700" t="s">
        <v>1243</v>
      </c>
      <c r="L700" t="s">
        <v>312</v>
      </c>
      <c r="M700" t="s">
        <v>19</v>
      </c>
      <c r="N700" t="s">
        <v>2000</v>
      </c>
      <c r="O700">
        <v>30</v>
      </c>
    </row>
    <row r="701" spans="1:15" hidden="1" x14ac:dyDescent="0.25">
      <c r="A701" t="s">
        <v>2820</v>
      </c>
      <c r="B701" t="s">
        <v>1566</v>
      </c>
      <c r="C701" t="s">
        <v>1567</v>
      </c>
      <c r="D701" t="s">
        <v>1563</v>
      </c>
      <c r="E701" t="s">
        <v>2030</v>
      </c>
      <c r="F701" s="3">
        <v>-2</v>
      </c>
      <c r="G701" s="2">
        <f t="shared" si="20"/>
        <v>30</v>
      </c>
      <c r="H701" s="2">
        <f t="shared" ca="1" si="21"/>
        <v>190</v>
      </c>
      <c r="I701" s="4">
        <v>45930</v>
      </c>
      <c r="J701" s="4">
        <v>45960</v>
      </c>
      <c r="K701" t="s">
        <v>1564</v>
      </c>
      <c r="L701" t="s">
        <v>984</v>
      </c>
      <c r="M701" t="s">
        <v>19</v>
      </c>
      <c r="N701" t="s">
        <v>1568</v>
      </c>
      <c r="O701">
        <v>30</v>
      </c>
    </row>
    <row r="702" spans="1:15" hidden="1" x14ac:dyDescent="0.25">
      <c r="A702" t="s">
        <v>2820</v>
      </c>
      <c r="B702" t="s">
        <v>1286</v>
      </c>
      <c r="C702" t="s">
        <v>1287</v>
      </c>
      <c r="D702" t="s">
        <v>1259</v>
      </c>
      <c r="E702" t="s">
        <v>2029</v>
      </c>
      <c r="F702" s="3">
        <v>335208</v>
      </c>
      <c r="G702" s="2">
        <f t="shared" si="20"/>
        <v>30</v>
      </c>
      <c r="H702" s="2">
        <f t="shared" ca="1" si="21"/>
        <v>187</v>
      </c>
      <c r="I702" s="4">
        <v>45933</v>
      </c>
      <c r="J702" s="4">
        <v>45963</v>
      </c>
      <c r="K702" t="s">
        <v>1260</v>
      </c>
      <c r="L702" t="s">
        <v>981</v>
      </c>
      <c r="M702" t="s">
        <v>19</v>
      </c>
      <c r="N702" t="s">
        <v>1288</v>
      </c>
      <c r="O702">
        <v>1</v>
      </c>
    </row>
    <row r="703" spans="1:15" hidden="1" x14ac:dyDescent="0.25">
      <c r="A703" t="s">
        <v>2820</v>
      </c>
      <c r="B703" t="s">
        <v>1207</v>
      </c>
      <c r="C703" t="s">
        <v>1208</v>
      </c>
      <c r="D703" t="s">
        <v>1209</v>
      </c>
      <c r="E703" t="s">
        <v>2040</v>
      </c>
      <c r="F703" s="3">
        <v>2968606</v>
      </c>
      <c r="G703" s="2">
        <f t="shared" si="20"/>
        <v>30</v>
      </c>
      <c r="H703" s="2">
        <f t="shared" ca="1" si="21"/>
        <v>182</v>
      </c>
      <c r="I703" s="4">
        <v>45938</v>
      </c>
      <c r="J703" s="4">
        <v>45968</v>
      </c>
      <c r="K703" t="s">
        <v>1202</v>
      </c>
      <c r="L703" t="s">
        <v>207</v>
      </c>
      <c r="M703" t="s">
        <v>19</v>
      </c>
      <c r="N703" t="s">
        <v>1210</v>
      </c>
      <c r="O703">
        <v>30</v>
      </c>
    </row>
    <row r="704" spans="1:15" hidden="1" x14ac:dyDescent="0.25">
      <c r="A704" t="s">
        <v>2820</v>
      </c>
      <c r="B704" t="s">
        <v>1735</v>
      </c>
      <c r="C704" t="s">
        <v>1736</v>
      </c>
      <c r="D704" t="s">
        <v>1737</v>
      </c>
      <c r="E704" t="s">
        <v>2047</v>
      </c>
      <c r="F704" s="3">
        <v>69174</v>
      </c>
      <c r="G704" s="2">
        <f t="shared" si="20"/>
        <v>30</v>
      </c>
      <c r="H704" s="2">
        <f t="shared" ca="1" si="21"/>
        <v>182</v>
      </c>
      <c r="I704" s="4">
        <v>45938</v>
      </c>
      <c r="J704" s="4">
        <v>45968</v>
      </c>
      <c r="K704" t="s">
        <v>1738</v>
      </c>
      <c r="L704" t="s">
        <v>981</v>
      </c>
      <c r="M704" t="s">
        <v>19</v>
      </c>
      <c r="N704" t="s">
        <v>1739</v>
      </c>
      <c r="O704">
        <v>30</v>
      </c>
    </row>
    <row r="705" spans="1:15" hidden="1" x14ac:dyDescent="0.25">
      <c r="A705" t="s">
        <v>2820</v>
      </c>
      <c r="B705" t="s">
        <v>1572</v>
      </c>
      <c r="C705" t="s">
        <v>1573</v>
      </c>
      <c r="D705" t="s">
        <v>1563</v>
      </c>
      <c r="E705" t="s">
        <v>2053</v>
      </c>
      <c r="F705" s="3">
        <v>16800</v>
      </c>
      <c r="G705" s="2">
        <f t="shared" si="20"/>
        <v>30</v>
      </c>
      <c r="H705" s="2">
        <f t="shared" ca="1" si="21"/>
        <v>174</v>
      </c>
      <c r="I705" s="4">
        <v>45946</v>
      </c>
      <c r="J705" s="4">
        <v>45976</v>
      </c>
      <c r="K705" t="s">
        <v>1564</v>
      </c>
      <c r="L705" t="s">
        <v>984</v>
      </c>
      <c r="M705" t="s">
        <v>19</v>
      </c>
      <c r="N705" t="s">
        <v>1574</v>
      </c>
      <c r="O705">
        <v>30</v>
      </c>
    </row>
    <row r="706" spans="1:15" hidden="1" x14ac:dyDescent="0.25">
      <c r="A706" t="s">
        <v>2820</v>
      </c>
      <c r="B706" t="s">
        <v>1502</v>
      </c>
      <c r="C706" t="s">
        <v>1503</v>
      </c>
      <c r="D706" t="s">
        <v>1498</v>
      </c>
      <c r="E706" t="s">
        <v>2072</v>
      </c>
      <c r="F706" s="3">
        <v>1223</v>
      </c>
      <c r="G706" s="2">
        <f t="shared" ref="G706:G769" si="22">+J706-I706</f>
        <v>30</v>
      </c>
      <c r="H706" s="2">
        <f t="shared" ref="H706:H769" ca="1" si="23">+TODAY()-I706</f>
        <v>172</v>
      </c>
      <c r="I706" s="4">
        <v>45948</v>
      </c>
      <c r="J706" s="4">
        <v>45978</v>
      </c>
      <c r="K706" t="s">
        <v>1500</v>
      </c>
      <c r="L706" t="s">
        <v>984</v>
      </c>
      <c r="M706" t="s">
        <v>19</v>
      </c>
      <c r="N706" t="s">
        <v>1504</v>
      </c>
      <c r="O706">
        <v>30</v>
      </c>
    </row>
    <row r="707" spans="1:15" hidden="1" x14ac:dyDescent="0.25">
      <c r="A707" t="s">
        <v>2820</v>
      </c>
      <c r="B707" t="s">
        <v>880</v>
      </c>
      <c r="C707" t="s">
        <v>881</v>
      </c>
      <c r="D707" t="s">
        <v>854</v>
      </c>
      <c r="E707" t="s">
        <v>2076</v>
      </c>
      <c r="F707" s="3">
        <v>2276</v>
      </c>
      <c r="G707" s="2">
        <f t="shared" si="22"/>
        <v>1</v>
      </c>
      <c r="H707" s="2">
        <f t="shared" ca="1" si="23"/>
        <v>165</v>
      </c>
      <c r="I707" s="4">
        <v>45955</v>
      </c>
      <c r="J707" s="4">
        <v>45956</v>
      </c>
      <c r="K707" t="s">
        <v>845</v>
      </c>
      <c r="L707" t="s">
        <v>47</v>
      </c>
      <c r="M707" t="s">
        <v>19</v>
      </c>
      <c r="N707" t="s">
        <v>882</v>
      </c>
      <c r="O707">
        <v>30</v>
      </c>
    </row>
    <row r="708" spans="1:15" hidden="1" x14ac:dyDescent="0.25">
      <c r="A708" t="s">
        <v>2820</v>
      </c>
      <c r="B708" t="s">
        <v>1569</v>
      </c>
      <c r="C708" t="s">
        <v>1570</v>
      </c>
      <c r="D708" t="s">
        <v>1563</v>
      </c>
      <c r="E708" t="s">
        <v>2080</v>
      </c>
      <c r="F708" s="3">
        <v>4415718</v>
      </c>
      <c r="G708" s="2">
        <f t="shared" si="22"/>
        <v>30</v>
      </c>
      <c r="H708" s="2">
        <f t="shared" ca="1" si="23"/>
        <v>161</v>
      </c>
      <c r="I708" s="4">
        <v>45959</v>
      </c>
      <c r="J708" s="4">
        <v>45989</v>
      </c>
      <c r="K708" t="s">
        <v>1564</v>
      </c>
      <c r="L708" t="s">
        <v>984</v>
      </c>
      <c r="M708" t="s">
        <v>19</v>
      </c>
      <c r="N708" t="s">
        <v>1571</v>
      </c>
      <c r="O708">
        <v>30</v>
      </c>
    </row>
    <row r="709" spans="1:15" hidden="1" x14ac:dyDescent="0.25">
      <c r="A709" t="s">
        <v>2820</v>
      </c>
      <c r="B709" t="s">
        <v>977</v>
      </c>
      <c r="C709" t="s">
        <v>978</v>
      </c>
      <c r="D709" t="s">
        <v>979</v>
      </c>
      <c r="E709" t="s">
        <v>4400</v>
      </c>
      <c r="F709" s="3">
        <v>498932</v>
      </c>
      <c r="G709" s="2">
        <f t="shared" si="22"/>
        <v>30</v>
      </c>
      <c r="H709" s="2">
        <f t="shared" ca="1" si="23"/>
        <v>160</v>
      </c>
      <c r="I709" s="4">
        <v>45960</v>
      </c>
      <c r="J709" s="4">
        <v>45990</v>
      </c>
      <c r="K709" t="s">
        <v>980</v>
      </c>
      <c r="L709" t="s">
        <v>981</v>
      </c>
      <c r="M709" t="s">
        <v>19</v>
      </c>
      <c r="N709" t="s">
        <v>982</v>
      </c>
      <c r="O709">
        <v>30</v>
      </c>
    </row>
    <row r="710" spans="1:15" hidden="1" x14ac:dyDescent="0.25">
      <c r="A710" t="s">
        <v>2820</v>
      </c>
      <c r="B710" t="s">
        <v>1852</v>
      </c>
      <c r="C710" t="s">
        <v>1853</v>
      </c>
      <c r="D710" t="s">
        <v>1266</v>
      </c>
      <c r="E710" t="s">
        <v>2100</v>
      </c>
      <c r="F710" s="3">
        <v>154000</v>
      </c>
      <c r="G710" s="2">
        <f t="shared" si="22"/>
        <v>30</v>
      </c>
      <c r="H710" s="2">
        <f t="shared" ca="1" si="23"/>
        <v>160</v>
      </c>
      <c r="I710" s="4">
        <v>45960</v>
      </c>
      <c r="J710" s="4">
        <v>45990</v>
      </c>
      <c r="K710" t="s">
        <v>1854</v>
      </c>
      <c r="L710" t="s">
        <v>981</v>
      </c>
      <c r="M710" t="s">
        <v>19</v>
      </c>
      <c r="N710" t="s">
        <v>1855</v>
      </c>
      <c r="O710">
        <v>30</v>
      </c>
    </row>
    <row r="711" spans="1:15" hidden="1" x14ac:dyDescent="0.25">
      <c r="A711" t="s">
        <v>2820</v>
      </c>
      <c r="B711" t="s">
        <v>2095</v>
      </c>
      <c r="C711" t="s">
        <v>2096</v>
      </c>
      <c r="D711" t="s">
        <v>1138</v>
      </c>
      <c r="E711" t="s">
        <v>2097</v>
      </c>
      <c r="F711" s="3">
        <v>30700</v>
      </c>
      <c r="G711" s="2">
        <f t="shared" si="22"/>
        <v>1</v>
      </c>
      <c r="H711" s="2">
        <f t="shared" ca="1" si="23"/>
        <v>159</v>
      </c>
      <c r="I711" s="4">
        <v>45961</v>
      </c>
      <c r="J711" s="4">
        <v>45962</v>
      </c>
      <c r="K711" t="s">
        <v>1144</v>
      </c>
      <c r="L711" t="s">
        <v>321</v>
      </c>
      <c r="M711" t="s">
        <v>19</v>
      </c>
      <c r="N711" t="s">
        <v>2098</v>
      </c>
      <c r="O711">
        <v>1</v>
      </c>
    </row>
    <row r="712" spans="1:15" hidden="1" x14ac:dyDescent="0.25">
      <c r="A712" t="s">
        <v>2820</v>
      </c>
      <c r="B712" t="s">
        <v>1486</v>
      </c>
      <c r="C712" t="s">
        <v>1487</v>
      </c>
      <c r="D712" t="s">
        <v>341</v>
      </c>
      <c r="E712" t="s">
        <v>2099</v>
      </c>
      <c r="F712" s="3">
        <v>32736</v>
      </c>
      <c r="G712" s="2">
        <f t="shared" si="22"/>
        <v>30</v>
      </c>
      <c r="H712" s="2">
        <f t="shared" ca="1" si="23"/>
        <v>159</v>
      </c>
      <c r="I712" s="4">
        <v>45961</v>
      </c>
      <c r="J712" s="4">
        <v>45991</v>
      </c>
      <c r="K712" t="s">
        <v>1470</v>
      </c>
      <c r="L712" t="s">
        <v>981</v>
      </c>
      <c r="M712" t="s">
        <v>19</v>
      </c>
      <c r="N712" t="s">
        <v>1488</v>
      </c>
      <c r="O712">
        <v>30</v>
      </c>
    </row>
    <row r="713" spans="1:15" hidden="1" x14ac:dyDescent="0.25">
      <c r="A713" t="s">
        <v>2820</v>
      </c>
      <c r="B713" t="s">
        <v>1188</v>
      </c>
      <c r="C713" t="s">
        <v>1189</v>
      </c>
      <c r="D713" t="s">
        <v>1190</v>
      </c>
      <c r="E713" t="s">
        <v>2101</v>
      </c>
      <c r="F713" s="3">
        <v>237358</v>
      </c>
      <c r="G713" s="2">
        <f t="shared" si="22"/>
        <v>30</v>
      </c>
      <c r="H713" s="2">
        <f t="shared" ca="1" si="23"/>
        <v>159</v>
      </c>
      <c r="I713" s="4">
        <v>45961</v>
      </c>
      <c r="J713" s="4">
        <v>45991</v>
      </c>
      <c r="K713" t="s">
        <v>1863</v>
      </c>
      <c r="L713" t="s">
        <v>984</v>
      </c>
      <c r="M713" t="s">
        <v>19</v>
      </c>
      <c r="N713" t="s">
        <v>1191</v>
      </c>
      <c r="O713">
        <v>30</v>
      </c>
    </row>
    <row r="714" spans="1:15" hidden="1" x14ac:dyDescent="0.25">
      <c r="A714" t="s">
        <v>2820</v>
      </c>
      <c r="B714" t="s">
        <v>1598</v>
      </c>
      <c r="C714" t="s">
        <v>1599</v>
      </c>
      <c r="D714" t="s">
        <v>1593</v>
      </c>
      <c r="E714" t="s">
        <v>2116</v>
      </c>
      <c r="F714" s="3">
        <v>35798</v>
      </c>
      <c r="G714" s="2">
        <f t="shared" si="22"/>
        <v>30</v>
      </c>
      <c r="H714" s="2">
        <f t="shared" ca="1" si="23"/>
        <v>154</v>
      </c>
      <c r="I714" s="4">
        <v>45966</v>
      </c>
      <c r="J714" s="4">
        <v>45996</v>
      </c>
      <c r="K714" t="s">
        <v>1589</v>
      </c>
      <c r="L714" t="s">
        <v>984</v>
      </c>
      <c r="M714" t="s">
        <v>19</v>
      </c>
      <c r="N714" t="s">
        <v>1600</v>
      </c>
      <c r="O714">
        <v>30</v>
      </c>
    </row>
    <row r="715" spans="1:15" hidden="1" x14ac:dyDescent="0.25">
      <c r="A715" t="s">
        <v>2820</v>
      </c>
      <c r="B715" t="s">
        <v>1889</v>
      </c>
      <c r="C715" t="s">
        <v>1890</v>
      </c>
      <c r="D715" t="s">
        <v>1891</v>
      </c>
      <c r="E715" t="s">
        <v>2117</v>
      </c>
      <c r="F715" s="3">
        <v>273248</v>
      </c>
      <c r="G715" s="2">
        <f t="shared" si="22"/>
        <v>30</v>
      </c>
      <c r="H715" s="2">
        <f t="shared" ca="1" si="23"/>
        <v>154</v>
      </c>
      <c r="I715" s="4">
        <v>45966</v>
      </c>
      <c r="J715" s="4">
        <v>45996</v>
      </c>
      <c r="K715" t="s">
        <v>1892</v>
      </c>
      <c r="L715" t="s">
        <v>981</v>
      </c>
      <c r="M715" t="s">
        <v>19</v>
      </c>
      <c r="N715" t="s">
        <v>1893</v>
      </c>
      <c r="O715">
        <v>30</v>
      </c>
    </row>
    <row r="716" spans="1:15" hidden="1" x14ac:dyDescent="0.25">
      <c r="A716" t="s">
        <v>2820</v>
      </c>
      <c r="B716" t="s">
        <v>2108</v>
      </c>
      <c r="C716" t="s">
        <v>2109</v>
      </c>
      <c r="D716" t="s">
        <v>2110</v>
      </c>
      <c r="E716" t="s">
        <v>2111</v>
      </c>
      <c r="F716" s="3">
        <v>41690</v>
      </c>
      <c r="G716" s="2">
        <f t="shared" si="22"/>
        <v>30</v>
      </c>
      <c r="H716" s="2">
        <f t="shared" ca="1" si="23"/>
        <v>153</v>
      </c>
      <c r="I716" s="4">
        <v>45967</v>
      </c>
      <c r="J716" s="4">
        <v>45997</v>
      </c>
      <c r="K716" t="s">
        <v>343</v>
      </c>
      <c r="L716" t="s">
        <v>18</v>
      </c>
      <c r="M716" t="s">
        <v>19</v>
      </c>
      <c r="N716" t="s">
        <v>2112</v>
      </c>
      <c r="O716">
        <v>30</v>
      </c>
    </row>
    <row r="717" spans="1:15" hidden="1" x14ac:dyDescent="0.25">
      <c r="A717" t="s">
        <v>2820</v>
      </c>
      <c r="B717" t="s">
        <v>857</v>
      </c>
      <c r="C717" t="s">
        <v>858</v>
      </c>
      <c r="D717" t="s">
        <v>854</v>
      </c>
      <c r="E717" t="s">
        <v>2120</v>
      </c>
      <c r="F717" s="3">
        <v>640507</v>
      </c>
      <c r="G717" s="2">
        <f t="shared" si="22"/>
        <v>30</v>
      </c>
      <c r="H717" s="2">
        <f t="shared" ca="1" si="23"/>
        <v>152</v>
      </c>
      <c r="I717" s="4">
        <v>45968</v>
      </c>
      <c r="J717" s="4">
        <v>45998</v>
      </c>
      <c r="K717" t="s">
        <v>845</v>
      </c>
      <c r="L717" t="s">
        <v>18</v>
      </c>
      <c r="M717" t="s">
        <v>19</v>
      </c>
      <c r="N717" t="s">
        <v>859</v>
      </c>
      <c r="O717">
        <v>30</v>
      </c>
    </row>
    <row r="718" spans="1:15" hidden="1" x14ac:dyDescent="0.25">
      <c r="A718" t="s">
        <v>2820</v>
      </c>
      <c r="B718" t="s">
        <v>1132</v>
      </c>
      <c r="C718" t="s">
        <v>1133</v>
      </c>
      <c r="D718" t="s">
        <v>1066</v>
      </c>
      <c r="E718" t="s">
        <v>2121</v>
      </c>
      <c r="F718" s="3">
        <v>399373</v>
      </c>
      <c r="G718" s="2">
        <f t="shared" si="22"/>
        <v>15</v>
      </c>
      <c r="H718" s="2">
        <f t="shared" ca="1" si="23"/>
        <v>152</v>
      </c>
      <c r="I718" s="4">
        <v>45968</v>
      </c>
      <c r="J718" s="4">
        <v>45983</v>
      </c>
      <c r="K718" t="s">
        <v>1068</v>
      </c>
      <c r="L718" t="s">
        <v>321</v>
      </c>
      <c r="M718" t="s">
        <v>19</v>
      </c>
      <c r="N718" t="s">
        <v>1134</v>
      </c>
      <c r="O718">
        <v>15</v>
      </c>
    </row>
    <row r="719" spans="1:15" hidden="1" x14ac:dyDescent="0.25">
      <c r="A719" t="s">
        <v>2820</v>
      </c>
      <c r="B719" t="s">
        <v>1132</v>
      </c>
      <c r="C719" t="s">
        <v>1133</v>
      </c>
      <c r="D719" t="s">
        <v>1066</v>
      </c>
      <c r="E719" t="s">
        <v>2122</v>
      </c>
      <c r="F719" s="3">
        <v>496297</v>
      </c>
      <c r="G719" s="2">
        <f t="shared" si="22"/>
        <v>15</v>
      </c>
      <c r="H719" s="2">
        <f t="shared" ca="1" si="23"/>
        <v>152</v>
      </c>
      <c r="I719" s="4">
        <v>45968</v>
      </c>
      <c r="J719" s="4">
        <v>45983</v>
      </c>
      <c r="K719" t="s">
        <v>1068</v>
      </c>
      <c r="L719" t="s">
        <v>321</v>
      </c>
      <c r="M719" t="s">
        <v>19</v>
      </c>
      <c r="N719" t="s">
        <v>1134</v>
      </c>
      <c r="O719">
        <v>15</v>
      </c>
    </row>
    <row r="720" spans="1:15" hidden="1" x14ac:dyDescent="0.25">
      <c r="A720" t="s">
        <v>2820</v>
      </c>
      <c r="B720" t="s">
        <v>1132</v>
      </c>
      <c r="C720" t="s">
        <v>1133</v>
      </c>
      <c r="D720" t="s">
        <v>1066</v>
      </c>
      <c r="E720" t="s">
        <v>2123</v>
      </c>
      <c r="F720" s="3">
        <v>664876</v>
      </c>
      <c r="G720" s="2">
        <f t="shared" si="22"/>
        <v>15</v>
      </c>
      <c r="H720" s="2">
        <f t="shared" ca="1" si="23"/>
        <v>152</v>
      </c>
      <c r="I720" s="4">
        <v>45968</v>
      </c>
      <c r="J720" s="4">
        <v>45983</v>
      </c>
      <c r="K720" t="s">
        <v>1068</v>
      </c>
      <c r="L720" t="s">
        <v>321</v>
      </c>
      <c r="M720" t="s">
        <v>19</v>
      </c>
      <c r="N720" t="s">
        <v>1134</v>
      </c>
      <c r="O720">
        <v>15</v>
      </c>
    </row>
    <row r="721" spans="1:15" hidden="1" x14ac:dyDescent="0.25">
      <c r="A721" t="s">
        <v>2820</v>
      </c>
      <c r="B721" t="s">
        <v>1569</v>
      </c>
      <c r="C721" t="s">
        <v>1570</v>
      </c>
      <c r="D721" t="s">
        <v>1563</v>
      </c>
      <c r="E721" t="s">
        <v>2150</v>
      </c>
      <c r="F721" s="3">
        <v>3855505</v>
      </c>
      <c r="G721" s="2">
        <f t="shared" si="22"/>
        <v>30</v>
      </c>
      <c r="H721" s="2">
        <f t="shared" ca="1" si="23"/>
        <v>147</v>
      </c>
      <c r="I721" s="4">
        <v>45973</v>
      </c>
      <c r="J721" s="4">
        <v>46003</v>
      </c>
      <c r="K721" t="s">
        <v>1564</v>
      </c>
      <c r="L721" t="s">
        <v>984</v>
      </c>
      <c r="M721" t="s">
        <v>19</v>
      </c>
      <c r="N721" t="s">
        <v>1571</v>
      </c>
      <c r="O721">
        <v>30</v>
      </c>
    </row>
    <row r="722" spans="1:15" hidden="1" x14ac:dyDescent="0.25">
      <c r="A722" t="s">
        <v>2820</v>
      </c>
      <c r="B722" t="s">
        <v>1569</v>
      </c>
      <c r="C722" t="s">
        <v>1570</v>
      </c>
      <c r="D722" t="s">
        <v>1563</v>
      </c>
      <c r="E722" t="s">
        <v>2151</v>
      </c>
      <c r="F722" s="3">
        <v>1128200</v>
      </c>
      <c r="G722" s="2">
        <f t="shared" si="22"/>
        <v>30</v>
      </c>
      <c r="H722" s="2">
        <f t="shared" ca="1" si="23"/>
        <v>147</v>
      </c>
      <c r="I722" s="4">
        <v>45973</v>
      </c>
      <c r="J722" s="4">
        <v>46003</v>
      </c>
      <c r="K722" t="s">
        <v>1564</v>
      </c>
      <c r="L722" t="s">
        <v>984</v>
      </c>
      <c r="M722" t="s">
        <v>19</v>
      </c>
      <c r="N722" t="s">
        <v>1571</v>
      </c>
      <c r="O722">
        <v>30</v>
      </c>
    </row>
    <row r="723" spans="1:15" hidden="1" x14ac:dyDescent="0.25">
      <c r="A723" t="s">
        <v>2820</v>
      </c>
      <c r="B723" t="s">
        <v>1872</v>
      </c>
      <c r="C723" t="s">
        <v>1873</v>
      </c>
      <c r="D723" t="s">
        <v>1190</v>
      </c>
      <c r="E723" t="s">
        <v>2159</v>
      </c>
      <c r="F723" s="3">
        <v>59671</v>
      </c>
      <c r="G723" s="2">
        <f t="shared" si="22"/>
        <v>30</v>
      </c>
      <c r="H723" s="2">
        <f t="shared" ca="1" si="23"/>
        <v>147</v>
      </c>
      <c r="I723" s="4">
        <v>45973</v>
      </c>
      <c r="J723" s="4">
        <v>46003</v>
      </c>
      <c r="K723" t="s">
        <v>1863</v>
      </c>
      <c r="L723" t="s">
        <v>984</v>
      </c>
      <c r="M723" t="s">
        <v>19</v>
      </c>
      <c r="N723" t="s">
        <v>1874</v>
      </c>
      <c r="O723">
        <v>1</v>
      </c>
    </row>
    <row r="724" spans="1:15" hidden="1" x14ac:dyDescent="0.25">
      <c r="A724" t="s">
        <v>2820</v>
      </c>
      <c r="B724" t="s">
        <v>977</v>
      </c>
      <c r="C724" t="s">
        <v>978</v>
      </c>
      <c r="D724" t="s">
        <v>979</v>
      </c>
      <c r="E724" t="s">
        <v>2132</v>
      </c>
      <c r="F724" s="3">
        <v>2957351</v>
      </c>
      <c r="G724" s="2">
        <f t="shared" si="22"/>
        <v>30</v>
      </c>
      <c r="H724" s="2">
        <f t="shared" ca="1" si="23"/>
        <v>146</v>
      </c>
      <c r="I724" s="4">
        <v>45974</v>
      </c>
      <c r="J724" s="4">
        <v>46004</v>
      </c>
      <c r="K724" t="s">
        <v>980</v>
      </c>
      <c r="L724" t="s">
        <v>981</v>
      </c>
      <c r="M724" t="s">
        <v>19</v>
      </c>
      <c r="N724" t="s">
        <v>982</v>
      </c>
      <c r="O724">
        <v>30</v>
      </c>
    </row>
    <row r="725" spans="1:15" hidden="1" x14ac:dyDescent="0.25">
      <c r="A725" t="s">
        <v>2820</v>
      </c>
      <c r="B725" t="s">
        <v>1446</v>
      </c>
      <c r="C725" t="s">
        <v>1447</v>
      </c>
      <c r="D725" t="s">
        <v>1401</v>
      </c>
      <c r="E725" t="s">
        <v>2140</v>
      </c>
      <c r="F725" s="3">
        <v>3688034</v>
      </c>
      <c r="G725" s="2">
        <f t="shared" si="22"/>
        <v>30</v>
      </c>
      <c r="H725" s="2">
        <f t="shared" ca="1" si="23"/>
        <v>146</v>
      </c>
      <c r="I725" s="4">
        <v>45974</v>
      </c>
      <c r="J725" s="4">
        <v>46004</v>
      </c>
      <c r="K725" t="s">
        <v>1403</v>
      </c>
      <c r="L725" t="s">
        <v>90</v>
      </c>
      <c r="M725" t="s">
        <v>19</v>
      </c>
      <c r="N725" t="s">
        <v>1448</v>
      </c>
      <c r="O725">
        <v>30</v>
      </c>
    </row>
    <row r="726" spans="1:15" hidden="1" x14ac:dyDescent="0.25">
      <c r="A726" t="s">
        <v>2820</v>
      </c>
      <c r="B726" t="s">
        <v>1928</v>
      </c>
      <c r="C726" t="s">
        <v>1929</v>
      </c>
      <c r="D726" t="s">
        <v>1930</v>
      </c>
      <c r="E726" t="s">
        <v>2157</v>
      </c>
      <c r="F726" s="3">
        <v>88014</v>
      </c>
      <c r="G726" s="2">
        <f t="shared" si="22"/>
        <v>30</v>
      </c>
      <c r="H726" s="2">
        <f t="shared" ca="1" si="23"/>
        <v>146</v>
      </c>
      <c r="I726" s="4">
        <v>45974</v>
      </c>
      <c r="J726" s="4">
        <v>46004</v>
      </c>
      <c r="K726" t="s">
        <v>1854</v>
      </c>
      <c r="L726" t="s">
        <v>981</v>
      </c>
      <c r="M726" t="s">
        <v>19</v>
      </c>
      <c r="N726" t="s">
        <v>1931</v>
      </c>
      <c r="O726">
        <v>30</v>
      </c>
    </row>
    <row r="727" spans="1:15" hidden="1" x14ac:dyDescent="0.25">
      <c r="A727" t="s">
        <v>2820</v>
      </c>
      <c r="B727" t="s">
        <v>1132</v>
      </c>
      <c r="C727" t="s">
        <v>1133</v>
      </c>
      <c r="D727" t="s">
        <v>1066</v>
      </c>
      <c r="E727" t="s">
        <v>2136</v>
      </c>
      <c r="F727" s="3">
        <v>953128</v>
      </c>
      <c r="G727" s="2">
        <f t="shared" si="22"/>
        <v>15</v>
      </c>
      <c r="H727" s="2">
        <f t="shared" ca="1" si="23"/>
        <v>145</v>
      </c>
      <c r="I727" s="4">
        <v>45975</v>
      </c>
      <c r="J727" s="4">
        <v>45990</v>
      </c>
      <c r="K727" t="s">
        <v>1068</v>
      </c>
      <c r="L727" t="s">
        <v>321</v>
      </c>
      <c r="M727" t="s">
        <v>19</v>
      </c>
      <c r="N727" t="s">
        <v>1134</v>
      </c>
      <c r="O727">
        <v>15</v>
      </c>
    </row>
    <row r="728" spans="1:15" hidden="1" x14ac:dyDescent="0.25">
      <c r="A728" t="s">
        <v>2820</v>
      </c>
      <c r="B728" t="s">
        <v>1856</v>
      </c>
      <c r="C728" t="s">
        <v>1857</v>
      </c>
      <c r="D728" t="s">
        <v>1858</v>
      </c>
      <c r="E728" t="s">
        <v>2158</v>
      </c>
      <c r="F728" s="3">
        <v>159433</v>
      </c>
      <c r="G728" s="2">
        <f t="shared" si="22"/>
        <v>30</v>
      </c>
      <c r="H728" s="2">
        <f t="shared" ca="1" si="23"/>
        <v>145</v>
      </c>
      <c r="I728" s="4">
        <v>45975</v>
      </c>
      <c r="J728" s="4">
        <v>46005</v>
      </c>
      <c r="K728" t="s">
        <v>1859</v>
      </c>
      <c r="L728" t="s">
        <v>984</v>
      </c>
      <c r="M728" t="s">
        <v>19</v>
      </c>
      <c r="N728" t="s">
        <v>1860</v>
      </c>
      <c r="O728">
        <v>30</v>
      </c>
    </row>
    <row r="729" spans="1:15" hidden="1" x14ac:dyDescent="0.25">
      <c r="A729" t="s">
        <v>2820</v>
      </c>
      <c r="B729" t="s">
        <v>1595</v>
      </c>
      <c r="C729" t="s">
        <v>1596</v>
      </c>
      <c r="D729" t="s">
        <v>1593</v>
      </c>
      <c r="E729" t="s">
        <v>2152</v>
      </c>
      <c r="F729" s="3">
        <v>498805</v>
      </c>
      <c r="G729" s="2">
        <f t="shared" si="22"/>
        <v>30</v>
      </c>
      <c r="H729" s="2">
        <f t="shared" ca="1" si="23"/>
        <v>140</v>
      </c>
      <c r="I729" s="4">
        <v>45980</v>
      </c>
      <c r="J729" s="4">
        <v>46010</v>
      </c>
      <c r="K729" t="s">
        <v>1589</v>
      </c>
      <c r="L729" t="s">
        <v>984</v>
      </c>
      <c r="M729" t="s">
        <v>19</v>
      </c>
      <c r="N729" t="s">
        <v>1597</v>
      </c>
      <c r="O729">
        <v>30</v>
      </c>
    </row>
    <row r="730" spans="1:15" hidden="1" x14ac:dyDescent="0.25">
      <c r="A730" t="s">
        <v>2820</v>
      </c>
      <c r="B730" t="s">
        <v>1188</v>
      </c>
      <c r="C730" t="s">
        <v>1189</v>
      </c>
      <c r="D730" t="s">
        <v>1190</v>
      </c>
      <c r="E730" t="s">
        <v>2160</v>
      </c>
      <c r="F730" s="3">
        <v>99109</v>
      </c>
      <c r="G730" s="2">
        <f t="shared" si="22"/>
        <v>30</v>
      </c>
      <c r="H730" s="2">
        <f t="shared" ca="1" si="23"/>
        <v>140</v>
      </c>
      <c r="I730" s="4">
        <v>45980</v>
      </c>
      <c r="J730" s="4">
        <v>46010</v>
      </c>
      <c r="K730" t="s">
        <v>1863</v>
      </c>
      <c r="L730" t="s">
        <v>984</v>
      </c>
      <c r="M730" t="s">
        <v>19</v>
      </c>
      <c r="N730" t="s">
        <v>1191</v>
      </c>
      <c r="O730">
        <v>30</v>
      </c>
    </row>
    <row r="731" spans="1:15" hidden="1" x14ac:dyDescent="0.25">
      <c r="A731" t="s">
        <v>2820</v>
      </c>
      <c r="B731" t="s">
        <v>2108</v>
      </c>
      <c r="C731" t="s">
        <v>2109</v>
      </c>
      <c r="D731" t="s">
        <v>2110</v>
      </c>
      <c r="E731" t="s">
        <v>2131</v>
      </c>
      <c r="F731" s="3">
        <v>62226</v>
      </c>
      <c r="G731" s="2">
        <f t="shared" si="22"/>
        <v>30</v>
      </c>
      <c r="H731" s="2">
        <f t="shared" ca="1" si="23"/>
        <v>139</v>
      </c>
      <c r="I731" s="4">
        <v>45981</v>
      </c>
      <c r="J731" s="4">
        <v>46011</v>
      </c>
      <c r="K731" t="s">
        <v>343</v>
      </c>
      <c r="L731" t="s">
        <v>18</v>
      </c>
      <c r="M731" t="s">
        <v>19</v>
      </c>
      <c r="N731" t="s">
        <v>2112</v>
      </c>
      <c r="O731">
        <v>30</v>
      </c>
    </row>
    <row r="732" spans="1:15" hidden="1" x14ac:dyDescent="0.25">
      <c r="A732" t="s">
        <v>2820</v>
      </c>
      <c r="B732" t="s">
        <v>1861</v>
      </c>
      <c r="C732" t="s">
        <v>1862</v>
      </c>
      <c r="D732" t="s">
        <v>1190</v>
      </c>
      <c r="E732" t="s">
        <v>2163</v>
      </c>
      <c r="F732" s="3">
        <v>2256526</v>
      </c>
      <c r="G732" s="2">
        <f t="shared" si="22"/>
        <v>38</v>
      </c>
      <c r="H732" s="2">
        <f t="shared" ca="1" si="23"/>
        <v>139</v>
      </c>
      <c r="I732" s="4">
        <v>45981</v>
      </c>
      <c r="J732" s="4">
        <v>46019</v>
      </c>
      <c r="K732" t="s">
        <v>1863</v>
      </c>
      <c r="L732" t="s">
        <v>984</v>
      </c>
      <c r="M732" t="s">
        <v>19</v>
      </c>
      <c r="N732" t="s">
        <v>1864</v>
      </c>
      <c r="O732">
        <v>30</v>
      </c>
    </row>
    <row r="733" spans="1:15" hidden="1" x14ac:dyDescent="0.25">
      <c r="A733" t="s">
        <v>2820</v>
      </c>
      <c r="B733" t="s">
        <v>1861</v>
      </c>
      <c r="C733" t="s">
        <v>1862</v>
      </c>
      <c r="D733" t="s">
        <v>1190</v>
      </c>
      <c r="E733" t="s">
        <v>2164</v>
      </c>
      <c r="F733" s="3">
        <v>3720000</v>
      </c>
      <c r="G733" s="2">
        <f t="shared" si="22"/>
        <v>30</v>
      </c>
      <c r="H733" s="2">
        <f t="shared" ca="1" si="23"/>
        <v>139</v>
      </c>
      <c r="I733" s="4">
        <v>45981</v>
      </c>
      <c r="J733" s="4">
        <v>46011</v>
      </c>
      <c r="K733" t="s">
        <v>1863</v>
      </c>
      <c r="L733" t="s">
        <v>984</v>
      </c>
      <c r="M733" t="s">
        <v>19</v>
      </c>
      <c r="N733" t="s">
        <v>1864</v>
      </c>
      <c r="O733">
        <v>30</v>
      </c>
    </row>
    <row r="734" spans="1:15" hidden="1" x14ac:dyDescent="0.25">
      <c r="A734" t="s">
        <v>2820</v>
      </c>
      <c r="B734" t="s">
        <v>1861</v>
      </c>
      <c r="C734" t="s">
        <v>1862</v>
      </c>
      <c r="D734" t="s">
        <v>1190</v>
      </c>
      <c r="E734" t="s">
        <v>2165</v>
      </c>
      <c r="F734" s="3">
        <v>3963748</v>
      </c>
      <c r="G734" s="2">
        <f t="shared" si="22"/>
        <v>30</v>
      </c>
      <c r="H734" s="2">
        <f t="shared" ca="1" si="23"/>
        <v>139</v>
      </c>
      <c r="I734" s="4">
        <v>45981</v>
      </c>
      <c r="J734" s="4">
        <v>46011</v>
      </c>
      <c r="K734" t="s">
        <v>1863</v>
      </c>
      <c r="L734" t="s">
        <v>984</v>
      </c>
      <c r="M734" t="s">
        <v>19</v>
      </c>
      <c r="N734" t="s">
        <v>1864</v>
      </c>
      <c r="O734">
        <v>30</v>
      </c>
    </row>
    <row r="735" spans="1:15" hidden="1" x14ac:dyDescent="0.25">
      <c r="A735" t="s">
        <v>2820</v>
      </c>
      <c r="B735" t="s">
        <v>1861</v>
      </c>
      <c r="C735" t="s">
        <v>1862</v>
      </c>
      <c r="D735" t="s">
        <v>1190</v>
      </c>
      <c r="E735" t="s">
        <v>2166</v>
      </c>
      <c r="F735" s="3">
        <v>7679991</v>
      </c>
      <c r="G735" s="2">
        <f t="shared" si="22"/>
        <v>30</v>
      </c>
      <c r="H735" s="2">
        <f t="shared" ca="1" si="23"/>
        <v>139</v>
      </c>
      <c r="I735" s="4">
        <v>45981</v>
      </c>
      <c r="J735" s="4">
        <v>46011</v>
      </c>
      <c r="K735" t="s">
        <v>1863</v>
      </c>
      <c r="L735" t="s">
        <v>984</v>
      </c>
      <c r="M735" t="s">
        <v>19</v>
      </c>
      <c r="N735" t="s">
        <v>1864</v>
      </c>
      <c r="O735">
        <v>30</v>
      </c>
    </row>
    <row r="736" spans="1:15" hidden="1" x14ac:dyDescent="0.25">
      <c r="A736" t="s">
        <v>2820</v>
      </c>
      <c r="B736" t="s">
        <v>1861</v>
      </c>
      <c r="C736" t="s">
        <v>1862</v>
      </c>
      <c r="D736" t="s">
        <v>1190</v>
      </c>
      <c r="E736" t="s">
        <v>2167</v>
      </c>
      <c r="F736" s="3">
        <v>4880000</v>
      </c>
      <c r="G736" s="2">
        <f t="shared" si="22"/>
        <v>30</v>
      </c>
      <c r="H736" s="2">
        <f t="shared" ca="1" si="23"/>
        <v>139</v>
      </c>
      <c r="I736" s="4">
        <v>45981</v>
      </c>
      <c r="J736" s="4">
        <v>46011</v>
      </c>
      <c r="K736" t="s">
        <v>1863</v>
      </c>
      <c r="L736" t="s">
        <v>984</v>
      </c>
      <c r="M736" t="s">
        <v>19</v>
      </c>
      <c r="N736" t="s">
        <v>1864</v>
      </c>
      <c r="O736">
        <v>30</v>
      </c>
    </row>
    <row r="737" spans="1:15" hidden="1" x14ac:dyDescent="0.25">
      <c r="A737" t="s">
        <v>2820</v>
      </c>
      <c r="B737" t="s">
        <v>1861</v>
      </c>
      <c r="C737" t="s">
        <v>1862</v>
      </c>
      <c r="D737" t="s">
        <v>1190</v>
      </c>
      <c r="E737" t="s">
        <v>2168</v>
      </c>
      <c r="F737" s="3">
        <v>3586968</v>
      </c>
      <c r="G737" s="2">
        <f t="shared" si="22"/>
        <v>30</v>
      </c>
      <c r="H737" s="2">
        <f t="shared" ca="1" si="23"/>
        <v>139</v>
      </c>
      <c r="I737" s="4">
        <v>45981</v>
      </c>
      <c r="J737" s="4">
        <v>46011</v>
      </c>
      <c r="K737" t="s">
        <v>1863</v>
      </c>
      <c r="L737" t="s">
        <v>984</v>
      </c>
      <c r="M737" t="s">
        <v>19</v>
      </c>
      <c r="N737" t="s">
        <v>1864</v>
      </c>
      <c r="O737">
        <v>30</v>
      </c>
    </row>
    <row r="738" spans="1:15" hidden="1" x14ac:dyDescent="0.25">
      <c r="A738" t="s">
        <v>2820</v>
      </c>
      <c r="B738" t="s">
        <v>1894</v>
      </c>
      <c r="C738" t="s">
        <v>1895</v>
      </c>
      <c r="D738" t="s">
        <v>1891</v>
      </c>
      <c r="E738" t="s">
        <v>2161</v>
      </c>
      <c r="F738" s="3">
        <v>1383171</v>
      </c>
      <c r="G738" s="2">
        <f t="shared" si="22"/>
        <v>30</v>
      </c>
      <c r="H738" s="2">
        <f t="shared" ca="1" si="23"/>
        <v>139</v>
      </c>
      <c r="I738" s="4">
        <v>45981</v>
      </c>
      <c r="J738" s="4">
        <v>46011</v>
      </c>
      <c r="K738" t="s">
        <v>1892</v>
      </c>
      <c r="L738" t="s">
        <v>981</v>
      </c>
      <c r="M738" t="s">
        <v>19</v>
      </c>
      <c r="N738" t="s">
        <v>1896</v>
      </c>
      <c r="O738">
        <v>30</v>
      </c>
    </row>
    <row r="739" spans="1:15" hidden="1" x14ac:dyDescent="0.25">
      <c r="A739" t="s">
        <v>2820</v>
      </c>
      <c r="B739" t="s">
        <v>1894</v>
      </c>
      <c r="C739" t="s">
        <v>1895</v>
      </c>
      <c r="D739" t="s">
        <v>1891</v>
      </c>
      <c r="E739" t="s">
        <v>2162</v>
      </c>
      <c r="F739" s="3">
        <v>783648</v>
      </c>
      <c r="G739" s="2">
        <f t="shared" si="22"/>
        <v>30</v>
      </c>
      <c r="H739" s="2">
        <f t="shared" ca="1" si="23"/>
        <v>139</v>
      </c>
      <c r="I739" s="4">
        <v>45981</v>
      </c>
      <c r="J739" s="4">
        <v>46011</v>
      </c>
      <c r="K739" t="s">
        <v>1892</v>
      </c>
      <c r="L739" t="s">
        <v>981</v>
      </c>
      <c r="M739" t="s">
        <v>19</v>
      </c>
      <c r="N739" t="s">
        <v>1896</v>
      </c>
      <c r="O739">
        <v>30</v>
      </c>
    </row>
    <row r="740" spans="1:15" hidden="1" x14ac:dyDescent="0.25">
      <c r="A740" t="s">
        <v>2820</v>
      </c>
      <c r="B740" t="s">
        <v>1894</v>
      </c>
      <c r="C740" t="s">
        <v>1895</v>
      </c>
      <c r="D740" t="s">
        <v>1891</v>
      </c>
      <c r="E740" t="s">
        <v>2169</v>
      </c>
      <c r="F740" s="3">
        <v>295062</v>
      </c>
      <c r="G740" s="2">
        <f t="shared" si="22"/>
        <v>30</v>
      </c>
      <c r="H740" s="2">
        <f t="shared" ca="1" si="23"/>
        <v>139</v>
      </c>
      <c r="I740" s="4">
        <v>45981</v>
      </c>
      <c r="J740" s="4">
        <v>46011</v>
      </c>
      <c r="K740" t="s">
        <v>1892</v>
      </c>
      <c r="L740" t="s">
        <v>981</v>
      </c>
      <c r="M740" t="s">
        <v>19</v>
      </c>
      <c r="N740" t="s">
        <v>1896</v>
      </c>
      <c r="O740">
        <v>30</v>
      </c>
    </row>
    <row r="741" spans="1:15" hidden="1" x14ac:dyDescent="0.25">
      <c r="A741" t="s">
        <v>2820</v>
      </c>
      <c r="B741" t="s">
        <v>857</v>
      </c>
      <c r="C741" t="s">
        <v>858</v>
      </c>
      <c r="D741" t="s">
        <v>854</v>
      </c>
      <c r="E741" t="s">
        <v>2173</v>
      </c>
      <c r="F741" s="3">
        <v>955860</v>
      </c>
      <c r="G741" s="2">
        <f t="shared" si="22"/>
        <v>30</v>
      </c>
      <c r="H741" s="2">
        <f t="shared" ca="1" si="23"/>
        <v>137</v>
      </c>
      <c r="I741" s="4">
        <v>45983</v>
      </c>
      <c r="J741" s="4">
        <v>46013</v>
      </c>
      <c r="K741" t="s">
        <v>845</v>
      </c>
      <c r="L741" t="s">
        <v>18</v>
      </c>
      <c r="M741" t="s">
        <v>19</v>
      </c>
      <c r="N741" t="s">
        <v>859</v>
      </c>
      <c r="O741">
        <v>30</v>
      </c>
    </row>
    <row r="742" spans="1:15" hidden="1" x14ac:dyDescent="0.25">
      <c r="A742" t="s">
        <v>2820</v>
      </c>
      <c r="B742" t="s">
        <v>1695</v>
      </c>
      <c r="C742" t="s">
        <v>1696</v>
      </c>
      <c r="D742" t="s">
        <v>1689</v>
      </c>
      <c r="E742" t="s">
        <v>2174</v>
      </c>
      <c r="F742" s="3">
        <v>218155</v>
      </c>
      <c r="G742" s="2">
        <f t="shared" si="22"/>
        <v>30</v>
      </c>
      <c r="H742" s="2">
        <f t="shared" ca="1" si="23"/>
        <v>137</v>
      </c>
      <c r="I742" s="4">
        <v>45983</v>
      </c>
      <c r="J742" s="4">
        <v>46013</v>
      </c>
      <c r="K742" t="s">
        <v>1691</v>
      </c>
      <c r="L742" t="s">
        <v>984</v>
      </c>
      <c r="M742" t="s">
        <v>19</v>
      </c>
      <c r="N742" t="s">
        <v>1697</v>
      </c>
      <c r="O742">
        <v>1</v>
      </c>
    </row>
    <row r="743" spans="1:15" hidden="1" x14ac:dyDescent="0.25">
      <c r="A743" t="s">
        <v>2820</v>
      </c>
      <c r="B743" t="s">
        <v>1861</v>
      </c>
      <c r="C743" t="s">
        <v>1862</v>
      </c>
      <c r="D743" t="s">
        <v>1190</v>
      </c>
      <c r="E743" t="s">
        <v>2178</v>
      </c>
      <c r="F743" s="3">
        <v>1844751</v>
      </c>
      <c r="G743" s="2">
        <f t="shared" si="22"/>
        <v>30</v>
      </c>
      <c r="H743" s="2">
        <f t="shared" ca="1" si="23"/>
        <v>134</v>
      </c>
      <c r="I743" s="4">
        <v>45986</v>
      </c>
      <c r="J743" s="4">
        <v>46016</v>
      </c>
      <c r="K743" t="s">
        <v>1183</v>
      </c>
      <c r="L743" t="s">
        <v>984</v>
      </c>
      <c r="M743" t="s">
        <v>19</v>
      </c>
      <c r="N743" t="s">
        <v>1864</v>
      </c>
      <c r="O743">
        <v>30</v>
      </c>
    </row>
    <row r="744" spans="1:15" hidden="1" x14ac:dyDescent="0.25">
      <c r="A744" t="s">
        <v>2820</v>
      </c>
      <c r="B744" t="s">
        <v>1192</v>
      </c>
      <c r="C744" t="s">
        <v>1193</v>
      </c>
      <c r="D744" t="s">
        <v>1181</v>
      </c>
      <c r="E744" t="s">
        <v>2179</v>
      </c>
      <c r="F744" s="3">
        <v>451403</v>
      </c>
      <c r="G744" s="2">
        <f t="shared" si="22"/>
        <v>30</v>
      </c>
      <c r="H744" s="2">
        <f t="shared" ca="1" si="23"/>
        <v>134</v>
      </c>
      <c r="I744" s="4">
        <v>45986</v>
      </c>
      <c r="J744" s="4">
        <v>46016</v>
      </c>
      <c r="K744" t="s">
        <v>1183</v>
      </c>
      <c r="L744" t="s">
        <v>984</v>
      </c>
      <c r="M744" t="s">
        <v>19</v>
      </c>
      <c r="N744" t="s">
        <v>1194</v>
      </c>
      <c r="O744">
        <v>30</v>
      </c>
    </row>
    <row r="745" spans="1:15" hidden="1" x14ac:dyDescent="0.25">
      <c r="A745" t="s">
        <v>2820</v>
      </c>
      <c r="B745" t="s">
        <v>1476</v>
      </c>
      <c r="C745" t="s">
        <v>1477</v>
      </c>
      <c r="D745" t="s">
        <v>1478</v>
      </c>
      <c r="E745" t="s">
        <v>2180</v>
      </c>
      <c r="F745" s="3">
        <v>300759</v>
      </c>
      <c r="G745" s="2">
        <f t="shared" si="22"/>
        <v>30</v>
      </c>
      <c r="H745" s="2">
        <f t="shared" ca="1" si="23"/>
        <v>134</v>
      </c>
      <c r="I745" s="4">
        <v>45986</v>
      </c>
      <c r="J745" s="4">
        <v>46016</v>
      </c>
      <c r="K745" t="s">
        <v>1470</v>
      </c>
      <c r="L745" t="s">
        <v>981</v>
      </c>
      <c r="M745" t="s">
        <v>19</v>
      </c>
      <c r="N745" t="s">
        <v>1479</v>
      </c>
      <c r="O745">
        <v>30</v>
      </c>
    </row>
    <row r="746" spans="1:15" hidden="1" x14ac:dyDescent="0.25">
      <c r="A746" t="s">
        <v>2820</v>
      </c>
      <c r="B746" t="s">
        <v>2181</v>
      </c>
      <c r="C746" t="s">
        <v>2182</v>
      </c>
      <c r="D746" t="s">
        <v>341</v>
      </c>
      <c r="E746" t="s">
        <v>2183</v>
      </c>
      <c r="F746" s="3">
        <v>20605</v>
      </c>
      <c r="G746" s="2">
        <f t="shared" si="22"/>
        <v>30</v>
      </c>
      <c r="H746" s="2">
        <f t="shared" ca="1" si="23"/>
        <v>134</v>
      </c>
      <c r="I746" s="4">
        <v>45986</v>
      </c>
      <c r="J746" s="4">
        <v>46016</v>
      </c>
      <c r="K746" t="s">
        <v>1470</v>
      </c>
      <c r="L746" t="s">
        <v>981</v>
      </c>
      <c r="M746" t="s">
        <v>19</v>
      </c>
      <c r="N746" t="s">
        <v>2184</v>
      </c>
      <c r="O746">
        <v>30</v>
      </c>
    </row>
    <row r="747" spans="1:15" hidden="1" x14ac:dyDescent="0.25">
      <c r="A747" t="s">
        <v>2820</v>
      </c>
      <c r="B747" t="s">
        <v>1566</v>
      </c>
      <c r="C747" t="s">
        <v>1567</v>
      </c>
      <c r="D747" t="s">
        <v>1563</v>
      </c>
      <c r="E747" t="s">
        <v>2185</v>
      </c>
      <c r="F747" s="3">
        <v>1489124</v>
      </c>
      <c r="G747" s="2">
        <f t="shared" si="22"/>
        <v>30</v>
      </c>
      <c r="H747" s="2">
        <f t="shared" ca="1" si="23"/>
        <v>134</v>
      </c>
      <c r="I747" s="4">
        <v>45986</v>
      </c>
      <c r="J747" s="4">
        <v>46016</v>
      </c>
      <c r="K747" t="s">
        <v>1564</v>
      </c>
      <c r="L747" t="s">
        <v>984</v>
      </c>
      <c r="M747" t="s">
        <v>19</v>
      </c>
      <c r="N747" t="s">
        <v>1568</v>
      </c>
      <c r="O747">
        <v>30</v>
      </c>
    </row>
    <row r="748" spans="1:15" hidden="1" x14ac:dyDescent="0.25">
      <c r="A748" t="s">
        <v>2820</v>
      </c>
      <c r="B748" t="s">
        <v>1569</v>
      </c>
      <c r="C748" t="s">
        <v>1570</v>
      </c>
      <c r="D748" t="s">
        <v>1563</v>
      </c>
      <c r="E748" t="s">
        <v>2186</v>
      </c>
      <c r="F748" s="3">
        <v>1166800</v>
      </c>
      <c r="G748" s="2">
        <f t="shared" si="22"/>
        <v>30</v>
      </c>
      <c r="H748" s="2">
        <f t="shared" ca="1" si="23"/>
        <v>134</v>
      </c>
      <c r="I748" s="4">
        <v>45986</v>
      </c>
      <c r="J748" s="4">
        <v>46016</v>
      </c>
      <c r="K748" t="s">
        <v>1564</v>
      </c>
      <c r="L748" t="s">
        <v>984</v>
      </c>
      <c r="M748" t="s">
        <v>19</v>
      </c>
      <c r="N748" t="s">
        <v>1571</v>
      </c>
      <c r="O748">
        <v>30</v>
      </c>
    </row>
    <row r="749" spans="1:15" hidden="1" x14ac:dyDescent="0.25">
      <c r="A749" t="s">
        <v>2820</v>
      </c>
      <c r="B749" t="s">
        <v>1569</v>
      </c>
      <c r="C749" t="s">
        <v>1570</v>
      </c>
      <c r="D749" t="s">
        <v>1563</v>
      </c>
      <c r="E749" t="s">
        <v>2187</v>
      </c>
      <c r="F749" s="3">
        <v>937199</v>
      </c>
      <c r="G749" s="2">
        <f t="shared" si="22"/>
        <v>30</v>
      </c>
      <c r="H749" s="2">
        <f t="shared" ca="1" si="23"/>
        <v>134</v>
      </c>
      <c r="I749" s="4">
        <v>45986</v>
      </c>
      <c r="J749" s="4">
        <v>46016</v>
      </c>
      <c r="K749" t="s">
        <v>1564</v>
      </c>
      <c r="L749" t="s">
        <v>984</v>
      </c>
      <c r="M749" t="s">
        <v>19</v>
      </c>
      <c r="N749" t="s">
        <v>1571</v>
      </c>
      <c r="O749">
        <v>30</v>
      </c>
    </row>
    <row r="750" spans="1:15" hidden="1" x14ac:dyDescent="0.25">
      <c r="A750" t="s">
        <v>2820</v>
      </c>
      <c r="B750" t="s">
        <v>1581</v>
      </c>
      <c r="C750" t="s">
        <v>1582</v>
      </c>
      <c r="D750" t="s">
        <v>1583</v>
      </c>
      <c r="E750" t="s">
        <v>2188</v>
      </c>
      <c r="F750" s="3">
        <v>1125320</v>
      </c>
      <c r="G750" s="2">
        <f t="shared" si="22"/>
        <v>30</v>
      </c>
      <c r="H750" s="2">
        <f t="shared" ca="1" si="23"/>
        <v>134</v>
      </c>
      <c r="I750" s="4">
        <v>45986</v>
      </c>
      <c r="J750" s="4">
        <v>46016</v>
      </c>
      <c r="K750" t="s">
        <v>1564</v>
      </c>
      <c r="L750" t="s">
        <v>984</v>
      </c>
      <c r="M750" t="s">
        <v>19</v>
      </c>
      <c r="N750" t="s">
        <v>1584</v>
      </c>
      <c r="O750">
        <v>1</v>
      </c>
    </row>
    <row r="751" spans="1:15" hidden="1" x14ac:dyDescent="0.25">
      <c r="A751" t="s">
        <v>2820</v>
      </c>
      <c r="B751" t="s">
        <v>1861</v>
      </c>
      <c r="C751" t="s">
        <v>1862</v>
      </c>
      <c r="D751" t="s">
        <v>1190</v>
      </c>
      <c r="E751" t="s">
        <v>2189</v>
      </c>
      <c r="F751" s="3">
        <v>1962000</v>
      </c>
      <c r="G751" s="2">
        <f t="shared" si="22"/>
        <v>30</v>
      </c>
      <c r="H751" s="2">
        <f t="shared" ca="1" si="23"/>
        <v>134</v>
      </c>
      <c r="I751" s="4">
        <v>45986</v>
      </c>
      <c r="J751" s="4">
        <v>46016</v>
      </c>
      <c r="K751" t="s">
        <v>1863</v>
      </c>
      <c r="L751" t="s">
        <v>984</v>
      </c>
      <c r="M751" t="s">
        <v>19</v>
      </c>
      <c r="N751" t="s">
        <v>1864</v>
      </c>
      <c r="O751">
        <v>30</v>
      </c>
    </row>
    <row r="752" spans="1:15" hidden="1" x14ac:dyDescent="0.25">
      <c r="A752" t="s">
        <v>2820</v>
      </c>
      <c r="B752" t="s">
        <v>1861</v>
      </c>
      <c r="C752" t="s">
        <v>1862</v>
      </c>
      <c r="D752" t="s">
        <v>1190</v>
      </c>
      <c r="E752" t="s">
        <v>2190</v>
      </c>
      <c r="F752" s="3">
        <v>2907242</v>
      </c>
      <c r="G752" s="2">
        <f t="shared" si="22"/>
        <v>30</v>
      </c>
      <c r="H752" s="2">
        <f t="shared" ca="1" si="23"/>
        <v>134</v>
      </c>
      <c r="I752" s="4">
        <v>45986</v>
      </c>
      <c r="J752" s="4">
        <v>46016</v>
      </c>
      <c r="K752" t="s">
        <v>1863</v>
      </c>
      <c r="L752" t="s">
        <v>984</v>
      </c>
      <c r="M752" t="s">
        <v>19</v>
      </c>
      <c r="N752" t="s">
        <v>1864</v>
      </c>
      <c r="O752">
        <v>30</v>
      </c>
    </row>
    <row r="753" spans="1:15" hidden="1" x14ac:dyDescent="0.25">
      <c r="A753" t="s">
        <v>2820</v>
      </c>
      <c r="B753" t="s">
        <v>1861</v>
      </c>
      <c r="C753" t="s">
        <v>1862</v>
      </c>
      <c r="D753" t="s">
        <v>1190</v>
      </c>
      <c r="E753" t="s">
        <v>2191</v>
      </c>
      <c r="F753" s="3">
        <v>2191011</v>
      </c>
      <c r="G753" s="2">
        <f t="shared" si="22"/>
        <v>30</v>
      </c>
      <c r="H753" s="2">
        <f t="shared" ca="1" si="23"/>
        <v>134</v>
      </c>
      <c r="I753" s="4">
        <v>45986</v>
      </c>
      <c r="J753" s="4">
        <v>46016</v>
      </c>
      <c r="K753" t="s">
        <v>1863</v>
      </c>
      <c r="L753" t="s">
        <v>984</v>
      </c>
      <c r="M753" t="s">
        <v>19</v>
      </c>
      <c r="N753" t="s">
        <v>1864</v>
      </c>
      <c r="O753">
        <v>30</v>
      </c>
    </row>
    <row r="754" spans="1:15" hidden="1" x14ac:dyDescent="0.25">
      <c r="A754" t="s">
        <v>2820</v>
      </c>
      <c r="B754" t="s">
        <v>1861</v>
      </c>
      <c r="C754" t="s">
        <v>1862</v>
      </c>
      <c r="D754" t="s">
        <v>1190</v>
      </c>
      <c r="E754" t="s">
        <v>2192</v>
      </c>
      <c r="F754" s="3">
        <v>2431199</v>
      </c>
      <c r="G754" s="2">
        <f t="shared" si="22"/>
        <v>30</v>
      </c>
      <c r="H754" s="2">
        <f t="shared" ca="1" si="23"/>
        <v>134</v>
      </c>
      <c r="I754" s="4">
        <v>45986</v>
      </c>
      <c r="J754" s="4">
        <v>46016</v>
      </c>
      <c r="K754" t="s">
        <v>1863</v>
      </c>
      <c r="L754" t="s">
        <v>984</v>
      </c>
      <c r="M754" t="s">
        <v>19</v>
      </c>
      <c r="N754" t="s">
        <v>1864</v>
      </c>
      <c r="O754">
        <v>30</v>
      </c>
    </row>
    <row r="755" spans="1:15" hidden="1" x14ac:dyDescent="0.25">
      <c r="A755" t="s">
        <v>2820</v>
      </c>
      <c r="B755" t="s">
        <v>1872</v>
      </c>
      <c r="C755" t="s">
        <v>1873</v>
      </c>
      <c r="D755" t="s">
        <v>1190</v>
      </c>
      <c r="E755" t="s">
        <v>2193</v>
      </c>
      <c r="F755" s="3">
        <v>2401867</v>
      </c>
      <c r="G755" s="2">
        <f t="shared" si="22"/>
        <v>30</v>
      </c>
      <c r="H755" s="2">
        <f t="shared" ca="1" si="23"/>
        <v>134</v>
      </c>
      <c r="I755" s="4">
        <v>45986</v>
      </c>
      <c r="J755" s="4">
        <v>46016</v>
      </c>
      <c r="K755" t="s">
        <v>1863</v>
      </c>
      <c r="L755" t="s">
        <v>984</v>
      </c>
      <c r="M755" t="s">
        <v>19</v>
      </c>
      <c r="N755" t="s">
        <v>1874</v>
      </c>
      <c r="O755">
        <v>1</v>
      </c>
    </row>
    <row r="756" spans="1:15" hidden="1" x14ac:dyDescent="0.25">
      <c r="A756" t="s">
        <v>2820</v>
      </c>
      <c r="B756" t="s">
        <v>1861</v>
      </c>
      <c r="C756" t="s">
        <v>1862</v>
      </c>
      <c r="D756" t="s">
        <v>1190</v>
      </c>
      <c r="E756" t="s">
        <v>2194</v>
      </c>
      <c r="F756" s="3">
        <v>1815000</v>
      </c>
      <c r="G756" s="2">
        <f t="shared" si="22"/>
        <v>30</v>
      </c>
      <c r="H756" s="2">
        <f t="shared" ca="1" si="23"/>
        <v>134</v>
      </c>
      <c r="I756" s="4">
        <v>45986</v>
      </c>
      <c r="J756" s="4">
        <v>46016</v>
      </c>
      <c r="K756" t="s">
        <v>1863</v>
      </c>
      <c r="L756" t="s">
        <v>984</v>
      </c>
      <c r="M756" t="s">
        <v>19</v>
      </c>
      <c r="N756" t="s">
        <v>1864</v>
      </c>
      <c r="O756">
        <v>30</v>
      </c>
    </row>
    <row r="757" spans="1:15" hidden="1" x14ac:dyDescent="0.25">
      <c r="A757" t="s">
        <v>2820</v>
      </c>
      <c r="B757" t="s">
        <v>1861</v>
      </c>
      <c r="C757" t="s">
        <v>1862</v>
      </c>
      <c r="D757" t="s">
        <v>1190</v>
      </c>
      <c r="E757" t="s">
        <v>2195</v>
      </c>
      <c r="F757" s="3">
        <v>2332051</v>
      </c>
      <c r="G757" s="2">
        <f t="shared" si="22"/>
        <v>30</v>
      </c>
      <c r="H757" s="2">
        <f t="shared" ca="1" si="23"/>
        <v>134</v>
      </c>
      <c r="I757" s="4">
        <v>45986</v>
      </c>
      <c r="J757" s="4">
        <v>46016</v>
      </c>
      <c r="K757" t="s">
        <v>1863</v>
      </c>
      <c r="L757" t="s">
        <v>984</v>
      </c>
      <c r="M757" t="s">
        <v>19</v>
      </c>
      <c r="N757" t="s">
        <v>1864</v>
      </c>
      <c r="O757">
        <v>30</v>
      </c>
    </row>
    <row r="758" spans="1:15" hidden="1" x14ac:dyDescent="0.25">
      <c r="A758" t="s">
        <v>2820</v>
      </c>
      <c r="B758" t="s">
        <v>1845</v>
      </c>
      <c r="C758" t="s">
        <v>1846</v>
      </c>
      <c r="D758" t="s">
        <v>1847</v>
      </c>
      <c r="E758" t="s">
        <v>2196</v>
      </c>
      <c r="F758" s="3">
        <v>127200</v>
      </c>
      <c r="G758" s="2">
        <f t="shared" si="22"/>
        <v>30</v>
      </c>
      <c r="H758" s="2">
        <f t="shared" ca="1" si="23"/>
        <v>134</v>
      </c>
      <c r="I758" s="4">
        <v>45986</v>
      </c>
      <c r="J758" s="4">
        <v>46016</v>
      </c>
      <c r="K758" t="s">
        <v>1875</v>
      </c>
      <c r="L758" t="s">
        <v>981</v>
      </c>
      <c r="M758" t="s">
        <v>19</v>
      </c>
      <c r="N758" t="s">
        <v>1848</v>
      </c>
      <c r="O758">
        <v>30</v>
      </c>
    </row>
    <row r="759" spans="1:15" hidden="1" x14ac:dyDescent="0.25">
      <c r="A759" t="s">
        <v>2820</v>
      </c>
      <c r="B759" t="s">
        <v>2090</v>
      </c>
      <c r="C759" t="s">
        <v>2091</v>
      </c>
      <c r="D759" t="s">
        <v>336</v>
      </c>
      <c r="E759" t="s">
        <v>2209</v>
      </c>
      <c r="F759" s="3">
        <v>2</v>
      </c>
      <c r="G759" s="2">
        <f t="shared" si="22"/>
        <v>30</v>
      </c>
      <c r="H759" s="2">
        <f t="shared" ca="1" si="23"/>
        <v>132</v>
      </c>
      <c r="I759" s="4">
        <v>45988</v>
      </c>
      <c r="J759" s="4">
        <v>46018</v>
      </c>
      <c r="K759" t="s">
        <v>638</v>
      </c>
      <c r="L759" t="s">
        <v>117</v>
      </c>
      <c r="M759" t="s">
        <v>19</v>
      </c>
      <c r="N759" t="s">
        <v>2092</v>
      </c>
      <c r="O759">
        <v>30</v>
      </c>
    </row>
    <row r="760" spans="1:15" hidden="1" x14ac:dyDescent="0.25">
      <c r="A760" t="s">
        <v>2820</v>
      </c>
      <c r="B760" t="s">
        <v>1283</v>
      </c>
      <c r="C760" t="s">
        <v>1284</v>
      </c>
      <c r="D760" t="s">
        <v>1282</v>
      </c>
      <c r="E760" t="s">
        <v>2216</v>
      </c>
      <c r="F760" s="3">
        <v>413399</v>
      </c>
      <c r="G760" s="2">
        <f t="shared" si="22"/>
        <v>30</v>
      </c>
      <c r="H760" s="2">
        <f t="shared" ca="1" si="23"/>
        <v>132</v>
      </c>
      <c r="I760" s="4">
        <v>45988</v>
      </c>
      <c r="J760" s="4">
        <v>46018</v>
      </c>
      <c r="K760" t="s">
        <v>1470</v>
      </c>
      <c r="L760" t="s">
        <v>981</v>
      </c>
      <c r="M760" t="s">
        <v>19</v>
      </c>
      <c r="N760" t="s">
        <v>1285</v>
      </c>
      <c r="O760">
        <v>30</v>
      </c>
    </row>
    <row r="761" spans="1:15" hidden="1" x14ac:dyDescent="0.25">
      <c r="A761" t="s">
        <v>2820</v>
      </c>
      <c r="B761" t="s">
        <v>1283</v>
      </c>
      <c r="C761" t="s">
        <v>1284</v>
      </c>
      <c r="D761" t="s">
        <v>1282</v>
      </c>
      <c r="E761" t="s">
        <v>2217</v>
      </c>
      <c r="F761" s="3">
        <v>455398</v>
      </c>
      <c r="G761" s="2">
        <f t="shared" si="22"/>
        <v>30</v>
      </c>
      <c r="H761" s="2">
        <f t="shared" ca="1" si="23"/>
        <v>132</v>
      </c>
      <c r="I761" s="4">
        <v>45988</v>
      </c>
      <c r="J761" s="4">
        <v>46018</v>
      </c>
      <c r="K761" t="s">
        <v>1470</v>
      </c>
      <c r="L761" t="s">
        <v>981</v>
      </c>
      <c r="M761" t="s">
        <v>19</v>
      </c>
      <c r="N761" t="s">
        <v>1285</v>
      </c>
      <c r="O761">
        <v>30</v>
      </c>
    </row>
    <row r="762" spans="1:15" hidden="1" x14ac:dyDescent="0.25">
      <c r="A762" t="s">
        <v>2820</v>
      </c>
      <c r="B762" t="s">
        <v>1511</v>
      </c>
      <c r="C762" t="s">
        <v>1512</v>
      </c>
      <c r="D762" t="s">
        <v>1507</v>
      </c>
      <c r="E762" t="s">
        <v>2220</v>
      </c>
      <c r="F762" s="3">
        <v>598890</v>
      </c>
      <c r="G762" s="2">
        <f t="shared" si="22"/>
        <v>30</v>
      </c>
      <c r="H762" s="2">
        <f t="shared" ca="1" si="23"/>
        <v>131</v>
      </c>
      <c r="I762" s="4">
        <v>45989</v>
      </c>
      <c r="J762" s="4">
        <v>46019</v>
      </c>
      <c r="K762" t="s">
        <v>1509</v>
      </c>
      <c r="L762" t="s">
        <v>984</v>
      </c>
      <c r="M762" t="s">
        <v>19</v>
      </c>
      <c r="N762" t="s">
        <v>1513</v>
      </c>
      <c r="O762">
        <v>30</v>
      </c>
    </row>
    <row r="763" spans="1:15" hidden="1" x14ac:dyDescent="0.25">
      <c r="A763" t="s">
        <v>2820</v>
      </c>
      <c r="B763" t="s">
        <v>1511</v>
      </c>
      <c r="C763" t="s">
        <v>1512</v>
      </c>
      <c r="D763" t="s">
        <v>1507</v>
      </c>
      <c r="E763" t="s">
        <v>2221</v>
      </c>
      <c r="F763" s="3">
        <v>320415</v>
      </c>
      <c r="G763" s="2">
        <f t="shared" si="22"/>
        <v>30</v>
      </c>
      <c r="H763" s="2">
        <f t="shared" ca="1" si="23"/>
        <v>131</v>
      </c>
      <c r="I763" s="4">
        <v>45989</v>
      </c>
      <c r="J763" s="4">
        <v>46019</v>
      </c>
      <c r="K763" t="s">
        <v>1509</v>
      </c>
      <c r="L763" t="s">
        <v>984</v>
      </c>
      <c r="M763" t="s">
        <v>19</v>
      </c>
      <c r="N763" t="s">
        <v>1513</v>
      </c>
      <c r="O763">
        <v>30</v>
      </c>
    </row>
    <row r="764" spans="1:15" hidden="1" x14ac:dyDescent="0.25">
      <c r="A764" t="s">
        <v>2820</v>
      </c>
      <c r="B764" t="s">
        <v>1522</v>
      </c>
      <c r="C764" t="s">
        <v>1523</v>
      </c>
      <c r="D764" t="s">
        <v>1514</v>
      </c>
      <c r="E764" t="s">
        <v>2222</v>
      </c>
      <c r="F764" s="3">
        <v>1107509</v>
      </c>
      <c r="G764" s="2">
        <f t="shared" si="22"/>
        <v>30</v>
      </c>
      <c r="H764" s="2">
        <f t="shared" ca="1" si="23"/>
        <v>131</v>
      </c>
      <c r="I764" s="4">
        <v>45989</v>
      </c>
      <c r="J764" s="4">
        <v>46019</v>
      </c>
      <c r="K764" t="s">
        <v>1515</v>
      </c>
      <c r="L764" t="s">
        <v>984</v>
      </c>
      <c r="M764" t="s">
        <v>19</v>
      </c>
      <c r="N764" t="s">
        <v>1524</v>
      </c>
      <c r="O764">
        <v>30</v>
      </c>
    </row>
    <row r="765" spans="1:15" hidden="1" x14ac:dyDescent="0.25">
      <c r="A765" t="s">
        <v>2820</v>
      </c>
      <c r="B765" t="s">
        <v>1881</v>
      </c>
      <c r="C765" t="s">
        <v>1882</v>
      </c>
      <c r="D765" t="s">
        <v>1883</v>
      </c>
      <c r="E765" t="s">
        <v>2225</v>
      </c>
      <c r="F765" s="3">
        <v>606612</v>
      </c>
      <c r="G765" s="2">
        <f t="shared" si="22"/>
        <v>30</v>
      </c>
      <c r="H765" s="2">
        <f t="shared" ca="1" si="23"/>
        <v>131</v>
      </c>
      <c r="I765" s="4">
        <v>45989</v>
      </c>
      <c r="J765" s="4">
        <v>46019</v>
      </c>
      <c r="K765" t="s">
        <v>1884</v>
      </c>
      <c r="L765" t="s">
        <v>984</v>
      </c>
      <c r="M765" t="s">
        <v>19</v>
      </c>
      <c r="N765" t="s">
        <v>1885</v>
      </c>
      <c r="O765">
        <v>30</v>
      </c>
    </row>
    <row r="766" spans="1:15" hidden="1" x14ac:dyDescent="0.25">
      <c r="A766" t="s">
        <v>2820</v>
      </c>
      <c r="B766" t="s">
        <v>1881</v>
      </c>
      <c r="C766" t="s">
        <v>1882</v>
      </c>
      <c r="D766" t="s">
        <v>1883</v>
      </c>
      <c r="E766" t="s">
        <v>2226</v>
      </c>
      <c r="F766" s="3">
        <v>1621637</v>
      </c>
      <c r="G766" s="2">
        <f t="shared" si="22"/>
        <v>30</v>
      </c>
      <c r="H766" s="2">
        <f t="shared" ca="1" si="23"/>
        <v>131</v>
      </c>
      <c r="I766" s="4">
        <v>45989</v>
      </c>
      <c r="J766" s="4">
        <v>46019</v>
      </c>
      <c r="K766" t="s">
        <v>1884</v>
      </c>
      <c r="L766" t="s">
        <v>984</v>
      </c>
      <c r="M766" t="s">
        <v>19</v>
      </c>
      <c r="N766" t="s">
        <v>1885</v>
      </c>
      <c r="O766">
        <v>30</v>
      </c>
    </row>
    <row r="767" spans="1:15" hidden="1" x14ac:dyDescent="0.25">
      <c r="A767" t="s">
        <v>2820</v>
      </c>
      <c r="B767" t="s">
        <v>1917</v>
      </c>
      <c r="C767" t="s">
        <v>1918</v>
      </c>
      <c r="D767" t="s">
        <v>1478</v>
      </c>
      <c r="E767" t="s">
        <v>2218</v>
      </c>
      <c r="F767" s="3">
        <v>199799</v>
      </c>
      <c r="G767" s="2">
        <f t="shared" si="22"/>
        <v>30</v>
      </c>
      <c r="H767" s="2">
        <f t="shared" ca="1" si="23"/>
        <v>130</v>
      </c>
      <c r="I767" s="4">
        <v>45990</v>
      </c>
      <c r="J767" s="4">
        <v>46020</v>
      </c>
      <c r="K767" t="s">
        <v>1470</v>
      </c>
      <c r="L767" t="s">
        <v>981</v>
      </c>
      <c r="M767" t="s">
        <v>19</v>
      </c>
      <c r="N767" t="s">
        <v>1919</v>
      </c>
      <c r="O767">
        <v>30</v>
      </c>
    </row>
    <row r="768" spans="1:15" hidden="1" x14ac:dyDescent="0.25">
      <c r="A768" t="s">
        <v>2820</v>
      </c>
      <c r="B768" t="s">
        <v>1917</v>
      </c>
      <c r="C768" t="s">
        <v>1918</v>
      </c>
      <c r="D768" t="s">
        <v>1478</v>
      </c>
      <c r="E768" t="s">
        <v>2219</v>
      </c>
      <c r="F768" s="3">
        <v>509609</v>
      </c>
      <c r="G768" s="2">
        <f t="shared" si="22"/>
        <v>30</v>
      </c>
      <c r="H768" s="2">
        <f t="shared" ca="1" si="23"/>
        <v>130</v>
      </c>
      <c r="I768" s="4">
        <v>45990</v>
      </c>
      <c r="J768" s="4">
        <v>46020</v>
      </c>
      <c r="K768" t="s">
        <v>1470</v>
      </c>
      <c r="L768" t="s">
        <v>981</v>
      </c>
      <c r="M768" t="s">
        <v>19</v>
      </c>
      <c r="N768" t="s">
        <v>1919</v>
      </c>
      <c r="O768">
        <v>30</v>
      </c>
    </row>
    <row r="769" spans="1:15" hidden="1" x14ac:dyDescent="0.25">
      <c r="A769" t="s">
        <v>2820</v>
      </c>
      <c r="B769" t="s">
        <v>1188</v>
      </c>
      <c r="C769" t="s">
        <v>1189</v>
      </c>
      <c r="D769" t="s">
        <v>1190</v>
      </c>
      <c r="E769" t="s">
        <v>2223</v>
      </c>
      <c r="F769" s="3">
        <v>480000</v>
      </c>
      <c r="G769" s="2">
        <f t="shared" si="22"/>
        <v>30</v>
      </c>
      <c r="H769" s="2">
        <f t="shared" ca="1" si="23"/>
        <v>130</v>
      </c>
      <c r="I769" s="4">
        <v>45990</v>
      </c>
      <c r="J769" s="4">
        <v>46020</v>
      </c>
      <c r="K769" t="s">
        <v>1863</v>
      </c>
      <c r="L769" t="s">
        <v>984</v>
      </c>
      <c r="M769" t="s">
        <v>19</v>
      </c>
      <c r="N769" t="s">
        <v>1191</v>
      </c>
      <c r="O769">
        <v>30</v>
      </c>
    </row>
    <row r="770" spans="1:15" hidden="1" x14ac:dyDescent="0.25">
      <c r="A770" t="s">
        <v>2820</v>
      </c>
      <c r="B770" t="s">
        <v>1845</v>
      </c>
      <c r="C770" t="s">
        <v>1846</v>
      </c>
      <c r="D770" t="s">
        <v>1847</v>
      </c>
      <c r="E770" t="s">
        <v>2224</v>
      </c>
      <c r="F770" s="3">
        <v>954306</v>
      </c>
      <c r="G770" s="2">
        <f t="shared" ref="G770:G833" si="24">+J770-I770</f>
        <v>30</v>
      </c>
      <c r="H770" s="2">
        <f t="shared" ref="H770:H833" ca="1" si="25">+TODAY()-I770</f>
        <v>130</v>
      </c>
      <c r="I770" s="4">
        <v>45990</v>
      </c>
      <c r="J770" s="4">
        <v>46020</v>
      </c>
      <c r="K770" t="s">
        <v>1875</v>
      </c>
      <c r="L770" t="s">
        <v>981</v>
      </c>
      <c r="M770" t="s">
        <v>19</v>
      </c>
      <c r="N770" t="s">
        <v>1848</v>
      </c>
      <c r="O770">
        <v>30</v>
      </c>
    </row>
    <row r="771" spans="1:15" hidden="1" x14ac:dyDescent="0.25">
      <c r="A771" t="s">
        <v>2820</v>
      </c>
      <c r="B771" t="s">
        <v>40</v>
      </c>
      <c r="C771" t="s">
        <v>41</v>
      </c>
      <c r="D771" t="s">
        <v>42</v>
      </c>
      <c r="E771" t="s">
        <v>2230</v>
      </c>
      <c r="F771" s="3">
        <v>416500</v>
      </c>
      <c r="G771" s="2">
        <f t="shared" si="24"/>
        <v>1</v>
      </c>
      <c r="H771" s="2">
        <f t="shared" ca="1" si="25"/>
        <v>128</v>
      </c>
      <c r="I771" s="4">
        <v>45992</v>
      </c>
      <c r="J771" s="4">
        <v>45993</v>
      </c>
      <c r="K771" t="s">
        <v>17</v>
      </c>
      <c r="L771" t="s">
        <v>28</v>
      </c>
      <c r="M771" t="s">
        <v>19</v>
      </c>
      <c r="N771" t="s">
        <v>43</v>
      </c>
      <c r="O771">
        <v>30</v>
      </c>
    </row>
    <row r="772" spans="1:15" hidden="1" x14ac:dyDescent="0.25">
      <c r="A772" t="s">
        <v>2820</v>
      </c>
      <c r="B772" t="s">
        <v>177</v>
      </c>
      <c r="C772" t="s">
        <v>178</v>
      </c>
      <c r="D772" t="s">
        <v>46</v>
      </c>
      <c r="E772" t="s">
        <v>2231</v>
      </c>
      <c r="F772" s="3">
        <v>3238228</v>
      </c>
      <c r="G772" s="2">
        <f t="shared" si="24"/>
        <v>1</v>
      </c>
      <c r="H772" s="2">
        <f t="shared" ca="1" si="25"/>
        <v>128</v>
      </c>
      <c r="I772" s="4">
        <v>45992</v>
      </c>
      <c r="J772" s="4">
        <v>45993</v>
      </c>
      <c r="K772" t="s">
        <v>17</v>
      </c>
      <c r="L772" t="s">
        <v>28</v>
      </c>
      <c r="M772" t="s">
        <v>19</v>
      </c>
      <c r="N772" t="s">
        <v>179</v>
      </c>
      <c r="O772">
        <v>0</v>
      </c>
    </row>
    <row r="773" spans="1:15" hidden="1" x14ac:dyDescent="0.25">
      <c r="A773" t="s">
        <v>2820</v>
      </c>
      <c r="B773" t="s">
        <v>1152</v>
      </c>
      <c r="C773" t="s">
        <v>1153</v>
      </c>
      <c r="D773" t="s">
        <v>1118</v>
      </c>
      <c r="E773" t="s">
        <v>2250</v>
      </c>
      <c r="F773" s="3">
        <v>92560</v>
      </c>
      <c r="G773" s="2">
        <f t="shared" si="24"/>
        <v>30</v>
      </c>
      <c r="H773" s="2">
        <f t="shared" ca="1" si="25"/>
        <v>128</v>
      </c>
      <c r="I773" s="4">
        <v>45992</v>
      </c>
      <c r="J773" s="4">
        <v>46022</v>
      </c>
      <c r="K773" t="s">
        <v>1144</v>
      </c>
      <c r="L773" t="s">
        <v>207</v>
      </c>
      <c r="M773" t="s">
        <v>19</v>
      </c>
      <c r="N773" t="s">
        <v>1154</v>
      </c>
      <c r="O773">
        <v>30</v>
      </c>
    </row>
    <row r="774" spans="1:15" hidden="1" x14ac:dyDescent="0.25">
      <c r="A774" t="s">
        <v>2820</v>
      </c>
      <c r="B774" t="s">
        <v>1640</v>
      </c>
      <c r="C774" t="s">
        <v>1641</v>
      </c>
      <c r="D774" t="s">
        <v>1587</v>
      </c>
      <c r="E774" t="s">
        <v>2261</v>
      </c>
      <c r="F774" s="3">
        <v>732000</v>
      </c>
      <c r="G774" s="2">
        <f t="shared" si="24"/>
        <v>30</v>
      </c>
      <c r="H774" s="2">
        <f t="shared" ca="1" si="25"/>
        <v>127</v>
      </c>
      <c r="I774" s="4">
        <v>45993</v>
      </c>
      <c r="J774" s="4">
        <v>46023</v>
      </c>
      <c r="K774" t="s">
        <v>1589</v>
      </c>
      <c r="L774" t="s">
        <v>984</v>
      </c>
      <c r="M774" t="s">
        <v>391</v>
      </c>
      <c r="N774" t="s">
        <v>1642</v>
      </c>
      <c r="O774">
        <v>30</v>
      </c>
    </row>
    <row r="775" spans="1:15" hidden="1" x14ac:dyDescent="0.25">
      <c r="A775" t="s">
        <v>2820</v>
      </c>
      <c r="B775" t="s">
        <v>1640</v>
      </c>
      <c r="C775" t="s">
        <v>1641</v>
      </c>
      <c r="D775" t="s">
        <v>1587</v>
      </c>
      <c r="E775" t="s">
        <v>2262</v>
      </c>
      <c r="F775" s="3">
        <v>578604</v>
      </c>
      <c r="G775" s="2">
        <f t="shared" si="24"/>
        <v>30</v>
      </c>
      <c r="H775" s="2">
        <f t="shared" ca="1" si="25"/>
        <v>127</v>
      </c>
      <c r="I775" s="4">
        <v>45993</v>
      </c>
      <c r="J775" s="4">
        <v>46023</v>
      </c>
      <c r="K775" t="s">
        <v>1589</v>
      </c>
      <c r="L775" t="s">
        <v>984</v>
      </c>
      <c r="M775" t="s">
        <v>391</v>
      </c>
      <c r="N775" t="s">
        <v>1642</v>
      </c>
      <c r="O775">
        <v>30</v>
      </c>
    </row>
    <row r="776" spans="1:15" hidden="1" x14ac:dyDescent="0.25">
      <c r="A776" t="s">
        <v>2820</v>
      </c>
      <c r="B776" t="s">
        <v>1640</v>
      </c>
      <c r="C776" t="s">
        <v>1641</v>
      </c>
      <c r="D776" t="s">
        <v>1587</v>
      </c>
      <c r="E776" t="s">
        <v>2263</v>
      </c>
      <c r="F776" s="3">
        <v>497618</v>
      </c>
      <c r="G776" s="2">
        <f t="shared" si="24"/>
        <v>30</v>
      </c>
      <c r="H776" s="2">
        <f t="shared" ca="1" si="25"/>
        <v>127</v>
      </c>
      <c r="I776" s="4">
        <v>45993</v>
      </c>
      <c r="J776" s="4">
        <v>46023</v>
      </c>
      <c r="K776" t="s">
        <v>1589</v>
      </c>
      <c r="L776" t="s">
        <v>984</v>
      </c>
      <c r="M776" t="s">
        <v>391</v>
      </c>
      <c r="N776" t="s">
        <v>1642</v>
      </c>
      <c r="O776">
        <v>30</v>
      </c>
    </row>
    <row r="777" spans="1:15" hidden="1" x14ac:dyDescent="0.25">
      <c r="A777" t="s">
        <v>2820</v>
      </c>
      <c r="B777" t="s">
        <v>1935</v>
      </c>
      <c r="C777" t="s">
        <v>1936</v>
      </c>
      <c r="D777" t="s">
        <v>1937</v>
      </c>
      <c r="E777" t="s">
        <v>2232</v>
      </c>
      <c r="F777" s="3">
        <v>1105020</v>
      </c>
      <c r="G777" s="2">
        <f t="shared" si="24"/>
        <v>30</v>
      </c>
      <c r="H777" s="2">
        <f t="shared" ca="1" si="25"/>
        <v>126</v>
      </c>
      <c r="I777" s="4">
        <v>45994</v>
      </c>
      <c r="J777" s="4">
        <v>46024</v>
      </c>
      <c r="K777" t="s">
        <v>17</v>
      </c>
      <c r="L777" t="s">
        <v>18</v>
      </c>
      <c r="M777" t="s">
        <v>19</v>
      </c>
      <c r="N777" t="s">
        <v>1938</v>
      </c>
      <c r="O777">
        <v>30</v>
      </c>
    </row>
    <row r="778" spans="1:15" hidden="1" x14ac:dyDescent="0.25">
      <c r="A778" t="s">
        <v>2820</v>
      </c>
      <c r="B778" t="s">
        <v>1935</v>
      </c>
      <c r="C778" t="s">
        <v>1936</v>
      </c>
      <c r="D778" t="s">
        <v>1937</v>
      </c>
      <c r="E778" t="s">
        <v>2233</v>
      </c>
      <c r="F778" s="3">
        <v>523188</v>
      </c>
      <c r="G778" s="2">
        <f t="shared" si="24"/>
        <v>30</v>
      </c>
      <c r="H778" s="2">
        <f t="shared" ca="1" si="25"/>
        <v>126</v>
      </c>
      <c r="I778" s="4">
        <v>45994</v>
      </c>
      <c r="J778" s="4">
        <v>46024</v>
      </c>
      <c r="K778" t="s">
        <v>17</v>
      </c>
      <c r="L778" t="s">
        <v>18</v>
      </c>
      <c r="M778" t="s">
        <v>19</v>
      </c>
      <c r="N778" t="s">
        <v>1938</v>
      </c>
      <c r="O778">
        <v>30</v>
      </c>
    </row>
    <row r="779" spans="1:15" hidden="1" x14ac:dyDescent="0.25">
      <c r="A779" t="s">
        <v>2820</v>
      </c>
      <c r="B779" t="s">
        <v>2108</v>
      </c>
      <c r="C779" t="s">
        <v>2109</v>
      </c>
      <c r="D779" t="s">
        <v>2110</v>
      </c>
      <c r="E779" t="s">
        <v>2235</v>
      </c>
      <c r="F779" s="3">
        <v>1757298</v>
      </c>
      <c r="G779" s="2">
        <f t="shared" si="24"/>
        <v>30</v>
      </c>
      <c r="H779" s="2">
        <f t="shared" ca="1" si="25"/>
        <v>126</v>
      </c>
      <c r="I779" s="4">
        <v>45994</v>
      </c>
      <c r="J779" s="4">
        <v>46024</v>
      </c>
      <c r="K779" t="s">
        <v>343</v>
      </c>
      <c r="L779" t="s">
        <v>18</v>
      </c>
      <c r="M779" t="s">
        <v>19</v>
      </c>
      <c r="N779" t="s">
        <v>2112</v>
      </c>
      <c r="O779">
        <v>30</v>
      </c>
    </row>
    <row r="780" spans="1:15" hidden="1" x14ac:dyDescent="0.25">
      <c r="A780" t="s">
        <v>2820</v>
      </c>
      <c r="B780" t="s">
        <v>1900</v>
      </c>
      <c r="C780" t="s">
        <v>1901</v>
      </c>
      <c r="D780" t="s">
        <v>1891</v>
      </c>
      <c r="E780" t="s">
        <v>2244</v>
      </c>
      <c r="F780" s="3">
        <v>208064</v>
      </c>
      <c r="G780" s="2">
        <f t="shared" si="24"/>
        <v>30</v>
      </c>
      <c r="H780" s="2">
        <f t="shared" ca="1" si="25"/>
        <v>126</v>
      </c>
      <c r="I780" s="4">
        <v>45994</v>
      </c>
      <c r="J780" s="4">
        <v>46024</v>
      </c>
      <c r="K780" t="s">
        <v>980</v>
      </c>
      <c r="L780" t="s">
        <v>981</v>
      </c>
      <c r="M780" t="s">
        <v>19</v>
      </c>
      <c r="N780" t="s">
        <v>1902</v>
      </c>
      <c r="O780">
        <v>30</v>
      </c>
    </row>
    <row r="781" spans="1:15" hidden="1" x14ac:dyDescent="0.25">
      <c r="A781" t="s">
        <v>2820</v>
      </c>
      <c r="B781" t="s">
        <v>1900</v>
      </c>
      <c r="C781" t="s">
        <v>1901</v>
      </c>
      <c r="D781" t="s">
        <v>1891</v>
      </c>
      <c r="E781" t="s">
        <v>2245</v>
      </c>
      <c r="F781" s="3">
        <v>322300</v>
      </c>
      <c r="G781" s="2">
        <f t="shared" si="24"/>
        <v>30</v>
      </c>
      <c r="H781" s="2">
        <f t="shared" ca="1" si="25"/>
        <v>126</v>
      </c>
      <c r="I781" s="4">
        <v>45994</v>
      </c>
      <c r="J781" s="4">
        <v>46024</v>
      </c>
      <c r="K781" t="s">
        <v>980</v>
      </c>
      <c r="L781" t="s">
        <v>981</v>
      </c>
      <c r="M781" t="s">
        <v>19</v>
      </c>
      <c r="N781" t="s">
        <v>1902</v>
      </c>
      <c r="O781">
        <v>30</v>
      </c>
    </row>
    <row r="782" spans="1:15" hidden="1" x14ac:dyDescent="0.25">
      <c r="A782" t="s">
        <v>2820</v>
      </c>
      <c r="B782" t="s">
        <v>1107</v>
      </c>
      <c r="C782" t="s">
        <v>1108</v>
      </c>
      <c r="D782" t="s">
        <v>320</v>
      </c>
      <c r="E782" t="s">
        <v>2246</v>
      </c>
      <c r="F782" s="3">
        <v>72860</v>
      </c>
      <c r="G782" s="2">
        <f t="shared" si="24"/>
        <v>30</v>
      </c>
      <c r="H782" s="2">
        <f t="shared" ca="1" si="25"/>
        <v>126</v>
      </c>
      <c r="I782" s="4">
        <v>45994</v>
      </c>
      <c r="J782" s="4">
        <v>46024</v>
      </c>
      <c r="K782" t="s">
        <v>1068</v>
      </c>
      <c r="L782" t="s">
        <v>207</v>
      </c>
      <c r="M782" t="s">
        <v>19</v>
      </c>
      <c r="N782" t="s">
        <v>1109</v>
      </c>
      <c r="O782">
        <v>30</v>
      </c>
    </row>
    <row r="783" spans="1:15" hidden="1" x14ac:dyDescent="0.25">
      <c r="A783" t="s">
        <v>2820</v>
      </c>
      <c r="B783" t="s">
        <v>1112</v>
      </c>
      <c r="C783" t="s">
        <v>1113</v>
      </c>
      <c r="D783" t="s">
        <v>320</v>
      </c>
      <c r="E783" t="s">
        <v>2247</v>
      </c>
      <c r="F783" s="3">
        <v>2890000</v>
      </c>
      <c r="G783" s="2">
        <f t="shared" si="24"/>
        <v>30</v>
      </c>
      <c r="H783" s="2">
        <f t="shared" ca="1" si="25"/>
        <v>126</v>
      </c>
      <c r="I783" s="4">
        <v>45994</v>
      </c>
      <c r="J783" s="4">
        <v>46024</v>
      </c>
      <c r="K783" t="s">
        <v>1068</v>
      </c>
      <c r="L783" t="s">
        <v>207</v>
      </c>
      <c r="M783" t="s">
        <v>19</v>
      </c>
      <c r="N783" t="s">
        <v>1114</v>
      </c>
      <c r="O783">
        <v>30</v>
      </c>
    </row>
    <row r="784" spans="1:15" hidden="1" x14ac:dyDescent="0.25">
      <c r="A784" t="s">
        <v>2820</v>
      </c>
      <c r="B784" t="s">
        <v>1112</v>
      </c>
      <c r="C784" t="s">
        <v>1113</v>
      </c>
      <c r="D784" t="s">
        <v>320</v>
      </c>
      <c r="E784" t="s">
        <v>2248</v>
      </c>
      <c r="F784" s="3">
        <v>7634740</v>
      </c>
      <c r="G784" s="2">
        <f t="shared" si="24"/>
        <v>30</v>
      </c>
      <c r="H784" s="2">
        <f t="shared" ca="1" si="25"/>
        <v>126</v>
      </c>
      <c r="I784" s="4">
        <v>45994</v>
      </c>
      <c r="J784" s="4">
        <v>46024</v>
      </c>
      <c r="K784" t="s">
        <v>1068</v>
      </c>
      <c r="L784" t="s">
        <v>207</v>
      </c>
      <c r="M784" t="s">
        <v>19</v>
      </c>
      <c r="N784" t="s">
        <v>1114</v>
      </c>
      <c r="O784">
        <v>30</v>
      </c>
    </row>
    <row r="785" spans="1:15" hidden="1" x14ac:dyDescent="0.25">
      <c r="A785" t="s">
        <v>2820</v>
      </c>
      <c r="B785" t="s">
        <v>1112</v>
      </c>
      <c r="C785" t="s">
        <v>1113</v>
      </c>
      <c r="D785" t="s">
        <v>320</v>
      </c>
      <c r="E785" t="s">
        <v>2249</v>
      </c>
      <c r="F785" s="3">
        <v>4447682</v>
      </c>
      <c r="G785" s="2">
        <f t="shared" si="24"/>
        <v>30</v>
      </c>
      <c r="H785" s="2">
        <f t="shared" ca="1" si="25"/>
        <v>126</v>
      </c>
      <c r="I785" s="4">
        <v>45994</v>
      </c>
      <c r="J785" s="4">
        <v>46024</v>
      </c>
      <c r="K785" t="s">
        <v>1068</v>
      </c>
      <c r="L785" t="s">
        <v>207</v>
      </c>
      <c r="M785" t="s">
        <v>19</v>
      </c>
      <c r="N785" t="s">
        <v>1114</v>
      </c>
      <c r="O785">
        <v>30</v>
      </c>
    </row>
    <row r="786" spans="1:15" hidden="1" x14ac:dyDescent="0.25">
      <c r="A786" t="s">
        <v>2820</v>
      </c>
      <c r="B786" t="s">
        <v>1339</v>
      </c>
      <c r="C786" t="s">
        <v>1340</v>
      </c>
      <c r="D786" t="s">
        <v>1323</v>
      </c>
      <c r="E786" t="s">
        <v>2255</v>
      </c>
      <c r="F786" s="3">
        <v>3298172</v>
      </c>
      <c r="G786" s="2">
        <f t="shared" si="24"/>
        <v>30</v>
      </c>
      <c r="H786" s="2">
        <f t="shared" ca="1" si="25"/>
        <v>126</v>
      </c>
      <c r="I786" s="4">
        <v>45994</v>
      </c>
      <c r="J786" s="4">
        <v>46024</v>
      </c>
      <c r="K786" t="s">
        <v>1325</v>
      </c>
      <c r="L786" t="s">
        <v>90</v>
      </c>
      <c r="M786" t="s">
        <v>19</v>
      </c>
      <c r="N786" t="s">
        <v>1341</v>
      </c>
      <c r="O786">
        <v>1</v>
      </c>
    </row>
    <row r="787" spans="1:15" hidden="1" x14ac:dyDescent="0.25">
      <c r="A787" t="s">
        <v>2820</v>
      </c>
      <c r="B787" t="s">
        <v>1336</v>
      </c>
      <c r="C787" t="s">
        <v>1337</v>
      </c>
      <c r="D787" t="s">
        <v>1323</v>
      </c>
      <c r="E787" t="s">
        <v>2256</v>
      </c>
      <c r="F787" s="3">
        <v>1790615</v>
      </c>
      <c r="G787" s="2">
        <f t="shared" si="24"/>
        <v>30</v>
      </c>
      <c r="H787" s="2">
        <f t="shared" ca="1" si="25"/>
        <v>126</v>
      </c>
      <c r="I787" s="4">
        <v>45994</v>
      </c>
      <c r="J787" s="4">
        <v>46024</v>
      </c>
      <c r="K787" t="s">
        <v>1325</v>
      </c>
      <c r="L787" t="s">
        <v>90</v>
      </c>
      <c r="M787" t="s">
        <v>19</v>
      </c>
      <c r="N787" t="s">
        <v>1338</v>
      </c>
      <c r="O787">
        <v>30</v>
      </c>
    </row>
    <row r="788" spans="1:15" hidden="1" x14ac:dyDescent="0.25">
      <c r="A788" t="s">
        <v>2820</v>
      </c>
      <c r="B788" t="s">
        <v>1336</v>
      </c>
      <c r="C788" t="s">
        <v>1337</v>
      </c>
      <c r="D788" t="s">
        <v>1323</v>
      </c>
      <c r="E788" t="s">
        <v>2257</v>
      </c>
      <c r="F788" s="3">
        <v>4369791</v>
      </c>
      <c r="G788" s="2">
        <f t="shared" si="24"/>
        <v>30</v>
      </c>
      <c r="H788" s="2">
        <f t="shared" ca="1" si="25"/>
        <v>126</v>
      </c>
      <c r="I788" s="4">
        <v>45994</v>
      </c>
      <c r="J788" s="4">
        <v>46024</v>
      </c>
      <c r="K788" t="s">
        <v>1325</v>
      </c>
      <c r="L788" t="s">
        <v>90</v>
      </c>
      <c r="M788" t="s">
        <v>19</v>
      </c>
      <c r="N788" t="s">
        <v>1338</v>
      </c>
      <c r="O788">
        <v>30</v>
      </c>
    </row>
    <row r="789" spans="1:15" hidden="1" x14ac:dyDescent="0.25">
      <c r="A789" t="s">
        <v>2820</v>
      </c>
      <c r="B789" t="s">
        <v>1336</v>
      </c>
      <c r="C789" t="s">
        <v>1337</v>
      </c>
      <c r="D789" t="s">
        <v>1323</v>
      </c>
      <c r="E789" t="s">
        <v>2258</v>
      </c>
      <c r="F789" s="3">
        <v>1786871</v>
      </c>
      <c r="G789" s="2">
        <f t="shared" si="24"/>
        <v>30</v>
      </c>
      <c r="H789" s="2">
        <f t="shared" ca="1" si="25"/>
        <v>126</v>
      </c>
      <c r="I789" s="4">
        <v>45994</v>
      </c>
      <c r="J789" s="4">
        <v>46024</v>
      </c>
      <c r="K789" t="s">
        <v>1325</v>
      </c>
      <c r="L789" t="s">
        <v>90</v>
      </c>
      <c r="M789" t="s">
        <v>19</v>
      </c>
      <c r="N789" t="s">
        <v>1338</v>
      </c>
      <c r="O789">
        <v>30</v>
      </c>
    </row>
    <row r="790" spans="1:15" hidden="1" x14ac:dyDescent="0.25">
      <c r="A790" t="s">
        <v>2820</v>
      </c>
      <c r="B790" t="s">
        <v>1655</v>
      </c>
      <c r="C790" t="s">
        <v>1656</v>
      </c>
      <c r="D790" t="s">
        <v>1587</v>
      </c>
      <c r="E790" t="s">
        <v>2264</v>
      </c>
      <c r="F790" s="3">
        <v>1114820</v>
      </c>
      <c r="G790" s="2">
        <f t="shared" si="24"/>
        <v>30</v>
      </c>
      <c r="H790" s="2">
        <f t="shared" ca="1" si="25"/>
        <v>126</v>
      </c>
      <c r="I790" s="4">
        <v>45994</v>
      </c>
      <c r="J790" s="4">
        <v>46024</v>
      </c>
      <c r="K790" t="s">
        <v>1589</v>
      </c>
      <c r="L790" t="s">
        <v>984</v>
      </c>
      <c r="M790" t="s">
        <v>19</v>
      </c>
      <c r="N790" t="s">
        <v>1657</v>
      </c>
      <c r="O790">
        <v>30</v>
      </c>
    </row>
    <row r="791" spans="1:15" hidden="1" x14ac:dyDescent="0.25">
      <c r="A791" t="s">
        <v>2820</v>
      </c>
      <c r="B791" t="s">
        <v>1655</v>
      </c>
      <c r="C791" t="s">
        <v>1656</v>
      </c>
      <c r="D791" t="s">
        <v>1587</v>
      </c>
      <c r="E791" t="s">
        <v>2265</v>
      </c>
      <c r="F791" s="3">
        <v>806800</v>
      </c>
      <c r="G791" s="2">
        <f t="shared" si="24"/>
        <v>30</v>
      </c>
      <c r="H791" s="2">
        <f t="shared" ca="1" si="25"/>
        <v>126</v>
      </c>
      <c r="I791" s="4">
        <v>45994</v>
      </c>
      <c r="J791" s="4">
        <v>46024</v>
      </c>
      <c r="K791" t="s">
        <v>1589</v>
      </c>
      <c r="L791" t="s">
        <v>984</v>
      </c>
      <c r="M791" t="s">
        <v>19</v>
      </c>
      <c r="N791" t="s">
        <v>1657</v>
      </c>
      <c r="O791">
        <v>30</v>
      </c>
    </row>
    <row r="792" spans="1:15" hidden="1" x14ac:dyDescent="0.25">
      <c r="A792" t="s">
        <v>2820</v>
      </c>
      <c r="B792" t="s">
        <v>1598</v>
      </c>
      <c r="C792" t="s">
        <v>1599</v>
      </c>
      <c r="D792" t="s">
        <v>1593</v>
      </c>
      <c r="E792" t="s">
        <v>2266</v>
      </c>
      <c r="F792" s="3">
        <v>762397</v>
      </c>
      <c r="G792" s="2">
        <f t="shared" si="24"/>
        <v>30</v>
      </c>
      <c r="H792" s="2">
        <f t="shared" ca="1" si="25"/>
        <v>126</v>
      </c>
      <c r="I792" s="4">
        <v>45994</v>
      </c>
      <c r="J792" s="4">
        <v>46024</v>
      </c>
      <c r="K792" t="s">
        <v>1589</v>
      </c>
      <c r="L792" t="s">
        <v>984</v>
      </c>
      <c r="M792" t="s">
        <v>19</v>
      </c>
      <c r="N792" t="s">
        <v>1600</v>
      </c>
      <c r="O792">
        <v>30</v>
      </c>
    </row>
    <row r="793" spans="1:15" hidden="1" x14ac:dyDescent="0.25">
      <c r="A793" t="s">
        <v>2820</v>
      </c>
      <c r="B793" t="s">
        <v>1625</v>
      </c>
      <c r="C793" t="s">
        <v>1626</v>
      </c>
      <c r="D793" t="s">
        <v>1587</v>
      </c>
      <c r="E793" t="s">
        <v>2267</v>
      </c>
      <c r="F793" s="3">
        <v>920800</v>
      </c>
      <c r="G793" s="2">
        <f t="shared" si="24"/>
        <v>30</v>
      </c>
      <c r="H793" s="2">
        <f t="shared" ca="1" si="25"/>
        <v>126</v>
      </c>
      <c r="I793" s="4">
        <v>45994</v>
      </c>
      <c r="J793" s="4">
        <v>46024</v>
      </c>
      <c r="K793" t="s">
        <v>1589</v>
      </c>
      <c r="L793" t="s">
        <v>984</v>
      </c>
      <c r="M793" t="s">
        <v>19</v>
      </c>
      <c r="N793" t="s">
        <v>1627</v>
      </c>
      <c r="O793">
        <v>30</v>
      </c>
    </row>
    <row r="794" spans="1:15" hidden="1" x14ac:dyDescent="0.25">
      <c r="A794" t="s">
        <v>2820</v>
      </c>
      <c r="B794" t="s">
        <v>1625</v>
      </c>
      <c r="C794" t="s">
        <v>1626</v>
      </c>
      <c r="D794" t="s">
        <v>1587</v>
      </c>
      <c r="E794" t="s">
        <v>2268</v>
      </c>
      <c r="F794" s="3">
        <v>323200</v>
      </c>
      <c r="G794" s="2">
        <f t="shared" si="24"/>
        <v>30</v>
      </c>
      <c r="H794" s="2">
        <f t="shared" ca="1" si="25"/>
        <v>126</v>
      </c>
      <c r="I794" s="4">
        <v>45994</v>
      </c>
      <c r="J794" s="4">
        <v>46024</v>
      </c>
      <c r="K794" t="s">
        <v>1589</v>
      </c>
      <c r="L794" t="s">
        <v>984</v>
      </c>
      <c r="M794" t="s">
        <v>19</v>
      </c>
      <c r="N794" t="s">
        <v>1627</v>
      </c>
      <c r="O794">
        <v>30</v>
      </c>
    </row>
    <row r="795" spans="1:15" hidden="1" x14ac:dyDescent="0.25">
      <c r="A795" t="s">
        <v>2820</v>
      </c>
      <c r="B795" t="s">
        <v>1625</v>
      </c>
      <c r="C795" t="s">
        <v>1626</v>
      </c>
      <c r="D795" t="s">
        <v>1587</v>
      </c>
      <c r="E795" t="s">
        <v>2269</v>
      </c>
      <c r="F795" s="3">
        <v>221201</v>
      </c>
      <c r="G795" s="2">
        <f t="shared" si="24"/>
        <v>30</v>
      </c>
      <c r="H795" s="2">
        <f t="shared" ca="1" si="25"/>
        <v>126</v>
      </c>
      <c r="I795" s="4">
        <v>45994</v>
      </c>
      <c r="J795" s="4">
        <v>46024</v>
      </c>
      <c r="K795" t="s">
        <v>1589</v>
      </c>
      <c r="L795" t="s">
        <v>984</v>
      </c>
      <c r="M795" t="s">
        <v>19</v>
      </c>
      <c r="N795" t="s">
        <v>1627</v>
      </c>
      <c r="O795">
        <v>30</v>
      </c>
    </row>
    <row r="796" spans="1:15" hidden="1" x14ac:dyDescent="0.25">
      <c r="A796" t="s">
        <v>2820</v>
      </c>
      <c r="B796" t="s">
        <v>1679</v>
      </c>
      <c r="C796" t="s">
        <v>1680</v>
      </c>
      <c r="D796" t="s">
        <v>1593</v>
      </c>
      <c r="E796" t="s">
        <v>2270</v>
      </c>
      <c r="F796" s="3">
        <v>505698</v>
      </c>
      <c r="G796" s="2">
        <f t="shared" si="24"/>
        <v>30</v>
      </c>
      <c r="H796" s="2">
        <f t="shared" ca="1" si="25"/>
        <v>126</v>
      </c>
      <c r="I796" s="4">
        <v>45994</v>
      </c>
      <c r="J796" s="4">
        <v>46024</v>
      </c>
      <c r="K796" t="s">
        <v>1589</v>
      </c>
      <c r="L796" t="s">
        <v>984</v>
      </c>
      <c r="M796" t="s">
        <v>19</v>
      </c>
      <c r="N796" t="s">
        <v>1681</v>
      </c>
      <c r="O796">
        <v>30</v>
      </c>
    </row>
    <row r="797" spans="1:15" hidden="1" x14ac:dyDescent="0.25">
      <c r="A797" t="s">
        <v>2820</v>
      </c>
      <c r="B797" t="s">
        <v>1679</v>
      </c>
      <c r="C797" t="s">
        <v>1680</v>
      </c>
      <c r="D797" t="s">
        <v>1593</v>
      </c>
      <c r="E797" t="s">
        <v>2271</v>
      </c>
      <c r="F797" s="3">
        <v>1046713</v>
      </c>
      <c r="G797" s="2">
        <f t="shared" si="24"/>
        <v>30</v>
      </c>
      <c r="H797" s="2">
        <f t="shared" ca="1" si="25"/>
        <v>126</v>
      </c>
      <c r="I797" s="4">
        <v>45994</v>
      </c>
      <c r="J797" s="4">
        <v>46024</v>
      </c>
      <c r="K797" t="s">
        <v>1589</v>
      </c>
      <c r="L797" t="s">
        <v>984</v>
      </c>
      <c r="M797" t="s">
        <v>19</v>
      </c>
      <c r="N797" t="s">
        <v>1681</v>
      </c>
      <c r="O797">
        <v>30</v>
      </c>
    </row>
    <row r="798" spans="1:15" hidden="1" x14ac:dyDescent="0.25">
      <c r="A798" t="s">
        <v>2820</v>
      </c>
      <c r="B798" t="s">
        <v>1735</v>
      </c>
      <c r="C798" t="s">
        <v>1736</v>
      </c>
      <c r="D798" t="s">
        <v>1737</v>
      </c>
      <c r="E798" t="s">
        <v>2287</v>
      </c>
      <c r="F798" s="3">
        <v>30151</v>
      </c>
      <c r="G798" s="2">
        <f t="shared" si="24"/>
        <v>30</v>
      </c>
      <c r="H798" s="2">
        <f t="shared" ca="1" si="25"/>
        <v>126</v>
      </c>
      <c r="I798" s="4">
        <v>45994</v>
      </c>
      <c r="J798" s="4">
        <v>46024</v>
      </c>
      <c r="K798" t="s">
        <v>1738</v>
      </c>
      <c r="L798" t="s">
        <v>981</v>
      </c>
      <c r="M798" t="s">
        <v>19</v>
      </c>
      <c r="N798" t="s">
        <v>1739</v>
      </c>
      <c r="O798">
        <v>30</v>
      </c>
    </row>
    <row r="799" spans="1:15" hidden="1" x14ac:dyDescent="0.25">
      <c r="A799" t="s">
        <v>2820</v>
      </c>
      <c r="B799" t="s">
        <v>177</v>
      </c>
      <c r="C799" t="s">
        <v>178</v>
      </c>
      <c r="D799" t="s">
        <v>46</v>
      </c>
      <c r="E799" t="s">
        <v>2234</v>
      </c>
      <c r="F799" s="3">
        <v>4601969</v>
      </c>
      <c r="G799" s="2">
        <f t="shared" si="24"/>
        <v>1</v>
      </c>
      <c r="H799" s="2">
        <f t="shared" ca="1" si="25"/>
        <v>125</v>
      </c>
      <c r="I799" s="4">
        <v>45995</v>
      </c>
      <c r="J799" s="4">
        <v>45996</v>
      </c>
      <c r="K799" t="s">
        <v>17</v>
      </c>
      <c r="L799" t="s">
        <v>28</v>
      </c>
      <c r="M799" t="s">
        <v>19</v>
      </c>
      <c r="N799" t="s">
        <v>179</v>
      </c>
      <c r="O799">
        <v>0</v>
      </c>
    </row>
    <row r="800" spans="1:15" hidden="1" x14ac:dyDescent="0.25">
      <c r="A800" t="s">
        <v>2820</v>
      </c>
      <c r="B800" t="s">
        <v>1530</v>
      </c>
      <c r="C800" t="s">
        <v>1531</v>
      </c>
      <c r="D800" t="s">
        <v>1532</v>
      </c>
      <c r="E800" t="s">
        <v>2260</v>
      </c>
      <c r="F800" s="3">
        <v>236004</v>
      </c>
      <c r="G800" s="2">
        <f t="shared" si="24"/>
        <v>30</v>
      </c>
      <c r="H800" s="2">
        <f t="shared" ca="1" si="25"/>
        <v>125</v>
      </c>
      <c r="I800" s="4">
        <v>45995</v>
      </c>
      <c r="J800" s="4">
        <v>46025</v>
      </c>
      <c r="K800" t="s">
        <v>1528</v>
      </c>
      <c r="L800" t="s">
        <v>207</v>
      </c>
      <c r="M800" t="s">
        <v>19</v>
      </c>
      <c r="N800" t="s">
        <v>1533</v>
      </c>
      <c r="O800">
        <v>0</v>
      </c>
    </row>
    <row r="801" spans="1:15" hidden="1" x14ac:dyDescent="0.25">
      <c r="A801" t="s">
        <v>2820</v>
      </c>
      <c r="B801" t="s">
        <v>1607</v>
      </c>
      <c r="C801" t="s">
        <v>1608</v>
      </c>
      <c r="D801" t="s">
        <v>1593</v>
      </c>
      <c r="E801" t="s">
        <v>2272</v>
      </c>
      <c r="F801" s="3">
        <v>1162207</v>
      </c>
      <c r="G801" s="2">
        <f t="shared" si="24"/>
        <v>30</v>
      </c>
      <c r="H801" s="2">
        <f t="shared" ca="1" si="25"/>
        <v>125</v>
      </c>
      <c r="I801" s="4">
        <v>45995</v>
      </c>
      <c r="J801" s="4">
        <v>46025</v>
      </c>
      <c r="K801" t="s">
        <v>1589</v>
      </c>
      <c r="L801" t="s">
        <v>984</v>
      </c>
      <c r="M801" t="s">
        <v>19</v>
      </c>
      <c r="N801" t="s">
        <v>1609</v>
      </c>
      <c r="O801">
        <v>30</v>
      </c>
    </row>
    <row r="802" spans="1:15" hidden="1" x14ac:dyDescent="0.25">
      <c r="A802" t="s">
        <v>2820</v>
      </c>
      <c r="B802" t="s">
        <v>1607</v>
      </c>
      <c r="C802" t="s">
        <v>1608</v>
      </c>
      <c r="D802" t="s">
        <v>1593</v>
      </c>
      <c r="E802" t="s">
        <v>2273</v>
      </c>
      <c r="F802" s="3">
        <v>1528631</v>
      </c>
      <c r="G802" s="2">
        <f t="shared" si="24"/>
        <v>30</v>
      </c>
      <c r="H802" s="2">
        <f t="shared" ca="1" si="25"/>
        <v>125</v>
      </c>
      <c r="I802" s="4">
        <v>45995</v>
      </c>
      <c r="J802" s="4">
        <v>46025</v>
      </c>
      <c r="K802" t="s">
        <v>1589</v>
      </c>
      <c r="L802" t="s">
        <v>984</v>
      </c>
      <c r="M802" t="s">
        <v>19</v>
      </c>
      <c r="N802" t="s">
        <v>1609</v>
      </c>
      <c r="O802">
        <v>30</v>
      </c>
    </row>
    <row r="803" spans="1:15" hidden="1" x14ac:dyDescent="0.25">
      <c r="A803" t="s">
        <v>2820</v>
      </c>
      <c r="B803" t="s">
        <v>857</v>
      </c>
      <c r="C803" t="s">
        <v>858</v>
      </c>
      <c r="D803" t="s">
        <v>854</v>
      </c>
      <c r="E803" t="s">
        <v>2236</v>
      </c>
      <c r="F803" s="3">
        <v>541399</v>
      </c>
      <c r="G803" s="2">
        <f t="shared" si="24"/>
        <v>30</v>
      </c>
      <c r="H803" s="2">
        <f t="shared" ca="1" si="25"/>
        <v>124</v>
      </c>
      <c r="I803" s="4">
        <v>45996</v>
      </c>
      <c r="J803" s="4">
        <v>46026</v>
      </c>
      <c r="K803" t="s">
        <v>845</v>
      </c>
      <c r="L803" t="s">
        <v>18</v>
      </c>
      <c r="M803" t="s">
        <v>19</v>
      </c>
      <c r="N803" t="s">
        <v>859</v>
      </c>
      <c r="O803">
        <v>30</v>
      </c>
    </row>
    <row r="804" spans="1:15" hidden="1" x14ac:dyDescent="0.25">
      <c r="A804" t="s">
        <v>2820</v>
      </c>
      <c r="B804" t="s">
        <v>857</v>
      </c>
      <c r="C804" t="s">
        <v>858</v>
      </c>
      <c r="D804" t="s">
        <v>854</v>
      </c>
      <c r="E804" t="s">
        <v>2237</v>
      </c>
      <c r="F804" s="3">
        <v>1465645</v>
      </c>
      <c r="G804" s="2">
        <f t="shared" si="24"/>
        <v>30</v>
      </c>
      <c r="H804" s="2">
        <f t="shared" ca="1" si="25"/>
        <v>124</v>
      </c>
      <c r="I804" s="4">
        <v>45996</v>
      </c>
      <c r="J804" s="4">
        <v>46026</v>
      </c>
      <c r="K804" t="s">
        <v>845</v>
      </c>
      <c r="L804" t="s">
        <v>18</v>
      </c>
      <c r="M804" t="s">
        <v>19</v>
      </c>
      <c r="N804" t="s">
        <v>859</v>
      </c>
      <c r="O804">
        <v>30</v>
      </c>
    </row>
    <row r="805" spans="1:15" hidden="1" x14ac:dyDescent="0.25">
      <c r="A805" t="s">
        <v>2820</v>
      </c>
      <c r="B805" t="s">
        <v>857</v>
      </c>
      <c r="C805" t="s">
        <v>858</v>
      </c>
      <c r="D805" t="s">
        <v>854</v>
      </c>
      <c r="E805" t="s">
        <v>2238</v>
      </c>
      <c r="F805" s="3">
        <v>425000</v>
      </c>
      <c r="G805" s="2">
        <f t="shared" si="24"/>
        <v>30</v>
      </c>
      <c r="H805" s="2">
        <f t="shared" ca="1" si="25"/>
        <v>124</v>
      </c>
      <c r="I805" s="4">
        <v>45996</v>
      </c>
      <c r="J805" s="4">
        <v>46026</v>
      </c>
      <c r="K805" t="s">
        <v>845</v>
      </c>
      <c r="L805" t="s">
        <v>18</v>
      </c>
      <c r="M805" t="s">
        <v>19</v>
      </c>
      <c r="N805" t="s">
        <v>859</v>
      </c>
      <c r="O805">
        <v>30</v>
      </c>
    </row>
    <row r="806" spans="1:15" hidden="1" x14ac:dyDescent="0.25">
      <c r="A806" t="s">
        <v>2820</v>
      </c>
      <c r="B806" t="s">
        <v>2020</v>
      </c>
      <c r="C806" t="s">
        <v>2021</v>
      </c>
      <c r="D806" t="s">
        <v>844</v>
      </c>
      <c r="E806" t="s">
        <v>2239</v>
      </c>
      <c r="F806" s="3">
        <v>34498</v>
      </c>
      <c r="G806" s="2">
        <f t="shared" si="24"/>
        <v>30</v>
      </c>
      <c r="H806" s="2">
        <f t="shared" ca="1" si="25"/>
        <v>124</v>
      </c>
      <c r="I806" s="4">
        <v>45996</v>
      </c>
      <c r="J806" s="4">
        <v>46026</v>
      </c>
      <c r="K806" t="s">
        <v>845</v>
      </c>
      <c r="L806" t="s">
        <v>18</v>
      </c>
      <c r="M806" t="s">
        <v>19</v>
      </c>
      <c r="N806" t="s">
        <v>2022</v>
      </c>
      <c r="O806">
        <v>30</v>
      </c>
    </row>
    <row r="807" spans="1:15" hidden="1" x14ac:dyDescent="0.25">
      <c r="A807" t="s">
        <v>2820</v>
      </c>
      <c r="B807" t="s">
        <v>1367</v>
      </c>
      <c r="C807" t="s">
        <v>1368</v>
      </c>
      <c r="D807" t="s">
        <v>382</v>
      </c>
      <c r="E807" t="s">
        <v>2259</v>
      </c>
      <c r="F807" s="3">
        <v>2788407</v>
      </c>
      <c r="G807" s="2">
        <f t="shared" si="24"/>
        <v>30</v>
      </c>
      <c r="H807" s="2">
        <f t="shared" ca="1" si="25"/>
        <v>124</v>
      </c>
      <c r="I807" s="4">
        <v>45996</v>
      </c>
      <c r="J807" s="4">
        <v>46026</v>
      </c>
      <c r="K807" t="s">
        <v>1325</v>
      </c>
      <c r="L807" t="s">
        <v>90</v>
      </c>
      <c r="M807" t="s">
        <v>19</v>
      </c>
      <c r="N807" t="s">
        <v>1369</v>
      </c>
      <c r="O807">
        <v>30</v>
      </c>
    </row>
    <row r="808" spans="1:15" hidden="1" x14ac:dyDescent="0.25">
      <c r="A808" t="s">
        <v>2820</v>
      </c>
      <c r="B808" t="s">
        <v>1601</v>
      </c>
      <c r="C808" t="s">
        <v>1602</v>
      </c>
      <c r="D808" t="s">
        <v>1593</v>
      </c>
      <c r="E808" t="s">
        <v>2274</v>
      </c>
      <c r="F808" s="3">
        <v>539325</v>
      </c>
      <c r="G808" s="2">
        <f t="shared" si="24"/>
        <v>30</v>
      </c>
      <c r="H808" s="2">
        <f t="shared" ca="1" si="25"/>
        <v>124</v>
      </c>
      <c r="I808" s="4">
        <v>45996</v>
      </c>
      <c r="J808" s="4">
        <v>46026</v>
      </c>
      <c r="K808" t="s">
        <v>1589</v>
      </c>
      <c r="L808" t="s">
        <v>984</v>
      </c>
      <c r="M808" t="s">
        <v>19</v>
      </c>
      <c r="N808" t="s">
        <v>1603</v>
      </c>
      <c r="O808">
        <v>30</v>
      </c>
    </row>
    <row r="809" spans="1:15" hidden="1" x14ac:dyDescent="0.25">
      <c r="A809" t="s">
        <v>2820</v>
      </c>
      <c r="B809" t="s">
        <v>1601</v>
      </c>
      <c r="C809" t="s">
        <v>1602</v>
      </c>
      <c r="D809" t="s">
        <v>1593</v>
      </c>
      <c r="E809" t="s">
        <v>2275</v>
      </c>
      <c r="F809" s="3">
        <v>1308765</v>
      </c>
      <c r="G809" s="2">
        <f t="shared" si="24"/>
        <v>30</v>
      </c>
      <c r="H809" s="2">
        <f t="shared" ca="1" si="25"/>
        <v>124</v>
      </c>
      <c r="I809" s="4">
        <v>45996</v>
      </c>
      <c r="J809" s="4">
        <v>46026</v>
      </c>
      <c r="K809" t="s">
        <v>1589</v>
      </c>
      <c r="L809" t="s">
        <v>984</v>
      </c>
      <c r="M809" t="s">
        <v>19</v>
      </c>
      <c r="N809" t="s">
        <v>1603</v>
      </c>
      <c r="O809">
        <v>30</v>
      </c>
    </row>
    <row r="810" spans="1:15" hidden="1" x14ac:dyDescent="0.25">
      <c r="A810" t="s">
        <v>2820</v>
      </c>
      <c r="B810" t="s">
        <v>1591</v>
      </c>
      <c r="C810" t="s">
        <v>1592</v>
      </c>
      <c r="D810" t="s">
        <v>1593</v>
      </c>
      <c r="E810" t="s">
        <v>2276</v>
      </c>
      <c r="F810" s="3">
        <v>4240002</v>
      </c>
      <c r="G810" s="2">
        <f t="shared" si="24"/>
        <v>30</v>
      </c>
      <c r="H810" s="2">
        <f t="shared" ca="1" si="25"/>
        <v>124</v>
      </c>
      <c r="I810" s="4">
        <v>45996</v>
      </c>
      <c r="J810" s="4">
        <v>46026</v>
      </c>
      <c r="K810" t="s">
        <v>1589</v>
      </c>
      <c r="L810" t="s">
        <v>984</v>
      </c>
      <c r="M810" t="s">
        <v>19</v>
      </c>
      <c r="N810" t="s">
        <v>1594</v>
      </c>
      <c r="O810">
        <v>30</v>
      </c>
    </row>
    <row r="811" spans="1:15" hidden="1" x14ac:dyDescent="0.25">
      <c r="A811" t="s">
        <v>2820</v>
      </c>
      <c r="B811" t="s">
        <v>1607</v>
      </c>
      <c r="C811" t="s">
        <v>1608</v>
      </c>
      <c r="D811" t="s">
        <v>1593</v>
      </c>
      <c r="E811" t="s">
        <v>2277</v>
      </c>
      <c r="F811" s="3">
        <v>8000</v>
      </c>
      <c r="G811" s="2">
        <f t="shared" si="24"/>
        <v>30</v>
      </c>
      <c r="H811" s="2">
        <f t="shared" ca="1" si="25"/>
        <v>124</v>
      </c>
      <c r="I811" s="4">
        <v>45996</v>
      </c>
      <c r="J811" s="4">
        <v>46026</v>
      </c>
      <c r="K811" t="s">
        <v>1589</v>
      </c>
      <c r="L811" t="s">
        <v>984</v>
      </c>
      <c r="M811" t="s">
        <v>19</v>
      </c>
      <c r="N811" t="s">
        <v>1609</v>
      </c>
      <c r="O811">
        <v>30</v>
      </c>
    </row>
    <row r="812" spans="1:15" hidden="1" x14ac:dyDescent="0.25">
      <c r="A812" t="s">
        <v>2820</v>
      </c>
      <c r="B812" t="s">
        <v>1658</v>
      </c>
      <c r="C812" t="s">
        <v>1659</v>
      </c>
      <c r="D812" t="s">
        <v>1593</v>
      </c>
      <c r="E812" t="s">
        <v>2278</v>
      </c>
      <c r="F812" s="3">
        <v>127370</v>
      </c>
      <c r="G812" s="2">
        <f t="shared" si="24"/>
        <v>30</v>
      </c>
      <c r="H812" s="2">
        <f t="shared" ca="1" si="25"/>
        <v>124</v>
      </c>
      <c r="I812" s="4">
        <v>45996</v>
      </c>
      <c r="J812" s="4">
        <v>46026</v>
      </c>
      <c r="K812" t="s">
        <v>1589</v>
      </c>
      <c r="L812" t="s">
        <v>984</v>
      </c>
      <c r="M812" t="s">
        <v>19</v>
      </c>
      <c r="N812" t="s">
        <v>1660</v>
      </c>
      <c r="O812">
        <v>30</v>
      </c>
    </row>
    <row r="813" spans="1:15" hidden="1" x14ac:dyDescent="0.25">
      <c r="A813" t="s">
        <v>2820</v>
      </c>
      <c r="B813" t="s">
        <v>1658</v>
      </c>
      <c r="C813" t="s">
        <v>1659</v>
      </c>
      <c r="D813" t="s">
        <v>1593</v>
      </c>
      <c r="E813" t="s">
        <v>2279</v>
      </c>
      <c r="F813" s="3">
        <v>374197</v>
      </c>
      <c r="G813" s="2">
        <f t="shared" si="24"/>
        <v>30</v>
      </c>
      <c r="H813" s="2">
        <f t="shared" ca="1" si="25"/>
        <v>124</v>
      </c>
      <c r="I813" s="4">
        <v>45996</v>
      </c>
      <c r="J813" s="4">
        <v>46026</v>
      </c>
      <c r="K813" t="s">
        <v>1589</v>
      </c>
      <c r="L813" t="s">
        <v>984</v>
      </c>
      <c r="M813" t="s">
        <v>19</v>
      </c>
      <c r="N813" t="s">
        <v>1660</v>
      </c>
      <c r="O813">
        <v>30</v>
      </c>
    </row>
    <row r="814" spans="1:15" hidden="1" x14ac:dyDescent="0.25">
      <c r="A814" t="s">
        <v>2820</v>
      </c>
      <c r="B814" t="s">
        <v>1658</v>
      </c>
      <c r="C814" t="s">
        <v>1659</v>
      </c>
      <c r="D814" t="s">
        <v>1593</v>
      </c>
      <c r="E814" t="s">
        <v>2280</v>
      </c>
      <c r="F814" s="3">
        <v>526520</v>
      </c>
      <c r="G814" s="2">
        <f t="shared" si="24"/>
        <v>30</v>
      </c>
      <c r="H814" s="2">
        <f t="shared" ca="1" si="25"/>
        <v>124</v>
      </c>
      <c r="I814" s="4">
        <v>45996</v>
      </c>
      <c r="J814" s="4">
        <v>46026</v>
      </c>
      <c r="K814" t="s">
        <v>1589</v>
      </c>
      <c r="L814" t="s">
        <v>984</v>
      </c>
      <c r="M814" t="s">
        <v>19</v>
      </c>
      <c r="N814" t="s">
        <v>1660</v>
      </c>
      <c r="O814">
        <v>30</v>
      </c>
    </row>
    <row r="815" spans="1:15" hidden="1" x14ac:dyDescent="0.25">
      <c r="A815" t="s">
        <v>2820</v>
      </c>
      <c r="B815" t="s">
        <v>1698</v>
      </c>
      <c r="C815" t="s">
        <v>1699</v>
      </c>
      <c r="D815" t="s">
        <v>1700</v>
      </c>
      <c r="E815" t="s">
        <v>2281</v>
      </c>
      <c r="F815" s="3">
        <v>4713585</v>
      </c>
      <c r="G815" s="2">
        <f t="shared" si="24"/>
        <v>30</v>
      </c>
      <c r="H815" s="2">
        <f t="shared" ca="1" si="25"/>
        <v>124</v>
      </c>
      <c r="I815" s="4">
        <v>45996</v>
      </c>
      <c r="J815" s="4">
        <v>46026</v>
      </c>
      <c r="K815" t="s">
        <v>1691</v>
      </c>
      <c r="L815" t="s">
        <v>984</v>
      </c>
      <c r="M815" t="s">
        <v>19</v>
      </c>
      <c r="N815" t="s">
        <v>1701</v>
      </c>
      <c r="O815">
        <v>30</v>
      </c>
    </row>
    <row r="816" spans="1:15" hidden="1" x14ac:dyDescent="0.25">
      <c r="A816" t="s">
        <v>2820</v>
      </c>
      <c r="B816" t="s">
        <v>1698</v>
      </c>
      <c r="C816" t="s">
        <v>1699</v>
      </c>
      <c r="D816" t="s">
        <v>1700</v>
      </c>
      <c r="E816" t="s">
        <v>2282</v>
      </c>
      <c r="F816" s="3">
        <v>1117196</v>
      </c>
      <c r="G816" s="2">
        <f t="shared" si="24"/>
        <v>30</v>
      </c>
      <c r="H816" s="2">
        <f t="shared" ca="1" si="25"/>
        <v>124</v>
      </c>
      <c r="I816" s="4">
        <v>45996</v>
      </c>
      <c r="J816" s="4">
        <v>46026</v>
      </c>
      <c r="K816" t="s">
        <v>1691</v>
      </c>
      <c r="L816" t="s">
        <v>984</v>
      </c>
      <c r="M816" t="s">
        <v>19</v>
      </c>
      <c r="N816" t="s">
        <v>1701</v>
      </c>
      <c r="O816">
        <v>30</v>
      </c>
    </row>
    <row r="817" spans="1:15" hidden="1" x14ac:dyDescent="0.25">
      <c r="A817" t="s">
        <v>2820</v>
      </c>
      <c r="B817" t="s">
        <v>1698</v>
      </c>
      <c r="C817" t="s">
        <v>1699</v>
      </c>
      <c r="D817" t="s">
        <v>1700</v>
      </c>
      <c r="E817" t="s">
        <v>2283</v>
      </c>
      <c r="F817" s="3">
        <v>253735</v>
      </c>
      <c r="G817" s="2">
        <f t="shared" si="24"/>
        <v>30</v>
      </c>
      <c r="H817" s="2">
        <f t="shared" ca="1" si="25"/>
        <v>124</v>
      </c>
      <c r="I817" s="4">
        <v>45996</v>
      </c>
      <c r="J817" s="4">
        <v>46026</v>
      </c>
      <c r="K817" t="s">
        <v>1691</v>
      </c>
      <c r="L817" t="s">
        <v>984</v>
      </c>
      <c r="M817" t="s">
        <v>19</v>
      </c>
      <c r="N817" t="s">
        <v>1701</v>
      </c>
      <c r="O817">
        <v>30</v>
      </c>
    </row>
    <row r="818" spans="1:15" hidden="1" x14ac:dyDescent="0.25">
      <c r="A818" t="s">
        <v>2820</v>
      </c>
      <c r="B818" t="s">
        <v>1698</v>
      </c>
      <c r="C818" t="s">
        <v>1699</v>
      </c>
      <c r="D818" t="s">
        <v>1700</v>
      </c>
      <c r="E818" t="s">
        <v>2284</v>
      </c>
      <c r="F818" s="3">
        <v>1339592</v>
      </c>
      <c r="G818" s="2">
        <f t="shared" si="24"/>
        <v>30</v>
      </c>
      <c r="H818" s="2">
        <f t="shared" ca="1" si="25"/>
        <v>124</v>
      </c>
      <c r="I818" s="4">
        <v>45996</v>
      </c>
      <c r="J818" s="4">
        <v>46026</v>
      </c>
      <c r="K818" t="s">
        <v>1691</v>
      </c>
      <c r="L818" t="s">
        <v>984</v>
      </c>
      <c r="M818" t="s">
        <v>19</v>
      </c>
      <c r="N818" t="s">
        <v>1701</v>
      </c>
      <c r="O818">
        <v>30</v>
      </c>
    </row>
    <row r="819" spans="1:15" hidden="1" x14ac:dyDescent="0.25">
      <c r="A819" t="s">
        <v>2820</v>
      </c>
      <c r="B819" t="s">
        <v>1695</v>
      </c>
      <c r="C819" t="s">
        <v>1696</v>
      </c>
      <c r="D819" t="s">
        <v>1689</v>
      </c>
      <c r="E819" t="s">
        <v>2285</v>
      </c>
      <c r="F819" s="3">
        <v>826068</v>
      </c>
      <c r="G819" s="2">
        <f t="shared" si="24"/>
        <v>30</v>
      </c>
      <c r="H819" s="2">
        <f t="shared" ca="1" si="25"/>
        <v>124</v>
      </c>
      <c r="I819" s="4">
        <v>45996</v>
      </c>
      <c r="J819" s="4">
        <v>46026</v>
      </c>
      <c r="K819" t="s">
        <v>1691</v>
      </c>
      <c r="L819" t="s">
        <v>984</v>
      </c>
      <c r="M819" t="s">
        <v>19</v>
      </c>
      <c r="N819" t="s">
        <v>1697</v>
      </c>
      <c r="O819">
        <v>1</v>
      </c>
    </row>
    <row r="820" spans="1:15" hidden="1" x14ac:dyDescent="0.25">
      <c r="A820" t="s">
        <v>2820</v>
      </c>
      <c r="B820" t="s">
        <v>1695</v>
      </c>
      <c r="C820" t="s">
        <v>1696</v>
      </c>
      <c r="D820" t="s">
        <v>1689</v>
      </c>
      <c r="E820" t="s">
        <v>2286</v>
      </c>
      <c r="F820" s="3">
        <v>548783</v>
      </c>
      <c r="G820" s="2">
        <f t="shared" si="24"/>
        <v>30</v>
      </c>
      <c r="H820" s="2">
        <f t="shared" ca="1" si="25"/>
        <v>124</v>
      </c>
      <c r="I820" s="4">
        <v>45996</v>
      </c>
      <c r="J820" s="4">
        <v>46026</v>
      </c>
      <c r="K820" t="s">
        <v>1691</v>
      </c>
      <c r="L820" t="s">
        <v>984</v>
      </c>
      <c r="M820" t="s">
        <v>19</v>
      </c>
      <c r="N820" t="s">
        <v>1697</v>
      </c>
      <c r="O820">
        <v>1</v>
      </c>
    </row>
    <row r="821" spans="1:15" hidden="1" x14ac:dyDescent="0.25">
      <c r="A821" t="s">
        <v>2820</v>
      </c>
      <c r="B821" t="s">
        <v>857</v>
      </c>
      <c r="C821" t="s">
        <v>858</v>
      </c>
      <c r="D821" t="s">
        <v>854</v>
      </c>
      <c r="E821" t="s">
        <v>2240</v>
      </c>
      <c r="F821" s="3">
        <v>300997</v>
      </c>
      <c r="G821" s="2">
        <f t="shared" si="24"/>
        <v>30</v>
      </c>
      <c r="H821" s="2">
        <f t="shared" ca="1" si="25"/>
        <v>123</v>
      </c>
      <c r="I821" s="4">
        <v>45997</v>
      </c>
      <c r="J821" s="4">
        <v>46027</v>
      </c>
      <c r="K821" t="s">
        <v>845</v>
      </c>
      <c r="L821" t="s">
        <v>18</v>
      </c>
      <c r="M821" t="s">
        <v>19</v>
      </c>
      <c r="N821" t="s">
        <v>859</v>
      </c>
      <c r="O821">
        <v>30</v>
      </c>
    </row>
    <row r="822" spans="1:15" hidden="1" x14ac:dyDescent="0.25">
      <c r="A822" t="s">
        <v>2820</v>
      </c>
      <c r="B822" t="s">
        <v>1204</v>
      </c>
      <c r="C822" t="s">
        <v>1205</v>
      </c>
      <c r="D822" t="s">
        <v>1201</v>
      </c>
      <c r="E822" t="s">
        <v>2251</v>
      </c>
      <c r="F822" s="3">
        <v>1421020</v>
      </c>
      <c r="G822" s="2">
        <f t="shared" si="24"/>
        <v>30</v>
      </c>
      <c r="H822" s="2">
        <f t="shared" ca="1" si="25"/>
        <v>123</v>
      </c>
      <c r="I822" s="4">
        <v>45997</v>
      </c>
      <c r="J822" s="4">
        <v>46027</v>
      </c>
      <c r="K822" t="s">
        <v>1202</v>
      </c>
      <c r="L822" t="s">
        <v>207</v>
      </c>
      <c r="M822" t="s">
        <v>19</v>
      </c>
      <c r="N822" t="s">
        <v>1206</v>
      </c>
      <c r="O822">
        <v>30</v>
      </c>
    </row>
    <row r="823" spans="1:15" hidden="1" x14ac:dyDescent="0.25">
      <c r="A823" t="s">
        <v>2820</v>
      </c>
      <c r="B823" t="s">
        <v>1770</v>
      </c>
      <c r="C823" t="s">
        <v>1771</v>
      </c>
      <c r="D823" t="s">
        <v>331</v>
      </c>
      <c r="E823" t="s">
        <v>2288</v>
      </c>
      <c r="F823" s="3">
        <v>289181</v>
      </c>
      <c r="G823" s="2">
        <f t="shared" si="24"/>
        <v>15</v>
      </c>
      <c r="H823" s="2">
        <f t="shared" ca="1" si="25"/>
        <v>123</v>
      </c>
      <c r="I823" s="4">
        <v>45997</v>
      </c>
      <c r="J823" s="4">
        <v>46012</v>
      </c>
      <c r="K823" t="s">
        <v>1758</v>
      </c>
      <c r="L823" t="s">
        <v>317</v>
      </c>
      <c r="M823" t="s">
        <v>19</v>
      </c>
      <c r="N823" t="s">
        <v>1772</v>
      </c>
      <c r="O823">
        <v>30</v>
      </c>
    </row>
    <row r="824" spans="1:15" hidden="1" x14ac:dyDescent="0.25">
      <c r="A824" t="s">
        <v>2820</v>
      </c>
      <c r="B824" t="s">
        <v>1146</v>
      </c>
      <c r="C824" t="s">
        <v>1147</v>
      </c>
      <c r="D824" t="s">
        <v>1118</v>
      </c>
      <c r="E824" t="s">
        <v>2292</v>
      </c>
      <c r="F824" s="3">
        <v>3963599</v>
      </c>
      <c r="G824" s="2">
        <f t="shared" si="24"/>
        <v>30</v>
      </c>
      <c r="H824" s="2">
        <f t="shared" ca="1" si="25"/>
        <v>120</v>
      </c>
      <c r="I824" s="4">
        <v>46000</v>
      </c>
      <c r="J824" s="4">
        <v>46030</v>
      </c>
      <c r="K824" t="s">
        <v>1144</v>
      </c>
      <c r="L824" t="s">
        <v>207</v>
      </c>
      <c r="M824" t="s">
        <v>19</v>
      </c>
      <c r="N824" t="s">
        <v>1148</v>
      </c>
      <c r="O824">
        <v>30</v>
      </c>
    </row>
    <row r="825" spans="1:15" hidden="1" x14ac:dyDescent="0.25">
      <c r="A825" t="s">
        <v>2820</v>
      </c>
      <c r="B825" t="s">
        <v>1152</v>
      </c>
      <c r="C825" t="s">
        <v>1153</v>
      </c>
      <c r="D825" t="s">
        <v>1118</v>
      </c>
      <c r="E825" t="s">
        <v>2293</v>
      </c>
      <c r="F825" s="3">
        <v>1483768</v>
      </c>
      <c r="G825" s="2">
        <f t="shared" si="24"/>
        <v>30</v>
      </c>
      <c r="H825" s="2">
        <f t="shared" ca="1" si="25"/>
        <v>120</v>
      </c>
      <c r="I825" s="4">
        <v>46000</v>
      </c>
      <c r="J825" s="4">
        <v>46030</v>
      </c>
      <c r="K825" t="s">
        <v>1144</v>
      </c>
      <c r="L825" t="s">
        <v>207</v>
      </c>
      <c r="M825" t="s">
        <v>19</v>
      </c>
      <c r="N825" t="s">
        <v>1154</v>
      </c>
      <c r="O825">
        <v>30</v>
      </c>
    </row>
    <row r="826" spans="1:15" hidden="1" x14ac:dyDescent="0.25">
      <c r="A826" t="s">
        <v>2820</v>
      </c>
      <c r="B826" t="s">
        <v>1152</v>
      </c>
      <c r="C826" t="s">
        <v>1153</v>
      </c>
      <c r="D826" t="s">
        <v>1118</v>
      </c>
      <c r="E826" t="s">
        <v>2294</v>
      </c>
      <c r="F826" s="3">
        <v>2604359</v>
      </c>
      <c r="G826" s="2">
        <f t="shared" si="24"/>
        <v>30</v>
      </c>
      <c r="H826" s="2">
        <f t="shared" ca="1" si="25"/>
        <v>120</v>
      </c>
      <c r="I826" s="4">
        <v>46000</v>
      </c>
      <c r="J826" s="4">
        <v>46030</v>
      </c>
      <c r="K826" t="s">
        <v>1144</v>
      </c>
      <c r="L826" t="s">
        <v>207</v>
      </c>
      <c r="M826" t="s">
        <v>19</v>
      </c>
      <c r="N826" t="s">
        <v>1154</v>
      </c>
      <c r="O826">
        <v>30</v>
      </c>
    </row>
    <row r="827" spans="1:15" hidden="1" x14ac:dyDescent="0.25">
      <c r="A827" t="s">
        <v>2820</v>
      </c>
      <c r="B827" t="s">
        <v>1473</v>
      </c>
      <c r="C827" t="s">
        <v>1474</v>
      </c>
      <c r="D827" t="s">
        <v>341</v>
      </c>
      <c r="E827" t="s">
        <v>2295</v>
      </c>
      <c r="F827" s="3">
        <v>5940152</v>
      </c>
      <c r="G827" s="2">
        <f t="shared" si="24"/>
        <v>30</v>
      </c>
      <c r="H827" s="2">
        <f t="shared" ca="1" si="25"/>
        <v>120</v>
      </c>
      <c r="I827" s="4">
        <v>46000</v>
      </c>
      <c r="J827" s="4">
        <v>46030</v>
      </c>
      <c r="K827" t="s">
        <v>1470</v>
      </c>
      <c r="L827" t="s">
        <v>981</v>
      </c>
      <c r="M827" t="s">
        <v>19</v>
      </c>
      <c r="N827" t="s">
        <v>1475</v>
      </c>
      <c r="O827">
        <v>30</v>
      </c>
    </row>
    <row r="828" spans="1:15" hidden="1" x14ac:dyDescent="0.25">
      <c r="A828" t="s">
        <v>2820</v>
      </c>
      <c r="B828" t="s">
        <v>1741</v>
      </c>
      <c r="C828" t="s">
        <v>1742</v>
      </c>
      <c r="D828" t="s">
        <v>1740</v>
      </c>
      <c r="E828" t="s">
        <v>2296</v>
      </c>
      <c r="F828" s="3">
        <v>665102</v>
      </c>
      <c r="G828" s="2">
        <f t="shared" si="24"/>
        <v>30</v>
      </c>
      <c r="H828" s="2">
        <f t="shared" ca="1" si="25"/>
        <v>120</v>
      </c>
      <c r="I828" s="4">
        <v>46000</v>
      </c>
      <c r="J828" s="4">
        <v>46030</v>
      </c>
      <c r="K828" t="s">
        <v>1738</v>
      </c>
      <c r="L828" t="s">
        <v>981</v>
      </c>
      <c r="M828" t="s">
        <v>19</v>
      </c>
      <c r="N828" t="s">
        <v>1743</v>
      </c>
      <c r="O828">
        <v>30</v>
      </c>
    </row>
    <row r="829" spans="1:15" hidden="1" x14ac:dyDescent="0.25">
      <c r="A829" t="s">
        <v>2820</v>
      </c>
      <c r="B829" t="s">
        <v>358</v>
      </c>
      <c r="C829" t="s">
        <v>359</v>
      </c>
      <c r="D829" t="s">
        <v>347</v>
      </c>
      <c r="E829" t="s">
        <v>2306</v>
      </c>
      <c r="F829" s="3">
        <v>424202</v>
      </c>
      <c r="G829" s="2">
        <f t="shared" si="24"/>
        <v>30</v>
      </c>
      <c r="H829" s="2">
        <f t="shared" ca="1" si="25"/>
        <v>119</v>
      </c>
      <c r="I829" s="4">
        <v>46001</v>
      </c>
      <c r="J829" s="4">
        <v>46031</v>
      </c>
      <c r="K829" t="s">
        <v>343</v>
      </c>
      <c r="L829" t="s">
        <v>18</v>
      </c>
      <c r="M829" t="s">
        <v>19</v>
      </c>
      <c r="N829" t="s">
        <v>360</v>
      </c>
      <c r="O829">
        <v>30</v>
      </c>
    </row>
    <row r="830" spans="1:15" hidden="1" x14ac:dyDescent="0.25">
      <c r="A830" t="s">
        <v>2820</v>
      </c>
      <c r="B830" t="s">
        <v>2322</v>
      </c>
      <c r="C830" t="s">
        <v>2323</v>
      </c>
      <c r="D830" t="s">
        <v>1181</v>
      </c>
      <c r="E830" t="s">
        <v>2324</v>
      </c>
      <c r="F830" s="3">
        <v>494400</v>
      </c>
      <c r="G830" s="2">
        <f t="shared" si="24"/>
        <v>30</v>
      </c>
      <c r="H830" s="2">
        <f t="shared" ca="1" si="25"/>
        <v>119</v>
      </c>
      <c r="I830" s="4">
        <v>46001</v>
      </c>
      <c r="J830" s="4">
        <v>46031</v>
      </c>
      <c r="K830" t="s">
        <v>1183</v>
      </c>
      <c r="L830" t="s">
        <v>984</v>
      </c>
      <c r="M830" t="s">
        <v>19</v>
      </c>
      <c r="N830" t="s">
        <v>2325</v>
      </c>
      <c r="O830">
        <v>30</v>
      </c>
    </row>
    <row r="831" spans="1:15" hidden="1" x14ac:dyDescent="0.25">
      <c r="A831" t="s">
        <v>2820</v>
      </c>
      <c r="B831" t="s">
        <v>2322</v>
      </c>
      <c r="C831" t="s">
        <v>2323</v>
      </c>
      <c r="D831" t="s">
        <v>1181</v>
      </c>
      <c r="E831" t="s">
        <v>2326</v>
      </c>
      <c r="F831" s="3">
        <v>2975909</v>
      </c>
      <c r="G831" s="2">
        <f t="shared" si="24"/>
        <v>30</v>
      </c>
      <c r="H831" s="2">
        <f t="shared" ca="1" si="25"/>
        <v>119</v>
      </c>
      <c r="I831" s="4">
        <v>46001</v>
      </c>
      <c r="J831" s="4">
        <v>46031</v>
      </c>
      <c r="K831" t="s">
        <v>1183</v>
      </c>
      <c r="L831" t="s">
        <v>984</v>
      </c>
      <c r="M831" t="s">
        <v>19</v>
      </c>
      <c r="N831" t="s">
        <v>2325</v>
      </c>
      <c r="O831">
        <v>30</v>
      </c>
    </row>
    <row r="832" spans="1:15" hidden="1" x14ac:dyDescent="0.25">
      <c r="A832" t="s">
        <v>2820</v>
      </c>
      <c r="B832" t="s">
        <v>2322</v>
      </c>
      <c r="C832" t="s">
        <v>2323</v>
      </c>
      <c r="D832" t="s">
        <v>1181</v>
      </c>
      <c r="E832" t="s">
        <v>2327</v>
      </c>
      <c r="F832" s="3">
        <v>3260562</v>
      </c>
      <c r="G832" s="2">
        <f t="shared" si="24"/>
        <v>30</v>
      </c>
      <c r="H832" s="2">
        <f t="shared" ca="1" si="25"/>
        <v>119</v>
      </c>
      <c r="I832" s="4">
        <v>46001</v>
      </c>
      <c r="J832" s="4">
        <v>46031</v>
      </c>
      <c r="K832" t="s">
        <v>1183</v>
      </c>
      <c r="L832" t="s">
        <v>984</v>
      </c>
      <c r="M832" t="s">
        <v>19</v>
      </c>
      <c r="N832" t="s">
        <v>2325</v>
      </c>
      <c r="O832">
        <v>30</v>
      </c>
    </row>
    <row r="833" spans="1:15" hidden="1" x14ac:dyDescent="0.25">
      <c r="A833" t="s">
        <v>2820</v>
      </c>
      <c r="B833" t="s">
        <v>2322</v>
      </c>
      <c r="C833" t="s">
        <v>2323</v>
      </c>
      <c r="D833" t="s">
        <v>1181</v>
      </c>
      <c r="E833" t="s">
        <v>2328</v>
      </c>
      <c r="F833" s="3">
        <v>1784400</v>
      </c>
      <c r="G833" s="2">
        <f t="shared" si="24"/>
        <v>30</v>
      </c>
      <c r="H833" s="2">
        <f t="shared" ca="1" si="25"/>
        <v>119</v>
      </c>
      <c r="I833" s="4">
        <v>46001</v>
      </c>
      <c r="J833" s="4">
        <v>46031</v>
      </c>
      <c r="K833" t="s">
        <v>1183</v>
      </c>
      <c r="L833" t="s">
        <v>984</v>
      </c>
      <c r="M833" t="s">
        <v>19</v>
      </c>
      <c r="N833" t="s">
        <v>2325</v>
      </c>
      <c r="O833">
        <v>30</v>
      </c>
    </row>
    <row r="834" spans="1:15" hidden="1" x14ac:dyDescent="0.25">
      <c r="A834" t="s">
        <v>2820</v>
      </c>
      <c r="B834" t="s">
        <v>1104</v>
      </c>
      <c r="C834" t="s">
        <v>1105</v>
      </c>
      <c r="D834" t="s">
        <v>1066</v>
      </c>
      <c r="E834" t="s">
        <v>2329</v>
      </c>
      <c r="F834" s="3">
        <v>1448488</v>
      </c>
      <c r="G834" s="2">
        <f t="shared" ref="G834:G897" si="26">+J834-I834</f>
        <v>30</v>
      </c>
      <c r="H834" s="2">
        <f t="shared" ref="H834:H897" ca="1" si="27">+TODAY()-I834</f>
        <v>119</v>
      </c>
      <c r="I834" s="4">
        <v>46001</v>
      </c>
      <c r="J834" s="4">
        <v>46031</v>
      </c>
      <c r="K834" t="s">
        <v>1243</v>
      </c>
      <c r="L834" t="s">
        <v>117</v>
      </c>
      <c r="M834" t="s">
        <v>19</v>
      </c>
      <c r="N834" t="s">
        <v>1106</v>
      </c>
      <c r="O834">
        <v>30</v>
      </c>
    </row>
    <row r="835" spans="1:15" hidden="1" x14ac:dyDescent="0.25">
      <c r="A835" t="s">
        <v>2820</v>
      </c>
      <c r="B835" t="s">
        <v>1104</v>
      </c>
      <c r="C835" t="s">
        <v>1105</v>
      </c>
      <c r="D835" t="s">
        <v>1066</v>
      </c>
      <c r="E835" t="s">
        <v>2330</v>
      </c>
      <c r="F835" s="3">
        <v>520849</v>
      </c>
      <c r="G835" s="2">
        <f t="shared" si="26"/>
        <v>30</v>
      </c>
      <c r="H835" s="2">
        <f t="shared" ca="1" si="27"/>
        <v>119</v>
      </c>
      <c r="I835" s="4">
        <v>46001</v>
      </c>
      <c r="J835" s="4">
        <v>46031</v>
      </c>
      <c r="K835" t="s">
        <v>1243</v>
      </c>
      <c r="L835" t="s">
        <v>117</v>
      </c>
      <c r="M835" t="s">
        <v>19</v>
      </c>
      <c r="N835" t="s">
        <v>1106</v>
      </c>
      <c r="O835">
        <v>30</v>
      </c>
    </row>
    <row r="836" spans="1:15" hidden="1" x14ac:dyDescent="0.25">
      <c r="A836" t="s">
        <v>2820</v>
      </c>
      <c r="B836" t="s">
        <v>1566</v>
      </c>
      <c r="C836" t="s">
        <v>1567</v>
      </c>
      <c r="D836" t="s">
        <v>1563</v>
      </c>
      <c r="E836" t="s">
        <v>2340</v>
      </c>
      <c r="F836" s="3">
        <v>574094</v>
      </c>
      <c r="G836" s="2">
        <f t="shared" si="26"/>
        <v>30</v>
      </c>
      <c r="H836" s="2">
        <f t="shared" ca="1" si="27"/>
        <v>119</v>
      </c>
      <c r="I836" s="4">
        <v>46001</v>
      </c>
      <c r="J836" s="4">
        <v>46031</v>
      </c>
      <c r="K836" t="s">
        <v>1564</v>
      </c>
      <c r="L836" t="s">
        <v>984</v>
      </c>
      <c r="M836" t="s">
        <v>19</v>
      </c>
      <c r="N836" t="s">
        <v>1568</v>
      </c>
      <c r="O836">
        <v>30</v>
      </c>
    </row>
    <row r="837" spans="1:15" hidden="1" x14ac:dyDescent="0.25">
      <c r="A837" t="s">
        <v>2820</v>
      </c>
      <c r="B837" t="s">
        <v>1566</v>
      </c>
      <c r="C837" t="s">
        <v>1567</v>
      </c>
      <c r="D837" t="s">
        <v>1563</v>
      </c>
      <c r="E837" t="s">
        <v>2341</v>
      </c>
      <c r="F837" s="3">
        <v>379796</v>
      </c>
      <c r="G837" s="2">
        <f t="shared" si="26"/>
        <v>30</v>
      </c>
      <c r="H837" s="2">
        <f t="shared" ca="1" si="27"/>
        <v>119</v>
      </c>
      <c r="I837" s="4">
        <v>46001</v>
      </c>
      <c r="J837" s="4">
        <v>46031</v>
      </c>
      <c r="K837" t="s">
        <v>1564</v>
      </c>
      <c r="L837" t="s">
        <v>984</v>
      </c>
      <c r="M837" t="s">
        <v>19</v>
      </c>
      <c r="N837" t="s">
        <v>1568</v>
      </c>
      <c r="O837">
        <v>30</v>
      </c>
    </row>
    <row r="838" spans="1:15" hidden="1" x14ac:dyDescent="0.25">
      <c r="A838" t="s">
        <v>2820</v>
      </c>
      <c r="B838" t="s">
        <v>1566</v>
      </c>
      <c r="C838" t="s">
        <v>1567</v>
      </c>
      <c r="D838" t="s">
        <v>1563</v>
      </c>
      <c r="E838" t="s">
        <v>2342</v>
      </c>
      <c r="F838" s="3">
        <v>856000</v>
      </c>
      <c r="G838" s="2">
        <f t="shared" si="26"/>
        <v>30</v>
      </c>
      <c r="H838" s="2">
        <f t="shared" ca="1" si="27"/>
        <v>119</v>
      </c>
      <c r="I838" s="4">
        <v>46001</v>
      </c>
      <c r="J838" s="4">
        <v>46031</v>
      </c>
      <c r="K838" t="s">
        <v>1564</v>
      </c>
      <c r="L838" t="s">
        <v>984</v>
      </c>
      <c r="M838" t="s">
        <v>19</v>
      </c>
      <c r="N838" t="s">
        <v>1568</v>
      </c>
      <c r="O838">
        <v>30</v>
      </c>
    </row>
    <row r="839" spans="1:15" hidden="1" x14ac:dyDescent="0.25">
      <c r="A839" t="s">
        <v>2820</v>
      </c>
      <c r="B839" t="s">
        <v>1561</v>
      </c>
      <c r="C839" t="s">
        <v>1562</v>
      </c>
      <c r="D839" t="s">
        <v>1563</v>
      </c>
      <c r="E839" t="s">
        <v>2343</v>
      </c>
      <c r="F839" s="3">
        <v>1362231</v>
      </c>
      <c r="G839" s="2">
        <f t="shared" si="26"/>
        <v>30</v>
      </c>
      <c r="H839" s="2">
        <f t="shared" ca="1" si="27"/>
        <v>119</v>
      </c>
      <c r="I839" s="4">
        <v>46001</v>
      </c>
      <c r="J839" s="4">
        <v>46031</v>
      </c>
      <c r="K839" t="s">
        <v>1564</v>
      </c>
      <c r="L839" t="s">
        <v>984</v>
      </c>
      <c r="M839" t="s">
        <v>19</v>
      </c>
      <c r="N839" t="s">
        <v>1565</v>
      </c>
      <c r="O839">
        <v>30</v>
      </c>
    </row>
    <row r="840" spans="1:15" hidden="1" x14ac:dyDescent="0.25">
      <c r="A840" t="s">
        <v>2820</v>
      </c>
      <c r="B840" t="s">
        <v>1569</v>
      </c>
      <c r="C840" t="s">
        <v>1570</v>
      </c>
      <c r="D840" t="s">
        <v>1563</v>
      </c>
      <c r="E840" t="s">
        <v>2344</v>
      </c>
      <c r="F840" s="3">
        <v>2015412</v>
      </c>
      <c r="G840" s="2">
        <f t="shared" si="26"/>
        <v>30</v>
      </c>
      <c r="H840" s="2">
        <f t="shared" ca="1" si="27"/>
        <v>119</v>
      </c>
      <c r="I840" s="4">
        <v>46001</v>
      </c>
      <c r="J840" s="4">
        <v>46031</v>
      </c>
      <c r="K840" t="s">
        <v>1564</v>
      </c>
      <c r="L840" t="s">
        <v>984</v>
      </c>
      <c r="M840" t="s">
        <v>19</v>
      </c>
      <c r="N840" t="s">
        <v>1571</v>
      </c>
      <c r="O840">
        <v>30</v>
      </c>
    </row>
    <row r="841" spans="1:15" hidden="1" x14ac:dyDescent="0.25">
      <c r="A841" t="s">
        <v>2820</v>
      </c>
      <c r="B841" t="s">
        <v>1569</v>
      </c>
      <c r="C841" t="s">
        <v>1570</v>
      </c>
      <c r="D841" t="s">
        <v>1563</v>
      </c>
      <c r="E841" t="s">
        <v>2345</v>
      </c>
      <c r="F841" s="3">
        <v>1672630</v>
      </c>
      <c r="G841" s="2">
        <f t="shared" si="26"/>
        <v>30</v>
      </c>
      <c r="H841" s="2">
        <f t="shared" ca="1" si="27"/>
        <v>119</v>
      </c>
      <c r="I841" s="4">
        <v>46001</v>
      </c>
      <c r="J841" s="4">
        <v>46031</v>
      </c>
      <c r="K841" t="s">
        <v>1564</v>
      </c>
      <c r="L841" t="s">
        <v>984</v>
      </c>
      <c r="M841" t="s">
        <v>19</v>
      </c>
      <c r="N841" t="s">
        <v>1571</v>
      </c>
      <c r="O841">
        <v>30</v>
      </c>
    </row>
    <row r="842" spans="1:15" hidden="1" x14ac:dyDescent="0.25">
      <c r="A842" t="s">
        <v>2820</v>
      </c>
      <c r="B842" t="s">
        <v>1569</v>
      </c>
      <c r="C842" t="s">
        <v>1570</v>
      </c>
      <c r="D842" t="s">
        <v>1563</v>
      </c>
      <c r="E842" t="s">
        <v>2346</v>
      </c>
      <c r="F842" s="3">
        <v>1150000</v>
      </c>
      <c r="G842" s="2">
        <f t="shared" si="26"/>
        <v>30</v>
      </c>
      <c r="H842" s="2">
        <f t="shared" ca="1" si="27"/>
        <v>119</v>
      </c>
      <c r="I842" s="4">
        <v>46001</v>
      </c>
      <c r="J842" s="4">
        <v>46031</v>
      </c>
      <c r="K842" t="s">
        <v>1564</v>
      </c>
      <c r="L842" t="s">
        <v>984</v>
      </c>
      <c r="M842" t="s">
        <v>19</v>
      </c>
      <c r="N842" t="s">
        <v>1571</v>
      </c>
      <c r="O842">
        <v>30</v>
      </c>
    </row>
    <row r="843" spans="1:15" hidden="1" x14ac:dyDescent="0.25">
      <c r="A843" t="s">
        <v>2820</v>
      </c>
      <c r="B843" t="s">
        <v>2007</v>
      </c>
      <c r="C843" t="s">
        <v>2008</v>
      </c>
      <c r="D843" t="s">
        <v>1583</v>
      </c>
      <c r="E843" t="s">
        <v>2347</v>
      </c>
      <c r="F843" s="3">
        <v>454818</v>
      </c>
      <c r="G843" s="2">
        <f t="shared" si="26"/>
        <v>30</v>
      </c>
      <c r="H843" s="2">
        <f t="shared" ca="1" si="27"/>
        <v>119</v>
      </c>
      <c r="I843" s="4">
        <v>46001</v>
      </c>
      <c r="J843" s="4">
        <v>46031</v>
      </c>
      <c r="K843" t="s">
        <v>1863</v>
      </c>
      <c r="L843" t="s">
        <v>984</v>
      </c>
      <c r="M843" t="s">
        <v>19</v>
      </c>
      <c r="N843" t="s">
        <v>2009</v>
      </c>
      <c r="O843">
        <v>30</v>
      </c>
    </row>
    <row r="844" spans="1:15" hidden="1" x14ac:dyDescent="0.25">
      <c r="A844" t="s">
        <v>2820</v>
      </c>
      <c r="B844" t="s">
        <v>2007</v>
      </c>
      <c r="C844" t="s">
        <v>2008</v>
      </c>
      <c r="D844" t="s">
        <v>1583</v>
      </c>
      <c r="E844" t="s">
        <v>2348</v>
      </c>
      <c r="F844" s="3">
        <v>888899</v>
      </c>
      <c r="G844" s="2">
        <f t="shared" si="26"/>
        <v>30</v>
      </c>
      <c r="H844" s="2">
        <f t="shared" ca="1" si="27"/>
        <v>119</v>
      </c>
      <c r="I844" s="4">
        <v>46001</v>
      </c>
      <c r="J844" s="4">
        <v>46031</v>
      </c>
      <c r="K844" t="s">
        <v>1863</v>
      </c>
      <c r="L844" t="s">
        <v>984</v>
      </c>
      <c r="M844" t="s">
        <v>19</v>
      </c>
      <c r="N844" t="s">
        <v>2009</v>
      </c>
      <c r="O844">
        <v>30</v>
      </c>
    </row>
    <row r="845" spans="1:15" hidden="1" x14ac:dyDescent="0.25">
      <c r="A845" t="s">
        <v>2820</v>
      </c>
      <c r="B845" t="s">
        <v>1872</v>
      </c>
      <c r="C845" t="s">
        <v>1873</v>
      </c>
      <c r="D845" t="s">
        <v>1190</v>
      </c>
      <c r="E845" t="s">
        <v>2349</v>
      </c>
      <c r="F845" s="3">
        <v>5700000</v>
      </c>
      <c r="G845" s="2">
        <f t="shared" si="26"/>
        <v>30</v>
      </c>
      <c r="H845" s="2">
        <f t="shared" ca="1" si="27"/>
        <v>119</v>
      </c>
      <c r="I845" s="4">
        <v>46001</v>
      </c>
      <c r="J845" s="4">
        <v>46031</v>
      </c>
      <c r="K845" t="s">
        <v>1863</v>
      </c>
      <c r="L845" t="s">
        <v>984</v>
      </c>
      <c r="M845" t="s">
        <v>19</v>
      </c>
      <c r="N845" t="s">
        <v>1874</v>
      </c>
      <c r="O845">
        <v>1</v>
      </c>
    </row>
    <row r="846" spans="1:15" hidden="1" x14ac:dyDescent="0.25">
      <c r="A846" t="s">
        <v>2820</v>
      </c>
      <c r="B846" t="s">
        <v>1872</v>
      </c>
      <c r="C846" t="s">
        <v>1873</v>
      </c>
      <c r="D846" t="s">
        <v>1190</v>
      </c>
      <c r="E846" t="s">
        <v>2350</v>
      </c>
      <c r="F846" s="3">
        <v>1134051</v>
      </c>
      <c r="G846" s="2">
        <f t="shared" si="26"/>
        <v>30</v>
      </c>
      <c r="H846" s="2">
        <f t="shared" ca="1" si="27"/>
        <v>119</v>
      </c>
      <c r="I846" s="4">
        <v>46001</v>
      </c>
      <c r="J846" s="4">
        <v>46031</v>
      </c>
      <c r="K846" t="s">
        <v>1863</v>
      </c>
      <c r="L846" t="s">
        <v>984</v>
      </c>
      <c r="M846" t="s">
        <v>19</v>
      </c>
      <c r="N846" t="s">
        <v>1874</v>
      </c>
      <c r="O846">
        <v>1</v>
      </c>
    </row>
    <row r="847" spans="1:15" hidden="1" x14ac:dyDescent="0.25">
      <c r="A847" t="s">
        <v>2820</v>
      </c>
      <c r="B847" t="s">
        <v>1872</v>
      </c>
      <c r="C847" t="s">
        <v>1873</v>
      </c>
      <c r="D847" t="s">
        <v>1190</v>
      </c>
      <c r="E847" t="s">
        <v>2351</v>
      </c>
      <c r="F847" s="3">
        <v>6805351</v>
      </c>
      <c r="G847" s="2">
        <f t="shared" si="26"/>
        <v>30</v>
      </c>
      <c r="H847" s="2">
        <f t="shared" ca="1" si="27"/>
        <v>119</v>
      </c>
      <c r="I847" s="4">
        <v>46001</v>
      </c>
      <c r="J847" s="4">
        <v>46031</v>
      </c>
      <c r="K847" t="s">
        <v>1863</v>
      </c>
      <c r="L847" t="s">
        <v>984</v>
      </c>
      <c r="M847" t="s">
        <v>19</v>
      </c>
      <c r="N847" t="s">
        <v>1874</v>
      </c>
      <c r="O847">
        <v>1</v>
      </c>
    </row>
    <row r="848" spans="1:15" hidden="1" x14ac:dyDescent="0.25">
      <c r="A848" t="s">
        <v>2820</v>
      </c>
      <c r="B848" t="s">
        <v>1876</v>
      </c>
      <c r="C848" t="s">
        <v>1877</v>
      </c>
      <c r="D848" t="s">
        <v>1878</v>
      </c>
      <c r="E848" t="s">
        <v>2352</v>
      </c>
      <c r="F848" s="3">
        <v>5700400</v>
      </c>
      <c r="G848" s="2">
        <f t="shared" si="26"/>
        <v>30</v>
      </c>
      <c r="H848" s="2">
        <f t="shared" ca="1" si="27"/>
        <v>119</v>
      </c>
      <c r="I848" s="4">
        <v>46001</v>
      </c>
      <c r="J848" s="4">
        <v>46031</v>
      </c>
      <c r="K848" t="s">
        <v>1879</v>
      </c>
      <c r="L848" t="s">
        <v>984</v>
      </c>
      <c r="M848" t="s">
        <v>19</v>
      </c>
      <c r="N848" t="s">
        <v>1880</v>
      </c>
      <c r="O848">
        <v>30</v>
      </c>
    </row>
    <row r="849" spans="1:15" hidden="1" x14ac:dyDescent="0.25">
      <c r="A849" t="s">
        <v>2820</v>
      </c>
      <c r="B849" t="s">
        <v>1922</v>
      </c>
      <c r="C849" t="s">
        <v>1923</v>
      </c>
      <c r="D849" t="s">
        <v>336</v>
      </c>
      <c r="E849" t="s">
        <v>2307</v>
      </c>
      <c r="F849" s="3">
        <v>247137</v>
      </c>
      <c r="G849" s="2">
        <f t="shared" si="26"/>
        <v>30</v>
      </c>
      <c r="H849" s="2">
        <f t="shared" ca="1" si="27"/>
        <v>118</v>
      </c>
      <c r="I849" s="4">
        <v>46002</v>
      </c>
      <c r="J849" s="4">
        <v>46032</v>
      </c>
      <c r="K849" t="s">
        <v>638</v>
      </c>
      <c r="L849" t="s">
        <v>18</v>
      </c>
      <c r="M849" t="s">
        <v>19</v>
      </c>
      <c r="N849" t="s">
        <v>1924</v>
      </c>
      <c r="O849">
        <v>30</v>
      </c>
    </row>
    <row r="850" spans="1:15" hidden="1" x14ac:dyDescent="0.25">
      <c r="A850" t="s">
        <v>2820</v>
      </c>
      <c r="B850" t="s">
        <v>1922</v>
      </c>
      <c r="C850" t="s">
        <v>1923</v>
      </c>
      <c r="D850" t="s">
        <v>336</v>
      </c>
      <c r="E850" t="s">
        <v>2308</v>
      </c>
      <c r="F850" s="3">
        <v>297531</v>
      </c>
      <c r="G850" s="2">
        <f t="shared" si="26"/>
        <v>30</v>
      </c>
      <c r="H850" s="2">
        <f t="shared" ca="1" si="27"/>
        <v>118</v>
      </c>
      <c r="I850" s="4">
        <v>46002</v>
      </c>
      <c r="J850" s="4">
        <v>46032</v>
      </c>
      <c r="K850" t="s">
        <v>638</v>
      </c>
      <c r="L850" t="s">
        <v>18</v>
      </c>
      <c r="M850" t="s">
        <v>19</v>
      </c>
      <c r="N850" t="s">
        <v>1924</v>
      </c>
      <c r="O850">
        <v>30</v>
      </c>
    </row>
    <row r="851" spans="1:15" hidden="1" x14ac:dyDescent="0.25">
      <c r="A851" t="s">
        <v>2820</v>
      </c>
      <c r="B851" t="s">
        <v>654</v>
      </c>
      <c r="C851" t="s">
        <v>655</v>
      </c>
      <c r="D851" t="s">
        <v>642</v>
      </c>
      <c r="E851" t="s">
        <v>2309</v>
      </c>
      <c r="F851" s="3">
        <v>1695882</v>
      </c>
      <c r="G851" s="2">
        <f t="shared" si="26"/>
        <v>30</v>
      </c>
      <c r="H851" s="2">
        <f t="shared" ca="1" si="27"/>
        <v>118</v>
      </c>
      <c r="I851" s="4">
        <v>46002</v>
      </c>
      <c r="J851" s="4">
        <v>46032</v>
      </c>
      <c r="K851" t="s">
        <v>638</v>
      </c>
      <c r="L851" t="s">
        <v>18</v>
      </c>
      <c r="M851" t="s">
        <v>19</v>
      </c>
      <c r="N851" t="s">
        <v>656</v>
      </c>
      <c r="O851">
        <v>30</v>
      </c>
    </row>
    <row r="852" spans="1:15" hidden="1" x14ac:dyDescent="0.25">
      <c r="A852" t="s">
        <v>2820</v>
      </c>
      <c r="B852" t="s">
        <v>2133</v>
      </c>
      <c r="C852" t="s">
        <v>2134</v>
      </c>
      <c r="D852" t="s">
        <v>994</v>
      </c>
      <c r="E852" t="s">
        <v>2311</v>
      </c>
      <c r="F852" s="3">
        <v>256300</v>
      </c>
      <c r="G852" s="2">
        <f t="shared" si="26"/>
        <v>30</v>
      </c>
      <c r="H852" s="2">
        <f t="shared" ca="1" si="27"/>
        <v>118</v>
      </c>
      <c r="I852" s="4">
        <v>46002</v>
      </c>
      <c r="J852" s="4">
        <v>46032</v>
      </c>
      <c r="K852" t="s">
        <v>989</v>
      </c>
      <c r="L852" t="s">
        <v>18</v>
      </c>
      <c r="M852" t="s">
        <v>19</v>
      </c>
      <c r="N852" t="s">
        <v>2135</v>
      </c>
      <c r="O852">
        <v>30</v>
      </c>
    </row>
    <row r="853" spans="1:15" hidden="1" x14ac:dyDescent="0.25">
      <c r="A853" t="s">
        <v>2820</v>
      </c>
      <c r="B853" t="s">
        <v>2133</v>
      </c>
      <c r="C853" t="s">
        <v>2134</v>
      </c>
      <c r="D853" t="s">
        <v>994</v>
      </c>
      <c r="E853" t="s">
        <v>2312</v>
      </c>
      <c r="F853" s="3">
        <v>42800</v>
      </c>
      <c r="G853" s="2">
        <f t="shared" si="26"/>
        <v>30</v>
      </c>
      <c r="H853" s="2">
        <f t="shared" ca="1" si="27"/>
        <v>118</v>
      </c>
      <c r="I853" s="4">
        <v>46002</v>
      </c>
      <c r="J853" s="4">
        <v>46032</v>
      </c>
      <c r="K853" t="s">
        <v>989</v>
      </c>
      <c r="L853" t="s">
        <v>18</v>
      </c>
      <c r="M853" t="s">
        <v>19</v>
      </c>
      <c r="N853" t="s">
        <v>2135</v>
      </c>
      <c r="O853">
        <v>30</v>
      </c>
    </row>
    <row r="854" spans="1:15" hidden="1" x14ac:dyDescent="0.25">
      <c r="A854" t="s">
        <v>2820</v>
      </c>
      <c r="B854" t="s">
        <v>2313</v>
      </c>
      <c r="C854" t="s">
        <v>2314</v>
      </c>
      <c r="D854" t="s">
        <v>875</v>
      </c>
      <c r="E854" t="s">
        <v>2315</v>
      </c>
      <c r="F854" s="3">
        <v>6354000</v>
      </c>
      <c r="G854" s="2">
        <f t="shared" si="26"/>
        <v>30</v>
      </c>
      <c r="H854" s="2">
        <f t="shared" ca="1" si="27"/>
        <v>118</v>
      </c>
      <c r="I854" s="4">
        <v>46002</v>
      </c>
      <c r="J854" s="4">
        <v>46032</v>
      </c>
      <c r="K854" t="s">
        <v>1063</v>
      </c>
      <c r="L854" t="s">
        <v>109</v>
      </c>
      <c r="M854" t="s">
        <v>19</v>
      </c>
      <c r="N854" t="s">
        <v>2316</v>
      </c>
      <c r="O854">
        <v>30</v>
      </c>
    </row>
    <row r="855" spans="1:15" hidden="1" x14ac:dyDescent="0.25">
      <c r="A855" t="s">
        <v>2820</v>
      </c>
      <c r="B855" t="s">
        <v>2317</v>
      </c>
      <c r="C855" t="s">
        <v>2318</v>
      </c>
      <c r="D855" t="s">
        <v>320</v>
      </c>
      <c r="E855" t="s">
        <v>2319</v>
      </c>
      <c r="F855" s="3">
        <v>9440</v>
      </c>
      <c r="G855" s="2">
        <f t="shared" si="26"/>
        <v>15</v>
      </c>
      <c r="H855" s="2">
        <f t="shared" ca="1" si="27"/>
        <v>118</v>
      </c>
      <c r="I855" s="4">
        <v>46002</v>
      </c>
      <c r="J855" s="4">
        <v>46017</v>
      </c>
      <c r="K855" t="s">
        <v>1068</v>
      </c>
      <c r="L855" t="s">
        <v>207</v>
      </c>
      <c r="M855" t="s">
        <v>19</v>
      </c>
      <c r="N855" t="s">
        <v>2320</v>
      </c>
      <c r="O855">
        <v>15</v>
      </c>
    </row>
    <row r="856" spans="1:15" hidden="1" x14ac:dyDescent="0.25">
      <c r="A856" t="s">
        <v>2820</v>
      </c>
      <c r="B856" t="s">
        <v>1098</v>
      </c>
      <c r="C856" t="s">
        <v>1099</v>
      </c>
      <c r="D856" t="s">
        <v>1066</v>
      </c>
      <c r="E856" t="s">
        <v>2321</v>
      </c>
      <c r="F856" s="3">
        <v>1912538</v>
      </c>
      <c r="G856" s="2">
        <f t="shared" si="26"/>
        <v>30</v>
      </c>
      <c r="H856" s="2">
        <f t="shared" ca="1" si="27"/>
        <v>118</v>
      </c>
      <c r="I856" s="4">
        <v>46002</v>
      </c>
      <c r="J856" s="4">
        <v>46032</v>
      </c>
      <c r="K856" t="s">
        <v>1068</v>
      </c>
      <c r="L856" t="s">
        <v>207</v>
      </c>
      <c r="M856" t="s">
        <v>19</v>
      </c>
      <c r="N856" t="s">
        <v>1100</v>
      </c>
      <c r="O856">
        <v>30</v>
      </c>
    </row>
    <row r="857" spans="1:15" hidden="1" x14ac:dyDescent="0.25">
      <c r="A857" t="s">
        <v>2820</v>
      </c>
      <c r="B857" t="s">
        <v>1199</v>
      </c>
      <c r="C857" t="s">
        <v>1200</v>
      </c>
      <c r="D857" t="s">
        <v>1201</v>
      </c>
      <c r="E857" t="s">
        <v>2354</v>
      </c>
      <c r="F857" s="3">
        <v>4000000</v>
      </c>
      <c r="G857" s="2">
        <f t="shared" si="26"/>
        <v>30</v>
      </c>
      <c r="H857" s="2">
        <f t="shared" ca="1" si="27"/>
        <v>118</v>
      </c>
      <c r="I857" s="4">
        <v>46002</v>
      </c>
      <c r="J857" s="4">
        <v>46032</v>
      </c>
      <c r="K857" t="s">
        <v>1202</v>
      </c>
      <c r="L857" t="s">
        <v>207</v>
      </c>
      <c r="M857" t="s">
        <v>19</v>
      </c>
      <c r="N857" t="s">
        <v>1203</v>
      </c>
      <c r="O857">
        <v>30</v>
      </c>
    </row>
    <row r="858" spans="1:15" hidden="1" x14ac:dyDescent="0.25">
      <c r="A858" t="s">
        <v>2820</v>
      </c>
      <c r="B858" t="s">
        <v>2001</v>
      </c>
      <c r="C858" t="s">
        <v>2002</v>
      </c>
      <c r="D858" t="s">
        <v>1259</v>
      </c>
      <c r="E858" t="s">
        <v>2355</v>
      </c>
      <c r="F858" s="3">
        <v>378129</v>
      </c>
      <c r="G858" s="2">
        <f t="shared" si="26"/>
        <v>30</v>
      </c>
      <c r="H858" s="2">
        <f t="shared" ca="1" si="27"/>
        <v>118</v>
      </c>
      <c r="I858" s="4">
        <v>46002</v>
      </c>
      <c r="J858" s="4">
        <v>46032</v>
      </c>
      <c r="K858" t="s">
        <v>1260</v>
      </c>
      <c r="L858" t="s">
        <v>981</v>
      </c>
      <c r="M858" t="s">
        <v>19</v>
      </c>
      <c r="N858" t="s">
        <v>2003</v>
      </c>
      <c r="O858">
        <v>30</v>
      </c>
    </row>
    <row r="859" spans="1:15" hidden="1" x14ac:dyDescent="0.25">
      <c r="A859" t="s">
        <v>2820</v>
      </c>
      <c r="B859" t="s">
        <v>2001</v>
      </c>
      <c r="C859" t="s">
        <v>2002</v>
      </c>
      <c r="D859" t="s">
        <v>1259</v>
      </c>
      <c r="E859" t="s">
        <v>2356</v>
      </c>
      <c r="F859" s="3">
        <v>727592</v>
      </c>
      <c r="G859" s="2">
        <f t="shared" si="26"/>
        <v>30</v>
      </c>
      <c r="H859" s="2">
        <f t="shared" ca="1" si="27"/>
        <v>118</v>
      </c>
      <c r="I859" s="4">
        <v>46002</v>
      </c>
      <c r="J859" s="4">
        <v>46032</v>
      </c>
      <c r="K859" t="s">
        <v>1260</v>
      </c>
      <c r="L859" t="s">
        <v>981</v>
      </c>
      <c r="M859" t="s">
        <v>19</v>
      </c>
      <c r="N859" t="s">
        <v>2003</v>
      </c>
      <c r="O859">
        <v>30</v>
      </c>
    </row>
    <row r="860" spans="1:15" hidden="1" x14ac:dyDescent="0.25">
      <c r="A860" t="s">
        <v>2820</v>
      </c>
      <c r="B860" t="s">
        <v>1449</v>
      </c>
      <c r="C860" t="s">
        <v>1450</v>
      </c>
      <c r="D860" t="s">
        <v>15</v>
      </c>
      <c r="E860" t="s">
        <v>2335</v>
      </c>
      <c r="F860" s="3">
        <v>46271</v>
      </c>
      <c r="G860" s="2">
        <f t="shared" si="26"/>
        <v>30</v>
      </c>
      <c r="H860" s="2">
        <f t="shared" ca="1" si="27"/>
        <v>118</v>
      </c>
      <c r="I860" s="4">
        <v>46002</v>
      </c>
      <c r="J860" s="4">
        <v>46032</v>
      </c>
      <c r="K860" t="s">
        <v>1403</v>
      </c>
      <c r="L860" t="s">
        <v>90</v>
      </c>
      <c r="M860" t="s">
        <v>19</v>
      </c>
      <c r="N860" t="s">
        <v>1451</v>
      </c>
      <c r="O860">
        <v>30</v>
      </c>
    </row>
    <row r="861" spans="1:15" hidden="1" x14ac:dyDescent="0.25">
      <c r="A861" t="s">
        <v>2820</v>
      </c>
      <c r="B861" t="s">
        <v>2313</v>
      </c>
      <c r="C861" t="s">
        <v>2314</v>
      </c>
      <c r="D861" t="s">
        <v>875</v>
      </c>
      <c r="E861" t="s">
        <v>2336</v>
      </c>
      <c r="F861" s="3">
        <v>9877000</v>
      </c>
      <c r="G861" s="2">
        <f t="shared" si="26"/>
        <v>30</v>
      </c>
      <c r="H861" s="2">
        <f t="shared" ca="1" si="27"/>
        <v>118</v>
      </c>
      <c r="I861" s="4">
        <v>46002</v>
      </c>
      <c r="J861" s="4">
        <v>46032</v>
      </c>
      <c r="K861" t="s">
        <v>1403</v>
      </c>
      <c r="L861" t="s">
        <v>109</v>
      </c>
      <c r="M861" t="s">
        <v>19</v>
      </c>
      <c r="N861" t="s">
        <v>2316</v>
      </c>
      <c r="O861">
        <v>30</v>
      </c>
    </row>
    <row r="862" spans="1:15" hidden="1" x14ac:dyDescent="0.25">
      <c r="A862" t="s">
        <v>2820</v>
      </c>
      <c r="B862" t="s">
        <v>2313</v>
      </c>
      <c r="C862" t="s">
        <v>2314</v>
      </c>
      <c r="D862" t="s">
        <v>875</v>
      </c>
      <c r="E862" t="s">
        <v>2337</v>
      </c>
      <c r="F862" s="3">
        <v>5836000</v>
      </c>
      <c r="G862" s="2">
        <f t="shared" si="26"/>
        <v>30</v>
      </c>
      <c r="H862" s="2">
        <f t="shared" ca="1" si="27"/>
        <v>118</v>
      </c>
      <c r="I862" s="4">
        <v>46002</v>
      </c>
      <c r="J862" s="4">
        <v>46032</v>
      </c>
      <c r="K862" t="s">
        <v>1403</v>
      </c>
      <c r="L862" t="s">
        <v>109</v>
      </c>
      <c r="M862" t="s">
        <v>19</v>
      </c>
      <c r="N862" t="s">
        <v>2316</v>
      </c>
      <c r="O862">
        <v>30</v>
      </c>
    </row>
    <row r="863" spans="1:15" hidden="1" x14ac:dyDescent="0.25">
      <c r="A863" t="s">
        <v>2820</v>
      </c>
      <c r="B863" t="s">
        <v>2313</v>
      </c>
      <c r="C863" t="s">
        <v>2314</v>
      </c>
      <c r="D863" t="s">
        <v>875</v>
      </c>
      <c r="E863" t="s">
        <v>2338</v>
      </c>
      <c r="F863" s="3">
        <v>4272576</v>
      </c>
      <c r="G863" s="2">
        <f t="shared" si="26"/>
        <v>30</v>
      </c>
      <c r="H863" s="2">
        <f t="shared" ca="1" si="27"/>
        <v>118</v>
      </c>
      <c r="I863" s="4">
        <v>46002</v>
      </c>
      <c r="J863" s="4">
        <v>46032</v>
      </c>
      <c r="K863" t="s">
        <v>1403</v>
      </c>
      <c r="L863" t="s">
        <v>109</v>
      </c>
      <c r="M863" t="s">
        <v>19</v>
      </c>
      <c r="N863" t="s">
        <v>2316</v>
      </c>
      <c r="O863">
        <v>30</v>
      </c>
    </row>
    <row r="864" spans="1:15" hidden="1" x14ac:dyDescent="0.25">
      <c r="A864" t="s">
        <v>2820</v>
      </c>
      <c r="B864" t="s">
        <v>2313</v>
      </c>
      <c r="C864" t="s">
        <v>2314</v>
      </c>
      <c r="D864" t="s">
        <v>875</v>
      </c>
      <c r="E864" t="s">
        <v>2339</v>
      </c>
      <c r="F864" s="3">
        <v>17390000</v>
      </c>
      <c r="G864" s="2">
        <f t="shared" si="26"/>
        <v>30</v>
      </c>
      <c r="H864" s="2">
        <f t="shared" ca="1" si="27"/>
        <v>118</v>
      </c>
      <c r="I864" s="4">
        <v>46002</v>
      </c>
      <c r="J864" s="4">
        <v>46032</v>
      </c>
      <c r="K864" t="s">
        <v>1403</v>
      </c>
      <c r="L864" t="s">
        <v>109</v>
      </c>
      <c r="M864" t="s">
        <v>19</v>
      </c>
      <c r="N864" t="s">
        <v>2316</v>
      </c>
      <c r="O864">
        <v>30</v>
      </c>
    </row>
    <row r="865" spans="1:15" hidden="1" x14ac:dyDescent="0.25">
      <c r="A865" t="s">
        <v>2820</v>
      </c>
      <c r="B865" t="s">
        <v>2357</v>
      </c>
      <c r="C865" t="s">
        <v>2358</v>
      </c>
      <c r="D865" t="s">
        <v>1289</v>
      </c>
      <c r="E865" t="s">
        <v>2360</v>
      </c>
      <c r="F865" s="3">
        <v>183401</v>
      </c>
      <c r="G865" s="2">
        <f t="shared" si="26"/>
        <v>30</v>
      </c>
      <c r="H865" s="2">
        <f t="shared" ca="1" si="27"/>
        <v>118</v>
      </c>
      <c r="I865" s="4">
        <v>46002</v>
      </c>
      <c r="J865" s="4">
        <v>46032</v>
      </c>
      <c r="K865" t="s">
        <v>1466</v>
      </c>
      <c r="L865" t="s">
        <v>981</v>
      </c>
      <c r="M865" t="s">
        <v>19</v>
      </c>
      <c r="N865" t="s">
        <v>2359</v>
      </c>
      <c r="O865">
        <v>30</v>
      </c>
    </row>
    <row r="866" spans="1:15" hidden="1" x14ac:dyDescent="0.25">
      <c r="A866" t="s">
        <v>2820</v>
      </c>
      <c r="B866" t="s">
        <v>2357</v>
      </c>
      <c r="C866" t="s">
        <v>2358</v>
      </c>
      <c r="D866" t="s">
        <v>1289</v>
      </c>
      <c r="E866" t="s">
        <v>2361</v>
      </c>
      <c r="F866" s="3">
        <v>534072</v>
      </c>
      <c r="G866" s="2">
        <f t="shared" si="26"/>
        <v>30</v>
      </c>
      <c r="H866" s="2">
        <f t="shared" ca="1" si="27"/>
        <v>118</v>
      </c>
      <c r="I866" s="4">
        <v>46002</v>
      </c>
      <c r="J866" s="4">
        <v>46032</v>
      </c>
      <c r="K866" t="s">
        <v>1466</v>
      </c>
      <c r="L866" t="s">
        <v>981</v>
      </c>
      <c r="M866" t="s">
        <v>19</v>
      </c>
      <c r="N866" t="s">
        <v>2359</v>
      </c>
      <c r="O866">
        <v>30</v>
      </c>
    </row>
    <row r="867" spans="1:15" hidden="1" x14ac:dyDescent="0.25">
      <c r="A867" t="s">
        <v>2820</v>
      </c>
      <c r="B867" t="s">
        <v>2362</v>
      </c>
      <c r="C867" t="s">
        <v>2363</v>
      </c>
      <c r="D867" t="s">
        <v>1465</v>
      </c>
      <c r="E867" t="s">
        <v>2364</v>
      </c>
      <c r="F867" s="3">
        <v>25090</v>
      </c>
      <c r="G867" s="2">
        <f t="shared" si="26"/>
        <v>30</v>
      </c>
      <c r="H867" s="2">
        <f t="shared" ca="1" si="27"/>
        <v>118</v>
      </c>
      <c r="I867" s="4">
        <v>46002</v>
      </c>
      <c r="J867" s="4">
        <v>46032</v>
      </c>
      <c r="K867" t="s">
        <v>1466</v>
      </c>
      <c r="L867" t="s">
        <v>981</v>
      </c>
      <c r="M867" t="s">
        <v>19</v>
      </c>
      <c r="N867" t="s">
        <v>2365</v>
      </c>
      <c r="O867">
        <v>30</v>
      </c>
    </row>
    <row r="868" spans="1:15" hidden="1" x14ac:dyDescent="0.25">
      <c r="A868" t="s">
        <v>2820</v>
      </c>
      <c r="B868" t="s">
        <v>2077</v>
      </c>
      <c r="C868" t="s">
        <v>2078</v>
      </c>
      <c r="D868" t="s">
        <v>1465</v>
      </c>
      <c r="E868" t="s">
        <v>2366</v>
      </c>
      <c r="F868" s="3">
        <v>400000</v>
      </c>
      <c r="G868" s="2">
        <f t="shared" si="26"/>
        <v>30</v>
      </c>
      <c r="H868" s="2">
        <f t="shared" ca="1" si="27"/>
        <v>118</v>
      </c>
      <c r="I868" s="4">
        <v>46002</v>
      </c>
      <c r="J868" s="4">
        <v>46032</v>
      </c>
      <c r="K868" t="s">
        <v>1466</v>
      </c>
      <c r="L868" t="s">
        <v>981</v>
      </c>
      <c r="M868" t="s">
        <v>19</v>
      </c>
      <c r="N868" t="s">
        <v>2079</v>
      </c>
      <c r="O868">
        <v>30</v>
      </c>
    </row>
    <row r="869" spans="1:15" hidden="1" x14ac:dyDescent="0.25">
      <c r="A869" t="s">
        <v>2820</v>
      </c>
      <c r="B869" t="s">
        <v>2077</v>
      </c>
      <c r="C869" t="s">
        <v>2078</v>
      </c>
      <c r="D869" t="s">
        <v>1465</v>
      </c>
      <c r="E869" t="s">
        <v>2367</v>
      </c>
      <c r="F869" s="3">
        <v>537586</v>
      </c>
      <c r="G869" s="2">
        <f t="shared" si="26"/>
        <v>30</v>
      </c>
      <c r="H869" s="2">
        <f t="shared" ca="1" si="27"/>
        <v>118</v>
      </c>
      <c r="I869" s="4">
        <v>46002</v>
      </c>
      <c r="J869" s="4">
        <v>46032</v>
      </c>
      <c r="K869" t="s">
        <v>1466</v>
      </c>
      <c r="L869" t="s">
        <v>981</v>
      </c>
      <c r="M869" t="s">
        <v>19</v>
      </c>
      <c r="N869" t="s">
        <v>2079</v>
      </c>
      <c r="O869">
        <v>30</v>
      </c>
    </row>
    <row r="870" spans="1:15" hidden="1" x14ac:dyDescent="0.25">
      <c r="A870" t="s">
        <v>2820</v>
      </c>
      <c r="B870" t="s">
        <v>2031</v>
      </c>
      <c r="C870" t="s">
        <v>2032</v>
      </c>
      <c r="D870" t="s">
        <v>1266</v>
      </c>
      <c r="E870" t="s">
        <v>2368</v>
      </c>
      <c r="F870" s="3">
        <v>1140885</v>
      </c>
      <c r="G870" s="2">
        <f t="shared" si="26"/>
        <v>30</v>
      </c>
      <c r="H870" s="2">
        <f t="shared" ca="1" si="27"/>
        <v>118</v>
      </c>
      <c r="I870" s="4">
        <v>46002</v>
      </c>
      <c r="J870" s="4">
        <v>46032</v>
      </c>
      <c r="K870" t="s">
        <v>1854</v>
      </c>
      <c r="L870" t="s">
        <v>981</v>
      </c>
      <c r="M870" t="s">
        <v>19</v>
      </c>
      <c r="N870" t="s">
        <v>2033</v>
      </c>
      <c r="O870">
        <v>1</v>
      </c>
    </row>
    <row r="871" spans="1:15" hidden="1" x14ac:dyDescent="0.25">
      <c r="A871" t="s">
        <v>2820</v>
      </c>
      <c r="B871" t="s">
        <v>2031</v>
      </c>
      <c r="C871" t="s">
        <v>2032</v>
      </c>
      <c r="D871" t="s">
        <v>1266</v>
      </c>
      <c r="E871" t="s">
        <v>2369</v>
      </c>
      <c r="F871" s="3">
        <v>3123428</v>
      </c>
      <c r="G871" s="2">
        <f t="shared" si="26"/>
        <v>30</v>
      </c>
      <c r="H871" s="2">
        <f t="shared" ca="1" si="27"/>
        <v>118</v>
      </c>
      <c r="I871" s="4">
        <v>46002</v>
      </c>
      <c r="J871" s="4">
        <v>46032</v>
      </c>
      <c r="K871" t="s">
        <v>1854</v>
      </c>
      <c r="L871" t="s">
        <v>981</v>
      </c>
      <c r="M871" t="s">
        <v>19</v>
      </c>
      <c r="N871" t="s">
        <v>2033</v>
      </c>
      <c r="O871">
        <v>1</v>
      </c>
    </row>
    <row r="872" spans="1:15" hidden="1" x14ac:dyDescent="0.25">
      <c r="A872" t="s">
        <v>2820</v>
      </c>
      <c r="B872" t="s">
        <v>61</v>
      </c>
      <c r="C872" t="s">
        <v>62</v>
      </c>
      <c r="D872" t="s">
        <v>46</v>
      </c>
      <c r="E872" t="s">
        <v>2353</v>
      </c>
      <c r="F872" s="3">
        <v>3643937</v>
      </c>
      <c r="G872" s="2">
        <f t="shared" si="26"/>
        <v>30</v>
      </c>
      <c r="H872" s="2">
        <f t="shared" ca="1" si="27"/>
        <v>117</v>
      </c>
      <c r="I872" s="4">
        <v>46003</v>
      </c>
      <c r="J872" s="4">
        <v>46033</v>
      </c>
      <c r="K872" t="s">
        <v>17</v>
      </c>
      <c r="L872" t="s">
        <v>32</v>
      </c>
      <c r="M872" t="s">
        <v>19</v>
      </c>
      <c r="N872" t="s">
        <v>63</v>
      </c>
      <c r="O872">
        <v>30</v>
      </c>
    </row>
    <row r="873" spans="1:15" hidden="1" x14ac:dyDescent="0.25">
      <c r="A873" t="s">
        <v>2820</v>
      </c>
      <c r="B873" t="s">
        <v>73</v>
      </c>
      <c r="C873" t="s">
        <v>74</v>
      </c>
      <c r="D873" t="s">
        <v>46</v>
      </c>
      <c r="E873" t="s">
        <v>2373</v>
      </c>
      <c r="F873" s="3">
        <v>352757</v>
      </c>
      <c r="G873" s="2">
        <f t="shared" si="26"/>
        <v>30</v>
      </c>
      <c r="H873" s="2">
        <f t="shared" ca="1" si="27"/>
        <v>117</v>
      </c>
      <c r="I873" s="4">
        <v>46003</v>
      </c>
      <c r="J873" s="4">
        <v>46033</v>
      </c>
      <c r="K873" t="s">
        <v>17</v>
      </c>
      <c r="L873" t="s">
        <v>18</v>
      </c>
      <c r="M873" t="s">
        <v>19</v>
      </c>
      <c r="N873" t="s">
        <v>75</v>
      </c>
      <c r="O873">
        <v>30</v>
      </c>
    </row>
    <row r="874" spans="1:15" hidden="1" x14ac:dyDescent="0.25">
      <c r="A874" t="s">
        <v>2820</v>
      </c>
      <c r="B874" t="s">
        <v>73</v>
      </c>
      <c r="C874" t="s">
        <v>74</v>
      </c>
      <c r="D874" t="s">
        <v>46</v>
      </c>
      <c r="E874" t="s">
        <v>2374</v>
      </c>
      <c r="F874" s="3">
        <v>428200</v>
      </c>
      <c r="G874" s="2">
        <f t="shared" si="26"/>
        <v>30</v>
      </c>
      <c r="H874" s="2">
        <f t="shared" ca="1" si="27"/>
        <v>117</v>
      </c>
      <c r="I874" s="4">
        <v>46003</v>
      </c>
      <c r="J874" s="4">
        <v>46033</v>
      </c>
      <c r="K874" t="s">
        <v>17</v>
      </c>
      <c r="L874" t="s">
        <v>18</v>
      </c>
      <c r="M874" t="s">
        <v>19</v>
      </c>
      <c r="N874" t="s">
        <v>75</v>
      </c>
      <c r="O874">
        <v>30</v>
      </c>
    </row>
    <row r="875" spans="1:15" hidden="1" x14ac:dyDescent="0.25">
      <c r="A875" t="s">
        <v>2820</v>
      </c>
      <c r="B875" t="s">
        <v>73</v>
      </c>
      <c r="C875" t="s">
        <v>74</v>
      </c>
      <c r="D875" t="s">
        <v>46</v>
      </c>
      <c r="E875" t="s">
        <v>2375</v>
      </c>
      <c r="F875" s="3">
        <v>597909</v>
      </c>
      <c r="G875" s="2">
        <f t="shared" si="26"/>
        <v>30</v>
      </c>
      <c r="H875" s="2">
        <f t="shared" ca="1" si="27"/>
        <v>117</v>
      </c>
      <c r="I875" s="4">
        <v>46003</v>
      </c>
      <c r="J875" s="4">
        <v>46033</v>
      </c>
      <c r="K875" t="s">
        <v>17</v>
      </c>
      <c r="L875" t="s">
        <v>18</v>
      </c>
      <c r="M875" t="s">
        <v>19</v>
      </c>
      <c r="N875" t="s">
        <v>75</v>
      </c>
      <c r="O875">
        <v>30</v>
      </c>
    </row>
    <row r="876" spans="1:15" hidden="1" x14ac:dyDescent="0.25">
      <c r="A876" t="s">
        <v>2820</v>
      </c>
      <c r="B876" t="s">
        <v>1204</v>
      </c>
      <c r="C876" t="s">
        <v>1205</v>
      </c>
      <c r="D876" t="s">
        <v>1201</v>
      </c>
      <c r="E876" t="s">
        <v>2390</v>
      </c>
      <c r="F876" s="3">
        <v>1432083</v>
      </c>
      <c r="G876" s="2">
        <f t="shared" si="26"/>
        <v>30</v>
      </c>
      <c r="H876" s="2">
        <f t="shared" ca="1" si="27"/>
        <v>117</v>
      </c>
      <c r="I876" s="4">
        <v>46003</v>
      </c>
      <c r="J876" s="4">
        <v>46033</v>
      </c>
      <c r="K876" t="s">
        <v>1202</v>
      </c>
      <c r="L876" t="s">
        <v>207</v>
      </c>
      <c r="M876" t="s">
        <v>19</v>
      </c>
      <c r="N876" t="s">
        <v>1206</v>
      </c>
      <c r="O876">
        <v>30</v>
      </c>
    </row>
    <row r="877" spans="1:15" hidden="1" x14ac:dyDescent="0.25">
      <c r="A877" t="s">
        <v>2820</v>
      </c>
      <c r="B877" t="s">
        <v>1244</v>
      </c>
      <c r="C877" t="s">
        <v>1245</v>
      </c>
      <c r="D877" t="s">
        <v>1242</v>
      </c>
      <c r="E877" t="s">
        <v>2391</v>
      </c>
      <c r="F877" s="3">
        <v>169804</v>
      </c>
      <c r="G877" s="2">
        <f t="shared" si="26"/>
        <v>30</v>
      </c>
      <c r="H877" s="2">
        <f t="shared" ca="1" si="27"/>
        <v>117</v>
      </c>
      <c r="I877" s="4">
        <v>46003</v>
      </c>
      <c r="J877" s="4">
        <v>46033</v>
      </c>
      <c r="K877" t="s">
        <v>1243</v>
      </c>
      <c r="L877" t="s">
        <v>207</v>
      </c>
      <c r="M877" t="s">
        <v>19</v>
      </c>
      <c r="N877" t="s">
        <v>1246</v>
      </c>
      <c r="O877">
        <v>30</v>
      </c>
    </row>
    <row r="878" spans="1:15" hidden="1" x14ac:dyDescent="0.25">
      <c r="A878" t="s">
        <v>2820</v>
      </c>
      <c r="B878" t="s">
        <v>1244</v>
      </c>
      <c r="C878" t="s">
        <v>1245</v>
      </c>
      <c r="D878" t="s">
        <v>1242</v>
      </c>
      <c r="E878" t="s">
        <v>2392</v>
      </c>
      <c r="F878" s="3">
        <v>1035821</v>
      </c>
      <c r="G878" s="2">
        <f t="shared" si="26"/>
        <v>30</v>
      </c>
      <c r="H878" s="2">
        <f t="shared" ca="1" si="27"/>
        <v>117</v>
      </c>
      <c r="I878" s="4">
        <v>46003</v>
      </c>
      <c r="J878" s="4">
        <v>46033</v>
      </c>
      <c r="K878" t="s">
        <v>1243</v>
      </c>
      <c r="L878" t="s">
        <v>207</v>
      </c>
      <c r="M878" t="s">
        <v>19</v>
      </c>
      <c r="N878" t="s">
        <v>1246</v>
      </c>
      <c r="O878">
        <v>30</v>
      </c>
    </row>
    <row r="879" spans="1:15" hidden="1" x14ac:dyDescent="0.25">
      <c r="A879" t="s">
        <v>2820</v>
      </c>
      <c r="B879" t="s">
        <v>1104</v>
      </c>
      <c r="C879" t="s">
        <v>1105</v>
      </c>
      <c r="D879" t="s">
        <v>1066</v>
      </c>
      <c r="E879" t="s">
        <v>2393</v>
      </c>
      <c r="F879" s="3">
        <v>3342652</v>
      </c>
      <c r="G879" s="2">
        <f t="shared" si="26"/>
        <v>30</v>
      </c>
      <c r="H879" s="2">
        <f t="shared" ca="1" si="27"/>
        <v>117</v>
      </c>
      <c r="I879" s="4">
        <v>46003</v>
      </c>
      <c r="J879" s="4">
        <v>46033</v>
      </c>
      <c r="K879" t="s">
        <v>1243</v>
      </c>
      <c r="L879" t="s">
        <v>47</v>
      </c>
      <c r="M879" t="s">
        <v>19</v>
      </c>
      <c r="N879" t="s">
        <v>1106</v>
      </c>
      <c r="O879">
        <v>30</v>
      </c>
    </row>
    <row r="880" spans="1:15" hidden="1" x14ac:dyDescent="0.25">
      <c r="A880" t="s">
        <v>2820</v>
      </c>
      <c r="B880" t="s">
        <v>1272</v>
      </c>
      <c r="C880" t="s">
        <v>1273</v>
      </c>
      <c r="D880" t="s">
        <v>1259</v>
      </c>
      <c r="E880" t="s">
        <v>2394</v>
      </c>
      <c r="F880" s="3">
        <v>317420</v>
      </c>
      <c r="G880" s="2">
        <f t="shared" si="26"/>
        <v>30</v>
      </c>
      <c r="H880" s="2">
        <f t="shared" ca="1" si="27"/>
        <v>117</v>
      </c>
      <c r="I880" s="4">
        <v>46003</v>
      </c>
      <c r="J880" s="4">
        <v>46033</v>
      </c>
      <c r="K880" t="s">
        <v>1260</v>
      </c>
      <c r="L880" t="s">
        <v>981</v>
      </c>
      <c r="M880" t="s">
        <v>19</v>
      </c>
      <c r="N880" t="s">
        <v>1274</v>
      </c>
      <c r="O880">
        <v>30</v>
      </c>
    </row>
    <row r="881" spans="1:15" hidden="1" x14ac:dyDescent="0.25">
      <c r="A881" t="s">
        <v>2820</v>
      </c>
      <c r="B881" t="s">
        <v>1272</v>
      </c>
      <c r="C881" t="s">
        <v>1273</v>
      </c>
      <c r="D881" t="s">
        <v>1259</v>
      </c>
      <c r="E881" t="s">
        <v>2395</v>
      </c>
      <c r="F881" s="3">
        <v>348701</v>
      </c>
      <c r="G881" s="2">
        <f t="shared" si="26"/>
        <v>30</v>
      </c>
      <c r="H881" s="2">
        <f t="shared" ca="1" si="27"/>
        <v>117</v>
      </c>
      <c r="I881" s="4">
        <v>46003</v>
      </c>
      <c r="J881" s="4">
        <v>46033</v>
      </c>
      <c r="K881" t="s">
        <v>1260</v>
      </c>
      <c r="L881" t="s">
        <v>981</v>
      </c>
      <c r="M881" t="s">
        <v>19</v>
      </c>
      <c r="N881" t="s">
        <v>1274</v>
      </c>
      <c r="O881">
        <v>30</v>
      </c>
    </row>
    <row r="882" spans="1:15" hidden="1" x14ac:dyDescent="0.25">
      <c r="A882" t="s">
        <v>2820</v>
      </c>
      <c r="B882" t="s">
        <v>1268</v>
      </c>
      <c r="C882" t="s">
        <v>1269</v>
      </c>
      <c r="D882" t="s">
        <v>1259</v>
      </c>
      <c r="E882" t="s">
        <v>2396</v>
      </c>
      <c r="F882" s="3">
        <v>334415</v>
      </c>
      <c r="G882" s="2">
        <f t="shared" si="26"/>
        <v>30</v>
      </c>
      <c r="H882" s="2">
        <f t="shared" ca="1" si="27"/>
        <v>117</v>
      </c>
      <c r="I882" s="4">
        <v>46003</v>
      </c>
      <c r="J882" s="4">
        <v>46033</v>
      </c>
      <c r="K882" t="s">
        <v>1260</v>
      </c>
      <c r="L882" t="s">
        <v>981</v>
      </c>
      <c r="M882" t="s">
        <v>19</v>
      </c>
      <c r="N882" t="s">
        <v>1270</v>
      </c>
      <c r="O882">
        <v>30</v>
      </c>
    </row>
    <row r="883" spans="1:15" hidden="1" x14ac:dyDescent="0.25">
      <c r="A883" t="s">
        <v>2820</v>
      </c>
      <c r="B883" t="s">
        <v>1268</v>
      </c>
      <c r="C883" t="s">
        <v>1269</v>
      </c>
      <c r="D883" t="s">
        <v>1259</v>
      </c>
      <c r="E883" t="s">
        <v>2397</v>
      </c>
      <c r="F883" s="3">
        <v>1967652</v>
      </c>
      <c r="G883" s="2">
        <f t="shared" si="26"/>
        <v>30</v>
      </c>
      <c r="H883" s="2">
        <f t="shared" ca="1" si="27"/>
        <v>117</v>
      </c>
      <c r="I883" s="4">
        <v>46003</v>
      </c>
      <c r="J883" s="4">
        <v>46033</v>
      </c>
      <c r="K883" t="s">
        <v>1260</v>
      </c>
      <c r="L883" t="s">
        <v>981</v>
      </c>
      <c r="M883" t="s">
        <v>19</v>
      </c>
      <c r="N883" t="s">
        <v>1270</v>
      </c>
      <c r="O883">
        <v>30</v>
      </c>
    </row>
    <row r="884" spans="1:15" hidden="1" x14ac:dyDescent="0.25">
      <c r="A884" t="s">
        <v>2820</v>
      </c>
      <c r="B884" t="s">
        <v>1443</v>
      </c>
      <c r="C884" t="s">
        <v>1444</v>
      </c>
      <c r="D884" t="s">
        <v>875</v>
      </c>
      <c r="E884" t="s">
        <v>2398</v>
      </c>
      <c r="F884" s="3">
        <v>679335</v>
      </c>
      <c r="G884" s="2">
        <f t="shared" si="26"/>
        <v>30</v>
      </c>
      <c r="H884" s="2">
        <f t="shared" ca="1" si="27"/>
        <v>117</v>
      </c>
      <c r="I884" s="4">
        <v>46003</v>
      </c>
      <c r="J884" s="4">
        <v>46033</v>
      </c>
      <c r="K884" t="s">
        <v>1403</v>
      </c>
      <c r="L884" t="s">
        <v>90</v>
      </c>
      <c r="M884" t="s">
        <v>19</v>
      </c>
      <c r="N884" t="s">
        <v>1445</v>
      </c>
      <c r="O884">
        <v>30</v>
      </c>
    </row>
    <row r="885" spans="1:15" hidden="1" x14ac:dyDescent="0.25">
      <c r="A885" t="s">
        <v>2820</v>
      </c>
      <c r="B885" t="s">
        <v>1511</v>
      </c>
      <c r="C885" t="s">
        <v>1512</v>
      </c>
      <c r="D885" t="s">
        <v>1507</v>
      </c>
      <c r="E885" t="s">
        <v>2399</v>
      </c>
      <c r="F885" s="3">
        <v>79797</v>
      </c>
      <c r="G885" s="2">
        <f t="shared" si="26"/>
        <v>30</v>
      </c>
      <c r="H885" s="2">
        <f t="shared" ca="1" si="27"/>
        <v>117</v>
      </c>
      <c r="I885" s="4">
        <v>46003</v>
      </c>
      <c r="J885" s="4">
        <v>46033</v>
      </c>
      <c r="K885" t="s">
        <v>1509</v>
      </c>
      <c r="L885" t="s">
        <v>984</v>
      </c>
      <c r="M885" t="s">
        <v>19</v>
      </c>
      <c r="N885" t="s">
        <v>1513</v>
      </c>
      <c r="O885">
        <v>30</v>
      </c>
    </row>
    <row r="886" spans="1:15" hidden="1" x14ac:dyDescent="0.25">
      <c r="A886" t="s">
        <v>2820</v>
      </c>
      <c r="B886" t="s">
        <v>1519</v>
      </c>
      <c r="C886" t="s">
        <v>1520</v>
      </c>
      <c r="D886" t="s">
        <v>1514</v>
      </c>
      <c r="E886" t="s">
        <v>2400</v>
      </c>
      <c r="F886" s="3">
        <v>13580582</v>
      </c>
      <c r="G886" s="2">
        <f t="shared" si="26"/>
        <v>30</v>
      </c>
      <c r="H886" s="2">
        <f t="shared" ca="1" si="27"/>
        <v>117</v>
      </c>
      <c r="I886" s="4">
        <v>46003</v>
      </c>
      <c r="J886" s="4">
        <v>46033</v>
      </c>
      <c r="K886" t="s">
        <v>1515</v>
      </c>
      <c r="L886" t="s">
        <v>984</v>
      </c>
      <c r="M886" t="s">
        <v>19</v>
      </c>
      <c r="N886" t="s">
        <v>1521</v>
      </c>
      <c r="O886">
        <v>30</v>
      </c>
    </row>
    <row r="887" spans="1:15" hidden="1" x14ac:dyDescent="0.25">
      <c r="A887" t="s">
        <v>2820</v>
      </c>
      <c r="B887" t="s">
        <v>1975</v>
      </c>
      <c r="C887" t="s">
        <v>1976</v>
      </c>
      <c r="D887" t="s">
        <v>1977</v>
      </c>
      <c r="E887" t="s">
        <v>2414</v>
      </c>
      <c r="F887" s="3">
        <v>2501278</v>
      </c>
      <c r="G887" s="2">
        <f t="shared" si="26"/>
        <v>30</v>
      </c>
      <c r="H887" s="2">
        <f t="shared" ca="1" si="27"/>
        <v>117</v>
      </c>
      <c r="I887" s="4">
        <v>46003</v>
      </c>
      <c r="J887" s="4">
        <v>46033</v>
      </c>
      <c r="K887" t="s">
        <v>1843</v>
      </c>
      <c r="L887" t="s">
        <v>981</v>
      </c>
      <c r="M887" t="s">
        <v>19</v>
      </c>
      <c r="N887" t="s">
        <v>1978</v>
      </c>
      <c r="O887">
        <v>30</v>
      </c>
    </row>
    <row r="888" spans="1:15" hidden="1" x14ac:dyDescent="0.25">
      <c r="A888" t="s">
        <v>2820</v>
      </c>
      <c r="B888" t="s">
        <v>1975</v>
      </c>
      <c r="C888" t="s">
        <v>1976</v>
      </c>
      <c r="D888" t="s">
        <v>1977</v>
      </c>
      <c r="E888" t="s">
        <v>2415</v>
      </c>
      <c r="F888" s="3">
        <v>4751813</v>
      </c>
      <c r="G888" s="2">
        <f t="shared" si="26"/>
        <v>30</v>
      </c>
      <c r="H888" s="2">
        <f t="shared" ca="1" si="27"/>
        <v>117</v>
      </c>
      <c r="I888" s="4">
        <v>46003</v>
      </c>
      <c r="J888" s="4">
        <v>46033</v>
      </c>
      <c r="K888" t="s">
        <v>1843</v>
      </c>
      <c r="L888" t="s">
        <v>981</v>
      </c>
      <c r="M888" t="s">
        <v>19</v>
      </c>
      <c r="N888" t="s">
        <v>1978</v>
      </c>
      <c r="O888">
        <v>30</v>
      </c>
    </row>
    <row r="889" spans="1:15" hidden="1" x14ac:dyDescent="0.25">
      <c r="A889" t="s">
        <v>2820</v>
      </c>
      <c r="B889" t="s">
        <v>1849</v>
      </c>
      <c r="C889" t="s">
        <v>1850</v>
      </c>
      <c r="D889" t="s">
        <v>1266</v>
      </c>
      <c r="E889" t="s">
        <v>2416</v>
      </c>
      <c r="F889" s="3">
        <v>2664062</v>
      </c>
      <c r="G889" s="2">
        <f t="shared" si="26"/>
        <v>30</v>
      </c>
      <c r="H889" s="2">
        <f t="shared" ca="1" si="27"/>
        <v>117</v>
      </c>
      <c r="I889" s="4">
        <v>46003</v>
      </c>
      <c r="J889" s="4">
        <v>46033</v>
      </c>
      <c r="K889" t="s">
        <v>1854</v>
      </c>
      <c r="L889" t="s">
        <v>981</v>
      </c>
      <c r="M889" t="s">
        <v>19</v>
      </c>
      <c r="N889" t="s">
        <v>1851</v>
      </c>
      <c r="O889">
        <v>30</v>
      </c>
    </row>
    <row r="890" spans="1:15" hidden="1" x14ac:dyDescent="0.25">
      <c r="A890" t="s">
        <v>2820</v>
      </c>
      <c r="B890" t="s">
        <v>1856</v>
      </c>
      <c r="C890" t="s">
        <v>1857</v>
      </c>
      <c r="D890" t="s">
        <v>1858</v>
      </c>
      <c r="E890" t="s">
        <v>2417</v>
      </c>
      <c r="F890" s="3">
        <v>418930</v>
      </c>
      <c r="G890" s="2">
        <f t="shared" si="26"/>
        <v>30</v>
      </c>
      <c r="H890" s="2">
        <f t="shared" ca="1" si="27"/>
        <v>117</v>
      </c>
      <c r="I890" s="4">
        <v>46003</v>
      </c>
      <c r="J890" s="4">
        <v>46033</v>
      </c>
      <c r="K890" t="s">
        <v>1859</v>
      </c>
      <c r="L890" t="s">
        <v>984</v>
      </c>
      <c r="M890" t="s">
        <v>19</v>
      </c>
      <c r="N890" t="s">
        <v>1860</v>
      </c>
      <c r="O890">
        <v>30</v>
      </c>
    </row>
    <row r="891" spans="1:15" hidden="1" x14ac:dyDescent="0.25">
      <c r="A891" t="s">
        <v>2820</v>
      </c>
      <c r="B891" t="s">
        <v>1856</v>
      </c>
      <c r="C891" t="s">
        <v>1857</v>
      </c>
      <c r="D891" t="s">
        <v>1858</v>
      </c>
      <c r="E891" t="s">
        <v>2418</v>
      </c>
      <c r="F891" s="3">
        <v>1524381</v>
      </c>
      <c r="G891" s="2">
        <f t="shared" si="26"/>
        <v>30</v>
      </c>
      <c r="H891" s="2">
        <f t="shared" ca="1" si="27"/>
        <v>117</v>
      </c>
      <c r="I891" s="4">
        <v>46003</v>
      </c>
      <c r="J891" s="4">
        <v>46033</v>
      </c>
      <c r="K891" t="s">
        <v>1859</v>
      </c>
      <c r="L891" t="s">
        <v>984</v>
      </c>
      <c r="M891" t="s">
        <v>19</v>
      </c>
      <c r="N891" t="s">
        <v>1860</v>
      </c>
      <c r="O891">
        <v>30</v>
      </c>
    </row>
    <row r="892" spans="1:15" hidden="1" x14ac:dyDescent="0.25">
      <c r="A892" t="s">
        <v>2820</v>
      </c>
      <c r="B892" t="s">
        <v>1881</v>
      </c>
      <c r="C892" t="s">
        <v>1882</v>
      </c>
      <c r="D892" t="s">
        <v>1883</v>
      </c>
      <c r="E892" t="s">
        <v>2419</v>
      </c>
      <c r="F892" s="3">
        <v>986522</v>
      </c>
      <c r="G892" s="2">
        <f t="shared" si="26"/>
        <v>30</v>
      </c>
      <c r="H892" s="2">
        <f t="shared" ca="1" si="27"/>
        <v>117</v>
      </c>
      <c r="I892" s="4">
        <v>46003</v>
      </c>
      <c r="J892" s="4">
        <v>46033</v>
      </c>
      <c r="K892" t="s">
        <v>1884</v>
      </c>
      <c r="L892" t="s">
        <v>984</v>
      </c>
      <c r="M892" t="s">
        <v>19</v>
      </c>
      <c r="N892" t="s">
        <v>1885</v>
      </c>
      <c r="O892">
        <v>30</v>
      </c>
    </row>
    <row r="893" spans="1:15" hidden="1" x14ac:dyDescent="0.25">
      <c r="A893" t="s">
        <v>2820</v>
      </c>
      <c r="B893" t="s">
        <v>1881</v>
      </c>
      <c r="C893" t="s">
        <v>1882</v>
      </c>
      <c r="D893" t="s">
        <v>1883</v>
      </c>
      <c r="E893" t="s">
        <v>2420</v>
      </c>
      <c r="F893" s="3">
        <v>1914767</v>
      </c>
      <c r="G893" s="2">
        <f t="shared" si="26"/>
        <v>30</v>
      </c>
      <c r="H893" s="2">
        <f t="shared" ca="1" si="27"/>
        <v>117</v>
      </c>
      <c r="I893" s="4">
        <v>46003</v>
      </c>
      <c r="J893" s="4">
        <v>46033</v>
      </c>
      <c r="K893" t="s">
        <v>1884</v>
      </c>
      <c r="L893" t="s">
        <v>984</v>
      </c>
      <c r="M893" t="s">
        <v>19</v>
      </c>
      <c r="N893" t="s">
        <v>1885</v>
      </c>
      <c r="O893">
        <v>30</v>
      </c>
    </row>
    <row r="894" spans="1:15" hidden="1" x14ac:dyDescent="0.25">
      <c r="A894" t="s">
        <v>2820</v>
      </c>
      <c r="B894" t="s">
        <v>98</v>
      </c>
      <c r="C894" t="s">
        <v>99</v>
      </c>
      <c r="D894" t="s">
        <v>15</v>
      </c>
      <c r="E894" t="s">
        <v>2376</v>
      </c>
      <c r="F894" s="3">
        <v>13916</v>
      </c>
      <c r="G894" s="2">
        <f t="shared" si="26"/>
        <v>30</v>
      </c>
      <c r="H894" s="2">
        <f t="shared" ca="1" si="27"/>
        <v>116</v>
      </c>
      <c r="I894" s="4">
        <v>46004</v>
      </c>
      <c r="J894" s="4">
        <v>46034</v>
      </c>
      <c r="K894" t="s">
        <v>17</v>
      </c>
      <c r="L894" t="s">
        <v>32</v>
      </c>
      <c r="M894" t="s">
        <v>19</v>
      </c>
      <c r="N894" t="s">
        <v>100</v>
      </c>
      <c r="O894">
        <v>30</v>
      </c>
    </row>
    <row r="895" spans="1:15" hidden="1" x14ac:dyDescent="0.25">
      <c r="A895" t="s">
        <v>2820</v>
      </c>
      <c r="B895" t="s">
        <v>1457</v>
      </c>
      <c r="C895" t="s">
        <v>1458</v>
      </c>
      <c r="D895" t="s">
        <v>1401</v>
      </c>
      <c r="E895" t="s">
        <v>2377</v>
      </c>
      <c r="F895" s="3">
        <v>941566</v>
      </c>
      <c r="G895" s="2">
        <f t="shared" si="26"/>
        <v>30</v>
      </c>
      <c r="H895" s="2">
        <f t="shared" ca="1" si="27"/>
        <v>116</v>
      </c>
      <c r="I895" s="4">
        <v>46004</v>
      </c>
      <c r="J895" s="4">
        <v>46034</v>
      </c>
      <c r="K895" t="s">
        <v>17</v>
      </c>
      <c r="L895" t="s">
        <v>90</v>
      </c>
      <c r="M895" t="s">
        <v>19</v>
      </c>
      <c r="N895" t="s">
        <v>1459</v>
      </c>
      <c r="O895">
        <v>30</v>
      </c>
    </row>
    <row r="896" spans="1:15" hidden="1" x14ac:dyDescent="0.25">
      <c r="A896" t="s">
        <v>2820</v>
      </c>
      <c r="B896" t="s">
        <v>1457</v>
      </c>
      <c r="C896" t="s">
        <v>1458</v>
      </c>
      <c r="D896" t="s">
        <v>1401</v>
      </c>
      <c r="E896" t="s">
        <v>2378</v>
      </c>
      <c r="F896" s="3">
        <v>462626</v>
      </c>
      <c r="G896" s="2">
        <f t="shared" si="26"/>
        <v>30</v>
      </c>
      <c r="H896" s="2">
        <f t="shared" ca="1" si="27"/>
        <v>116</v>
      </c>
      <c r="I896" s="4">
        <v>46004</v>
      </c>
      <c r="J896" s="4">
        <v>46034</v>
      </c>
      <c r="K896" t="s">
        <v>17</v>
      </c>
      <c r="L896" t="s">
        <v>90</v>
      </c>
      <c r="M896" t="s">
        <v>19</v>
      </c>
      <c r="N896" t="s">
        <v>1459</v>
      </c>
      <c r="O896">
        <v>30</v>
      </c>
    </row>
    <row r="897" spans="1:15" hidden="1" x14ac:dyDescent="0.25">
      <c r="A897" t="s">
        <v>2820</v>
      </c>
      <c r="B897" t="s">
        <v>2379</v>
      </c>
      <c r="C897" t="s">
        <v>2380</v>
      </c>
      <c r="D897" t="s">
        <v>15</v>
      </c>
      <c r="E897" t="s">
        <v>2381</v>
      </c>
      <c r="F897" s="3">
        <v>4058251</v>
      </c>
      <c r="G897" s="2">
        <f t="shared" si="26"/>
        <v>30</v>
      </c>
      <c r="H897" s="2">
        <f t="shared" ca="1" si="27"/>
        <v>114</v>
      </c>
      <c r="I897" s="4">
        <v>46006</v>
      </c>
      <c r="J897" s="4">
        <v>46036</v>
      </c>
      <c r="K897" t="s">
        <v>17</v>
      </c>
      <c r="L897" t="s">
        <v>109</v>
      </c>
      <c r="M897" t="s">
        <v>19</v>
      </c>
      <c r="N897" t="s">
        <v>2382</v>
      </c>
      <c r="O897">
        <v>30</v>
      </c>
    </row>
    <row r="898" spans="1:15" hidden="1" x14ac:dyDescent="0.25">
      <c r="A898" t="s">
        <v>2820</v>
      </c>
      <c r="B898" t="s">
        <v>2379</v>
      </c>
      <c r="C898" t="s">
        <v>2380</v>
      </c>
      <c r="D898" t="s">
        <v>15</v>
      </c>
      <c r="E898" t="s">
        <v>2383</v>
      </c>
      <c r="F898" s="3">
        <v>81202</v>
      </c>
      <c r="G898" s="2">
        <f t="shared" ref="G898:G961" si="28">+J898-I898</f>
        <v>30</v>
      </c>
      <c r="H898" s="2">
        <f t="shared" ref="H898:H961" ca="1" si="29">+TODAY()-I898</f>
        <v>114</v>
      </c>
      <c r="I898" s="4">
        <v>46006</v>
      </c>
      <c r="J898" s="4">
        <v>46036</v>
      </c>
      <c r="K898" t="s">
        <v>17</v>
      </c>
      <c r="L898" t="s">
        <v>109</v>
      </c>
      <c r="M898" t="s">
        <v>19</v>
      </c>
      <c r="N898" t="s">
        <v>2382</v>
      </c>
      <c r="O898">
        <v>30</v>
      </c>
    </row>
    <row r="899" spans="1:15" hidden="1" x14ac:dyDescent="0.25">
      <c r="A899" t="s">
        <v>2820</v>
      </c>
      <c r="B899" t="s">
        <v>1572</v>
      </c>
      <c r="C899" t="s">
        <v>1573</v>
      </c>
      <c r="D899" t="s">
        <v>1563</v>
      </c>
      <c r="E899" t="s">
        <v>2401</v>
      </c>
      <c r="F899" s="3">
        <v>665388</v>
      </c>
      <c r="G899" s="2">
        <f t="shared" si="28"/>
        <v>30</v>
      </c>
      <c r="H899" s="2">
        <f t="shared" ca="1" si="29"/>
        <v>114</v>
      </c>
      <c r="I899" s="4">
        <v>46006</v>
      </c>
      <c r="J899" s="4">
        <v>46036</v>
      </c>
      <c r="K899" t="s">
        <v>1564</v>
      </c>
      <c r="L899" t="s">
        <v>984</v>
      </c>
      <c r="M899" t="s">
        <v>19</v>
      </c>
      <c r="N899" t="s">
        <v>1574</v>
      </c>
      <c r="O899">
        <v>30</v>
      </c>
    </row>
    <row r="900" spans="1:15" hidden="1" x14ac:dyDescent="0.25">
      <c r="A900" t="s">
        <v>2820</v>
      </c>
      <c r="B900" t="s">
        <v>1604</v>
      </c>
      <c r="C900" t="s">
        <v>1605</v>
      </c>
      <c r="D900" t="s">
        <v>1587</v>
      </c>
      <c r="E900" t="s">
        <v>2402</v>
      </c>
      <c r="F900" s="3">
        <v>1</v>
      </c>
      <c r="G900" s="2">
        <f t="shared" si="28"/>
        <v>30</v>
      </c>
      <c r="H900" s="2">
        <f t="shared" ca="1" si="29"/>
        <v>114</v>
      </c>
      <c r="I900" s="4">
        <v>46006</v>
      </c>
      <c r="J900" s="4">
        <v>46036</v>
      </c>
      <c r="K900" t="s">
        <v>1589</v>
      </c>
      <c r="L900" t="s">
        <v>984</v>
      </c>
      <c r="M900" t="s">
        <v>19</v>
      </c>
      <c r="N900" t="s">
        <v>1606</v>
      </c>
      <c r="O900">
        <v>30</v>
      </c>
    </row>
    <row r="901" spans="1:15" hidden="1" x14ac:dyDescent="0.25">
      <c r="A901" t="s">
        <v>2820</v>
      </c>
      <c r="B901" t="s">
        <v>1604</v>
      </c>
      <c r="C901" t="s">
        <v>1605</v>
      </c>
      <c r="D901" t="s">
        <v>1587</v>
      </c>
      <c r="E901" t="s">
        <v>2403</v>
      </c>
      <c r="F901" s="3">
        <v>4030001</v>
      </c>
      <c r="G901" s="2">
        <f t="shared" si="28"/>
        <v>30</v>
      </c>
      <c r="H901" s="2">
        <f t="shared" ca="1" si="29"/>
        <v>114</v>
      </c>
      <c r="I901" s="4">
        <v>46006</v>
      </c>
      <c r="J901" s="4">
        <v>46036</v>
      </c>
      <c r="K901" t="s">
        <v>1589</v>
      </c>
      <c r="L901" t="s">
        <v>984</v>
      </c>
      <c r="M901" t="s">
        <v>19</v>
      </c>
      <c r="N901" t="s">
        <v>1606</v>
      </c>
      <c r="O901">
        <v>30</v>
      </c>
    </row>
    <row r="902" spans="1:15" hidden="1" x14ac:dyDescent="0.25">
      <c r="A902" t="s">
        <v>2820</v>
      </c>
      <c r="B902" t="s">
        <v>1604</v>
      </c>
      <c r="C902" t="s">
        <v>1605</v>
      </c>
      <c r="D902" t="s">
        <v>1587</v>
      </c>
      <c r="E902" t="s">
        <v>2404</v>
      </c>
      <c r="F902" s="3">
        <v>2945552</v>
      </c>
      <c r="G902" s="2">
        <f t="shared" si="28"/>
        <v>30</v>
      </c>
      <c r="H902" s="2">
        <f t="shared" ca="1" si="29"/>
        <v>114</v>
      </c>
      <c r="I902" s="4">
        <v>46006</v>
      </c>
      <c r="J902" s="4">
        <v>46036</v>
      </c>
      <c r="K902" t="s">
        <v>1589</v>
      </c>
      <c r="L902" t="s">
        <v>984</v>
      </c>
      <c r="M902" t="s">
        <v>19</v>
      </c>
      <c r="N902" t="s">
        <v>1606</v>
      </c>
      <c r="O902">
        <v>30</v>
      </c>
    </row>
    <row r="903" spans="1:15" hidden="1" x14ac:dyDescent="0.25">
      <c r="A903" t="s">
        <v>2820</v>
      </c>
      <c r="B903" t="s">
        <v>1604</v>
      </c>
      <c r="C903" t="s">
        <v>1605</v>
      </c>
      <c r="D903" t="s">
        <v>1587</v>
      </c>
      <c r="E903" t="s">
        <v>2405</v>
      </c>
      <c r="F903" s="3">
        <v>709743</v>
      </c>
      <c r="G903" s="2">
        <f t="shared" si="28"/>
        <v>30</v>
      </c>
      <c r="H903" s="2">
        <f t="shared" ca="1" si="29"/>
        <v>114</v>
      </c>
      <c r="I903" s="4">
        <v>46006</v>
      </c>
      <c r="J903" s="4">
        <v>46036</v>
      </c>
      <c r="K903" t="s">
        <v>1589</v>
      </c>
      <c r="L903" t="s">
        <v>984</v>
      </c>
      <c r="M903" t="s">
        <v>19</v>
      </c>
      <c r="N903" t="s">
        <v>1606</v>
      </c>
      <c r="O903">
        <v>30</v>
      </c>
    </row>
    <row r="904" spans="1:15" hidden="1" x14ac:dyDescent="0.25">
      <c r="A904" t="s">
        <v>2820</v>
      </c>
      <c r="B904" t="s">
        <v>1619</v>
      </c>
      <c r="C904" t="s">
        <v>1620</v>
      </c>
      <c r="D904" t="s">
        <v>1593</v>
      </c>
      <c r="E904" t="s">
        <v>2406</v>
      </c>
      <c r="F904" s="3">
        <v>423400</v>
      </c>
      <c r="G904" s="2">
        <f t="shared" si="28"/>
        <v>30</v>
      </c>
      <c r="H904" s="2">
        <f t="shared" ca="1" si="29"/>
        <v>114</v>
      </c>
      <c r="I904" s="4">
        <v>46006</v>
      </c>
      <c r="J904" s="4">
        <v>46036</v>
      </c>
      <c r="K904" t="s">
        <v>1589</v>
      </c>
      <c r="L904" t="s">
        <v>984</v>
      </c>
      <c r="M904" t="s">
        <v>19</v>
      </c>
      <c r="N904" t="s">
        <v>1621</v>
      </c>
      <c r="O904">
        <v>30</v>
      </c>
    </row>
    <row r="905" spans="1:15" hidden="1" x14ac:dyDescent="0.25">
      <c r="A905" t="s">
        <v>2820</v>
      </c>
      <c r="B905" t="s">
        <v>1619</v>
      </c>
      <c r="C905" t="s">
        <v>1620</v>
      </c>
      <c r="D905" t="s">
        <v>1593</v>
      </c>
      <c r="E905" t="s">
        <v>2407</v>
      </c>
      <c r="F905" s="3">
        <v>85999</v>
      </c>
      <c r="G905" s="2">
        <f t="shared" si="28"/>
        <v>30</v>
      </c>
      <c r="H905" s="2">
        <f t="shared" ca="1" si="29"/>
        <v>114</v>
      </c>
      <c r="I905" s="4">
        <v>46006</v>
      </c>
      <c r="J905" s="4">
        <v>46036</v>
      </c>
      <c r="K905" t="s">
        <v>1589</v>
      </c>
      <c r="L905" t="s">
        <v>984</v>
      </c>
      <c r="M905" t="s">
        <v>19</v>
      </c>
      <c r="N905" t="s">
        <v>1621</v>
      </c>
      <c r="O905">
        <v>30</v>
      </c>
    </row>
    <row r="906" spans="1:15" hidden="1" x14ac:dyDescent="0.25">
      <c r="A906" t="s">
        <v>2820</v>
      </c>
      <c r="B906" t="s">
        <v>1619</v>
      </c>
      <c r="C906" t="s">
        <v>1620</v>
      </c>
      <c r="D906" t="s">
        <v>1593</v>
      </c>
      <c r="E906" t="s">
        <v>2408</v>
      </c>
      <c r="F906" s="3">
        <v>2398</v>
      </c>
      <c r="G906" s="2">
        <f t="shared" si="28"/>
        <v>30</v>
      </c>
      <c r="H906" s="2">
        <f t="shared" ca="1" si="29"/>
        <v>114</v>
      </c>
      <c r="I906" s="4">
        <v>46006</v>
      </c>
      <c r="J906" s="4">
        <v>46036</v>
      </c>
      <c r="K906" t="s">
        <v>1589</v>
      </c>
      <c r="L906" t="s">
        <v>984</v>
      </c>
      <c r="M906" t="s">
        <v>19</v>
      </c>
      <c r="N906" t="s">
        <v>1621</v>
      </c>
      <c r="O906">
        <v>30</v>
      </c>
    </row>
    <row r="907" spans="1:15" hidden="1" x14ac:dyDescent="0.25">
      <c r="A907" t="s">
        <v>2820</v>
      </c>
      <c r="B907" t="s">
        <v>1607</v>
      </c>
      <c r="C907" t="s">
        <v>1608</v>
      </c>
      <c r="D907" t="s">
        <v>1593</v>
      </c>
      <c r="E907" t="s">
        <v>2409</v>
      </c>
      <c r="F907" s="3">
        <v>675781</v>
      </c>
      <c r="G907" s="2">
        <f t="shared" si="28"/>
        <v>30</v>
      </c>
      <c r="H907" s="2">
        <f t="shared" ca="1" si="29"/>
        <v>114</v>
      </c>
      <c r="I907" s="4">
        <v>46006</v>
      </c>
      <c r="J907" s="4">
        <v>46036</v>
      </c>
      <c r="K907" t="s">
        <v>1589</v>
      </c>
      <c r="L907" t="s">
        <v>984</v>
      </c>
      <c r="M907" t="s">
        <v>19</v>
      </c>
      <c r="N907" t="s">
        <v>1609</v>
      </c>
      <c r="O907">
        <v>30</v>
      </c>
    </row>
    <row r="908" spans="1:15" hidden="1" x14ac:dyDescent="0.25">
      <c r="A908" t="s">
        <v>2820</v>
      </c>
      <c r="B908" t="s">
        <v>1595</v>
      </c>
      <c r="C908" t="s">
        <v>1596</v>
      </c>
      <c r="D908" t="s">
        <v>1593</v>
      </c>
      <c r="E908" t="s">
        <v>2410</v>
      </c>
      <c r="F908" s="3">
        <v>428000</v>
      </c>
      <c r="G908" s="2">
        <f t="shared" si="28"/>
        <v>30</v>
      </c>
      <c r="H908" s="2">
        <f t="shared" ca="1" si="29"/>
        <v>114</v>
      </c>
      <c r="I908" s="4">
        <v>46006</v>
      </c>
      <c r="J908" s="4">
        <v>46036</v>
      </c>
      <c r="K908" t="s">
        <v>1589</v>
      </c>
      <c r="L908" t="s">
        <v>984</v>
      </c>
      <c r="M908" t="s">
        <v>19</v>
      </c>
      <c r="N908" t="s">
        <v>1597</v>
      </c>
      <c r="O908">
        <v>30</v>
      </c>
    </row>
    <row r="909" spans="1:15" hidden="1" x14ac:dyDescent="0.25">
      <c r="A909" t="s">
        <v>2820</v>
      </c>
      <c r="B909" t="s">
        <v>1595</v>
      </c>
      <c r="C909" t="s">
        <v>1596</v>
      </c>
      <c r="D909" t="s">
        <v>1593</v>
      </c>
      <c r="E909" t="s">
        <v>2411</v>
      </c>
      <c r="F909" s="3">
        <v>790292</v>
      </c>
      <c r="G909" s="2">
        <f t="shared" si="28"/>
        <v>30</v>
      </c>
      <c r="H909" s="2">
        <f t="shared" ca="1" si="29"/>
        <v>114</v>
      </c>
      <c r="I909" s="4">
        <v>46006</v>
      </c>
      <c r="J909" s="4">
        <v>46036</v>
      </c>
      <c r="K909" t="s">
        <v>1589</v>
      </c>
      <c r="L909" t="s">
        <v>984</v>
      </c>
      <c r="M909" t="s">
        <v>19</v>
      </c>
      <c r="N909" t="s">
        <v>1597</v>
      </c>
      <c r="O909">
        <v>30</v>
      </c>
    </row>
    <row r="910" spans="1:15" hidden="1" x14ac:dyDescent="0.25">
      <c r="A910" t="s">
        <v>2820</v>
      </c>
      <c r="B910" t="s">
        <v>1595</v>
      </c>
      <c r="C910" t="s">
        <v>1596</v>
      </c>
      <c r="D910" t="s">
        <v>1593</v>
      </c>
      <c r="E910" t="s">
        <v>2412</v>
      </c>
      <c r="F910" s="3">
        <v>499744</v>
      </c>
      <c r="G910" s="2">
        <f t="shared" si="28"/>
        <v>30</v>
      </c>
      <c r="H910" s="2">
        <f t="shared" ca="1" si="29"/>
        <v>114</v>
      </c>
      <c r="I910" s="4">
        <v>46006</v>
      </c>
      <c r="J910" s="4">
        <v>46036</v>
      </c>
      <c r="K910" t="s">
        <v>1589</v>
      </c>
      <c r="L910" t="s">
        <v>984</v>
      </c>
      <c r="M910" t="s">
        <v>19</v>
      </c>
      <c r="N910" t="s">
        <v>1597</v>
      </c>
      <c r="O910">
        <v>30</v>
      </c>
    </row>
    <row r="911" spans="1:15" hidden="1" x14ac:dyDescent="0.25">
      <c r="A911" t="s">
        <v>2820</v>
      </c>
      <c r="B911" t="s">
        <v>1655</v>
      </c>
      <c r="C911" t="s">
        <v>1656</v>
      </c>
      <c r="D911" t="s">
        <v>1587</v>
      </c>
      <c r="E911" t="s">
        <v>2413</v>
      </c>
      <c r="F911" s="3">
        <v>2703015</v>
      </c>
      <c r="G911" s="2">
        <f t="shared" si="28"/>
        <v>30</v>
      </c>
      <c r="H911" s="2">
        <f t="shared" ca="1" si="29"/>
        <v>114</v>
      </c>
      <c r="I911" s="4">
        <v>46006</v>
      </c>
      <c r="J911" s="4">
        <v>46036</v>
      </c>
      <c r="K911" t="s">
        <v>1589</v>
      </c>
      <c r="L911" t="s">
        <v>984</v>
      </c>
      <c r="M911" t="s">
        <v>19</v>
      </c>
      <c r="N911" t="s">
        <v>1657</v>
      </c>
      <c r="O911">
        <v>30</v>
      </c>
    </row>
    <row r="912" spans="1:15" hidden="1" x14ac:dyDescent="0.25">
      <c r="A912" t="s">
        <v>2820</v>
      </c>
      <c r="B912" t="s">
        <v>326</v>
      </c>
      <c r="C912" t="s">
        <v>327</v>
      </c>
      <c r="D912" t="s">
        <v>15</v>
      </c>
      <c r="E912" t="s">
        <v>2431</v>
      </c>
      <c r="F912" s="3">
        <v>256794</v>
      </c>
      <c r="G912" s="2">
        <f t="shared" si="28"/>
        <v>30</v>
      </c>
      <c r="H912" s="2">
        <f t="shared" ca="1" si="29"/>
        <v>113</v>
      </c>
      <c r="I912" s="4">
        <v>46007</v>
      </c>
      <c r="J912" s="4">
        <v>46037</v>
      </c>
      <c r="K912" t="s">
        <v>17</v>
      </c>
      <c r="L912" t="s">
        <v>312</v>
      </c>
      <c r="M912" t="s">
        <v>19</v>
      </c>
      <c r="N912" t="s">
        <v>328</v>
      </c>
      <c r="O912">
        <v>30</v>
      </c>
    </row>
    <row r="913" spans="1:15" hidden="1" x14ac:dyDescent="0.25">
      <c r="A913" t="s">
        <v>2820</v>
      </c>
      <c r="B913" t="s">
        <v>373</v>
      </c>
      <c r="C913" t="s">
        <v>374</v>
      </c>
      <c r="D913" t="s">
        <v>204</v>
      </c>
      <c r="E913" t="s">
        <v>2432</v>
      </c>
      <c r="F913" s="3">
        <v>1367287</v>
      </c>
      <c r="G913" s="2">
        <f t="shared" si="28"/>
        <v>30</v>
      </c>
      <c r="H913" s="2">
        <f t="shared" ca="1" si="29"/>
        <v>113</v>
      </c>
      <c r="I913" s="4">
        <v>46007</v>
      </c>
      <c r="J913" s="4">
        <v>46037</v>
      </c>
      <c r="K913" t="s">
        <v>343</v>
      </c>
      <c r="L913" t="s">
        <v>18</v>
      </c>
      <c r="M913" t="s">
        <v>19</v>
      </c>
      <c r="N913" t="s">
        <v>375</v>
      </c>
      <c r="O913">
        <v>30</v>
      </c>
    </row>
    <row r="914" spans="1:15" hidden="1" x14ac:dyDescent="0.25">
      <c r="A914" t="s">
        <v>2820</v>
      </c>
      <c r="B914" t="s">
        <v>373</v>
      </c>
      <c r="C914" t="s">
        <v>374</v>
      </c>
      <c r="D914" t="s">
        <v>204</v>
      </c>
      <c r="E914" t="s">
        <v>2433</v>
      </c>
      <c r="F914" s="3">
        <v>147601</v>
      </c>
      <c r="G914" s="2">
        <f t="shared" si="28"/>
        <v>30</v>
      </c>
      <c r="H914" s="2">
        <f t="shared" ca="1" si="29"/>
        <v>113</v>
      </c>
      <c r="I914" s="4">
        <v>46007</v>
      </c>
      <c r="J914" s="4">
        <v>46037</v>
      </c>
      <c r="K914" t="s">
        <v>343</v>
      </c>
      <c r="L914" t="s">
        <v>18</v>
      </c>
      <c r="M914" t="s">
        <v>19</v>
      </c>
      <c r="N914" t="s">
        <v>375</v>
      </c>
      <c r="O914">
        <v>30</v>
      </c>
    </row>
    <row r="915" spans="1:15" hidden="1" x14ac:dyDescent="0.25">
      <c r="A915" t="s">
        <v>2820</v>
      </c>
      <c r="B915" t="s">
        <v>373</v>
      </c>
      <c r="C915" t="s">
        <v>374</v>
      </c>
      <c r="D915" t="s">
        <v>204</v>
      </c>
      <c r="E915" t="s">
        <v>2434</v>
      </c>
      <c r="F915" s="3">
        <v>364800</v>
      </c>
      <c r="G915" s="2">
        <f t="shared" si="28"/>
        <v>30</v>
      </c>
      <c r="H915" s="2">
        <f t="shared" ca="1" si="29"/>
        <v>113</v>
      </c>
      <c r="I915" s="4">
        <v>46007</v>
      </c>
      <c r="J915" s="4">
        <v>46037</v>
      </c>
      <c r="K915" t="s">
        <v>343</v>
      </c>
      <c r="L915" t="s">
        <v>18</v>
      </c>
      <c r="M915" t="s">
        <v>19</v>
      </c>
      <c r="N915" t="s">
        <v>375</v>
      </c>
      <c r="O915">
        <v>30</v>
      </c>
    </row>
    <row r="916" spans="1:15" hidden="1" x14ac:dyDescent="0.25">
      <c r="A916" t="s">
        <v>2820</v>
      </c>
      <c r="B916" t="s">
        <v>367</v>
      </c>
      <c r="C916" t="s">
        <v>368</v>
      </c>
      <c r="D916" t="s">
        <v>347</v>
      </c>
      <c r="E916" t="s">
        <v>2435</v>
      </c>
      <c r="F916" s="3">
        <v>2125096</v>
      </c>
      <c r="G916" s="2">
        <f t="shared" si="28"/>
        <v>30</v>
      </c>
      <c r="H916" s="2">
        <f t="shared" ca="1" si="29"/>
        <v>113</v>
      </c>
      <c r="I916" s="4">
        <v>46007</v>
      </c>
      <c r="J916" s="4">
        <v>46037</v>
      </c>
      <c r="K916" t="s">
        <v>343</v>
      </c>
      <c r="L916" t="s">
        <v>18</v>
      </c>
      <c r="M916" t="s">
        <v>19</v>
      </c>
      <c r="N916" t="s">
        <v>369</v>
      </c>
      <c r="O916">
        <v>30</v>
      </c>
    </row>
    <row r="917" spans="1:15" hidden="1" x14ac:dyDescent="0.25">
      <c r="A917" t="s">
        <v>2820</v>
      </c>
      <c r="B917" t="s">
        <v>367</v>
      </c>
      <c r="C917" t="s">
        <v>368</v>
      </c>
      <c r="D917" t="s">
        <v>347</v>
      </c>
      <c r="E917" t="s">
        <v>2436</v>
      </c>
      <c r="F917" s="3">
        <v>3021965</v>
      </c>
      <c r="G917" s="2">
        <f t="shared" si="28"/>
        <v>30</v>
      </c>
      <c r="H917" s="2">
        <f t="shared" ca="1" si="29"/>
        <v>113</v>
      </c>
      <c r="I917" s="4">
        <v>46007</v>
      </c>
      <c r="J917" s="4">
        <v>46037</v>
      </c>
      <c r="K917" t="s">
        <v>343</v>
      </c>
      <c r="L917" t="s">
        <v>18</v>
      </c>
      <c r="M917" t="s">
        <v>19</v>
      </c>
      <c r="N917" t="s">
        <v>369</v>
      </c>
      <c r="O917">
        <v>30</v>
      </c>
    </row>
    <row r="918" spans="1:15" hidden="1" x14ac:dyDescent="0.25">
      <c r="A918" t="s">
        <v>2820</v>
      </c>
      <c r="B918" t="s">
        <v>358</v>
      </c>
      <c r="C918" t="s">
        <v>359</v>
      </c>
      <c r="D918" t="s">
        <v>347</v>
      </c>
      <c r="E918" t="s">
        <v>2437</v>
      </c>
      <c r="F918" s="3">
        <v>6743200</v>
      </c>
      <c r="G918" s="2">
        <f t="shared" si="28"/>
        <v>30</v>
      </c>
      <c r="H918" s="2">
        <f t="shared" ca="1" si="29"/>
        <v>113</v>
      </c>
      <c r="I918" s="4">
        <v>46007</v>
      </c>
      <c r="J918" s="4">
        <v>46037</v>
      </c>
      <c r="K918" t="s">
        <v>343</v>
      </c>
      <c r="L918" t="s">
        <v>18</v>
      </c>
      <c r="M918" t="s">
        <v>19</v>
      </c>
      <c r="N918" t="s">
        <v>360</v>
      </c>
      <c r="O918">
        <v>30</v>
      </c>
    </row>
    <row r="919" spans="1:15" hidden="1" x14ac:dyDescent="0.25">
      <c r="A919" t="s">
        <v>2820</v>
      </c>
      <c r="B919" t="s">
        <v>2438</v>
      </c>
      <c r="C919" t="s">
        <v>2439</v>
      </c>
      <c r="D919" t="s">
        <v>347</v>
      </c>
      <c r="E919" t="s">
        <v>2441</v>
      </c>
      <c r="F919" s="3">
        <v>1380792</v>
      </c>
      <c r="G919" s="2">
        <f t="shared" si="28"/>
        <v>30</v>
      </c>
      <c r="H919" s="2">
        <f t="shared" ca="1" si="29"/>
        <v>113</v>
      </c>
      <c r="I919" s="4">
        <v>46007</v>
      </c>
      <c r="J919" s="4">
        <v>46037</v>
      </c>
      <c r="K919" t="s">
        <v>343</v>
      </c>
      <c r="L919" t="s">
        <v>18</v>
      </c>
      <c r="M919" t="s">
        <v>391</v>
      </c>
      <c r="N919" t="s">
        <v>2440</v>
      </c>
      <c r="O919">
        <v>30</v>
      </c>
    </row>
    <row r="920" spans="1:15" hidden="1" x14ac:dyDescent="0.25">
      <c r="A920" t="s">
        <v>2820</v>
      </c>
      <c r="B920" t="s">
        <v>970</v>
      </c>
      <c r="C920" t="s">
        <v>971</v>
      </c>
      <c r="D920" t="s">
        <v>916</v>
      </c>
      <c r="E920" t="s">
        <v>2445</v>
      </c>
      <c r="F920" s="3">
        <v>190029</v>
      </c>
      <c r="G920" s="2">
        <f t="shared" si="28"/>
        <v>30</v>
      </c>
      <c r="H920" s="2">
        <f t="shared" ca="1" si="29"/>
        <v>113</v>
      </c>
      <c r="I920" s="4">
        <v>46007</v>
      </c>
      <c r="J920" s="4">
        <v>46037</v>
      </c>
      <c r="K920" t="s">
        <v>918</v>
      </c>
      <c r="L920" t="s">
        <v>312</v>
      </c>
      <c r="M920" t="s">
        <v>19</v>
      </c>
      <c r="N920" t="s">
        <v>972</v>
      </c>
      <c r="O920">
        <v>30</v>
      </c>
    </row>
    <row r="921" spans="1:15" hidden="1" x14ac:dyDescent="0.25">
      <c r="A921" t="s">
        <v>2820</v>
      </c>
      <c r="B921" t="s">
        <v>1107</v>
      </c>
      <c r="C921" t="s">
        <v>1108</v>
      </c>
      <c r="D921" t="s">
        <v>320</v>
      </c>
      <c r="E921" t="s">
        <v>2446</v>
      </c>
      <c r="F921" s="3">
        <v>1337988</v>
      </c>
      <c r="G921" s="2">
        <f t="shared" si="28"/>
        <v>30</v>
      </c>
      <c r="H921" s="2">
        <f t="shared" ca="1" si="29"/>
        <v>113</v>
      </c>
      <c r="I921" s="4">
        <v>46007</v>
      </c>
      <c r="J921" s="4">
        <v>46037</v>
      </c>
      <c r="K921" t="s">
        <v>1068</v>
      </c>
      <c r="L921" t="s">
        <v>207</v>
      </c>
      <c r="M921" t="s">
        <v>19</v>
      </c>
      <c r="N921" t="s">
        <v>1109</v>
      </c>
      <c r="O921">
        <v>30</v>
      </c>
    </row>
    <row r="922" spans="1:15" hidden="1" x14ac:dyDescent="0.25">
      <c r="A922" t="s">
        <v>2820</v>
      </c>
      <c r="B922" t="s">
        <v>1142</v>
      </c>
      <c r="C922" t="s">
        <v>1143</v>
      </c>
      <c r="D922" t="s">
        <v>1118</v>
      </c>
      <c r="E922" t="s">
        <v>2454</v>
      </c>
      <c r="F922" s="3">
        <v>5398554</v>
      </c>
      <c r="G922" s="2">
        <f t="shared" si="28"/>
        <v>30</v>
      </c>
      <c r="H922" s="2">
        <f t="shared" ca="1" si="29"/>
        <v>113</v>
      </c>
      <c r="I922" s="4">
        <v>46007</v>
      </c>
      <c r="J922" s="4">
        <v>46037</v>
      </c>
      <c r="K922" t="s">
        <v>1144</v>
      </c>
      <c r="L922" t="s">
        <v>207</v>
      </c>
      <c r="M922" t="s">
        <v>19</v>
      </c>
      <c r="N922" t="s">
        <v>1145</v>
      </c>
      <c r="O922">
        <v>30</v>
      </c>
    </row>
    <row r="923" spans="1:15" hidden="1" x14ac:dyDescent="0.25">
      <c r="A923" t="s">
        <v>2820</v>
      </c>
      <c r="B923" t="s">
        <v>1167</v>
      </c>
      <c r="C923" t="s">
        <v>1168</v>
      </c>
      <c r="D923" t="s">
        <v>1118</v>
      </c>
      <c r="E923" t="s">
        <v>2455</v>
      </c>
      <c r="F923" s="3">
        <v>1277662</v>
      </c>
      <c r="G923" s="2">
        <f t="shared" si="28"/>
        <v>30</v>
      </c>
      <c r="H923" s="2">
        <f t="shared" ca="1" si="29"/>
        <v>113</v>
      </c>
      <c r="I923" s="4">
        <v>46007</v>
      </c>
      <c r="J923" s="4">
        <v>46037</v>
      </c>
      <c r="K923" t="s">
        <v>1144</v>
      </c>
      <c r="L923" t="s">
        <v>207</v>
      </c>
      <c r="M923" t="s">
        <v>19</v>
      </c>
      <c r="N923" t="s">
        <v>1169</v>
      </c>
      <c r="O923">
        <v>30</v>
      </c>
    </row>
    <row r="924" spans="1:15" hidden="1" x14ac:dyDescent="0.25">
      <c r="A924" t="s">
        <v>2820</v>
      </c>
      <c r="B924" t="s">
        <v>1167</v>
      </c>
      <c r="C924" t="s">
        <v>1168</v>
      </c>
      <c r="D924" t="s">
        <v>1118</v>
      </c>
      <c r="E924" t="s">
        <v>2456</v>
      </c>
      <c r="F924" s="3">
        <v>8203403</v>
      </c>
      <c r="G924" s="2">
        <f t="shared" si="28"/>
        <v>30</v>
      </c>
      <c r="H924" s="2">
        <f t="shared" ca="1" si="29"/>
        <v>113</v>
      </c>
      <c r="I924" s="4">
        <v>46007</v>
      </c>
      <c r="J924" s="4">
        <v>46037</v>
      </c>
      <c r="K924" t="s">
        <v>1144</v>
      </c>
      <c r="L924" t="s">
        <v>207</v>
      </c>
      <c r="M924" t="s">
        <v>19</v>
      </c>
      <c r="N924" t="s">
        <v>1169</v>
      </c>
      <c r="O924">
        <v>30</v>
      </c>
    </row>
    <row r="925" spans="1:15" hidden="1" x14ac:dyDescent="0.25">
      <c r="A925" t="s">
        <v>2820</v>
      </c>
      <c r="B925" t="s">
        <v>1146</v>
      </c>
      <c r="C925" t="s">
        <v>1147</v>
      </c>
      <c r="D925" t="s">
        <v>1118</v>
      </c>
      <c r="E925" t="s">
        <v>2457</v>
      </c>
      <c r="F925" s="3">
        <v>287542</v>
      </c>
      <c r="G925" s="2">
        <f t="shared" si="28"/>
        <v>30</v>
      </c>
      <c r="H925" s="2">
        <f t="shared" ca="1" si="29"/>
        <v>113</v>
      </c>
      <c r="I925" s="4">
        <v>46007</v>
      </c>
      <c r="J925" s="4">
        <v>46037</v>
      </c>
      <c r="K925" t="s">
        <v>1144</v>
      </c>
      <c r="L925" t="s">
        <v>207</v>
      </c>
      <c r="M925" t="s">
        <v>19</v>
      </c>
      <c r="N925" t="s">
        <v>1148</v>
      </c>
      <c r="O925">
        <v>30</v>
      </c>
    </row>
    <row r="926" spans="1:15" hidden="1" x14ac:dyDescent="0.25">
      <c r="A926" t="s">
        <v>2820</v>
      </c>
      <c r="B926" t="s">
        <v>1146</v>
      </c>
      <c r="C926" t="s">
        <v>1147</v>
      </c>
      <c r="D926" t="s">
        <v>1118</v>
      </c>
      <c r="E926" t="s">
        <v>2458</v>
      </c>
      <c r="F926" s="3">
        <v>3742312</v>
      </c>
      <c r="G926" s="2">
        <f t="shared" si="28"/>
        <v>30</v>
      </c>
      <c r="H926" s="2">
        <f t="shared" ca="1" si="29"/>
        <v>113</v>
      </c>
      <c r="I926" s="4">
        <v>46007</v>
      </c>
      <c r="J926" s="4">
        <v>46037</v>
      </c>
      <c r="K926" t="s">
        <v>1144</v>
      </c>
      <c r="L926" t="s">
        <v>207</v>
      </c>
      <c r="M926" t="s">
        <v>19</v>
      </c>
      <c r="N926" t="s">
        <v>1148</v>
      </c>
      <c r="O926">
        <v>30</v>
      </c>
    </row>
    <row r="927" spans="1:15" hidden="1" x14ac:dyDescent="0.25">
      <c r="A927" t="s">
        <v>2820</v>
      </c>
      <c r="B927" t="s">
        <v>1104</v>
      </c>
      <c r="C927" t="s">
        <v>1105</v>
      </c>
      <c r="D927" t="s">
        <v>1066</v>
      </c>
      <c r="E927" t="s">
        <v>2459</v>
      </c>
      <c r="F927" s="3">
        <v>3670429</v>
      </c>
      <c r="G927" s="2">
        <f t="shared" si="28"/>
        <v>30</v>
      </c>
      <c r="H927" s="2">
        <f t="shared" ca="1" si="29"/>
        <v>113</v>
      </c>
      <c r="I927" s="4">
        <v>46007</v>
      </c>
      <c r="J927" s="4">
        <v>46037</v>
      </c>
      <c r="K927" t="s">
        <v>1144</v>
      </c>
      <c r="L927" t="s">
        <v>47</v>
      </c>
      <c r="M927" t="s">
        <v>19</v>
      </c>
      <c r="N927" t="s">
        <v>1106</v>
      </c>
      <c r="O927">
        <v>30</v>
      </c>
    </row>
    <row r="928" spans="1:15" hidden="1" x14ac:dyDescent="0.25">
      <c r="A928" t="s">
        <v>2820</v>
      </c>
      <c r="B928" t="s">
        <v>1104</v>
      </c>
      <c r="C928" t="s">
        <v>1105</v>
      </c>
      <c r="D928" t="s">
        <v>1066</v>
      </c>
      <c r="E928" t="s">
        <v>2460</v>
      </c>
      <c r="F928" s="3">
        <v>4195156</v>
      </c>
      <c r="G928" s="2">
        <f t="shared" si="28"/>
        <v>30</v>
      </c>
      <c r="H928" s="2">
        <f t="shared" ca="1" si="29"/>
        <v>113</v>
      </c>
      <c r="I928" s="4">
        <v>46007</v>
      </c>
      <c r="J928" s="4">
        <v>46037</v>
      </c>
      <c r="K928" t="s">
        <v>1144</v>
      </c>
      <c r="L928" t="s">
        <v>47</v>
      </c>
      <c r="M928" t="s">
        <v>19</v>
      </c>
      <c r="N928" t="s">
        <v>1106</v>
      </c>
      <c r="O928">
        <v>30</v>
      </c>
    </row>
    <row r="929" spans="1:15" hidden="1" x14ac:dyDescent="0.25">
      <c r="A929" t="s">
        <v>2820</v>
      </c>
      <c r="B929" t="s">
        <v>1302</v>
      </c>
      <c r="C929" t="s">
        <v>1303</v>
      </c>
      <c r="D929" t="s">
        <v>1299</v>
      </c>
      <c r="E929" t="s">
        <v>2463</v>
      </c>
      <c r="F929" s="3">
        <v>304519</v>
      </c>
      <c r="G929" s="2">
        <f t="shared" si="28"/>
        <v>30</v>
      </c>
      <c r="H929" s="2">
        <f t="shared" ca="1" si="29"/>
        <v>113</v>
      </c>
      <c r="I929" s="4">
        <v>46007</v>
      </c>
      <c r="J929" s="4">
        <v>46037</v>
      </c>
      <c r="K929" t="s">
        <v>1300</v>
      </c>
      <c r="L929" t="s">
        <v>90</v>
      </c>
      <c r="M929" t="s">
        <v>19</v>
      </c>
      <c r="N929" t="s">
        <v>1304</v>
      </c>
      <c r="O929">
        <v>30</v>
      </c>
    </row>
    <row r="930" spans="1:15" hidden="1" x14ac:dyDescent="0.25">
      <c r="A930" t="s">
        <v>2820</v>
      </c>
      <c r="B930" t="s">
        <v>1297</v>
      </c>
      <c r="C930" t="s">
        <v>1298</v>
      </c>
      <c r="D930" t="s">
        <v>1299</v>
      </c>
      <c r="E930" t="s">
        <v>2464</v>
      </c>
      <c r="F930" s="3">
        <v>7210115</v>
      </c>
      <c r="G930" s="2">
        <f t="shared" si="28"/>
        <v>30</v>
      </c>
      <c r="H930" s="2">
        <f t="shared" ca="1" si="29"/>
        <v>113</v>
      </c>
      <c r="I930" s="4">
        <v>46007</v>
      </c>
      <c r="J930" s="4">
        <v>46037</v>
      </c>
      <c r="K930" t="s">
        <v>1300</v>
      </c>
      <c r="L930" t="s">
        <v>90</v>
      </c>
      <c r="M930" t="s">
        <v>19</v>
      </c>
      <c r="N930" t="s">
        <v>1301</v>
      </c>
      <c r="O930">
        <v>30</v>
      </c>
    </row>
    <row r="931" spans="1:15" hidden="1" x14ac:dyDescent="0.25">
      <c r="A931" t="s">
        <v>2820</v>
      </c>
      <c r="B931" t="s">
        <v>1297</v>
      </c>
      <c r="C931" t="s">
        <v>1298</v>
      </c>
      <c r="D931" t="s">
        <v>1299</v>
      </c>
      <c r="E931" t="s">
        <v>2465</v>
      </c>
      <c r="F931" s="3">
        <v>3487837</v>
      </c>
      <c r="G931" s="2">
        <f t="shared" si="28"/>
        <v>30</v>
      </c>
      <c r="H931" s="2">
        <f t="shared" ca="1" si="29"/>
        <v>113</v>
      </c>
      <c r="I931" s="4">
        <v>46007</v>
      </c>
      <c r="J931" s="4">
        <v>46037</v>
      </c>
      <c r="K931" t="s">
        <v>1300</v>
      </c>
      <c r="L931" t="s">
        <v>90</v>
      </c>
      <c r="M931" t="s">
        <v>19</v>
      </c>
      <c r="N931" t="s">
        <v>1301</v>
      </c>
      <c r="O931">
        <v>30</v>
      </c>
    </row>
    <row r="932" spans="1:15" hidden="1" x14ac:dyDescent="0.25">
      <c r="A932" t="s">
        <v>2820</v>
      </c>
      <c r="B932" t="s">
        <v>1640</v>
      </c>
      <c r="C932" t="s">
        <v>1641</v>
      </c>
      <c r="D932" t="s">
        <v>1587</v>
      </c>
      <c r="E932" t="s">
        <v>2472</v>
      </c>
      <c r="F932" s="3">
        <v>486000</v>
      </c>
      <c r="G932" s="2">
        <f t="shared" si="28"/>
        <v>30</v>
      </c>
      <c r="H932" s="2">
        <f t="shared" ca="1" si="29"/>
        <v>113</v>
      </c>
      <c r="I932" s="4">
        <v>46007</v>
      </c>
      <c r="J932" s="4">
        <v>46037</v>
      </c>
      <c r="K932" t="s">
        <v>1589</v>
      </c>
      <c r="L932" t="s">
        <v>984</v>
      </c>
      <c r="M932" t="s">
        <v>391</v>
      </c>
      <c r="N932" t="s">
        <v>1642</v>
      </c>
      <c r="O932">
        <v>30</v>
      </c>
    </row>
    <row r="933" spans="1:15" hidden="1" x14ac:dyDescent="0.25">
      <c r="A933" t="s">
        <v>2820</v>
      </c>
      <c r="B933" t="s">
        <v>1640</v>
      </c>
      <c r="C933" t="s">
        <v>1641</v>
      </c>
      <c r="D933" t="s">
        <v>1587</v>
      </c>
      <c r="E933" t="s">
        <v>2473</v>
      </c>
      <c r="F933" s="3">
        <v>560818</v>
      </c>
      <c r="G933" s="2">
        <f t="shared" si="28"/>
        <v>30</v>
      </c>
      <c r="H933" s="2">
        <f t="shared" ca="1" si="29"/>
        <v>113</v>
      </c>
      <c r="I933" s="4">
        <v>46007</v>
      </c>
      <c r="J933" s="4">
        <v>46037</v>
      </c>
      <c r="K933" t="s">
        <v>1589</v>
      </c>
      <c r="L933" t="s">
        <v>984</v>
      </c>
      <c r="M933" t="s">
        <v>391</v>
      </c>
      <c r="N933" t="s">
        <v>1642</v>
      </c>
      <c r="O933">
        <v>30</v>
      </c>
    </row>
    <row r="934" spans="1:15" hidden="1" x14ac:dyDescent="0.25">
      <c r="A934" t="s">
        <v>2820</v>
      </c>
      <c r="B934" t="s">
        <v>1640</v>
      </c>
      <c r="C934" t="s">
        <v>1641</v>
      </c>
      <c r="D934" t="s">
        <v>1587</v>
      </c>
      <c r="E934" t="s">
        <v>2474</v>
      </c>
      <c r="F934" s="3">
        <v>799670</v>
      </c>
      <c r="G934" s="2">
        <f t="shared" si="28"/>
        <v>30</v>
      </c>
      <c r="H934" s="2">
        <f t="shared" ca="1" si="29"/>
        <v>113</v>
      </c>
      <c r="I934" s="4">
        <v>46007</v>
      </c>
      <c r="J934" s="4">
        <v>46037</v>
      </c>
      <c r="K934" t="s">
        <v>1589</v>
      </c>
      <c r="L934" t="s">
        <v>984</v>
      </c>
      <c r="M934" t="s">
        <v>391</v>
      </c>
      <c r="N934" t="s">
        <v>1642</v>
      </c>
      <c r="O934">
        <v>30</v>
      </c>
    </row>
    <row r="935" spans="1:15" hidden="1" x14ac:dyDescent="0.25">
      <c r="A935" t="s">
        <v>2820</v>
      </c>
      <c r="B935" t="s">
        <v>1640</v>
      </c>
      <c r="C935" t="s">
        <v>1641</v>
      </c>
      <c r="D935" t="s">
        <v>1587</v>
      </c>
      <c r="E935" t="s">
        <v>2475</v>
      </c>
      <c r="F935" s="3">
        <v>230000</v>
      </c>
      <c r="G935" s="2">
        <f t="shared" si="28"/>
        <v>30</v>
      </c>
      <c r="H935" s="2">
        <f t="shared" ca="1" si="29"/>
        <v>113</v>
      </c>
      <c r="I935" s="4">
        <v>46007</v>
      </c>
      <c r="J935" s="4">
        <v>46037</v>
      </c>
      <c r="K935" t="s">
        <v>1589</v>
      </c>
      <c r="L935" t="s">
        <v>984</v>
      </c>
      <c r="M935" t="s">
        <v>391</v>
      </c>
      <c r="N935" t="s">
        <v>1642</v>
      </c>
      <c r="O935">
        <v>30</v>
      </c>
    </row>
    <row r="936" spans="1:15" hidden="1" x14ac:dyDescent="0.25">
      <c r="A936" t="s">
        <v>2820</v>
      </c>
      <c r="B936" t="s">
        <v>1591</v>
      </c>
      <c r="C936" t="s">
        <v>1592</v>
      </c>
      <c r="D936" t="s">
        <v>1593</v>
      </c>
      <c r="E936" t="s">
        <v>2476</v>
      </c>
      <c r="F936" s="3">
        <v>6840000</v>
      </c>
      <c r="G936" s="2">
        <f t="shared" si="28"/>
        <v>30</v>
      </c>
      <c r="H936" s="2">
        <f t="shared" ca="1" si="29"/>
        <v>113</v>
      </c>
      <c r="I936" s="4">
        <v>46007</v>
      </c>
      <c r="J936" s="4">
        <v>46037</v>
      </c>
      <c r="K936" t="s">
        <v>1589</v>
      </c>
      <c r="L936" t="s">
        <v>984</v>
      </c>
      <c r="M936" t="s">
        <v>19</v>
      </c>
      <c r="N936" t="s">
        <v>1594</v>
      </c>
      <c r="O936">
        <v>30</v>
      </c>
    </row>
    <row r="937" spans="1:15" hidden="1" x14ac:dyDescent="0.25">
      <c r="A937" t="s">
        <v>2820</v>
      </c>
      <c r="B937" t="s">
        <v>1591</v>
      </c>
      <c r="C937" t="s">
        <v>1592</v>
      </c>
      <c r="D937" t="s">
        <v>1593</v>
      </c>
      <c r="E937" t="s">
        <v>2477</v>
      </c>
      <c r="F937" s="3">
        <v>2327177</v>
      </c>
      <c r="G937" s="2">
        <f t="shared" si="28"/>
        <v>30</v>
      </c>
      <c r="H937" s="2">
        <f t="shared" ca="1" si="29"/>
        <v>113</v>
      </c>
      <c r="I937" s="4">
        <v>46007</v>
      </c>
      <c r="J937" s="4">
        <v>46037</v>
      </c>
      <c r="K937" t="s">
        <v>1589</v>
      </c>
      <c r="L937" t="s">
        <v>984</v>
      </c>
      <c r="M937" t="s">
        <v>19</v>
      </c>
      <c r="N937" t="s">
        <v>1594</v>
      </c>
      <c r="O937">
        <v>30</v>
      </c>
    </row>
    <row r="938" spans="1:15" hidden="1" x14ac:dyDescent="0.25">
      <c r="A938" t="s">
        <v>2820</v>
      </c>
      <c r="B938" t="s">
        <v>1591</v>
      </c>
      <c r="C938" t="s">
        <v>1592</v>
      </c>
      <c r="D938" t="s">
        <v>1593</v>
      </c>
      <c r="E938" t="s">
        <v>2478</v>
      </c>
      <c r="F938" s="3">
        <v>1</v>
      </c>
      <c r="G938" s="2">
        <f t="shared" si="28"/>
        <v>30</v>
      </c>
      <c r="H938" s="2">
        <f t="shared" ca="1" si="29"/>
        <v>113</v>
      </c>
      <c r="I938" s="4">
        <v>46007</v>
      </c>
      <c r="J938" s="4">
        <v>46037</v>
      </c>
      <c r="K938" t="s">
        <v>1589</v>
      </c>
      <c r="L938" t="s">
        <v>984</v>
      </c>
      <c r="M938" t="s">
        <v>19</v>
      </c>
      <c r="N938" t="s">
        <v>1594</v>
      </c>
      <c r="O938">
        <v>30</v>
      </c>
    </row>
    <row r="939" spans="1:15" hidden="1" x14ac:dyDescent="0.25">
      <c r="A939" t="s">
        <v>2820</v>
      </c>
      <c r="B939" t="s">
        <v>1591</v>
      </c>
      <c r="C939" t="s">
        <v>1592</v>
      </c>
      <c r="D939" t="s">
        <v>1593</v>
      </c>
      <c r="E939" t="s">
        <v>2479</v>
      </c>
      <c r="F939" s="3">
        <v>3343400</v>
      </c>
      <c r="G939" s="2">
        <f t="shared" si="28"/>
        <v>30</v>
      </c>
      <c r="H939" s="2">
        <f t="shared" ca="1" si="29"/>
        <v>113</v>
      </c>
      <c r="I939" s="4">
        <v>46007</v>
      </c>
      <c r="J939" s="4">
        <v>46037</v>
      </c>
      <c r="K939" t="s">
        <v>1589</v>
      </c>
      <c r="L939" t="s">
        <v>984</v>
      </c>
      <c r="M939" t="s">
        <v>19</v>
      </c>
      <c r="N939" t="s">
        <v>1594</v>
      </c>
      <c r="O939">
        <v>30</v>
      </c>
    </row>
    <row r="940" spans="1:15" hidden="1" x14ac:dyDescent="0.25">
      <c r="A940" t="s">
        <v>2820</v>
      </c>
      <c r="B940" t="s">
        <v>1622</v>
      </c>
      <c r="C940" t="s">
        <v>1623</v>
      </c>
      <c r="D940" t="s">
        <v>1587</v>
      </c>
      <c r="E940" t="s">
        <v>2480</v>
      </c>
      <c r="F940" s="3">
        <v>508800</v>
      </c>
      <c r="G940" s="2">
        <f t="shared" si="28"/>
        <v>30</v>
      </c>
      <c r="H940" s="2">
        <f t="shared" ca="1" si="29"/>
        <v>113</v>
      </c>
      <c r="I940" s="4">
        <v>46007</v>
      </c>
      <c r="J940" s="4">
        <v>46037</v>
      </c>
      <c r="K940" t="s">
        <v>1589</v>
      </c>
      <c r="L940" t="s">
        <v>984</v>
      </c>
      <c r="M940" t="s">
        <v>19</v>
      </c>
      <c r="N940" t="s">
        <v>1624</v>
      </c>
      <c r="O940">
        <v>1</v>
      </c>
    </row>
    <row r="941" spans="1:15" hidden="1" x14ac:dyDescent="0.25">
      <c r="A941" t="s">
        <v>2820</v>
      </c>
      <c r="B941" t="s">
        <v>1622</v>
      </c>
      <c r="C941" t="s">
        <v>1623</v>
      </c>
      <c r="D941" t="s">
        <v>1587</v>
      </c>
      <c r="E941" t="s">
        <v>2481</v>
      </c>
      <c r="F941" s="3">
        <v>210702</v>
      </c>
      <c r="G941" s="2">
        <f t="shared" si="28"/>
        <v>30</v>
      </c>
      <c r="H941" s="2">
        <f t="shared" ca="1" si="29"/>
        <v>113</v>
      </c>
      <c r="I941" s="4">
        <v>46007</v>
      </c>
      <c r="J941" s="4">
        <v>46037</v>
      </c>
      <c r="K941" t="s">
        <v>1589</v>
      </c>
      <c r="L941" t="s">
        <v>984</v>
      </c>
      <c r="M941" t="s">
        <v>19</v>
      </c>
      <c r="N941" t="s">
        <v>1624</v>
      </c>
      <c r="O941">
        <v>1</v>
      </c>
    </row>
    <row r="942" spans="1:15" hidden="1" x14ac:dyDescent="0.25">
      <c r="A942" t="s">
        <v>2820</v>
      </c>
      <c r="B942" t="s">
        <v>1622</v>
      </c>
      <c r="C942" t="s">
        <v>1623</v>
      </c>
      <c r="D942" t="s">
        <v>1587</v>
      </c>
      <c r="E942" t="s">
        <v>2482</v>
      </c>
      <c r="F942" s="3">
        <v>221296</v>
      </c>
      <c r="G942" s="2">
        <f t="shared" si="28"/>
        <v>30</v>
      </c>
      <c r="H942" s="2">
        <f t="shared" ca="1" si="29"/>
        <v>113</v>
      </c>
      <c r="I942" s="4">
        <v>46007</v>
      </c>
      <c r="J942" s="4">
        <v>46037</v>
      </c>
      <c r="K942" t="s">
        <v>1589</v>
      </c>
      <c r="L942" t="s">
        <v>984</v>
      </c>
      <c r="M942" t="s">
        <v>19</v>
      </c>
      <c r="N942" t="s">
        <v>1624</v>
      </c>
      <c r="O942">
        <v>1</v>
      </c>
    </row>
    <row r="943" spans="1:15" hidden="1" x14ac:dyDescent="0.25">
      <c r="A943" t="s">
        <v>2820</v>
      </c>
      <c r="B943" t="s">
        <v>1625</v>
      </c>
      <c r="C943" t="s">
        <v>1626</v>
      </c>
      <c r="D943" t="s">
        <v>1587</v>
      </c>
      <c r="E943" t="s">
        <v>2483</v>
      </c>
      <c r="F943" s="3">
        <v>94501</v>
      </c>
      <c r="G943" s="2">
        <f t="shared" si="28"/>
        <v>30</v>
      </c>
      <c r="H943" s="2">
        <f t="shared" ca="1" si="29"/>
        <v>113</v>
      </c>
      <c r="I943" s="4">
        <v>46007</v>
      </c>
      <c r="J943" s="4">
        <v>46037</v>
      </c>
      <c r="K943" t="s">
        <v>1589</v>
      </c>
      <c r="L943" t="s">
        <v>984</v>
      </c>
      <c r="M943" t="s">
        <v>19</v>
      </c>
      <c r="N943" t="s">
        <v>1627</v>
      </c>
      <c r="O943">
        <v>30</v>
      </c>
    </row>
    <row r="944" spans="1:15" hidden="1" x14ac:dyDescent="0.25">
      <c r="A944" t="s">
        <v>2820</v>
      </c>
      <c r="B944" t="s">
        <v>1625</v>
      </c>
      <c r="C944" t="s">
        <v>1626</v>
      </c>
      <c r="D944" t="s">
        <v>1587</v>
      </c>
      <c r="E944" t="s">
        <v>2484</v>
      </c>
      <c r="F944" s="3">
        <v>94316</v>
      </c>
      <c r="G944" s="2">
        <f t="shared" si="28"/>
        <v>30</v>
      </c>
      <c r="H944" s="2">
        <f t="shared" ca="1" si="29"/>
        <v>113</v>
      </c>
      <c r="I944" s="4">
        <v>46007</v>
      </c>
      <c r="J944" s="4">
        <v>46037</v>
      </c>
      <c r="K944" t="s">
        <v>1589</v>
      </c>
      <c r="L944" t="s">
        <v>984</v>
      </c>
      <c r="M944" t="s">
        <v>19</v>
      </c>
      <c r="N944" t="s">
        <v>1627</v>
      </c>
      <c r="O944">
        <v>30</v>
      </c>
    </row>
    <row r="945" spans="1:15" hidden="1" x14ac:dyDescent="0.25">
      <c r="A945" t="s">
        <v>2820</v>
      </c>
      <c r="B945" t="s">
        <v>1625</v>
      </c>
      <c r="C945" t="s">
        <v>1626</v>
      </c>
      <c r="D945" t="s">
        <v>1587</v>
      </c>
      <c r="E945" t="s">
        <v>2485</v>
      </c>
      <c r="F945" s="3">
        <v>339200</v>
      </c>
      <c r="G945" s="2">
        <f t="shared" si="28"/>
        <v>30</v>
      </c>
      <c r="H945" s="2">
        <f t="shared" ca="1" si="29"/>
        <v>113</v>
      </c>
      <c r="I945" s="4">
        <v>46007</v>
      </c>
      <c r="J945" s="4">
        <v>46037</v>
      </c>
      <c r="K945" t="s">
        <v>1589</v>
      </c>
      <c r="L945" t="s">
        <v>984</v>
      </c>
      <c r="M945" t="s">
        <v>19</v>
      </c>
      <c r="N945" t="s">
        <v>1627</v>
      </c>
      <c r="O945">
        <v>30</v>
      </c>
    </row>
    <row r="946" spans="1:15" hidden="1" x14ac:dyDescent="0.25">
      <c r="A946" t="s">
        <v>2820</v>
      </c>
      <c r="B946" t="s">
        <v>1628</v>
      </c>
      <c r="C946" t="s">
        <v>1629</v>
      </c>
      <c r="D946" t="s">
        <v>1593</v>
      </c>
      <c r="E946" t="s">
        <v>2486</v>
      </c>
      <c r="F946" s="3">
        <v>238800</v>
      </c>
      <c r="G946" s="2">
        <f t="shared" si="28"/>
        <v>30</v>
      </c>
      <c r="H946" s="2">
        <f t="shared" ca="1" si="29"/>
        <v>113</v>
      </c>
      <c r="I946" s="4">
        <v>46007</v>
      </c>
      <c r="J946" s="4">
        <v>46037</v>
      </c>
      <c r="K946" t="s">
        <v>1589</v>
      </c>
      <c r="L946" t="s">
        <v>984</v>
      </c>
      <c r="M946" t="s">
        <v>19</v>
      </c>
      <c r="N946" t="s">
        <v>1630</v>
      </c>
      <c r="O946">
        <v>30</v>
      </c>
    </row>
    <row r="947" spans="1:15" hidden="1" x14ac:dyDescent="0.25">
      <c r="A947" t="s">
        <v>2820</v>
      </c>
      <c r="B947" t="s">
        <v>1628</v>
      </c>
      <c r="C947" t="s">
        <v>1629</v>
      </c>
      <c r="D947" t="s">
        <v>1593</v>
      </c>
      <c r="E947" t="s">
        <v>2487</v>
      </c>
      <c r="F947" s="3">
        <v>106899</v>
      </c>
      <c r="G947" s="2">
        <f t="shared" si="28"/>
        <v>30</v>
      </c>
      <c r="H947" s="2">
        <f t="shared" ca="1" si="29"/>
        <v>113</v>
      </c>
      <c r="I947" s="4">
        <v>46007</v>
      </c>
      <c r="J947" s="4">
        <v>46037</v>
      </c>
      <c r="K947" t="s">
        <v>1589</v>
      </c>
      <c r="L947" t="s">
        <v>984</v>
      </c>
      <c r="M947" t="s">
        <v>19</v>
      </c>
      <c r="N947" t="s">
        <v>1630</v>
      </c>
      <c r="O947">
        <v>30</v>
      </c>
    </row>
    <row r="948" spans="1:15" hidden="1" x14ac:dyDescent="0.25">
      <c r="A948" t="s">
        <v>2820</v>
      </c>
      <c r="B948" t="s">
        <v>1628</v>
      </c>
      <c r="C948" t="s">
        <v>1629</v>
      </c>
      <c r="D948" t="s">
        <v>1593</v>
      </c>
      <c r="E948" t="s">
        <v>2488</v>
      </c>
      <c r="F948" s="3">
        <v>110200</v>
      </c>
      <c r="G948" s="2">
        <f t="shared" si="28"/>
        <v>30</v>
      </c>
      <c r="H948" s="2">
        <f t="shared" ca="1" si="29"/>
        <v>113</v>
      </c>
      <c r="I948" s="4">
        <v>46007</v>
      </c>
      <c r="J948" s="4">
        <v>46037</v>
      </c>
      <c r="K948" t="s">
        <v>1589</v>
      </c>
      <c r="L948" t="s">
        <v>984</v>
      </c>
      <c r="M948" t="s">
        <v>19</v>
      </c>
      <c r="N948" t="s">
        <v>1630</v>
      </c>
      <c r="O948">
        <v>30</v>
      </c>
    </row>
    <row r="949" spans="1:15" hidden="1" x14ac:dyDescent="0.25">
      <c r="A949" t="s">
        <v>2820</v>
      </c>
      <c r="B949" t="s">
        <v>1649</v>
      </c>
      <c r="C949" t="s">
        <v>1650</v>
      </c>
      <c r="D949" t="s">
        <v>1593</v>
      </c>
      <c r="E949" t="s">
        <v>2489</v>
      </c>
      <c r="F949" s="3">
        <v>532123</v>
      </c>
      <c r="G949" s="2">
        <f t="shared" si="28"/>
        <v>30</v>
      </c>
      <c r="H949" s="2">
        <f t="shared" ca="1" si="29"/>
        <v>113</v>
      </c>
      <c r="I949" s="4">
        <v>46007</v>
      </c>
      <c r="J949" s="4">
        <v>46037</v>
      </c>
      <c r="K949" t="s">
        <v>1589</v>
      </c>
      <c r="L949" t="s">
        <v>984</v>
      </c>
      <c r="M949" t="s">
        <v>19</v>
      </c>
      <c r="N949" t="s">
        <v>1651</v>
      </c>
      <c r="O949">
        <v>30</v>
      </c>
    </row>
    <row r="950" spans="1:15" hidden="1" x14ac:dyDescent="0.25">
      <c r="A950" t="s">
        <v>2820</v>
      </c>
      <c r="B950" t="s">
        <v>1649</v>
      </c>
      <c r="C950" t="s">
        <v>1650</v>
      </c>
      <c r="D950" t="s">
        <v>1593</v>
      </c>
      <c r="E950" t="s">
        <v>2490</v>
      </c>
      <c r="F950" s="3">
        <v>44411</v>
      </c>
      <c r="G950" s="2">
        <f t="shared" si="28"/>
        <v>30</v>
      </c>
      <c r="H950" s="2">
        <f t="shared" ca="1" si="29"/>
        <v>113</v>
      </c>
      <c r="I950" s="4">
        <v>46007</v>
      </c>
      <c r="J950" s="4">
        <v>46037</v>
      </c>
      <c r="K950" t="s">
        <v>1589</v>
      </c>
      <c r="L950" t="s">
        <v>984</v>
      </c>
      <c r="M950" t="s">
        <v>19</v>
      </c>
      <c r="N950" t="s">
        <v>1651</v>
      </c>
      <c r="O950">
        <v>30</v>
      </c>
    </row>
    <row r="951" spans="1:15" hidden="1" x14ac:dyDescent="0.25">
      <c r="A951" t="s">
        <v>2820</v>
      </c>
      <c r="B951" t="s">
        <v>1625</v>
      </c>
      <c r="C951" t="s">
        <v>1626</v>
      </c>
      <c r="D951" t="s">
        <v>1587</v>
      </c>
      <c r="E951" t="s">
        <v>2491</v>
      </c>
      <c r="F951" s="3">
        <v>258000</v>
      </c>
      <c r="G951" s="2">
        <f t="shared" si="28"/>
        <v>30</v>
      </c>
      <c r="H951" s="2">
        <f t="shared" ca="1" si="29"/>
        <v>113</v>
      </c>
      <c r="I951" s="4">
        <v>46007</v>
      </c>
      <c r="J951" s="4">
        <v>46037</v>
      </c>
      <c r="K951" t="s">
        <v>1589</v>
      </c>
      <c r="L951" t="s">
        <v>984</v>
      </c>
      <c r="M951" t="s">
        <v>19</v>
      </c>
      <c r="N951" t="s">
        <v>1627</v>
      </c>
      <c r="O951">
        <v>30</v>
      </c>
    </row>
    <row r="952" spans="1:15" hidden="1" x14ac:dyDescent="0.25">
      <c r="A952" t="s">
        <v>2820</v>
      </c>
      <c r="B952" t="s">
        <v>1625</v>
      </c>
      <c r="C952" t="s">
        <v>1626</v>
      </c>
      <c r="D952" t="s">
        <v>1587</v>
      </c>
      <c r="E952" t="s">
        <v>2492</v>
      </c>
      <c r="F952" s="3">
        <v>266897</v>
      </c>
      <c r="G952" s="2">
        <f t="shared" si="28"/>
        <v>30</v>
      </c>
      <c r="H952" s="2">
        <f t="shared" ca="1" si="29"/>
        <v>113</v>
      </c>
      <c r="I952" s="4">
        <v>46007</v>
      </c>
      <c r="J952" s="4">
        <v>46037</v>
      </c>
      <c r="K952" t="s">
        <v>1589</v>
      </c>
      <c r="L952" t="s">
        <v>984</v>
      </c>
      <c r="M952" t="s">
        <v>19</v>
      </c>
      <c r="N952" t="s">
        <v>1627</v>
      </c>
      <c r="O952">
        <v>30</v>
      </c>
    </row>
    <row r="953" spans="1:15" hidden="1" x14ac:dyDescent="0.25">
      <c r="A953" t="s">
        <v>2820</v>
      </c>
      <c r="B953" t="s">
        <v>1625</v>
      </c>
      <c r="C953" t="s">
        <v>1626</v>
      </c>
      <c r="D953" t="s">
        <v>1587</v>
      </c>
      <c r="E953" t="s">
        <v>2493</v>
      </c>
      <c r="F953" s="3">
        <v>208727</v>
      </c>
      <c r="G953" s="2">
        <f t="shared" si="28"/>
        <v>30</v>
      </c>
      <c r="H953" s="2">
        <f t="shared" ca="1" si="29"/>
        <v>113</v>
      </c>
      <c r="I953" s="4">
        <v>46007</v>
      </c>
      <c r="J953" s="4">
        <v>46037</v>
      </c>
      <c r="K953" t="s">
        <v>1589</v>
      </c>
      <c r="L953" t="s">
        <v>984</v>
      </c>
      <c r="M953" t="s">
        <v>19</v>
      </c>
      <c r="N953" t="s">
        <v>1627</v>
      </c>
      <c r="O953">
        <v>30</v>
      </c>
    </row>
    <row r="954" spans="1:15" hidden="1" x14ac:dyDescent="0.25">
      <c r="A954" t="s">
        <v>2820</v>
      </c>
      <c r="B954" t="s">
        <v>1840</v>
      </c>
      <c r="C954" t="s">
        <v>1841</v>
      </c>
      <c r="D954" t="s">
        <v>1842</v>
      </c>
      <c r="E954" t="s">
        <v>2518</v>
      </c>
      <c r="F954" s="3">
        <v>1099650</v>
      </c>
      <c r="G954" s="2">
        <f t="shared" si="28"/>
        <v>30</v>
      </c>
      <c r="H954" s="2">
        <f t="shared" ca="1" si="29"/>
        <v>113</v>
      </c>
      <c r="I954" s="4">
        <v>46007</v>
      </c>
      <c r="J954" s="4">
        <v>46037</v>
      </c>
      <c r="K954" t="s">
        <v>1843</v>
      </c>
      <c r="L954" t="s">
        <v>981</v>
      </c>
      <c r="M954" t="s">
        <v>19</v>
      </c>
      <c r="N954" t="s">
        <v>1844</v>
      </c>
      <c r="O954">
        <v>30</v>
      </c>
    </row>
    <row r="955" spans="1:15" hidden="1" x14ac:dyDescent="0.25">
      <c r="A955" t="s">
        <v>2820</v>
      </c>
      <c r="B955" t="s">
        <v>1840</v>
      </c>
      <c r="C955" t="s">
        <v>1841</v>
      </c>
      <c r="D955" t="s">
        <v>1842</v>
      </c>
      <c r="E955" t="s">
        <v>2519</v>
      </c>
      <c r="F955" s="3">
        <v>1305802</v>
      </c>
      <c r="G955" s="2">
        <f t="shared" si="28"/>
        <v>30</v>
      </c>
      <c r="H955" s="2">
        <f t="shared" ca="1" si="29"/>
        <v>113</v>
      </c>
      <c r="I955" s="4">
        <v>46007</v>
      </c>
      <c r="J955" s="4">
        <v>46037</v>
      </c>
      <c r="K955" t="s">
        <v>1843</v>
      </c>
      <c r="L955" t="s">
        <v>981</v>
      </c>
      <c r="M955" t="s">
        <v>19</v>
      </c>
      <c r="N955" t="s">
        <v>1844</v>
      </c>
      <c r="O955">
        <v>30</v>
      </c>
    </row>
    <row r="956" spans="1:15" hidden="1" x14ac:dyDescent="0.25">
      <c r="A956" t="s">
        <v>2820</v>
      </c>
      <c r="B956" t="s">
        <v>1845</v>
      </c>
      <c r="C956" t="s">
        <v>1846</v>
      </c>
      <c r="D956" t="s">
        <v>1847</v>
      </c>
      <c r="E956" t="s">
        <v>2523</v>
      </c>
      <c r="F956" s="3">
        <v>769522</v>
      </c>
      <c r="G956" s="2">
        <f t="shared" si="28"/>
        <v>30</v>
      </c>
      <c r="H956" s="2">
        <f t="shared" ca="1" si="29"/>
        <v>113</v>
      </c>
      <c r="I956" s="4">
        <v>46007</v>
      </c>
      <c r="J956" s="4">
        <v>46037</v>
      </c>
      <c r="K956" t="s">
        <v>1875</v>
      </c>
      <c r="L956" t="s">
        <v>981</v>
      </c>
      <c r="M956" t="s">
        <v>19</v>
      </c>
      <c r="N956" t="s">
        <v>1848</v>
      </c>
      <c r="O956">
        <v>30</v>
      </c>
    </row>
    <row r="957" spans="1:15" hidden="1" x14ac:dyDescent="0.25">
      <c r="A957" t="s">
        <v>2820</v>
      </c>
      <c r="B957" t="s">
        <v>1845</v>
      </c>
      <c r="C957" t="s">
        <v>1846</v>
      </c>
      <c r="D957" t="s">
        <v>1847</v>
      </c>
      <c r="E957" t="s">
        <v>2524</v>
      </c>
      <c r="F957" s="3">
        <v>1754439</v>
      </c>
      <c r="G957" s="2">
        <f t="shared" si="28"/>
        <v>30</v>
      </c>
      <c r="H957" s="2">
        <f t="shared" ca="1" si="29"/>
        <v>113</v>
      </c>
      <c r="I957" s="4">
        <v>46007</v>
      </c>
      <c r="J957" s="4">
        <v>46037</v>
      </c>
      <c r="K957" t="s">
        <v>1875</v>
      </c>
      <c r="L957" t="s">
        <v>981</v>
      </c>
      <c r="M957" t="s">
        <v>19</v>
      </c>
      <c r="N957" t="s">
        <v>1848</v>
      </c>
      <c r="O957">
        <v>30</v>
      </c>
    </row>
    <row r="958" spans="1:15" hidden="1" x14ac:dyDescent="0.25">
      <c r="A958" t="s">
        <v>2820</v>
      </c>
      <c r="B958" t="s">
        <v>1845</v>
      </c>
      <c r="C958" t="s">
        <v>1846</v>
      </c>
      <c r="D958" t="s">
        <v>1847</v>
      </c>
      <c r="E958" t="s">
        <v>2525</v>
      </c>
      <c r="F958" s="3">
        <v>4297327</v>
      </c>
      <c r="G958" s="2">
        <f t="shared" si="28"/>
        <v>30</v>
      </c>
      <c r="H958" s="2">
        <f t="shared" ca="1" si="29"/>
        <v>113</v>
      </c>
      <c r="I958" s="4">
        <v>46007</v>
      </c>
      <c r="J958" s="4">
        <v>46037</v>
      </c>
      <c r="K958" t="s">
        <v>1875</v>
      </c>
      <c r="L958" t="s">
        <v>981</v>
      </c>
      <c r="M958" t="s">
        <v>19</v>
      </c>
      <c r="N958" t="s">
        <v>1848</v>
      </c>
      <c r="O958">
        <v>30</v>
      </c>
    </row>
    <row r="959" spans="1:15" hidden="1" x14ac:dyDescent="0.25">
      <c r="A959" t="s">
        <v>2820</v>
      </c>
      <c r="B959" t="s">
        <v>1845</v>
      </c>
      <c r="C959" t="s">
        <v>1846</v>
      </c>
      <c r="D959" t="s">
        <v>1847</v>
      </c>
      <c r="E959" t="s">
        <v>2526</v>
      </c>
      <c r="F959" s="3">
        <v>100740</v>
      </c>
      <c r="G959" s="2">
        <f t="shared" si="28"/>
        <v>30</v>
      </c>
      <c r="H959" s="2">
        <f t="shared" ca="1" si="29"/>
        <v>113</v>
      </c>
      <c r="I959" s="4">
        <v>46007</v>
      </c>
      <c r="J959" s="4">
        <v>46037</v>
      </c>
      <c r="K959" t="s">
        <v>1875</v>
      </c>
      <c r="L959" t="s">
        <v>981</v>
      </c>
      <c r="M959" t="s">
        <v>19</v>
      </c>
      <c r="N959" t="s">
        <v>1848</v>
      </c>
      <c r="O959">
        <v>30</v>
      </c>
    </row>
    <row r="960" spans="1:15" hidden="1" x14ac:dyDescent="0.25">
      <c r="A960" t="s">
        <v>2820</v>
      </c>
      <c r="B960" t="s">
        <v>1845</v>
      </c>
      <c r="C960" t="s">
        <v>1846</v>
      </c>
      <c r="D960" t="s">
        <v>1847</v>
      </c>
      <c r="E960" t="s">
        <v>2527</v>
      </c>
      <c r="F960" s="3">
        <v>6237431</v>
      </c>
      <c r="G960" s="2">
        <f t="shared" si="28"/>
        <v>30</v>
      </c>
      <c r="H960" s="2">
        <f t="shared" ca="1" si="29"/>
        <v>113</v>
      </c>
      <c r="I960" s="4">
        <v>46007</v>
      </c>
      <c r="J960" s="4">
        <v>46037</v>
      </c>
      <c r="K960" t="s">
        <v>1875</v>
      </c>
      <c r="L960" t="s">
        <v>981</v>
      </c>
      <c r="M960" t="s">
        <v>19</v>
      </c>
      <c r="N960" t="s">
        <v>1848</v>
      </c>
      <c r="O960">
        <v>30</v>
      </c>
    </row>
    <row r="961" spans="1:15" hidden="1" x14ac:dyDescent="0.25">
      <c r="A961" t="s">
        <v>2820</v>
      </c>
      <c r="B961" t="s">
        <v>1845</v>
      </c>
      <c r="C961" t="s">
        <v>1846</v>
      </c>
      <c r="D961" t="s">
        <v>1847</v>
      </c>
      <c r="E961" t="s">
        <v>2528</v>
      </c>
      <c r="F961" s="3">
        <v>1382342</v>
      </c>
      <c r="G961" s="2">
        <f t="shared" si="28"/>
        <v>30</v>
      </c>
      <c r="H961" s="2">
        <f t="shared" ca="1" si="29"/>
        <v>113</v>
      </c>
      <c r="I961" s="4">
        <v>46007</v>
      </c>
      <c r="J961" s="4">
        <v>46037</v>
      </c>
      <c r="K961" t="s">
        <v>1875</v>
      </c>
      <c r="L961" t="s">
        <v>981</v>
      </c>
      <c r="M961" t="s">
        <v>19</v>
      </c>
      <c r="N961" t="s">
        <v>1848</v>
      </c>
      <c r="O961">
        <v>30</v>
      </c>
    </row>
    <row r="962" spans="1:15" hidden="1" x14ac:dyDescent="0.25">
      <c r="A962" t="s">
        <v>2820</v>
      </c>
      <c r="B962" t="s">
        <v>1845</v>
      </c>
      <c r="C962" t="s">
        <v>1846</v>
      </c>
      <c r="D962" t="s">
        <v>1847</v>
      </c>
      <c r="E962" t="s">
        <v>2529</v>
      </c>
      <c r="F962" s="3">
        <v>3616474</v>
      </c>
      <c r="G962" s="2">
        <f t="shared" ref="G962:G1025" si="30">+J962-I962</f>
        <v>30</v>
      </c>
      <c r="H962" s="2">
        <f t="shared" ref="H962:H1025" ca="1" si="31">+TODAY()-I962</f>
        <v>113</v>
      </c>
      <c r="I962" s="4">
        <v>46007</v>
      </c>
      <c r="J962" s="4">
        <v>46037</v>
      </c>
      <c r="K962" t="s">
        <v>1875</v>
      </c>
      <c r="L962" t="s">
        <v>981</v>
      </c>
      <c r="M962" t="s">
        <v>19</v>
      </c>
      <c r="N962" t="s">
        <v>1848</v>
      </c>
      <c r="O962">
        <v>30</v>
      </c>
    </row>
    <row r="963" spans="1:15" hidden="1" x14ac:dyDescent="0.25">
      <c r="A963" t="s">
        <v>2820</v>
      </c>
      <c r="B963" t="s">
        <v>1845</v>
      </c>
      <c r="C963" t="s">
        <v>1846</v>
      </c>
      <c r="D963" t="s">
        <v>1847</v>
      </c>
      <c r="E963" t="s">
        <v>2530</v>
      </c>
      <c r="F963" s="3">
        <v>1382057</v>
      </c>
      <c r="G963" s="2">
        <f t="shared" si="30"/>
        <v>30</v>
      </c>
      <c r="H963" s="2">
        <f t="shared" ca="1" si="31"/>
        <v>113</v>
      </c>
      <c r="I963" s="4">
        <v>46007</v>
      </c>
      <c r="J963" s="4">
        <v>46037</v>
      </c>
      <c r="K963" t="s">
        <v>1875</v>
      </c>
      <c r="L963" t="s">
        <v>981</v>
      </c>
      <c r="M963" t="s">
        <v>19</v>
      </c>
      <c r="N963" t="s">
        <v>1848</v>
      </c>
      <c r="O963">
        <v>30</v>
      </c>
    </row>
    <row r="964" spans="1:15" hidden="1" x14ac:dyDescent="0.25">
      <c r="A964" t="s">
        <v>2820</v>
      </c>
      <c r="B964" t="s">
        <v>1845</v>
      </c>
      <c r="C964" t="s">
        <v>1846</v>
      </c>
      <c r="D964" t="s">
        <v>1847</v>
      </c>
      <c r="E964" t="s">
        <v>2531</v>
      </c>
      <c r="F964" s="3">
        <v>2945420</v>
      </c>
      <c r="G964" s="2">
        <f t="shared" si="30"/>
        <v>30</v>
      </c>
      <c r="H964" s="2">
        <f t="shared" ca="1" si="31"/>
        <v>113</v>
      </c>
      <c r="I964" s="4">
        <v>46007</v>
      </c>
      <c r="J964" s="4">
        <v>46037</v>
      </c>
      <c r="K964" t="s">
        <v>1875</v>
      </c>
      <c r="L964" t="s">
        <v>981</v>
      </c>
      <c r="M964" t="s">
        <v>19</v>
      </c>
      <c r="N964" t="s">
        <v>1848</v>
      </c>
      <c r="O964">
        <v>30</v>
      </c>
    </row>
    <row r="965" spans="1:15" hidden="1" x14ac:dyDescent="0.25">
      <c r="A965" t="s">
        <v>2820</v>
      </c>
      <c r="B965" t="s">
        <v>1900</v>
      </c>
      <c r="C965" t="s">
        <v>1901</v>
      </c>
      <c r="D965" t="s">
        <v>1891</v>
      </c>
      <c r="E965" t="s">
        <v>2532</v>
      </c>
      <c r="F965" s="3">
        <v>530513</v>
      </c>
      <c r="G965" s="2">
        <f t="shared" si="30"/>
        <v>30</v>
      </c>
      <c r="H965" s="2">
        <f t="shared" ca="1" si="31"/>
        <v>113</v>
      </c>
      <c r="I965" s="4">
        <v>46007</v>
      </c>
      <c r="J965" s="4">
        <v>46037</v>
      </c>
      <c r="K965" t="s">
        <v>1892</v>
      </c>
      <c r="L965" t="s">
        <v>981</v>
      </c>
      <c r="M965" t="s">
        <v>19</v>
      </c>
      <c r="N965" t="s">
        <v>1902</v>
      </c>
      <c r="O965">
        <v>30</v>
      </c>
    </row>
    <row r="966" spans="1:15" hidden="1" x14ac:dyDescent="0.25">
      <c r="A966" t="s">
        <v>2820</v>
      </c>
      <c r="B966" t="s">
        <v>1900</v>
      </c>
      <c r="C966" t="s">
        <v>1901</v>
      </c>
      <c r="D966" t="s">
        <v>1891</v>
      </c>
      <c r="E966" t="s">
        <v>2533</v>
      </c>
      <c r="F966" s="3">
        <v>54150</v>
      </c>
      <c r="G966" s="2">
        <f t="shared" si="30"/>
        <v>30</v>
      </c>
      <c r="H966" s="2">
        <f t="shared" ca="1" si="31"/>
        <v>113</v>
      </c>
      <c r="I966" s="4">
        <v>46007</v>
      </c>
      <c r="J966" s="4">
        <v>46037</v>
      </c>
      <c r="K966" t="s">
        <v>1892</v>
      </c>
      <c r="L966" t="s">
        <v>981</v>
      </c>
      <c r="M966" t="s">
        <v>19</v>
      </c>
      <c r="N966" t="s">
        <v>1902</v>
      </c>
      <c r="O966">
        <v>30</v>
      </c>
    </row>
    <row r="967" spans="1:15" hidden="1" x14ac:dyDescent="0.25">
      <c r="A967" t="s">
        <v>2820</v>
      </c>
      <c r="B967" t="s">
        <v>2534</v>
      </c>
      <c r="C967" t="s">
        <v>2535</v>
      </c>
      <c r="D967" t="s">
        <v>1891</v>
      </c>
      <c r="E967" t="s">
        <v>2536</v>
      </c>
      <c r="F967" s="3">
        <v>543110</v>
      </c>
      <c r="G967" s="2">
        <f t="shared" si="30"/>
        <v>30</v>
      </c>
      <c r="H967" s="2">
        <f t="shared" ca="1" si="31"/>
        <v>113</v>
      </c>
      <c r="I967" s="4">
        <v>46007</v>
      </c>
      <c r="J967" s="4">
        <v>46037</v>
      </c>
      <c r="K967" t="s">
        <v>1892</v>
      </c>
      <c r="L967" t="s">
        <v>981</v>
      </c>
      <c r="M967" t="s">
        <v>19</v>
      </c>
      <c r="N967" t="s">
        <v>2537</v>
      </c>
      <c r="O967">
        <v>30</v>
      </c>
    </row>
    <row r="968" spans="1:15" hidden="1" x14ac:dyDescent="0.25">
      <c r="A968" t="s">
        <v>2820</v>
      </c>
      <c r="B968" t="s">
        <v>2534</v>
      </c>
      <c r="C968" t="s">
        <v>2535</v>
      </c>
      <c r="D968" t="s">
        <v>1891</v>
      </c>
      <c r="E968" t="s">
        <v>2538</v>
      </c>
      <c r="F968" s="3">
        <v>770275</v>
      </c>
      <c r="G968" s="2">
        <f t="shared" si="30"/>
        <v>30</v>
      </c>
      <c r="H968" s="2">
        <f t="shared" ca="1" si="31"/>
        <v>113</v>
      </c>
      <c r="I968" s="4">
        <v>46007</v>
      </c>
      <c r="J968" s="4">
        <v>46037</v>
      </c>
      <c r="K968" t="s">
        <v>1892</v>
      </c>
      <c r="L968" t="s">
        <v>981</v>
      </c>
      <c r="M968" t="s">
        <v>19</v>
      </c>
      <c r="N968" t="s">
        <v>2537</v>
      </c>
      <c r="O968">
        <v>30</v>
      </c>
    </row>
    <row r="969" spans="1:15" hidden="1" x14ac:dyDescent="0.25">
      <c r="A969" t="s">
        <v>2820</v>
      </c>
      <c r="B969" t="s">
        <v>1897</v>
      </c>
      <c r="C969" t="s">
        <v>1898</v>
      </c>
      <c r="D969" t="s">
        <v>1891</v>
      </c>
      <c r="E969" t="s">
        <v>2539</v>
      </c>
      <c r="F969" s="3">
        <v>406357</v>
      </c>
      <c r="G969" s="2">
        <f t="shared" si="30"/>
        <v>30</v>
      </c>
      <c r="H969" s="2">
        <f t="shared" ca="1" si="31"/>
        <v>113</v>
      </c>
      <c r="I969" s="4">
        <v>46007</v>
      </c>
      <c r="J969" s="4">
        <v>46037</v>
      </c>
      <c r="K969" t="s">
        <v>1892</v>
      </c>
      <c r="L969" t="s">
        <v>981</v>
      </c>
      <c r="M969" t="s">
        <v>19</v>
      </c>
      <c r="N969" t="s">
        <v>1899</v>
      </c>
      <c r="O969">
        <v>1</v>
      </c>
    </row>
    <row r="970" spans="1:15" hidden="1" x14ac:dyDescent="0.25">
      <c r="A970" t="s">
        <v>2820</v>
      </c>
      <c r="B970" t="s">
        <v>1897</v>
      </c>
      <c r="C970" t="s">
        <v>1898</v>
      </c>
      <c r="D970" t="s">
        <v>1891</v>
      </c>
      <c r="E970" t="s">
        <v>2540</v>
      </c>
      <c r="F970" s="3">
        <v>381058</v>
      </c>
      <c r="G970" s="2">
        <f t="shared" si="30"/>
        <v>30</v>
      </c>
      <c r="H970" s="2">
        <f t="shared" ca="1" si="31"/>
        <v>113</v>
      </c>
      <c r="I970" s="4">
        <v>46007</v>
      </c>
      <c r="J970" s="4">
        <v>46037</v>
      </c>
      <c r="K970" t="s">
        <v>1892</v>
      </c>
      <c r="L970" t="s">
        <v>981</v>
      </c>
      <c r="M970" t="s">
        <v>19</v>
      </c>
      <c r="N970" t="s">
        <v>1899</v>
      </c>
      <c r="O970">
        <v>1</v>
      </c>
    </row>
    <row r="971" spans="1:15" hidden="1" x14ac:dyDescent="0.25">
      <c r="A971" t="s">
        <v>2820</v>
      </c>
      <c r="B971" t="s">
        <v>136</v>
      </c>
      <c r="C971" t="s">
        <v>137</v>
      </c>
      <c r="D971" t="s">
        <v>46</v>
      </c>
      <c r="E971" t="s">
        <v>2424</v>
      </c>
      <c r="F971" s="3">
        <v>744501</v>
      </c>
      <c r="G971" s="2">
        <f t="shared" si="30"/>
        <v>30</v>
      </c>
      <c r="H971" s="2">
        <f t="shared" ca="1" si="31"/>
        <v>112</v>
      </c>
      <c r="I971" s="4">
        <v>46008</v>
      </c>
      <c r="J971" s="4">
        <v>46038</v>
      </c>
      <c r="K971" t="s">
        <v>17</v>
      </c>
      <c r="L971" t="s">
        <v>109</v>
      </c>
      <c r="M971" t="s">
        <v>19</v>
      </c>
      <c r="N971" t="s">
        <v>138</v>
      </c>
      <c r="O971">
        <v>30</v>
      </c>
    </row>
    <row r="972" spans="1:15" hidden="1" x14ac:dyDescent="0.25">
      <c r="A972" t="s">
        <v>2820</v>
      </c>
      <c r="B972" t="s">
        <v>67</v>
      </c>
      <c r="C972" t="s">
        <v>68</v>
      </c>
      <c r="D972" t="s">
        <v>15</v>
      </c>
      <c r="E972" t="s">
        <v>2425</v>
      </c>
      <c r="F972" s="3">
        <v>2895050</v>
      </c>
      <c r="G972" s="2">
        <f t="shared" si="30"/>
        <v>30</v>
      </c>
      <c r="H972" s="2">
        <f t="shared" ca="1" si="31"/>
        <v>112</v>
      </c>
      <c r="I972" s="4">
        <v>46008</v>
      </c>
      <c r="J972" s="4">
        <v>46038</v>
      </c>
      <c r="K972" t="s">
        <v>17</v>
      </c>
      <c r="L972" t="s">
        <v>32</v>
      </c>
      <c r="M972" t="s">
        <v>19</v>
      </c>
      <c r="N972" t="s">
        <v>69</v>
      </c>
      <c r="O972">
        <v>30</v>
      </c>
    </row>
    <row r="973" spans="1:15" hidden="1" x14ac:dyDescent="0.25">
      <c r="A973" t="s">
        <v>2820</v>
      </c>
      <c r="B973" t="s">
        <v>143</v>
      </c>
      <c r="C973" t="s">
        <v>144</v>
      </c>
      <c r="D973" t="s">
        <v>15</v>
      </c>
      <c r="E973" t="s">
        <v>2426</v>
      </c>
      <c r="F973" s="3">
        <v>1832458</v>
      </c>
      <c r="G973" s="2">
        <f t="shared" si="30"/>
        <v>30</v>
      </c>
      <c r="H973" s="2">
        <f t="shared" ca="1" si="31"/>
        <v>112</v>
      </c>
      <c r="I973" s="4">
        <v>46008</v>
      </c>
      <c r="J973" s="4">
        <v>46038</v>
      </c>
      <c r="K973" t="s">
        <v>17</v>
      </c>
      <c r="L973" t="s">
        <v>32</v>
      </c>
      <c r="M973" t="s">
        <v>19</v>
      </c>
      <c r="N973" t="s">
        <v>145</v>
      </c>
      <c r="O973">
        <v>30</v>
      </c>
    </row>
    <row r="974" spans="1:15" hidden="1" x14ac:dyDescent="0.25">
      <c r="A974" t="s">
        <v>2820</v>
      </c>
      <c r="B974" t="s">
        <v>1336</v>
      </c>
      <c r="C974" t="s">
        <v>1337</v>
      </c>
      <c r="D974" t="s">
        <v>1323</v>
      </c>
      <c r="E974" t="s">
        <v>2427</v>
      </c>
      <c r="F974" s="3">
        <v>4559272</v>
      </c>
      <c r="G974" s="2">
        <f t="shared" si="30"/>
        <v>30</v>
      </c>
      <c r="H974" s="2">
        <f t="shared" ca="1" si="31"/>
        <v>112</v>
      </c>
      <c r="I974" s="4">
        <v>46008</v>
      </c>
      <c r="J974" s="4">
        <v>46038</v>
      </c>
      <c r="K974" t="s">
        <v>17</v>
      </c>
      <c r="L974" t="s">
        <v>90</v>
      </c>
      <c r="M974" t="s">
        <v>19</v>
      </c>
      <c r="N974" t="s">
        <v>1338</v>
      </c>
      <c r="O974">
        <v>30</v>
      </c>
    </row>
    <row r="975" spans="1:15" hidden="1" x14ac:dyDescent="0.25">
      <c r="A975" t="s">
        <v>2820</v>
      </c>
      <c r="B975" t="s">
        <v>1107</v>
      </c>
      <c r="C975" t="s">
        <v>1108</v>
      </c>
      <c r="D975" t="s">
        <v>320</v>
      </c>
      <c r="E975" t="s">
        <v>2447</v>
      </c>
      <c r="F975" s="3">
        <v>2731367</v>
      </c>
      <c r="G975" s="2">
        <f t="shared" si="30"/>
        <v>30</v>
      </c>
      <c r="H975" s="2">
        <f t="shared" ca="1" si="31"/>
        <v>112</v>
      </c>
      <c r="I975" s="4">
        <v>46008</v>
      </c>
      <c r="J975" s="4">
        <v>46038</v>
      </c>
      <c r="K975" t="s">
        <v>1068</v>
      </c>
      <c r="L975" t="s">
        <v>117</v>
      </c>
      <c r="M975" t="s">
        <v>19</v>
      </c>
      <c r="N975" t="s">
        <v>1109</v>
      </c>
      <c r="O975">
        <v>30</v>
      </c>
    </row>
    <row r="976" spans="1:15" hidden="1" x14ac:dyDescent="0.25">
      <c r="A976" t="s">
        <v>2820</v>
      </c>
      <c r="B976" t="s">
        <v>1112</v>
      </c>
      <c r="C976" t="s">
        <v>1113</v>
      </c>
      <c r="D976" t="s">
        <v>320</v>
      </c>
      <c r="E976" t="s">
        <v>2448</v>
      </c>
      <c r="F976" s="3">
        <v>14965124</v>
      </c>
      <c r="G976" s="2">
        <f t="shared" si="30"/>
        <v>30</v>
      </c>
      <c r="H976" s="2">
        <f t="shared" ca="1" si="31"/>
        <v>112</v>
      </c>
      <c r="I976" s="4">
        <v>46008</v>
      </c>
      <c r="J976" s="4">
        <v>46038</v>
      </c>
      <c r="K976" t="s">
        <v>1068</v>
      </c>
      <c r="L976" t="s">
        <v>207</v>
      </c>
      <c r="M976" t="s">
        <v>19</v>
      </c>
      <c r="N976" t="s">
        <v>1114</v>
      </c>
      <c r="O976">
        <v>30</v>
      </c>
    </row>
    <row r="977" spans="1:15" hidden="1" x14ac:dyDescent="0.25">
      <c r="A977" t="s">
        <v>2820</v>
      </c>
      <c r="B977" t="s">
        <v>1119</v>
      </c>
      <c r="C977" t="s">
        <v>1120</v>
      </c>
      <c r="D977" t="s">
        <v>1066</v>
      </c>
      <c r="E977" t="s">
        <v>2452</v>
      </c>
      <c r="F977" s="3">
        <v>273118</v>
      </c>
      <c r="G977" s="2">
        <f t="shared" si="30"/>
        <v>30</v>
      </c>
      <c r="H977" s="2">
        <f t="shared" ca="1" si="31"/>
        <v>112</v>
      </c>
      <c r="I977" s="4">
        <v>46008</v>
      </c>
      <c r="J977" s="4">
        <v>46038</v>
      </c>
      <c r="K977" t="s">
        <v>1068</v>
      </c>
      <c r="L977" t="s">
        <v>207</v>
      </c>
      <c r="M977" t="s">
        <v>19</v>
      </c>
      <c r="N977" t="s">
        <v>1121</v>
      </c>
      <c r="O977">
        <v>30</v>
      </c>
    </row>
    <row r="978" spans="1:15" hidden="1" x14ac:dyDescent="0.25">
      <c r="A978" t="s">
        <v>2820</v>
      </c>
      <c r="B978" t="s">
        <v>1107</v>
      </c>
      <c r="C978" t="s">
        <v>1108</v>
      </c>
      <c r="D978" t="s">
        <v>320</v>
      </c>
      <c r="E978" t="s">
        <v>2453</v>
      </c>
      <c r="F978" s="3">
        <v>14989</v>
      </c>
      <c r="G978" s="2">
        <f t="shared" si="30"/>
        <v>30</v>
      </c>
      <c r="H978" s="2">
        <f t="shared" ca="1" si="31"/>
        <v>112</v>
      </c>
      <c r="I978" s="4">
        <v>46008</v>
      </c>
      <c r="J978" s="4">
        <v>46038</v>
      </c>
      <c r="K978" t="s">
        <v>1068</v>
      </c>
      <c r="L978" t="s">
        <v>117</v>
      </c>
      <c r="M978" t="s">
        <v>19</v>
      </c>
      <c r="N978" t="s">
        <v>1109</v>
      </c>
      <c r="O978">
        <v>30</v>
      </c>
    </row>
    <row r="979" spans="1:15" hidden="1" x14ac:dyDescent="0.25">
      <c r="A979" t="s">
        <v>2820</v>
      </c>
      <c r="B979" t="s">
        <v>1104</v>
      </c>
      <c r="C979" t="s">
        <v>1105</v>
      </c>
      <c r="D979" t="s">
        <v>1066</v>
      </c>
      <c r="E979" t="s">
        <v>2461</v>
      </c>
      <c r="F979" s="3">
        <v>1977789</v>
      </c>
      <c r="G979" s="2">
        <f t="shared" si="30"/>
        <v>30</v>
      </c>
      <c r="H979" s="2">
        <f t="shared" ca="1" si="31"/>
        <v>112</v>
      </c>
      <c r="I979" s="4">
        <v>46008</v>
      </c>
      <c r="J979" s="4">
        <v>46038</v>
      </c>
      <c r="K979" t="s">
        <v>1243</v>
      </c>
      <c r="L979" t="s">
        <v>207</v>
      </c>
      <c r="M979" t="s">
        <v>19</v>
      </c>
      <c r="N979" t="s">
        <v>1106</v>
      </c>
      <c r="O979">
        <v>30</v>
      </c>
    </row>
    <row r="980" spans="1:15" hidden="1" x14ac:dyDescent="0.25">
      <c r="A980" t="s">
        <v>2820</v>
      </c>
      <c r="B980" t="s">
        <v>1104</v>
      </c>
      <c r="C980" t="s">
        <v>1105</v>
      </c>
      <c r="D980" t="s">
        <v>1066</v>
      </c>
      <c r="E980" t="s">
        <v>2462</v>
      </c>
      <c r="F980" s="3">
        <v>626340</v>
      </c>
      <c r="G980" s="2">
        <f t="shared" si="30"/>
        <v>30</v>
      </c>
      <c r="H980" s="2">
        <f t="shared" ca="1" si="31"/>
        <v>112</v>
      </c>
      <c r="I980" s="4">
        <v>46008</v>
      </c>
      <c r="J980" s="4">
        <v>46038</v>
      </c>
      <c r="K980" t="s">
        <v>1243</v>
      </c>
      <c r="L980" t="s">
        <v>207</v>
      </c>
      <c r="M980" t="s">
        <v>19</v>
      </c>
      <c r="N980" t="s">
        <v>1106</v>
      </c>
      <c r="O980">
        <v>30</v>
      </c>
    </row>
    <row r="981" spans="1:15" hidden="1" x14ac:dyDescent="0.25">
      <c r="A981" t="s">
        <v>2820</v>
      </c>
      <c r="B981" t="s">
        <v>1336</v>
      </c>
      <c r="C981" t="s">
        <v>1337</v>
      </c>
      <c r="D981" t="s">
        <v>1323</v>
      </c>
      <c r="E981" t="s">
        <v>2466</v>
      </c>
      <c r="F981" s="3">
        <v>2770329</v>
      </c>
      <c r="G981" s="2">
        <f t="shared" si="30"/>
        <v>30</v>
      </c>
      <c r="H981" s="2">
        <f t="shared" ca="1" si="31"/>
        <v>112</v>
      </c>
      <c r="I981" s="4">
        <v>46008</v>
      </c>
      <c r="J981" s="4">
        <v>46038</v>
      </c>
      <c r="K981" t="s">
        <v>1325</v>
      </c>
      <c r="L981" t="s">
        <v>90</v>
      </c>
      <c r="M981" t="s">
        <v>19</v>
      </c>
      <c r="N981" t="s">
        <v>1338</v>
      </c>
      <c r="O981">
        <v>30</v>
      </c>
    </row>
    <row r="982" spans="1:15" hidden="1" x14ac:dyDescent="0.25">
      <c r="A982" t="s">
        <v>2820</v>
      </c>
      <c r="B982" t="s">
        <v>1348</v>
      </c>
      <c r="C982" t="s">
        <v>1349</v>
      </c>
      <c r="D982" t="s">
        <v>382</v>
      </c>
      <c r="E982" t="s">
        <v>2467</v>
      </c>
      <c r="F982" s="3">
        <v>348247</v>
      </c>
      <c r="G982" s="2">
        <f t="shared" si="30"/>
        <v>30</v>
      </c>
      <c r="H982" s="2">
        <f t="shared" ca="1" si="31"/>
        <v>112</v>
      </c>
      <c r="I982" s="4">
        <v>46008</v>
      </c>
      <c r="J982" s="4">
        <v>46038</v>
      </c>
      <c r="K982" t="s">
        <v>1325</v>
      </c>
      <c r="L982" t="s">
        <v>90</v>
      </c>
      <c r="M982" t="s">
        <v>19</v>
      </c>
      <c r="N982" t="s">
        <v>1350</v>
      </c>
      <c r="O982">
        <v>30</v>
      </c>
    </row>
    <row r="983" spans="1:15" hidden="1" x14ac:dyDescent="0.25">
      <c r="A983" t="s">
        <v>2820</v>
      </c>
      <c r="B983" t="s">
        <v>2468</v>
      </c>
      <c r="C983" t="s">
        <v>2469</v>
      </c>
      <c r="D983" t="s">
        <v>1323</v>
      </c>
      <c r="E983" t="s">
        <v>2470</v>
      </c>
      <c r="F983" s="3">
        <v>979869</v>
      </c>
      <c r="G983" s="2">
        <f t="shared" si="30"/>
        <v>30</v>
      </c>
      <c r="H983" s="2">
        <f t="shared" ca="1" si="31"/>
        <v>112</v>
      </c>
      <c r="I983" s="4">
        <v>46008</v>
      </c>
      <c r="J983" s="4">
        <v>46038</v>
      </c>
      <c r="K983" t="s">
        <v>1325</v>
      </c>
      <c r="L983" t="s">
        <v>90</v>
      </c>
      <c r="M983" t="s">
        <v>19</v>
      </c>
      <c r="N983" t="s">
        <v>2471</v>
      </c>
      <c r="O983">
        <v>30</v>
      </c>
    </row>
    <row r="984" spans="1:15" hidden="1" x14ac:dyDescent="0.25">
      <c r="A984" t="s">
        <v>2820</v>
      </c>
      <c r="B984" t="s">
        <v>1610</v>
      </c>
      <c r="C984" t="s">
        <v>1611</v>
      </c>
      <c r="D984" t="s">
        <v>1593</v>
      </c>
      <c r="E984" t="s">
        <v>2494</v>
      </c>
      <c r="F984" s="3">
        <v>12600</v>
      </c>
      <c r="G984" s="2">
        <f t="shared" si="30"/>
        <v>30</v>
      </c>
      <c r="H984" s="2">
        <f t="shared" ca="1" si="31"/>
        <v>112</v>
      </c>
      <c r="I984" s="4">
        <v>46008</v>
      </c>
      <c r="J984" s="4">
        <v>46038</v>
      </c>
      <c r="K984" t="s">
        <v>1589</v>
      </c>
      <c r="L984" t="s">
        <v>984</v>
      </c>
      <c r="M984" t="s">
        <v>19</v>
      </c>
      <c r="N984" t="s">
        <v>1612</v>
      </c>
      <c r="O984">
        <v>30</v>
      </c>
    </row>
    <row r="985" spans="1:15" hidden="1" x14ac:dyDescent="0.25">
      <c r="A985" t="s">
        <v>2820</v>
      </c>
      <c r="B985" t="s">
        <v>1646</v>
      </c>
      <c r="C985" t="s">
        <v>1647</v>
      </c>
      <c r="D985" t="s">
        <v>1593</v>
      </c>
      <c r="E985" t="s">
        <v>2495</v>
      </c>
      <c r="F985" s="3">
        <v>214000</v>
      </c>
      <c r="G985" s="2">
        <f t="shared" si="30"/>
        <v>30</v>
      </c>
      <c r="H985" s="2">
        <f t="shared" ca="1" si="31"/>
        <v>112</v>
      </c>
      <c r="I985" s="4">
        <v>46008</v>
      </c>
      <c r="J985" s="4">
        <v>46038</v>
      </c>
      <c r="K985" t="s">
        <v>1589</v>
      </c>
      <c r="L985" t="s">
        <v>984</v>
      </c>
      <c r="M985" t="s">
        <v>19</v>
      </c>
      <c r="N985" t="s">
        <v>1648</v>
      </c>
      <c r="O985">
        <v>30</v>
      </c>
    </row>
    <row r="986" spans="1:15" hidden="1" x14ac:dyDescent="0.25">
      <c r="A986" t="s">
        <v>2820</v>
      </c>
      <c r="B986" t="s">
        <v>1646</v>
      </c>
      <c r="C986" t="s">
        <v>1647</v>
      </c>
      <c r="D986" t="s">
        <v>1593</v>
      </c>
      <c r="E986" t="s">
        <v>2496</v>
      </c>
      <c r="F986" s="3">
        <v>203796</v>
      </c>
      <c r="G986" s="2">
        <f t="shared" si="30"/>
        <v>30</v>
      </c>
      <c r="H986" s="2">
        <f t="shared" ca="1" si="31"/>
        <v>112</v>
      </c>
      <c r="I986" s="4">
        <v>46008</v>
      </c>
      <c r="J986" s="4">
        <v>46038</v>
      </c>
      <c r="K986" t="s">
        <v>1589</v>
      </c>
      <c r="L986" t="s">
        <v>984</v>
      </c>
      <c r="M986" t="s">
        <v>19</v>
      </c>
      <c r="N986" t="s">
        <v>1648</v>
      </c>
      <c r="O986">
        <v>30</v>
      </c>
    </row>
    <row r="987" spans="1:15" hidden="1" x14ac:dyDescent="0.25">
      <c r="A987" t="s">
        <v>2820</v>
      </c>
      <c r="B987" t="s">
        <v>1646</v>
      </c>
      <c r="C987" t="s">
        <v>1647</v>
      </c>
      <c r="D987" t="s">
        <v>1593</v>
      </c>
      <c r="E987" t="s">
        <v>2497</v>
      </c>
      <c r="F987" s="3">
        <v>63000</v>
      </c>
      <c r="G987" s="2">
        <f t="shared" si="30"/>
        <v>30</v>
      </c>
      <c r="H987" s="2">
        <f t="shared" ca="1" si="31"/>
        <v>112</v>
      </c>
      <c r="I987" s="4">
        <v>46008</v>
      </c>
      <c r="J987" s="4">
        <v>46038</v>
      </c>
      <c r="K987" t="s">
        <v>1589</v>
      </c>
      <c r="L987" t="s">
        <v>984</v>
      </c>
      <c r="M987" t="s">
        <v>19</v>
      </c>
      <c r="N987" t="s">
        <v>1648</v>
      </c>
      <c r="O987">
        <v>30</v>
      </c>
    </row>
    <row r="988" spans="1:15" hidden="1" x14ac:dyDescent="0.25">
      <c r="A988" t="s">
        <v>2820</v>
      </c>
      <c r="B988" t="s">
        <v>1631</v>
      </c>
      <c r="C988" t="s">
        <v>1632</v>
      </c>
      <c r="D988" t="s">
        <v>1587</v>
      </c>
      <c r="E988" t="s">
        <v>2498</v>
      </c>
      <c r="F988" s="3">
        <v>887320</v>
      </c>
      <c r="G988" s="2">
        <f t="shared" si="30"/>
        <v>30</v>
      </c>
      <c r="H988" s="2">
        <f t="shared" ca="1" si="31"/>
        <v>112</v>
      </c>
      <c r="I988" s="4">
        <v>46008</v>
      </c>
      <c r="J988" s="4">
        <v>46038</v>
      </c>
      <c r="K988" t="s">
        <v>1589</v>
      </c>
      <c r="L988" t="s">
        <v>984</v>
      </c>
      <c r="M988" t="s">
        <v>19</v>
      </c>
      <c r="N988" t="s">
        <v>1633</v>
      </c>
      <c r="O988">
        <v>30</v>
      </c>
    </row>
    <row r="989" spans="1:15" hidden="1" x14ac:dyDescent="0.25">
      <c r="A989" t="s">
        <v>2820</v>
      </c>
      <c r="B989" t="s">
        <v>1631</v>
      </c>
      <c r="C989" t="s">
        <v>1632</v>
      </c>
      <c r="D989" t="s">
        <v>1587</v>
      </c>
      <c r="E989" t="s">
        <v>2499</v>
      </c>
      <c r="F989" s="3">
        <v>715465</v>
      </c>
      <c r="G989" s="2">
        <f t="shared" si="30"/>
        <v>30</v>
      </c>
      <c r="H989" s="2">
        <f t="shared" ca="1" si="31"/>
        <v>112</v>
      </c>
      <c r="I989" s="4">
        <v>46008</v>
      </c>
      <c r="J989" s="4">
        <v>46038</v>
      </c>
      <c r="K989" t="s">
        <v>1589</v>
      </c>
      <c r="L989" t="s">
        <v>984</v>
      </c>
      <c r="M989" t="s">
        <v>19</v>
      </c>
      <c r="N989" t="s">
        <v>1633</v>
      </c>
      <c r="O989">
        <v>30</v>
      </c>
    </row>
    <row r="990" spans="1:15" hidden="1" x14ac:dyDescent="0.25">
      <c r="A990" t="s">
        <v>2820</v>
      </c>
      <c r="B990" t="s">
        <v>1679</v>
      </c>
      <c r="C990" t="s">
        <v>1680</v>
      </c>
      <c r="D990" t="s">
        <v>1593</v>
      </c>
      <c r="E990" t="s">
        <v>2500</v>
      </c>
      <c r="F990" s="3">
        <v>2120001</v>
      </c>
      <c r="G990" s="2">
        <f t="shared" si="30"/>
        <v>30</v>
      </c>
      <c r="H990" s="2">
        <f t="shared" ca="1" si="31"/>
        <v>112</v>
      </c>
      <c r="I990" s="4">
        <v>46008</v>
      </c>
      <c r="J990" s="4">
        <v>46038</v>
      </c>
      <c r="K990" t="s">
        <v>1589</v>
      </c>
      <c r="L990" t="s">
        <v>984</v>
      </c>
      <c r="M990" t="s">
        <v>19</v>
      </c>
      <c r="N990" t="s">
        <v>1681</v>
      </c>
      <c r="O990">
        <v>30</v>
      </c>
    </row>
    <row r="991" spans="1:15" hidden="1" x14ac:dyDescent="0.25">
      <c r="A991" t="s">
        <v>2820</v>
      </c>
      <c r="B991" t="s">
        <v>1679</v>
      </c>
      <c r="C991" t="s">
        <v>1680</v>
      </c>
      <c r="D991" t="s">
        <v>1593</v>
      </c>
      <c r="E991" t="s">
        <v>2501</v>
      </c>
      <c r="F991" s="3">
        <v>241500</v>
      </c>
      <c r="G991" s="2">
        <f t="shared" si="30"/>
        <v>30</v>
      </c>
      <c r="H991" s="2">
        <f t="shared" ca="1" si="31"/>
        <v>112</v>
      </c>
      <c r="I991" s="4">
        <v>46008</v>
      </c>
      <c r="J991" s="4">
        <v>46038</v>
      </c>
      <c r="K991" t="s">
        <v>1589</v>
      </c>
      <c r="L991" t="s">
        <v>984</v>
      </c>
      <c r="M991" t="s">
        <v>19</v>
      </c>
      <c r="N991" t="s">
        <v>1681</v>
      </c>
      <c r="O991">
        <v>30</v>
      </c>
    </row>
    <row r="992" spans="1:15" hidden="1" x14ac:dyDescent="0.25">
      <c r="A992" t="s">
        <v>2820</v>
      </c>
      <c r="B992" t="s">
        <v>1679</v>
      </c>
      <c r="C992" t="s">
        <v>1680</v>
      </c>
      <c r="D992" t="s">
        <v>1593</v>
      </c>
      <c r="E992" t="s">
        <v>2502</v>
      </c>
      <c r="F992" s="3">
        <v>56398</v>
      </c>
      <c r="G992" s="2">
        <f t="shared" si="30"/>
        <v>30</v>
      </c>
      <c r="H992" s="2">
        <f t="shared" ca="1" si="31"/>
        <v>112</v>
      </c>
      <c r="I992" s="4">
        <v>46008</v>
      </c>
      <c r="J992" s="4">
        <v>46038</v>
      </c>
      <c r="K992" t="s">
        <v>1589</v>
      </c>
      <c r="L992" t="s">
        <v>984</v>
      </c>
      <c r="M992" t="s">
        <v>19</v>
      </c>
      <c r="N992" t="s">
        <v>1681</v>
      </c>
      <c r="O992">
        <v>30</v>
      </c>
    </row>
    <row r="993" spans="1:15" hidden="1" x14ac:dyDescent="0.25">
      <c r="A993" t="s">
        <v>2820</v>
      </c>
      <c r="B993" t="s">
        <v>1679</v>
      </c>
      <c r="C993" t="s">
        <v>1680</v>
      </c>
      <c r="D993" t="s">
        <v>1593</v>
      </c>
      <c r="E993" t="s">
        <v>2503</v>
      </c>
      <c r="F993" s="3">
        <v>111802</v>
      </c>
      <c r="G993" s="2">
        <f t="shared" si="30"/>
        <v>30</v>
      </c>
      <c r="H993" s="2">
        <f t="shared" ca="1" si="31"/>
        <v>112</v>
      </c>
      <c r="I993" s="4">
        <v>46008</v>
      </c>
      <c r="J993" s="4">
        <v>46038</v>
      </c>
      <c r="K993" t="s">
        <v>1589</v>
      </c>
      <c r="L993" t="s">
        <v>984</v>
      </c>
      <c r="M993" t="s">
        <v>19</v>
      </c>
      <c r="N993" t="s">
        <v>1681</v>
      </c>
      <c r="O993">
        <v>30</v>
      </c>
    </row>
    <row r="994" spans="1:15" hidden="1" x14ac:dyDescent="0.25">
      <c r="A994" t="s">
        <v>2820</v>
      </c>
      <c r="B994" t="s">
        <v>1679</v>
      </c>
      <c r="C994" t="s">
        <v>1680</v>
      </c>
      <c r="D994" t="s">
        <v>1593</v>
      </c>
      <c r="E994" t="s">
        <v>2504</v>
      </c>
      <c r="F994" s="3">
        <v>222596</v>
      </c>
      <c r="G994" s="2">
        <f t="shared" si="30"/>
        <v>30</v>
      </c>
      <c r="H994" s="2">
        <f t="shared" ca="1" si="31"/>
        <v>112</v>
      </c>
      <c r="I994" s="4">
        <v>46008</v>
      </c>
      <c r="J994" s="4">
        <v>46038</v>
      </c>
      <c r="K994" t="s">
        <v>1589</v>
      </c>
      <c r="L994" t="s">
        <v>984</v>
      </c>
      <c r="M994" t="s">
        <v>19</v>
      </c>
      <c r="N994" t="s">
        <v>1681</v>
      </c>
      <c r="O994">
        <v>30</v>
      </c>
    </row>
    <row r="995" spans="1:15" hidden="1" x14ac:dyDescent="0.25">
      <c r="A995" t="s">
        <v>2820</v>
      </c>
      <c r="B995" t="s">
        <v>1598</v>
      </c>
      <c r="C995" t="s">
        <v>1599</v>
      </c>
      <c r="D995" t="s">
        <v>1593</v>
      </c>
      <c r="E995" t="s">
        <v>2505</v>
      </c>
      <c r="F995" s="3">
        <v>11403</v>
      </c>
      <c r="G995" s="2">
        <f t="shared" si="30"/>
        <v>30</v>
      </c>
      <c r="H995" s="2">
        <f t="shared" ca="1" si="31"/>
        <v>112</v>
      </c>
      <c r="I995" s="4">
        <v>46008</v>
      </c>
      <c r="J995" s="4">
        <v>46038</v>
      </c>
      <c r="K995" t="s">
        <v>1589</v>
      </c>
      <c r="L995" t="s">
        <v>984</v>
      </c>
      <c r="M995" t="s">
        <v>19</v>
      </c>
      <c r="N995" t="s">
        <v>1600</v>
      </c>
      <c r="O995">
        <v>30</v>
      </c>
    </row>
    <row r="996" spans="1:15" hidden="1" x14ac:dyDescent="0.25">
      <c r="A996" t="s">
        <v>2820</v>
      </c>
      <c r="B996" t="s">
        <v>1598</v>
      </c>
      <c r="C996" t="s">
        <v>1599</v>
      </c>
      <c r="D996" t="s">
        <v>1593</v>
      </c>
      <c r="E996" t="s">
        <v>2506</v>
      </c>
      <c r="F996" s="3">
        <v>335399</v>
      </c>
      <c r="G996" s="2">
        <f t="shared" si="30"/>
        <v>30</v>
      </c>
      <c r="H996" s="2">
        <f t="shared" ca="1" si="31"/>
        <v>112</v>
      </c>
      <c r="I996" s="4">
        <v>46008</v>
      </c>
      <c r="J996" s="4">
        <v>46038</v>
      </c>
      <c r="K996" t="s">
        <v>1589</v>
      </c>
      <c r="L996" t="s">
        <v>984</v>
      </c>
      <c r="M996" t="s">
        <v>19</v>
      </c>
      <c r="N996" t="s">
        <v>1600</v>
      </c>
      <c r="O996">
        <v>30</v>
      </c>
    </row>
    <row r="997" spans="1:15" hidden="1" x14ac:dyDescent="0.25">
      <c r="A997" t="s">
        <v>2820</v>
      </c>
      <c r="B997" t="s">
        <v>1598</v>
      </c>
      <c r="C997" t="s">
        <v>1599</v>
      </c>
      <c r="D997" t="s">
        <v>1593</v>
      </c>
      <c r="E997" t="s">
        <v>2507</v>
      </c>
      <c r="F997" s="3">
        <v>300200</v>
      </c>
      <c r="G997" s="2">
        <f t="shared" si="30"/>
        <v>30</v>
      </c>
      <c r="H997" s="2">
        <f t="shared" ca="1" si="31"/>
        <v>112</v>
      </c>
      <c r="I997" s="4">
        <v>46008</v>
      </c>
      <c r="J997" s="4">
        <v>46038</v>
      </c>
      <c r="K997" t="s">
        <v>1589</v>
      </c>
      <c r="L997" t="s">
        <v>984</v>
      </c>
      <c r="M997" t="s">
        <v>19</v>
      </c>
      <c r="N997" t="s">
        <v>1600</v>
      </c>
      <c r="O997">
        <v>30</v>
      </c>
    </row>
    <row r="998" spans="1:15" hidden="1" x14ac:dyDescent="0.25">
      <c r="A998" t="s">
        <v>2820</v>
      </c>
      <c r="B998" t="s">
        <v>1607</v>
      </c>
      <c r="C998" t="s">
        <v>1608</v>
      </c>
      <c r="D998" t="s">
        <v>1593</v>
      </c>
      <c r="E998" t="s">
        <v>2508</v>
      </c>
      <c r="F998" s="3">
        <v>1978090</v>
      </c>
      <c r="G998" s="2">
        <f t="shared" si="30"/>
        <v>30</v>
      </c>
      <c r="H998" s="2">
        <f t="shared" ca="1" si="31"/>
        <v>112</v>
      </c>
      <c r="I998" s="4">
        <v>46008</v>
      </c>
      <c r="J998" s="4">
        <v>46038</v>
      </c>
      <c r="K998" t="s">
        <v>1589</v>
      </c>
      <c r="L998" t="s">
        <v>984</v>
      </c>
      <c r="M998" t="s">
        <v>19</v>
      </c>
      <c r="N998" t="s">
        <v>1609</v>
      </c>
      <c r="O998">
        <v>30</v>
      </c>
    </row>
    <row r="999" spans="1:15" hidden="1" x14ac:dyDescent="0.25">
      <c r="A999" t="s">
        <v>2820</v>
      </c>
      <c r="B999" t="s">
        <v>1607</v>
      </c>
      <c r="C999" t="s">
        <v>1608</v>
      </c>
      <c r="D999" t="s">
        <v>1593</v>
      </c>
      <c r="E999" t="s">
        <v>2509</v>
      </c>
      <c r="F999" s="3">
        <v>1027893</v>
      </c>
      <c r="G999" s="2">
        <f t="shared" si="30"/>
        <v>30</v>
      </c>
      <c r="H999" s="2">
        <f t="shared" ca="1" si="31"/>
        <v>112</v>
      </c>
      <c r="I999" s="4">
        <v>46008</v>
      </c>
      <c r="J999" s="4">
        <v>46038</v>
      </c>
      <c r="K999" t="s">
        <v>1589</v>
      </c>
      <c r="L999" t="s">
        <v>984</v>
      </c>
      <c r="M999" t="s">
        <v>19</v>
      </c>
      <c r="N999" t="s">
        <v>1609</v>
      </c>
      <c r="O999">
        <v>30</v>
      </c>
    </row>
    <row r="1000" spans="1:15" hidden="1" x14ac:dyDescent="0.25">
      <c r="A1000" t="s">
        <v>2820</v>
      </c>
      <c r="B1000" t="s">
        <v>1607</v>
      </c>
      <c r="C1000" t="s">
        <v>1608</v>
      </c>
      <c r="D1000" t="s">
        <v>1593</v>
      </c>
      <c r="E1000" t="s">
        <v>2510</v>
      </c>
      <c r="F1000" s="3">
        <v>318439</v>
      </c>
      <c r="G1000" s="2">
        <f t="shared" si="30"/>
        <v>30</v>
      </c>
      <c r="H1000" s="2">
        <f t="shared" ca="1" si="31"/>
        <v>112</v>
      </c>
      <c r="I1000" s="4">
        <v>46008</v>
      </c>
      <c r="J1000" s="4">
        <v>46038</v>
      </c>
      <c r="K1000" t="s">
        <v>1589</v>
      </c>
      <c r="L1000" t="s">
        <v>984</v>
      </c>
      <c r="M1000" t="s">
        <v>19</v>
      </c>
      <c r="N1000" t="s">
        <v>1609</v>
      </c>
      <c r="O1000">
        <v>30</v>
      </c>
    </row>
    <row r="1001" spans="1:15" hidden="1" x14ac:dyDescent="0.25">
      <c r="A1001" t="s">
        <v>2820</v>
      </c>
      <c r="B1001" t="s">
        <v>1607</v>
      </c>
      <c r="C1001" t="s">
        <v>1608</v>
      </c>
      <c r="D1001" t="s">
        <v>1593</v>
      </c>
      <c r="E1001" t="s">
        <v>2511</v>
      </c>
      <c r="F1001" s="3">
        <v>3424800</v>
      </c>
      <c r="G1001" s="2">
        <f t="shared" si="30"/>
        <v>30</v>
      </c>
      <c r="H1001" s="2">
        <f t="shared" ca="1" si="31"/>
        <v>112</v>
      </c>
      <c r="I1001" s="4">
        <v>46008</v>
      </c>
      <c r="J1001" s="4">
        <v>46038</v>
      </c>
      <c r="K1001" t="s">
        <v>1589</v>
      </c>
      <c r="L1001" t="s">
        <v>984</v>
      </c>
      <c r="M1001" t="s">
        <v>19</v>
      </c>
      <c r="N1001" t="s">
        <v>1609</v>
      </c>
      <c r="O1001">
        <v>30</v>
      </c>
    </row>
    <row r="1002" spans="1:15" hidden="1" x14ac:dyDescent="0.25">
      <c r="A1002" t="s">
        <v>2820</v>
      </c>
      <c r="B1002" t="s">
        <v>1607</v>
      </c>
      <c r="C1002" t="s">
        <v>1608</v>
      </c>
      <c r="D1002" t="s">
        <v>1593</v>
      </c>
      <c r="E1002" t="s">
        <v>2512</v>
      </c>
      <c r="F1002" s="3">
        <v>1067987</v>
      </c>
      <c r="G1002" s="2">
        <f t="shared" si="30"/>
        <v>30</v>
      </c>
      <c r="H1002" s="2">
        <f t="shared" ca="1" si="31"/>
        <v>112</v>
      </c>
      <c r="I1002" s="4">
        <v>46008</v>
      </c>
      <c r="J1002" s="4">
        <v>46038</v>
      </c>
      <c r="K1002" t="s">
        <v>1589</v>
      </c>
      <c r="L1002" t="s">
        <v>984</v>
      </c>
      <c r="M1002" t="s">
        <v>19</v>
      </c>
      <c r="N1002" t="s">
        <v>1609</v>
      </c>
      <c r="O1002">
        <v>30</v>
      </c>
    </row>
    <row r="1003" spans="1:15" hidden="1" x14ac:dyDescent="0.25">
      <c r="A1003" t="s">
        <v>2820</v>
      </c>
      <c r="B1003" t="s">
        <v>1601</v>
      </c>
      <c r="C1003" t="s">
        <v>1602</v>
      </c>
      <c r="D1003" t="s">
        <v>1593</v>
      </c>
      <c r="E1003" t="s">
        <v>2513</v>
      </c>
      <c r="F1003" s="3">
        <v>2120001</v>
      </c>
      <c r="G1003" s="2">
        <f t="shared" si="30"/>
        <v>30</v>
      </c>
      <c r="H1003" s="2">
        <f t="shared" ca="1" si="31"/>
        <v>112</v>
      </c>
      <c r="I1003" s="4">
        <v>46008</v>
      </c>
      <c r="J1003" s="4">
        <v>46038</v>
      </c>
      <c r="K1003" t="s">
        <v>1589</v>
      </c>
      <c r="L1003" t="s">
        <v>984</v>
      </c>
      <c r="M1003" t="s">
        <v>19</v>
      </c>
      <c r="N1003" t="s">
        <v>1603</v>
      </c>
      <c r="O1003">
        <v>30</v>
      </c>
    </row>
    <row r="1004" spans="1:15" hidden="1" x14ac:dyDescent="0.25">
      <c r="A1004" t="s">
        <v>2820</v>
      </c>
      <c r="B1004" t="s">
        <v>2514</v>
      </c>
      <c r="C1004" t="s">
        <v>2515</v>
      </c>
      <c r="D1004" t="s">
        <v>1752</v>
      </c>
      <c r="E1004" t="s">
        <v>2517</v>
      </c>
      <c r="F1004" s="3">
        <v>1045</v>
      </c>
      <c r="G1004" s="2">
        <f t="shared" si="30"/>
        <v>1</v>
      </c>
      <c r="H1004" s="2">
        <f t="shared" ca="1" si="31"/>
        <v>112</v>
      </c>
      <c r="I1004" s="4">
        <v>46008</v>
      </c>
      <c r="J1004" s="4">
        <v>46009</v>
      </c>
      <c r="K1004" t="s">
        <v>1747</v>
      </c>
      <c r="L1004" t="s">
        <v>981</v>
      </c>
      <c r="M1004" t="s">
        <v>19</v>
      </c>
      <c r="N1004" t="s">
        <v>2516</v>
      </c>
      <c r="O1004">
        <v>1</v>
      </c>
    </row>
    <row r="1005" spans="1:15" hidden="1" x14ac:dyDescent="0.25">
      <c r="A1005" t="s">
        <v>2820</v>
      </c>
      <c r="B1005" t="s">
        <v>1188</v>
      </c>
      <c r="C1005" t="s">
        <v>1189</v>
      </c>
      <c r="D1005" t="s">
        <v>1190</v>
      </c>
      <c r="E1005" t="s">
        <v>2520</v>
      </c>
      <c r="F1005" s="3">
        <v>5383795</v>
      </c>
      <c r="G1005" s="2">
        <f t="shared" si="30"/>
        <v>30</v>
      </c>
      <c r="H1005" s="2">
        <f t="shared" ca="1" si="31"/>
        <v>112</v>
      </c>
      <c r="I1005" s="4">
        <v>46008</v>
      </c>
      <c r="J1005" s="4">
        <v>46038</v>
      </c>
      <c r="K1005" t="s">
        <v>1863</v>
      </c>
      <c r="L1005" t="s">
        <v>984</v>
      </c>
      <c r="M1005" t="s">
        <v>19</v>
      </c>
      <c r="N1005" t="s">
        <v>1191</v>
      </c>
      <c r="O1005">
        <v>30</v>
      </c>
    </row>
    <row r="1006" spans="1:15" hidden="1" x14ac:dyDescent="0.25">
      <c r="A1006" t="s">
        <v>2820</v>
      </c>
      <c r="B1006" t="s">
        <v>1188</v>
      </c>
      <c r="C1006" t="s">
        <v>1189</v>
      </c>
      <c r="D1006" t="s">
        <v>1190</v>
      </c>
      <c r="E1006" t="s">
        <v>2521</v>
      </c>
      <c r="F1006" s="3">
        <v>3761921</v>
      </c>
      <c r="G1006" s="2">
        <f t="shared" si="30"/>
        <v>30</v>
      </c>
      <c r="H1006" s="2">
        <f t="shared" ca="1" si="31"/>
        <v>112</v>
      </c>
      <c r="I1006" s="4">
        <v>46008</v>
      </c>
      <c r="J1006" s="4">
        <v>46038</v>
      </c>
      <c r="K1006" t="s">
        <v>1863</v>
      </c>
      <c r="L1006" t="s">
        <v>984</v>
      </c>
      <c r="M1006" t="s">
        <v>19</v>
      </c>
      <c r="N1006" t="s">
        <v>1191</v>
      </c>
      <c r="O1006">
        <v>30</v>
      </c>
    </row>
    <row r="1007" spans="1:15" hidden="1" x14ac:dyDescent="0.25">
      <c r="A1007" t="s">
        <v>2820</v>
      </c>
      <c r="B1007" t="s">
        <v>1188</v>
      </c>
      <c r="C1007" t="s">
        <v>1189</v>
      </c>
      <c r="D1007" t="s">
        <v>1190</v>
      </c>
      <c r="E1007" t="s">
        <v>2522</v>
      </c>
      <c r="F1007" s="3">
        <v>2308419</v>
      </c>
      <c r="G1007" s="2">
        <f t="shared" si="30"/>
        <v>30</v>
      </c>
      <c r="H1007" s="2">
        <f t="shared" ca="1" si="31"/>
        <v>112</v>
      </c>
      <c r="I1007" s="4">
        <v>46008</v>
      </c>
      <c r="J1007" s="4">
        <v>46038</v>
      </c>
      <c r="K1007" t="s">
        <v>1863</v>
      </c>
      <c r="L1007" t="s">
        <v>984</v>
      </c>
      <c r="M1007" t="s">
        <v>19</v>
      </c>
      <c r="N1007" t="s">
        <v>1191</v>
      </c>
      <c r="O1007">
        <v>30</v>
      </c>
    </row>
    <row r="1008" spans="1:15" hidden="1" x14ac:dyDescent="0.25">
      <c r="A1008" t="s">
        <v>2820</v>
      </c>
      <c r="B1008" t="s">
        <v>95</v>
      </c>
      <c r="C1008" t="s">
        <v>96</v>
      </c>
      <c r="D1008" t="s">
        <v>15</v>
      </c>
      <c r="E1008" t="s">
        <v>2546</v>
      </c>
      <c r="F1008" s="3">
        <v>3069136</v>
      </c>
      <c r="G1008" s="2">
        <f t="shared" si="30"/>
        <v>30</v>
      </c>
      <c r="H1008" s="2">
        <f t="shared" ca="1" si="31"/>
        <v>111</v>
      </c>
      <c r="I1008" s="4">
        <v>46009</v>
      </c>
      <c r="J1008" s="4">
        <v>46039</v>
      </c>
      <c r="K1008" t="s">
        <v>17</v>
      </c>
      <c r="L1008" t="s">
        <v>32</v>
      </c>
      <c r="M1008" t="s">
        <v>19</v>
      </c>
      <c r="N1008" t="s">
        <v>97</v>
      </c>
      <c r="O1008">
        <v>30</v>
      </c>
    </row>
    <row r="1009" spans="1:15" hidden="1" x14ac:dyDescent="0.25">
      <c r="A1009" t="s">
        <v>2820</v>
      </c>
      <c r="B1009" t="s">
        <v>95</v>
      </c>
      <c r="C1009" t="s">
        <v>96</v>
      </c>
      <c r="D1009" t="s">
        <v>15</v>
      </c>
      <c r="E1009" t="s">
        <v>2547</v>
      </c>
      <c r="F1009" s="3">
        <v>426000</v>
      </c>
      <c r="G1009" s="2">
        <f t="shared" si="30"/>
        <v>30</v>
      </c>
      <c r="H1009" s="2">
        <f t="shared" ca="1" si="31"/>
        <v>111</v>
      </c>
      <c r="I1009" s="4">
        <v>46009</v>
      </c>
      <c r="J1009" s="4">
        <v>46039</v>
      </c>
      <c r="K1009" t="s">
        <v>17</v>
      </c>
      <c r="L1009" t="s">
        <v>32</v>
      </c>
      <c r="M1009" t="s">
        <v>19</v>
      </c>
      <c r="N1009" t="s">
        <v>97</v>
      </c>
      <c r="O1009">
        <v>30</v>
      </c>
    </row>
    <row r="1010" spans="1:15" hidden="1" x14ac:dyDescent="0.25">
      <c r="A1010" t="s">
        <v>2820</v>
      </c>
      <c r="B1010" t="s">
        <v>88</v>
      </c>
      <c r="C1010" t="s">
        <v>89</v>
      </c>
      <c r="D1010" t="s">
        <v>15</v>
      </c>
      <c r="E1010" t="s">
        <v>2548</v>
      </c>
      <c r="F1010" s="3">
        <v>17256363</v>
      </c>
      <c r="G1010" s="2">
        <f t="shared" si="30"/>
        <v>30</v>
      </c>
      <c r="H1010" s="2">
        <f t="shared" ca="1" si="31"/>
        <v>111</v>
      </c>
      <c r="I1010" s="4">
        <v>46009</v>
      </c>
      <c r="J1010" s="4">
        <v>46039</v>
      </c>
      <c r="K1010" t="s">
        <v>17</v>
      </c>
      <c r="L1010" t="s">
        <v>32</v>
      </c>
      <c r="M1010" t="s">
        <v>19</v>
      </c>
      <c r="N1010" t="s">
        <v>91</v>
      </c>
      <c r="O1010">
        <v>30</v>
      </c>
    </row>
    <row r="1011" spans="1:15" x14ac:dyDescent="0.25">
      <c r="A1011" t="s">
        <v>2820</v>
      </c>
      <c r="B1011" t="s">
        <v>189</v>
      </c>
      <c r="C1011" t="s">
        <v>190</v>
      </c>
      <c r="D1011" t="s">
        <v>15</v>
      </c>
      <c r="E1011" t="s">
        <v>2549</v>
      </c>
      <c r="F1011" s="3">
        <v>10592001</v>
      </c>
      <c r="G1011" s="2">
        <f t="shared" si="30"/>
        <v>30</v>
      </c>
      <c r="H1011" s="2">
        <f t="shared" ca="1" si="31"/>
        <v>111</v>
      </c>
      <c r="I1011" s="4">
        <v>46009</v>
      </c>
      <c r="J1011" s="4">
        <v>46039</v>
      </c>
      <c r="K1011" t="s">
        <v>17</v>
      </c>
      <c r="L1011" t="s">
        <v>32</v>
      </c>
      <c r="M1011" t="s">
        <v>19</v>
      </c>
      <c r="N1011" t="s">
        <v>191</v>
      </c>
      <c r="O1011">
        <v>30</v>
      </c>
    </row>
    <row r="1012" spans="1:15" hidden="1" x14ac:dyDescent="0.25">
      <c r="A1012" t="s">
        <v>2820</v>
      </c>
      <c r="B1012" t="s">
        <v>1907</v>
      </c>
      <c r="C1012" t="s">
        <v>1908</v>
      </c>
      <c r="D1012" t="s">
        <v>204</v>
      </c>
      <c r="E1012" t="s">
        <v>2598</v>
      </c>
      <c r="F1012" s="3">
        <v>599550</v>
      </c>
      <c r="G1012" s="2">
        <f t="shared" si="30"/>
        <v>30</v>
      </c>
      <c r="H1012" s="2">
        <f t="shared" ca="1" si="31"/>
        <v>111</v>
      </c>
      <c r="I1012" s="4">
        <v>46009</v>
      </c>
      <c r="J1012" s="4">
        <v>46039</v>
      </c>
      <c r="K1012" t="s">
        <v>343</v>
      </c>
      <c r="L1012" t="s">
        <v>18</v>
      </c>
      <c r="M1012" t="s">
        <v>19</v>
      </c>
      <c r="N1012" t="s">
        <v>1909</v>
      </c>
      <c r="O1012">
        <v>30</v>
      </c>
    </row>
    <row r="1013" spans="1:15" hidden="1" x14ac:dyDescent="0.25">
      <c r="A1013" t="s">
        <v>2820</v>
      </c>
      <c r="B1013" t="s">
        <v>380</v>
      </c>
      <c r="C1013" t="s">
        <v>381</v>
      </c>
      <c r="D1013" t="s">
        <v>382</v>
      </c>
      <c r="E1013" t="s">
        <v>2599</v>
      </c>
      <c r="F1013" s="3">
        <v>807000</v>
      </c>
      <c r="G1013" s="2">
        <f t="shared" si="30"/>
        <v>30</v>
      </c>
      <c r="H1013" s="2">
        <f t="shared" ca="1" si="31"/>
        <v>111</v>
      </c>
      <c r="I1013" s="4">
        <v>46009</v>
      </c>
      <c r="J1013" s="4">
        <v>46039</v>
      </c>
      <c r="K1013" t="s">
        <v>343</v>
      </c>
      <c r="L1013" t="s">
        <v>18</v>
      </c>
      <c r="M1013" t="s">
        <v>19</v>
      </c>
      <c r="N1013" t="s">
        <v>383</v>
      </c>
      <c r="O1013">
        <v>30</v>
      </c>
    </row>
    <row r="1014" spans="1:15" hidden="1" x14ac:dyDescent="0.25">
      <c r="A1014" t="s">
        <v>2820</v>
      </c>
      <c r="B1014" t="s">
        <v>380</v>
      </c>
      <c r="C1014" t="s">
        <v>381</v>
      </c>
      <c r="D1014" t="s">
        <v>382</v>
      </c>
      <c r="E1014" t="s">
        <v>2600</v>
      </c>
      <c r="F1014" s="3">
        <v>110200</v>
      </c>
      <c r="G1014" s="2">
        <f t="shared" si="30"/>
        <v>30</v>
      </c>
      <c r="H1014" s="2">
        <f t="shared" ca="1" si="31"/>
        <v>111</v>
      </c>
      <c r="I1014" s="4">
        <v>46009</v>
      </c>
      <c r="J1014" s="4">
        <v>46039</v>
      </c>
      <c r="K1014" t="s">
        <v>343</v>
      </c>
      <c r="L1014" t="s">
        <v>18</v>
      </c>
      <c r="M1014" t="s">
        <v>19</v>
      </c>
      <c r="N1014" t="s">
        <v>383</v>
      </c>
      <c r="O1014">
        <v>30</v>
      </c>
    </row>
    <row r="1015" spans="1:15" hidden="1" x14ac:dyDescent="0.25">
      <c r="A1015" t="s">
        <v>2820</v>
      </c>
      <c r="B1015" t="s">
        <v>387</v>
      </c>
      <c r="C1015" t="s">
        <v>388</v>
      </c>
      <c r="D1015" t="s">
        <v>389</v>
      </c>
      <c r="E1015" t="s">
        <v>2601</v>
      </c>
      <c r="F1015" s="3">
        <v>14806721</v>
      </c>
      <c r="G1015" s="2">
        <f t="shared" si="30"/>
        <v>30</v>
      </c>
      <c r="H1015" s="2">
        <f t="shared" ca="1" si="31"/>
        <v>111</v>
      </c>
      <c r="I1015" s="4">
        <v>46009</v>
      </c>
      <c r="J1015" s="4">
        <v>46039</v>
      </c>
      <c r="K1015" t="s">
        <v>343</v>
      </c>
      <c r="L1015" t="s">
        <v>18</v>
      </c>
      <c r="M1015" t="s">
        <v>19</v>
      </c>
      <c r="N1015" t="s">
        <v>390</v>
      </c>
      <c r="O1015">
        <v>30</v>
      </c>
    </row>
    <row r="1016" spans="1:15" hidden="1" x14ac:dyDescent="0.25">
      <c r="A1016" t="s">
        <v>2820</v>
      </c>
      <c r="B1016" t="s">
        <v>387</v>
      </c>
      <c r="C1016" t="s">
        <v>388</v>
      </c>
      <c r="D1016" t="s">
        <v>389</v>
      </c>
      <c r="E1016" t="s">
        <v>2602</v>
      </c>
      <c r="F1016" s="3">
        <v>3384000</v>
      </c>
      <c r="G1016" s="2">
        <f t="shared" si="30"/>
        <v>30</v>
      </c>
      <c r="H1016" s="2">
        <f t="shared" ca="1" si="31"/>
        <v>111</v>
      </c>
      <c r="I1016" s="4">
        <v>46009</v>
      </c>
      <c r="J1016" s="4">
        <v>46039</v>
      </c>
      <c r="K1016" t="s">
        <v>343</v>
      </c>
      <c r="L1016" t="s">
        <v>18</v>
      </c>
      <c r="M1016" t="s">
        <v>19</v>
      </c>
      <c r="N1016" t="s">
        <v>390</v>
      </c>
      <c r="O1016">
        <v>30</v>
      </c>
    </row>
    <row r="1017" spans="1:15" hidden="1" x14ac:dyDescent="0.25">
      <c r="A1017" t="s">
        <v>2820</v>
      </c>
      <c r="B1017" t="s">
        <v>376</v>
      </c>
      <c r="C1017" t="s">
        <v>377</v>
      </c>
      <c r="D1017" t="s">
        <v>378</v>
      </c>
      <c r="E1017" t="s">
        <v>2603</v>
      </c>
      <c r="F1017" s="3">
        <v>7000628</v>
      </c>
      <c r="G1017" s="2">
        <f t="shared" si="30"/>
        <v>30</v>
      </c>
      <c r="H1017" s="2">
        <f t="shared" ca="1" si="31"/>
        <v>111</v>
      </c>
      <c r="I1017" s="4">
        <v>46009</v>
      </c>
      <c r="J1017" s="4">
        <v>46039</v>
      </c>
      <c r="K1017" t="s">
        <v>343</v>
      </c>
      <c r="L1017" t="s">
        <v>18</v>
      </c>
      <c r="M1017" t="s">
        <v>19</v>
      </c>
      <c r="N1017" t="s">
        <v>379</v>
      </c>
      <c r="O1017">
        <v>30</v>
      </c>
    </row>
    <row r="1018" spans="1:15" hidden="1" x14ac:dyDescent="0.25">
      <c r="A1018" t="s">
        <v>2820</v>
      </c>
      <c r="B1018" t="s">
        <v>387</v>
      </c>
      <c r="C1018" t="s">
        <v>388</v>
      </c>
      <c r="D1018" t="s">
        <v>389</v>
      </c>
      <c r="E1018" t="s">
        <v>2604</v>
      </c>
      <c r="F1018" s="3">
        <v>2137375</v>
      </c>
      <c r="G1018" s="2">
        <f t="shared" si="30"/>
        <v>30</v>
      </c>
      <c r="H1018" s="2">
        <f t="shared" ca="1" si="31"/>
        <v>111</v>
      </c>
      <c r="I1018" s="4">
        <v>46009</v>
      </c>
      <c r="J1018" s="4">
        <v>46039</v>
      </c>
      <c r="K1018" t="s">
        <v>343</v>
      </c>
      <c r="L1018" t="s">
        <v>18</v>
      </c>
      <c r="M1018" t="s">
        <v>19</v>
      </c>
      <c r="N1018" t="s">
        <v>390</v>
      </c>
      <c r="O1018">
        <v>30</v>
      </c>
    </row>
    <row r="1019" spans="1:15" hidden="1" x14ac:dyDescent="0.25">
      <c r="A1019" t="s">
        <v>2820</v>
      </c>
      <c r="B1019" t="s">
        <v>1907</v>
      </c>
      <c r="C1019" t="s">
        <v>1908</v>
      </c>
      <c r="D1019" t="s">
        <v>204</v>
      </c>
      <c r="E1019" t="s">
        <v>2605</v>
      </c>
      <c r="F1019" s="3">
        <v>310365</v>
      </c>
      <c r="G1019" s="2">
        <f t="shared" si="30"/>
        <v>30</v>
      </c>
      <c r="H1019" s="2">
        <f t="shared" ca="1" si="31"/>
        <v>111</v>
      </c>
      <c r="I1019" s="4">
        <v>46009</v>
      </c>
      <c r="J1019" s="4">
        <v>46039</v>
      </c>
      <c r="K1019" t="s">
        <v>343</v>
      </c>
      <c r="L1019" t="s">
        <v>47</v>
      </c>
      <c r="M1019" t="s">
        <v>19</v>
      </c>
      <c r="N1019" t="s">
        <v>1909</v>
      </c>
      <c r="O1019">
        <v>30</v>
      </c>
    </row>
    <row r="1020" spans="1:15" hidden="1" x14ac:dyDescent="0.25">
      <c r="A1020" t="s">
        <v>2820</v>
      </c>
      <c r="B1020" t="s">
        <v>2442</v>
      </c>
      <c r="C1020" t="s">
        <v>2443</v>
      </c>
      <c r="D1020" t="s">
        <v>347</v>
      </c>
      <c r="E1020" t="s">
        <v>2606</v>
      </c>
      <c r="F1020" s="3">
        <v>100441</v>
      </c>
      <c r="G1020" s="2">
        <f t="shared" si="30"/>
        <v>30</v>
      </c>
      <c r="H1020" s="2">
        <f t="shared" ca="1" si="31"/>
        <v>111</v>
      </c>
      <c r="I1020" s="4">
        <v>46009</v>
      </c>
      <c r="J1020" s="4">
        <v>46039</v>
      </c>
      <c r="K1020" t="s">
        <v>343</v>
      </c>
      <c r="L1020" t="s">
        <v>47</v>
      </c>
      <c r="M1020" t="s">
        <v>19</v>
      </c>
      <c r="N1020" t="s">
        <v>2444</v>
      </c>
      <c r="O1020">
        <v>30</v>
      </c>
    </row>
    <row r="1021" spans="1:15" hidden="1" x14ac:dyDescent="0.25">
      <c r="A1021" t="s">
        <v>2820</v>
      </c>
      <c r="B1021" t="s">
        <v>1530</v>
      </c>
      <c r="C1021" t="s">
        <v>1531</v>
      </c>
      <c r="D1021" t="s">
        <v>1532</v>
      </c>
      <c r="E1021" t="s">
        <v>2683</v>
      </c>
      <c r="F1021" s="3">
        <v>1805599</v>
      </c>
      <c r="G1021" s="2">
        <f t="shared" si="30"/>
        <v>30</v>
      </c>
      <c r="H1021" s="2">
        <f t="shared" ca="1" si="31"/>
        <v>111</v>
      </c>
      <c r="I1021" s="4">
        <v>46009</v>
      </c>
      <c r="J1021" s="4">
        <v>46039</v>
      </c>
      <c r="K1021" t="s">
        <v>1528</v>
      </c>
      <c r="L1021" t="s">
        <v>207</v>
      </c>
      <c r="M1021" t="s">
        <v>19</v>
      </c>
      <c r="N1021" t="s">
        <v>1533</v>
      </c>
      <c r="O1021">
        <v>0</v>
      </c>
    </row>
    <row r="1022" spans="1:15" hidden="1" x14ac:dyDescent="0.25">
      <c r="A1022" t="s">
        <v>2820</v>
      </c>
      <c r="B1022" t="s">
        <v>1525</v>
      </c>
      <c r="C1022" t="s">
        <v>1526</v>
      </c>
      <c r="D1022" t="s">
        <v>1527</v>
      </c>
      <c r="E1022" t="s">
        <v>2684</v>
      </c>
      <c r="F1022" s="3">
        <v>3740581</v>
      </c>
      <c r="G1022" s="2">
        <f t="shared" si="30"/>
        <v>30</v>
      </c>
      <c r="H1022" s="2">
        <f t="shared" ca="1" si="31"/>
        <v>111</v>
      </c>
      <c r="I1022" s="4">
        <v>46009</v>
      </c>
      <c r="J1022" s="4">
        <v>46039</v>
      </c>
      <c r="K1022" t="s">
        <v>1528</v>
      </c>
      <c r="L1022" t="s">
        <v>207</v>
      </c>
      <c r="M1022" t="s">
        <v>19</v>
      </c>
      <c r="N1022" t="s">
        <v>1529</v>
      </c>
      <c r="O1022">
        <v>30</v>
      </c>
    </row>
    <row r="1023" spans="1:15" hidden="1" x14ac:dyDescent="0.25">
      <c r="A1023" t="s">
        <v>2820</v>
      </c>
      <c r="B1023" t="s">
        <v>1534</v>
      </c>
      <c r="C1023" t="s">
        <v>1535</v>
      </c>
      <c r="D1023" t="s">
        <v>1527</v>
      </c>
      <c r="E1023" t="s">
        <v>2685</v>
      </c>
      <c r="F1023" s="3">
        <v>10000000</v>
      </c>
      <c r="G1023" s="2">
        <f t="shared" si="30"/>
        <v>30</v>
      </c>
      <c r="H1023" s="2">
        <f t="shared" ca="1" si="31"/>
        <v>111</v>
      </c>
      <c r="I1023" s="4">
        <v>46009</v>
      </c>
      <c r="J1023" s="4">
        <v>46039</v>
      </c>
      <c r="K1023" t="s">
        <v>1528</v>
      </c>
      <c r="L1023" t="s">
        <v>207</v>
      </c>
      <c r="M1023" t="s">
        <v>19</v>
      </c>
      <c r="N1023" t="s">
        <v>1536</v>
      </c>
      <c r="O1023">
        <v>30</v>
      </c>
    </row>
    <row r="1024" spans="1:15" hidden="1" x14ac:dyDescent="0.25">
      <c r="A1024" t="s">
        <v>2820</v>
      </c>
      <c r="B1024" t="s">
        <v>1146</v>
      </c>
      <c r="C1024" t="s">
        <v>1147</v>
      </c>
      <c r="D1024" t="s">
        <v>1118</v>
      </c>
      <c r="E1024" t="s">
        <v>2686</v>
      </c>
      <c r="F1024" s="3">
        <v>4540355</v>
      </c>
      <c r="G1024" s="2">
        <f t="shared" si="30"/>
        <v>30</v>
      </c>
      <c r="H1024" s="2">
        <f t="shared" ca="1" si="31"/>
        <v>111</v>
      </c>
      <c r="I1024" s="4">
        <v>46009</v>
      </c>
      <c r="J1024" s="4">
        <v>46039</v>
      </c>
      <c r="K1024" t="s">
        <v>1528</v>
      </c>
      <c r="L1024" t="s">
        <v>207</v>
      </c>
      <c r="M1024" t="s">
        <v>19</v>
      </c>
      <c r="N1024" t="s">
        <v>1148</v>
      </c>
      <c r="O1024">
        <v>30</v>
      </c>
    </row>
    <row r="1025" spans="1:15" hidden="1" x14ac:dyDescent="0.25">
      <c r="A1025" t="s">
        <v>2820</v>
      </c>
      <c r="B1025" t="s">
        <v>1543</v>
      </c>
      <c r="C1025" t="s">
        <v>1544</v>
      </c>
      <c r="D1025" t="s">
        <v>1527</v>
      </c>
      <c r="E1025" t="s">
        <v>2687</v>
      </c>
      <c r="F1025" s="3">
        <v>1000000</v>
      </c>
      <c r="G1025" s="2">
        <f t="shared" si="30"/>
        <v>30</v>
      </c>
      <c r="H1025" s="2">
        <f t="shared" ca="1" si="31"/>
        <v>111</v>
      </c>
      <c r="I1025" s="4">
        <v>46009</v>
      </c>
      <c r="J1025" s="4">
        <v>46039</v>
      </c>
      <c r="K1025" t="s">
        <v>1528</v>
      </c>
      <c r="L1025" t="s">
        <v>207</v>
      </c>
      <c r="M1025" t="s">
        <v>19</v>
      </c>
      <c r="N1025" t="s">
        <v>1545</v>
      </c>
      <c r="O1025">
        <v>15</v>
      </c>
    </row>
    <row r="1026" spans="1:15" hidden="1" x14ac:dyDescent="0.25">
      <c r="A1026" t="s">
        <v>2820</v>
      </c>
      <c r="B1026" t="s">
        <v>1554</v>
      </c>
      <c r="C1026" t="s">
        <v>1555</v>
      </c>
      <c r="D1026" t="s">
        <v>1532</v>
      </c>
      <c r="E1026" t="s">
        <v>2688</v>
      </c>
      <c r="F1026" s="3">
        <v>212310</v>
      </c>
      <c r="G1026" s="2">
        <f t="shared" ref="G1026:G1089" si="32">+J1026-I1026</f>
        <v>30</v>
      </c>
      <c r="H1026" s="2">
        <f t="shared" ref="H1026:H1089" ca="1" si="33">+TODAY()-I1026</f>
        <v>111</v>
      </c>
      <c r="I1026" s="4">
        <v>46009</v>
      </c>
      <c r="J1026" s="4">
        <v>46039</v>
      </c>
      <c r="K1026" t="s">
        <v>1528</v>
      </c>
      <c r="L1026" t="s">
        <v>207</v>
      </c>
      <c r="M1026" t="s">
        <v>19</v>
      </c>
      <c r="N1026" t="s">
        <v>1556</v>
      </c>
      <c r="O1026">
        <v>30</v>
      </c>
    </row>
    <row r="1027" spans="1:15" hidden="1" x14ac:dyDescent="0.25">
      <c r="A1027" t="s">
        <v>2820</v>
      </c>
      <c r="B1027" t="s">
        <v>1591</v>
      </c>
      <c r="C1027" t="s">
        <v>1592</v>
      </c>
      <c r="D1027" t="s">
        <v>1593</v>
      </c>
      <c r="E1027" t="s">
        <v>2692</v>
      </c>
      <c r="F1027" s="3">
        <v>2850</v>
      </c>
      <c r="G1027" s="2">
        <f t="shared" si="32"/>
        <v>30</v>
      </c>
      <c r="H1027" s="2">
        <f t="shared" ca="1" si="33"/>
        <v>111</v>
      </c>
      <c r="I1027" s="4">
        <v>46009</v>
      </c>
      <c r="J1027" s="4">
        <v>46039</v>
      </c>
      <c r="K1027" t="s">
        <v>1589</v>
      </c>
      <c r="L1027" t="s">
        <v>984</v>
      </c>
      <c r="M1027" t="s">
        <v>19</v>
      </c>
      <c r="N1027" t="s">
        <v>1594</v>
      </c>
      <c r="O1027">
        <v>30</v>
      </c>
    </row>
    <row r="1028" spans="1:15" hidden="1" x14ac:dyDescent="0.25">
      <c r="A1028" t="s">
        <v>2820</v>
      </c>
      <c r="B1028" t="s">
        <v>1698</v>
      </c>
      <c r="C1028" t="s">
        <v>1699</v>
      </c>
      <c r="D1028" t="s">
        <v>1700</v>
      </c>
      <c r="E1028" t="s">
        <v>2695</v>
      </c>
      <c r="F1028" s="3">
        <v>1272000</v>
      </c>
      <c r="G1028" s="2">
        <f t="shared" si="32"/>
        <v>30</v>
      </c>
      <c r="H1028" s="2">
        <f t="shared" ca="1" si="33"/>
        <v>111</v>
      </c>
      <c r="I1028" s="4">
        <v>46009</v>
      </c>
      <c r="J1028" s="4">
        <v>46039</v>
      </c>
      <c r="K1028" t="s">
        <v>1691</v>
      </c>
      <c r="L1028" t="s">
        <v>984</v>
      </c>
      <c r="M1028" t="s">
        <v>19</v>
      </c>
      <c r="N1028" t="s">
        <v>1701</v>
      </c>
      <c r="O1028">
        <v>30</v>
      </c>
    </row>
    <row r="1029" spans="1:15" hidden="1" x14ac:dyDescent="0.25">
      <c r="A1029" t="s">
        <v>2820</v>
      </c>
      <c r="B1029" t="s">
        <v>82</v>
      </c>
      <c r="C1029" t="s">
        <v>83</v>
      </c>
      <c r="D1029" t="s">
        <v>15</v>
      </c>
      <c r="E1029" t="s">
        <v>2607</v>
      </c>
      <c r="F1029" s="3">
        <v>5780000</v>
      </c>
      <c r="G1029" s="2">
        <f t="shared" si="32"/>
        <v>30</v>
      </c>
      <c r="H1029" s="2">
        <f t="shared" ca="1" si="33"/>
        <v>110</v>
      </c>
      <c r="I1029" s="4">
        <v>46010</v>
      </c>
      <c r="J1029" s="4">
        <v>46040</v>
      </c>
      <c r="K1029" t="s">
        <v>17</v>
      </c>
      <c r="L1029" t="s">
        <v>117</v>
      </c>
      <c r="M1029" t="s">
        <v>19</v>
      </c>
      <c r="N1029" t="s">
        <v>84</v>
      </c>
      <c r="O1029">
        <v>30</v>
      </c>
    </row>
    <row r="1030" spans="1:15" hidden="1" x14ac:dyDescent="0.25">
      <c r="A1030" t="s">
        <v>2820</v>
      </c>
      <c r="B1030" t="s">
        <v>82</v>
      </c>
      <c r="C1030" t="s">
        <v>83</v>
      </c>
      <c r="D1030" t="s">
        <v>15</v>
      </c>
      <c r="E1030" t="s">
        <v>2550</v>
      </c>
      <c r="F1030" s="3">
        <v>3025086</v>
      </c>
      <c r="G1030" s="2">
        <f t="shared" si="32"/>
        <v>30</v>
      </c>
      <c r="H1030" s="2">
        <f t="shared" ca="1" si="33"/>
        <v>110</v>
      </c>
      <c r="I1030" s="4">
        <v>46010</v>
      </c>
      <c r="J1030" s="4">
        <v>46040</v>
      </c>
      <c r="K1030" t="s">
        <v>17</v>
      </c>
      <c r="L1030" t="s">
        <v>117</v>
      </c>
      <c r="M1030" t="s">
        <v>19</v>
      </c>
      <c r="N1030" t="s">
        <v>84</v>
      </c>
      <c r="O1030">
        <v>30</v>
      </c>
    </row>
    <row r="1031" spans="1:15" hidden="1" x14ac:dyDescent="0.25">
      <c r="A1031" t="s">
        <v>2820</v>
      </c>
      <c r="B1031" t="s">
        <v>2551</v>
      </c>
      <c r="C1031" t="s">
        <v>2552</v>
      </c>
      <c r="D1031" t="s">
        <v>15</v>
      </c>
      <c r="E1031" t="s">
        <v>2553</v>
      </c>
      <c r="F1031" s="3">
        <v>629149</v>
      </c>
      <c r="G1031" s="2">
        <f t="shared" si="32"/>
        <v>30</v>
      </c>
      <c r="H1031" s="2">
        <f t="shared" ca="1" si="33"/>
        <v>110</v>
      </c>
      <c r="I1031" s="4">
        <v>46010</v>
      </c>
      <c r="J1031" s="4">
        <v>46040</v>
      </c>
      <c r="K1031" t="s">
        <v>17</v>
      </c>
      <c r="L1031" t="s">
        <v>32</v>
      </c>
      <c r="M1031" t="s">
        <v>19</v>
      </c>
      <c r="N1031" t="s">
        <v>2554</v>
      </c>
      <c r="O1031">
        <v>30</v>
      </c>
    </row>
    <row r="1032" spans="1:15" hidden="1" x14ac:dyDescent="0.25">
      <c r="A1032" t="s">
        <v>2820</v>
      </c>
      <c r="B1032" t="s">
        <v>52</v>
      </c>
      <c r="C1032" t="s">
        <v>53</v>
      </c>
      <c r="D1032" t="s">
        <v>15</v>
      </c>
      <c r="E1032" t="s">
        <v>2555</v>
      </c>
      <c r="F1032" s="3">
        <v>2811135</v>
      </c>
      <c r="G1032" s="2">
        <f t="shared" si="32"/>
        <v>30</v>
      </c>
      <c r="H1032" s="2">
        <f t="shared" ca="1" si="33"/>
        <v>110</v>
      </c>
      <c r="I1032" s="4">
        <v>46010</v>
      </c>
      <c r="J1032" s="4">
        <v>46040</v>
      </c>
      <c r="K1032" t="s">
        <v>17</v>
      </c>
      <c r="L1032" t="s">
        <v>32</v>
      </c>
      <c r="M1032" t="s">
        <v>19</v>
      </c>
      <c r="N1032" t="s">
        <v>54</v>
      </c>
      <c r="O1032">
        <v>30</v>
      </c>
    </row>
    <row r="1033" spans="1:15" hidden="1" x14ac:dyDescent="0.25">
      <c r="A1033" t="s">
        <v>2820</v>
      </c>
      <c r="B1033" t="s">
        <v>2558</v>
      </c>
      <c r="C1033" t="s">
        <v>2559</v>
      </c>
      <c r="D1033" t="s">
        <v>1323</v>
      </c>
      <c r="E1033" t="s">
        <v>2560</v>
      </c>
      <c r="F1033" s="3">
        <v>339626</v>
      </c>
      <c r="G1033" s="2">
        <f t="shared" si="32"/>
        <v>30</v>
      </c>
      <c r="H1033" s="2">
        <f t="shared" ca="1" si="33"/>
        <v>110</v>
      </c>
      <c r="I1033" s="4">
        <v>46010</v>
      </c>
      <c r="J1033" s="4">
        <v>46040</v>
      </c>
      <c r="K1033" t="s">
        <v>17</v>
      </c>
      <c r="L1033" t="s">
        <v>90</v>
      </c>
      <c r="M1033" t="s">
        <v>19</v>
      </c>
      <c r="N1033" t="s">
        <v>2561</v>
      </c>
      <c r="O1033">
        <v>30</v>
      </c>
    </row>
    <row r="1034" spans="1:15" hidden="1" x14ac:dyDescent="0.25">
      <c r="A1034" t="s">
        <v>2820</v>
      </c>
      <c r="B1034" t="s">
        <v>205</v>
      </c>
      <c r="C1034" t="s">
        <v>206</v>
      </c>
      <c r="D1034" t="s">
        <v>15</v>
      </c>
      <c r="E1034" t="s">
        <v>2562</v>
      </c>
      <c r="F1034" s="3">
        <v>70172</v>
      </c>
      <c r="G1034" s="2">
        <f t="shared" si="32"/>
        <v>1</v>
      </c>
      <c r="H1034" s="2">
        <f t="shared" ca="1" si="33"/>
        <v>110</v>
      </c>
      <c r="I1034" s="4">
        <v>46010</v>
      </c>
      <c r="J1034" s="4">
        <v>46011</v>
      </c>
      <c r="K1034" t="s">
        <v>17</v>
      </c>
      <c r="L1034" t="s">
        <v>981</v>
      </c>
      <c r="M1034" t="s">
        <v>19</v>
      </c>
      <c r="N1034" t="s">
        <v>149</v>
      </c>
      <c r="O1034">
        <v>1</v>
      </c>
    </row>
    <row r="1035" spans="1:15" hidden="1" x14ac:dyDescent="0.25">
      <c r="A1035" t="s">
        <v>2820</v>
      </c>
      <c r="B1035" t="s">
        <v>866</v>
      </c>
      <c r="C1035" t="s">
        <v>867</v>
      </c>
      <c r="D1035" t="s">
        <v>854</v>
      </c>
      <c r="E1035" t="s">
        <v>2620</v>
      </c>
      <c r="F1035" s="3">
        <v>806000</v>
      </c>
      <c r="G1035" s="2">
        <f t="shared" si="32"/>
        <v>30</v>
      </c>
      <c r="H1035" s="2">
        <f t="shared" ca="1" si="33"/>
        <v>110</v>
      </c>
      <c r="I1035" s="4">
        <v>46010</v>
      </c>
      <c r="J1035" s="4">
        <v>46040</v>
      </c>
      <c r="K1035" t="s">
        <v>845</v>
      </c>
      <c r="L1035" t="s">
        <v>18</v>
      </c>
      <c r="M1035" t="s">
        <v>19</v>
      </c>
      <c r="N1035" t="s">
        <v>868</v>
      </c>
      <c r="O1035">
        <v>30</v>
      </c>
    </row>
    <row r="1036" spans="1:15" hidden="1" x14ac:dyDescent="0.25">
      <c r="A1036" t="s">
        <v>2820</v>
      </c>
      <c r="B1036" t="s">
        <v>866</v>
      </c>
      <c r="C1036" t="s">
        <v>867</v>
      </c>
      <c r="D1036" t="s">
        <v>854</v>
      </c>
      <c r="E1036" t="s">
        <v>2621</v>
      </c>
      <c r="F1036" s="3">
        <v>1020491</v>
      </c>
      <c r="G1036" s="2">
        <f t="shared" si="32"/>
        <v>30</v>
      </c>
      <c r="H1036" s="2">
        <f t="shared" ca="1" si="33"/>
        <v>110</v>
      </c>
      <c r="I1036" s="4">
        <v>46010</v>
      </c>
      <c r="J1036" s="4">
        <v>46040</v>
      </c>
      <c r="K1036" t="s">
        <v>845</v>
      </c>
      <c r="L1036" t="s">
        <v>18</v>
      </c>
      <c r="M1036" t="s">
        <v>19</v>
      </c>
      <c r="N1036" t="s">
        <v>868</v>
      </c>
      <c r="O1036">
        <v>30</v>
      </c>
    </row>
    <row r="1037" spans="1:15" hidden="1" x14ac:dyDescent="0.25">
      <c r="A1037" t="s">
        <v>2820</v>
      </c>
      <c r="B1037" t="s">
        <v>860</v>
      </c>
      <c r="C1037" t="s">
        <v>861</v>
      </c>
      <c r="D1037" t="s">
        <v>854</v>
      </c>
      <c r="E1037" t="s">
        <v>2625</v>
      </c>
      <c r="F1037" s="3">
        <v>229560</v>
      </c>
      <c r="G1037" s="2">
        <f t="shared" si="32"/>
        <v>30</v>
      </c>
      <c r="H1037" s="2">
        <f t="shared" ca="1" si="33"/>
        <v>110</v>
      </c>
      <c r="I1037" s="4">
        <v>46010</v>
      </c>
      <c r="J1037" s="4">
        <v>46040</v>
      </c>
      <c r="K1037" t="s">
        <v>845</v>
      </c>
      <c r="L1037" t="s">
        <v>18</v>
      </c>
      <c r="M1037" t="s">
        <v>19</v>
      </c>
      <c r="N1037" t="s">
        <v>862</v>
      </c>
      <c r="O1037">
        <v>30</v>
      </c>
    </row>
    <row r="1038" spans="1:15" hidden="1" x14ac:dyDescent="0.25">
      <c r="A1038" t="s">
        <v>2820</v>
      </c>
      <c r="B1038" t="s">
        <v>1990</v>
      </c>
      <c r="C1038" t="s">
        <v>1991</v>
      </c>
      <c r="D1038" t="s">
        <v>854</v>
      </c>
      <c r="E1038" t="s">
        <v>2629</v>
      </c>
      <c r="F1038" s="3">
        <v>153807</v>
      </c>
      <c r="G1038" s="2">
        <f t="shared" si="32"/>
        <v>30</v>
      </c>
      <c r="H1038" s="2">
        <f t="shared" ca="1" si="33"/>
        <v>110</v>
      </c>
      <c r="I1038" s="4">
        <v>46010</v>
      </c>
      <c r="J1038" s="4">
        <v>46040</v>
      </c>
      <c r="K1038" t="s">
        <v>845</v>
      </c>
      <c r="L1038" t="s">
        <v>117</v>
      </c>
      <c r="M1038" t="s">
        <v>19</v>
      </c>
      <c r="N1038" t="s">
        <v>1992</v>
      </c>
      <c r="O1038">
        <v>30</v>
      </c>
    </row>
    <row r="1039" spans="1:15" hidden="1" x14ac:dyDescent="0.25">
      <c r="A1039" t="s">
        <v>2820</v>
      </c>
      <c r="B1039" t="s">
        <v>1990</v>
      </c>
      <c r="C1039" t="s">
        <v>1991</v>
      </c>
      <c r="D1039" t="s">
        <v>854</v>
      </c>
      <c r="E1039" t="s">
        <v>2630</v>
      </c>
      <c r="F1039" s="3">
        <v>590000</v>
      </c>
      <c r="G1039" s="2">
        <f t="shared" si="32"/>
        <v>30</v>
      </c>
      <c r="H1039" s="2">
        <f t="shared" ca="1" si="33"/>
        <v>110</v>
      </c>
      <c r="I1039" s="4">
        <v>46010</v>
      </c>
      <c r="J1039" s="4">
        <v>46040</v>
      </c>
      <c r="K1039" t="s">
        <v>845</v>
      </c>
      <c r="L1039" t="s">
        <v>117</v>
      </c>
      <c r="M1039" t="s">
        <v>19</v>
      </c>
      <c r="N1039" t="s">
        <v>1992</v>
      </c>
      <c r="O1039">
        <v>30</v>
      </c>
    </row>
    <row r="1040" spans="1:15" hidden="1" x14ac:dyDescent="0.25">
      <c r="A1040" t="s">
        <v>2820</v>
      </c>
      <c r="B1040" t="s">
        <v>1142</v>
      </c>
      <c r="C1040" t="s">
        <v>1143</v>
      </c>
      <c r="D1040" t="s">
        <v>1118</v>
      </c>
      <c r="E1040" t="s">
        <v>2652</v>
      </c>
      <c r="F1040" s="3">
        <v>1768721</v>
      </c>
      <c r="G1040" s="2">
        <f t="shared" si="32"/>
        <v>30</v>
      </c>
      <c r="H1040" s="2">
        <f t="shared" ca="1" si="33"/>
        <v>110</v>
      </c>
      <c r="I1040" s="4">
        <v>46010</v>
      </c>
      <c r="J1040" s="4">
        <v>46040</v>
      </c>
      <c r="K1040" t="s">
        <v>1144</v>
      </c>
      <c r="L1040" t="s">
        <v>207</v>
      </c>
      <c r="M1040" t="s">
        <v>19</v>
      </c>
      <c r="N1040" t="s">
        <v>1145</v>
      </c>
      <c r="O1040">
        <v>30</v>
      </c>
    </row>
    <row r="1041" spans="1:15" hidden="1" x14ac:dyDescent="0.25">
      <c r="A1041" t="s">
        <v>2820</v>
      </c>
      <c r="B1041" t="s">
        <v>1244</v>
      </c>
      <c r="C1041" t="s">
        <v>1245</v>
      </c>
      <c r="D1041" t="s">
        <v>1242</v>
      </c>
      <c r="E1041" t="s">
        <v>2660</v>
      </c>
      <c r="F1041" s="3">
        <v>2613071</v>
      </c>
      <c r="G1041" s="2">
        <f t="shared" si="32"/>
        <v>30</v>
      </c>
      <c r="H1041" s="2">
        <f t="shared" ca="1" si="33"/>
        <v>110</v>
      </c>
      <c r="I1041" s="4">
        <v>46010</v>
      </c>
      <c r="J1041" s="4">
        <v>46040</v>
      </c>
      <c r="K1041" t="s">
        <v>1243</v>
      </c>
      <c r="L1041" t="s">
        <v>207</v>
      </c>
      <c r="M1041" t="s">
        <v>19</v>
      </c>
      <c r="N1041" t="s">
        <v>1246</v>
      </c>
      <c r="O1041">
        <v>30</v>
      </c>
    </row>
    <row r="1042" spans="1:15" hidden="1" x14ac:dyDescent="0.25">
      <c r="A1042" t="s">
        <v>2820</v>
      </c>
      <c r="B1042" t="s">
        <v>1254</v>
      </c>
      <c r="C1042" t="s">
        <v>1255</v>
      </c>
      <c r="D1042" t="s">
        <v>1250</v>
      </c>
      <c r="E1042" t="s">
        <v>2661</v>
      </c>
      <c r="F1042" s="3">
        <v>617088</v>
      </c>
      <c r="G1042" s="2">
        <f t="shared" si="32"/>
        <v>30</v>
      </c>
      <c r="H1042" s="2">
        <f t="shared" ca="1" si="33"/>
        <v>110</v>
      </c>
      <c r="I1042" s="4">
        <v>46010</v>
      </c>
      <c r="J1042" s="4">
        <v>46040</v>
      </c>
      <c r="K1042" t="s">
        <v>1243</v>
      </c>
      <c r="L1042" t="s">
        <v>207</v>
      </c>
      <c r="M1042" t="s">
        <v>19</v>
      </c>
      <c r="N1042" t="s">
        <v>1256</v>
      </c>
      <c r="O1042">
        <v>15</v>
      </c>
    </row>
    <row r="1043" spans="1:15" hidden="1" x14ac:dyDescent="0.25">
      <c r="A1043" t="s">
        <v>2820</v>
      </c>
      <c r="B1043" t="s">
        <v>1354</v>
      </c>
      <c r="C1043" t="s">
        <v>1355</v>
      </c>
      <c r="D1043" t="s">
        <v>382</v>
      </c>
      <c r="E1043" t="s">
        <v>2662</v>
      </c>
      <c r="F1043" s="3">
        <v>659484</v>
      </c>
      <c r="G1043" s="2">
        <f t="shared" si="32"/>
        <v>30</v>
      </c>
      <c r="H1043" s="2">
        <f t="shared" ca="1" si="33"/>
        <v>110</v>
      </c>
      <c r="I1043" s="4">
        <v>46010</v>
      </c>
      <c r="J1043" s="4">
        <v>46040</v>
      </c>
      <c r="K1043" t="s">
        <v>1325</v>
      </c>
      <c r="L1043" t="s">
        <v>90</v>
      </c>
      <c r="M1043" t="s">
        <v>19</v>
      </c>
      <c r="N1043" t="s">
        <v>1356</v>
      </c>
      <c r="O1043">
        <v>30</v>
      </c>
    </row>
    <row r="1044" spans="1:15" hidden="1" x14ac:dyDescent="0.25">
      <c r="A1044" t="s">
        <v>2820</v>
      </c>
      <c r="B1044" t="s">
        <v>1345</v>
      </c>
      <c r="C1044" t="s">
        <v>1346</v>
      </c>
      <c r="D1044" t="s">
        <v>382</v>
      </c>
      <c r="E1044" t="s">
        <v>2663</v>
      </c>
      <c r="F1044" s="3">
        <v>14159283</v>
      </c>
      <c r="G1044" s="2">
        <f t="shared" si="32"/>
        <v>30</v>
      </c>
      <c r="H1044" s="2">
        <f t="shared" ca="1" si="33"/>
        <v>110</v>
      </c>
      <c r="I1044" s="4">
        <v>46010</v>
      </c>
      <c r="J1044" s="4">
        <v>46040</v>
      </c>
      <c r="K1044" t="s">
        <v>1325</v>
      </c>
      <c r="L1044" t="s">
        <v>90</v>
      </c>
      <c r="M1044" t="s">
        <v>19</v>
      </c>
      <c r="N1044" t="s">
        <v>1347</v>
      </c>
      <c r="O1044">
        <v>30</v>
      </c>
    </row>
    <row r="1045" spans="1:15" hidden="1" x14ac:dyDescent="0.25">
      <c r="A1045" t="s">
        <v>2820</v>
      </c>
      <c r="B1045" t="s">
        <v>380</v>
      </c>
      <c r="C1045" t="s">
        <v>381</v>
      </c>
      <c r="D1045" t="s">
        <v>382</v>
      </c>
      <c r="E1045" t="s">
        <v>2664</v>
      </c>
      <c r="F1045" s="3">
        <v>1480000</v>
      </c>
      <c r="G1045" s="2">
        <f t="shared" si="32"/>
        <v>30</v>
      </c>
      <c r="H1045" s="2">
        <f t="shared" ca="1" si="33"/>
        <v>110</v>
      </c>
      <c r="I1045" s="4">
        <v>46010</v>
      </c>
      <c r="J1045" s="4">
        <v>46040</v>
      </c>
      <c r="K1045" t="s">
        <v>1325</v>
      </c>
      <c r="L1045" t="s">
        <v>90</v>
      </c>
      <c r="M1045" t="s">
        <v>19</v>
      </c>
      <c r="N1045" t="s">
        <v>383</v>
      </c>
      <c r="O1045">
        <v>30</v>
      </c>
    </row>
    <row r="1046" spans="1:15" hidden="1" x14ac:dyDescent="0.25">
      <c r="A1046" t="s">
        <v>2820</v>
      </c>
      <c r="B1046" t="s">
        <v>1339</v>
      </c>
      <c r="C1046" t="s">
        <v>1340</v>
      </c>
      <c r="D1046" t="s">
        <v>1323</v>
      </c>
      <c r="E1046" t="s">
        <v>2665</v>
      </c>
      <c r="F1046" s="3">
        <v>5460347</v>
      </c>
      <c r="G1046" s="2">
        <f t="shared" si="32"/>
        <v>30</v>
      </c>
      <c r="H1046" s="2">
        <f t="shared" ca="1" si="33"/>
        <v>110</v>
      </c>
      <c r="I1046" s="4">
        <v>46010</v>
      </c>
      <c r="J1046" s="4">
        <v>46040</v>
      </c>
      <c r="K1046" t="s">
        <v>1325</v>
      </c>
      <c r="L1046" t="s">
        <v>90</v>
      </c>
      <c r="M1046" t="s">
        <v>19</v>
      </c>
      <c r="N1046" t="s">
        <v>1341</v>
      </c>
      <c r="O1046">
        <v>1</v>
      </c>
    </row>
    <row r="1047" spans="1:15" hidden="1" x14ac:dyDescent="0.25">
      <c r="A1047" t="s">
        <v>2820</v>
      </c>
      <c r="B1047" t="s">
        <v>380</v>
      </c>
      <c r="C1047" t="s">
        <v>381</v>
      </c>
      <c r="D1047" t="s">
        <v>382</v>
      </c>
      <c r="E1047" t="s">
        <v>2666</v>
      </c>
      <c r="F1047" s="3">
        <v>5927425</v>
      </c>
      <c r="G1047" s="2">
        <f t="shared" si="32"/>
        <v>30</v>
      </c>
      <c r="H1047" s="2">
        <f t="shared" ca="1" si="33"/>
        <v>110</v>
      </c>
      <c r="I1047" s="4">
        <v>46010</v>
      </c>
      <c r="J1047" s="4">
        <v>46040</v>
      </c>
      <c r="K1047" t="s">
        <v>1325</v>
      </c>
      <c r="L1047" t="s">
        <v>90</v>
      </c>
      <c r="M1047" t="s">
        <v>19</v>
      </c>
      <c r="N1047" t="s">
        <v>383</v>
      </c>
      <c r="O1047">
        <v>30</v>
      </c>
    </row>
    <row r="1048" spans="1:15" hidden="1" x14ac:dyDescent="0.25">
      <c r="A1048" t="s">
        <v>2820</v>
      </c>
      <c r="B1048" t="s">
        <v>156</v>
      </c>
      <c r="C1048" t="s">
        <v>157</v>
      </c>
      <c r="D1048" t="s">
        <v>1289</v>
      </c>
      <c r="E1048" t="s">
        <v>2672</v>
      </c>
      <c r="F1048" s="3">
        <v>2652343</v>
      </c>
      <c r="G1048" s="2">
        <f t="shared" si="32"/>
        <v>30</v>
      </c>
      <c r="H1048" s="2">
        <f t="shared" ca="1" si="33"/>
        <v>110</v>
      </c>
      <c r="I1048" s="4">
        <v>46010</v>
      </c>
      <c r="J1048" s="4">
        <v>46040</v>
      </c>
      <c r="K1048" t="s">
        <v>1466</v>
      </c>
      <c r="L1048" t="s">
        <v>981</v>
      </c>
      <c r="M1048" t="s">
        <v>19</v>
      </c>
      <c r="N1048" t="s">
        <v>158</v>
      </c>
      <c r="O1048">
        <v>30</v>
      </c>
    </row>
    <row r="1049" spans="1:15" hidden="1" x14ac:dyDescent="0.25">
      <c r="A1049" t="s">
        <v>2820</v>
      </c>
      <c r="B1049" t="s">
        <v>1473</v>
      </c>
      <c r="C1049" t="s">
        <v>1474</v>
      </c>
      <c r="D1049" t="s">
        <v>341</v>
      </c>
      <c r="E1049" t="s">
        <v>2675</v>
      </c>
      <c r="F1049" s="3">
        <v>1555697</v>
      </c>
      <c r="G1049" s="2">
        <f t="shared" si="32"/>
        <v>30</v>
      </c>
      <c r="H1049" s="2">
        <f t="shared" ca="1" si="33"/>
        <v>110</v>
      </c>
      <c r="I1049" s="4">
        <v>46010</v>
      </c>
      <c r="J1049" s="4">
        <v>46040</v>
      </c>
      <c r="K1049" t="s">
        <v>1470</v>
      </c>
      <c r="L1049" t="s">
        <v>981</v>
      </c>
      <c r="M1049" t="s">
        <v>19</v>
      </c>
      <c r="N1049" t="s">
        <v>1475</v>
      </c>
      <c r="O1049">
        <v>30</v>
      </c>
    </row>
    <row r="1050" spans="1:15" hidden="1" x14ac:dyDescent="0.25">
      <c r="A1050" t="s">
        <v>2820</v>
      </c>
      <c r="B1050" t="s">
        <v>1483</v>
      </c>
      <c r="C1050" t="s">
        <v>1484</v>
      </c>
      <c r="D1050" t="s">
        <v>341</v>
      </c>
      <c r="E1050" t="s">
        <v>2676</v>
      </c>
      <c r="F1050" s="3">
        <v>1518711</v>
      </c>
      <c r="G1050" s="2">
        <f t="shared" si="32"/>
        <v>30</v>
      </c>
      <c r="H1050" s="2">
        <f t="shared" ca="1" si="33"/>
        <v>110</v>
      </c>
      <c r="I1050" s="4">
        <v>46010</v>
      </c>
      <c r="J1050" s="4">
        <v>46040</v>
      </c>
      <c r="K1050" t="s">
        <v>1470</v>
      </c>
      <c r="L1050" t="s">
        <v>981</v>
      </c>
      <c r="M1050" t="s">
        <v>19</v>
      </c>
      <c r="N1050" t="s">
        <v>1485</v>
      </c>
      <c r="O1050">
        <v>30</v>
      </c>
    </row>
    <row r="1051" spans="1:15" hidden="1" x14ac:dyDescent="0.25">
      <c r="A1051" t="s">
        <v>2820</v>
      </c>
      <c r="B1051" t="s">
        <v>205</v>
      </c>
      <c r="C1051" t="s">
        <v>206</v>
      </c>
      <c r="D1051" t="s">
        <v>15</v>
      </c>
      <c r="E1051" t="s">
        <v>2677</v>
      </c>
      <c r="F1051" s="3">
        <v>120000</v>
      </c>
      <c r="G1051" s="2">
        <f t="shared" si="32"/>
        <v>1</v>
      </c>
      <c r="H1051" s="2">
        <f t="shared" ca="1" si="33"/>
        <v>110</v>
      </c>
      <c r="I1051" s="4">
        <v>46010</v>
      </c>
      <c r="J1051" s="4">
        <v>46011</v>
      </c>
      <c r="K1051" t="s">
        <v>1470</v>
      </c>
      <c r="L1051" t="s">
        <v>981</v>
      </c>
      <c r="M1051" t="s">
        <v>19</v>
      </c>
      <c r="N1051" t="s">
        <v>149</v>
      </c>
      <c r="O1051">
        <v>1</v>
      </c>
    </row>
    <row r="1052" spans="1:15" hidden="1" x14ac:dyDescent="0.25">
      <c r="A1052" t="s">
        <v>2820</v>
      </c>
      <c r="B1052" t="s">
        <v>1634</v>
      </c>
      <c r="C1052" t="s">
        <v>1635</v>
      </c>
      <c r="D1052" t="s">
        <v>1587</v>
      </c>
      <c r="E1052" t="s">
        <v>2693</v>
      </c>
      <c r="F1052" s="3">
        <v>653602</v>
      </c>
      <c r="G1052" s="2">
        <f t="shared" si="32"/>
        <v>30</v>
      </c>
      <c r="H1052" s="2">
        <f t="shared" ca="1" si="33"/>
        <v>110</v>
      </c>
      <c r="I1052" s="4">
        <v>46010</v>
      </c>
      <c r="J1052" s="4">
        <v>46040</v>
      </c>
      <c r="K1052" t="s">
        <v>1589</v>
      </c>
      <c r="L1052" t="s">
        <v>984</v>
      </c>
      <c r="M1052" t="s">
        <v>19</v>
      </c>
      <c r="N1052" t="s">
        <v>1636</v>
      </c>
      <c r="O1052">
        <v>30</v>
      </c>
    </row>
    <row r="1053" spans="1:15" hidden="1" x14ac:dyDescent="0.25">
      <c r="A1053" t="s">
        <v>2820</v>
      </c>
      <c r="B1053" t="s">
        <v>1634</v>
      </c>
      <c r="C1053" t="s">
        <v>1635</v>
      </c>
      <c r="D1053" t="s">
        <v>1587</v>
      </c>
      <c r="E1053" t="s">
        <v>2694</v>
      </c>
      <c r="F1053" s="3">
        <v>848000</v>
      </c>
      <c r="G1053" s="2">
        <f t="shared" si="32"/>
        <v>30</v>
      </c>
      <c r="H1053" s="2">
        <f t="shared" ca="1" si="33"/>
        <v>110</v>
      </c>
      <c r="I1053" s="4">
        <v>46010</v>
      </c>
      <c r="J1053" s="4">
        <v>46040</v>
      </c>
      <c r="K1053" t="s">
        <v>1589</v>
      </c>
      <c r="L1053" t="s">
        <v>984</v>
      </c>
      <c r="M1053" t="s">
        <v>19</v>
      </c>
      <c r="N1053" t="s">
        <v>1636</v>
      </c>
      <c r="O1053">
        <v>30</v>
      </c>
    </row>
    <row r="1054" spans="1:15" hidden="1" x14ac:dyDescent="0.25">
      <c r="A1054" t="s">
        <v>2820</v>
      </c>
      <c r="B1054" t="s">
        <v>1698</v>
      </c>
      <c r="C1054" t="s">
        <v>1699</v>
      </c>
      <c r="D1054" t="s">
        <v>1700</v>
      </c>
      <c r="E1054" t="s">
        <v>2696</v>
      </c>
      <c r="F1054" s="3">
        <v>3844038</v>
      </c>
      <c r="G1054" s="2">
        <f t="shared" si="32"/>
        <v>30</v>
      </c>
      <c r="H1054" s="2">
        <f t="shared" ca="1" si="33"/>
        <v>110</v>
      </c>
      <c r="I1054" s="4">
        <v>46010</v>
      </c>
      <c r="J1054" s="4">
        <v>46040</v>
      </c>
      <c r="K1054" t="s">
        <v>1691</v>
      </c>
      <c r="L1054" t="s">
        <v>984</v>
      </c>
      <c r="M1054" t="s">
        <v>19</v>
      </c>
      <c r="N1054" t="s">
        <v>1701</v>
      </c>
      <c r="O1054">
        <v>30</v>
      </c>
    </row>
    <row r="1055" spans="1:15" hidden="1" x14ac:dyDescent="0.25">
      <c r="A1055" t="s">
        <v>2820</v>
      </c>
      <c r="B1055" t="s">
        <v>1695</v>
      </c>
      <c r="C1055" t="s">
        <v>1696</v>
      </c>
      <c r="D1055" t="s">
        <v>1689</v>
      </c>
      <c r="E1055" t="s">
        <v>2697</v>
      </c>
      <c r="F1055" s="3">
        <v>1538474</v>
      </c>
      <c r="G1055" s="2">
        <f t="shared" si="32"/>
        <v>30</v>
      </c>
      <c r="H1055" s="2">
        <f t="shared" ca="1" si="33"/>
        <v>110</v>
      </c>
      <c r="I1055" s="4">
        <v>46010</v>
      </c>
      <c r="J1055" s="4">
        <v>46040</v>
      </c>
      <c r="K1055" t="s">
        <v>1691</v>
      </c>
      <c r="L1055" t="s">
        <v>984</v>
      </c>
      <c r="M1055" t="s">
        <v>19</v>
      </c>
      <c r="N1055" t="s">
        <v>1697</v>
      </c>
      <c r="O1055">
        <v>1</v>
      </c>
    </row>
    <row r="1056" spans="1:15" hidden="1" x14ac:dyDescent="0.25">
      <c r="A1056" t="s">
        <v>2820</v>
      </c>
      <c r="B1056" t="s">
        <v>2118</v>
      </c>
      <c r="C1056" t="s">
        <v>2119</v>
      </c>
      <c r="D1056" t="s">
        <v>46</v>
      </c>
      <c r="E1056" t="s">
        <v>2566</v>
      </c>
      <c r="F1056" s="3">
        <v>676503</v>
      </c>
      <c r="G1056" s="2">
        <f t="shared" si="32"/>
        <v>30</v>
      </c>
      <c r="H1056" s="2">
        <f t="shared" ca="1" si="33"/>
        <v>109</v>
      </c>
      <c r="I1056" s="4">
        <v>46011</v>
      </c>
      <c r="J1056" s="4">
        <v>46041</v>
      </c>
      <c r="K1056" t="s">
        <v>17</v>
      </c>
      <c r="L1056" t="s">
        <v>32</v>
      </c>
      <c r="M1056" t="s">
        <v>19</v>
      </c>
      <c r="N1056" t="s">
        <v>149</v>
      </c>
      <c r="O1056">
        <v>30</v>
      </c>
    </row>
    <row r="1057" spans="1:15" hidden="1" x14ac:dyDescent="0.25">
      <c r="A1057" t="s">
        <v>2820</v>
      </c>
      <c r="B1057" t="s">
        <v>1994</v>
      </c>
      <c r="C1057" t="s">
        <v>1995</v>
      </c>
      <c r="D1057" t="s">
        <v>15</v>
      </c>
      <c r="E1057" t="s">
        <v>2567</v>
      </c>
      <c r="F1057" s="3">
        <v>1061214</v>
      </c>
      <c r="G1057" s="2">
        <f t="shared" si="32"/>
        <v>30</v>
      </c>
      <c r="H1057" s="2">
        <f t="shared" ca="1" si="33"/>
        <v>109</v>
      </c>
      <c r="I1057" s="4">
        <v>46011</v>
      </c>
      <c r="J1057" s="4">
        <v>46041</v>
      </c>
      <c r="K1057" t="s">
        <v>17</v>
      </c>
      <c r="L1057" t="s">
        <v>32</v>
      </c>
      <c r="M1057" t="s">
        <v>19</v>
      </c>
      <c r="N1057" t="s">
        <v>142</v>
      </c>
      <c r="O1057">
        <v>30</v>
      </c>
    </row>
    <row r="1058" spans="1:15" hidden="1" x14ac:dyDescent="0.25">
      <c r="A1058" t="s">
        <v>2820</v>
      </c>
      <c r="B1058" t="s">
        <v>61</v>
      </c>
      <c r="C1058" t="s">
        <v>62</v>
      </c>
      <c r="D1058" t="s">
        <v>46</v>
      </c>
      <c r="E1058" t="s">
        <v>2568</v>
      </c>
      <c r="F1058" s="3">
        <v>374597</v>
      </c>
      <c r="G1058" s="2">
        <f t="shared" si="32"/>
        <v>30</v>
      </c>
      <c r="H1058" s="2">
        <f t="shared" ca="1" si="33"/>
        <v>109</v>
      </c>
      <c r="I1058" s="4">
        <v>46011</v>
      </c>
      <c r="J1058" s="4">
        <v>46041</v>
      </c>
      <c r="K1058" t="s">
        <v>17</v>
      </c>
      <c r="L1058" t="s">
        <v>32</v>
      </c>
      <c r="M1058" t="s">
        <v>19</v>
      </c>
      <c r="N1058" t="s">
        <v>63</v>
      </c>
      <c r="O1058">
        <v>30</v>
      </c>
    </row>
    <row r="1059" spans="1:15" hidden="1" x14ac:dyDescent="0.25">
      <c r="A1059" t="s">
        <v>2820</v>
      </c>
      <c r="B1059" t="s">
        <v>61</v>
      </c>
      <c r="C1059" t="s">
        <v>62</v>
      </c>
      <c r="D1059" t="s">
        <v>46</v>
      </c>
      <c r="E1059" t="s">
        <v>2569</v>
      </c>
      <c r="F1059" s="3">
        <v>6979729</v>
      </c>
      <c r="G1059" s="2">
        <f t="shared" si="32"/>
        <v>30</v>
      </c>
      <c r="H1059" s="2">
        <f t="shared" ca="1" si="33"/>
        <v>109</v>
      </c>
      <c r="I1059" s="4">
        <v>46011</v>
      </c>
      <c r="J1059" s="4">
        <v>46041</v>
      </c>
      <c r="K1059" t="s">
        <v>17</v>
      </c>
      <c r="L1059" t="s">
        <v>32</v>
      </c>
      <c r="M1059" t="s">
        <v>19</v>
      </c>
      <c r="N1059" t="s">
        <v>63</v>
      </c>
      <c r="O1059">
        <v>30</v>
      </c>
    </row>
    <row r="1060" spans="1:15" hidden="1" x14ac:dyDescent="0.25">
      <c r="A1060" t="s">
        <v>2820</v>
      </c>
      <c r="B1060" t="s">
        <v>70</v>
      </c>
      <c r="C1060" t="s">
        <v>71</v>
      </c>
      <c r="D1060" t="s">
        <v>15</v>
      </c>
      <c r="E1060" t="s">
        <v>2570</v>
      </c>
      <c r="F1060" s="3">
        <v>7270655</v>
      </c>
      <c r="G1060" s="2">
        <f t="shared" si="32"/>
        <v>30</v>
      </c>
      <c r="H1060" s="2">
        <f t="shared" ca="1" si="33"/>
        <v>109</v>
      </c>
      <c r="I1060" s="4">
        <v>46011</v>
      </c>
      <c r="J1060" s="4">
        <v>46041</v>
      </c>
      <c r="K1060" t="s">
        <v>17</v>
      </c>
      <c r="L1060" t="s">
        <v>32</v>
      </c>
      <c r="M1060" t="s">
        <v>19</v>
      </c>
      <c r="N1060" t="s">
        <v>72</v>
      </c>
      <c r="O1060">
        <v>30</v>
      </c>
    </row>
    <row r="1061" spans="1:15" hidden="1" x14ac:dyDescent="0.25">
      <c r="A1061" t="s">
        <v>2820</v>
      </c>
      <c r="B1061" t="s">
        <v>107</v>
      </c>
      <c r="C1061" t="s">
        <v>108</v>
      </c>
      <c r="D1061" t="s">
        <v>46</v>
      </c>
      <c r="E1061" t="s">
        <v>2571</v>
      </c>
      <c r="F1061" s="3">
        <v>12708959</v>
      </c>
      <c r="G1061" s="2">
        <f t="shared" si="32"/>
        <v>30</v>
      </c>
      <c r="H1061" s="2">
        <f t="shared" ca="1" si="33"/>
        <v>109</v>
      </c>
      <c r="I1061" s="4">
        <v>46011</v>
      </c>
      <c r="J1061" s="4">
        <v>46041</v>
      </c>
      <c r="K1061" t="s">
        <v>17</v>
      </c>
      <c r="L1061" t="s">
        <v>117</v>
      </c>
      <c r="M1061" t="s">
        <v>19</v>
      </c>
      <c r="N1061" t="s">
        <v>110</v>
      </c>
      <c r="O1061">
        <v>30</v>
      </c>
    </row>
    <row r="1062" spans="1:15" hidden="1" x14ac:dyDescent="0.25">
      <c r="A1062" t="s">
        <v>2820</v>
      </c>
      <c r="B1062" t="s">
        <v>107</v>
      </c>
      <c r="C1062" t="s">
        <v>108</v>
      </c>
      <c r="D1062" t="s">
        <v>46</v>
      </c>
      <c r="E1062" t="s">
        <v>2572</v>
      </c>
      <c r="F1062" s="3">
        <v>9984000</v>
      </c>
      <c r="G1062" s="2">
        <f t="shared" si="32"/>
        <v>30</v>
      </c>
      <c r="H1062" s="2">
        <f t="shared" ca="1" si="33"/>
        <v>109</v>
      </c>
      <c r="I1062" s="4">
        <v>46011</v>
      </c>
      <c r="J1062" s="4">
        <v>46041</v>
      </c>
      <c r="K1062" t="s">
        <v>17</v>
      </c>
      <c r="L1062" t="s">
        <v>117</v>
      </c>
      <c r="M1062" t="s">
        <v>19</v>
      </c>
      <c r="N1062" t="s">
        <v>110</v>
      </c>
      <c r="O1062">
        <v>30</v>
      </c>
    </row>
    <row r="1063" spans="1:15" hidden="1" x14ac:dyDescent="0.25">
      <c r="A1063" t="s">
        <v>2820</v>
      </c>
      <c r="B1063" t="s">
        <v>361</v>
      </c>
      <c r="C1063" t="s">
        <v>362</v>
      </c>
      <c r="D1063" t="s">
        <v>204</v>
      </c>
      <c r="E1063" t="s">
        <v>2608</v>
      </c>
      <c r="F1063" s="3">
        <v>7932650</v>
      </c>
      <c r="G1063" s="2">
        <f t="shared" si="32"/>
        <v>30</v>
      </c>
      <c r="H1063" s="2">
        <f t="shared" ca="1" si="33"/>
        <v>109</v>
      </c>
      <c r="I1063" s="4">
        <v>46011</v>
      </c>
      <c r="J1063" s="4">
        <v>46041</v>
      </c>
      <c r="K1063" t="s">
        <v>343</v>
      </c>
      <c r="L1063" t="s">
        <v>18</v>
      </c>
      <c r="M1063" t="s">
        <v>19</v>
      </c>
      <c r="N1063" t="s">
        <v>363</v>
      </c>
      <c r="O1063">
        <v>30</v>
      </c>
    </row>
    <row r="1064" spans="1:15" hidden="1" x14ac:dyDescent="0.25">
      <c r="A1064" t="s">
        <v>2820</v>
      </c>
      <c r="B1064" t="s">
        <v>361</v>
      </c>
      <c r="C1064" t="s">
        <v>362</v>
      </c>
      <c r="D1064" t="s">
        <v>204</v>
      </c>
      <c r="E1064" t="s">
        <v>2609</v>
      </c>
      <c r="F1064" s="3">
        <v>2861100</v>
      </c>
      <c r="G1064" s="2">
        <f t="shared" si="32"/>
        <v>30</v>
      </c>
      <c r="H1064" s="2">
        <f t="shared" ca="1" si="33"/>
        <v>109</v>
      </c>
      <c r="I1064" s="4">
        <v>46011</v>
      </c>
      <c r="J1064" s="4">
        <v>46041</v>
      </c>
      <c r="K1064" t="s">
        <v>343</v>
      </c>
      <c r="L1064" t="s">
        <v>117</v>
      </c>
      <c r="M1064" t="s">
        <v>19</v>
      </c>
      <c r="N1064" t="s">
        <v>363</v>
      </c>
      <c r="O1064">
        <v>30</v>
      </c>
    </row>
    <row r="1065" spans="1:15" hidden="1" x14ac:dyDescent="0.25">
      <c r="A1065" t="s">
        <v>2820</v>
      </c>
      <c r="B1065" t="s">
        <v>889</v>
      </c>
      <c r="C1065" t="s">
        <v>890</v>
      </c>
      <c r="D1065" t="s">
        <v>854</v>
      </c>
      <c r="E1065" t="s">
        <v>2631</v>
      </c>
      <c r="F1065" s="3">
        <v>665844</v>
      </c>
      <c r="G1065" s="2">
        <f t="shared" si="32"/>
        <v>30</v>
      </c>
      <c r="H1065" s="2">
        <f t="shared" ca="1" si="33"/>
        <v>109</v>
      </c>
      <c r="I1065" s="4">
        <v>46011</v>
      </c>
      <c r="J1065" s="4">
        <v>46041</v>
      </c>
      <c r="K1065" t="s">
        <v>845</v>
      </c>
      <c r="L1065" t="s">
        <v>18</v>
      </c>
      <c r="M1065" t="s">
        <v>19</v>
      </c>
      <c r="N1065" t="s">
        <v>891</v>
      </c>
      <c r="O1065">
        <v>30</v>
      </c>
    </row>
    <row r="1066" spans="1:15" hidden="1" x14ac:dyDescent="0.25">
      <c r="A1066" t="s">
        <v>2820</v>
      </c>
      <c r="B1066" t="s">
        <v>1990</v>
      </c>
      <c r="C1066" t="s">
        <v>1991</v>
      </c>
      <c r="D1066" t="s">
        <v>854</v>
      </c>
      <c r="E1066" t="s">
        <v>2632</v>
      </c>
      <c r="F1066" s="3">
        <v>2280604</v>
      </c>
      <c r="G1066" s="2">
        <f t="shared" si="32"/>
        <v>30</v>
      </c>
      <c r="H1066" s="2">
        <f t="shared" ca="1" si="33"/>
        <v>109</v>
      </c>
      <c r="I1066" s="4">
        <v>46011</v>
      </c>
      <c r="J1066" s="4">
        <v>46041</v>
      </c>
      <c r="K1066" t="s">
        <v>845</v>
      </c>
      <c r="L1066" t="s">
        <v>18</v>
      </c>
      <c r="M1066" t="s">
        <v>19</v>
      </c>
      <c r="N1066" t="s">
        <v>1992</v>
      </c>
      <c r="O1066">
        <v>30</v>
      </c>
    </row>
    <row r="1067" spans="1:15" hidden="1" x14ac:dyDescent="0.25">
      <c r="A1067" t="s">
        <v>2820</v>
      </c>
      <c r="B1067" t="s">
        <v>863</v>
      </c>
      <c r="C1067" t="s">
        <v>864</v>
      </c>
      <c r="D1067" t="s">
        <v>854</v>
      </c>
      <c r="E1067" t="s">
        <v>2633</v>
      </c>
      <c r="F1067" s="3">
        <v>1183302</v>
      </c>
      <c r="G1067" s="2">
        <f t="shared" si="32"/>
        <v>30</v>
      </c>
      <c r="H1067" s="2">
        <f t="shared" ca="1" si="33"/>
        <v>109</v>
      </c>
      <c r="I1067" s="4">
        <v>46011</v>
      </c>
      <c r="J1067" s="4">
        <v>46041</v>
      </c>
      <c r="K1067" t="s">
        <v>845</v>
      </c>
      <c r="L1067" t="s">
        <v>18</v>
      </c>
      <c r="M1067" t="s">
        <v>19</v>
      </c>
      <c r="N1067" t="s">
        <v>865</v>
      </c>
      <c r="O1067">
        <v>30</v>
      </c>
    </row>
    <row r="1068" spans="1:15" hidden="1" x14ac:dyDescent="0.25">
      <c r="A1068" t="s">
        <v>2820</v>
      </c>
      <c r="B1068" t="s">
        <v>876</v>
      </c>
      <c r="C1068" t="s">
        <v>877</v>
      </c>
      <c r="D1068" t="s">
        <v>844</v>
      </c>
      <c r="E1068" t="s">
        <v>2634</v>
      </c>
      <c r="F1068" s="3">
        <v>818759</v>
      </c>
      <c r="G1068" s="2">
        <f t="shared" si="32"/>
        <v>30</v>
      </c>
      <c r="H1068" s="2">
        <f t="shared" ca="1" si="33"/>
        <v>109</v>
      </c>
      <c r="I1068" s="4">
        <v>46011</v>
      </c>
      <c r="J1068" s="4">
        <v>46041</v>
      </c>
      <c r="K1068" t="s">
        <v>845</v>
      </c>
      <c r="L1068" t="s">
        <v>18</v>
      </c>
      <c r="M1068" t="s">
        <v>19</v>
      </c>
      <c r="N1068" t="s">
        <v>878</v>
      </c>
      <c r="O1068">
        <v>30</v>
      </c>
    </row>
    <row r="1069" spans="1:15" hidden="1" x14ac:dyDescent="0.25">
      <c r="A1069" t="s">
        <v>2820</v>
      </c>
      <c r="B1069" t="s">
        <v>872</v>
      </c>
      <c r="C1069" t="s">
        <v>873</v>
      </c>
      <c r="D1069" t="s">
        <v>854</v>
      </c>
      <c r="E1069" t="s">
        <v>2635</v>
      </c>
      <c r="F1069" s="3">
        <v>2145228</v>
      </c>
      <c r="G1069" s="2">
        <f t="shared" si="32"/>
        <v>30</v>
      </c>
      <c r="H1069" s="2">
        <f t="shared" ca="1" si="33"/>
        <v>109</v>
      </c>
      <c r="I1069" s="4">
        <v>46011</v>
      </c>
      <c r="J1069" s="4">
        <v>46041</v>
      </c>
      <c r="K1069" t="s">
        <v>845</v>
      </c>
      <c r="L1069" t="s">
        <v>18</v>
      </c>
      <c r="M1069" t="s">
        <v>19</v>
      </c>
      <c r="N1069" t="s">
        <v>874</v>
      </c>
      <c r="O1069">
        <v>30</v>
      </c>
    </row>
    <row r="1070" spans="1:15" hidden="1" x14ac:dyDescent="0.25">
      <c r="A1070" t="s">
        <v>2820</v>
      </c>
      <c r="B1070" t="s">
        <v>872</v>
      </c>
      <c r="C1070" t="s">
        <v>873</v>
      </c>
      <c r="D1070" t="s">
        <v>854</v>
      </c>
      <c r="E1070" t="s">
        <v>2636</v>
      </c>
      <c r="F1070" s="3">
        <v>850000</v>
      </c>
      <c r="G1070" s="2">
        <f t="shared" si="32"/>
        <v>30</v>
      </c>
      <c r="H1070" s="2">
        <f t="shared" ca="1" si="33"/>
        <v>109</v>
      </c>
      <c r="I1070" s="4">
        <v>46011</v>
      </c>
      <c r="J1070" s="4">
        <v>46041</v>
      </c>
      <c r="K1070" t="s">
        <v>845</v>
      </c>
      <c r="L1070" t="s">
        <v>18</v>
      </c>
      <c r="M1070" t="s">
        <v>19</v>
      </c>
      <c r="N1070" t="s">
        <v>874</v>
      </c>
      <c r="O1070">
        <v>30</v>
      </c>
    </row>
    <row r="1071" spans="1:15" hidden="1" x14ac:dyDescent="0.25">
      <c r="A1071" t="s">
        <v>2820</v>
      </c>
      <c r="B1071" t="s">
        <v>1990</v>
      </c>
      <c r="C1071" t="s">
        <v>1991</v>
      </c>
      <c r="D1071" t="s">
        <v>854</v>
      </c>
      <c r="E1071" t="s">
        <v>2645</v>
      </c>
      <c r="F1071" s="3">
        <v>862742</v>
      </c>
      <c r="G1071" s="2">
        <f t="shared" si="32"/>
        <v>30</v>
      </c>
      <c r="H1071" s="2">
        <f t="shared" ca="1" si="33"/>
        <v>109</v>
      </c>
      <c r="I1071" s="4">
        <v>46011</v>
      </c>
      <c r="J1071" s="4">
        <v>46041</v>
      </c>
      <c r="K1071" t="s">
        <v>1144</v>
      </c>
      <c r="L1071" t="s">
        <v>47</v>
      </c>
      <c r="M1071" t="s">
        <v>19</v>
      </c>
      <c r="N1071" t="s">
        <v>1992</v>
      </c>
      <c r="O1071">
        <v>30</v>
      </c>
    </row>
    <row r="1072" spans="1:15" hidden="1" x14ac:dyDescent="0.25">
      <c r="A1072" t="s">
        <v>2820</v>
      </c>
      <c r="B1072" t="s">
        <v>76</v>
      </c>
      <c r="C1072" t="s">
        <v>77</v>
      </c>
      <c r="D1072" t="s">
        <v>46</v>
      </c>
      <c r="E1072" t="s">
        <v>2573</v>
      </c>
      <c r="F1072" s="3">
        <v>831808</v>
      </c>
      <c r="G1072" s="2">
        <f t="shared" si="32"/>
        <v>30</v>
      </c>
      <c r="H1072" s="2">
        <f t="shared" ca="1" si="33"/>
        <v>107</v>
      </c>
      <c r="I1072" s="4">
        <v>46013</v>
      </c>
      <c r="J1072" s="4">
        <v>46043</v>
      </c>
      <c r="K1072" t="s">
        <v>17</v>
      </c>
      <c r="L1072" t="s">
        <v>32</v>
      </c>
      <c r="M1072" t="s">
        <v>19</v>
      </c>
      <c r="N1072" t="s">
        <v>78</v>
      </c>
      <c r="O1072">
        <v>30</v>
      </c>
    </row>
    <row r="1073" spans="1:15" hidden="1" x14ac:dyDescent="0.25">
      <c r="A1073" t="s">
        <v>2820</v>
      </c>
      <c r="B1073" t="s">
        <v>79</v>
      </c>
      <c r="C1073" t="s">
        <v>80</v>
      </c>
      <c r="D1073" t="s">
        <v>46</v>
      </c>
      <c r="E1073" t="s">
        <v>2574</v>
      </c>
      <c r="F1073" s="3">
        <v>511207</v>
      </c>
      <c r="G1073" s="2">
        <f t="shared" si="32"/>
        <v>30</v>
      </c>
      <c r="H1073" s="2">
        <f t="shared" ca="1" si="33"/>
        <v>107</v>
      </c>
      <c r="I1073" s="4">
        <v>46013</v>
      </c>
      <c r="J1073" s="4">
        <v>46043</v>
      </c>
      <c r="K1073" t="s">
        <v>17</v>
      </c>
      <c r="L1073" t="s">
        <v>32</v>
      </c>
      <c r="M1073" t="s">
        <v>19</v>
      </c>
      <c r="N1073" t="s">
        <v>81</v>
      </c>
      <c r="O1073">
        <v>30</v>
      </c>
    </row>
    <row r="1074" spans="1:15" hidden="1" x14ac:dyDescent="0.25">
      <c r="A1074" t="s">
        <v>2820</v>
      </c>
      <c r="B1074" t="s">
        <v>1905</v>
      </c>
      <c r="C1074" t="s">
        <v>2124</v>
      </c>
      <c r="D1074" t="s">
        <v>15</v>
      </c>
      <c r="E1074" t="s">
        <v>2575</v>
      </c>
      <c r="F1074" s="3">
        <v>518800</v>
      </c>
      <c r="G1074" s="2">
        <f t="shared" si="32"/>
        <v>30</v>
      </c>
      <c r="H1074" s="2">
        <f t="shared" ca="1" si="33"/>
        <v>107</v>
      </c>
      <c r="I1074" s="4">
        <v>46013</v>
      </c>
      <c r="J1074" s="4">
        <v>46043</v>
      </c>
      <c r="K1074" t="s">
        <v>17</v>
      </c>
      <c r="L1074" t="s">
        <v>32</v>
      </c>
      <c r="M1074" t="s">
        <v>19</v>
      </c>
      <c r="N1074" t="s">
        <v>1906</v>
      </c>
      <c r="O1074">
        <v>30</v>
      </c>
    </row>
    <row r="1075" spans="1:15" hidden="1" x14ac:dyDescent="0.25">
      <c r="A1075" t="s">
        <v>2820</v>
      </c>
      <c r="B1075" t="s">
        <v>76</v>
      </c>
      <c r="C1075" t="s">
        <v>77</v>
      </c>
      <c r="D1075" t="s">
        <v>46</v>
      </c>
      <c r="E1075" t="s">
        <v>2576</v>
      </c>
      <c r="F1075" s="3">
        <v>330010</v>
      </c>
      <c r="G1075" s="2">
        <f t="shared" si="32"/>
        <v>30</v>
      </c>
      <c r="H1075" s="2">
        <f t="shared" ca="1" si="33"/>
        <v>107</v>
      </c>
      <c r="I1075" s="4">
        <v>46013</v>
      </c>
      <c r="J1075" s="4">
        <v>46043</v>
      </c>
      <c r="K1075" t="s">
        <v>17</v>
      </c>
      <c r="L1075" t="s">
        <v>32</v>
      </c>
      <c r="M1075" t="s">
        <v>19</v>
      </c>
      <c r="N1075" t="s">
        <v>78</v>
      </c>
      <c r="O1075">
        <v>30</v>
      </c>
    </row>
    <row r="1076" spans="1:15" hidden="1" x14ac:dyDescent="0.25">
      <c r="A1076" t="s">
        <v>2820</v>
      </c>
      <c r="B1076" t="s">
        <v>107</v>
      </c>
      <c r="C1076" t="s">
        <v>108</v>
      </c>
      <c r="D1076" t="s">
        <v>46</v>
      </c>
      <c r="E1076" t="s">
        <v>2577</v>
      </c>
      <c r="F1076" s="3">
        <v>8125634</v>
      </c>
      <c r="G1076" s="2">
        <f t="shared" si="32"/>
        <v>30</v>
      </c>
      <c r="H1076" s="2">
        <f t="shared" ca="1" si="33"/>
        <v>107</v>
      </c>
      <c r="I1076" s="4">
        <v>46013</v>
      </c>
      <c r="J1076" s="4">
        <v>46043</v>
      </c>
      <c r="K1076" t="s">
        <v>17</v>
      </c>
      <c r="L1076" t="s">
        <v>109</v>
      </c>
      <c r="M1076" t="s">
        <v>19</v>
      </c>
      <c r="N1076" t="s">
        <v>110</v>
      </c>
      <c r="O1076">
        <v>30</v>
      </c>
    </row>
    <row r="1077" spans="1:15" hidden="1" x14ac:dyDescent="0.25">
      <c r="A1077" t="s">
        <v>2820</v>
      </c>
      <c r="B1077" t="s">
        <v>663</v>
      </c>
      <c r="C1077" t="s">
        <v>664</v>
      </c>
      <c r="D1077" t="s">
        <v>642</v>
      </c>
      <c r="E1077" t="s">
        <v>2610</v>
      </c>
      <c r="F1077" s="3">
        <v>745217</v>
      </c>
      <c r="G1077" s="2">
        <f t="shared" si="32"/>
        <v>30</v>
      </c>
      <c r="H1077" s="2">
        <f t="shared" ca="1" si="33"/>
        <v>107</v>
      </c>
      <c r="I1077" s="4">
        <v>46013</v>
      </c>
      <c r="J1077" s="4">
        <v>46043</v>
      </c>
      <c r="K1077" t="s">
        <v>638</v>
      </c>
      <c r="L1077" t="s">
        <v>47</v>
      </c>
      <c r="M1077" t="s">
        <v>19</v>
      </c>
      <c r="N1077" t="s">
        <v>665</v>
      </c>
      <c r="O1077">
        <v>30</v>
      </c>
    </row>
    <row r="1078" spans="1:15" hidden="1" x14ac:dyDescent="0.25">
      <c r="A1078" t="s">
        <v>2820</v>
      </c>
      <c r="B1078" t="s">
        <v>2017</v>
      </c>
      <c r="C1078" t="s">
        <v>2018</v>
      </c>
      <c r="D1078" t="s">
        <v>2016</v>
      </c>
      <c r="E1078" t="s">
        <v>2615</v>
      </c>
      <c r="F1078" s="3">
        <v>5579058</v>
      </c>
      <c r="G1078" s="2">
        <f t="shared" si="32"/>
        <v>30</v>
      </c>
      <c r="H1078" s="2">
        <f t="shared" ca="1" si="33"/>
        <v>107</v>
      </c>
      <c r="I1078" s="4">
        <v>46013</v>
      </c>
      <c r="J1078" s="4">
        <v>46043</v>
      </c>
      <c r="K1078" t="s">
        <v>766</v>
      </c>
      <c r="L1078" t="s">
        <v>18</v>
      </c>
      <c r="M1078" t="s">
        <v>19</v>
      </c>
      <c r="N1078" t="s">
        <v>2019</v>
      </c>
      <c r="O1078">
        <v>30</v>
      </c>
    </row>
    <row r="1079" spans="1:15" hidden="1" x14ac:dyDescent="0.25">
      <c r="A1079" t="s">
        <v>2820</v>
      </c>
      <c r="B1079" t="s">
        <v>2017</v>
      </c>
      <c r="C1079" t="s">
        <v>2018</v>
      </c>
      <c r="D1079" t="s">
        <v>2016</v>
      </c>
      <c r="E1079" t="s">
        <v>2616</v>
      </c>
      <c r="F1079" s="3">
        <v>2183961</v>
      </c>
      <c r="G1079" s="2">
        <f t="shared" si="32"/>
        <v>30</v>
      </c>
      <c r="H1079" s="2">
        <f t="shared" ca="1" si="33"/>
        <v>107</v>
      </c>
      <c r="I1079" s="4">
        <v>46013</v>
      </c>
      <c r="J1079" s="4">
        <v>46043</v>
      </c>
      <c r="K1079" t="s">
        <v>766</v>
      </c>
      <c r="L1079" t="s">
        <v>18</v>
      </c>
      <c r="M1079" t="s">
        <v>19</v>
      </c>
      <c r="N1079" t="s">
        <v>2019</v>
      </c>
      <c r="O1079">
        <v>30</v>
      </c>
    </row>
    <row r="1080" spans="1:15" hidden="1" x14ac:dyDescent="0.25">
      <c r="A1080" t="s">
        <v>2820</v>
      </c>
      <c r="B1080" t="s">
        <v>2017</v>
      </c>
      <c r="C1080" t="s">
        <v>2018</v>
      </c>
      <c r="D1080" t="s">
        <v>2016</v>
      </c>
      <c r="E1080" t="s">
        <v>2617</v>
      </c>
      <c r="F1080" s="3">
        <v>1618000</v>
      </c>
      <c r="G1080" s="2">
        <f t="shared" si="32"/>
        <v>30</v>
      </c>
      <c r="H1080" s="2">
        <f t="shared" ca="1" si="33"/>
        <v>107</v>
      </c>
      <c r="I1080" s="4">
        <v>46013</v>
      </c>
      <c r="J1080" s="4">
        <v>46043</v>
      </c>
      <c r="K1080" t="s">
        <v>766</v>
      </c>
      <c r="L1080" t="s">
        <v>18</v>
      </c>
      <c r="M1080" t="s">
        <v>19</v>
      </c>
      <c r="N1080" t="s">
        <v>2019</v>
      </c>
      <c r="O1080">
        <v>30</v>
      </c>
    </row>
    <row r="1081" spans="1:15" hidden="1" x14ac:dyDescent="0.25">
      <c r="A1081" t="s">
        <v>2820</v>
      </c>
      <c r="B1081" t="s">
        <v>2066</v>
      </c>
      <c r="C1081" t="s">
        <v>2067</v>
      </c>
      <c r="D1081" t="s">
        <v>930</v>
      </c>
      <c r="E1081" t="s">
        <v>2637</v>
      </c>
      <c r="F1081" s="3">
        <v>903818</v>
      </c>
      <c r="G1081" s="2">
        <f t="shared" si="32"/>
        <v>30</v>
      </c>
      <c r="H1081" s="2">
        <f t="shared" ca="1" si="33"/>
        <v>107</v>
      </c>
      <c r="I1081" s="4">
        <v>46013</v>
      </c>
      <c r="J1081" s="4">
        <v>46043</v>
      </c>
      <c r="K1081" t="s">
        <v>918</v>
      </c>
      <c r="L1081" t="s">
        <v>312</v>
      </c>
      <c r="M1081" t="s">
        <v>19</v>
      </c>
      <c r="N1081" t="s">
        <v>2068</v>
      </c>
      <c r="O1081">
        <v>30</v>
      </c>
    </row>
    <row r="1082" spans="1:15" hidden="1" x14ac:dyDescent="0.25">
      <c r="A1082" t="s">
        <v>2820</v>
      </c>
      <c r="B1082" t="s">
        <v>2066</v>
      </c>
      <c r="C1082" t="s">
        <v>2067</v>
      </c>
      <c r="D1082" t="s">
        <v>930</v>
      </c>
      <c r="E1082" t="s">
        <v>2638</v>
      </c>
      <c r="F1082" s="3">
        <v>2234066</v>
      </c>
      <c r="G1082" s="2">
        <f t="shared" si="32"/>
        <v>30</v>
      </c>
      <c r="H1082" s="2">
        <f t="shared" ca="1" si="33"/>
        <v>107</v>
      </c>
      <c r="I1082" s="4">
        <v>46013</v>
      </c>
      <c r="J1082" s="4">
        <v>46043</v>
      </c>
      <c r="K1082" t="s">
        <v>918</v>
      </c>
      <c r="L1082" t="s">
        <v>312</v>
      </c>
      <c r="M1082" t="s">
        <v>19</v>
      </c>
      <c r="N1082" t="s">
        <v>2068</v>
      </c>
      <c r="O1082">
        <v>30</v>
      </c>
    </row>
    <row r="1083" spans="1:15" hidden="1" x14ac:dyDescent="0.25">
      <c r="A1083" t="s">
        <v>2820</v>
      </c>
      <c r="B1083" t="s">
        <v>1910</v>
      </c>
      <c r="C1083" t="s">
        <v>1911</v>
      </c>
      <c r="D1083" t="s">
        <v>916</v>
      </c>
      <c r="E1083" t="s">
        <v>2639</v>
      </c>
      <c r="F1083" s="3">
        <v>535103</v>
      </c>
      <c r="G1083" s="2">
        <f t="shared" si="32"/>
        <v>30</v>
      </c>
      <c r="H1083" s="2">
        <f t="shared" ca="1" si="33"/>
        <v>107</v>
      </c>
      <c r="I1083" s="4">
        <v>46013</v>
      </c>
      <c r="J1083" s="4">
        <v>46043</v>
      </c>
      <c r="K1083" t="s">
        <v>918</v>
      </c>
      <c r="L1083" t="s">
        <v>312</v>
      </c>
      <c r="M1083" t="s">
        <v>19</v>
      </c>
      <c r="N1083" t="s">
        <v>1912</v>
      </c>
      <c r="O1083">
        <v>30</v>
      </c>
    </row>
    <row r="1084" spans="1:15" hidden="1" x14ac:dyDescent="0.25">
      <c r="A1084" t="s">
        <v>2820</v>
      </c>
      <c r="B1084" t="s">
        <v>955</v>
      </c>
      <c r="C1084" t="s">
        <v>956</v>
      </c>
      <c r="D1084" t="s">
        <v>916</v>
      </c>
      <c r="E1084" t="s">
        <v>2640</v>
      </c>
      <c r="F1084" s="3">
        <v>1204074</v>
      </c>
      <c r="G1084" s="2">
        <f t="shared" si="32"/>
        <v>30</v>
      </c>
      <c r="H1084" s="2">
        <f t="shared" ca="1" si="33"/>
        <v>107</v>
      </c>
      <c r="I1084" s="4">
        <v>46013</v>
      </c>
      <c r="J1084" s="4">
        <v>46043</v>
      </c>
      <c r="K1084" t="s">
        <v>918</v>
      </c>
      <c r="L1084" t="s">
        <v>312</v>
      </c>
      <c r="M1084" t="s">
        <v>19</v>
      </c>
      <c r="N1084" t="s">
        <v>957</v>
      </c>
      <c r="O1084">
        <v>30</v>
      </c>
    </row>
    <row r="1085" spans="1:15" hidden="1" x14ac:dyDescent="0.25">
      <c r="A1085" t="s">
        <v>2820</v>
      </c>
      <c r="B1085" t="s">
        <v>934</v>
      </c>
      <c r="C1085" t="s">
        <v>935</v>
      </c>
      <c r="D1085" t="s">
        <v>930</v>
      </c>
      <c r="E1085" t="s">
        <v>2641</v>
      </c>
      <c r="F1085" s="3">
        <v>1242799</v>
      </c>
      <c r="G1085" s="2">
        <f t="shared" si="32"/>
        <v>30</v>
      </c>
      <c r="H1085" s="2">
        <f t="shared" ca="1" si="33"/>
        <v>107</v>
      </c>
      <c r="I1085" s="4">
        <v>46013</v>
      </c>
      <c r="J1085" s="4">
        <v>46043</v>
      </c>
      <c r="K1085" t="s">
        <v>918</v>
      </c>
      <c r="L1085" t="s">
        <v>312</v>
      </c>
      <c r="M1085" t="s">
        <v>19</v>
      </c>
      <c r="N1085" t="s">
        <v>936</v>
      </c>
      <c r="O1085">
        <v>30</v>
      </c>
    </row>
    <row r="1086" spans="1:15" hidden="1" x14ac:dyDescent="0.25">
      <c r="A1086" t="s">
        <v>2820</v>
      </c>
      <c r="B1086" t="s">
        <v>970</v>
      </c>
      <c r="C1086" t="s">
        <v>971</v>
      </c>
      <c r="D1086" t="s">
        <v>916</v>
      </c>
      <c r="E1086" t="s">
        <v>2642</v>
      </c>
      <c r="F1086" s="3">
        <v>495000</v>
      </c>
      <c r="G1086" s="2">
        <f t="shared" si="32"/>
        <v>30</v>
      </c>
      <c r="H1086" s="2">
        <f t="shared" ca="1" si="33"/>
        <v>107</v>
      </c>
      <c r="I1086" s="4">
        <v>46013</v>
      </c>
      <c r="J1086" s="4">
        <v>46043</v>
      </c>
      <c r="K1086" t="s">
        <v>918</v>
      </c>
      <c r="L1086" t="s">
        <v>312</v>
      </c>
      <c r="M1086" t="s">
        <v>19</v>
      </c>
      <c r="N1086" t="s">
        <v>972</v>
      </c>
      <c r="O1086">
        <v>30</v>
      </c>
    </row>
    <row r="1087" spans="1:15" hidden="1" x14ac:dyDescent="0.25">
      <c r="A1087" t="s">
        <v>2820</v>
      </c>
      <c r="B1087" t="s">
        <v>931</v>
      </c>
      <c r="C1087" t="s">
        <v>932</v>
      </c>
      <c r="D1087" t="s">
        <v>916</v>
      </c>
      <c r="E1087" t="s">
        <v>2643</v>
      </c>
      <c r="F1087" s="3">
        <v>198009</v>
      </c>
      <c r="G1087" s="2">
        <f t="shared" si="32"/>
        <v>30</v>
      </c>
      <c r="H1087" s="2">
        <f t="shared" ca="1" si="33"/>
        <v>107</v>
      </c>
      <c r="I1087" s="4">
        <v>46013</v>
      </c>
      <c r="J1087" s="4">
        <v>46043</v>
      </c>
      <c r="K1087" t="s">
        <v>918</v>
      </c>
      <c r="L1087" t="s">
        <v>312</v>
      </c>
      <c r="M1087" t="s">
        <v>19</v>
      </c>
      <c r="N1087" t="s">
        <v>933</v>
      </c>
      <c r="O1087">
        <v>30</v>
      </c>
    </row>
    <row r="1088" spans="1:15" hidden="1" x14ac:dyDescent="0.25">
      <c r="A1088" t="s">
        <v>2820</v>
      </c>
      <c r="B1088" t="s">
        <v>937</v>
      </c>
      <c r="C1088" t="s">
        <v>938</v>
      </c>
      <c r="D1088" t="s">
        <v>930</v>
      </c>
      <c r="E1088" t="s">
        <v>2644</v>
      </c>
      <c r="F1088" s="3">
        <v>1730950</v>
      </c>
      <c r="G1088" s="2">
        <f t="shared" si="32"/>
        <v>30</v>
      </c>
      <c r="H1088" s="2">
        <f t="shared" ca="1" si="33"/>
        <v>107</v>
      </c>
      <c r="I1088" s="4">
        <v>46013</v>
      </c>
      <c r="J1088" s="4">
        <v>46043</v>
      </c>
      <c r="K1088" t="s">
        <v>918</v>
      </c>
      <c r="L1088" t="s">
        <v>312</v>
      </c>
      <c r="M1088" t="s">
        <v>19</v>
      </c>
      <c r="N1088" t="s">
        <v>939</v>
      </c>
      <c r="O1088">
        <v>30</v>
      </c>
    </row>
    <row r="1089" spans="1:15" hidden="1" x14ac:dyDescent="0.25">
      <c r="A1089" t="s">
        <v>2820</v>
      </c>
      <c r="B1089" t="s">
        <v>1149</v>
      </c>
      <c r="C1089" t="s">
        <v>1150</v>
      </c>
      <c r="D1089" t="s">
        <v>1118</v>
      </c>
      <c r="E1089" t="s">
        <v>2646</v>
      </c>
      <c r="F1089" s="3">
        <v>3370151</v>
      </c>
      <c r="G1089" s="2">
        <f t="shared" si="32"/>
        <v>30</v>
      </c>
      <c r="H1089" s="2">
        <f t="shared" ca="1" si="33"/>
        <v>107</v>
      </c>
      <c r="I1089" s="4">
        <v>46013</v>
      </c>
      <c r="J1089" s="4">
        <v>46043</v>
      </c>
      <c r="K1089" t="s">
        <v>1144</v>
      </c>
      <c r="L1089" t="s">
        <v>207</v>
      </c>
      <c r="M1089" t="s">
        <v>19</v>
      </c>
      <c r="N1089" t="s">
        <v>1151</v>
      </c>
      <c r="O1089">
        <v>30</v>
      </c>
    </row>
    <row r="1090" spans="1:15" hidden="1" x14ac:dyDescent="0.25">
      <c r="A1090" t="s">
        <v>2820</v>
      </c>
      <c r="B1090" t="s">
        <v>1146</v>
      </c>
      <c r="C1090" t="s">
        <v>1147</v>
      </c>
      <c r="D1090" t="s">
        <v>1118</v>
      </c>
      <c r="E1090" t="s">
        <v>2647</v>
      </c>
      <c r="F1090" s="3">
        <v>9679502</v>
      </c>
      <c r="G1090" s="2">
        <f t="shared" ref="G1090:G1153" si="34">+J1090-I1090</f>
        <v>30</v>
      </c>
      <c r="H1090" s="2">
        <f t="shared" ref="H1090:H1153" ca="1" si="35">+TODAY()-I1090</f>
        <v>107</v>
      </c>
      <c r="I1090" s="4">
        <v>46013</v>
      </c>
      <c r="J1090" s="4">
        <v>46043</v>
      </c>
      <c r="K1090" t="s">
        <v>1144</v>
      </c>
      <c r="L1090" t="s">
        <v>207</v>
      </c>
      <c r="M1090" t="s">
        <v>19</v>
      </c>
      <c r="N1090" t="s">
        <v>1148</v>
      </c>
      <c r="O1090">
        <v>30</v>
      </c>
    </row>
    <row r="1091" spans="1:15" hidden="1" x14ac:dyDescent="0.25">
      <c r="A1091" t="s">
        <v>2820</v>
      </c>
      <c r="B1091" t="s">
        <v>1146</v>
      </c>
      <c r="C1091" t="s">
        <v>1147</v>
      </c>
      <c r="D1091" t="s">
        <v>1118</v>
      </c>
      <c r="E1091" t="s">
        <v>2648</v>
      </c>
      <c r="F1091" s="3">
        <v>614800</v>
      </c>
      <c r="G1091" s="2">
        <f t="shared" si="34"/>
        <v>30</v>
      </c>
      <c r="H1091" s="2">
        <f t="shared" ca="1" si="35"/>
        <v>107</v>
      </c>
      <c r="I1091" s="4">
        <v>46013</v>
      </c>
      <c r="J1091" s="4">
        <v>46043</v>
      </c>
      <c r="K1091" t="s">
        <v>1144</v>
      </c>
      <c r="L1091" t="s">
        <v>207</v>
      </c>
      <c r="M1091" t="s">
        <v>19</v>
      </c>
      <c r="N1091" t="s">
        <v>1148</v>
      </c>
      <c r="O1091">
        <v>30</v>
      </c>
    </row>
    <row r="1092" spans="1:15" hidden="1" x14ac:dyDescent="0.25">
      <c r="A1092" t="s">
        <v>2820</v>
      </c>
      <c r="B1092" t="s">
        <v>1155</v>
      </c>
      <c r="C1092" t="s">
        <v>1156</v>
      </c>
      <c r="D1092" t="s">
        <v>1118</v>
      </c>
      <c r="E1092" t="s">
        <v>2649</v>
      </c>
      <c r="F1092" s="3">
        <v>18618289</v>
      </c>
      <c r="G1092" s="2">
        <f t="shared" si="34"/>
        <v>30</v>
      </c>
      <c r="H1092" s="2">
        <f t="shared" ca="1" si="35"/>
        <v>107</v>
      </c>
      <c r="I1092" s="4">
        <v>46013</v>
      </c>
      <c r="J1092" s="4">
        <v>46043</v>
      </c>
      <c r="K1092" t="s">
        <v>1144</v>
      </c>
      <c r="L1092" t="s">
        <v>207</v>
      </c>
      <c r="M1092" t="s">
        <v>19</v>
      </c>
      <c r="N1092" t="s">
        <v>1157</v>
      </c>
      <c r="O1092">
        <v>30</v>
      </c>
    </row>
    <row r="1093" spans="1:15" hidden="1" x14ac:dyDescent="0.25">
      <c r="A1093" t="s">
        <v>2820</v>
      </c>
      <c r="B1093" t="s">
        <v>1152</v>
      </c>
      <c r="C1093" t="s">
        <v>1153</v>
      </c>
      <c r="D1093" t="s">
        <v>1118</v>
      </c>
      <c r="E1093" t="s">
        <v>2650</v>
      </c>
      <c r="F1093" s="3">
        <v>2896593</v>
      </c>
      <c r="G1093" s="2">
        <f t="shared" si="34"/>
        <v>30</v>
      </c>
      <c r="H1093" s="2">
        <f t="shared" ca="1" si="35"/>
        <v>107</v>
      </c>
      <c r="I1093" s="4">
        <v>46013</v>
      </c>
      <c r="J1093" s="4">
        <v>46043</v>
      </c>
      <c r="K1093" t="s">
        <v>1144</v>
      </c>
      <c r="L1093" t="s">
        <v>207</v>
      </c>
      <c r="M1093" t="s">
        <v>19</v>
      </c>
      <c r="N1093" t="s">
        <v>1154</v>
      </c>
      <c r="O1093">
        <v>30</v>
      </c>
    </row>
    <row r="1094" spans="1:15" hidden="1" x14ac:dyDescent="0.25">
      <c r="A1094" t="s">
        <v>2820</v>
      </c>
      <c r="B1094" t="s">
        <v>1152</v>
      </c>
      <c r="C1094" t="s">
        <v>1153</v>
      </c>
      <c r="D1094" t="s">
        <v>1118</v>
      </c>
      <c r="E1094" t="s">
        <v>2651</v>
      </c>
      <c r="F1094" s="3">
        <v>4980315</v>
      </c>
      <c r="G1094" s="2">
        <f t="shared" si="34"/>
        <v>30</v>
      </c>
      <c r="H1094" s="2">
        <f t="shared" ca="1" si="35"/>
        <v>107</v>
      </c>
      <c r="I1094" s="4">
        <v>46013</v>
      </c>
      <c r="J1094" s="4">
        <v>46043</v>
      </c>
      <c r="K1094" t="s">
        <v>1144</v>
      </c>
      <c r="L1094" t="s">
        <v>207</v>
      </c>
      <c r="M1094" t="s">
        <v>19</v>
      </c>
      <c r="N1094" t="s">
        <v>1154</v>
      </c>
      <c r="O1094">
        <v>30</v>
      </c>
    </row>
    <row r="1095" spans="1:15" hidden="1" x14ac:dyDescent="0.25">
      <c r="A1095" t="s">
        <v>2820</v>
      </c>
      <c r="B1095" t="s">
        <v>1142</v>
      </c>
      <c r="C1095" t="s">
        <v>1143</v>
      </c>
      <c r="D1095" t="s">
        <v>1118</v>
      </c>
      <c r="E1095" t="s">
        <v>2653</v>
      </c>
      <c r="F1095" s="3">
        <v>335445</v>
      </c>
      <c r="G1095" s="2">
        <f t="shared" si="34"/>
        <v>30</v>
      </c>
      <c r="H1095" s="2">
        <f t="shared" ca="1" si="35"/>
        <v>107</v>
      </c>
      <c r="I1095" s="4">
        <v>46013</v>
      </c>
      <c r="J1095" s="4">
        <v>46043</v>
      </c>
      <c r="K1095" t="s">
        <v>1144</v>
      </c>
      <c r="L1095" t="s">
        <v>207</v>
      </c>
      <c r="M1095" t="s">
        <v>19</v>
      </c>
      <c r="N1095" t="s">
        <v>1145</v>
      </c>
      <c r="O1095">
        <v>30</v>
      </c>
    </row>
    <row r="1096" spans="1:15" hidden="1" x14ac:dyDescent="0.25">
      <c r="A1096" t="s">
        <v>2820</v>
      </c>
      <c r="B1096" t="s">
        <v>1142</v>
      </c>
      <c r="C1096" t="s">
        <v>1143</v>
      </c>
      <c r="D1096" t="s">
        <v>1118</v>
      </c>
      <c r="E1096" t="s">
        <v>2654</v>
      </c>
      <c r="F1096" s="3">
        <v>5643651</v>
      </c>
      <c r="G1096" s="2">
        <f t="shared" si="34"/>
        <v>30</v>
      </c>
      <c r="H1096" s="2">
        <f t="shared" ca="1" si="35"/>
        <v>107</v>
      </c>
      <c r="I1096" s="4">
        <v>46013</v>
      </c>
      <c r="J1096" s="4">
        <v>46043</v>
      </c>
      <c r="K1096" t="s">
        <v>1144</v>
      </c>
      <c r="L1096" t="s">
        <v>207</v>
      </c>
      <c r="M1096" t="s">
        <v>19</v>
      </c>
      <c r="N1096" t="s">
        <v>1145</v>
      </c>
      <c r="O1096">
        <v>30</v>
      </c>
    </row>
    <row r="1097" spans="1:15" hidden="1" x14ac:dyDescent="0.25">
      <c r="A1097" t="s">
        <v>2820</v>
      </c>
      <c r="B1097" t="s">
        <v>2322</v>
      </c>
      <c r="C1097" t="s">
        <v>2323</v>
      </c>
      <c r="D1097" t="s">
        <v>1181</v>
      </c>
      <c r="E1097" t="s">
        <v>2655</v>
      </c>
      <c r="F1097" s="3">
        <v>2481962</v>
      </c>
      <c r="G1097" s="2">
        <f t="shared" si="34"/>
        <v>30</v>
      </c>
      <c r="H1097" s="2">
        <f t="shared" ca="1" si="35"/>
        <v>107</v>
      </c>
      <c r="I1097" s="4">
        <v>46013</v>
      </c>
      <c r="J1097" s="4">
        <v>46043</v>
      </c>
      <c r="K1097" t="s">
        <v>1183</v>
      </c>
      <c r="L1097" t="s">
        <v>984</v>
      </c>
      <c r="M1097" t="s">
        <v>19</v>
      </c>
      <c r="N1097" t="s">
        <v>2325</v>
      </c>
      <c r="O1097">
        <v>30</v>
      </c>
    </row>
    <row r="1098" spans="1:15" hidden="1" x14ac:dyDescent="0.25">
      <c r="A1098" t="s">
        <v>2820</v>
      </c>
      <c r="B1098" t="s">
        <v>1192</v>
      </c>
      <c r="C1098" t="s">
        <v>1193</v>
      </c>
      <c r="D1098" t="s">
        <v>1181</v>
      </c>
      <c r="E1098" t="s">
        <v>2656</v>
      </c>
      <c r="F1098" s="3">
        <v>776192</v>
      </c>
      <c r="G1098" s="2">
        <f t="shared" si="34"/>
        <v>30</v>
      </c>
      <c r="H1098" s="2">
        <f t="shared" ca="1" si="35"/>
        <v>107</v>
      </c>
      <c r="I1098" s="4">
        <v>46013</v>
      </c>
      <c r="J1098" s="4">
        <v>46043</v>
      </c>
      <c r="K1098" t="s">
        <v>1183</v>
      </c>
      <c r="L1098" t="s">
        <v>984</v>
      </c>
      <c r="M1098" t="s">
        <v>19</v>
      </c>
      <c r="N1098" t="s">
        <v>1194</v>
      </c>
      <c r="O1098">
        <v>30</v>
      </c>
    </row>
    <row r="1099" spans="1:15" hidden="1" x14ac:dyDescent="0.25">
      <c r="A1099" t="s">
        <v>2820</v>
      </c>
      <c r="B1099" t="s">
        <v>1188</v>
      </c>
      <c r="C1099" t="s">
        <v>1189</v>
      </c>
      <c r="D1099" t="s">
        <v>1190</v>
      </c>
      <c r="E1099" t="s">
        <v>2657</v>
      </c>
      <c r="F1099" s="3">
        <v>8559920</v>
      </c>
      <c r="G1099" s="2">
        <f t="shared" si="34"/>
        <v>30</v>
      </c>
      <c r="H1099" s="2">
        <f t="shared" ca="1" si="35"/>
        <v>107</v>
      </c>
      <c r="I1099" s="4">
        <v>46013</v>
      </c>
      <c r="J1099" s="4">
        <v>46043</v>
      </c>
      <c r="K1099" t="s">
        <v>1183</v>
      </c>
      <c r="L1099" t="s">
        <v>984</v>
      </c>
      <c r="M1099" t="s">
        <v>19</v>
      </c>
      <c r="N1099" t="s">
        <v>1191</v>
      </c>
      <c r="O1099">
        <v>30</v>
      </c>
    </row>
    <row r="1100" spans="1:15" hidden="1" x14ac:dyDescent="0.25">
      <c r="A1100" t="s">
        <v>2820</v>
      </c>
      <c r="B1100" t="s">
        <v>1185</v>
      </c>
      <c r="C1100" t="s">
        <v>1186</v>
      </c>
      <c r="D1100" t="s">
        <v>1181</v>
      </c>
      <c r="E1100" t="s">
        <v>2658</v>
      </c>
      <c r="F1100" s="3">
        <v>1041648</v>
      </c>
      <c r="G1100" s="2">
        <f t="shared" si="34"/>
        <v>30</v>
      </c>
      <c r="H1100" s="2">
        <f t="shared" ca="1" si="35"/>
        <v>107</v>
      </c>
      <c r="I1100" s="4">
        <v>46013</v>
      </c>
      <c r="J1100" s="4">
        <v>46043</v>
      </c>
      <c r="K1100" t="s">
        <v>1183</v>
      </c>
      <c r="L1100" t="s">
        <v>984</v>
      </c>
      <c r="M1100" t="s">
        <v>19</v>
      </c>
      <c r="N1100" t="s">
        <v>1187</v>
      </c>
      <c r="O1100">
        <v>30</v>
      </c>
    </row>
    <row r="1101" spans="1:15" hidden="1" x14ac:dyDescent="0.25">
      <c r="A1101" t="s">
        <v>2820</v>
      </c>
      <c r="B1101" t="s">
        <v>1185</v>
      </c>
      <c r="C1101" t="s">
        <v>1186</v>
      </c>
      <c r="D1101" t="s">
        <v>1181</v>
      </c>
      <c r="E1101" t="s">
        <v>2659</v>
      </c>
      <c r="F1101" s="3">
        <v>1290000</v>
      </c>
      <c r="G1101" s="2">
        <f t="shared" si="34"/>
        <v>30</v>
      </c>
      <c r="H1101" s="2">
        <f t="shared" ca="1" si="35"/>
        <v>107</v>
      </c>
      <c r="I1101" s="4">
        <v>46013</v>
      </c>
      <c r="J1101" s="4">
        <v>46043</v>
      </c>
      <c r="K1101" t="s">
        <v>1183</v>
      </c>
      <c r="L1101" t="s">
        <v>984</v>
      </c>
      <c r="M1101" t="s">
        <v>19</v>
      </c>
      <c r="N1101" t="s">
        <v>1187</v>
      </c>
      <c r="O1101">
        <v>30</v>
      </c>
    </row>
    <row r="1102" spans="1:15" hidden="1" x14ac:dyDescent="0.25">
      <c r="A1102" t="s">
        <v>2820</v>
      </c>
      <c r="B1102" t="s">
        <v>2357</v>
      </c>
      <c r="C1102" t="s">
        <v>2358</v>
      </c>
      <c r="D1102" t="s">
        <v>1289</v>
      </c>
      <c r="E1102" t="s">
        <v>2673</v>
      </c>
      <c r="F1102" s="3">
        <v>803904</v>
      </c>
      <c r="G1102" s="2">
        <f t="shared" si="34"/>
        <v>30</v>
      </c>
      <c r="H1102" s="2">
        <f t="shared" ca="1" si="35"/>
        <v>107</v>
      </c>
      <c r="I1102" s="4">
        <v>46013</v>
      </c>
      <c r="J1102" s="4">
        <v>46043</v>
      </c>
      <c r="K1102" t="s">
        <v>1466</v>
      </c>
      <c r="L1102" t="s">
        <v>981</v>
      </c>
      <c r="M1102" t="s">
        <v>19</v>
      </c>
      <c r="N1102" t="s">
        <v>2359</v>
      </c>
      <c r="O1102">
        <v>30</v>
      </c>
    </row>
    <row r="1103" spans="1:15" hidden="1" x14ac:dyDescent="0.25">
      <c r="A1103" t="s">
        <v>2820</v>
      </c>
      <c r="B1103" t="s">
        <v>2147</v>
      </c>
      <c r="C1103" t="s">
        <v>2148</v>
      </c>
      <c r="D1103" t="s">
        <v>1289</v>
      </c>
      <c r="E1103" t="s">
        <v>2674</v>
      </c>
      <c r="F1103" s="3">
        <v>2287255</v>
      </c>
      <c r="G1103" s="2">
        <f t="shared" si="34"/>
        <v>30</v>
      </c>
      <c r="H1103" s="2">
        <f t="shared" ca="1" si="35"/>
        <v>107</v>
      </c>
      <c r="I1103" s="4">
        <v>46013</v>
      </c>
      <c r="J1103" s="4">
        <v>46043</v>
      </c>
      <c r="K1103" t="s">
        <v>1466</v>
      </c>
      <c r="L1103" t="s">
        <v>981</v>
      </c>
      <c r="M1103" t="s">
        <v>19</v>
      </c>
      <c r="N1103" t="s">
        <v>2149</v>
      </c>
      <c r="O1103">
        <v>30</v>
      </c>
    </row>
    <row r="1104" spans="1:15" hidden="1" x14ac:dyDescent="0.25">
      <c r="A1104" t="s">
        <v>2820</v>
      </c>
      <c r="B1104" t="s">
        <v>1968</v>
      </c>
      <c r="C1104" t="s">
        <v>1969</v>
      </c>
      <c r="D1104" t="s">
        <v>341</v>
      </c>
      <c r="E1104" t="s">
        <v>2678</v>
      </c>
      <c r="F1104" s="3">
        <v>43903</v>
      </c>
      <c r="G1104" s="2">
        <f t="shared" si="34"/>
        <v>30</v>
      </c>
      <c r="H1104" s="2">
        <f t="shared" ca="1" si="35"/>
        <v>107</v>
      </c>
      <c r="I1104" s="4">
        <v>46013</v>
      </c>
      <c r="J1104" s="4">
        <v>46043</v>
      </c>
      <c r="K1104" t="s">
        <v>1470</v>
      </c>
      <c r="L1104" t="s">
        <v>981</v>
      </c>
      <c r="M1104" t="s">
        <v>19</v>
      </c>
      <c r="N1104" t="s">
        <v>1970</v>
      </c>
      <c r="O1104">
        <v>1</v>
      </c>
    </row>
    <row r="1105" spans="1:15" hidden="1" x14ac:dyDescent="0.25">
      <c r="A1105" t="s">
        <v>2820</v>
      </c>
      <c r="B1105" t="s">
        <v>1480</v>
      </c>
      <c r="C1105" t="s">
        <v>1481</v>
      </c>
      <c r="D1105" t="s">
        <v>341</v>
      </c>
      <c r="E1105" t="s">
        <v>2679</v>
      </c>
      <c r="F1105" s="3">
        <v>1999988</v>
      </c>
      <c r="G1105" s="2">
        <f t="shared" si="34"/>
        <v>30</v>
      </c>
      <c r="H1105" s="2">
        <f t="shared" ca="1" si="35"/>
        <v>107</v>
      </c>
      <c r="I1105" s="4">
        <v>46013</v>
      </c>
      <c r="J1105" s="4">
        <v>46043</v>
      </c>
      <c r="K1105" t="s">
        <v>1470</v>
      </c>
      <c r="L1105" t="s">
        <v>981</v>
      </c>
      <c r="M1105" t="s">
        <v>19</v>
      </c>
      <c r="N1105" t="s">
        <v>1482</v>
      </c>
      <c r="O1105">
        <v>30</v>
      </c>
    </row>
    <row r="1106" spans="1:15" hidden="1" x14ac:dyDescent="0.25">
      <c r="A1106" t="s">
        <v>2820</v>
      </c>
      <c r="B1106" t="s">
        <v>1476</v>
      </c>
      <c r="C1106" t="s">
        <v>1477</v>
      </c>
      <c r="D1106" t="s">
        <v>1478</v>
      </c>
      <c r="E1106" t="s">
        <v>2680</v>
      </c>
      <c r="F1106" s="3">
        <v>3157339</v>
      </c>
      <c r="G1106" s="2">
        <f t="shared" si="34"/>
        <v>30</v>
      </c>
      <c r="H1106" s="2">
        <f t="shared" ca="1" si="35"/>
        <v>107</v>
      </c>
      <c r="I1106" s="4">
        <v>46013</v>
      </c>
      <c r="J1106" s="4">
        <v>46043</v>
      </c>
      <c r="K1106" t="s">
        <v>1470</v>
      </c>
      <c r="L1106" t="s">
        <v>981</v>
      </c>
      <c r="M1106" t="s">
        <v>19</v>
      </c>
      <c r="N1106" t="s">
        <v>1479</v>
      </c>
      <c r="O1106">
        <v>30</v>
      </c>
    </row>
    <row r="1107" spans="1:15" hidden="1" x14ac:dyDescent="0.25">
      <c r="A1107" t="s">
        <v>2820</v>
      </c>
      <c r="B1107" t="s">
        <v>2048</v>
      </c>
      <c r="C1107" t="s">
        <v>2049</v>
      </c>
      <c r="D1107" t="s">
        <v>2050</v>
      </c>
      <c r="E1107" t="s">
        <v>2681</v>
      </c>
      <c r="F1107" s="3">
        <v>639664</v>
      </c>
      <c r="G1107" s="2">
        <f t="shared" si="34"/>
        <v>30</v>
      </c>
      <c r="H1107" s="2">
        <f t="shared" ca="1" si="35"/>
        <v>107</v>
      </c>
      <c r="I1107" s="4">
        <v>46013</v>
      </c>
      <c r="J1107" s="4">
        <v>46043</v>
      </c>
      <c r="K1107" t="s">
        <v>2051</v>
      </c>
      <c r="L1107" t="s">
        <v>981</v>
      </c>
      <c r="M1107" t="s">
        <v>19</v>
      </c>
      <c r="N1107" t="s">
        <v>2052</v>
      </c>
      <c r="O1107">
        <v>30</v>
      </c>
    </row>
    <row r="1108" spans="1:15" hidden="1" x14ac:dyDescent="0.25">
      <c r="A1108" t="s">
        <v>2820</v>
      </c>
      <c r="B1108" t="s">
        <v>2048</v>
      </c>
      <c r="C1108" t="s">
        <v>2049</v>
      </c>
      <c r="D1108" t="s">
        <v>2050</v>
      </c>
      <c r="E1108" t="s">
        <v>2682</v>
      </c>
      <c r="F1108" s="3">
        <v>1267155</v>
      </c>
      <c r="G1108" s="2">
        <f t="shared" si="34"/>
        <v>30</v>
      </c>
      <c r="H1108" s="2">
        <f t="shared" ca="1" si="35"/>
        <v>107</v>
      </c>
      <c r="I1108" s="4">
        <v>46013</v>
      </c>
      <c r="J1108" s="4">
        <v>46043</v>
      </c>
      <c r="K1108" t="s">
        <v>2051</v>
      </c>
      <c r="L1108" t="s">
        <v>981</v>
      </c>
      <c r="M1108" t="s">
        <v>19</v>
      </c>
      <c r="N1108" t="s">
        <v>2052</v>
      </c>
      <c r="O1108">
        <v>30</v>
      </c>
    </row>
    <row r="1109" spans="1:15" hidden="1" x14ac:dyDescent="0.25">
      <c r="A1109" t="s">
        <v>2820</v>
      </c>
      <c r="B1109" t="s">
        <v>1578</v>
      </c>
      <c r="C1109" t="s">
        <v>1579</v>
      </c>
      <c r="D1109" t="s">
        <v>1563</v>
      </c>
      <c r="E1109" t="s">
        <v>2689</v>
      </c>
      <c r="F1109" s="3">
        <v>3774031</v>
      </c>
      <c r="G1109" s="2">
        <f t="shared" si="34"/>
        <v>30</v>
      </c>
      <c r="H1109" s="2">
        <f t="shared" ca="1" si="35"/>
        <v>107</v>
      </c>
      <c r="I1109" s="4">
        <v>46013</v>
      </c>
      <c r="J1109" s="4">
        <v>46043</v>
      </c>
      <c r="K1109" t="s">
        <v>1564</v>
      </c>
      <c r="L1109" t="s">
        <v>984</v>
      </c>
      <c r="M1109" t="s">
        <v>19</v>
      </c>
      <c r="N1109" t="s">
        <v>1580</v>
      </c>
      <c r="O1109">
        <v>30</v>
      </c>
    </row>
    <row r="1110" spans="1:15" hidden="1" x14ac:dyDescent="0.25">
      <c r="A1110" t="s">
        <v>2820</v>
      </c>
      <c r="B1110" t="s">
        <v>1561</v>
      </c>
      <c r="C1110" t="s">
        <v>1562</v>
      </c>
      <c r="D1110" t="s">
        <v>1563</v>
      </c>
      <c r="E1110" t="s">
        <v>2690</v>
      </c>
      <c r="F1110" s="3">
        <v>1708009</v>
      </c>
      <c r="G1110" s="2">
        <f t="shared" si="34"/>
        <v>30</v>
      </c>
      <c r="H1110" s="2">
        <f t="shared" ca="1" si="35"/>
        <v>107</v>
      </c>
      <c r="I1110" s="4">
        <v>46013</v>
      </c>
      <c r="J1110" s="4">
        <v>46043</v>
      </c>
      <c r="K1110" t="s">
        <v>1564</v>
      </c>
      <c r="L1110" t="s">
        <v>984</v>
      </c>
      <c r="M1110" t="s">
        <v>19</v>
      </c>
      <c r="N1110" t="s">
        <v>1565</v>
      </c>
      <c r="O1110">
        <v>30</v>
      </c>
    </row>
    <row r="1111" spans="1:15" hidden="1" x14ac:dyDescent="0.25">
      <c r="A1111" t="s">
        <v>2820</v>
      </c>
      <c r="B1111" t="s">
        <v>1578</v>
      </c>
      <c r="C1111" t="s">
        <v>1579</v>
      </c>
      <c r="D1111" t="s">
        <v>1563</v>
      </c>
      <c r="E1111" t="s">
        <v>2691</v>
      </c>
      <c r="F1111" s="3">
        <v>234092</v>
      </c>
      <c r="G1111" s="2">
        <f t="shared" si="34"/>
        <v>30</v>
      </c>
      <c r="H1111" s="2">
        <f t="shared" ca="1" si="35"/>
        <v>107</v>
      </c>
      <c r="I1111" s="4">
        <v>46013</v>
      </c>
      <c r="J1111" s="4">
        <v>46043</v>
      </c>
      <c r="K1111" t="s">
        <v>1564</v>
      </c>
      <c r="L1111" t="s">
        <v>984</v>
      </c>
      <c r="M1111" t="s">
        <v>19</v>
      </c>
      <c r="N1111" t="s">
        <v>1580</v>
      </c>
      <c r="O1111">
        <v>30</v>
      </c>
    </row>
    <row r="1112" spans="1:15" hidden="1" x14ac:dyDescent="0.25">
      <c r="A1112" t="s">
        <v>2820</v>
      </c>
      <c r="B1112" t="s">
        <v>2698</v>
      </c>
      <c r="C1112" t="s">
        <v>2699</v>
      </c>
      <c r="D1112" t="s">
        <v>1722</v>
      </c>
      <c r="E1112" t="s">
        <v>2700</v>
      </c>
      <c r="F1112" s="3">
        <v>703603</v>
      </c>
      <c r="G1112" s="2">
        <f t="shared" si="34"/>
        <v>30</v>
      </c>
      <c r="H1112" s="2">
        <f t="shared" ca="1" si="35"/>
        <v>107</v>
      </c>
      <c r="I1112" s="4">
        <v>46013</v>
      </c>
      <c r="J1112" s="4">
        <v>46043</v>
      </c>
      <c r="K1112" t="s">
        <v>1706</v>
      </c>
      <c r="L1112" t="s">
        <v>90</v>
      </c>
      <c r="M1112" t="s">
        <v>19</v>
      </c>
      <c r="N1112" t="s">
        <v>2701</v>
      </c>
      <c r="O1112">
        <v>0</v>
      </c>
    </row>
    <row r="1113" spans="1:15" hidden="1" x14ac:dyDescent="0.25">
      <c r="A1113" t="s">
        <v>2820</v>
      </c>
      <c r="B1113" t="s">
        <v>1716</v>
      </c>
      <c r="C1113" t="s">
        <v>1717</v>
      </c>
      <c r="D1113" t="s">
        <v>1705</v>
      </c>
      <c r="E1113" t="s">
        <v>2702</v>
      </c>
      <c r="F1113" s="3">
        <v>1474247</v>
      </c>
      <c r="G1113" s="2">
        <f t="shared" si="34"/>
        <v>30</v>
      </c>
      <c r="H1113" s="2">
        <f t="shared" ca="1" si="35"/>
        <v>107</v>
      </c>
      <c r="I1113" s="4">
        <v>46013</v>
      </c>
      <c r="J1113" s="4">
        <v>46043</v>
      </c>
      <c r="K1113" t="s">
        <v>1706</v>
      </c>
      <c r="L1113" t="s">
        <v>90</v>
      </c>
      <c r="M1113" t="s">
        <v>19</v>
      </c>
      <c r="N1113" t="s">
        <v>1718</v>
      </c>
      <c r="O1113">
        <v>30</v>
      </c>
    </row>
    <row r="1114" spans="1:15" hidden="1" x14ac:dyDescent="0.25">
      <c r="A1114" t="s">
        <v>2820</v>
      </c>
      <c r="B1114" t="s">
        <v>1188</v>
      </c>
      <c r="C1114" t="s">
        <v>1189</v>
      </c>
      <c r="D1114" t="s">
        <v>1190</v>
      </c>
      <c r="E1114" t="s">
        <v>2703</v>
      </c>
      <c r="F1114" s="3">
        <v>1820895</v>
      </c>
      <c r="G1114" s="2">
        <f t="shared" si="34"/>
        <v>30</v>
      </c>
      <c r="H1114" s="2">
        <f t="shared" ca="1" si="35"/>
        <v>107</v>
      </c>
      <c r="I1114" s="4">
        <v>46013</v>
      </c>
      <c r="J1114" s="4">
        <v>46043</v>
      </c>
      <c r="K1114" t="s">
        <v>1863</v>
      </c>
      <c r="L1114" t="s">
        <v>984</v>
      </c>
      <c r="M1114" t="s">
        <v>19</v>
      </c>
      <c r="N1114" t="s">
        <v>1191</v>
      </c>
      <c r="O1114">
        <v>30</v>
      </c>
    </row>
    <row r="1115" spans="1:15" hidden="1" x14ac:dyDescent="0.25">
      <c r="A1115" t="s">
        <v>2820</v>
      </c>
      <c r="B1115" t="s">
        <v>1188</v>
      </c>
      <c r="C1115" t="s">
        <v>1189</v>
      </c>
      <c r="D1115" t="s">
        <v>1190</v>
      </c>
      <c r="E1115" t="s">
        <v>2704</v>
      </c>
      <c r="F1115" s="3">
        <v>1450000</v>
      </c>
      <c r="G1115" s="2">
        <f t="shared" si="34"/>
        <v>30</v>
      </c>
      <c r="H1115" s="2">
        <f t="shared" ca="1" si="35"/>
        <v>107</v>
      </c>
      <c r="I1115" s="4">
        <v>46013</v>
      </c>
      <c r="J1115" s="4">
        <v>46043</v>
      </c>
      <c r="K1115" t="s">
        <v>1863</v>
      </c>
      <c r="L1115" t="s">
        <v>984</v>
      </c>
      <c r="M1115" t="s">
        <v>19</v>
      </c>
      <c r="N1115" t="s">
        <v>1191</v>
      </c>
      <c r="O1115">
        <v>30</v>
      </c>
    </row>
    <row r="1116" spans="1:15" hidden="1" x14ac:dyDescent="0.25">
      <c r="A1116" t="s">
        <v>2820</v>
      </c>
      <c r="B1116" t="s">
        <v>2004</v>
      </c>
      <c r="C1116" t="s">
        <v>2005</v>
      </c>
      <c r="D1116" t="s">
        <v>1190</v>
      </c>
      <c r="E1116" t="s">
        <v>2705</v>
      </c>
      <c r="F1116" s="3">
        <v>2606471</v>
      </c>
      <c r="G1116" s="2">
        <f t="shared" si="34"/>
        <v>30</v>
      </c>
      <c r="H1116" s="2">
        <f t="shared" ca="1" si="35"/>
        <v>107</v>
      </c>
      <c r="I1116" s="4">
        <v>46013</v>
      </c>
      <c r="J1116" s="4">
        <v>46043</v>
      </c>
      <c r="K1116" t="s">
        <v>1863</v>
      </c>
      <c r="L1116" t="s">
        <v>984</v>
      </c>
      <c r="M1116" t="s">
        <v>19</v>
      </c>
      <c r="N1116" t="s">
        <v>2006</v>
      </c>
      <c r="O1116">
        <v>30</v>
      </c>
    </row>
    <row r="1117" spans="1:15" hidden="1" x14ac:dyDescent="0.25">
      <c r="A1117" t="s">
        <v>2820</v>
      </c>
      <c r="B1117" t="s">
        <v>1872</v>
      </c>
      <c r="C1117" t="s">
        <v>1873</v>
      </c>
      <c r="D1117" t="s">
        <v>1190</v>
      </c>
      <c r="E1117" t="s">
        <v>2706</v>
      </c>
      <c r="F1117" s="3">
        <v>1639440</v>
      </c>
      <c r="G1117" s="2">
        <f t="shared" si="34"/>
        <v>30</v>
      </c>
      <c r="H1117" s="2">
        <f t="shared" ca="1" si="35"/>
        <v>107</v>
      </c>
      <c r="I1117" s="4">
        <v>46013</v>
      </c>
      <c r="J1117" s="4">
        <v>46043</v>
      </c>
      <c r="K1117" t="s">
        <v>1863</v>
      </c>
      <c r="L1117" t="s">
        <v>984</v>
      </c>
      <c r="M1117" t="s">
        <v>19</v>
      </c>
      <c r="N1117" t="s">
        <v>1874</v>
      </c>
      <c r="O1117">
        <v>1</v>
      </c>
    </row>
    <row r="1118" spans="1:15" hidden="1" x14ac:dyDescent="0.25">
      <c r="A1118" t="s">
        <v>2820</v>
      </c>
      <c r="B1118" t="s">
        <v>2007</v>
      </c>
      <c r="C1118" t="s">
        <v>2008</v>
      </c>
      <c r="D1118" t="s">
        <v>1583</v>
      </c>
      <c r="E1118" t="s">
        <v>2707</v>
      </c>
      <c r="F1118" s="3">
        <v>828393</v>
      </c>
      <c r="G1118" s="2">
        <f t="shared" si="34"/>
        <v>30</v>
      </c>
      <c r="H1118" s="2">
        <f t="shared" ca="1" si="35"/>
        <v>107</v>
      </c>
      <c r="I1118" s="4">
        <v>46013</v>
      </c>
      <c r="J1118" s="4">
        <v>46043</v>
      </c>
      <c r="K1118" t="s">
        <v>1863</v>
      </c>
      <c r="L1118" t="s">
        <v>984</v>
      </c>
      <c r="M1118" t="s">
        <v>19</v>
      </c>
      <c r="N1118" t="s">
        <v>2009</v>
      </c>
      <c r="O1118">
        <v>30</v>
      </c>
    </row>
    <row r="1119" spans="1:15" hidden="1" x14ac:dyDescent="0.25">
      <c r="A1119" t="s">
        <v>2820</v>
      </c>
      <c r="B1119" t="s">
        <v>2007</v>
      </c>
      <c r="C1119" t="s">
        <v>2008</v>
      </c>
      <c r="D1119" t="s">
        <v>1583</v>
      </c>
      <c r="E1119" t="s">
        <v>2708</v>
      </c>
      <c r="F1119" s="3">
        <v>214000</v>
      </c>
      <c r="G1119" s="2">
        <f t="shared" si="34"/>
        <v>30</v>
      </c>
      <c r="H1119" s="2">
        <f t="shared" ca="1" si="35"/>
        <v>107</v>
      </c>
      <c r="I1119" s="4">
        <v>46013</v>
      </c>
      <c r="J1119" s="4">
        <v>46043</v>
      </c>
      <c r="K1119" t="s">
        <v>1863</v>
      </c>
      <c r="L1119" t="s">
        <v>984</v>
      </c>
      <c r="M1119" t="s">
        <v>19</v>
      </c>
      <c r="N1119" t="s">
        <v>2009</v>
      </c>
      <c r="O1119">
        <v>30</v>
      </c>
    </row>
    <row r="1120" spans="1:15" hidden="1" x14ac:dyDescent="0.25">
      <c r="A1120" t="s">
        <v>2820</v>
      </c>
      <c r="B1120" t="s">
        <v>1188</v>
      </c>
      <c r="C1120" t="s">
        <v>1189</v>
      </c>
      <c r="D1120" t="s">
        <v>1190</v>
      </c>
      <c r="E1120" t="s">
        <v>2709</v>
      </c>
      <c r="F1120" s="3">
        <v>12025031</v>
      </c>
      <c r="G1120" s="2">
        <f t="shared" si="34"/>
        <v>30</v>
      </c>
      <c r="H1120" s="2">
        <f t="shared" ca="1" si="35"/>
        <v>107</v>
      </c>
      <c r="I1120" s="4">
        <v>46013</v>
      </c>
      <c r="J1120" s="4">
        <v>46043</v>
      </c>
      <c r="K1120" t="s">
        <v>1863</v>
      </c>
      <c r="L1120" t="s">
        <v>984</v>
      </c>
      <c r="M1120" t="s">
        <v>19</v>
      </c>
      <c r="N1120" t="s">
        <v>1191</v>
      </c>
      <c r="O1120">
        <v>30</v>
      </c>
    </row>
    <row r="1121" spans="1:15" hidden="1" x14ac:dyDescent="0.25">
      <c r="A1121" t="s">
        <v>2820</v>
      </c>
      <c r="B1121" t="s">
        <v>1188</v>
      </c>
      <c r="C1121" t="s">
        <v>1189</v>
      </c>
      <c r="D1121" t="s">
        <v>1190</v>
      </c>
      <c r="E1121" t="s">
        <v>2710</v>
      </c>
      <c r="F1121" s="3">
        <v>2207135</v>
      </c>
      <c r="G1121" s="2">
        <f t="shared" si="34"/>
        <v>30</v>
      </c>
      <c r="H1121" s="2">
        <f t="shared" ca="1" si="35"/>
        <v>107</v>
      </c>
      <c r="I1121" s="4">
        <v>46013</v>
      </c>
      <c r="J1121" s="4">
        <v>46043</v>
      </c>
      <c r="K1121" t="s">
        <v>1863</v>
      </c>
      <c r="L1121" t="s">
        <v>984</v>
      </c>
      <c r="M1121" t="s">
        <v>19</v>
      </c>
      <c r="N1121" t="s">
        <v>1191</v>
      </c>
      <c r="O1121">
        <v>30</v>
      </c>
    </row>
    <row r="1122" spans="1:15" hidden="1" x14ac:dyDescent="0.25">
      <c r="A1122" t="s">
        <v>2820</v>
      </c>
      <c r="B1122" t="s">
        <v>76</v>
      </c>
      <c r="C1122" t="s">
        <v>77</v>
      </c>
      <c r="D1122" t="s">
        <v>46</v>
      </c>
      <c r="E1122" t="s">
        <v>2578</v>
      </c>
      <c r="F1122" s="3">
        <v>381619</v>
      </c>
      <c r="G1122" s="2">
        <f t="shared" si="34"/>
        <v>30</v>
      </c>
      <c r="H1122" s="2">
        <f t="shared" ca="1" si="35"/>
        <v>106</v>
      </c>
      <c r="I1122" s="4">
        <v>46014</v>
      </c>
      <c r="J1122" s="4">
        <v>46044</v>
      </c>
      <c r="K1122" t="s">
        <v>17</v>
      </c>
      <c r="L1122" t="s">
        <v>32</v>
      </c>
      <c r="M1122" t="s">
        <v>19</v>
      </c>
      <c r="N1122" t="s">
        <v>78</v>
      </c>
      <c r="O1122">
        <v>30</v>
      </c>
    </row>
    <row r="1123" spans="1:15" hidden="1" x14ac:dyDescent="0.25">
      <c r="A1123" t="s">
        <v>2820</v>
      </c>
      <c r="B1123" t="s">
        <v>2073</v>
      </c>
      <c r="C1123" t="s">
        <v>2074</v>
      </c>
      <c r="D1123" t="s">
        <v>15</v>
      </c>
      <c r="E1123" t="s">
        <v>2579</v>
      </c>
      <c r="F1123" s="3">
        <v>2120000</v>
      </c>
      <c r="G1123" s="2">
        <f t="shared" si="34"/>
        <v>30</v>
      </c>
      <c r="H1123" s="2">
        <f t="shared" ca="1" si="35"/>
        <v>106</v>
      </c>
      <c r="I1123" s="4">
        <v>46014</v>
      </c>
      <c r="J1123" s="4">
        <v>46044</v>
      </c>
      <c r="K1123" t="s">
        <v>17</v>
      </c>
      <c r="L1123" t="s">
        <v>32</v>
      </c>
      <c r="M1123" t="s">
        <v>19</v>
      </c>
      <c r="N1123" t="s">
        <v>2075</v>
      </c>
      <c r="O1123">
        <v>30</v>
      </c>
    </row>
    <row r="1124" spans="1:15" hidden="1" x14ac:dyDescent="0.25">
      <c r="A1124" t="s">
        <v>2820</v>
      </c>
      <c r="B1124" t="s">
        <v>2073</v>
      </c>
      <c r="C1124" t="s">
        <v>2074</v>
      </c>
      <c r="D1124" t="s">
        <v>15</v>
      </c>
      <c r="E1124" t="s">
        <v>2580</v>
      </c>
      <c r="F1124" s="3">
        <v>82795</v>
      </c>
      <c r="G1124" s="2">
        <f t="shared" si="34"/>
        <v>30</v>
      </c>
      <c r="H1124" s="2">
        <f t="shared" ca="1" si="35"/>
        <v>106</v>
      </c>
      <c r="I1124" s="4">
        <v>46014</v>
      </c>
      <c r="J1124" s="4">
        <v>46044</v>
      </c>
      <c r="K1124" t="s">
        <v>17</v>
      </c>
      <c r="L1124" t="s">
        <v>32</v>
      </c>
      <c r="M1124" t="s">
        <v>19</v>
      </c>
      <c r="N1124" t="s">
        <v>2075</v>
      </c>
      <c r="O1124">
        <v>30</v>
      </c>
    </row>
    <row r="1125" spans="1:15" hidden="1" x14ac:dyDescent="0.25">
      <c r="A1125" t="s">
        <v>2820</v>
      </c>
      <c r="B1125" t="s">
        <v>79</v>
      </c>
      <c r="C1125" t="s">
        <v>80</v>
      </c>
      <c r="D1125" t="s">
        <v>46</v>
      </c>
      <c r="E1125" t="s">
        <v>2581</v>
      </c>
      <c r="F1125" s="3">
        <v>1191056</v>
      </c>
      <c r="G1125" s="2">
        <f t="shared" si="34"/>
        <v>30</v>
      </c>
      <c r="H1125" s="2">
        <f t="shared" ca="1" si="35"/>
        <v>106</v>
      </c>
      <c r="I1125" s="4">
        <v>46014</v>
      </c>
      <c r="J1125" s="4">
        <v>46044</v>
      </c>
      <c r="K1125" t="s">
        <v>17</v>
      </c>
      <c r="L1125" t="s">
        <v>32</v>
      </c>
      <c r="M1125" t="s">
        <v>19</v>
      </c>
      <c r="N1125" t="s">
        <v>81</v>
      </c>
      <c r="O1125">
        <v>30</v>
      </c>
    </row>
    <row r="1126" spans="1:15" hidden="1" x14ac:dyDescent="0.25">
      <c r="A1126" t="s">
        <v>2820</v>
      </c>
      <c r="B1126" t="s">
        <v>79</v>
      </c>
      <c r="C1126" t="s">
        <v>80</v>
      </c>
      <c r="D1126" t="s">
        <v>46</v>
      </c>
      <c r="E1126" t="s">
        <v>2582</v>
      </c>
      <c r="F1126" s="3">
        <v>2074900</v>
      </c>
      <c r="G1126" s="2">
        <f t="shared" si="34"/>
        <v>30</v>
      </c>
      <c r="H1126" s="2">
        <f t="shared" ca="1" si="35"/>
        <v>106</v>
      </c>
      <c r="I1126" s="4">
        <v>46014</v>
      </c>
      <c r="J1126" s="4">
        <v>46044</v>
      </c>
      <c r="K1126" t="s">
        <v>17</v>
      </c>
      <c r="L1126" t="s">
        <v>32</v>
      </c>
      <c r="M1126" t="s">
        <v>19</v>
      </c>
      <c r="N1126" t="s">
        <v>81</v>
      </c>
      <c r="O1126">
        <v>30</v>
      </c>
    </row>
    <row r="1127" spans="1:15" hidden="1" x14ac:dyDescent="0.25">
      <c r="A1127" t="s">
        <v>2820</v>
      </c>
      <c r="B1127" t="s">
        <v>76</v>
      </c>
      <c r="C1127" t="s">
        <v>77</v>
      </c>
      <c r="D1127" t="s">
        <v>46</v>
      </c>
      <c r="E1127" t="s">
        <v>2583</v>
      </c>
      <c r="F1127" s="3">
        <v>327000</v>
      </c>
      <c r="G1127" s="2">
        <f t="shared" si="34"/>
        <v>30</v>
      </c>
      <c r="H1127" s="2">
        <f t="shared" ca="1" si="35"/>
        <v>106</v>
      </c>
      <c r="I1127" s="4">
        <v>46014</v>
      </c>
      <c r="J1127" s="4">
        <v>46044</v>
      </c>
      <c r="K1127" t="s">
        <v>17</v>
      </c>
      <c r="L1127" t="s">
        <v>32</v>
      </c>
      <c r="M1127" t="s">
        <v>19</v>
      </c>
      <c r="N1127" t="s">
        <v>78</v>
      </c>
      <c r="O1127">
        <v>30</v>
      </c>
    </row>
    <row r="1128" spans="1:15" hidden="1" x14ac:dyDescent="0.25">
      <c r="A1128" t="s">
        <v>2820</v>
      </c>
      <c r="B1128" t="s">
        <v>174</v>
      </c>
      <c r="C1128" t="s">
        <v>175</v>
      </c>
      <c r="D1128" t="s">
        <v>46</v>
      </c>
      <c r="E1128" t="s">
        <v>2584</v>
      </c>
      <c r="F1128" s="3">
        <v>1160700</v>
      </c>
      <c r="G1128" s="2">
        <f t="shared" si="34"/>
        <v>30</v>
      </c>
      <c r="H1128" s="2">
        <f t="shared" ca="1" si="35"/>
        <v>106</v>
      </c>
      <c r="I1128" s="4">
        <v>46014</v>
      </c>
      <c r="J1128" s="4">
        <v>46044</v>
      </c>
      <c r="K1128" t="s">
        <v>17</v>
      </c>
      <c r="L1128" t="s">
        <v>32</v>
      </c>
      <c r="M1128" t="s">
        <v>19</v>
      </c>
      <c r="N1128" t="s">
        <v>176</v>
      </c>
      <c r="O1128">
        <v>30</v>
      </c>
    </row>
    <row r="1129" spans="1:15" hidden="1" x14ac:dyDescent="0.25">
      <c r="A1129" t="s">
        <v>2820</v>
      </c>
      <c r="B1129" t="s">
        <v>98</v>
      </c>
      <c r="C1129" t="s">
        <v>99</v>
      </c>
      <c r="D1129" t="s">
        <v>15</v>
      </c>
      <c r="E1129" t="s">
        <v>2585</v>
      </c>
      <c r="F1129" s="3">
        <v>1167080</v>
      </c>
      <c r="G1129" s="2">
        <f t="shared" si="34"/>
        <v>30</v>
      </c>
      <c r="H1129" s="2">
        <f t="shared" ca="1" si="35"/>
        <v>106</v>
      </c>
      <c r="I1129" s="4">
        <v>46014</v>
      </c>
      <c r="J1129" s="4">
        <v>46044</v>
      </c>
      <c r="K1129" t="s">
        <v>17</v>
      </c>
      <c r="L1129" t="s">
        <v>32</v>
      </c>
      <c r="M1129" t="s">
        <v>19</v>
      </c>
      <c r="N1129" t="s">
        <v>100</v>
      </c>
      <c r="O1129">
        <v>30</v>
      </c>
    </row>
    <row r="1130" spans="1:15" hidden="1" x14ac:dyDescent="0.25">
      <c r="A1130" t="s">
        <v>2820</v>
      </c>
      <c r="B1130" t="s">
        <v>82</v>
      </c>
      <c r="C1130" t="s">
        <v>83</v>
      </c>
      <c r="D1130" t="s">
        <v>15</v>
      </c>
      <c r="E1130" t="s">
        <v>2589</v>
      </c>
      <c r="F1130" s="3">
        <v>8400000</v>
      </c>
      <c r="G1130" s="2">
        <f t="shared" si="34"/>
        <v>30</v>
      </c>
      <c r="H1130" s="2">
        <f t="shared" ca="1" si="35"/>
        <v>106</v>
      </c>
      <c r="I1130" s="4">
        <v>46014</v>
      </c>
      <c r="J1130" s="4">
        <v>46044</v>
      </c>
      <c r="K1130" t="s">
        <v>17</v>
      </c>
      <c r="L1130" t="s">
        <v>32</v>
      </c>
      <c r="M1130" t="s">
        <v>19</v>
      </c>
      <c r="N1130" t="s">
        <v>84</v>
      </c>
      <c r="O1130">
        <v>30</v>
      </c>
    </row>
    <row r="1131" spans="1:15" hidden="1" x14ac:dyDescent="0.25">
      <c r="A1131" t="s">
        <v>2820</v>
      </c>
      <c r="B1131" t="s">
        <v>1436</v>
      </c>
      <c r="C1131" t="s">
        <v>1437</v>
      </c>
      <c r="D1131" t="s">
        <v>1438</v>
      </c>
      <c r="E1131" t="s">
        <v>2590</v>
      </c>
      <c r="F1131" s="3">
        <v>1465319</v>
      </c>
      <c r="G1131" s="2">
        <f t="shared" si="34"/>
        <v>30</v>
      </c>
      <c r="H1131" s="2">
        <f t="shared" ca="1" si="35"/>
        <v>106</v>
      </c>
      <c r="I1131" s="4">
        <v>46014</v>
      </c>
      <c r="J1131" s="4">
        <v>46044</v>
      </c>
      <c r="K1131" t="s">
        <v>17</v>
      </c>
      <c r="L1131" t="s">
        <v>90</v>
      </c>
      <c r="M1131" t="s">
        <v>19</v>
      </c>
      <c r="N1131" t="s">
        <v>1439</v>
      </c>
      <c r="O1131">
        <v>30</v>
      </c>
    </row>
    <row r="1132" spans="1:15" hidden="1" x14ac:dyDescent="0.25">
      <c r="A1132" t="s">
        <v>2820</v>
      </c>
      <c r="B1132" t="s">
        <v>1905</v>
      </c>
      <c r="C1132" t="s">
        <v>2124</v>
      </c>
      <c r="D1132" t="s">
        <v>15</v>
      </c>
      <c r="E1132" t="s">
        <v>2712</v>
      </c>
      <c r="F1132" s="3">
        <v>289000</v>
      </c>
      <c r="G1132" s="2">
        <f t="shared" si="34"/>
        <v>30</v>
      </c>
      <c r="H1132" s="2">
        <f t="shared" ca="1" si="35"/>
        <v>106</v>
      </c>
      <c r="I1132" s="4">
        <v>46014</v>
      </c>
      <c r="J1132" s="4">
        <v>46044</v>
      </c>
      <c r="K1132" t="s">
        <v>17</v>
      </c>
      <c r="L1132" t="s">
        <v>32</v>
      </c>
      <c r="M1132" t="s">
        <v>19</v>
      </c>
      <c r="N1132" t="s">
        <v>1906</v>
      </c>
      <c r="O1132">
        <v>30</v>
      </c>
    </row>
    <row r="1133" spans="1:15" hidden="1" x14ac:dyDescent="0.25">
      <c r="A1133" t="s">
        <v>2820</v>
      </c>
      <c r="B1133" t="s">
        <v>101</v>
      </c>
      <c r="C1133" t="s">
        <v>102</v>
      </c>
      <c r="D1133" t="s">
        <v>15</v>
      </c>
      <c r="E1133" t="s">
        <v>2713</v>
      </c>
      <c r="F1133" s="3">
        <v>1472265</v>
      </c>
      <c r="G1133" s="2">
        <f t="shared" si="34"/>
        <v>30</v>
      </c>
      <c r="H1133" s="2">
        <f t="shared" ca="1" si="35"/>
        <v>106</v>
      </c>
      <c r="I1133" s="4">
        <v>46014</v>
      </c>
      <c r="J1133" s="4">
        <v>46044</v>
      </c>
      <c r="K1133" t="s">
        <v>17</v>
      </c>
      <c r="L1133" t="s">
        <v>32</v>
      </c>
      <c r="M1133" t="s">
        <v>19</v>
      </c>
      <c r="N1133" t="s">
        <v>103</v>
      </c>
      <c r="O1133">
        <v>30</v>
      </c>
    </row>
    <row r="1134" spans="1:15" hidden="1" x14ac:dyDescent="0.25">
      <c r="A1134" t="s">
        <v>2820</v>
      </c>
      <c r="B1134" t="s">
        <v>1994</v>
      </c>
      <c r="C1134" t="s">
        <v>1995</v>
      </c>
      <c r="D1134" t="s">
        <v>15</v>
      </c>
      <c r="E1134" t="s">
        <v>2714</v>
      </c>
      <c r="F1134" s="3">
        <v>2039934</v>
      </c>
      <c r="G1134" s="2">
        <f t="shared" si="34"/>
        <v>30</v>
      </c>
      <c r="H1134" s="2">
        <f t="shared" ca="1" si="35"/>
        <v>106</v>
      </c>
      <c r="I1134" s="4">
        <v>46014</v>
      </c>
      <c r="J1134" s="4">
        <v>46044</v>
      </c>
      <c r="K1134" t="s">
        <v>17</v>
      </c>
      <c r="L1134" t="s">
        <v>32</v>
      </c>
      <c r="M1134" t="s">
        <v>19</v>
      </c>
      <c r="N1134" t="s">
        <v>142</v>
      </c>
      <c r="O1134">
        <v>30</v>
      </c>
    </row>
    <row r="1135" spans="1:15" hidden="1" x14ac:dyDescent="0.25">
      <c r="A1135" t="s">
        <v>2820</v>
      </c>
      <c r="B1135" t="s">
        <v>98</v>
      </c>
      <c r="C1135" t="s">
        <v>99</v>
      </c>
      <c r="D1135" t="s">
        <v>15</v>
      </c>
      <c r="E1135" t="s">
        <v>2715</v>
      </c>
      <c r="F1135" s="3">
        <v>269999</v>
      </c>
      <c r="G1135" s="2">
        <f t="shared" si="34"/>
        <v>30</v>
      </c>
      <c r="H1135" s="2">
        <f t="shared" ca="1" si="35"/>
        <v>106</v>
      </c>
      <c r="I1135" s="4">
        <v>46014</v>
      </c>
      <c r="J1135" s="4">
        <v>46044</v>
      </c>
      <c r="K1135" t="s">
        <v>17</v>
      </c>
      <c r="L1135" t="s">
        <v>32</v>
      </c>
      <c r="M1135" t="s">
        <v>19</v>
      </c>
      <c r="N1135" t="s">
        <v>100</v>
      </c>
      <c r="O1135">
        <v>30</v>
      </c>
    </row>
    <row r="1136" spans="1:15" hidden="1" x14ac:dyDescent="0.25">
      <c r="A1136" t="s">
        <v>2820</v>
      </c>
      <c r="B1136" t="s">
        <v>67</v>
      </c>
      <c r="C1136" t="s">
        <v>68</v>
      </c>
      <c r="D1136" t="s">
        <v>15</v>
      </c>
      <c r="E1136" t="s">
        <v>2716</v>
      </c>
      <c r="F1136" s="3">
        <v>2120000</v>
      </c>
      <c r="G1136" s="2">
        <f t="shared" si="34"/>
        <v>10</v>
      </c>
      <c r="H1136" s="2">
        <f t="shared" ca="1" si="35"/>
        <v>106</v>
      </c>
      <c r="I1136" s="4">
        <v>46014</v>
      </c>
      <c r="J1136" s="4">
        <v>46024</v>
      </c>
      <c r="K1136" t="s">
        <v>17</v>
      </c>
      <c r="L1136" t="s">
        <v>32</v>
      </c>
      <c r="M1136" t="s">
        <v>19</v>
      </c>
      <c r="N1136" t="s">
        <v>69</v>
      </c>
      <c r="O1136">
        <v>30</v>
      </c>
    </row>
    <row r="1137" spans="1:15" hidden="1" x14ac:dyDescent="0.25">
      <c r="A1137" t="s">
        <v>2820</v>
      </c>
      <c r="B1137" t="s">
        <v>79</v>
      </c>
      <c r="C1137" t="s">
        <v>80</v>
      </c>
      <c r="D1137" t="s">
        <v>46</v>
      </c>
      <c r="E1137" t="s">
        <v>2717</v>
      </c>
      <c r="F1137" s="3">
        <v>73199</v>
      </c>
      <c r="G1137" s="2">
        <f t="shared" si="34"/>
        <v>30</v>
      </c>
      <c r="H1137" s="2">
        <f t="shared" ca="1" si="35"/>
        <v>106</v>
      </c>
      <c r="I1137" s="4">
        <v>46014</v>
      </c>
      <c r="J1137" s="4">
        <v>46044</v>
      </c>
      <c r="K1137" t="s">
        <v>17</v>
      </c>
      <c r="L1137" t="s">
        <v>32</v>
      </c>
      <c r="M1137" t="s">
        <v>19</v>
      </c>
      <c r="N1137" t="s">
        <v>81</v>
      </c>
      <c r="O1137">
        <v>30</v>
      </c>
    </row>
    <row r="1138" spans="1:15" hidden="1" x14ac:dyDescent="0.25">
      <c r="A1138" t="s">
        <v>2820</v>
      </c>
      <c r="B1138" t="s">
        <v>79</v>
      </c>
      <c r="C1138" t="s">
        <v>80</v>
      </c>
      <c r="D1138" t="s">
        <v>46</v>
      </c>
      <c r="E1138" t="s">
        <v>2718</v>
      </c>
      <c r="F1138" s="3">
        <v>554397</v>
      </c>
      <c r="G1138" s="2">
        <f t="shared" si="34"/>
        <v>30</v>
      </c>
      <c r="H1138" s="2">
        <f t="shared" ca="1" si="35"/>
        <v>106</v>
      </c>
      <c r="I1138" s="4">
        <v>46014</v>
      </c>
      <c r="J1138" s="4">
        <v>46044</v>
      </c>
      <c r="K1138" t="s">
        <v>17</v>
      </c>
      <c r="L1138" t="s">
        <v>32</v>
      </c>
      <c r="M1138" t="s">
        <v>19</v>
      </c>
      <c r="N1138" t="s">
        <v>81</v>
      </c>
      <c r="O1138">
        <v>30</v>
      </c>
    </row>
    <row r="1139" spans="1:15" hidden="1" x14ac:dyDescent="0.25">
      <c r="A1139" t="s">
        <v>2820</v>
      </c>
      <c r="B1139" t="s">
        <v>55</v>
      </c>
      <c r="C1139" t="s">
        <v>56</v>
      </c>
      <c r="D1139" t="s">
        <v>46</v>
      </c>
      <c r="E1139" t="s">
        <v>2719</v>
      </c>
      <c r="F1139" s="3">
        <v>2934378</v>
      </c>
      <c r="G1139" s="2">
        <f t="shared" si="34"/>
        <v>30</v>
      </c>
      <c r="H1139" s="2">
        <f t="shared" ca="1" si="35"/>
        <v>106</v>
      </c>
      <c r="I1139" s="4">
        <v>46014</v>
      </c>
      <c r="J1139" s="4">
        <v>46044</v>
      </c>
      <c r="K1139" t="s">
        <v>17</v>
      </c>
      <c r="L1139" t="s">
        <v>32</v>
      </c>
      <c r="M1139" t="s">
        <v>19</v>
      </c>
      <c r="N1139" t="s">
        <v>57</v>
      </c>
      <c r="O1139">
        <v>30</v>
      </c>
    </row>
    <row r="1140" spans="1:15" hidden="1" x14ac:dyDescent="0.25">
      <c r="A1140" t="s">
        <v>2820</v>
      </c>
      <c r="B1140" t="s">
        <v>310</v>
      </c>
      <c r="C1140" t="s">
        <v>311</v>
      </c>
      <c r="D1140" t="s">
        <v>15</v>
      </c>
      <c r="E1140" t="s">
        <v>2597</v>
      </c>
      <c r="F1140" s="3">
        <v>719362</v>
      </c>
      <c r="G1140" s="2">
        <f t="shared" si="34"/>
        <v>30</v>
      </c>
      <c r="H1140" s="2">
        <f t="shared" ca="1" si="35"/>
        <v>106</v>
      </c>
      <c r="I1140" s="4">
        <v>46014</v>
      </c>
      <c r="J1140" s="4">
        <v>46044</v>
      </c>
      <c r="K1140" t="s">
        <v>17</v>
      </c>
      <c r="L1140" t="s">
        <v>312</v>
      </c>
      <c r="M1140" t="s">
        <v>19</v>
      </c>
      <c r="N1140" t="s">
        <v>313</v>
      </c>
      <c r="O1140">
        <v>30</v>
      </c>
    </row>
    <row r="1141" spans="1:15" hidden="1" x14ac:dyDescent="0.25">
      <c r="A1141" t="s">
        <v>2820</v>
      </c>
      <c r="B1141" t="s">
        <v>2073</v>
      </c>
      <c r="C1141" t="s">
        <v>2074</v>
      </c>
      <c r="D1141" t="s">
        <v>15</v>
      </c>
      <c r="E1141" t="s">
        <v>2733</v>
      </c>
      <c r="F1141" s="3">
        <v>212000</v>
      </c>
      <c r="G1141" s="2">
        <f t="shared" si="34"/>
        <v>30</v>
      </c>
      <c r="H1141" s="2">
        <f t="shared" ca="1" si="35"/>
        <v>106</v>
      </c>
      <c r="I1141" s="4">
        <v>46014</v>
      </c>
      <c r="J1141" s="4">
        <v>46044</v>
      </c>
      <c r="K1141" t="s">
        <v>17</v>
      </c>
      <c r="L1141" t="s">
        <v>32</v>
      </c>
      <c r="M1141" t="s">
        <v>19</v>
      </c>
      <c r="N1141" t="s">
        <v>2075</v>
      </c>
      <c r="O1141">
        <v>30</v>
      </c>
    </row>
    <row r="1142" spans="1:15" hidden="1" x14ac:dyDescent="0.25">
      <c r="A1142" t="s">
        <v>2820</v>
      </c>
      <c r="B1142" t="s">
        <v>654</v>
      </c>
      <c r="C1142" t="s">
        <v>655</v>
      </c>
      <c r="D1142" t="s">
        <v>642</v>
      </c>
      <c r="E1142" t="s">
        <v>2611</v>
      </c>
      <c r="F1142" s="3">
        <v>2765200</v>
      </c>
      <c r="G1142" s="2">
        <f t="shared" si="34"/>
        <v>30</v>
      </c>
      <c r="H1142" s="2">
        <f t="shared" ca="1" si="35"/>
        <v>106</v>
      </c>
      <c r="I1142" s="4">
        <v>46014</v>
      </c>
      <c r="J1142" s="4">
        <v>46044</v>
      </c>
      <c r="K1142" t="s">
        <v>638</v>
      </c>
      <c r="L1142" t="s">
        <v>18</v>
      </c>
      <c r="M1142" t="s">
        <v>19</v>
      </c>
      <c r="N1142" t="s">
        <v>656</v>
      </c>
      <c r="O1142">
        <v>30</v>
      </c>
    </row>
    <row r="1143" spans="1:15" hidden="1" x14ac:dyDescent="0.25">
      <c r="A1143" t="s">
        <v>2820</v>
      </c>
      <c r="B1143" t="s">
        <v>654</v>
      </c>
      <c r="C1143" t="s">
        <v>655</v>
      </c>
      <c r="D1143" t="s">
        <v>642</v>
      </c>
      <c r="E1143" t="s">
        <v>2612</v>
      </c>
      <c r="F1143" s="3">
        <v>642333</v>
      </c>
      <c r="G1143" s="2">
        <f t="shared" si="34"/>
        <v>30</v>
      </c>
      <c r="H1143" s="2">
        <f t="shared" ca="1" si="35"/>
        <v>106</v>
      </c>
      <c r="I1143" s="4">
        <v>46014</v>
      </c>
      <c r="J1143" s="4">
        <v>46044</v>
      </c>
      <c r="K1143" t="s">
        <v>638</v>
      </c>
      <c r="L1143" t="s">
        <v>18</v>
      </c>
      <c r="M1143" t="s">
        <v>19</v>
      </c>
      <c r="N1143" t="s">
        <v>656</v>
      </c>
      <c r="O1143">
        <v>30</v>
      </c>
    </row>
    <row r="1144" spans="1:15" hidden="1" x14ac:dyDescent="0.25">
      <c r="A1144" t="s">
        <v>2820</v>
      </c>
      <c r="B1144" t="s">
        <v>1922</v>
      </c>
      <c r="C1144" t="s">
        <v>1923</v>
      </c>
      <c r="D1144" t="s">
        <v>336</v>
      </c>
      <c r="E1144" t="s">
        <v>2613</v>
      </c>
      <c r="F1144" s="3">
        <v>1004776</v>
      </c>
      <c r="G1144" s="2">
        <f t="shared" si="34"/>
        <v>30</v>
      </c>
      <c r="H1144" s="2">
        <f t="shared" ca="1" si="35"/>
        <v>106</v>
      </c>
      <c r="I1144" s="4">
        <v>46014</v>
      </c>
      <c r="J1144" s="4">
        <v>46044</v>
      </c>
      <c r="K1144" t="s">
        <v>638</v>
      </c>
      <c r="L1144" t="s">
        <v>18</v>
      </c>
      <c r="M1144" t="s">
        <v>19</v>
      </c>
      <c r="N1144" t="s">
        <v>1924</v>
      </c>
      <c r="O1144">
        <v>30</v>
      </c>
    </row>
    <row r="1145" spans="1:15" hidden="1" x14ac:dyDescent="0.25">
      <c r="A1145" t="s">
        <v>2820</v>
      </c>
      <c r="B1145" t="s">
        <v>1922</v>
      </c>
      <c r="C1145" t="s">
        <v>1923</v>
      </c>
      <c r="D1145" t="s">
        <v>336</v>
      </c>
      <c r="E1145" t="s">
        <v>2614</v>
      </c>
      <c r="F1145" s="3">
        <v>1011800</v>
      </c>
      <c r="G1145" s="2">
        <f t="shared" si="34"/>
        <v>30</v>
      </c>
      <c r="H1145" s="2">
        <f t="shared" ca="1" si="35"/>
        <v>106</v>
      </c>
      <c r="I1145" s="4">
        <v>46014</v>
      </c>
      <c r="J1145" s="4">
        <v>46044</v>
      </c>
      <c r="K1145" t="s">
        <v>638</v>
      </c>
      <c r="L1145" t="s">
        <v>18</v>
      </c>
      <c r="M1145" t="s">
        <v>19</v>
      </c>
      <c r="N1145" t="s">
        <v>1924</v>
      </c>
      <c r="O1145">
        <v>30</v>
      </c>
    </row>
    <row r="1146" spans="1:15" hidden="1" x14ac:dyDescent="0.25">
      <c r="A1146" t="s">
        <v>2820</v>
      </c>
      <c r="B1146" t="s">
        <v>1095</v>
      </c>
      <c r="C1146" t="s">
        <v>1096</v>
      </c>
      <c r="D1146" t="s">
        <v>320</v>
      </c>
      <c r="E1146" t="s">
        <v>2738</v>
      </c>
      <c r="F1146" s="3">
        <v>1507729</v>
      </c>
      <c r="G1146" s="2">
        <f t="shared" si="34"/>
        <v>30</v>
      </c>
      <c r="H1146" s="2">
        <f t="shared" ca="1" si="35"/>
        <v>106</v>
      </c>
      <c r="I1146" s="4">
        <v>46014</v>
      </c>
      <c r="J1146" s="4">
        <v>46044</v>
      </c>
      <c r="K1146" t="s">
        <v>1068</v>
      </c>
      <c r="L1146" t="s">
        <v>207</v>
      </c>
      <c r="M1146" t="s">
        <v>19</v>
      </c>
      <c r="N1146" t="s">
        <v>1097</v>
      </c>
      <c r="O1146">
        <v>30</v>
      </c>
    </row>
    <row r="1147" spans="1:15" hidden="1" x14ac:dyDescent="0.25">
      <c r="A1147" t="s">
        <v>2820</v>
      </c>
      <c r="B1147" t="s">
        <v>1964</v>
      </c>
      <c r="C1147" t="s">
        <v>1965</v>
      </c>
      <c r="D1147" t="s">
        <v>1066</v>
      </c>
      <c r="E1147" t="s">
        <v>2739</v>
      </c>
      <c r="F1147" s="3">
        <v>893705</v>
      </c>
      <c r="G1147" s="2">
        <f t="shared" si="34"/>
        <v>30</v>
      </c>
      <c r="H1147" s="2">
        <f t="shared" ca="1" si="35"/>
        <v>106</v>
      </c>
      <c r="I1147" s="4">
        <v>46014</v>
      </c>
      <c r="J1147" s="4">
        <v>46044</v>
      </c>
      <c r="K1147" t="s">
        <v>1068</v>
      </c>
      <c r="L1147" t="s">
        <v>207</v>
      </c>
      <c r="M1147" t="s">
        <v>19</v>
      </c>
      <c r="N1147" t="s">
        <v>1966</v>
      </c>
      <c r="O1147">
        <v>30</v>
      </c>
    </row>
    <row r="1148" spans="1:15" hidden="1" x14ac:dyDescent="0.25">
      <c r="A1148" t="s">
        <v>2820</v>
      </c>
      <c r="B1148" t="s">
        <v>1107</v>
      </c>
      <c r="C1148" t="s">
        <v>1108</v>
      </c>
      <c r="D1148" t="s">
        <v>320</v>
      </c>
      <c r="E1148" t="s">
        <v>2740</v>
      </c>
      <c r="F1148" s="3">
        <v>783173</v>
      </c>
      <c r="G1148" s="2">
        <f t="shared" si="34"/>
        <v>30</v>
      </c>
      <c r="H1148" s="2">
        <f t="shared" ca="1" si="35"/>
        <v>106</v>
      </c>
      <c r="I1148" s="4">
        <v>46014</v>
      </c>
      <c r="J1148" s="4">
        <v>46044</v>
      </c>
      <c r="K1148" t="s">
        <v>1068</v>
      </c>
      <c r="L1148" t="s">
        <v>207</v>
      </c>
      <c r="M1148" t="s">
        <v>19</v>
      </c>
      <c r="N1148" t="s">
        <v>1109</v>
      </c>
      <c r="O1148">
        <v>30</v>
      </c>
    </row>
    <row r="1149" spans="1:15" hidden="1" x14ac:dyDescent="0.25">
      <c r="A1149" t="s">
        <v>2820</v>
      </c>
      <c r="B1149" t="s">
        <v>1107</v>
      </c>
      <c r="C1149" t="s">
        <v>1108</v>
      </c>
      <c r="D1149" t="s">
        <v>320</v>
      </c>
      <c r="E1149" t="s">
        <v>2741</v>
      </c>
      <c r="F1149" s="3">
        <v>6014003</v>
      </c>
      <c r="G1149" s="2">
        <f t="shared" si="34"/>
        <v>30</v>
      </c>
      <c r="H1149" s="2">
        <f t="shared" ca="1" si="35"/>
        <v>106</v>
      </c>
      <c r="I1149" s="4">
        <v>46014</v>
      </c>
      <c r="J1149" s="4">
        <v>46044</v>
      </c>
      <c r="K1149" t="s">
        <v>1068</v>
      </c>
      <c r="L1149" t="s">
        <v>207</v>
      </c>
      <c r="M1149" t="s">
        <v>19</v>
      </c>
      <c r="N1149" t="s">
        <v>1109</v>
      </c>
      <c r="O1149">
        <v>30</v>
      </c>
    </row>
    <row r="1150" spans="1:15" hidden="1" x14ac:dyDescent="0.25">
      <c r="A1150" t="s">
        <v>2820</v>
      </c>
      <c r="B1150" t="s">
        <v>1112</v>
      </c>
      <c r="C1150" t="s">
        <v>1113</v>
      </c>
      <c r="D1150" t="s">
        <v>320</v>
      </c>
      <c r="E1150" t="s">
        <v>2742</v>
      </c>
      <c r="F1150" s="3">
        <v>3630011</v>
      </c>
      <c r="G1150" s="2">
        <f t="shared" si="34"/>
        <v>30</v>
      </c>
      <c r="H1150" s="2">
        <f t="shared" ca="1" si="35"/>
        <v>106</v>
      </c>
      <c r="I1150" s="4">
        <v>46014</v>
      </c>
      <c r="J1150" s="4">
        <v>46044</v>
      </c>
      <c r="K1150" t="s">
        <v>1068</v>
      </c>
      <c r="L1150" t="s">
        <v>207</v>
      </c>
      <c r="M1150" t="s">
        <v>19</v>
      </c>
      <c r="N1150" t="s">
        <v>1114</v>
      </c>
      <c r="O1150">
        <v>30</v>
      </c>
    </row>
    <row r="1151" spans="1:15" hidden="1" x14ac:dyDescent="0.25">
      <c r="A1151" t="s">
        <v>2820</v>
      </c>
      <c r="B1151" t="s">
        <v>1101</v>
      </c>
      <c r="C1151" t="s">
        <v>1102</v>
      </c>
      <c r="D1151" t="s">
        <v>1066</v>
      </c>
      <c r="E1151" t="s">
        <v>2743</v>
      </c>
      <c r="F1151" s="3">
        <v>693122</v>
      </c>
      <c r="G1151" s="2">
        <f t="shared" si="34"/>
        <v>30</v>
      </c>
      <c r="H1151" s="2">
        <f t="shared" ca="1" si="35"/>
        <v>106</v>
      </c>
      <c r="I1151" s="4">
        <v>46014</v>
      </c>
      <c r="J1151" s="4">
        <v>46044</v>
      </c>
      <c r="K1151" t="s">
        <v>1068</v>
      </c>
      <c r="L1151" t="s">
        <v>207</v>
      </c>
      <c r="M1151" t="s">
        <v>19</v>
      </c>
      <c r="N1151" t="s">
        <v>1103</v>
      </c>
      <c r="O1151">
        <v>30</v>
      </c>
    </row>
    <row r="1152" spans="1:15" hidden="1" x14ac:dyDescent="0.25">
      <c r="A1152" t="s">
        <v>2820</v>
      </c>
      <c r="B1152" t="s">
        <v>1098</v>
      </c>
      <c r="C1152" t="s">
        <v>1099</v>
      </c>
      <c r="D1152" t="s">
        <v>1066</v>
      </c>
      <c r="E1152" t="s">
        <v>2744</v>
      </c>
      <c r="F1152" s="3">
        <v>1923748</v>
      </c>
      <c r="G1152" s="2">
        <f t="shared" si="34"/>
        <v>30</v>
      </c>
      <c r="H1152" s="2">
        <f t="shared" ca="1" si="35"/>
        <v>106</v>
      </c>
      <c r="I1152" s="4">
        <v>46014</v>
      </c>
      <c r="J1152" s="4">
        <v>46044</v>
      </c>
      <c r="K1152" t="s">
        <v>1068</v>
      </c>
      <c r="L1152" t="s">
        <v>207</v>
      </c>
      <c r="M1152" t="s">
        <v>19</v>
      </c>
      <c r="N1152" t="s">
        <v>1100</v>
      </c>
      <c r="O1152">
        <v>30</v>
      </c>
    </row>
    <row r="1153" spans="1:15" hidden="1" x14ac:dyDescent="0.25">
      <c r="A1153" t="s">
        <v>2820</v>
      </c>
      <c r="B1153" t="s">
        <v>1110</v>
      </c>
      <c r="C1153" t="s">
        <v>1111</v>
      </c>
      <c r="D1153" t="s">
        <v>320</v>
      </c>
      <c r="E1153" t="s">
        <v>2745</v>
      </c>
      <c r="F1153" s="3">
        <v>1376393</v>
      </c>
      <c r="G1153" s="2">
        <f t="shared" si="34"/>
        <v>30</v>
      </c>
      <c r="H1153" s="2">
        <f t="shared" ca="1" si="35"/>
        <v>106</v>
      </c>
      <c r="I1153" s="4">
        <v>46014</v>
      </c>
      <c r="J1153" s="4">
        <v>46044</v>
      </c>
      <c r="K1153" t="s">
        <v>1068</v>
      </c>
      <c r="L1153" t="s">
        <v>207</v>
      </c>
      <c r="M1153" t="s">
        <v>19</v>
      </c>
      <c r="N1153" t="s">
        <v>149</v>
      </c>
      <c r="O1153">
        <v>30</v>
      </c>
    </row>
    <row r="1154" spans="1:15" hidden="1" x14ac:dyDescent="0.25">
      <c r="A1154" t="s">
        <v>2820</v>
      </c>
      <c r="B1154" t="s">
        <v>1104</v>
      </c>
      <c r="C1154" t="s">
        <v>1105</v>
      </c>
      <c r="D1154" t="s">
        <v>1066</v>
      </c>
      <c r="E1154" t="s">
        <v>2746</v>
      </c>
      <c r="F1154" s="3">
        <v>3796234</v>
      </c>
      <c r="G1154" s="2">
        <f t="shared" ref="G1154:G1217" si="36">+J1154-I1154</f>
        <v>30</v>
      </c>
      <c r="H1154" s="2">
        <f t="shared" ref="H1154:H1217" ca="1" si="37">+TODAY()-I1154</f>
        <v>106</v>
      </c>
      <c r="I1154" s="4">
        <v>46014</v>
      </c>
      <c r="J1154" s="4">
        <v>46044</v>
      </c>
      <c r="K1154" t="s">
        <v>1068</v>
      </c>
      <c r="L1154" t="s">
        <v>207</v>
      </c>
      <c r="M1154" t="s">
        <v>19</v>
      </c>
      <c r="N1154" t="s">
        <v>1106</v>
      </c>
      <c r="O1154">
        <v>30</v>
      </c>
    </row>
    <row r="1155" spans="1:15" hidden="1" x14ac:dyDescent="0.25">
      <c r="A1155" t="s">
        <v>2820</v>
      </c>
      <c r="B1155" t="s">
        <v>1234</v>
      </c>
      <c r="C1155" t="s">
        <v>1235</v>
      </c>
      <c r="D1155" t="s">
        <v>340</v>
      </c>
      <c r="E1155" t="s">
        <v>2757</v>
      </c>
      <c r="F1155" s="3">
        <v>1272000</v>
      </c>
      <c r="G1155" s="2">
        <f t="shared" si="36"/>
        <v>30</v>
      </c>
      <c r="H1155" s="2">
        <f t="shared" ca="1" si="37"/>
        <v>106</v>
      </c>
      <c r="I1155" s="4">
        <v>46014</v>
      </c>
      <c r="J1155" s="4">
        <v>46044</v>
      </c>
      <c r="K1155" t="s">
        <v>1233</v>
      </c>
      <c r="L1155" t="s">
        <v>18</v>
      </c>
      <c r="M1155" t="s">
        <v>19</v>
      </c>
      <c r="N1155" t="s">
        <v>1236</v>
      </c>
      <c r="O1155">
        <v>30</v>
      </c>
    </row>
    <row r="1156" spans="1:15" hidden="1" x14ac:dyDescent="0.25">
      <c r="A1156" t="s">
        <v>2820</v>
      </c>
      <c r="B1156" t="s">
        <v>1446</v>
      </c>
      <c r="C1156" t="s">
        <v>1447</v>
      </c>
      <c r="D1156" t="s">
        <v>1401</v>
      </c>
      <c r="E1156" t="s">
        <v>2667</v>
      </c>
      <c r="F1156" s="3">
        <v>224601</v>
      </c>
      <c r="G1156" s="2">
        <f t="shared" si="36"/>
        <v>30</v>
      </c>
      <c r="H1156" s="2">
        <f t="shared" ca="1" si="37"/>
        <v>106</v>
      </c>
      <c r="I1156" s="4">
        <v>46014</v>
      </c>
      <c r="J1156" s="4">
        <v>46044</v>
      </c>
      <c r="K1156" t="s">
        <v>1403</v>
      </c>
      <c r="L1156" t="s">
        <v>90</v>
      </c>
      <c r="M1156" t="s">
        <v>19</v>
      </c>
      <c r="N1156" t="s">
        <v>1448</v>
      </c>
      <c r="O1156">
        <v>30</v>
      </c>
    </row>
    <row r="1157" spans="1:15" hidden="1" x14ac:dyDescent="0.25">
      <c r="A1157" t="s">
        <v>2820</v>
      </c>
      <c r="B1157" t="s">
        <v>1446</v>
      </c>
      <c r="C1157" t="s">
        <v>1447</v>
      </c>
      <c r="D1157" t="s">
        <v>1401</v>
      </c>
      <c r="E1157" t="s">
        <v>2668</v>
      </c>
      <c r="F1157" s="3">
        <v>2140000</v>
      </c>
      <c r="G1157" s="2">
        <f t="shared" si="36"/>
        <v>30</v>
      </c>
      <c r="H1157" s="2">
        <f t="shared" ca="1" si="37"/>
        <v>106</v>
      </c>
      <c r="I1157" s="4">
        <v>46014</v>
      </c>
      <c r="J1157" s="4">
        <v>46044</v>
      </c>
      <c r="K1157" t="s">
        <v>1403</v>
      </c>
      <c r="L1157" t="s">
        <v>90</v>
      </c>
      <c r="M1157" t="s">
        <v>19</v>
      </c>
      <c r="N1157" t="s">
        <v>1448</v>
      </c>
      <c r="O1157">
        <v>30</v>
      </c>
    </row>
    <row r="1158" spans="1:15" hidden="1" x14ac:dyDescent="0.25">
      <c r="A1158" t="s">
        <v>2820</v>
      </c>
      <c r="B1158" t="s">
        <v>1449</v>
      </c>
      <c r="C1158" t="s">
        <v>1450</v>
      </c>
      <c r="D1158" t="s">
        <v>15</v>
      </c>
      <c r="E1158" t="s">
        <v>2669</v>
      </c>
      <c r="F1158" s="3">
        <v>6935022</v>
      </c>
      <c r="G1158" s="2">
        <f t="shared" si="36"/>
        <v>30</v>
      </c>
      <c r="H1158" s="2">
        <f t="shared" ca="1" si="37"/>
        <v>106</v>
      </c>
      <c r="I1158" s="4">
        <v>46014</v>
      </c>
      <c r="J1158" s="4">
        <v>46044</v>
      </c>
      <c r="K1158" t="s">
        <v>1403</v>
      </c>
      <c r="L1158" t="s">
        <v>90</v>
      </c>
      <c r="M1158" t="s">
        <v>19</v>
      </c>
      <c r="N1158" t="s">
        <v>1451</v>
      </c>
      <c r="O1158">
        <v>30</v>
      </c>
    </row>
    <row r="1159" spans="1:15" hidden="1" x14ac:dyDescent="0.25">
      <c r="A1159" t="s">
        <v>2820</v>
      </c>
      <c r="B1159" t="s">
        <v>1409</v>
      </c>
      <c r="C1159" t="s">
        <v>1410</v>
      </c>
      <c r="D1159" t="s">
        <v>875</v>
      </c>
      <c r="E1159" t="s">
        <v>2670</v>
      </c>
      <c r="F1159" s="3">
        <v>250983</v>
      </c>
      <c r="G1159" s="2">
        <f t="shared" si="36"/>
        <v>30</v>
      </c>
      <c r="H1159" s="2">
        <f t="shared" ca="1" si="37"/>
        <v>106</v>
      </c>
      <c r="I1159" s="4">
        <v>46014</v>
      </c>
      <c r="J1159" s="4">
        <v>46044</v>
      </c>
      <c r="K1159" t="s">
        <v>1403</v>
      </c>
      <c r="L1159" t="s">
        <v>90</v>
      </c>
      <c r="M1159" t="s">
        <v>19</v>
      </c>
      <c r="N1159" t="s">
        <v>1411</v>
      </c>
      <c r="O1159">
        <v>30</v>
      </c>
    </row>
    <row r="1160" spans="1:15" hidden="1" x14ac:dyDescent="0.25">
      <c r="A1160" t="s">
        <v>2820</v>
      </c>
      <c r="B1160" t="s">
        <v>1409</v>
      </c>
      <c r="C1160" t="s">
        <v>1410</v>
      </c>
      <c r="D1160" t="s">
        <v>875</v>
      </c>
      <c r="E1160" t="s">
        <v>2671</v>
      </c>
      <c r="F1160" s="3">
        <v>3267078</v>
      </c>
      <c r="G1160" s="2">
        <f t="shared" si="36"/>
        <v>30</v>
      </c>
      <c r="H1160" s="2">
        <f t="shared" ca="1" si="37"/>
        <v>106</v>
      </c>
      <c r="I1160" s="4">
        <v>46014</v>
      </c>
      <c r="J1160" s="4">
        <v>46044</v>
      </c>
      <c r="K1160" t="s">
        <v>1403</v>
      </c>
      <c r="L1160" t="s">
        <v>90</v>
      </c>
      <c r="M1160" t="s">
        <v>19</v>
      </c>
      <c r="N1160" t="s">
        <v>1411</v>
      </c>
      <c r="O1160">
        <v>30</v>
      </c>
    </row>
    <row r="1161" spans="1:15" hidden="1" x14ac:dyDescent="0.25">
      <c r="A1161" t="s">
        <v>2820</v>
      </c>
      <c r="B1161" t="s">
        <v>1948</v>
      </c>
      <c r="C1161" t="s">
        <v>1949</v>
      </c>
      <c r="D1161" t="s">
        <v>1401</v>
      </c>
      <c r="E1161" t="s">
        <v>2778</v>
      </c>
      <c r="F1161" s="3">
        <v>4151197</v>
      </c>
      <c r="G1161" s="2">
        <f t="shared" si="36"/>
        <v>30</v>
      </c>
      <c r="H1161" s="2">
        <f t="shared" ca="1" si="37"/>
        <v>106</v>
      </c>
      <c r="I1161" s="4">
        <v>46014</v>
      </c>
      <c r="J1161" s="4">
        <v>46044</v>
      </c>
      <c r="K1161" t="s">
        <v>1403</v>
      </c>
      <c r="L1161" t="s">
        <v>90</v>
      </c>
      <c r="M1161" t="s">
        <v>391</v>
      </c>
      <c r="N1161" t="s">
        <v>1950</v>
      </c>
      <c r="O1161">
        <v>30</v>
      </c>
    </row>
    <row r="1162" spans="1:15" hidden="1" x14ac:dyDescent="0.25">
      <c r="A1162" t="s">
        <v>2820</v>
      </c>
      <c r="B1162" t="s">
        <v>1948</v>
      </c>
      <c r="C1162" t="s">
        <v>1949</v>
      </c>
      <c r="D1162" t="s">
        <v>1401</v>
      </c>
      <c r="E1162" t="s">
        <v>2779</v>
      </c>
      <c r="F1162" s="3">
        <v>714083</v>
      </c>
      <c r="G1162" s="2">
        <f t="shared" si="36"/>
        <v>30</v>
      </c>
      <c r="H1162" s="2">
        <f t="shared" ca="1" si="37"/>
        <v>106</v>
      </c>
      <c r="I1162" s="4">
        <v>46014</v>
      </c>
      <c r="J1162" s="4">
        <v>46044</v>
      </c>
      <c r="K1162" t="s">
        <v>1403</v>
      </c>
      <c r="L1162" t="s">
        <v>90</v>
      </c>
      <c r="M1162" t="s">
        <v>391</v>
      </c>
      <c r="N1162" t="s">
        <v>1950</v>
      </c>
      <c r="O1162">
        <v>30</v>
      </c>
    </row>
    <row r="1163" spans="1:15" hidden="1" x14ac:dyDescent="0.25">
      <c r="A1163" t="s">
        <v>2820</v>
      </c>
      <c r="B1163" t="s">
        <v>49</v>
      </c>
      <c r="C1163" t="s">
        <v>50</v>
      </c>
      <c r="D1163" t="s">
        <v>15</v>
      </c>
      <c r="E1163" t="s">
        <v>2720</v>
      </c>
      <c r="F1163" s="3">
        <v>386200</v>
      </c>
      <c r="G1163" s="2">
        <f t="shared" si="36"/>
        <v>30</v>
      </c>
      <c r="H1163" s="2">
        <f t="shared" ca="1" si="37"/>
        <v>105</v>
      </c>
      <c r="I1163" s="4">
        <v>46015</v>
      </c>
      <c r="J1163" s="4">
        <v>46045</v>
      </c>
      <c r="K1163" t="s">
        <v>17</v>
      </c>
      <c r="L1163" t="s">
        <v>32</v>
      </c>
      <c r="M1163" t="s">
        <v>19</v>
      </c>
      <c r="N1163" t="s">
        <v>51</v>
      </c>
      <c r="O1163">
        <v>30</v>
      </c>
    </row>
    <row r="1164" spans="1:15" hidden="1" x14ac:dyDescent="0.25">
      <c r="A1164" t="s">
        <v>2820</v>
      </c>
      <c r="B1164" t="s">
        <v>153</v>
      </c>
      <c r="C1164" t="s">
        <v>154</v>
      </c>
      <c r="D1164" t="s">
        <v>15</v>
      </c>
      <c r="E1164" t="s">
        <v>2721</v>
      </c>
      <c r="F1164" s="3">
        <v>265800</v>
      </c>
      <c r="G1164" s="2">
        <f t="shared" si="36"/>
        <v>30</v>
      </c>
      <c r="H1164" s="2">
        <f t="shared" ca="1" si="37"/>
        <v>105</v>
      </c>
      <c r="I1164" s="4">
        <v>46015</v>
      </c>
      <c r="J1164" s="4">
        <v>46045</v>
      </c>
      <c r="K1164" t="s">
        <v>17</v>
      </c>
      <c r="L1164" t="s">
        <v>32</v>
      </c>
      <c r="M1164" t="s">
        <v>19</v>
      </c>
      <c r="N1164" t="s">
        <v>155</v>
      </c>
      <c r="O1164">
        <v>30</v>
      </c>
    </row>
    <row r="1165" spans="1:15" hidden="1" x14ac:dyDescent="0.25">
      <c r="A1165" t="s">
        <v>2820</v>
      </c>
      <c r="B1165" t="s">
        <v>1443</v>
      </c>
      <c r="C1165" t="s">
        <v>1444</v>
      </c>
      <c r="D1165" t="s">
        <v>875</v>
      </c>
      <c r="E1165" t="s">
        <v>2734</v>
      </c>
      <c r="F1165" s="3">
        <v>523660</v>
      </c>
      <c r="G1165" s="2">
        <f t="shared" si="36"/>
        <v>30</v>
      </c>
      <c r="H1165" s="2">
        <f t="shared" ca="1" si="37"/>
        <v>105</v>
      </c>
      <c r="I1165" s="4">
        <v>46015</v>
      </c>
      <c r="J1165" s="4">
        <v>46045</v>
      </c>
      <c r="K1165" t="s">
        <v>17</v>
      </c>
      <c r="L1165" t="s">
        <v>90</v>
      </c>
      <c r="M1165" t="s">
        <v>19</v>
      </c>
      <c r="N1165" t="s">
        <v>1445</v>
      </c>
      <c r="O1165">
        <v>30</v>
      </c>
    </row>
    <row r="1166" spans="1:15" hidden="1" x14ac:dyDescent="0.25">
      <c r="A1166" t="s">
        <v>2820</v>
      </c>
      <c r="B1166" t="s">
        <v>1119</v>
      </c>
      <c r="C1166" t="s">
        <v>1120</v>
      </c>
      <c r="D1166" t="s">
        <v>1066</v>
      </c>
      <c r="E1166" t="s">
        <v>2747</v>
      </c>
      <c r="F1166" s="3">
        <v>1828300</v>
      </c>
      <c r="G1166" s="2">
        <f t="shared" si="36"/>
        <v>30</v>
      </c>
      <c r="H1166" s="2">
        <f t="shared" ca="1" si="37"/>
        <v>105</v>
      </c>
      <c r="I1166" s="4">
        <v>46015</v>
      </c>
      <c r="J1166" s="4">
        <v>46045</v>
      </c>
      <c r="K1166" t="s">
        <v>1068</v>
      </c>
      <c r="L1166" t="s">
        <v>207</v>
      </c>
      <c r="M1166" t="s">
        <v>19</v>
      </c>
      <c r="N1166" t="s">
        <v>1121</v>
      </c>
      <c r="O1166">
        <v>30</v>
      </c>
    </row>
    <row r="1167" spans="1:15" hidden="1" x14ac:dyDescent="0.25">
      <c r="A1167" t="s">
        <v>2820</v>
      </c>
      <c r="B1167" t="s">
        <v>1104</v>
      </c>
      <c r="C1167" t="s">
        <v>1105</v>
      </c>
      <c r="D1167" t="s">
        <v>1066</v>
      </c>
      <c r="E1167" t="s">
        <v>2748</v>
      </c>
      <c r="F1167" s="3">
        <v>560722</v>
      </c>
      <c r="G1167" s="2">
        <f t="shared" si="36"/>
        <v>30</v>
      </c>
      <c r="H1167" s="2">
        <f t="shared" ca="1" si="37"/>
        <v>105</v>
      </c>
      <c r="I1167" s="4">
        <v>46015</v>
      </c>
      <c r="J1167" s="4">
        <v>46045</v>
      </c>
      <c r="K1167" t="s">
        <v>1068</v>
      </c>
      <c r="L1167" t="s">
        <v>117</v>
      </c>
      <c r="M1167" t="s">
        <v>19</v>
      </c>
      <c r="N1167" t="s">
        <v>1106</v>
      </c>
      <c r="O1167">
        <v>30</v>
      </c>
    </row>
    <row r="1168" spans="1:15" hidden="1" x14ac:dyDescent="0.25">
      <c r="A1168" t="s">
        <v>2820</v>
      </c>
      <c r="B1168" t="s">
        <v>1115</v>
      </c>
      <c r="C1168" t="s">
        <v>1116</v>
      </c>
      <c r="D1168" t="s">
        <v>320</v>
      </c>
      <c r="E1168" t="s">
        <v>2749</v>
      </c>
      <c r="F1168" s="3">
        <v>1268351</v>
      </c>
      <c r="G1168" s="2">
        <f t="shared" si="36"/>
        <v>30</v>
      </c>
      <c r="H1168" s="2">
        <f t="shared" ca="1" si="37"/>
        <v>105</v>
      </c>
      <c r="I1168" s="4">
        <v>46015</v>
      </c>
      <c r="J1168" s="4">
        <v>46045</v>
      </c>
      <c r="K1168" t="s">
        <v>1068</v>
      </c>
      <c r="L1168" t="s">
        <v>117</v>
      </c>
      <c r="M1168" t="s">
        <v>19</v>
      </c>
      <c r="N1168" t="s">
        <v>1117</v>
      </c>
      <c r="O1168">
        <v>30</v>
      </c>
    </row>
    <row r="1169" spans="1:15" hidden="1" x14ac:dyDescent="0.25">
      <c r="A1169" t="s">
        <v>2820</v>
      </c>
      <c r="B1169" t="s">
        <v>1234</v>
      </c>
      <c r="C1169" t="s">
        <v>1235</v>
      </c>
      <c r="D1169" t="s">
        <v>340</v>
      </c>
      <c r="E1169" t="s">
        <v>2758</v>
      </c>
      <c r="F1169" s="3">
        <v>2545000</v>
      </c>
      <c r="G1169" s="2">
        <f t="shared" si="36"/>
        <v>30</v>
      </c>
      <c r="H1169" s="2">
        <f t="shared" ca="1" si="37"/>
        <v>105</v>
      </c>
      <c r="I1169" s="4">
        <v>46015</v>
      </c>
      <c r="J1169" s="4">
        <v>46045</v>
      </c>
      <c r="K1169" t="s">
        <v>1233</v>
      </c>
      <c r="L1169" t="s">
        <v>117</v>
      </c>
      <c r="M1169" t="s">
        <v>19</v>
      </c>
      <c r="N1169" t="s">
        <v>1236</v>
      </c>
      <c r="O1169">
        <v>30</v>
      </c>
    </row>
    <row r="1170" spans="1:15" hidden="1" x14ac:dyDescent="0.25">
      <c r="A1170" t="s">
        <v>2820</v>
      </c>
      <c r="B1170" t="s">
        <v>1449</v>
      </c>
      <c r="C1170" t="s">
        <v>1450</v>
      </c>
      <c r="D1170" t="s">
        <v>15</v>
      </c>
      <c r="E1170" t="s">
        <v>2780</v>
      </c>
      <c r="F1170" s="3">
        <v>754609</v>
      </c>
      <c r="G1170" s="2">
        <f t="shared" si="36"/>
        <v>30</v>
      </c>
      <c r="H1170" s="2">
        <f t="shared" ca="1" si="37"/>
        <v>105</v>
      </c>
      <c r="I1170" s="4">
        <v>46015</v>
      </c>
      <c r="J1170" s="4">
        <v>46045</v>
      </c>
      <c r="K1170" t="s">
        <v>1403</v>
      </c>
      <c r="L1170" t="s">
        <v>90</v>
      </c>
      <c r="M1170" t="s">
        <v>19</v>
      </c>
      <c r="N1170" t="s">
        <v>1451</v>
      </c>
      <c r="O1170">
        <v>30</v>
      </c>
    </row>
    <row r="1171" spans="1:15" hidden="1" x14ac:dyDescent="0.25">
      <c r="A1171" t="s">
        <v>2820</v>
      </c>
      <c r="B1171" t="s">
        <v>1449</v>
      </c>
      <c r="C1171" t="s">
        <v>1450</v>
      </c>
      <c r="D1171" t="s">
        <v>15</v>
      </c>
      <c r="E1171" t="s">
        <v>2781</v>
      </c>
      <c r="F1171" s="3">
        <v>1011500</v>
      </c>
      <c r="G1171" s="2">
        <f t="shared" si="36"/>
        <v>30</v>
      </c>
      <c r="H1171" s="2">
        <f t="shared" ca="1" si="37"/>
        <v>105</v>
      </c>
      <c r="I1171" s="4">
        <v>46015</v>
      </c>
      <c r="J1171" s="4">
        <v>46045</v>
      </c>
      <c r="K1171" t="s">
        <v>1403</v>
      </c>
      <c r="L1171" t="s">
        <v>90</v>
      </c>
      <c r="M1171" t="s">
        <v>19</v>
      </c>
      <c r="N1171" t="s">
        <v>1451</v>
      </c>
      <c r="O1171">
        <v>30</v>
      </c>
    </row>
    <row r="1172" spans="1:15" hidden="1" x14ac:dyDescent="0.25">
      <c r="A1172" t="s">
        <v>2820</v>
      </c>
      <c r="B1172" t="s">
        <v>2782</v>
      </c>
      <c r="C1172" t="s">
        <v>2783</v>
      </c>
      <c r="D1172" t="s">
        <v>1401</v>
      </c>
      <c r="E1172" t="s">
        <v>2784</v>
      </c>
      <c r="F1172" s="3">
        <v>685942</v>
      </c>
      <c r="G1172" s="2">
        <f t="shared" si="36"/>
        <v>1</v>
      </c>
      <c r="H1172" s="2">
        <f t="shared" ca="1" si="37"/>
        <v>105</v>
      </c>
      <c r="I1172" s="4">
        <v>46015</v>
      </c>
      <c r="J1172" s="4">
        <v>46016</v>
      </c>
      <c r="K1172" t="s">
        <v>1403</v>
      </c>
      <c r="L1172" t="s">
        <v>90</v>
      </c>
      <c r="M1172" t="s">
        <v>19</v>
      </c>
      <c r="N1172" t="s">
        <v>2785</v>
      </c>
      <c r="O1172">
        <v>25</v>
      </c>
    </row>
    <row r="1173" spans="1:15" hidden="1" x14ac:dyDescent="0.25">
      <c r="A1173" t="s">
        <v>2820</v>
      </c>
      <c r="B1173" t="s">
        <v>2786</v>
      </c>
      <c r="C1173" t="s">
        <v>2787</v>
      </c>
      <c r="D1173" t="s">
        <v>1514</v>
      </c>
      <c r="E1173" t="s">
        <v>2788</v>
      </c>
      <c r="F1173" s="3">
        <v>406000</v>
      </c>
      <c r="G1173" s="2">
        <f t="shared" si="36"/>
        <v>30</v>
      </c>
      <c r="H1173" s="2">
        <f t="shared" ca="1" si="37"/>
        <v>105</v>
      </c>
      <c r="I1173" s="4">
        <v>46015</v>
      </c>
      <c r="J1173" s="4">
        <v>46045</v>
      </c>
      <c r="K1173" t="s">
        <v>1515</v>
      </c>
      <c r="L1173" t="s">
        <v>984</v>
      </c>
      <c r="M1173" t="s">
        <v>19</v>
      </c>
      <c r="N1173" t="s">
        <v>2789</v>
      </c>
      <c r="O1173">
        <v>25</v>
      </c>
    </row>
    <row r="1174" spans="1:15" hidden="1" x14ac:dyDescent="0.25">
      <c r="A1174" t="s">
        <v>2820</v>
      </c>
      <c r="B1174" t="s">
        <v>1516</v>
      </c>
      <c r="C1174" t="s">
        <v>1517</v>
      </c>
      <c r="D1174" t="s">
        <v>1514</v>
      </c>
      <c r="E1174" t="s">
        <v>2790</v>
      </c>
      <c r="F1174" s="3">
        <v>2697793</v>
      </c>
      <c r="G1174" s="2">
        <f t="shared" si="36"/>
        <v>30</v>
      </c>
      <c r="H1174" s="2">
        <f t="shared" ca="1" si="37"/>
        <v>105</v>
      </c>
      <c r="I1174" s="4">
        <v>46015</v>
      </c>
      <c r="J1174" s="4">
        <v>46045</v>
      </c>
      <c r="K1174" t="s">
        <v>1515</v>
      </c>
      <c r="L1174" t="s">
        <v>984</v>
      </c>
      <c r="M1174" t="s">
        <v>19</v>
      </c>
      <c r="N1174" t="s">
        <v>1518</v>
      </c>
      <c r="O1174">
        <v>1</v>
      </c>
    </row>
    <row r="1175" spans="1:15" hidden="1" x14ac:dyDescent="0.25">
      <c r="A1175" t="s">
        <v>2820</v>
      </c>
      <c r="B1175" t="s">
        <v>1519</v>
      </c>
      <c r="C1175" t="s">
        <v>1520</v>
      </c>
      <c r="D1175" t="s">
        <v>1514</v>
      </c>
      <c r="E1175" t="s">
        <v>2791</v>
      </c>
      <c r="F1175" s="3">
        <v>96004</v>
      </c>
      <c r="G1175" s="2">
        <f t="shared" si="36"/>
        <v>30</v>
      </c>
      <c r="H1175" s="2">
        <f t="shared" ca="1" si="37"/>
        <v>105</v>
      </c>
      <c r="I1175" s="4">
        <v>46015</v>
      </c>
      <c r="J1175" s="4">
        <v>46045</v>
      </c>
      <c r="K1175" t="s">
        <v>1515</v>
      </c>
      <c r="L1175" t="s">
        <v>984</v>
      </c>
      <c r="M1175" t="s">
        <v>19</v>
      </c>
      <c r="N1175" t="s">
        <v>1521</v>
      </c>
      <c r="O1175">
        <v>30</v>
      </c>
    </row>
    <row r="1176" spans="1:15" hidden="1" x14ac:dyDescent="0.25">
      <c r="A1176" t="s">
        <v>2820</v>
      </c>
      <c r="B1176" t="s">
        <v>1519</v>
      </c>
      <c r="C1176" t="s">
        <v>1520</v>
      </c>
      <c r="D1176" t="s">
        <v>1514</v>
      </c>
      <c r="E1176" t="s">
        <v>2792</v>
      </c>
      <c r="F1176" s="3">
        <v>10224144</v>
      </c>
      <c r="G1176" s="2">
        <f t="shared" si="36"/>
        <v>30</v>
      </c>
      <c r="H1176" s="2">
        <f t="shared" ca="1" si="37"/>
        <v>105</v>
      </c>
      <c r="I1176" s="4">
        <v>46015</v>
      </c>
      <c r="J1176" s="4">
        <v>46045</v>
      </c>
      <c r="K1176" t="s">
        <v>1515</v>
      </c>
      <c r="L1176" t="s">
        <v>984</v>
      </c>
      <c r="M1176" t="s">
        <v>19</v>
      </c>
      <c r="N1176" t="s">
        <v>1521</v>
      </c>
      <c r="O1176">
        <v>30</v>
      </c>
    </row>
    <row r="1177" spans="1:15" hidden="1" x14ac:dyDescent="0.25">
      <c r="A1177" t="s">
        <v>2820</v>
      </c>
      <c r="B1177" t="s">
        <v>1876</v>
      </c>
      <c r="C1177" t="s">
        <v>1877</v>
      </c>
      <c r="D1177" t="s">
        <v>1878</v>
      </c>
      <c r="E1177" t="s">
        <v>2816</v>
      </c>
      <c r="F1177" s="3">
        <v>2045181</v>
      </c>
      <c r="G1177" s="2">
        <f t="shared" si="36"/>
        <v>30</v>
      </c>
      <c r="H1177" s="2">
        <f t="shared" ca="1" si="37"/>
        <v>105</v>
      </c>
      <c r="I1177" s="4">
        <v>46015</v>
      </c>
      <c r="J1177" s="4">
        <v>46045</v>
      </c>
      <c r="K1177" t="s">
        <v>1879</v>
      </c>
      <c r="L1177" t="s">
        <v>984</v>
      </c>
      <c r="M1177" t="s">
        <v>19</v>
      </c>
      <c r="N1177" t="s">
        <v>1880</v>
      </c>
      <c r="O1177">
        <v>30</v>
      </c>
    </row>
    <row r="1178" spans="1:15" hidden="1" x14ac:dyDescent="0.25">
      <c r="A1178" t="s">
        <v>2820</v>
      </c>
      <c r="B1178" t="s">
        <v>1876</v>
      </c>
      <c r="C1178" t="s">
        <v>1877</v>
      </c>
      <c r="D1178" t="s">
        <v>1878</v>
      </c>
      <c r="E1178" t="s">
        <v>2817</v>
      </c>
      <c r="F1178" s="3">
        <v>508800</v>
      </c>
      <c r="G1178" s="2">
        <f t="shared" si="36"/>
        <v>30</v>
      </c>
      <c r="H1178" s="2">
        <f t="shared" ca="1" si="37"/>
        <v>105</v>
      </c>
      <c r="I1178" s="4">
        <v>46015</v>
      </c>
      <c r="J1178" s="4">
        <v>46045</v>
      </c>
      <c r="K1178" t="s">
        <v>1879</v>
      </c>
      <c r="L1178" t="s">
        <v>984</v>
      </c>
      <c r="M1178" t="s">
        <v>19</v>
      </c>
      <c r="N1178" t="s">
        <v>1880</v>
      </c>
      <c r="O1178">
        <v>30</v>
      </c>
    </row>
    <row r="1179" spans="1:15" hidden="1" x14ac:dyDescent="0.25">
      <c r="A1179" t="s">
        <v>2820</v>
      </c>
      <c r="B1179" t="s">
        <v>1886</v>
      </c>
      <c r="C1179" t="s">
        <v>1887</v>
      </c>
      <c r="D1179" t="s">
        <v>1883</v>
      </c>
      <c r="E1179" t="s">
        <v>2818</v>
      </c>
      <c r="F1179" s="3">
        <v>1066172</v>
      </c>
      <c r="G1179" s="2">
        <f t="shared" si="36"/>
        <v>30</v>
      </c>
      <c r="H1179" s="2">
        <f t="shared" ca="1" si="37"/>
        <v>105</v>
      </c>
      <c r="I1179" s="4">
        <v>46015</v>
      </c>
      <c r="J1179" s="4">
        <v>46045</v>
      </c>
      <c r="K1179" t="s">
        <v>1884</v>
      </c>
      <c r="L1179" t="s">
        <v>984</v>
      </c>
      <c r="M1179" t="s">
        <v>19</v>
      </c>
      <c r="N1179" t="s">
        <v>1888</v>
      </c>
      <c r="O1179">
        <v>30</v>
      </c>
    </row>
    <row r="1180" spans="1:15" hidden="1" x14ac:dyDescent="0.25">
      <c r="A1180" t="s">
        <v>2820</v>
      </c>
      <c r="B1180" t="s">
        <v>1881</v>
      </c>
      <c r="C1180" t="s">
        <v>1882</v>
      </c>
      <c r="D1180" t="s">
        <v>1883</v>
      </c>
      <c r="E1180" t="s">
        <v>2819</v>
      </c>
      <c r="F1180" s="3">
        <v>2591141</v>
      </c>
      <c r="G1180" s="2">
        <f t="shared" si="36"/>
        <v>30</v>
      </c>
      <c r="H1180" s="2">
        <f t="shared" ca="1" si="37"/>
        <v>105</v>
      </c>
      <c r="I1180" s="4">
        <v>46015</v>
      </c>
      <c r="J1180" s="4">
        <v>46045</v>
      </c>
      <c r="K1180" t="s">
        <v>1884</v>
      </c>
      <c r="L1180" t="s">
        <v>984</v>
      </c>
      <c r="M1180" t="s">
        <v>19</v>
      </c>
      <c r="N1180" t="s">
        <v>1885</v>
      </c>
      <c r="O1180">
        <v>30</v>
      </c>
    </row>
    <row r="1181" spans="1:15" hidden="1" x14ac:dyDescent="0.25">
      <c r="A1181" t="s">
        <v>2820</v>
      </c>
      <c r="B1181" t="s">
        <v>121</v>
      </c>
      <c r="C1181" t="s">
        <v>122</v>
      </c>
      <c r="D1181" t="s">
        <v>15</v>
      </c>
      <c r="E1181" t="s">
        <v>2711</v>
      </c>
      <c r="F1181" s="3">
        <v>327600</v>
      </c>
      <c r="G1181" s="2">
        <f t="shared" si="36"/>
        <v>30</v>
      </c>
      <c r="H1181" s="2">
        <f t="shared" ca="1" si="37"/>
        <v>103</v>
      </c>
      <c r="I1181" s="4">
        <v>46017</v>
      </c>
      <c r="J1181" s="4">
        <v>46047</v>
      </c>
      <c r="K1181" t="s">
        <v>17</v>
      </c>
      <c r="L1181" t="s">
        <v>32</v>
      </c>
      <c r="M1181" t="s">
        <v>19</v>
      </c>
      <c r="N1181" t="s">
        <v>123</v>
      </c>
      <c r="O1181">
        <v>30</v>
      </c>
    </row>
    <row r="1182" spans="1:15" hidden="1" x14ac:dyDescent="0.25">
      <c r="A1182" t="s">
        <v>2820</v>
      </c>
      <c r="B1182" t="s">
        <v>1317</v>
      </c>
      <c r="C1182" t="s">
        <v>1318</v>
      </c>
      <c r="D1182" t="s">
        <v>1319</v>
      </c>
      <c r="E1182" t="s">
        <v>2722</v>
      </c>
      <c r="F1182" s="3">
        <v>1997606</v>
      </c>
      <c r="G1182" s="2">
        <f t="shared" si="36"/>
        <v>30</v>
      </c>
      <c r="H1182" s="2">
        <f t="shared" ca="1" si="37"/>
        <v>103</v>
      </c>
      <c r="I1182" s="4">
        <v>46017</v>
      </c>
      <c r="J1182" s="4">
        <v>46047</v>
      </c>
      <c r="K1182" t="s">
        <v>17</v>
      </c>
      <c r="L1182" t="s">
        <v>90</v>
      </c>
      <c r="M1182" t="s">
        <v>19</v>
      </c>
      <c r="N1182" t="s">
        <v>1320</v>
      </c>
      <c r="O1182">
        <v>30</v>
      </c>
    </row>
    <row r="1183" spans="1:15" hidden="1" x14ac:dyDescent="0.25">
      <c r="A1183" t="s">
        <v>2820</v>
      </c>
      <c r="B1183" t="s">
        <v>985</v>
      </c>
      <c r="C1183" t="s">
        <v>986</v>
      </c>
      <c r="D1183" t="s">
        <v>979</v>
      </c>
      <c r="E1183" t="s">
        <v>2736</v>
      </c>
      <c r="F1183" s="3">
        <v>595198</v>
      </c>
      <c r="G1183" s="2">
        <f t="shared" si="36"/>
        <v>30</v>
      </c>
      <c r="H1183" s="2">
        <f t="shared" ca="1" si="37"/>
        <v>103</v>
      </c>
      <c r="I1183" s="4">
        <v>46017</v>
      </c>
      <c r="J1183" s="4">
        <v>46047</v>
      </c>
      <c r="K1183" t="s">
        <v>980</v>
      </c>
      <c r="L1183" t="s">
        <v>981</v>
      </c>
      <c r="M1183" t="s">
        <v>19</v>
      </c>
      <c r="N1183" t="s">
        <v>987</v>
      </c>
      <c r="O1183">
        <v>30</v>
      </c>
    </row>
    <row r="1184" spans="1:15" hidden="1" x14ac:dyDescent="0.25">
      <c r="A1184" t="s">
        <v>2820</v>
      </c>
      <c r="B1184" t="s">
        <v>1982</v>
      </c>
      <c r="C1184" t="s">
        <v>1983</v>
      </c>
      <c r="D1184" t="s">
        <v>979</v>
      </c>
      <c r="E1184" t="s">
        <v>2737</v>
      </c>
      <c r="F1184" s="3">
        <v>1158718</v>
      </c>
      <c r="G1184" s="2">
        <f t="shared" si="36"/>
        <v>30</v>
      </c>
      <c r="H1184" s="2">
        <f t="shared" ca="1" si="37"/>
        <v>103</v>
      </c>
      <c r="I1184" s="4">
        <v>46017</v>
      </c>
      <c r="J1184" s="4">
        <v>46047</v>
      </c>
      <c r="K1184" t="s">
        <v>980</v>
      </c>
      <c r="L1184" t="s">
        <v>981</v>
      </c>
      <c r="M1184" t="s">
        <v>19</v>
      </c>
      <c r="N1184" t="s">
        <v>1984</v>
      </c>
      <c r="O1184">
        <v>30</v>
      </c>
    </row>
    <row r="1185" spans="1:15" hidden="1" x14ac:dyDescent="0.25">
      <c r="A1185" t="s">
        <v>2820</v>
      </c>
      <c r="B1185" t="s">
        <v>1204</v>
      </c>
      <c r="C1185" t="s">
        <v>1205</v>
      </c>
      <c r="D1185" t="s">
        <v>1201</v>
      </c>
      <c r="E1185" t="s">
        <v>2753</v>
      </c>
      <c r="F1185" s="3">
        <v>2436065</v>
      </c>
      <c r="G1185" s="2">
        <f t="shared" si="36"/>
        <v>30</v>
      </c>
      <c r="H1185" s="2">
        <f t="shared" ca="1" si="37"/>
        <v>103</v>
      </c>
      <c r="I1185" s="4">
        <v>46017</v>
      </c>
      <c r="J1185" s="4">
        <v>46047</v>
      </c>
      <c r="K1185" t="s">
        <v>1202</v>
      </c>
      <c r="L1185" t="s">
        <v>207</v>
      </c>
      <c r="M1185" t="s">
        <v>19</v>
      </c>
      <c r="N1185" t="s">
        <v>1206</v>
      </c>
      <c r="O1185">
        <v>30</v>
      </c>
    </row>
    <row r="1186" spans="1:15" hidden="1" x14ac:dyDescent="0.25">
      <c r="A1186" t="s">
        <v>2820</v>
      </c>
      <c r="B1186" t="s">
        <v>1199</v>
      </c>
      <c r="C1186" t="s">
        <v>1200</v>
      </c>
      <c r="D1186" t="s">
        <v>1201</v>
      </c>
      <c r="E1186" t="s">
        <v>2754</v>
      </c>
      <c r="F1186" s="3">
        <v>6536047</v>
      </c>
      <c r="G1186" s="2">
        <f t="shared" si="36"/>
        <v>30</v>
      </c>
      <c r="H1186" s="2">
        <f t="shared" ca="1" si="37"/>
        <v>103</v>
      </c>
      <c r="I1186" s="4">
        <v>46017</v>
      </c>
      <c r="J1186" s="4">
        <v>46047</v>
      </c>
      <c r="K1186" t="s">
        <v>1202</v>
      </c>
      <c r="L1186" t="s">
        <v>207</v>
      </c>
      <c r="M1186" t="s">
        <v>19</v>
      </c>
      <c r="N1186" t="s">
        <v>1203</v>
      </c>
      <c r="O1186">
        <v>30</v>
      </c>
    </row>
    <row r="1187" spans="1:15" hidden="1" x14ac:dyDescent="0.25">
      <c r="A1187" t="s">
        <v>2820</v>
      </c>
      <c r="B1187" t="s">
        <v>1204</v>
      </c>
      <c r="C1187" t="s">
        <v>1205</v>
      </c>
      <c r="D1187" t="s">
        <v>1201</v>
      </c>
      <c r="E1187" t="s">
        <v>2735</v>
      </c>
      <c r="F1187" s="3">
        <v>7227823</v>
      </c>
      <c r="G1187" s="2">
        <f t="shared" si="36"/>
        <v>30</v>
      </c>
      <c r="H1187" s="2">
        <f t="shared" ca="1" si="37"/>
        <v>103</v>
      </c>
      <c r="I1187" s="4">
        <v>46017</v>
      </c>
      <c r="J1187" s="4">
        <v>46047</v>
      </c>
      <c r="K1187" t="s">
        <v>1202</v>
      </c>
      <c r="L1187" t="s">
        <v>117</v>
      </c>
      <c r="M1187" t="s">
        <v>19</v>
      </c>
      <c r="N1187" t="s">
        <v>1206</v>
      </c>
      <c r="O1187">
        <v>30</v>
      </c>
    </row>
    <row r="1188" spans="1:15" hidden="1" x14ac:dyDescent="0.25">
      <c r="A1188" t="s">
        <v>2820</v>
      </c>
      <c r="B1188" t="s">
        <v>1204</v>
      </c>
      <c r="C1188" t="s">
        <v>1205</v>
      </c>
      <c r="D1188" t="s">
        <v>1201</v>
      </c>
      <c r="E1188" t="s">
        <v>2755</v>
      </c>
      <c r="F1188" s="3">
        <v>1537535</v>
      </c>
      <c r="G1188" s="2">
        <f t="shared" si="36"/>
        <v>30</v>
      </c>
      <c r="H1188" s="2">
        <f t="shared" ca="1" si="37"/>
        <v>103</v>
      </c>
      <c r="I1188" s="4">
        <v>46017</v>
      </c>
      <c r="J1188" s="4">
        <v>46047</v>
      </c>
      <c r="K1188" t="s">
        <v>1202</v>
      </c>
      <c r="L1188" t="s">
        <v>207</v>
      </c>
      <c r="M1188" t="s">
        <v>19</v>
      </c>
      <c r="N1188" t="s">
        <v>1206</v>
      </c>
      <c r="O1188">
        <v>30</v>
      </c>
    </row>
    <row r="1189" spans="1:15" hidden="1" x14ac:dyDescent="0.25">
      <c r="A1189" t="s">
        <v>2820</v>
      </c>
      <c r="B1189" t="s">
        <v>1204</v>
      </c>
      <c r="C1189" t="s">
        <v>1205</v>
      </c>
      <c r="D1189" t="s">
        <v>1201</v>
      </c>
      <c r="E1189" t="s">
        <v>2756</v>
      </c>
      <c r="F1189" s="3">
        <v>5111669</v>
      </c>
      <c r="G1189" s="2">
        <f t="shared" si="36"/>
        <v>30</v>
      </c>
      <c r="H1189" s="2">
        <f t="shared" ca="1" si="37"/>
        <v>103</v>
      </c>
      <c r="I1189" s="4">
        <v>46017</v>
      </c>
      <c r="J1189" s="4">
        <v>46047</v>
      </c>
      <c r="K1189" t="s">
        <v>1202</v>
      </c>
      <c r="L1189" t="s">
        <v>207</v>
      </c>
      <c r="M1189" t="s">
        <v>19</v>
      </c>
      <c r="N1189" t="s">
        <v>1206</v>
      </c>
      <c r="O1189">
        <v>30</v>
      </c>
    </row>
    <row r="1190" spans="1:15" hidden="1" x14ac:dyDescent="0.25">
      <c r="A1190" t="s">
        <v>2820</v>
      </c>
      <c r="B1190" t="s">
        <v>1244</v>
      </c>
      <c r="C1190" t="s">
        <v>1245</v>
      </c>
      <c r="D1190" t="s">
        <v>1242</v>
      </c>
      <c r="E1190" t="s">
        <v>2759</v>
      </c>
      <c r="F1190" s="3">
        <v>2286132</v>
      </c>
      <c r="G1190" s="2">
        <f t="shared" si="36"/>
        <v>30</v>
      </c>
      <c r="H1190" s="2">
        <f t="shared" ca="1" si="37"/>
        <v>103</v>
      </c>
      <c r="I1190" s="4">
        <v>46017</v>
      </c>
      <c r="J1190" s="4">
        <v>46047</v>
      </c>
      <c r="K1190" t="s">
        <v>1243</v>
      </c>
      <c r="L1190" t="s">
        <v>207</v>
      </c>
      <c r="M1190" t="s">
        <v>19</v>
      </c>
      <c r="N1190" t="s">
        <v>1246</v>
      </c>
      <c r="O1190">
        <v>30</v>
      </c>
    </row>
    <row r="1191" spans="1:15" hidden="1" x14ac:dyDescent="0.25">
      <c r="A1191" t="s">
        <v>2820</v>
      </c>
      <c r="B1191" t="s">
        <v>1251</v>
      </c>
      <c r="C1191" t="s">
        <v>1252</v>
      </c>
      <c r="D1191" t="s">
        <v>1242</v>
      </c>
      <c r="E1191" t="s">
        <v>2760</v>
      </c>
      <c r="F1191" s="3">
        <v>1244299</v>
      </c>
      <c r="G1191" s="2">
        <f t="shared" si="36"/>
        <v>30</v>
      </c>
      <c r="H1191" s="2">
        <f t="shared" ca="1" si="37"/>
        <v>103</v>
      </c>
      <c r="I1191" s="4">
        <v>46017</v>
      </c>
      <c r="J1191" s="4">
        <v>46047</v>
      </c>
      <c r="K1191" t="s">
        <v>1243</v>
      </c>
      <c r="L1191" t="s">
        <v>207</v>
      </c>
      <c r="M1191" t="s">
        <v>19</v>
      </c>
      <c r="N1191" t="s">
        <v>1253</v>
      </c>
      <c r="O1191">
        <v>30</v>
      </c>
    </row>
    <row r="1192" spans="1:15" hidden="1" x14ac:dyDescent="0.25">
      <c r="A1192" t="s">
        <v>2820</v>
      </c>
      <c r="B1192" t="s">
        <v>1283</v>
      </c>
      <c r="C1192" t="s">
        <v>1284</v>
      </c>
      <c r="D1192" t="s">
        <v>1282</v>
      </c>
      <c r="E1192" t="s">
        <v>2761</v>
      </c>
      <c r="F1192" s="3">
        <v>14163673</v>
      </c>
      <c r="G1192" s="2">
        <f t="shared" si="36"/>
        <v>30</v>
      </c>
      <c r="H1192" s="2">
        <f t="shared" ca="1" si="37"/>
        <v>103</v>
      </c>
      <c r="I1192" s="4">
        <v>46017</v>
      </c>
      <c r="J1192" s="4">
        <v>46047</v>
      </c>
      <c r="K1192" t="s">
        <v>1260</v>
      </c>
      <c r="L1192" t="s">
        <v>981</v>
      </c>
      <c r="M1192" t="s">
        <v>19</v>
      </c>
      <c r="N1192" t="s">
        <v>1285</v>
      </c>
      <c r="O1192">
        <v>30</v>
      </c>
    </row>
    <row r="1193" spans="1:15" hidden="1" x14ac:dyDescent="0.25">
      <c r="A1193" t="s">
        <v>2820</v>
      </c>
      <c r="B1193" t="s">
        <v>1275</v>
      </c>
      <c r="C1193" t="s">
        <v>1276</v>
      </c>
      <c r="D1193" t="s">
        <v>1277</v>
      </c>
      <c r="E1193" t="s">
        <v>2762</v>
      </c>
      <c r="F1193" s="3">
        <v>1279372</v>
      </c>
      <c r="G1193" s="2">
        <f t="shared" si="36"/>
        <v>30</v>
      </c>
      <c r="H1193" s="2">
        <f t="shared" ca="1" si="37"/>
        <v>103</v>
      </c>
      <c r="I1193" s="4">
        <v>46017</v>
      </c>
      <c r="J1193" s="4">
        <v>46047</v>
      </c>
      <c r="K1193" t="s">
        <v>1260</v>
      </c>
      <c r="L1193" t="s">
        <v>981</v>
      </c>
      <c r="M1193" t="s">
        <v>19</v>
      </c>
      <c r="N1193" t="s">
        <v>1278</v>
      </c>
      <c r="O1193">
        <v>30</v>
      </c>
    </row>
    <row r="1194" spans="1:15" hidden="1" x14ac:dyDescent="0.25">
      <c r="A1194" t="s">
        <v>2820</v>
      </c>
      <c r="B1194" t="s">
        <v>1279</v>
      </c>
      <c r="C1194" t="s">
        <v>1280</v>
      </c>
      <c r="D1194" t="s">
        <v>1259</v>
      </c>
      <c r="E1194" t="s">
        <v>2763</v>
      </c>
      <c r="F1194" s="3">
        <v>1342100</v>
      </c>
      <c r="G1194" s="2">
        <f t="shared" si="36"/>
        <v>30</v>
      </c>
      <c r="H1194" s="2">
        <f t="shared" ca="1" si="37"/>
        <v>103</v>
      </c>
      <c r="I1194" s="4">
        <v>46017</v>
      </c>
      <c r="J1194" s="4">
        <v>46047</v>
      </c>
      <c r="K1194" t="s">
        <v>1260</v>
      </c>
      <c r="L1194" t="s">
        <v>981</v>
      </c>
      <c r="M1194" t="s">
        <v>19</v>
      </c>
      <c r="N1194" t="s">
        <v>1281</v>
      </c>
      <c r="O1194">
        <v>30</v>
      </c>
    </row>
    <row r="1195" spans="1:15" hidden="1" x14ac:dyDescent="0.25">
      <c r="A1195" t="s">
        <v>2820</v>
      </c>
      <c r="B1195" t="s">
        <v>1268</v>
      </c>
      <c r="C1195" t="s">
        <v>1269</v>
      </c>
      <c r="D1195" t="s">
        <v>1259</v>
      </c>
      <c r="E1195" t="s">
        <v>2764</v>
      </c>
      <c r="F1195" s="3">
        <v>3067243</v>
      </c>
      <c r="G1195" s="2">
        <f t="shared" si="36"/>
        <v>30</v>
      </c>
      <c r="H1195" s="2">
        <f t="shared" ca="1" si="37"/>
        <v>103</v>
      </c>
      <c r="I1195" s="4">
        <v>46017</v>
      </c>
      <c r="J1195" s="4">
        <v>46047</v>
      </c>
      <c r="K1195" t="s">
        <v>1260</v>
      </c>
      <c r="L1195" t="s">
        <v>981</v>
      </c>
      <c r="M1195" t="s">
        <v>19</v>
      </c>
      <c r="N1195" t="s">
        <v>1270</v>
      </c>
      <c r="O1195">
        <v>30</v>
      </c>
    </row>
    <row r="1196" spans="1:15" hidden="1" x14ac:dyDescent="0.25">
      <c r="A1196" t="s">
        <v>2820</v>
      </c>
      <c r="B1196" t="s">
        <v>1272</v>
      </c>
      <c r="C1196" t="s">
        <v>1273</v>
      </c>
      <c r="D1196" t="s">
        <v>1259</v>
      </c>
      <c r="E1196" t="s">
        <v>2765</v>
      </c>
      <c r="F1196" s="3">
        <v>1037128</v>
      </c>
      <c r="G1196" s="2">
        <f t="shared" si="36"/>
        <v>30</v>
      </c>
      <c r="H1196" s="2">
        <f t="shared" ca="1" si="37"/>
        <v>103</v>
      </c>
      <c r="I1196" s="4">
        <v>46017</v>
      </c>
      <c r="J1196" s="4">
        <v>46047</v>
      </c>
      <c r="K1196" t="s">
        <v>1260</v>
      </c>
      <c r="L1196" t="s">
        <v>981</v>
      </c>
      <c r="M1196" t="s">
        <v>19</v>
      </c>
      <c r="N1196" t="s">
        <v>1274</v>
      </c>
      <c r="O1196">
        <v>30</v>
      </c>
    </row>
    <row r="1197" spans="1:15" hidden="1" x14ac:dyDescent="0.25">
      <c r="A1197" t="s">
        <v>2820</v>
      </c>
      <c r="B1197" t="s">
        <v>1297</v>
      </c>
      <c r="C1197" t="s">
        <v>1298</v>
      </c>
      <c r="D1197" t="s">
        <v>1299</v>
      </c>
      <c r="E1197" t="s">
        <v>2766</v>
      </c>
      <c r="F1197" s="3">
        <v>5492842</v>
      </c>
      <c r="G1197" s="2">
        <f t="shared" si="36"/>
        <v>30</v>
      </c>
      <c r="H1197" s="2">
        <f t="shared" ca="1" si="37"/>
        <v>103</v>
      </c>
      <c r="I1197" s="4">
        <v>46017</v>
      </c>
      <c r="J1197" s="4">
        <v>46047</v>
      </c>
      <c r="K1197" t="s">
        <v>1300</v>
      </c>
      <c r="L1197" t="s">
        <v>90</v>
      </c>
      <c r="M1197" t="s">
        <v>19</v>
      </c>
      <c r="N1197" t="s">
        <v>1301</v>
      </c>
      <c r="O1197">
        <v>30</v>
      </c>
    </row>
    <row r="1198" spans="1:15" hidden="1" x14ac:dyDescent="0.25">
      <c r="A1198" t="s">
        <v>2820</v>
      </c>
      <c r="B1198" t="s">
        <v>1297</v>
      </c>
      <c r="C1198" t="s">
        <v>1298</v>
      </c>
      <c r="D1198" t="s">
        <v>1299</v>
      </c>
      <c r="E1198" t="s">
        <v>2767</v>
      </c>
      <c r="F1198" s="3">
        <v>4021820</v>
      </c>
      <c r="G1198" s="2">
        <f t="shared" si="36"/>
        <v>30</v>
      </c>
      <c r="H1198" s="2">
        <f t="shared" ca="1" si="37"/>
        <v>103</v>
      </c>
      <c r="I1198" s="4">
        <v>46017</v>
      </c>
      <c r="J1198" s="4">
        <v>46047</v>
      </c>
      <c r="K1198" t="s">
        <v>1300</v>
      </c>
      <c r="L1198" t="s">
        <v>90</v>
      </c>
      <c r="M1198" t="s">
        <v>19</v>
      </c>
      <c r="N1198" t="s">
        <v>1301</v>
      </c>
      <c r="O1198">
        <v>30</v>
      </c>
    </row>
    <row r="1199" spans="1:15" hidden="1" x14ac:dyDescent="0.25">
      <c r="A1199" t="s">
        <v>2820</v>
      </c>
      <c r="B1199" t="s">
        <v>1297</v>
      </c>
      <c r="C1199" t="s">
        <v>1298</v>
      </c>
      <c r="D1199" t="s">
        <v>1299</v>
      </c>
      <c r="E1199" t="s">
        <v>2768</v>
      </c>
      <c r="F1199" s="3">
        <v>2412426</v>
      </c>
      <c r="G1199" s="2">
        <f t="shared" si="36"/>
        <v>30</v>
      </c>
      <c r="H1199" s="2">
        <f t="shared" ca="1" si="37"/>
        <v>103</v>
      </c>
      <c r="I1199" s="4">
        <v>46017</v>
      </c>
      <c r="J1199" s="4">
        <v>46047</v>
      </c>
      <c r="K1199" t="s">
        <v>1300</v>
      </c>
      <c r="L1199" t="s">
        <v>90</v>
      </c>
      <c r="M1199" t="s">
        <v>19</v>
      </c>
      <c r="N1199" t="s">
        <v>1301</v>
      </c>
      <c r="O1199">
        <v>30</v>
      </c>
    </row>
    <row r="1200" spans="1:15" hidden="1" x14ac:dyDescent="0.25">
      <c r="A1200" t="s">
        <v>2820</v>
      </c>
      <c r="B1200" t="s">
        <v>1297</v>
      </c>
      <c r="C1200" t="s">
        <v>1298</v>
      </c>
      <c r="D1200" t="s">
        <v>1299</v>
      </c>
      <c r="E1200" t="s">
        <v>2769</v>
      </c>
      <c r="F1200" s="3">
        <v>1908254</v>
      </c>
      <c r="G1200" s="2">
        <f t="shared" si="36"/>
        <v>30</v>
      </c>
      <c r="H1200" s="2">
        <f t="shared" ca="1" si="37"/>
        <v>103</v>
      </c>
      <c r="I1200" s="4">
        <v>46017</v>
      </c>
      <c r="J1200" s="4">
        <v>46047</v>
      </c>
      <c r="K1200" t="s">
        <v>1300</v>
      </c>
      <c r="L1200" t="s">
        <v>90</v>
      </c>
      <c r="M1200" t="s">
        <v>19</v>
      </c>
      <c r="N1200" t="s">
        <v>1301</v>
      </c>
      <c r="O1200">
        <v>30</v>
      </c>
    </row>
    <row r="1201" spans="1:15" hidden="1" x14ac:dyDescent="0.25">
      <c r="A1201" t="s">
        <v>2820</v>
      </c>
      <c r="B1201" t="s">
        <v>1297</v>
      </c>
      <c r="C1201" t="s">
        <v>1298</v>
      </c>
      <c r="D1201" t="s">
        <v>1299</v>
      </c>
      <c r="E1201" t="s">
        <v>2770</v>
      </c>
      <c r="F1201" s="3">
        <v>3978000</v>
      </c>
      <c r="G1201" s="2">
        <f t="shared" si="36"/>
        <v>30</v>
      </c>
      <c r="H1201" s="2">
        <f t="shared" ca="1" si="37"/>
        <v>103</v>
      </c>
      <c r="I1201" s="4">
        <v>46017</v>
      </c>
      <c r="J1201" s="4">
        <v>46047</v>
      </c>
      <c r="K1201" t="s">
        <v>1300</v>
      </c>
      <c r="L1201" t="s">
        <v>90</v>
      </c>
      <c r="M1201" t="s">
        <v>19</v>
      </c>
      <c r="N1201" t="s">
        <v>1301</v>
      </c>
      <c r="O1201">
        <v>30</v>
      </c>
    </row>
    <row r="1202" spans="1:15" hidden="1" x14ac:dyDescent="0.25">
      <c r="A1202" t="s">
        <v>2820</v>
      </c>
      <c r="B1202" t="s">
        <v>1317</v>
      </c>
      <c r="C1202" t="s">
        <v>1318</v>
      </c>
      <c r="D1202" t="s">
        <v>1319</v>
      </c>
      <c r="E1202" t="s">
        <v>2771</v>
      </c>
      <c r="F1202" s="3">
        <v>499976</v>
      </c>
      <c r="G1202" s="2">
        <f t="shared" si="36"/>
        <v>30</v>
      </c>
      <c r="H1202" s="2">
        <f t="shared" ca="1" si="37"/>
        <v>103</v>
      </c>
      <c r="I1202" s="4">
        <v>46017</v>
      </c>
      <c r="J1202" s="4">
        <v>46047</v>
      </c>
      <c r="K1202" t="s">
        <v>1300</v>
      </c>
      <c r="L1202" t="s">
        <v>90</v>
      </c>
      <c r="M1202" t="s">
        <v>19</v>
      </c>
      <c r="N1202" t="s">
        <v>1320</v>
      </c>
      <c r="O1202">
        <v>30</v>
      </c>
    </row>
    <row r="1203" spans="1:15" hidden="1" x14ac:dyDescent="0.25">
      <c r="A1203" t="s">
        <v>2820</v>
      </c>
      <c r="B1203" t="s">
        <v>1302</v>
      </c>
      <c r="C1203" t="s">
        <v>1303</v>
      </c>
      <c r="D1203" t="s">
        <v>1299</v>
      </c>
      <c r="E1203" t="s">
        <v>2772</v>
      </c>
      <c r="F1203" s="3">
        <v>1017583</v>
      </c>
      <c r="G1203" s="2">
        <f t="shared" si="36"/>
        <v>30</v>
      </c>
      <c r="H1203" s="2">
        <f t="shared" ca="1" si="37"/>
        <v>103</v>
      </c>
      <c r="I1203" s="4">
        <v>46017</v>
      </c>
      <c r="J1203" s="4">
        <v>46047</v>
      </c>
      <c r="K1203" t="s">
        <v>1300</v>
      </c>
      <c r="L1203" t="s">
        <v>90</v>
      </c>
      <c r="M1203" t="s">
        <v>19</v>
      </c>
      <c r="N1203" t="s">
        <v>1304</v>
      </c>
      <c r="O1203">
        <v>30</v>
      </c>
    </row>
    <row r="1204" spans="1:15" hidden="1" x14ac:dyDescent="0.25">
      <c r="A1204" t="s">
        <v>2820</v>
      </c>
      <c r="B1204" t="s">
        <v>1308</v>
      </c>
      <c r="C1204" t="s">
        <v>1309</v>
      </c>
      <c r="D1204" t="s">
        <v>1299</v>
      </c>
      <c r="E1204" t="s">
        <v>2773</v>
      </c>
      <c r="F1204" s="3">
        <v>2500100</v>
      </c>
      <c r="G1204" s="2">
        <f t="shared" si="36"/>
        <v>30</v>
      </c>
      <c r="H1204" s="2">
        <f t="shared" ca="1" si="37"/>
        <v>103</v>
      </c>
      <c r="I1204" s="4">
        <v>46017</v>
      </c>
      <c r="J1204" s="4">
        <v>46047</v>
      </c>
      <c r="K1204" t="s">
        <v>1300</v>
      </c>
      <c r="L1204" t="s">
        <v>90</v>
      </c>
      <c r="M1204" t="s">
        <v>19</v>
      </c>
      <c r="N1204" t="s">
        <v>1310</v>
      </c>
      <c r="O1204">
        <v>30</v>
      </c>
    </row>
    <row r="1205" spans="1:15" hidden="1" x14ac:dyDescent="0.25">
      <c r="A1205" t="s">
        <v>2820</v>
      </c>
      <c r="B1205" t="s">
        <v>1308</v>
      </c>
      <c r="C1205" t="s">
        <v>1309</v>
      </c>
      <c r="D1205" t="s">
        <v>1299</v>
      </c>
      <c r="E1205" t="s">
        <v>2774</v>
      </c>
      <c r="F1205" s="3">
        <v>151209</v>
      </c>
      <c r="G1205" s="2">
        <f t="shared" si="36"/>
        <v>30</v>
      </c>
      <c r="H1205" s="2">
        <f t="shared" ca="1" si="37"/>
        <v>103</v>
      </c>
      <c r="I1205" s="4">
        <v>46017</v>
      </c>
      <c r="J1205" s="4">
        <v>46047</v>
      </c>
      <c r="K1205" t="s">
        <v>1300</v>
      </c>
      <c r="L1205" t="s">
        <v>90</v>
      </c>
      <c r="M1205" t="s">
        <v>19</v>
      </c>
      <c r="N1205" t="s">
        <v>1310</v>
      </c>
      <c r="O1205">
        <v>30</v>
      </c>
    </row>
    <row r="1206" spans="1:15" hidden="1" x14ac:dyDescent="0.25">
      <c r="A1206" t="s">
        <v>2820</v>
      </c>
      <c r="B1206" t="s">
        <v>1305</v>
      </c>
      <c r="C1206" t="s">
        <v>1306</v>
      </c>
      <c r="D1206" t="s">
        <v>1299</v>
      </c>
      <c r="E1206" t="s">
        <v>2775</v>
      </c>
      <c r="F1206" s="3">
        <v>172000</v>
      </c>
      <c r="G1206" s="2">
        <f t="shared" si="36"/>
        <v>30</v>
      </c>
      <c r="H1206" s="2">
        <f t="shared" ca="1" si="37"/>
        <v>103</v>
      </c>
      <c r="I1206" s="4">
        <v>46017</v>
      </c>
      <c r="J1206" s="4">
        <v>46047</v>
      </c>
      <c r="K1206" t="s">
        <v>1300</v>
      </c>
      <c r="L1206" t="s">
        <v>90</v>
      </c>
      <c r="M1206" t="s">
        <v>19</v>
      </c>
      <c r="N1206" t="s">
        <v>1307</v>
      </c>
      <c r="O1206">
        <v>30</v>
      </c>
    </row>
    <row r="1207" spans="1:15" hidden="1" x14ac:dyDescent="0.25">
      <c r="A1207" t="s">
        <v>2820</v>
      </c>
      <c r="B1207" t="s">
        <v>1305</v>
      </c>
      <c r="C1207" t="s">
        <v>1306</v>
      </c>
      <c r="D1207" t="s">
        <v>1299</v>
      </c>
      <c r="E1207" t="s">
        <v>2776</v>
      </c>
      <c r="F1207" s="3">
        <v>575980</v>
      </c>
      <c r="G1207" s="2">
        <f t="shared" si="36"/>
        <v>30</v>
      </c>
      <c r="H1207" s="2">
        <f t="shared" ca="1" si="37"/>
        <v>103</v>
      </c>
      <c r="I1207" s="4">
        <v>46017</v>
      </c>
      <c r="J1207" s="4">
        <v>46047</v>
      </c>
      <c r="K1207" t="s">
        <v>1300</v>
      </c>
      <c r="L1207" t="s">
        <v>90</v>
      </c>
      <c r="M1207" t="s">
        <v>19</v>
      </c>
      <c r="N1207" t="s">
        <v>1307</v>
      </c>
      <c r="O1207">
        <v>30</v>
      </c>
    </row>
    <row r="1208" spans="1:15" hidden="1" x14ac:dyDescent="0.25">
      <c r="A1208" t="s">
        <v>2820</v>
      </c>
      <c r="B1208" t="s">
        <v>1305</v>
      </c>
      <c r="C1208" t="s">
        <v>1306</v>
      </c>
      <c r="D1208" t="s">
        <v>1299</v>
      </c>
      <c r="E1208" t="s">
        <v>2777</v>
      </c>
      <c r="F1208" s="3">
        <v>1434838</v>
      </c>
      <c r="G1208" s="2">
        <f t="shared" si="36"/>
        <v>30</v>
      </c>
      <c r="H1208" s="2">
        <f t="shared" ca="1" si="37"/>
        <v>103</v>
      </c>
      <c r="I1208" s="4">
        <v>46017</v>
      </c>
      <c r="J1208" s="4">
        <v>46047</v>
      </c>
      <c r="K1208" t="s">
        <v>1300</v>
      </c>
      <c r="L1208" t="s">
        <v>90</v>
      </c>
      <c r="M1208" t="s">
        <v>19</v>
      </c>
      <c r="N1208" t="s">
        <v>1307</v>
      </c>
      <c r="O1208">
        <v>30</v>
      </c>
    </row>
    <row r="1209" spans="1:15" hidden="1" x14ac:dyDescent="0.25">
      <c r="A1209" t="s">
        <v>2820</v>
      </c>
      <c r="B1209" t="s">
        <v>1575</v>
      </c>
      <c r="C1209" t="s">
        <v>1576</v>
      </c>
      <c r="D1209" t="s">
        <v>1563</v>
      </c>
      <c r="E1209" t="s">
        <v>2793</v>
      </c>
      <c r="F1209" s="3">
        <v>4361303</v>
      </c>
      <c r="G1209" s="2">
        <f t="shared" si="36"/>
        <v>30</v>
      </c>
      <c r="H1209" s="2">
        <f t="shared" ca="1" si="37"/>
        <v>103</v>
      </c>
      <c r="I1209" s="4">
        <v>46017</v>
      </c>
      <c r="J1209" s="4">
        <v>46047</v>
      </c>
      <c r="K1209" t="s">
        <v>1564</v>
      </c>
      <c r="L1209" t="s">
        <v>984</v>
      </c>
      <c r="M1209" t="s">
        <v>19</v>
      </c>
      <c r="N1209" t="s">
        <v>1577</v>
      </c>
      <c r="O1209">
        <v>30</v>
      </c>
    </row>
    <row r="1210" spans="1:15" hidden="1" x14ac:dyDescent="0.25">
      <c r="A1210" t="s">
        <v>2820</v>
      </c>
      <c r="B1210" t="s">
        <v>1566</v>
      </c>
      <c r="C1210" t="s">
        <v>1567</v>
      </c>
      <c r="D1210" t="s">
        <v>1563</v>
      </c>
      <c r="E1210" t="s">
        <v>2794</v>
      </c>
      <c r="F1210" s="3">
        <v>428000</v>
      </c>
      <c r="G1210" s="2">
        <f t="shared" si="36"/>
        <v>30</v>
      </c>
      <c r="H1210" s="2">
        <f t="shared" ca="1" si="37"/>
        <v>103</v>
      </c>
      <c r="I1210" s="4">
        <v>46017</v>
      </c>
      <c r="J1210" s="4">
        <v>46047</v>
      </c>
      <c r="K1210" t="s">
        <v>1564</v>
      </c>
      <c r="L1210" t="s">
        <v>984</v>
      </c>
      <c r="M1210" t="s">
        <v>19</v>
      </c>
      <c r="N1210" t="s">
        <v>1568</v>
      </c>
      <c r="O1210">
        <v>30</v>
      </c>
    </row>
    <row r="1211" spans="1:15" hidden="1" x14ac:dyDescent="0.25">
      <c r="A1211" t="s">
        <v>2820</v>
      </c>
      <c r="B1211" t="s">
        <v>1566</v>
      </c>
      <c r="C1211" t="s">
        <v>1567</v>
      </c>
      <c r="D1211" t="s">
        <v>1563</v>
      </c>
      <c r="E1211" t="s">
        <v>2795</v>
      </c>
      <c r="F1211" s="3">
        <v>775771</v>
      </c>
      <c r="G1211" s="2">
        <f t="shared" si="36"/>
        <v>30</v>
      </c>
      <c r="H1211" s="2">
        <f t="shared" ca="1" si="37"/>
        <v>103</v>
      </c>
      <c r="I1211" s="4">
        <v>46017</v>
      </c>
      <c r="J1211" s="4">
        <v>46047</v>
      </c>
      <c r="K1211" t="s">
        <v>1564</v>
      </c>
      <c r="L1211" t="s">
        <v>984</v>
      </c>
      <c r="M1211" t="s">
        <v>19</v>
      </c>
      <c r="N1211" t="s">
        <v>1568</v>
      </c>
      <c r="O1211">
        <v>30</v>
      </c>
    </row>
    <row r="1212" spans="1:15" hidden="1" x14ac:dyDescent="0.25">
      <c r="A1212" t="s">
        <v>2820</v>
      </c>
      <c r="B1212" t="s">
        <v>1572</v>
      </c>
      <c r="C1212" t="s">
        <v>1573</v>
      </c>
      <c r="D1212" t="s">
        <v>1563</v>
      </c>
      <c r="E1212" t="s">
        <v>2796</v>
      </c>
      <c r="F1212" s="3">
        <v>135007</v>
      </c>
      <c r="G1212" s="2">
        <f t="shared" si="36"/>
        <v>30</v>
      </c>
      <c r="H1212" s="2">
        <f t="shared" ca="1" si="37"/>
        <v>103</v>
      </c>
      <c r="I1212" s="4">
        <v>46017</v>
      </c>
      <c r="J1212" s="4">
        <v>46047</v>
      </c>
      <c r="K1212" t="s">
        <v>1564</v>
      </c>
      <c r="L1212" t="s">
        <v>984</v>
      </c>
      <c r="M1212" t="s">
        <v>19</v>
      </c>
      <c r="N1212" t="s">
        <v>1574</v>
      </c>
      <c r="O1212">
        <v>30</v>
      </c>
    </row>
    <row r="1213" spans="1:15" hidden="1" x14ac:dyDescent="0.25">
      <c r="A1213" t="s">
        <v>2820</v>
      </c>
      <c r="B1213" t="s">
        <v>1649</v>
      </c>
      <c r="C1213" t="s">
        <v>1650</v>
      </c>
      <c r="D1213" t="s">
        <v>1593</v>
      </c>
      <c r="E1213" t="s">
        <v>2797</v>
      </c>
      <c r="F1213" s="3">
        <v>662063</v>
      </c>
      <c r="G1213" s="2">
        <f t="shared" si="36"/>
        <v>30</v>
      </c>
      <c r="H1213" s="2">
        <f t="shared" ca="1" si="37"/>
        <v>103</v>
      </c>
      <c r="I1213" s="4">
        <v>46017</v>
      </c>
      <c r="J1213" s="4">
        <v>46047</v>
      </c>
      <c r="K1213" t="s">
        <v>1589</v>
      </c>
      <c r="L1213" t="s">
        <v>984</v>
      </c>
      <c r="M1213" t="s">
        <v>19</v>
      </c>
      <c r="N1213" t="s">
        <v>1651</v>
      </c>
      <c r="O1213">
        <v>30</v>
      </c>
    </row>
    <row r="1214" spans="1:15" hidden="1" x14ac:dyDescent="0.25">
      <c r="A1214" t="s">
        <v>2820</v>
      </c>
      <c r="B1214" t="s">
        <v>1613</v>
      </c>
      <c r="C1214" t="s">
        <v>1614</v>
      </c>
      <c r="D1214" t="s">
        <v>1593</v>
      </c>
      <c r="E1214" t="s">
        <v>2798</v>
      </c>
      <c r="F1214" s="3">
        <v>2440000</v>
      </c>
      <c r="G1214" s="2">
        <f t="shared" si="36"/>
        <v>30</v>
      </c>
      <c r="H1214" s="2">
        <f t="shared" ca="1" si="37"/>
        <v>103</v>
      </c>
      <c r="I1214" s="4">
        <v>46017</v>
      </c>
      <c r="J1214" s="4">
        <v>46047</v>
      </c>
      <c r="K1214" t="s">
        <v>1589</v>
      </c>
      <c r="L1214" t="s">
        <v>984</v>
      </c>
      <c r="M1214" t="s">
        <v>19</v>
      </c>
      <c r="N1214" t="s">
        <v>1615</v>
      </c>
      <c r="O1214">
        <v>30</v>
      </c>
    </row>
    <row r="1215" spans="1:15" hidden="1" x14ac:dyDescent="0.25">
      <c r="A1215" t="s">
        <v>2820</v>
      </c>
      <c r="B1215" t="s">
        <v>1613</v>
      </c>
      <c r="C1215" t="s">
        <v>1614</v>
      </c>
      <c r="D1215" t="s">
        <v>1593</v>
      </c>
      <c r="E1215" t="s">
        <v>2799</v>
      </c>
      <c r="F1215" s="3">
        <v>58616</v>
      </c>
      <c r="G1215" s="2">
        <f t="shared" si="36"/>
        <v>30</v>
      </c>
      <c r="H1215" s="2">
        <f t="shared" ca="1" si="37"/>
        <v>103</v>
      </c>
      <c r="I1215" s="4">
        <v>46017</v>
      </c>
      <c r="J1215" s="4">
        <v>46047</v>
      </c>
      <c r="K1215" t="s">
        <v>1589</v>
      </c>
      <c r="L1215" t="s">
        <v>984</v>
      </c>
      <c r="M1215" t="s">
        <v>19</v>
      </c>
      <c r="N1215" t="s">
        <v>1615</v>
      </c>
      <c r="O1215">
        <v>30</v>
      </c>
    </row>
    <row r="1216" spans="1:15" hidden="1" x14ac:dyDescent="0.25">
      <c r="A1216" t="s">
        <v>2820</v>
      </c>
      <c r="B1216" t="s">
        <v>1607</v>
      </c>
      <c r="C1216" t="s">
        <v>1608</v>
      </c>
      <c r="D1216" t="s">
        <v>1593</v>
      </c>
      <c r="E1216" t="s">
        <v>2800</v>
      </c>
      <c r="F1216" s="3">
        <v>2205334</v>
      </c>
      <c r="G1216" s="2">
        <f t="shared" si="36"/>
        <v>30</v>
      </c>
      <c r="H1216" s="2">
        <f t="shared" ca="1" si="37"/>
        <v>103</v>
      </c>
      <c r="I1216" s="4">
        <v>46017</v>
      </c>
      <c r="J1216" s="4">
        <v>46047</v>
      </c>
      <c r="K1216" t="s">
        <v>1589</v>
      </c>
      <c r="L1216" t="s">
        <v>984</v>
      </c>
      <c r="M1216" t="s">
        <v>19</v>
      </c>
      <c r="N1216" t="s">
        <v>1609</v>
      </c>
      <c r="O1216">
        <v>30</v>
      </c>
    </row>
    <row r="1217" spans="1:15" hidden="1" x14ac:dyDescent="0.25">
      <c r="A1217" t="s">
        <v>2820</v>
      </c>
      <c r="B1217" t="s">
        <v>1604</v>
      </c>
      <c r="C1217" t="s">
        <v>1605</v>
      </c>
      <c r="D1217" t="s">
        <v>1587</v>
      </c>
      <c r="E1217" t="s">
        <v>2801</v>
      </c>
      <c r="F1217" s="3">
        <v>2544001</v>
      </c>
      <c r="G1217" s="2">
        <f t="shared" si="36"/>
        <v>30</v>
      </c>
      <c r="H1217" s="2">
        <f t="shared" ca="1" si="37"/>
        <v>103</v>
      </c>
      <c r="I1217" s="4">
        <v>46017</v>
      </c>
      <c r="J1217" s="4">
        <v>46047</v>
      </c>
      <c r="K1217" t="s">
        <v>1589</v>
      </c>
      <c r="L1217" t="s">
        <v>984</v>
      </c>
      <c r="M1217" t="s">
        <v>19</v>
      </c>
      <c r="N1217" t="s">
        <v>1606</v>
      </c>
      <c r="O1217">
        <v>30</v>
      </c>
    </row>
    <row r="1218" spans="1:15" hidden="1" x14ac:dyDescent="0.25">
      <c r="A1218" t="s">
        <v>2820</v>
      </c>
      <c r="B1218" t="s">
        <v>1604</v>
      </c>
      <c r="C1218" t="s">
        <v>1605</v>
      </c>
      <c r="D1218" t="s">
        <v>1587</v>
      </c>
      <c r="E1218" t="s">
        <v>2802</v>
      </c>
      <c r="F1218" s="3">
        <v>591876</v>
      </c>
      <c r="G1218" s="2">
        <f t="shared" ref="G1218:G1281" si="38">+J1218-I1218</f>
        <v>30</v>
      </c>
      <c r="H1218" s="2">
        <f t="shared" ref="H1218:H1281" ca="1" si="39">+TODAY()-I1218</f>
        <v>103</v>
      </c>
      <c r="I1218" s="4">
        <v>46017</v>
      </c>
      <c r="J1218" s="4">
        <v>46047</v>
      </c>
      <c r="K1218" t="s">
        <v>1589</v>
      </c>
      <c r="L1218" t="s">
        <v>984</v>
      </c>
      <c r="M1218" t="s">
        <v>19</v>
      </c>
      <c r="N1218" t="s">
        <v>1606</v>
      </c>
      <c r="O1218">
        <v>30</v>
      </c>
    </row>
    <row r="1219" spans="1:15" hidden="1" x14ac:dyDescent="0.25">
      <c r="A1219" t="s">
        <v>2820</v>
      </c>
      <c r="B1219" t="s">
        <v>1637</v>
      </c>
      <c r="C1219" t="s">
        <v>1638</v>
      </c>
      <c r="D1219" t="s">
        <v>1593</v>
      </c>
      <c r="E1219" t="s">
        <v>2803</v>
      </c>
      <c r="F1219" s="3">
        <v>2924715</v>
      </c>
      <c r="G1219" s="2">
        <f t="shared" si="38"/>
        <v>30</v>
      </c>
      <c r="H1219" s="2">
        <f t="shared" ca="1" si="39"/>
        <v>103</v>
      </c>
      <c r="I1219" s="4">
        <v>46017</v>
      </c>
      <c r="J1219" s="4">
        <v>46047</v>
      </c>
      <c r="K1219" t="s">
        <v>1589</v>
      </c>
      <c r="L1219" t="s">
        <v>984</v>
      </c>
      <c r="M1219" t="s">
        <v>19</v>
      </c>
      <c r="N1219" t="s">
        <v>1639</v>
      </c>
      <c r="O1219">
        <v>30</v>
      </c>
    </row>
    <row r="1220" spans="1:15" hidden="1" x14ac:dyDescent="0.25">
      <c r="A1220" t="s">
        <v>2820</v>
      </c>
      <c r="B1220" t="s">
        <v>1679</v>
      </c>
      <c r="C1220" t="s">
        <v>1680</v>
      </c>
      <c r="D1220" t="s">
        <v>1593</v>
      </c>
      <c r="E1220" t="s">
        <v>2804</v>
      </c>
      <c r="F1220" s="3">
        <v>360009</v>
      </c>
      <c r="G1220" s="2">
        <f t="shared" si="38"/>
        <v>30</v>
      </c>
      <c r="H1220" s="2">
        <f t="shared" ca="1" si="39"/>
        <v>103</v>
      </c>
      <c r="I1220" s="4">
        <v>46017</v>
      </c>
      <c r="J1220" s="4">
        <v>46047</v>
      </c>
      <c r="K1220" t="s">
        <v>1589</v>
      </c>
      <c r="L1220" t="s">
        <v>984</v>
      </c>
      <c r="M1220" t="s">
        <v>19</v>
      </c>
      <c r="N1220" t="s">
        <v>1681</v>
      </c>
      <c r="O1220">
        <v>30</v>
      </c>
    </row>
    <row r="1221" spans="1:15" hidden="1" x14ac:dyDescent="0.25">
      <c r="A1221" t="s">
        <v>2820</v>
      </c>
      <c r="B1221" t="s">
        <v>1610</v>
      </c>
      <c r="C1221" t="s">
        <v>1611</v>
      </c>
      <c r="D1221" t="s">
        <v>1593</v>
      </c>
      <c r="E1221" t="s">
        <v>2805</v>
      </c>
      <c r="F1221" s="3">
        <v>503400</v>
      </c>
      <c r="G1221" s="2">
        <f t="shared" si="38"/>
        <v>30</v>
      </c>
      <c r="H1221" s="2">
        <f t="shared" ca="1" si="39"/>
        <v>103</v>
      </c>
      <c r="I1221" s="4">
        <v>46017</v>
      </c>
      <c r="J1221" s="4">
        <v>46047</v>
      </c>
      <c r="K1221" t="s">
        <v>1589</v>
      </c>
      <c r="L1221" t="s">
        <v>984</v>
      </c>
      <c r="M1221" t="s">
        <v>19</v>
      </c>
      <c r="N1221" t="s">
        <v>1612</v>
      </c>
      <c r="O1221">
        <v>30</v>
      </c>
    </row>
    <row r="1222" spans="1:15" hidden="1" x14ac:dyDescent="0.25">
      <c r="A1222" t="s">
        <v>2820</v>
      </c>
      <c r="B1222" t="s">
        <v>1610</v>
      </c>
      <c r="C1222" t="s">
        <v>1611</v>
      </c>
      <c r="D1222" t="s">
        <v>1593</v>
      </c>
      <c r="E1222" t="s">
        <v>2806</v>
      </c>
      <c r="F1222" s="3">
        <v>428000</v>
      </c>
      <c r="G1222" s="2">
        <f t="shared" si="38"/>
        <v>30</v>
      </c>
      <c r="H1222" s="2">
        <f t="shared" ca="1" si="39"/>
        <v>103</v>
      </c>
      <c r="I1222" s="4">
        <v>46017</v>
      </c>
      <c r="J1222" s="4">
        <v>46047</v>
      </c>
      <c r="K1222" t="s">
        <v>1589</v>
      </c>
      <c r="L1222" t="s">
        <v>984</v>
      </c>
      <c r="M1222" t="s">
        <v>19</v>
      </c>
      <c r="N1222" t="s">
        <v>1612</v>
      </c>
      <c r="O1222">
        <v>30</v>
      </c>
    </row>
    <row r="1223" spans="1:15" hidden="1" x14ac:dyDescent="0.25">
      <c r="A1223" t="s">
        <v>2820</v>
      </c>
      <c r="B1223" t="s">
        <v>1760</v>
      </c>
      <c r="C1223" t="s">
        <v>1761</v>
      </c>
      <c r="D1223" t="s">
        <v>1762</v>
      </c>
      <c r="E1223" t="s">
        <v>2807</v>
      </c>
      <c r="F1223" s="3">
        <v>581099</v>
      </c>
      <c r="G1223" s="2">
        <f t="shared" si="38"/>
        <v>30</v>
      </c>
      <c r="H1223" s="2">
        <f t="shared" ca="1" si="39"/>
        <v>103</v>
      </c>
      <c r="I1223" s="4">
        <v>46017</v>
      </c>
      <c r="J1223" s="4">
        <v>46047</v>
      </c>
      <c r="K1223" t="s">
        <v>1758</v>
      </c>
      <c r="L1223" t="s">
        <v>32</v>
      </c>
      <c r="M1223" t="s">
        <v>19</v>
      </c>
      <c r="N1223" t="s">
        <v>1763</v>
      </c>
      <c r="O1223">
        <v>30</v>
      </c>
    </row>
    <row r="1224" spans="1:15" hidden="1" x14ac:dyDescent="0.25">
      <c r="A1224" t="s">
        <v>2820</v>
      </c>
      <c r="B1224" t="s">
        <v>1756</v>
      </c>
      <c r="C1224" t="s">
        <v>1757</v>
      </c>
      <c r="D1224" t="s">
        <v>331</v>
      </c>
      <c r="E1224" t="s">
        <v>2808</v>
      </c>
      <c r="F1224" s="3">
        <v>778262</v>
      </c>
      <c r="G1224" s="2">
        <f t="shared" si="38"/>
        <v>30</v>
      </c>
      <c r="H1224" s="2">
        <f t="shared" ca="1" si="39"/>
        <v>103</v>
      </c>
      <c r="I1224" s="4">
        <v>46017</v>
      </c>
      <c r="J1224" s="4">
        <v>46047</v>
      </c>
      <c r="K1224" t="s">
        <v>1758</v>
      </c>
      <c r="L1224" t="s">
        <v>32</v>
      </c>
      <c r="M1224" t="s">
        <v>19</v>
      </c>
      <c r="N1224" t="s">
        <v>1759</v>
      </c>
      <c r="O1224">
        <v>30</v>
      </c>
    </row>
    <row r="1225" spans="1:15" hidden="1" x14ac:dyDescent="0.25">
      <c r="A1225" t="s">
        <v>2820</v>
      </c>
      <c r="B1225" t="s">
        <v>1764</v>
      </c>
      <c r="C1225" t="s">
        <v>1765</v>
      </c>
      <c r="D1225" t="s">
        <v>331</v>
      </c>
      <c r="E1225" t="s">
        <v>2809</v>
      </c>
      <c r="F1225" s="3">
        <v>394799</v>
      </c>
      <c r="G1225" s="2">
        <f t="shared" si="38"/>
        <v>30</v>
      </c>
      <c r="H1225" s="2">
        <f t="shared" ca="1" si="39"/>
        <v>103</v>
      </c>
      <c r="I1225" s="4">
        <v>46017</v>
      </c>
      <c r="J1225" s="4">
        <v>46047</v>
      </c>
      <c r="K1225" t="s">
        <v>1758</v>
      </c>
      <c r="L1225" t="s">
        <v>32</v>
      </c>
      <c r="M1225" t="s">
        <v>19</v>
      </c>
      <c r="N1225" t="s">
        <v>1766</v>
      </c>
      <c r="O1225">
        <v>30</v>
      </c>
    </row>
    <row r="1226" spans="1:15" hidden="1" x14ac:dyDescent="0.25">
      <c r="A1226" t="s">
        <v>2820</v>
      </c>
      <c r="B1226" t="s">
        <v>2093</v>
      </c>
      <c r="C1226" t="s">
        <v>2094</v>
      </c>
      <c r="D1226" t="s">
        <v>983</v>
      </c>
      <c r="E1226" t="s">
        <v>2810</v>
      </c>
      <c r="F1226" s="3">
        <v>1022414</v>
      </c>
      <c r="G1226" s="2">
        <f t="shared" si="38"/>
        <v>30</v>
      </c>
      <c r="H1226" s="2">
        <f t="shared" ca="1" si="39"/>
        <v>103</v>
      </c>
      <c r="I1226" s="4">
        <v>46017</v>
      </c>
      <c r="J1226" s="4">
        <v>46047</v>
      </c>
      <c r="K1226" t="s">
        <v>2156</v>
      </c>
      <c r="L1226" t="s">
        <v>981</v>
      </c>
      <c r="M1226" t="s">
        <v>19</v>
      </c>
      <c r="N1226" t="s">
        <v>987</v>
      </c>
      <c r="O1226">
        <v>30</v>
      </c>
    </row>
    <row r="1227" spans="1:15" hidden="1" x14ac:dyDescent="0.25">
      <c r="A1227" t="s">
        <v>2820</v>
      </c>
      <c r="B1227" t="s">
        <v>1268</v>
      </c>
      <c r="C1227" t="s">
        <v>1269</v>
      </c>
      <c r="D1227" t="s">
        <v>1259</v>
      </c>
      <c r="E1227" t="s">
        <v>2811</v>
      </c>
      <c r="F1227" s="3">
        <v>4532670</v>
      </c>
      <c r="G1227" s="2">
        <f t="shared" si="38"/>
        <v>30</v>
      </c>
      <c r="H1227" s="2">
        <f t="shared" ca="1" si="39"/>
        <v>103</v>
      </c>
      <c r="I1227" s="4">
        <v>46017</v>
      </c>
      <c r="J1227" s="4">
        <v>46047</v>
      </c>
      <c r="K1227" t="s">
        <v>1843</v>
      </c>
      <c r="L1227" t="s">
        <v>981</v>
      </c>
      <c r="M1227" t="s">
        <v>19</v>
      </c>
      <c r="N1227" t="s">
        <v>1270</v>
      </c>
      <c r="O1227">
        <v>30</v>
      </c>
    </row>
    <row r="1228" spans="1:15" hidden="1" x14ac:dyDescent="0.25">
      <c r="A1228" t="s">
        <v>2820</v>
      </c>
      <c r="B1228" t="s">
        <v>1928</v>
      </c>
      <c r="C1228" t="s">
        <v>1929</v>
      </c>
      <c r="D1228" t="s">
        <v>1930</v>
      </c>
      <c r="E1228" t="s">
        <v>2812</v>
      </c>
      <c r="F1228" s="3">
        <v>1357181</v>
      </c>
      <c r="G1228" s="2">
        <f t="shared" si="38"/>
        <v>30</v>
      </c>
      <c r="H1228" s="2">
        <f t="shared" ca="1" si="39"/>
        <v>103</v>
      </c>
      <c r="I1228" s="4">
        <v>46017</v>
      </c>
      <c r="J1228" s="4">
        <v>46047</v>
      </c>
      <c r="K1228" t="s">
        <v>1854</v>
      </c>
      <c r="L1228" t="s">
        <v>981</v>
      </c>
      <c r="M1228" t="s">
        <v>19</v>
      </c>
      <c r="N1228" t="s">
        <v>1931</v>
      </c>
      <c r="O1228">
        <v>30</v>
      </c>
    </row>
    <row r="1229" spans="1:15" hidden="1" x14ac:dyDescent="0.25">
      <c r="A1229" t="s">
        <v>2820</v>
      </c>
      <c r="B1229" t="s">
        <v>1975</v>
      </c>
      <c r="C1229" t="s">
        <v>1976</v>
      </c>
      <c r="D1229" t="s">
        <v>1977</v>
      </c>
      <c r="E1229" t="s">
        <v>2813</v>
      </c>
      <c r="F1229" s="3">
        <v>6335798</v>
      </c>
      <c r="G1229" s="2">
        <f t="shared" si="38"/>
        <v>30</v>
      </c>
      <c r="H1229" s="2">
        <f t="shared" ca="1" si="39"/>
        <v>103</v>
      </c>
      <c r="I1229" s="4">
        <v>46017</v>
      </c>
      <c r="J1229" s="4">
        <v>46047</v>
      </c>
      <c r="K1229" t="s">
        <v>2814</v>
      </c>
      <c r="L1229" t="s">
        <v>981</v>
      </c>
      <c r="M1229" t="s">
        <v>19</v>
      </c>
      <c r="N1229" t="s">
        <v>1978</v>
      </c>
      <c r="O1229">
        <v>30</v>
      </c>
    </row>
    <row r="1230" spans="1:15" hidden="1" x14ac:dyDescent="0.25">
      <c r="A1230" t="s">
        <v>2820</v>
      </c>
      <c r="B1230" t="s">
        <v>1975</v>
      </c>
      <c r="C1230" t="s">
        <v>1976</v>
      </c>
      <c r="D1230" t="s">
        <v>1977</v>
      </c>
      <c r="E1230" t="s">
        <v>2815</v>
      </c>
      <c r="F1230" s="3">
        <v>3199980</v>
      </c>
      <c r="G1230" s="2">
        <f t="shared" si="38"/>
        <v>30</v>
      </c>
      <c r="H1230" s="2">
        <f t="shared" ca="1" si="39"/>
        <v>103</v>
      </c>
      <c r="I1230" s="4">
        <v>46017</v>
      </c>
      <c r="J1230" s="4">
        <v>46047</v>
      </c>
      <c r="K1230" t="s">
        <v>2814</v>
      </c>
      <c r="L1230" t="s">
        <v>981</v>
      </c>
      <c r="M1230" t="s">
        <v>19</v>
      </c>
      <c r="N1230" t="s">
        <v>1978</v>
      </c>
      <c r="O1230">
        <v>30</v>
      </c>
    </row>
    <row r="1231" spans="1:15" hidden="1" x14ac:dyDescent="0.25">
      <c r="A1231" t="s">
        <v>2820</v>
      </c>
      <c r="B1231" t="s">
        <v>192</v>
      </c>
      <c r="C1231" t="s">
        <v>193</v>
      </c>
      <c r="D1231" t="s">
        <v>15</v>
      </c>
      <c r="E1231" t="s">
        <v>2723</v>
      </c>
      <c r="F1231" s="3">
        <v>511207</v>
      </c>
      <c r="G1231" s="2">
        <f t="shared" si="38"/>
        <v>30</v>
      </c>
      <c r="H1231" s="2">
        <f t="shared" ca="1" si="39"/>
        <v>102</v>
      </c>
      <c r="I1231" s="4">
        <v>46018</v>
      </c>
      <c r="J1231" s="4">
        <v>46048</v>
      </c>
      <c r="K1231" t="s">
        <v>17</v>
      </c>
      <c r="L1231" t="s">
        <v>32</v>
      </c>
      <c r="M1231" t="s">
        <v>19</v>
      </c>
      <c r="N1231" t="s">
        <v>194</v>
      </c>
      <c r="O1231">
        <v>30</v>
      </c>
    </row>
    <row r="1232" spans="1:15" hidden="1" x14ac:dyDescent="0.25">
      <c r="A1232" t="s">
        <v>2820</v>
      </c>
      <c r="B1232" t="s">
        <v>150</v>
      </c>
      <c r="C1232" t="s">
        <v>151</v>
      </c>
      <c r="D1232" t="s">
        <v>46</v>
      </c>
      <c r="E1232" t="s">
        <v>2724</v>
      </c>
      <c r="F1232" s="3">
        <v>512183</v>
      </c>
      <c r="G1232" s="2">
        <f t="shared" si="38"/>
        <v>30</v>
      </c>
      <c r="H1232" s="2">
        <f t="shared" ca="1" si="39"/>
        <v>102</v>
      </c>
      <c r="I1232" s="4">
        <v>46018</v>
      </c>
      <c r="J1232" s="4">
        <v>46048</v>
      </c>
      <c r="K1232" t="s">
        <v>17</v>
      </c>
      <c r="L1232" t="s">
        <v>32</v>
      </c>
      <c r="M1232" t="s">
        <v>19</v>
      </c>
      <c r="N1232" t="s">
        <v>152</v>
      </c>
      <c r="O1232">
        <v>30</v>
      </c>
    </row>
    <row r="1233" spans="1:15" hidden="1" x14ac:dyDescent="0.25">
      <c r="A1233" t="s">
        <v>2820</v>
      </c>
      <c r="B1233" t="s">
        <v>121</v>
      </c>
      <c r="C1233" t="s">
        <v>122</v>
      </c>
      <c r="D1233" t="s">
        <v>15</v>
      </c>
      <c r="E1233" t="s">
        <v>2725</v>
      </c>
      <c r="F1233" s="3">
        <v>1399216</v>
      </c>
      <c r="G1233" s="2">
        <f t="shared" si="38"/>
        <v>30</v>
      </c>
      <c r="H1233" s="2">
        <f t="shared" ca="1" si="39"/>
        <v>102</v>
      </c>
      <c r="I1233" s="4">
        <v>46018</v>
      </c>
      <c r="J1233" s="4">
        <v>46048</v>
      </c>
      <c r="K1233" t="s">
        <v>17</v>
      </c>
      <c r="L1233" t="s">
        <v>32</v>
      </c>
      <c r="M1233" t="s">
        <v>19</v>
      </c>
      <c r="N1233" t="s">
        <v>123</v>
      </c>
      <c r="O1233">
        <v>30</v>
      </c>
    </row>
    <row r="1234" spans="1:15" hidden="1" x14ac:dyDescent="0.25">
      <c r="A1234" t="s">
        <v>2820</v>
      </c>
      <c r="B1234" t="s">
        <v>130</v>
      </c>
      <c r="C1234" t="s">
        <v>131</v>
      </c>
      <c r="D1234" t="s">
        <v>15</v>
      </c>
      <c r="E1234" t="s">
        <v>2726</v>
      </c>
      <c r="F1234" s="3">
        <v>896207</v>
      </c>
      <c r="G1234" s="2">
        <f t="shared" si="38"/>
        <v>30</v>
      </c>
      <c r="H1234" s="2">
        <f t="shared" ca="1" si="39"/>
        <v>102</v>
      </c>
      <c r="I1234" s="4">
        <v>46018</v>
      </c>
      <c r="J1234" s="4">
        <v>46048</v>
      </c>
      <c r="K1234" t="s">
        <v>17</v>
      </c>
      <c r="L1234" t="s">
        <v>32</v>
      </c>
      <c r="M1234" t="s">
        <v>19</v>
      </c>
      <c r="N1234" t="s">
        <v>132</v>
      </c>
      <c r="O1234">
        <v>30</v>
      </c>
    </row>
    <row r="1235" spans="1:15" hidden="1" x14ac:dyDescent="0.25">
      <c r="A1235" t="s">
        <v>2820</v>
      </c>
      <c r="B1235" t="s">
        <v>64</v>
      </c>
      <c r="C1235" t="s">
        <v>65</v>
      </c>
      <c r="D1235" t="s">
        <v>46</v>
      </c>
      <c r="E1235" t="s">
        <v>2727</v>
      </c>
      <c r="F1235" s="3">
        <v>293400</v>
      </c>
      <c r="G1235" s="2">
        <f t="shared" si="38"/>
        <v>30</v>
      </c>
      <c r="H1235" s="2">
        <f t="shared" ca="1" si="39"/>
        <v>102</v>
      </c>
      <c r="I1235" s="4">
        <v>46018</v>
      </c>
      <c r="J1235" s="4">
        <v>46048</v>
      </c>
      <c r="K1235" t="s">
        <v>17</v>
      </c>
      <c r="L1235" t="s">
        <v>32</v>
      </c>
      <c r="M1235" t="s">
        <v>19</v>
      </c>
      <c r="N1235" t="s">
        <v>66</v>
      </c>
      <c r="O1235">
        <v>30</v>
      </c>
    </row>
    <row r="1236" spans="1:15" hidden="1" x14ac:dyDescent="0.25">
      <c r="A1236" t="s">
        <v>2820</v>
      </c>
      <c r="B1236" t="s">
        <v>61</v>
      </c>
      <c r="C1236" t="s">
        <v>62</v>
      </c>
      <c r="D1236" t="s">
        <v>46</v>
      </c>
      <c r="E1236" t="s">
        <v>2728</v>
      </c>
      <c r="F1236" s="3">
        <v>256694</v>
      </c>
      <c r="G1236" s="2">
        <f t="shared" si="38"/>
        <v>30</v>
      </c>
      <c r="H1236" s="2">
        <f t="shared" ca="1" si="39"/>
        <v>102</v>
      </c>
      <c r="I1236" s="4">
        <v>46018</v>
      </c>
      <c r="J1236" s="4">
        <v>46048</v>
      </c>
      <c r="K1236" t="s">
        <v>17</v>
      </c>
      <c r="L1236" t="s">
        <v>32</v>
      </c>
      <c r="M1236" t="s">
        <v>19</v>
      </c>
      <c r="N1236" t="s">
        <v>63</v>
      </c>
      <c r="O1236">
        <v>30</v>
      </c>
    </row>
    <row r="1237" spans="1:15" hidden="1" x14ac:dyDescent="0.25">
      <c r="A1237" t="s">
        <v>2820</v>
      </c>
      <c r="B1237" t="s">
        <v>61</v>
      </c>
      <c r="C1237" t="s">
        <v>62</v>
      </c>
      <c r="D1237" t="s">
        <v>46</v>
      </c>
      <c r="E1237" t="s">
        <v>2729</v>
      </c>
      <c r="F1237" s="3">
        <v>2757919</v>
      </c>
      <c r="G1237" s="2">
        <f t="shared" si="38"/>
        <v>30</v>
      </c>
      <c r="H1237" s="2">
        <f t="shared" ca="1" si="39"/>
        <v>102</v>
      </c>
      <c r="I1237" s="4">
        <v>46018</v>
      </c>
      <c r="J1237" s="4">
        <v>46048</v>
      </c>
      <c r="K1237" t="s">
        <v>17</v>
      </c>
      <c r="L1237" t="s">
        <v>32</v>
      </c>
      <c r="M1237" t="s">
        <v>19</v>
      </c>
      <c r="N1237" t="s">
        <v>63</v>
      </c>
      <c r="O1237">
        <v>30</v>
      </c>
    </row>
    <row r="1238" spans="1:15" hidden="1" x14ac:dyDescent="0.25">
      <c r="A1238" t="s">
        <v>2820</v>
      </c>
      <c r="B1238" t="s">
        <v>1957</v>
      </c>
      <c r="C1238" t="s">
        <v>1958</v>
      </c>
      <c r="D1238" t="s">
        <v>15</v>
      </c>
      <c r="E1238" t="s">
        <v>2821</v>
      </c>
      <c r="F1238" s="3">
        <v>644010</v>
      </c>
      <c r="G1238" s="2">
        <f t="shared" si="38"/>
        <v>30</v>
      </c>
      <c r="H1238" s="2">
        <f t="shared" ca="1" si="39"/>
        <v>102</v>
      </c>
      <c r="I1238" s="4">
        <v>46018</v>
      </c>
      <c r="J1238" s="4">
        <v>46048</v>
      </c>
      <c r="K1238" t="s">
        <v>17</v>
      </c>
      <c r="L1238" t="s">
        <v>109</v>
      </c>
      <c r="M1238" t="s">
        <v>19</v>
      </c>
      <c r="N1238" t="s">
        <v>1959</v>
      </c>
      <c r="O1238">
        <v>30</v>
      </c>
    </row>
    <row r="1239" spans="1:15" hidden="1" x14ac:dyDescent="0.25">
      <c r="A1239" t="s">
        <v>2820</v>
      </c>
      <c r="B1239" t="s">
        <v>1957</v>
      </c>
      <c r="C1239" t="s">
        <v>1958</v>
      </c>
      <c r="D1239" t="s">
        <v>15</v>
      </c>
      <c r="E1239" t="s">
        <v>2822</v>
      </c>
      <c r="F1239" s="3">
        <v>1108541</v>
      </c>
      <c r="G1239" s="2">
        <f t="shared" si="38"/>
        <v>30</v>
      </c>
      <c r="H1239" s="2">
        <f t="shared" ca="1" si="39"/>
        <v>102</v>
      </c>
      <c r="I1239" s="4">
        <v>46018</v>
      </c>
      <c r="J1239" s="4">
        <v>46048</v>
      </c>
      <c r="K1239" t="s">
        <v>17</v>
      </c>
      <c r="L1239" t="s">
        <v>109</v>
      </c>
      <c r="M1239" t="s">
        <v>19</v>
      </c>
      <c r="N1239" t="s">
        <v>1959</v>
      </c>
      <c r="O1239">
        <v>30</v>
      </c>
    </row>
    <row r="1240" spans="1:15" hidden="1" x14ac:dyDescent="0.25">
      <c r="A1240" t="s">
        <v>2820</v>
      </c>
      <c r="B1240" t="s">
        <v>101</v>
      </c>
      <c r="C1240" t="s">
        <v>102</v>
      </c>
      <c r="D1240" t="s">
        <v>15</v>
      </c>
      <c r="E1240" t="s">
        <v>2823</v>
      </c>
      <c r="F1240" s="3">
        <v>1237444</v>
      </c>
      <c r="G1240" s="2">
        <f t="shared" si="38"/>
        <v>30</v>
      </c>
      <c r="H1240" s="2">
        <f t="shared" ca="1" si="39"/>
        <v>100</v>
      </c>
      <c r="I1240" s="4">
        <v>46020</v>
      </c>
      <c r="J1240" s="4">
        <v>46050</v>
      </c>
      <c r="K1240" t="s">
        <v>17</v>
      </c>
      <c r="L1240" t="s">
        <v>32</v>
      </c>
      <c r="M1240" t="s">
        <v>19</v>
      </c>
      <c r="N1240" t="s">
        <v>103</v>
      </c>
      <c r="O1240">
        <v>30</v>
      </c>
    </row>
    <row r="1241" spans="1:15" hidden="1" x14ac:dyDescent="0.25">
      <c r="A1241" t="s">
        <v>2820</v>
      </c>
      <c r="B1241" t="s">
        <v>64</v>
      </c>
      <c r="C1241" t="s">
        <v>65</v>
      </c>
      <c r="D1241" t="s">
        <v>46</v>
      </c>
      <c r="E1241" t="s">
        <v>2824</v>
      </c>
      <c r="F1241" s="3">
        <v>640788</v>
      </c>
      <c r="G1241" s="2">
        <f t="shared" si="38"/>
        <v>30</v>
      </c>
      <c r="H1241" s="2">
        <f t="shared" ca="1" si="39"/>
        <v>100</v>
      </c>
      <c r="I1241" s="4">
        <v>46020</v>
      </c>
      <c r="J1241" s="4">
        <v>46050</v>
      </c>
      <c r="K1241" t="s">
        <v>17</v>
      </c>
      <c r="L1241" t="s">
        <v>32</v>
      </c>
      <c r="M1241" t="s">
        <v>19</v>
      </c>
      <c r="N1241" t="s">
        <v>66</v>
      </c>
      <c r="O1241">
        <v>30</v>
      </c>
    </row>
    <row r="1242" spans="1:15" hidden="1" x14ac:dyDescent="0.25">
      <c r="A1242" t="s">
        <v>2820</v>
      </c>
      <c r="B1242" t="s">
        <v>82</v>
      </c>
      <c r="C1242" t="s">
        <v>83</v>
      </c>
      <c r="D1242" t="s">
        <v>15</v>
      </c>
      <c r="E1242" t="s">
        <v>2825</v>
      </c>
      <c r="F1242" s="3">
        <v>383995</v>
      </c>
      <c r="G1242" s="2">
        <f t="shared" si="38"/>
        <v>30</v>
      </c>
      <c r="H1242" s="2">
        <f t="shared" ca="1" si="39"/>
        <v>100</v>
      </c>
      <c r="I1242" s="4">
        <v>46020</v>
      </c>
      <c r="J1242" s="4">
        <v>46050</v>
      </c>
      <c r="K1242" t="s">
        <v>17</v>
      </c>
      <c r="L1242" t="s">
        <v>32</v>
      </c>
      <c r="M1242" t="s">
        <v>19</v>
      </c>
      <c r="N1242" t="s">
        <v>84</v>
      </c>
      <c r="O1242">
        <v>30</v>
      </c>
    </row>
    <row r="1243" spans="1:15" hidden="1" x14ac:dyDescent="0.25">
      <c r="A1243" t="s">
        <v>2820</v>
      </c>
      <c r="B1243" t="s">
        <v>2087</v>
      </c>
      <c r="C1243" t="s">
        <v>2088</v>
      </c>
      <c r="D1243" t="s">
        <v>15</v>
      </c>
      <c r="E1243" t="s">
        <v>2903</v>
      </c>
      <c r="F1243" s="3">
        <v>96000</v>
      </c>
      <c r="G1243" s="2">
        <f t="shared" si="38"/>
        <v>8</v>
      </c>
      <c r="H1243" s="2">
        <f t="shared" ca="1" si="39"/>
        <v>100</v>
      </c>
      <c r="I1243" s="4">
        <v>46020</v>
      </c>
      <c r="J1243" s="4">
        <v>46028</v>
      </c>
      <c r="K1243" t="s">
        <v>17</v>
      </c>
      <c r="L1243" t="s">
        <v>312</v>
      </c>
      <c r="M1243" t="s">
        <v>19</v>
      </c>
      <c r="N1243" t="s">
        <v>2089</v>
      </c>
      <c r="O1243">
        <v>30</v>
      </c>
    </row>
    <row r="1244" spans="1:15" hidden="1" x14ac:dyDescent="0.25">
      <c r="A1244" t="s">
        <v>2820</v>
      </c>
      <c r="B1244" t="s">
        <v>82</v>
      </c>
      <c r="C1244" t="s">
        <v>83</v>
      </c>
      <c r="D1244" t="s">
        <v>15</v>
      </c>
      <c r="E1244" t="s">
        <v>2904</v>
      </c>
      <c r="F1244" s="3">
        <v>1585961</v>
      </c>
      <c r="G1244" s="2">
        <f t="shared" si="38"/>
        <v>30</v>
      </c>
      <c r="H1244" s="2">
        <f t="shared" ca="1" si="39"/>
        <v>100</v>
      </c>
      <c r="I1244" s="4">
        <v>46020</v>
      </c>
      <c r="J1244" s="4">
        <v>46050</v>
      </c>
      <c r="K1244" t="s">
        <v>17</v>
      </c>
      <c r="L1244" t="s">
        <v>117</v>
      </c>
      <c r="M1244" t="s">
        <v>19</v>
      </c>
      <c r="N1244" t="s">
        <v>84</v>
      </c>
      <c r="O1244">
        <v>30</v>
      </c>
    </row>
    <row r="1245" spans="1:15" hidden="1" x14ac:dyDescent="0.25">
      <c r="A1245" t="s">
        <v>2820</v>
      </c>
      <c r="B1245" t="s">
        <v>2200</v>
      </c>
      <c r="C1245" t="s">
        <v>2201</v>
      </c>
      <c r="D1245" t="s">
        <v>15</v>
      </c>
      <c r="E1245" t="s">
        <v>2905</v>
      </c>
      <c r="F1245" s="3">
        <v>504043</v>
      </c>
      <c r="G1245" s="2">
        <f t="shared" si="38"/>
        <v>30</v>
      </c>
      <c r="H1245" s="2">
        <f t="shared" ca="1" si="39"/>
        <v>100</v>
      </c>
      <c r="I1245" s="4">
        <v>46020</v>
      </c>
      <c r="J1245" s="4">
        <v>46050</v>
      </c>
      <c r="K1245" t="s">
        <v>17</v>
      </c>
      <c r="L1245" t="s">
        <v>317</v>
      </c>
      <c r="M1245" t="s">
        <v>19</v>
      </c>
      <c r="N1245" t="s">
        <v>2202</v>
      </c>
      <c r="O1245">
        <v>30</v>
      </c>
    </row>
    <row r="1246" spans="1:15" hidden="1" x14ac:dyDescent="0.25">
      <c r="A1246" t="s">
        <v>2820</v>
      </c>
      <c r="B1246" t="s">
        <v>364</v>
      </c>
      <c r="C1246" t="s">
        <v>365</v>
      </c>
      <c r="D1246" t="s">
        <v>347</v>
      </c>
      <c r="E1246" t="s">
        <v>2931</v>
      </c>
      <c r="F1246" s="3">
        <v>1462087</v>
      </c>
      <c r="G1246" s="2">
        <f t="shared" si="38"/>
        <v>30</v>
      </c>
      <c r="H1246" s="2">
        <f t="shared" ca="1" si="39"/>
        <v>100</v>
      </c>
      <c r="I1246" s="4">
        <v>46020</v>
      </c>
      <c r="J1246" s="4">
        <v>46050</v>
      </c>
      <c r="K1246" t="s">
        <v>343</v>
      </c>
      <c r="L1246" t="s">
        <v>18</v>
      </c>
      <c r="M1246" t="s">
        <v>19</v>
      </c>
      <c r="N1246" t="s">
        <v>366</v>
      </c>
      <c r="O1246">
        <v>30</v>
      </c>
    </row>
    <row r="1247" spans="1:15" hidden="1" x14ac:dyDescent="0.25">
      <c r="A1247" t="s">
        <v>2820</v>
      </c>
      <c r="B1247" t="s">
        <v>367</v>
      </c>
      <c r="C1247" t="s">
        <v>368</v>
      </c>
      <c r="D1247" t="s">
        <v>347</v>
      </c>
      <c r="E1247" t="s">
        <v>2932</v>
      </c>
      <c r="F1247" s="3">
        <v>2771759</v>
      </c>
      <c r="G1247" s="2">
        <f t="shared" si="38"/>
        <v>30</v>
      </c>
      <c r="H1247" s="2">
        <f t="shared" ca="1" si="39"/>
        <v>100</v>
      </c>
      <c r="I1247" s="4">
        <v>46020</v>
      </c>
      <c r="J1247" s="4">
        <v>46050</v>
      </c>
      <c r="K1247" t="s">
        <v>343</v>
      </c>
      <c r="L1247" t="s">
        <v>18</v>
      </c>
      <c r="M1247" t="s">
        <v>19</v>
      </c>
      <c r="N1247" t="s">
        <v>369</v>
      </c>
      <c r="O1247">
        <v>30</v>
      </c>
    </row>
    <row r="1248" spans="1:15" hidden="1" x14ac:dyDescent="0.25">
      <c r="A1248" t="s">
        <v>2820</v>
      </c>
      <c r="B1248" t="s">
        <v>1960</v>
      </c>
      <c r="C1248" t="s">
        <v>1961</v>
      </c>
      <c r="D1248" t="s">
        <v>1962</v>
      </c>
      <c r="E1248" t="s">
        <v>2933</v>
      </c>
      <c r="F1248" s="3">
        <v>4190163</v>
      </c>
      <c r="G1248" s="2">
        <f t="shared" si="38"/>
        <v>30</v>
      </c>
      <c r="H1248" s="2">
        <f t="shared" ca="1" si="39"/>
        <v>100</v>
      </c>
      <c r="I1248" s="4">
        <v>46020</v>
      </c>
      <c r="J1248" s="4">
        <v>46050</v>
      </c>
      <c r="K1248" t="s">
        <v>343</v>
      </c>
      <c r="L1248" t="s">
        <v>18</v>
      </c>
      <c r="M1248" t="s">
        <v>19</v>
      </c>
      <c r="N1248" t="s">
        <v>1963</v>
      </c>
      <c r="O1248">
        <v>30</v>
      </c>
    </row>
    <row r="1249" spans="1:15" hidden="1" x14ac:dyDescent="0.25">
      <c r="A1249" t="s">
        <v>2820</v>
      </c>
      <c r="B1249" t="s">
        <v>384</v>
      </c>
      <c r="C1249" t="s">
        <v>385</v>
      </c>
      <c r="D1249" t="s">
        <v>347</v>
      </c>
      <c r="E1249" t="s">
        <v>2934</v>
      </c>
      <c r="F1249" s="3">
        <v>1079383</v>
      </c>
      <c r="G1249" s="2">
        <f t="shared" si="38"/>
        <v>30</v>
      </c>
      <c r="H1249" s="2">
        <f t="shared" ca="1" si="39"/>
        <v>100</v>
      </c>
      <c r="I1249" s="4">
        <v>46020</v>
      </c>
      <c r="J1249" s="4">
        <v>46050</v>
      </c>
      <c r="K1249" t="s">
        <v>343</v>
      </c>
      <c r="L1249" t="s">
        <v>18</v>
      </c>
      <c r="M1249" t="s">
        <v>19</v>
      </c>
      <c r="N1249" t="s">
        <v>386</v>
      </c>
      <c r="O1249">
        <v>30</v>
      </c>
    </row>
    <row r="1250" spans="1:15" hidden="1" x14ac:dyDescent="0.25">
      <c r="A1250" t="s">
        <v>2820</v>
      </c>
      <c r="B1250" t="s">
        <v>364</v>
      </c>
      <c r="C1250" t="s">
        <v>365</v>
      </c>
      <c r="D1250" t="s">
        <v>347</v>
      </c>
      <c r="E1250" t="s">
        <v>2935</v>
      </c>
      <c r="F1250" s="3">
        <v>228984</v>
      </c>
      <c r="G1250" s="2">
        <f t="shared" si="38"/>
        <v>30</v>
      </c>
      <c r="H1250" s="2">
        <f t="shared" ca="1" si="39"/>
        <v>100</v>
      </c>
      <c r="I1250" s="4">
        <v>46020</v>
      </c>
      <c r="J1250" s="4">
        <v>46050</v>
      </c>
      <c r="K1250" t="s">
        <v>343</v>
      </c>
      <c r="L1250" t="s">
        <v>18</v>
      </c>
      <c r="M1250" t="s">
        <v>19</v>
      </c>
      <c r="N1250" t="s">
        <v>366</v>
      </c>
      <c r="O1250">
        <v>30</v>
      </c>
    </row>
    <row r="1251" spans="1:15" hidden="1" x14ac:dyDescent="0.25">
      <c r="A1251" t="s">
        <v>2820</v>
      </c>
      <c r="B1251" t="s">
        <v>373</v>
      </c>
      <c r="C1251" t="s">
        <v>374</v>
      </c>
      <c r="D1251" t="s">
        <v>204</v>
      </c>
      <c r="E1251" t="s">
        <v>2936</v>
      </c>
      <c r="F1251" s="3">
        <v>873505</v>
      </c>
      <c r="G1251" s="2">
        <f t="shared" si="38"/>
        <v>30</v>
      </c>
      <c r="H1251" s="2">
        <f t="shared" ca="1" si="39"/>
        <v>100</v>
      </c>
      <c r="I1251" s="4">
        <v>46020</v>
      </c>
      <c r="J1251" s="4">
        <v>46050</v>
      </c>
      <c r="K1251" t="s">
        <v>343</v>
      </c>
      <c r="L1251" t="s">
        <v>18</v>
      </c>
      <c r="M1251" t="s">
        <v>19</v>
      </c>
      <c r="N1251" t="s">
        <v>375</v>
      </c>
      <c r="O1251">
        <v>30</v>
      </c>
    </row>
    <row r="1252" spans="1:15" hidden="1" x14ac:dyDescent="0.25">
      <c r="A1252" t="s">
        <v>2820</v>
      </c>
      <c r="B1252" t="s">
        <v>373</v>
      </c>
      <c r="C1252" t="s">
        <v>374</v>
      </c>
      <c r="D1252" t="s">
        <v>204</v>
      </c>
      <c r="E1252" t="s">
        <v>2937</v>
      </c>
      <c r="F1252" s="3">
        <v>1026400</v>
      </c>
      <c r="G1252" s="2">
        <f t="shared" si="38"/>
        <v>30</v>
      </c>
      <c r="H1252" s="2">
        <f t="shared" ca="1" si="39"/>
        <v>100</v>
      </c>
      <c r="I1252" s="4">
        <v>46020</v>
      </c>
      <c r="J1252" s="4">
        <v>46050</v>
      </c>
      <c r="K1252" t="s">
        <v>343</v>
      </c>
      <c r="L1252" t="s">
        <v>18</v>
      </c>
      <c r="M1252" t="s">
        <v>19</v>
      </c>
      <c r="N1252" t="s">
        <v>375</v>
      </c>
      <c r="O1252">
        <v>30</v>
      </c>
    </row>
    <row r="1253" spans="1:15" hidden="1" x14ac:dyDescent="0.25">
      <c r="A1253" t="s">
        <v>2820</v>
      </c>
      <c r="B1253" t="s">
        <v>1907</v>
      </c>
      <c r="C1253" t="s">
        <v>1908</v>
      </c>
      <c r="D1253" t="s">
        <v>204</v>
      </c>
      <c r="E1253" t="s">
        <v>2938</v>
      </c>
      <c r="F1253" s="3">
        <v>129602</v>
      </c>
      <c r="G1253" s="2">
        <f t="shared" si="38"/>
        <v>30</v>
      </c>
      <c r="H1253" s="2">
        <f t="shared" ca="1" si="39"/>
        <v>100</v>
      </c>
      <c r="I1253" s="4">
        <v>46020</v>
      </c>
      <c r="J1253" s="4">
        <v>46050</v>
      </c>
      <c r="K1253" t="s">
        <v>343</v>
      </c>
      <c r="L1253" t="s">
        <v>117</v>
      </c>
      <c r="M1253" t="s">
        <v>19</v>
      </c>
      <c r="N1253" t="s">
        <v>1909</v>
      </c>
      <c r="O1253">
        <v>30</v>
      </c>
    </row>
    <row r="1254" spans="1:15" hidden="1" x14ac:dyDescent="0.25">
      <c r="A1254" t="s">
        <v>2820</v>
      </c>
      <c r="B1254" t="s">
        <v>1907</v>
      </c>
      <c r="C1254" t="s">
        <v>1908</v>
      </c>
      <c r="D1254" t="s">
        <v>204</v>
      </c>
      <c r="E1254" t="s">
        <v>2939</v>
      </c>
      <c r="F1254" s="3">
        <v>668051</v>
      </c>
      <c r="G1254" s="2">
        <f t="shared" si="38"/>
        <v>30</v>
      </c>
      <c r="H1254" s="2">
        <f t="shared" ca="1" si="39"/>
        <v>100</v>
      </c>
      <c r="I1254" s="4">
        <v>46020</v>
      </c>
      <c r="J1254" s="4">
        <v>46050</v>
      </c>
      <c r="K1254" t="s">
        <v>343</v>
      </c>
      <c r="L1254" t="s">
        <v>47</v>
      </c>
      <c r="M1254" t="s">
        <v>19</v>
      </c>
      <c r="N1254" t="s">
        <v>1909</v>
      </c>
      <c r="O1254">
        <v>30</v>
      </c>
    </row>
    <row r="1255" spans="1:15" hidden="1" x14ac:dyDescent="0.25">
      <c r="A1255" t="s">
        <v>2820</v>
      </c>
      <c r="B1255" t="s">
        <v>1932</v>
      </c>
      <c r="C1255" t="s">
        <v>1933</v>
      </c>
      <c r="D1255" t="s">
        <v>916</v>
      </c>
      <c r="E1255" t="s">
        <v>2983</v>
      </c>
      <c r="F1255" s="3">
        <v>592800</v>
      </c>
      <c r="G1255" s="2">
        <f t="shared" si="38"/>
        <v>30</v>
      </c>
      <c r="H1255" s="2">
        <f t="shared" ca="1" si="39"/>
        <v>100</v>
      </c>
      <c r="I1255" s="4">
        <v>46020</v>
      </c>
      <c r="J1255" s="4">
        <v>46050</v>
      </c>
      <c r="K1255" t="s">
        <v>918</v>
      </c>
      <c r="L1255" t="s">
        <v>312</v>
      </c>
      <c r="M1255" t="s">
        <v>19</v>
      </c>
      <c r="N1255" t="s">
        <v>1934</v>
      </c>
      <c r="O1255">
        <v>30</v>
      </c>
    </row>
    <row r="1256" spans="1:15" hidden="1" x14ac:dyDescent="0.25">
      <c r="A1256" t="s">
        <v>2820</v>
      </c>
      <c r="B1256" t="s">
        <v>961</v>
      </c>
      <c r="C1256" t="s">
        <v>962</v>
      </c>
      <c r="D1256" t="s">
        <v>916</v>
      </c>
      <c r="E1256" t="s">
        <v>2984</v>
      </c>
      <c r="F1256" s="3">
        <v>548923</v>
      </c>
      <c r="G1256" s="2">
        <f t="shared" si="38"/>
        <v>30</v>
      </c>
      <c r="H1256" s="2">
        <f t="shared" ca="1" si="39"/>
        <v>100</v>
      </c>
      <c r="I1256" s="4">
        <v>46020</v>
      </c>
      <c r="J1256" s="4">
        <v>46050</v>
      </c>
      <c r="K1256" t="s">
        <v>918</v>
      </c>
      <c r="L1256" t="s">
        <v>312</v>
      </c>
      <c r="M1256" t="s">
        <v>19</v>
      </c>
      <c r="N1256" t="s">
        <v>963</v>
      </c>
      <c r="O1256">
        <v>30</v>
      </c>
    </row>
    <row r="1257" spans="1:15" hidden="1" x14ac:dyDescent="0.25">
      <c r="A1257" t="s">
        <v>2820</v>
      </c>
      <c r="B1257" t="s">
        <v>937</v>
      </c>
      <c r="C1257" t="s">
        <v>938</v>
      </c>
      <c r="D1257" t="s">
        <v>930</v>
      </c>
      <c r="E1257" t="s">
        <v>2985</v>
      </c>
      <c r="F1257" s="3">
        <v>716404</v>
      </c>
      <c r="G1257" s="2">
        <f t="shared" si="38"/>
        <v>30</v>
      </c>
      <c r="H1257" s="2">
        <f t="shared" ca="1" si="39"/>
        <v>100</v>
      </c>
      <c r="I1257" s="4">
        <v>46020</v>
      </c>
      <c r="J1257" s="4">
        <v>46050</v>
      </c>
      <c r="K1257" t="s">
        <v>918</v>
      </c>
      <c r="L1257" t="s">
        <v>312</v>
      </c>
      <c r="M1257" t="s">
        <v>19</v>
      </c>
      <c r="N1257" t="s">
        <v>939</v>
      </c>
      <c r="O1257">
        <v>30</v>
      </c>
    </row>
    <row r="1258" spans="1:15" hidden="1" x14ac:dyDescent="0.25">
      <c r="A1258" t="s">
        <v>2820</v>
      </c>
      <c r="B1258" t="s">
        <v>958</v>
      </c>
      <c r="C1258" t="s">
        <v>959</v>
      </c>
      <c r="D1258" t="s">
        <v>916</v>
      </c>
      <c r="E1258" t="s">
        <v>2986</v>
      </c>
      <c r="F1258" s="3">
        <v>370147</v>
      </c>
      <c r="G1258" s="2">
        <f t="shared" si="38"/>
        <v>30</v>
      </c>
      <c r="H1258" s="2">
        <f t="shared" ca="1" si="39"/>
        <v>100</v>
      </c>
      <c r="I1258" s="4">
        <v>46020</v>
      </c>
      <c r="J1258" s="4">
        <v>46050</v>
      </c>
      <c r="K1258" t="s">
        <v>918</v>
      </c>
      <c r="L1258" t="s">
        <v>312</v>
      </c>
      <c r="M1258" t="s">
        <v>19</v>
      </c>
      <c r="N1258" t="s">
        <v>960</v>
      </c>
      <c r="O1258">
        <v>30</v>
      </c>
    </row>
    <row r="1259" spans="1:15" hidden="1" x14ac:dyDescent="0.25">
      <c r="A1259" t="s">
        <v>2820</v>
      </c>
      <c r="B1259" t="s">
        <v>2241</v>
      </c>
      <c r="C1259" t="s">
        <v>2242</v>
      </c>
      <c r="D1259" t="s">
        <v>930</v>
      </c>
      <c r="E1259" t="s">
        <v>2987</v>
      </c>
      <c r="F1259" s="3">
        <v>1158639</v>
      </c>
      <c r="G1259" s="2">
        <f t="shared" si="38"/>
        <v>30</v>
      </c>
      <c r="H1259" s="2">
        <f t="shared" ca="1" si="39"/>
        <v>100</v>
      </c>
      <c r="I1259" s="4">
        <v>46020</v>
      </c>
      <c r="J1259" s="4">
        <v>46050</v>
      </c>
      <c r="K1259" t="s">
        <v>918</v>
      </c>
      <c r="L1259" t="s">
        <v>312</v>
      </c>
      <c r="M1259" t="s">
        <v>19</v>
      </c>
      <c r="N1259" t="s">
        <v>2243</v>
      </c>
      <c r="O1259">
        <v>30</v>
      </c>
    </row>
    <row r="1260" spans="1:15" hidden="1" x14ac:dyDescent="0.25">
      <c r="A1260" t="s">
        <v>2820</v>
      </c>
      <c r="B1260" t="s">
        <v>1910</v>
      </c>
      <c r="C1260" t="s">
        <v>1911</v>
      </c>
      <c r="D1260" t="s">
        <v>916</v>
      </c>
      <c r="E1260" t="s">
        <v>2988</v>
      </c>
      <c r="F1260" s="3">
        <v>428000</v>
      </c>
      <c r="G1260" s="2">
        <f t="shared" si="38"/>
        <v>30</v>
      </c>
      <c r="H1260" s="2">
        <f t="shared" ca="1" si="39"/>
        <v>100</v>
      </c>
      <c r="I1260" s="4">
        <v>46020</v>
      </c>
      <c r="J1260" s="4">
        <v>46050</v>
      </c>
      <c r="K1260" t="s">
        <v>918</v>
      </c>
      <c r="L1260" t="s">
        <v>312</v>
      </c>
      <c r="M1260" t="s">
        <v>19</v>
      </c>
      <c r="N1260" t="s">
        <v>1912</v>
      </c>
      <c r="O1260">
        <v>30</v>
      </c>
    </row>
    <row r="1261" spans="1:15" hidden="1" x14ac:dyDescent="0.25">
      <c r="A1261" t="s">
        <v>2820</v>
      </c>
      <c r="B1261" t="s">
        <v>934</v>
      </c>
      <c r="C1261" t="s">
        <v>935</v>
      </c>
      <c r="D1261" t="s">
        <v>930</v>
      </c>
      <c r="E1261" t="s">
        <v>2989</v>
      </c>
      <c r="F1261" s="3">
        <v>1470318</v>
      </c>
      <c r="G1261" s="2">
        <f t="shared" si="38"/>
        <v>30</v>
      </c>
      <c r="H1261" s="2">
        <f t="shared" ca="1" si="39"/>
        <v>100</v>
      </c>
      <c r="I1261" s="4">
        <v>46020</v>
      </c>
      <c r="J1261" s="4">
        <v>46050</v>
      </c>
      <c r="K1261" t="s">
        <v>918</v>
      </c>
      <c r="L1261" t="s">
        <v>312</v>
      </c>
      <c r="M1261" t="s">
        <v>19</v>
      </c>
      <c r="N1261" t="s">
        <v>936</v>
      </c>
      <c r="O1261">
        <v>30</v>
      </c>
    </row>
    <row r="1262" spans="1:15" hidden="1" x14ac:dyDescent="0.25">
      <c r="A1262" t="s">
        <v>2820</v>
      </c>
      <c r="B1262" t="s">
        <v>943</v>
      </c>
      <c r="C1262" t="s">
        <v>944</v>
      </c>
      <c r="D1262" t="s">
        <v>930</v>
      </c>
      <c r="E1262" t="s">
        <v>2990</v>
      </c>
      <c r="F1262" s="3">
        <v>909349</v>
      </c>
      <c r="G1262" s="2">
        <f t="shared" si="38"/>
        <v>30</v>
      </c>
      <c r="H1262" s="2">
        <f t="shared" ca="1" si="39"/>
        <v>100</v>
      </c>
      <c r="I1262" s="4">
        <v>46020</v>
      </c>
      <c r="J1262" s="4">
        <v>46050</v>
      </c>
      <c r="K1262" t="s">
        <v>918</v>
      </c>
      <c r="L1262" t="s">
        <v>312</v>
      </c>
      <c r="M1262" t="s">
        <v>19</v>
      </c>
      <c r="N1262" t="s">
        <v>945</v>
      </c>
      <c r="O1262">
        <v>30</v>
      </c>
    </row>
    <row r="1263" spans="1:15" hidden="1" x14ac:dyDescent="0.25">
      <c r="A1263" t="s">
        <v>2820</v>
      </c>
      <c r="B1263" t="s">
        <v>970</v>
      </c>
      <c r="C1263" t="s">
        <v>971</v>
      </c>
      <c r="D1263" t="s">
        <v>916</v>
      </c>
      <c r="E1263" t="s">
        <v>2991</v>
      </c>
      <c r="F1263" s="3">
        <v>630412</v>
      </c>
      <c r="G1263" s="2">
        <f t="shared" si="38"/>
        <v>30</v>
      </c>
      <c r="H1263" s="2">
        <f t="shared" ca="1" si="39"/>
        <v>100</v>
      </c>
      <c r="I1263" s="4">
        <v>46020</v>
      </c>
      <c r="J1263" s="4">
        <v>46050</v>
      </c>
      <c r="K1263" t="s">
        <v>918</v>
      </c>
      <c r="L1263" t="s">
        <v>312</v>
      </c>
      <c r="M1263" t="s">
        <v>19</v>
      </c>
      <c r="N1263" t="s">
        <v>972</v>
      </c>
      <c r="O1263">
        <v>30</v>
      </c>
    </row>
    <row r="1264" spans="1:15" hidden="1" x14ac:dyDescent="0.25">
      <c r="A1264" t="s">
        <v>2820</v>
      </c>
      <c r="B1264" t="s">
        <v>967</v>
      </c>
      <c r="C1264" t="s">
        <v>968</v>
      </c>
      <c r="D1264" t="s">
        <v>930</v>
      </c>
      <c r="E1264" t="s">
        <v>2992</v>
      </c>
      <c r="F1264" s="3">
        <v>809288</v>
      </c>
      <c r="G1264" s="2">
        <f t="shared" si="38"/>
        <v>30</v>
      </c>
      <c r="H1264" s="2">
        <f t="shared" ca="1" si="39"/>
        <v>100</v>
      </c>
      <c r="I1264" s="4">
        <v>46020</v>
      </c>
      <c r="J1264" s="4">
        <v>46050</v>
      </c>
      <c r="K1264" t="s">
        <v>918</v>
      </c>
      <c r="L1264" t="s">
        <v>312</v>
      </c>
      <c r="M1264" t="s">
        <v>19</v>
      </c>
      <c r="N1264" t="s">
        <v>969</v>
      </c>
      <c r="O1264">
        <v>30</v>
      </c>
    </row>
    <row r="1265" spans="1:15" hidden="1" x14ac:dyDescent="0.25">
      <c r="A1265" t="s">
        <v>2820</v>
      </c>
      <c r="B1265" t="s">
        <v>2175</v>
      </c>
      <c r="C1265" t="s">
        <v>2176</v>
      </c>
      <c r="D1265" t="s">
        <v>320</v>
      </c>
      <c r="E1265" t="s">
        <v>3040</v>
      </c>
      <c r="F1265" s="3">
        <v>416908</v>
      </c>
      <c r="G1265" s="2">
        <f t="shared" si="38"/>
        <v>15</v>
      </c>
      <c r="H1265" s="2">
        <f t="shared" ca="1" si="39"/>
        <v>100</v>
      </c>
      <c r="I1265" s="4">
        <v>46020</v>
      </c>
      <c r="J1265" s="4">
        <v>46035</v>
      </c>
      <c r="K1265" t="s">
        <v>1068</v>
      </c>
      <c r="L1265" t="s">
        <v>321</v>
      </c>
      <c r="M1265" t="s">
        <v>19</v>
      </c>
      <c r="N1265" t="s">
        <v>2177</v>
      </c>
      <c r="O1265">
        <v>30</v>
      </c>
    </row>
    <row r="1266" spans="1:15" hidden="1" x14ac:dyDescent="0.25">
      <c r="A1266" t="s">
        <v>2820</v>
      </c>
      <c r="B1266" t="s">
        <v>1342</v>
      </c>
      <c r="C1266" t="s">
        <v>1343</v>
      </c>
      <c r="D1266" t="s">
        <v>1323</v>
      </c>
      <c r="E1266" t="s">
        <v>3090</v>
      </c>
      <c r="F1266" s="3">
        <v>852167</v>
      </c>
      <c r="G1266" s="2">
        <f t="shared" si="38"/>
        <v>30</v>
      </c>
      <c r="H1266" s="2">
        <f t="shared" ca="1" si="39"/>
        <v>100</v>
      </c>
      <c r="I1266" s="4">
        <v>46020</v>
      </c>
      <c r="J1266" s="4">
        <v>46050</v>
      </c>
      <c r="K1266" t="s">
        <v>1325</v>
      </c>
      <c r="L1266" t="s">
        <v>90</v>
      </c>
      <c r="M1266" t="s">
        <v>19</v>
      </c>
      <c r="N1266" t="s">
        <v>1344</v>
      </c>
      <c r="O1266">
        <v>30</v>
      </c>
    </row>
    <row r="1267" spans="1:15" hidden="1" x14ac:dyDescent="0.25">
      <c r="A1267" t="s">
        <v>2820</v>
      </c>
      <c r="B1267" t="s">
        <v>1345</v>
      </c>
      <c r="C1267" t="s">
        <v>1346</v>
      </c>
      <c r="D1267" t="s">
        <v>382</v>
      </c>
      <c r="E1267" t="s">
        <v>3091</v>
      </c>
      <c r="F1267" s="3">
        <v>5171625</v>
      </c>
      <c r="G1267" s="2">
        <f t="shared" si="38"/>
        <v>30</v>
      </c>
      <c r="H1267" s="2">
        <f t="shared" ca="1" si="39"/>
        <v>100</v>
      </c>
      <c r="I1267" s="4">
        <v>46020</v>
      </c>
      <c r="J1267" s="4">
        <v>46050</v>
      </c>
      <c r="K1267" t="s">
        <v>1325</v>
      </c>
      <c r="L1267" t="s">
        <v>90</v>
      </c>
      <c r="M1267" t="s">
        <v>19</v>
      </c>
      <c r="N1267" t="s">
        <v>1347</v>
      </c>
      <c r="O1267">
        <v>30</v>
      </c>
    </row>
    <row r="1268" spans="1:15" hidden="1" x14ac:dyDescent="0.25">
      <c r="A1268" t="s">
        <v>2820</v>
      </c>
      <c r="B1268" t="s">
        <v>1364</v>
      </c>
      <c r="C1268" t="s">
        <v>1365</v>
      </c>
      <c r="D1268" t="s">
        <v>1323</v>
      </c>
      <c r="E1268" t="s">
        <v>3092</v>
      </c>
      <c r="F1268" s="3">
        <v>13711492</v>
      </c>
      <c r="G1268" s="2">
        <f t="shared" si="38"/>
        <v>30</v>
      </c>
      <c r="H1268" s="2">
        <f t="shared" ca="1" si="39"/>
        <v>100</v>
      </c>
      <c r="I1268" s="4">
        <v>46020</v>
      </c>
      <c r="J1268" s="4">
        <v>46050</v>
      </c>
      <c r="K1268" t="s">
        <v>1325</v>
      </c>
      <c r="L1268" t="s">
        <v>90</v>
      </c>
      <c r="M1268" t="s">
        <v>19</v>
      </c>
      <c r="N1268" t="s">
        <v>1366</v>
      </c>
      <c r="O1268">
        <v>30</v>
      </c>
    </row>
    <row r="1269" spans="1:15" hidden="1" x14ac:dyDescent="0.25">
      <c r="A1269" t="s">
        <v>2820</v>
      </c>
      <c r="B1269" t="s">
        <v>1364</v>
      </c>
      <c r="C1269" t="s">
        <v>1365</v>
      </c>
      <c r="D1269" t="s">
        <v>1323</v>
      </c>
      <c r="E1269" t="s">
        <v>3093</v>
      </c>
      <c r="F1269" s="3">
        <v>1949464</v>
      </c>
      <c r="G1269" s="2">
        <f t="shared" si="38"/>
        <v>30</v>
      </c>
      <c r="H1269" s="2">
        <f t="shared" ca="1" si="39"/>
        <v>100</v>
      </c>
      <c r="I1269" s="4">
        <v>46020</v>
      </c>
      <c r="J1269" s="4">
        <v>46050</v>
      </c>
      <c r="K1269" t="s">
        <v>1325</v>
      </c>
      <c r="L1269" t="s">
        <v>90</v>
      </c>
      <c r="M1269" t="s">
        <v>19</v>
      </c>
      <c r="N1269" t="s">
        <v>1366</v>
      </c>
      <c r="O1269">
        <v>30</v>
      </c>
    </row>
    <row r="1270" spans="1:15" hidden="1" x14ac:dyDescent="0.25">
      <c r="A1270" t="s">
        <v>2820</v>
      </c>
      <c r="B1270" t="s">
        <v>1348</v>
      </c>
      <c r="C1270" t="s">
        <v>1349</v>
      </c>
      <c r="D1270" t="s">
        <v>382</v>
      </c>
      <c r="E1270" t="s">
        <v>3094</v>
      </c>
      <c r="F1270" s="3">
        <v>1734309</v>
      </c>
      <c r="G1270" s="2">
        <f t="shared" si="38"/>
        <v>30</v>
      </c>
      <c r="H1270" s="2">
        <f t="shared" ca="1" si="39"/>
        <v>100</v>
      </c>
      <c r="I1270" s="4">
        <v>46020</v>
      </c>
      <c r="J1270" s="4">
        <v>46050</v>
      </c>
      <c r="K1270" t="s">
        <v>1325</v>
      </c>
      <c r="L1270" t="s">
        <v>90</v>
      </c>
      <c r="M1270" t="s">
        <v>19</v>
      </c>
      <c r="N1270" t="s">
        <v>1350</v>
      </c>
      <c r="O1270">
        <v>30</v>
      </c>
    </row>
    <row r="1271" spans="1:15" hidden="1" x14ac:dyDescent="0.25">
      <c r="A1271" t="s">
        <v>2820</v>
      </c>
      <c r="B1271" t="s">
        <v>1348</v>
      </c>
      <c r="C1271" t="s">
        <v>1349</v>
      </c>
      <c r="D1271" t="s">
        <v>382</v>
      </c>
      <c r="E1271" t="s">
        <v>3095</v>
      </c>
      <c r="F1271" s="3">
        <v>540011</v>
      </c>
      <c r="G1271" s="2">
        <f t="shared" si="38"/>
        <v>30</v>
      </c>
      <c r="H1271" s="2">
        <f t="shared" ca="1" si="39"/>
        <v>100</v>
      </c>
      <c r="I1271" s="4">
        <v>46020</v>
      </c>
      <c r="J1271" s="4">
        <v>46050</v>
      </c>
      <c r="K1271" t="s">
        <v>1325</v>
      </c>
      <c r="L1271" t="s">
        <v>90</v>
      </c>
      <c r="M1271" t="s">
        <v>19</v>
      </c>
      <c r="N1271" t="s">
        <v>1350</v>
      </c>
      <c r="O1271">
        <v>30</v>
      </c>
    </row>
    <row r="1272" spans="1:15" hidden="1" x14ac:dyDescent="0.25">
      <c r="A1272" t="s">
        <v>2820</v>
      </c>
      <c r="B1272" t="s">
        <v>1336</v>
      </c>
      <c r="C1272" t="s">
        <v>1337</v>
      </c>
      <c r="D1272" t="s">
        <v>1323</v>
      </c>
      <c r="E1272" t="s">
        <v>3096</v>
      </c>
      <c r="F1272" s="3">
        <v>8592441</v>
      </c>
      <c r="G1272" s="2">
        <f t="shared" si="38"/>
        <v>30</v>
      </c>
      <c r="H1272" s="2">
        <f t="shared" ca="1" si="39"/>
        <v>100</v>
      </c>
      <c r="I1272" s="4">
        <v>46020</v>
      </c>
      <c r="J1272" s="4">
        <v>46050</v>
      </c>
      <c r="K1272" t="s">
        <v>1325</v>
      </c>
      <c r="L1272" t="s">
        <v>90</v>
      </c>
      <c r="M1272" t="s">
        <v>19</v>
      </c>
      <c r="N1272" t="s">
        <v>1338</v>
      </c>
      <c r="O1272">
        <v>30</v>
      </c>
    </row>
    <row r="1273" spans="1:15" hidden="1" x14ac:dyDescent="0.25">
      <c r="A1273" t="s">
        <v>2820</v>
      </c>
      <c r="B1273" t="s">
        <v>1336</v>
      </c>
      <c r="C1273" t="s">
        <v>1337</v>
      </c>
      <c r="D1273" t="s">
        <v>1323</v>
      </c>
      <c r="E1273" t="s">
        <v>3097</v>
      </c>
      <c r="F1273" s="3">
        <v>1955082</v>
      </c>
      <c r="G1273" s="2">
        <f t="shared" si="38"/>
        <v>30</v>
      </c>
      <c r="H1273" s="2">
        <f t="shared" ca="1" si="39"/>
        <v>100</v>
      </c>
      <c r="I1273" s="4">
        <v>46020</v>
      </c>
      <c r="J1273" s="4">
        <v>46050</v>
      </c>
      <c r="K1273" t="s">
        <v>1325</v>
      </c>
      <c r="L1273" t="s">
        <v>90</v>
      </c>
      <c r="M1273" t="s">
        <v>19</v>
      </c>
      <c r="N1273" t="s">
        <v>1338</v>
      </c>
      <c r="O1273">
        <v>30</v>
      </c>
    </row>
    <row r="1274" spans="1:15" hidden="1" x14ac:dyDescent="0.25">
      <c r="A1274" t="s">
        <v>2820</v>
      </c>
      <c r="B1274" t="s">
        <v>2558</v>
      </c>
      <c r="C1274" t="s">
        <v>2559</v>
      </c>
      <c r="D1274" t="s">
        <v>1323</v>
      </c>
      <c r="E1274" t="s">
        <v>3098</v>
      </c>
      <c r="F1274" s="3">
        <v>6029569</v>
      </c>
      <c r="G1274" s="2">
        <f t="shared" si="38"/>
        <v>30</v>
      </c>
      <c r="H1274" s="2">
        <f t="shared" ca="1" si="39"/>
        <v>100</v>
      </c>
      <c r="I1274" s="4">
        <v>46020</v>
      </c>
      <c r="J1274" s="4">
        <v>46050</v>
      </c>
      <c r="K1274" t="s">
        <v>1325</v>
      </c>
      <c r="L1274" t="s">
        <v>90</v>
      </c>
      <c r="M1274" t="s">
        <v>19</v>
      </c>
      <c r="N1274" t="s">
        <v>2561</v>
      </c>
      <c r="O1274">
        <v>30</v>
      </c>
    </row>
    <row r="1275" spans="1:15" hidden="1" x14ac:dyDescent="0.25">
      <c r="A1275" t="s">
        <v>2820</v>
      </c>
      <c r="B1275" t="s">
        <v>1382</v>
      </c>
      <c r="C1275" t="s">
        <v>1383</v>
      </c>
      <c r="D1275" t="s">
        <v>1323</v>
      </c>
      <c r="E1275" t="s">
        <v>3099</v>
      </c>
      <c r="F1275" s="3">
        <v>321001</v>
      </c>
      <c r="G1275" s="2">
        <f t="shared" si="38"/>
        <v>30</v>
      </c>
      <c r="H1275" s="2">
        <f t="shared" ca="1" si="39"/>
        <v>100</v>
      </c>
      <c r="I1275" s="4">
        <v>46020</v>
      </c>
      <c r="J1275" s="4">
        <v>46050</v>
      </c>
      <c r="K1275" t="s">
        <v>1325</v>
      </c>
      <c r="L1275" t="s">
        <v>90</v>
      </c>
      <c r="M1275" t="s">
        <v>19</v>
      </c>
      <c r="N1275" t="s">
        <v>1384</v>
      </c>
      <c r="O1275">
        <v>30</v>
      </c>
    </row>
    <row r="1276" spans="1:15" hidden="1" x14ac:dyDescent="0.25">
      <c r="A1276" t="s">
        <v>2820</v>
      </c>
      <c r="B1276" t="s">
        <v>380</v>
      </c>
      <c r="C1276" t="s">
        <v>381</v>
      </c>
      <c r="D1276" t="s">
        <v>382</v>
      </c>
      <c r="E1276" t="s">
        <v>3100</v>
      </c>
      <c r="F1276" s="3">
        <v>6695229</v>
      </c>
      <c r="G1276" s="2">
        <f t="shared" si="38"/>
        <v>30</v>
      </c>
      <c r="H1276" s="2">
        <f t="shared" ca="1" si="39"/>
        <v>100</v>
      </c>
      <c r="I1276" s="4">
        <v>46020</v>
      </c>
      <c r="J1276" s="4">
        <v>46050</v>
      </c>
      <c r="K1276" t="s">
        <v>1325</v>
      </c>
      <c r="L1276" t="s">
        <v>90</v>
      </c>
      <c r="M1276" t="s">
        <v>19</v>
      </c>
      <c r="N1276" t="s">
        <v>383</v>
      </c>
      <c r="O1276">
        <v>30</v>
      </c>
    </row>
    <row r="1277" spans="1:15" hidden="1" x14ac:dyDescent="0.25">
      <c r="A1277" t="s">
        <v>2820</v>
      </c>
      <c r="B1277" t="s">
        <v>1345</v>
      </c>
      <c r="C1277" t="s">
        <v>1346</v>
      </c>
      <c r="D1277" t="s">
        <v>382</v>
      </c>
      <c r="E1277" t="s">
        <v>3101</v>
      </c>
      <c r="F1277" s="3">
        <v>2550346</v>
      </c>
      <c r="G1277" s="2">
        <f t="shared" si="38"/>
        <v>30</v>
      </c>
      <c r="H1277" s="2">
        <f t="shared" ca="1" si="39"/>
        <v>100</v>
      </c>
      <c r="I1277" s="4">
        <v>46020</v>
      </c>
      <c r="J1277" s="4">
        <v>46050</v>
      </c>
      <c r="K1277" t="s">
        <v>1325</v>
      </c>
      <c r="L1277" t="s">
        <v>90</v>
      </c>
      <c r="M1277" t="s">
        <v>19</v>
      </c>
      <c r="N1277" t="s">
        <v>1347</v>
      </c>
      <c r="O1277">
        <v>30</v>
      </c>
    </row>
    <row r="1278" spans="1:15" hidden="1" x14ac:dyDescent="0.25">
      <c r="A1278" t="s">
        <v>2820</v>
      </c>
      <c r="B1278" t="s">
        <v>380</v>
      </c>
      <c r="C1278" t="s">
        <v>381</v>
      </c>
      <c r="D1278" t="s">
        <v>382</v>
      </c>
      <c r="E1278" t="s">
        <v>3102</v>
      </c>
      <c r="F1278" s="3">
        <v>5698884</v>
      </c>
      <c r="G1278" s="2">
        <f t="shared" si="38"/>
        <v>30</v>
      </c>
      <c r="H1278" s="2">
        <f t="shared" ca="1" si="39"/>
        <v>100</v>
      </c>
      <c r="I1278" s="4">
        <v>46020</v>
      </c>
      <c r="J1278" s="4">
        <v>46050</v>
      </c>
      <c r="K1278" t="s">
        <v>1325</v>
      </c>
      <c r="L1278" t="s">
        <v>90</v>
      </c>
      <c r="M1278" t="s">
        <v>19</v>
      </c>
      <c r="N1278" t="s">
        <v>383</v>
      </c>
      <c r="O1278">
        <v>30</v>
      </c>
    </row>
    <row r="1279" spans="1:15" hidden="1" x14ac:dyDescent="0.25">
      <c r="A1279" t="s">
        <v>2820</v>
      </c>
      <c r="B1279" t="s">
        <v>380</v>
      </c>
      <c r="C1279" t="s">
        <v>381</v>
      </c>
      <c r="D1279" t="s">
        <v>382</v>
      </c>
      <c r="E1279" t="s">
        <v>3103</v>
      </c>
      <c r="F1279" s="3">
        <v>16087902</v>
      </c>
      <c r="G1279" s="2">
        <f t="shared" si="38"/>
        <v>30</v>
      </c>
      <c r="H1279" s="2">
        <f t="shared" ca="1" si="39"/>
        <v>100</v>
      </c>
      <c r="I1279" s="4">
        <v>46020</v>
      </c>
      <c r="J1279" s="4">
        <v>46050</v>
      </c>
      <c r="K1279" t="s">
        <v>1325</v>
      </c>
      <c r="L1279" t="s">
        <v>90</v>
      </c>
      <c r="M1279" t="s">
        <v>19</v>
      </c>
      <c r="N1279" t="s">
        <v>383</v>
      </c>
      <c r="O1279">
        <v>30</v>
      </c>
    </row>
    <row r="1280" spans="1:15" hidden="1" x14ac:dyDescent="0.25">
      <c r="A1280" t="s">
        <v>2820</v>
      </c>
      <c r="B1280" t="s">
        <v>1357</v>
      </c>
      <c r="C1280" t="s">
        <v>1358</v>
      </c>
      <c r="D1280" t="s">
        <v>1359</v>
      </c>
      <c r="E1280" t="s">
        <v>3104</v>
      </c>
      <c r="F1280" s="3">
        <v>6191571</v>
      </c>
      <c r="G1280" s="2">
        <f t="shared" si="38"/>
        <v>30</v>
      </c>
      <c r="H1280" s="2">
        <f t="shared" ca="1" si="39"/>
        <v>100</v>
      </c>
      <c r="I1280" s="4">
        <v>46020</v>
      </c>
      <c r="J1280" s="4">
        <v>46050</v>
      </c>
      <c r="K1280" t="s">
        <v>1325</v>
      </c>
      <c r="L1280" t="s">
        <v>90</v>
      </c>
      <c r="M1280" t="s">
        <v>19</v>
      </c>
      <c r="N1280" t="s">
        <v>1360</v>
      </c>
      <c r="O1280">
        <v>30</v>
      </c>
    </row>
    <row r="1281" spans="1:15" hidden="1" x14ac:dyDescent="0.25">
      <c r="A1281" t="s">
        <v>2820</v>
      </c>
      <c r="B1281" t="s">
        <v>1357</v>
      </c>
      <c r="C1281" t="s">
        <v>1358</v>
      </c>
      <c r="D1281" t="s">
        <v>1359</v>
      </c>
      <c r="E1281" t="s">
        <v>3105</v>
      </c>
      <c r="F1281" s="3">
        <v>179044</v>
      </c>
      <c r="G1281" s="2">
        <f t="shared" si="38"/>
        <v>30</v>
      </c>
      <c r="H1281" s="2">
        <f t="shared" ca="1" si="39"/>
        <v>100</v>
      </c>
      <c r="I1281" s="4">
        <v>46020</v>
      </c>
      <c r="J1281" s="4">
        <v>46050</v>
      </c>
      <c r="K1281" t="s">
        <v>1325</v>
      </c>
      <c r="L1281" t="s">
        <v>90</v>
      </c>
      <c r="M1281" t="s">
        <v>19</v>
      </c>
      <c r="N1281" t="s">
        <v>1360</v>
      </c>
      <c r="O1281">
        <v>30</v>
      </c>
    </row>
    <row r="1282" spans="1:15" hidden="1" x14ac:dyDescent="0.25">
      <c r="A1282" t="s">
        <v>2820</v>
      </c>
      <c r="B1282" t="s">
        <v>1351</v>
      </c>
      <c r="C1282" t="s">
        <v>1352</v>
      </c>
      <c r="D1282" t="s">
        <v>1323</v>
      </c>
      <c r="E1282" t="s">
        <v>3106</v>
      </c>
      <c r="F1282" s="3">
        <v>499955</v>
      </c>
      <c r="G1282" s="2">
        <f t="shared" ref="G1282:G1345" si="40">+J1282-I1282</f>
        <v>30</v>
      </c>
      <c r="H1282" s="2">
        <f t="shared" ref="H1282:H1345" ca="1" si="41">+TODAY()-I1282</f>
        <v>100</v>
      </c>
      <c r="I1282" s="4">
        <v>46020</v>
      </c>
      <c r="J1282" s="4">
        <v>46050</v>
      </c>
      <c r="K1282" t="s">
        <v>1325</v>
      </c>
      <c r="L1282" t="s">
        <v>90</v>
      </c>
      <c r="M1282" t="s">
        <v>19</v>
      </c>
      <c r="N1282" t="s">
        <v>1353</v>
      </c>
      <c r="O1282">
        <v>30</v>
      </c>
    </row>
    <row r="1283" spans="1:15" hidden="1" x14ac:dyDescent="0.25">
      <c r="A1283" t="s">
        <v>2820</v>
      </c>
      <c r="B1283" t="s">
        <v>380</v>
      </c>
      <c r="C1283" t="s">
        <v>381</v>
      </c>
      <c r="D1283" t="s">
        <v>382</v>
      </c>
      <c r="E1283" t="s">
        <v>3107</v>
      </c>
      <c r="F1283" s="3">
        <v>5159958</v>
      </c>
      <c r="G1283" s="2">
        <f t="shared" si="40"/>
        <v>30</v>
      </c>
      <c r="H1283" s="2">
        <f t="shared" ca="1" si="41"/>
        <v>100</v>
      </c>
      <c r="I1283" s="4">
        <v>46020</v>
      </c>
      <c r="J1283" s="4">
        <v>46050</v>
      </c>
      <c r="K1283" t="s">
        <v>1325</v>
      </c>
      <c r="L1283" t="s">
        <v>90</v>
      </c>
      <c r="M1283" t="s">
        <v>19</v>
      </c>
      <c r="N1283" t="s">
        <v>383</v>
      </c>
      <c r="O1283">
        <v>30</v>
      </c>
    </row>
    <row r="1284" spans="1:15" hidden="1" x14ac:dyDescent="0.25">
      <c r="A1284" t="s">
        <v>2820</v>
      </c>
      <c r="B1284" t="s">
        <v>380</v>
      </c>
      <c r="C1284" t="s">
        <v>381</v>
      </c>
      <c r="D1284" t="s">
        <v>382</v>
      </c>
      <c r="E1284" t="s">
        <v>3108</v>
      </c>
      <c r="F1284" s="3">
        <v>507707</v>
      </c>
      <c r="G1284" s="2">
        <f t="shared" si="40"/>
        <v>30</v>
      </c>
      <c r="H1284" s="2">
        <f t="shared" ca="1" si="41"/>
        <v>100</v>
      </c>
      <c r="I1284" s="4">
        <v>46020</v>
      </c>
      <c r="J1284" s="4">
        <v>46050</v>
      </c>
      <c r="K1284" t="s">
        <v>1325</v>
      </c>
      <c r="L1284" t="s">
        <v>47</v>
      </c>
      <c r="M1284" t="s">
        <v>19</v>
      </c>
      <c r="N1284" t="s">
        <v>383</v>
      </c>
      <c r="O1284">
        <v>30</v>
      </c>
    </row>
    <row r="1285" spans="1:15" hidden="1" x14ac:dyDescent="0.25">
      <c r="A1285" t="s">
        <v>2820</v>
      </c>
      <c r="B1285" t="s">
        <v>1537</v>
      </c>
      <c r="C1285" t="s">
        <v>1538</v>
      </c>
      <c r="D1285" t="s">
        <v>1527</v>
      </c>
      <c r="E1285" t="s">
        <v>3136</v>
      </c>
      <c r="F1285" s="3">
        <v>2258234</v>
      </c>
      <c r="G1285" s="2">
        <f t="shared" si="40"/>
        <v>30</v>
      </c>
      <c r="H1285" s="2">
        <f t="shared" ca="1" si="41"/>
        <v>100</v>
      </c>
      <c r="I1285" s="4">
        <v>46020</v>
      </c>
      <c r="J1285" s="4">
        <v>46050</v>
      </c>
      <c r="K1285" t="s">
        <v>1528</v>
      </c>
      <c r="L1285" t="s">
        <v>207</v>
      </c>
      <c r="M1285" t="s">
        <v>19</v>
      </c>
      <c r="N1285" t="s">
        <v>1539</v>
      </c>
      <c r="O1285">
        <v>30</v>
      </c>
    </row>
    <row r="1286" spans="1:15" hidden="1" x14ac:dyDescent="0.25">
      <c r="A1286" t="s">
        <v>2820</v>
      </c>
      <c r="B1286" t="s">
        <v>1546</v>
      </c>
      <c r="C1286" t="s">
        <v>1547</v>
      </c>
      <c r="D1286" t="s">
        <v>1527</v>
      </c>
      <c r="E1286" t="s">
        <v>3137</v>
      </c>
      <c r="F1286" s="3">
        <v>5411873</v>
      </c>
      <c r="G1286" s="2">
        <f t="shared" si="40"/>
        <v>30</v>
      </c>
      <c r="H1286" s="2">
        <f t="shared" ca="1" si="41"/>
        <v>100</v>
      </c>
      <c r="I1286" s="4">
        <v>46020</v>
      </c>
      <c r="J1286" s="4">
        <v>46050</v>
      </c>
      <c r="K1286" t="s">
        <v>1528</v>
      </c>
      <c r="L1286" t="s">
        <v>207</v>
      </c>
      <c r="M1286" t="s">
        <v>19</v>
      </c>
      <c r="N1286" t="s">
        <v>1548</v>
      </c>
      <c r="O1286">
        <v>0</v>
      </c>
    </row>
    <row r="1287" spans="1:15" hidden="1" x14ac:dyDescent="0.25">
      <c r="A1287" t="s">
        <v>2820</v>
      </c>
      <c r="B1287" t="s">
        <v>1554</v>
      </c>
      <c r="C1287" t="s">
        <v>1555</v>
      </c>
      <c r="D1287" t="s">
        <v>1532</v>
      </c>
      <c r="E1287" t="s">
        <v>3138</v>
      </c>
      <c r="F1287" s="3">
        <v>609400</v>
      </c>
      <c r="G1287" s="2">
        <f t="shared" si="40"/>
        <v>30</v>
      </c>
      <c r="H1287" s="2">
        <f t="shared" ca="1" si="41"/>
        <v>100</v>
      </c>
      <c r="I1287" s="4">
        <v>46020</v>
      </c>
      <c r="J1287" s="4">
        <v>46050</v>
      </c>
      <c r="K1287" t="s">
        <v>1528</v>
      </c>
      <c r="L1287" t="s">
        <v>207</v>
      </c>
      <c r="M1287" t="s">
        <v>19</v>
      </c>
      <c r="N1287" t="s">
        <v>1556</v>
      </c>
      <c r="O1287">
        <v>30</v>
      </c>
    </row>
    <row r="1288" spans="1:15" hidden="1" x14ac:dyDescent="0.25">
      <c r="A1288" t="s">
        <v>2820</v>
      </c>
      <c r="B1288" t="s">
        <v>1530</v>
      </c>
      <c r="C1288" t="s">
        <v>1531</v>
      </c>
      <c r="D1288" t="s">
        <v>1532</v>
      </c>
      <c r="E1288" t="s">
        <v>3139</v>
      </c>
      <c r="F1288" s="3">
        <v>1650199</v>
      </c>
      <c r="G1288" s="2">
        <f t="shared" si="40"/>
        <v>30</v>
      </c>
      <c r="H1288" s="2">
        <f t="shared" ca="1" si="41"/>
        <v>100</v>
      </c>
      <c r="I1288" s="4">
        <v>46020</v>
      </c>
      <c r="J1288" s="4">
        <v>46050</v>
      </c>
      <c r="K1288" t="s">
        <v>1528</v>
      </c>
      <c r="L1288" t="s">
        <v>207</v>
      </c>
      <c r="M1288" t="s">
        <v>19</v>
      </c>
      <c r="N1288" t="s">
        <v>1533</v>
      </c>
      <c r="O1288">
        <v>0</v>
      </c>
    </row>
    <row r="1289" spans="1:15" hidden="1" x14ac:dyDescent="0.25">
      <c r="A1289" t="s">
        <v>2820</v>
      </c>
      <c r="B1289" t="s">
        <v>1543</v>
      </c>
      <c r="C1289" t="s">
        <v>1544</v>
      </c>
      <c r="D1289" t="s">
        <v>1527</v>
      </c>
      <c r="E1289" t="s">
        <v>3140</v>
      </c>
      <c r="F1289" s="3">
        <v>2668612</v>
      </c>
      <c r="G1289" s="2">
        <f t="shared" si="40"/>
        <v>30</v>
      </c>
      <c r="H1289" s="2">
        <f t="shared" ca="1" si="41"/>
        <v>100</v>
      </c>
      <c r="I1289" s="4">
        <v>46020</v>
      </c>
      <c r="J1289" s="4">
        <v>46050</v>
      </c>
      <c r="K1289" t="s">
        <v>1528</v>
      </c>
      <c r="L1289" t="s">
        <v>207</v>
      </c>
      <c r="M1289" t="s">
        <v>19</v>
      </c>
      <c r="N1289" t="s">
        <v>1545</v>
      </c>
      <c r="O1289">
        <v>15</v>
      </c>
    </row>
    <row r="1290" spans="1:15" hidden="1" x14ac:dyDescent="0.25">
      <c r="A1290" t="s">
        <v>2820</v>
      </c>
      <c r="B1290" t="s">
        <v>1530</v>
      </c>
      <c r="C1290" t="s">
        <v>1531</v>
      </c>
      <c r="D1290" t="s">
        <v>1532</v>
      </c>
      <c r="E1290" t="s">
        <v>3141</v>
      </c>
      <c r="F1290" s="3">
        <v>200001</v>
      </c>
      <c r="G1290" s="2">
        <f t="shared" si="40"/>
        <v>30</v>
      </c>
      <c r="H1290" s="2">
        <f t="shared" ca="1" si="41"/>
        <v>100</v>
      </c>
      <c r="I1290" s="4">
        <v>46020</v>
      </c>
      <c r="J1290" s="4">
        <v>46050</v>
      </c>
      <c r="K1290" t="s">
        <v>1528</v>
      </c>
      <c r="L1290" t="s">
        <v>207</v>
      </c>
      <c r="M1290" t="s">
        <v>19</v>
      </c>
      <c r="N1290" t="s">
        <v>1533</v>
      </c>
      <c r="O1290">
        <v>0</v>
      </c>
    </row>
    <row r="1291" spans="1:15" hidden="1" x14ac:dyDescent="0.25">
      <c r="A1291" t="s">
        <v>2820</v>
      </c>
      <c r="B1291" t="s">
        <v>1530</v>
      </c>
      <c r="C1291" t="s">
        <v>1531</v>
      </c>
      <c r="D1291" t="s">
        <v>1532</v>
      </c>
      <c r="E1291" t="s">
        <v>3142</v>
      </c>
      <c r="F1291" s="3">
        <v>135786</v>
      </c>
      <c r="G1291" s="2">
        <f t="shared" si="40"/>
        <v>15</v>
      </c>
      <c r="H1291" s="2">
        <f t="shared" ca="1" si="41"/>
        <v>100</v>
      </c>
      <c r="I1291" s="4">
        <v>46020</v>
      </c>
      <c r="J1291" s="4">
        <v>46035</v>
      </c>
      <c r="K1291" t="s">
        <v>1528</v>
      </c>
      <c r="L1291" t="s">
        <v>312</v>
      </c>
      <c r="M1291" t="s">
        <v>19</v>
      </c>
      <c r="N1291" t="s">
        <v>1533</v>
      </c>
      <c r="O1291">
        <v>0</v>
      </c>
    </row>
    <row r="1292" spans="1:15" hidden="1" x14ac:dyDescent="0.25">
      <c r="A1292" t="s">
        <v>2820</v>
      </c>
      <c r="B1292" t="s">
        <v>1534</v>
      </c>
      <c r="C1292" t="s">
        <v>1535</v>
      </c>
      <c r="D1292" t="s">
        <v>1527</v>
      </c>
      <c r="E1292" t="s">
        <v>3143</v>
      </c>
      <c r="F1292" s="3">
        <v>13917213</v>
      </c>
      <c r="G1292" s="2">
        <f t="shared" si="40"/>
        <v>30</v>
      </c>
      <c r="H1292" s="2">
        <f t="shared" ca="1" si="41"/>
        <v>100</v>
      </c>
      <c r="I1292" s="4">
        <v>46020</v>
      </c>
      <c r="J1292" s="4">
        <v>46050</v>
      </c>
      <c r="K1292" t="s">
        <v>1528</v>
      </c>
      <c r="L1292" t="s">
        <v>207</v>
      </c>
      <c r="M1292" t="s">
        <v>19</v>
      </c>
      <c r="N1292" t="s">
        <v>1536</v>
      </c>
      <c r="O1292">
        <v>30</v>
      </c>
    </row>
    <row r="1293" spans="1:15" hidden="1" x14ac:dyDescent="0.25">
      <c r="A1293" t="s">
        <v>2820</v>
      </c>
      <c r="B1293" t="s">
        <v>1549</v>
      </c>
      <c r="C1293" t="s">
        <v>1550</v>
      </c>
      <c r="D1293" t="s">
        <v>1532</v>
      </c>
      <c r="E1293" t="s">
        <v>3144</v>
      </c>
      <c r="F1293" s="3">
        <v>140259</v>
      </c>
      <c r="G1293" s="2">
        <f t="shared" si="40"/>
        <v>30</v>
      </c>
      <c r="H1293" s="2">
        <f t="shared" ca="1" si="41"/>
        <v>100</v>
      </c>
      <c r="I1293" s="4">
        <v>46020</v>
      </c>
      <c r="J1293" s="4">
        <v>46050</v>
      </c>
      <c r="K1293" t="s">
        <v>1528</v>
      </c>
      <c r="L1293" t="s">
        <v>207</v>
      </c>
      <c r="M1293" t="s">
        <v>19</v>
      </c>
      <c r="N1293" t="s">
        <v>1551</v>
      </c>
      <c r="O1293">
        <v>30</v>
      </c>
    </row>
    <row r="1294" spans="1:15" hidden="1" x14ac:dyDescent="0.25">
      <c r="A1294" t="s">
        <v>2820</v>
      </c>
      <c r="B1294" t="s">
        <v>1534</v>
      </c>
      <c r="C1294" t="s">
        <v>1535</v>
      </c>
      <c r="D1294" t="s">
        <v>1527</v>
      </c>
      <c r="E1294" t="s">
        <v>3145</v>
      </c>
      <c r="F1294" s="3">
        <v>353258</v>
      </c>
      <c r="G1294" s="2">
        <f t="shared" si="40"/>
        <v>15</v>
      </c>
      <c r="H1294" s="2">
        <f t="shared" ca="1" si="41"/>
        <v>100</v>
      </c>
      <c r="I1294" s="4">
        <v>46020</v>
      </c>
      <c r="J1294" s="4">
        <v>46035</v>
      </c>
      <c r="K1294" t="s">
        <v>1528</v>
      </c>
      <c r="L1294" t="s">
        <v>312</v>
      </c>
      <c r="M1294" t="s">
        <v>19</v>
      </c>
      <c r="N1294" t="s">
        <v>1536</v>
      </c>
      <c r="O1294">
        <v>30</v>
      </c>
    </row>
    <row r="1295" spans="1:15" hidden="1" x14ac:dyDescent="0.25">
      <c r="A1295" t="s">
        <v>2820</v>
      </c>
      <c r="B1295" t="s">
        <v>1622</v>
      </c>
      <c r="C1295" t="s">
        <v>1623</v>
      </c>
      <c r="D1295" t="s">
        <v>1587</v>
      </c>
      <c r="E1295" t="s">
        <v>3151</v>
      </c>
      <c r="F1295" s="3">
        <v>726200</v>
      </c>
      <c r="G1295" s="2">
        <f t="shared" si="40"/>
        <v>30</v>
      </c>
      <c r="H1295" s="2">
        <f t="shared" ca="1" si="41"/>
        <v>100</v>
      </c>
      <c r="I1295" s="4">
        <v>46020</v>
      </c>
      <c r="J1295" s="4">
        <v>46050</v>
      </c>
      <c r="K1295" t="s">
        <v>1589</v>
      </c>
      <c r="L1295" t="s">
        <v>984</v>
      </c>
      <c r="M1295" t="s">
        <v>19</v>
      </c>
      <c r="N1295" t="s">
        <v>1624</v>
      </c>
      <c r="O1295">
        <v>1</v>
      </c>
    </row>
    <row r="1296" spans="1:15" hidden="1" x14ac:dyDescent="0.25">
      <c r="A1296" t="s">
        <v>2820</v>
      </c>
      <c r="B1296" t="s">
        <v>1622</v>
      </c>
      <c r="C1296" t="s">
        <v>1623</v>
      </c>
      <c r="D1296" t="s">
        <v>1587</v>
      </c>
      <c r="E1296" t="s">
        <v>3152</v>
      </c>
      <c r="F1296" s="3">
        <v>483974</v>
      </c>
      <c r="G1296" s="2">
        <f t="shared" si="40"/>
        <v>30</v>
      </c>
      <c r="H1296" s="2">
        <f t="shared" ca="1" si="41"/>
        <v>100</v>
      </c>
      <c r="I1296" s="4">
        <v>46020</v>
      </c>
      <c r="J1296" s="4">
        <v>46050</v>
      </c>
      <c r="K1296" t="s">
        <v>1589</v>
      </c>
      <c r="L1296" t="s">
        <v>984</v>
      </c>
      <c r="M1296" t="s">
        <v>19</v>
      </c>
      <c r="N1296" t="s">
        <v>1624</v>
      </c>
      <c r="O1296">
        <v>1</v>
      </c>
    </row>
    <row r="1297" spans="1:15" hidden="1" x14ac:dyDescent="0.25">
      <c r="A1297" t="s">
        <v>2820</v>
      </c>
      <c r="B1297" t="s">
        <v>1640</v>
      </c>
      <c r="C1297" t="s">
        <v>1641</v>
      </c>
      <c r="D1297" t="s">
        <v>1587</v>
      </c>
      <c r="E1297" t="s">
        <v>3153</v>
      </c>
      <c r="F1297" s="3">
        <v>1496000</v>
      </c>
      <c r="G1297" s="2">
        <f t="shared" si="40"/>
        <v>30</v>
      </c>
      <c r="H1297" s="2">
        <f t="shared" ca="1" si="41"/>
        <v>100</v>
      </c>
      <c r="I1297" s="4">
        <v>46020</v>
      </c>
      <c r="J1297" s="4">
        <v>46050</v>
      </c>
      <c r="K1297" t="s">
        <v>1589</v>
      </c>
      <c r="L1297" t="s">
        <v>984</v>
      </c>
      <c r="M1297" t="s">
        <v>391</v>
      </c>
      <c r="N1297" t="s">
        <v>1642</v>
      </c>
      <c r="O1297">
        <v>30</v>
      </c>
    </row>
    <row r="1298" spans="1:15" hidden="1" x14ac:dyDescent="0.25">
      <c r="A1298" t="s">
        <v>2820</v>
      </c>
      <c r="B1298" t="s">
        <v>1619</v>
      </c>
      <c r="C1298" t="s">
        <v>1620</v>
      </c>
      <c r="D1298" t="s">
        <v>1593</v>
      </c>
      <c r="E1298" t="s">
        <v>3154</v>
      </c>
      <c r="F1298" s="3">
        <v>429200</v>
      </c>
      <c r="G1298" s="2">
        <f t="shared" si="40"/>
        <v>30</v>
      </c>
      <c r="H1298" s="2">
        <f t="shared" ca="1" si="41"/>
        <v>100</v>
      </c>
      <c r="I1298" s="4">
        <v>46020</v>
      </c>
      <c r="J1298" s="4">
        <v>46050</v>
      </c>
      <c r="K1298" t="s">
        <v>1589</v>
      </c>
      <c r="L1298" t="s">
        <v>984</v>
      </c>
      <c r="M1298" t="s">
        <v>19</v>
      </c>
      <c r="N1298" t="s">
        <v>1621</v>
      </c>
      <c r="O1298">
        <v>30</v>
      </c>
    </row>
    <row r="1299" spans="1:15" hidden="1" x14ac:dyDescent="0.25">
      <c r="A1299" t="s">
        <v>2820</v>
      </c>
      <c r="B1299" t="s">
        <v>1619</v>
      </c>
      <c r="C1299" t="s">
        <v>1620</v>
      </c>
      <c r="D1299" t="s">
        <v>1593</v>
      </c>
      <c r="E1299" t="s">
        <v>3155</v>
      </c>
      <c r="F1299" s="3">
        <v>31199</v>
      </c>
      <c r="G1299" s="2">
        <f t="shared" si="40"/>
        <v>30</v>
      </c>
      <c r="H1299" s="2">
        <f t="shared" ca="1" si="41"/>
        <v>100</v>
      </c>
      <c r="I1299" s="4">
        <v>46020</v>
      </c>
      <c r="J1299" s="4">
        <v>46050</v>
      </c>
      <c r="K1299" t="s">
        <v>1589</v>
      </c>
      <c r="L1299" t="s">
        <v>984</v>
      </c>
      <c r="M1299" t="s">
        <v>19</v>
      </c>
      <c r="N1299" t="s">
        <v>1621</v>
      </c>
      <c r="O1299">
        <v>30</v>
      </c>
    </row>
    <row r="1300" spans="1:15" hidden="1" x14ac:dyDescent="0.25">
      <c r="A1300" t="s">
        <v>2820</v>
      </c>
      <c r="B1300" t="s">
        <v>1640</v>
      </c>
      <c r="C1300" t="s">
        <v>1641</v>
      </c>
      <c r="D1300" t="s">
        <v>1587</v>
      </c>
      <c r="E1300" t="s">
        <v>3156</v>
      </c>
      <c r="F1300" s="3">
        <v>76198</v>
      </c>
      <c r="G1300" s="2">
        <f t="shared" si="40"/>
        <v>30</v>
      </c>
      <c r="H1300" s="2">
        <f t="shared" ca="1" si="41"/>
        <v>100</v>
      </c>
      <c r="I1300" s="4">
        <v>46020</v>
      </c>
      <c r="J1300" s="4">
        <v>46050</v>
      </c>
      <c r="K1300" t="s">
        <v>1589</v>
      </c>
      <c r="L1300" t="s">
        <v>984</v>
      </c>
      <c r="M1300" t="s">
        <v>391</v>
      </c>
      <c r="N1300" t="s">
        <v>1642</v>
      </c>
      <c r="O1300">
        <v>30</v>
      </c>
    </row>
    <row r="1301" spans="1:15" hidden="1" x14ac:dyDescent="0.25">
      <c r="A1301" t="s">
        <v>2820</v>
      </c>
      <c r="B1301" t="s">
        <v>1628</v>
      </c>
      <c r="C1301" t="s">
        <v>1629</v>
      </c>
      <c r="D1301" t="s">
        <v>1593</v>
      </c>
      <c r="E1301" t="s">
        <v>3157</v>
      </c>
      <c r="F1301" s="3">
        <v>281600</v>
      </c>
      <c r="G1301" s="2">
        <f t="shared" si="40"/>
        <v>30</v>
      </c>
      <c r="H1301" s="2">
        <f t="shared" ca="1" si="41"/>
        <v>100</v>
      </c>
      <c r="I1301" s="4">
        <v>46020</v>
      </c>
      <c r="J1301" s="4">
        <v>46050</v>
      </c>
      <c r="K1301" t="s">
        <v>1589</v>
      </c>
      <c r="L1301" t="s">
        <v>984</v>
      </c>
      <c r="M1301" t="s">
        <v>19</v>
      </c>
      <c r="N1301" t="s">
        <v>1630</v>
      </c>
      <c r="O1301">
        <v>30</v>
      </c>
    </row>
    <row r="1302" spans="1:15" hidden="1" x14ac:dyDescent="0.25">
      <c r="A1302" t="s">
        <v>2820</v>
      </c>
      <c r="B1302" t="s">
        <v>1628</v>
      </c>
      <c r="C1302" t="s">
        <v>1629</v>
      </c>
      <c r="D1302" t="s">
        <v>1593</v>
      </c>
      <c r="E1302" t="s">
        <v>3158</v>
      </c>
      <c r="F1302" s="3">
        <v>248578</v>
      </c>
      <c r="G1302" s="2">
        <f t="shared" si="40"/>
        <v>30</v>
      </c>
      <c r="H1302" s="2">
        <f t="shared" ca="1" si="41"/>
        <v>100</v>
      </c>
      <c r="I1302" s="4">
        <v>46020</v>
      </c>
      <c r="J1302" s="4">
        <v>46050</v>
      </c>
      <c r="K1302" t="s">
        <v>1589</v>
      </c>
      <c r="L1302" t="s">
        <v>984</v>
      </c>
      <c r="M1302" t="s">
        <v>19</v>
      </c>
      <c r="N1302" t="s">
        <v>1630</v>
      </c>
      <c r="O1302">
        <v>30</v>
      </c>
    </row>
    <row r="1303" spans="1:15" hidden="1" x14ac:dyDescent="0.25">
      <c r="A1303" t="s">
        <v>2820</v>
      </c>
      <c r="B1303" t="s">
        <v>1601</v>
      </c>
      <c r="C1303" t="s">
        <v>1602</v>
      </c>
      <c r="D1303" t="s">
        <v>1593</v>
      </c>
      <c r="E1303" t="s">
        <v>3159</v>
      </c>
      <c r="F1303" s="3">
        <v>2122987</v>
      </c>
      <c r="G1303" s="2">
        <f t="shared" si="40"/>
        <v>30</v>
      </c>
      <c r="H1303" s="2">
        <f t="shared" ca="1" si="41"/>
        <v>100</v>
      </c>
      <c r="I1303" s="4">
        <v>46020</v>
      </c>
      <c r="J1303" s="4">
        <v>46050</v>
      </c>
      <c r="K1303" t="s">
        <v>1589</v>
      </c>
      <c r="L1303" t="s">
        <v>984</v>
      </c>
      <c r="M1303" t="s">
        <v>19</v>
      </c>
      <c r="N1303" t="s">
        <v>1603</v>
      </c>
      <c r="O1303">
        <v>30</v>
      </c>
    </row>
    <row r="1304" spans="1:15" hidden="1" x14ac:dyDescent="0.25">
      <c r="A1304" t="s">
        <v>2820</v>
      </c>
      <c r="B1304" t="s">
        <v>1652</v>
      </c>
      <c r="C1304" t="s">
        <v>1653</v>
      </c>
      <c r="D1304" t="s">
        <v>1587</v>
      </c>
      <c r="E1304" t="s">
        <v>3160</v>
      </c>
      <c r="F1304" s="3">
        <v>322400</v>
      </c>
      <c r="G1304" s="2">
        <f t="shared" si="40"/>
        <v>30</v>
      </c>
      <c r="H1304" s="2">
        <f t="shared" ca="1" si="41"/>
        <v>100</v>
      </c>
      <c r="I1304" s="4">
        <v>46020</v>
      </c>
      <c r="J1304" s="4">
        <v>46050</v>
      </c>
      <c r="K1304" t="s">
        <v>1589</v>
      </c>
      <c r="L1304" t="s">
        <v>984</v>
      </c>
      <c r="M1304" t="s">
        <v>19</v>
      </c>
      <c r="N1304" t="s">
        <v>1654</v>
      </c>
      <c r="O1304">
        <v>30</v>
      </c>
    </row>
    <row r="1305" spans="1:15" hidden="1" x14ac:dyDescent="0.25">
      <c r="A1305" t="s">
        <v>2820</v>
      </c>
      <c r="B1305" t="s">
        <v>1652</v>
      </c>
      <c r="C1305" t="s">
        <v>1653</v>
      </c>
      <c r="D1305" t="s">
        <v>1587</v>
      </c>
      <c r="E1305" t="s">
        <v>3161</v>
      </c>
      <c r="F1305" s="3">
        <v>323523</v>
      </c>
      <c r="G1305" s="2">
        <f t="shared" si="40"/>
        <v>30</v>
      </c>
      <c r="H1305" s="2">
        <f t="shared" ca="1" si="41"/>
        <v>100</v>
      </c>
      <c r="I1305" s="4">
        <v>46020</v>
      </c>
      <c r="J1305" s="4">
        <v>46050</v>
      </c>
      <c r="K1305" t="s">
        <v>1589</v>
      </c>
      <c r="L1305" t="s">
        <v>984</v>
      </c>
      <c r="M1305" t="s">
        <v>19</v>
      </c>
      <c r="N1305" t="s">
        <v>1654</v>
      </c>
      <c r="O1305">
        <v>30</v>
      </c>
    </row>
    <row r="1306" spans="1:15" hidden="1" x14ac:dyDescent="0.25">
      <c r="A1306" t="s">
        <v>2820</v>
      </c>
      <c r="B1306" t="s">
        <v>1640</v>
      </c>
      <c r="C1306" t="s">
        <v>1641</v>
      </c>
      <c r="D1306" t="s">
        <v>1587</v>
      </c>
      <c r="E1306" t="s">
        <v>3162</v>
      </c>
      <c r="F1306" s="3">
        <v>294424</v>
      </c>
      <c r="G1306" s="2">
        <f t="shared" si="40"/>
        <v>30</v>
      </c>
      <c r="H1306" s="2">
        <f t="shared" ca="1" si="41"/>
        <v>100</v>
      </c>
      <c r="I1306" s="4">
        <v>46020</v>
      </c>
      <c r="J1306" s="4">
        <v>46050</v>
      </c>
      <c r="K1306" t="s">
        <v>1589</v>
      </c>
      <c r="L1306" t="s">
        <v>984</v>
      </c>
      <c r="M1306" t="s">
        <v>391</v>
      </c>
      <c r="N1306" t="s">
        <v>1642</v>
      </c>
      <c r="O1306">
        <v>30</v>
      </c>
    </row>
    <row r="1307" spans="1:15" hidden="1" x14ac:dyDescent="0.25">
      <c r="A1307" t="s">
        <v>2820</v>
      </c>
      <c r="B1307" t="s">
        <v>1643</v>
      </c>
      <c r="C1307" t="s">
        <v>1644</v>
      </c>
      <c r="D1307" t="s">
        <v>1587</v>
      </c>
      <c r="E1307" t="s">
        <v>3163</v>
      </c>
      <c r="F1307" s="3">
        <v>256800</v>
      </c>
      <c r="G1307" s="2">
        <f t="shared" si="40"/>
        <v>30</v>
      </c>
      <c r="H1307" s="2">
        <f t="shared" ca="1" si="41"/>
        <v>100</v>
      </c>
      <c r="I1307" s="4">
        <v>46020</v>
      </c>
      <c r="J1307" s="4">
        <v>46050</v>
      </c>
      <c r="K1307" t="s">
        <v>1589</v>
      </c>
      <c r="L1307" t="s">
        <v>984</v>
      </c>
      <c r="M1307" t="s">
        <v>19</v>
      </c>
      <c r="N1307" t="s">
        <v>1645</v>
      </c>
      <c r="O1307">
        <v>30</v>
      </c>
    </row>
    <row r="1308" spans="1:15" hidden="1" x14ac:dyDescent="0.25">
      <c r="A1308" t="s">
        <v>2820</v>
      </c>
      <c r="B1308" t="s">
        <v>1643</v>
      </c>
      <c r="C1308" t="s">
        <v>1644</v>
      </c>
      <c r="D1308" t="s">
        <v>1587</v>
      </c>
      <c r="E1308" t="s">
        <v>3164</v>
      </c>
      <c r="F1308" s="3">
        <v>182699</v>
      </c>
      <c r="G1308" s="2">
        <f t="shared" si="40"/>
        <v>30</v>
      </c>
      <c r="H1308" s="2">
        <f t="shared" ca="1" si="41"/>
        <v>100</v>
      </c>
      <c r="I1308" s="4">
        <v>46020</v>
      </c>
      <c r="J1308" s="4">
        <v>46050</v>
      </c>
      <c r="K1308" t="s">
        <v>1589</v>
      </c>
      <c r="L1308" t="s">
        <v>984</v>
      </c>
      <c r="M1308" t="s">
        <v>19</v>
      </c>
      <c r="N1308" t="s">
        <v>1645</v>
      </c>
      <c r="O1308">
        <v>30</v>
      </c>
    </row>
    <row r="1309" spans="1:15" hidden="1" x14ac:dyDescent="0.25">
      <c r="A1309" t="s">
        <v>2820</v>
      </c>
      <c r="B1309" t="s">
        <v>1604</v>
      </c>
      <c r="C1309" t="s">
        <v>1605</v>
      </c>
      <c r="D1309" t="s">
        <v>1587</v>
      </c>
      <c r="E1309" t="s">
        <v>3165</v>
      </c>
      <c r="F1309" s="3">
        <v>3280375</v>
      </c>
      <c r="G1309" s="2">
        <f t="shared" si="40"/>
        <v>30</v>
      </c>
      <c r="H1309" s="2">
        <f t="shared" ca="1" si="41"/>
        <v>100</v>
      </c>
      <c r="I1309" s="4">
        <v>46020</v>
      </c>
      <c r="J1309" s="4">
        <v>46050</v>
      </c>
      <c r="K1309" t="s">
        <v>1589</v>
      </c>
      <c r="L1309" t="s">
        <v>984</v>
      </c>
      <c r="M1309" t="s">
        <v>19</v>
      </c>
      <c r="N1309" t="s">
        <v>1606</v>
      </c>
      <c r="O1309">
        <v>30</v>
      </c>
    </row>
    <row r="1310" spans="1:15" hidden="1" x14ac:dyDescent="0.25">
      <c r="A1310" t="s">
        <v>2820</v>
      </c>
      <c r="B1310" t="s">
        <v>1604</v>
      </c>
      <c r="C1310" t="s">
        <v>1605</v>
      </c>
      <c r="D1310" t="s">
        <v>1587</v>
      </c>
      <c r="E1310" t="s">
        <v>3166</v>
      </c>
      <c r="F1310" s="3">
        <v>2276259</v>
      </c>
      <c r="G1310" s="2">
        <f t="shared" si="40"/>
        <v>30</v>
      </c>
      <c r="H1310" s="2">
        <f t="shared" ca="1" si="41"/>
        <v>100</v>
      </c>
      <c r="I1310" s="4">
        <v>46020</v>
      </c>
      <c r="J1310" s="4">
        <v>46050</v>
      </c>
      <c r="K1310" t="s">
        <v>1589</v>
      </c>
      <c r="L1310" t="s">
        <v>984</v>
      </c>
      <c r="M1310" t="s">
        <v>19</v>
      </c>
      <c r="N1310" t="s">
        <v>1606</v>
      </c>
      <c r="O1310">
        <v>30</v>
      </c>
    </row>
    <row r="1311" spans="1:15" hidden="1" x14ac:dyDescent="0.25">
      <c r="A1311" t="s">
        <v>2820</v>
      </c>
      <c r="B1311" t="s">
        <v>2153</v>
      </c>
      <c r="C1311" t="s">
        <v>2154</v>
      </c>
      <c r="D1311" t="s">
        <v>1593</v>
      </c>
      <c r="E1311" t="s">
        <v>3167</v>
      </c>
      <c r="F1311" s="3">
        <v>5422</v>
      </c>
      <c r="G1311" s="2">
        <f t="shared" si="40"/>
        <v>30</v>
      </c>
      <c r="H1311" s="2">
        <f t="shared" ca="1" si="41"/>
        <v>100</v>
      </c>
      <c r="I1311" s="4">
        <v>46020</v>
      </c>
      <c r="J1311" s="4">
        <v>46050</v>
      </c>
      <c r="K1311" t="s">
        <v>1589</v>
      </c>
      <c r="L1311" t="s">
        <v>984</v>
      </c>
      <c r="M1311" t="s">
        <v>19</v>
      </c>
      <c r="N1311" t="s">
        <v>2155</v>
      </c>
      <c r="O1311">
        <v>1</v>
      </c>
    </row>
    <row r="1312" spans="1:15" hidden="1" x14ac:dyDescent="0.25">
      <c r="A1312" t="s">
        <v>2820</v>
      </c>
      <c r="B1312" t="s">
        <v>3168</v>
      </c>
      <c r="C1312" t="s">
        <v>3169</v>
      </c>
      <c r="D1312" t="s">
        <v>1593</v>
      </c>
      <c r="E1312" t="s">
        <v>3170</v>
      </c>
      <c r="F1312" s="3">
        <v>2921921</v>
      </c>
      <c r="G1312" s="2">
        <f t="shared" si="40"/>
        <v>30</v>
      </c>
      <c r="H1312" s="2">
        <f t="shared" ca="1" si="41"/>
        <v>100</v>
      </c>
      <c r="I1312" s="4">
        <v>46020</v>
      </c>
      <c r="J1312" s="4">
        <v>46050</v>
      </c>
      <c r="K1312" t="s">
        <v>1589</v>
      </c>
      <c r="L1312" t="s">
        <v>984</v>
      </c>
      <c r="M1312" t="s">
        <v>19</v>
      </c>
      <c r="N1312" t="s">
        <v>3171</v>
      </c>
      <c r="O1312">
        <v>30</v>
      </c>
    </row>
    <row r="1313" spans="1:15" hidden="1" x14ac:dyDescent="0.25">
      <c r="A1313" t="s">
        <v>2820</v>
      </c>
      <c r="B1313" t="s">
        <v>1591</v>
      </c>
      <c r="C1313" t="s">
        <v>1592</v>
      </c>
      <c r="D1313" t="s">
        <v>1593</v>
      </c>
      <c r="E1313" t="s">
        <v>3172</v>
      </c>
      <c r="F1313" s="3">
        <v>9120000</v>
      </c>
      <c r="G1313" s="2">
        <f t="shared" si="40"/>
        <v>30</v>
      </c>
      <c r="H1313" s="2">
        <f t="shared" ca="1" si="41"/>
        <v>100</v>
      </c>
      <c r="I1313" s="4">
        <v>46020</v>
      </c>
      <c r="J1313" s="4">
        <v>46050</v>
      </c>
      <c r="K1313" t="s">
        <v>1589</v>
      </c>
      <c r="L1313" t="s">
        <v>984</v>
      </c>
      <c r="M1313" t="s">
        <v>19</v>
      </c>
      <c r="N1313" t="s">
        <v>1594</v>
      </c>
      <c r="O1313">
        <v>30</v>
      </c>
    </row>
    <row r="1314" spans="1:15" hidden="1" x14ac:dyDescent="0.25">
      <c r="A1314" t="s">
        <v>2820</v>
      </c>
      <c r="B1314" t="s">
        <v>1679</v>
      </c>
      <c r="C1314" t="s">
        <v>1680</v>
      </c>
      <c r="D1314" t="s">
        <v>1593</v>
      </c>
      <c r="E1314" t="s">
        <v>3176</v>
      </c>
      <c r="F1314" s="3">
        <v>398215</v>
      </c>
      <c r="G1314" s="2">
        <f t="shared" si="40"/>
        <v>30</v>
      </c>
      <c r="H1314" s="2">
        <f t="shared" ca="1" si="41"/>
        <v>100</v>
      </c>
      <c r="I1314" s="4">
        <v>46020</v>
      </c>
      <c r="J1314" s="4">
        <v>46050</v>
      </c>
      <c r="K1314" t="s">
        <v>1589</v>
      </c>
      <c r="L1314" t="s">
        <v>984</v>
      </c>
      <c r="M1314" t="s">
        <v>19</v>
      </c>
      <c r="N1314" t="s">
        <v>1681</v>
      </c>
      <c r="O1314">
        <v>30</v>
      </c>
    </row>
    <row r="1315" spans="1:15" hidden="1" x14ac:dyDescent="0.25">
      <c r="A1315" t="s">
        <v>2820</v>
      </c>
      <c r="B1315" t="s">
        <v>1679</v>
      </c>
      <c r="C1315" t="s">
        <v>1680</v>
      </c>
      <c r="D1315" t="s">
        <v>1593</v>
      </c>
      <c r="E1315" t="s">
        <v>3177</v>
      </c>
      <c r="F1315" s="3">
        <v>239803</v>
      </c>
      <c r="G1315" s="2">
        <f t="shared" si="40"/>
        <v>30</v>
      </c>
      <c r="H1315" s="2">
        <f t="shared" ca="1" si="41"/>
        <v>100</v>
      </c>
      <c r="I1315" s="4">
        <v>46020</v>
      </c>
      <c r="J1315" s="4">
        <v>46050</v>
      </c>
      <c r="K1315" t="s">
        <v>1589</v>
      </c>
      <c r="L1315" t="s">
        <v>984</v>
      </c>
      <c r="M1315" t="s">
        <v>19</v>
      </c>
      <c r="N1315" t="s">
        <v>1681</v>
      </c>
      <c r="O1315">
        <v>30</v>
      </c>
    </row>
    <row r="1316" spans="1:15" hidden="1" x14ac:dyDescent="0.25">
      <c r="A1316" t="s">
        <v>2820</v>
      </c>
      <c r="B1316" t="s">
        <v>1591</v>
      </c>
      <c r="C1316" t="s">
        <v>1592</v>
      </c>
      <c r="D1316" t="s">
        <v>1593</v>
      </c>
      <c r="E1316" t="s">
        <v>3178</v>
      </c>
      <c r="F1316" s="3">
        <v>5205202</v>
      </c>
      <c r="G1316" s="2">
        <f t="shared" si="40"/>
        <v>30</v>
      </c>
      <c r="H1316" s="2">
        <f t="shared" ca="1" si="41"/>
        <v>100</v>
      </c>
      <c r="I1316" s="4">
        <v>46020</v>
      </c>
      <c r="J1316" s="4">
        <v>46050</v>
      </c>
      <c r="K1316" t="s">
        <v>1589</v>
      </c>
      <c r="L1316" t="s">
        <v>984</v>
      </c>
      <c r="M1316" t="s">
        <v>19</v>
      </c>
      <c r="N1316" t="s">
        <v>1594</v>
      </c>
      <c r="O1316">
        <v>30</v>
      </c>
    </row>
    <row r="1317" spans="1:15" hidden="1" x14ac:dyDescent="0.25">
      <c r="A1317" t="s">
        <v>2820</v>
      </c>
      <c r="B1317" t="s">
        <v>1591</v>
      </c>
      <c r="C1317" t="s">
        <v>1592</v>
      </c>
      <c r="D1317" t="s">
        <v>1593</v>
      </c>
      <c r="E1317" t="s">
        <v>3179</v>
      </c>
      <c r="F1317" s="3">
        <v>3026951</v>
      </c>
      <c r="G1317" s="2">
        <f t="shared" si="40"/>
        <v>30</v>
      </c>
      <c r="H1317" s="2">
        <f t="shared" ca="1" si="41"/>
        <v>100</v>
      </c>
      <c r="I1317" s="4">
        <v>46020</v>
      </c>
      <c r="J1317" s="4">
        <v>46050</v>
      </c>
      <c r="K1317" t="s">
        <v>1589</v>
      </c>
      <c r="L1317" t="s">
        <v>984</v>
      </c>
      <c r="M1317" t="s">
        <v>19</v>
      </c>
      <c r="N1317" t="s">
        <v>1594</v>
      </c>
      <c r="O1317">
        <v>30</v>
      </c>
    </row>
    <row r="1318" spans="1:15" hidden="1" x14ac:dyDescent="0.25">
      <c r="A1318" t="s">
        <v>2820</v>
      </c>
      <c r="B1318" t="s">
        <v>1625</v>
      </c>
      <c r="C1318" t="s">
        <v>1626</v>
      </c>
      <c r="D1318" t="s">
        <v>1587</v>
      </c>
      <c r="E1318" t="s">
        <v>3180</v>
      </c>
      <c r="F1318" s="3">
        <v>103500</v>
      </c>
      <c r="G1318" s="2">
        <f t="shared" si="40"/>
        <v>30</v>
      </c>
      <c r="H1318" s="2">
        <f t="shared" ca="1" si="41"/>
        <v>100</v>
      </c>
      <c r="I1318" s="4">
        <v>46020</v>
      </c>
      <c r="J1318" s="4">
        <v>46050</v>
      </c>
      <c r="K1318" t="s">
        <v>1589</v>
      </c>
      <c r="L1318" t="s">
        <v>984</v>
      </c>
      <c r="M1318" t="s">
        <v>19</v>
      </c>
      <c r="N1318" t="s">
        <v>1627</v>
      </c>
      <c r="O1318">
        <v>30</v>
      </c>
    </row>
    <row r="1319" spans="1:15" hidden="1" x14ac:dyDescent="0.25">
      <c r="A1319" t="s">
        <v>2820</v>
      </c>
      <c r="B1319" t="s">
        <v>1625</v>
      </c>
      <c r="C1319" t="s">
        <v>1626</v>
      </c>
      <c r="D1319" t="s">
        <v>1587</v>
      </c>
      <c r="E1319" t="s">
        <v>3181</v>
      </c>
      <c r="F1319" s="3">
        <v>766800</v>
      </c>
      <c r="G1319" s="2">
        <f t="shared" si="40"/>
        <v>30</v>
      </c>
      <c r="H1319" s="2">
        <f t="shared" ca="1" si="41"/>
        <v>100</v>
      </c>
      <c r="I1319" s="4">
        <v>46020</v>
      </c>
      <c r="J1319" s="4">
        <v>46050</v>
      </c>
      <c r="K1319" t="s">
        <v>1589</v>
      </c>
      <c r="L1319" t="s">
        <v>984</v>
      </c>
      <c r="M1319" t="s">
        <v>19</v>
      </c>
      <c r="N1319" t="s">
        <v>1627</v>
      </c>
      <c r="O1319">
        <v>30</v>
      </c>
    </row>
    <row r="1320" spans="1:15" hidden="1" x14ac:dyDescent="0.25">
      <c r="A1320" t="s">
        <v>2820</v>
      </c>
      <c r="B1320" t="s">
        <v>1640</v>
      </c>
      <c r="C1320" t="s">
        <v>1641</v>
      </c>
      <c r="D1320" t="s">
        <v>1587</v>
      </c>
      <c r="E1320" t="s">
        <v>3182</v>
      </c>
      <c r="F1320" s="3">
        <v>335999</v>
      </c>
      <c r="G1320" s="2">
        <f t="shared" si="40"/>
        <v>30</v>
      </c>
      <c r="H1320" s="2">
        <f t="shared" ca="1" si="41"/>
        <v>100</v>
      </c>
      <c r="I1320" s="4">
        <v>46020</v>
      </c>
      <c r="J1320" s="4">
        <v>46050</v>
      </c>
      <c r="K1320" t="s">
        <v>1589</v>
      </c>
      <c r="L1320" t="s">
        <v>984</v>
      </c>
      <c r="M1320" t="s">
        <v>391</v>
      </c>
      <c r="N1320" t="s">
        <v>1642</v>
      </c>
      <c r="O1320">
        <v>30</v>
      </c>
    </row>
    <row r="1321" spans="1:15" hidden="1" x14ac:dyDescent="0.25">
      <c r="A1321" t="s">
        <v>2820</v>
      </c>
      <c r="B1321" t="s">
        <v>1607</v>
      </c>
      <c r="C1321" t="s">
        <v>1608</v>
      </c>
      <c r="D1321" t="s">
        <v>1593</v>
      </c>
      <c r="E1321" t="s">
        <v>3183</v>
      </c>
      <c r="F1321" s="3">
        <v>3125326</v>
      </c>
      <c r="G1321" s="2">
        <f t="shared" si="40"/>
        <v>30</v>
      </c>
      <c r="H1321" s="2">
        <f t="shared" ca="1" si="41"/>
        <v>100</v>
      </c>
      <c r="I1321" s="4">
        <v>46020</v>
      </c>
      <c r="J1321" s="4">
        <v>46050</v>
      </c>
      <c r="K1321" t="s">
        <v>1589</v>
      </c>
      <c r="L1321" t="s">
        <v>984</v>
      </c>
      <c r="M1321" t="s">
        <v>19</v>
      </c>
      <c r="N1321" t="s">
        <v>1609</v>
      </c>
      <c r="O1321">
        <v>30</v>
      </c>
    </row>
    <row r="1322" spans="1:15" hidden="1" x14ac:dyDescent="0.25">
      <c r="A1322" t="s">
        <v>2820</v>
      </c>
      <c r="B1322" t="s">
        <v>1607</v>
      </c>
      <c r="C1322" t="s">
        <v>1608</v>
      </c>
      <c r="D1322" t="s">
        <v>1593</v>
      </c>
      <c r="E1322" t="s">
        <v>3184</v>
      </c>
      <c r="F1322" s="3">
        <v>2120001</v>
      </c>
      <c r="G1322" s="2">
        <f t="shared" si="40"/>
        <v>30</v>
      </c>
      <c r="H1322" s="2">
        <f t="shared" ca="1" si="41"/>
        <v>100</v>
      </c>
      <c r="I1322" s="4">
        <v>46020</v>
      </c>
      <c r="J1322" s="4">
        <v>46050</v>
      </c>
      <c r="K1322" t="s">
        <v>1589</v>
      </c>
      <c r="L1322" t="s">
        <v>984</v>
      </c>
      <c r="M1322" t="s">
        <v>19</v>
      </c>
      <c r="N1322" t="s">
        <v>1609</v>
      </c>
      <c r="O1322">
        <v>30</v>
      </c>
    </row>
    <row r="1323" spans="1:15" hidden="1" x14ac:dyDescent="0.25">
      <c r="A1323" t="s">
        <v>2820</v>
      </c>
      <c r="B1323" t="s">
        <v>1634</v>
      </c>
      <c r="C1323" t="s">
        <v>1635</v>
      </c>
      <c r="D1323" t="s">
        <v>1587</v>
      </c>
      <c r="E1323" t="s">
        <v>3193</v>
      </c>
      <c r="F1323" s="3">
        <v>1452882</v>
      </c>
      <c r="G1323" s="2">
        <f t="shared" si="40"/>
        <v>30</v>
      </c>
      <c r="H1323" s="2">
        <f t="shared" ca="1" si="41"/>
        <v>100</v>
      </c>
      <c r="I1323" s="4">
        <v>46020</v>
      </c>
      <c r="J1323" s="4">
        <v>46050</v>
      </c>
      <c r="K1323" t="s">
        <v>1589</v>
      </c>
      <c r="L1323" t="s">
        <v>984</v>
      </c>
      <c r="M1323" t="s">
        <v>19</v>
      </c>
      <c r="N1323" t="s">
        <v>1636</v>
      </c>
      <c r="O1323">
        <v>30</v>
      </c>
    </row>
    <row r="1324" spans="1:15" hidden="1" x14ac:dyDescent="0.25">
      <c r="A1324" t="s">
        <v>2820</v>
      </c>
      <c r="B1324" t="s">
        <v>1631</v>
      </c>
      <c r="C1324" t="s">
        <v>1632</v>
      </c>
      <c r="D1324" t="s">
        <v>1587</v>
      </c>
      <c r="E1324" t="s">
        <v>3194</v>
      </c>
      <c r="F1324" s="3">
        <v>466400</v>
      </c>
      <c r="G1324" s="2">
        <f t="shared" si="40"/>
        <v>30</v>
      </c>
      <c r="H1324" s="2">
        <f t="shared" ca="1" si="41"/>
        <v>100</v>
      </c>
      <c r="I1324" s="4">
        <v>46020</v>
      </c>
      <c r="J1324" s="4">
        <v>46050</v>
      </c>
      <c r="K1324" t="s">
        <v>1589</v>
      </c>
      <c r="L1324" t="s">
        <v>984</v>
      </c>
      <c r="M1324" t="s">
        <v>19</v>
      </c>
      <c r="N1324" t="s">
        <v>1633</v>
      </c>
      <c r="O1324">
        <v>30</v>
      </c>
    </row>
    <row r="1325" spans="1:15" hidden="1" x14ac:dyDescent="0.25">
      <c r="A1325" t="s">
        <v>2820</v>
      </c>
      <c r="B1325" t="s">
        <v>1658</v>
      </c>
      <c r="C1325" t="s">
        <v>1659</v>
      </c>
      <c r="D1325" t="s">
        <v>1593</v>
      </c>
      <c r="E1325" t="s">
        <v>3195</v>
      </c>
      <c r="F1325" s="3">
        <v>567000</v>
      </c>
      <c r="G1325" s="2">
        <f t="shared" si="40"/>
        <v>30</v>
      </c>
      <c r="H1325" s="2">
        <f t="shared" ca="1" si="41"/>
        <v>100</v>
      </c>
      <c r="I1325" s="4">
        <v>46020</v>
      </c>
      <c r="J1325" s="4">
        <v>46050</v>
      </c>
      <c r="K1325" t="s">
        <v>1589</v>
      </c>
      <c r="L1325" t="s">
        <v>984</v>
      </c>
      <c r="M1325" t="s">
        <v>19</v>
      </c>
      <c r="N1325" t="s">
        <v>1660</v>
      </c>
      <c r="O1325">
        <v>30</v>
      </c>
    </row>
    <row r="1326" spans="1:15" hidden="1" x14ac:dyDescent="0.25">
      <c r="A1326" t="s">
        <v>2820</v>
      </c>
      <c r="B1326" t="s">
        <v>205</v>
      </c>
      <c r="C1326" t="s">
        <v>206</v>
      </c>
      <c r="D1326" t="s">
        <v>15</v>
      </c>
      <c r="E1326" t="s">
        <v>2826</v>
      </c>
      <c r="F1326" s="3">
        <v>840000</v>
      </c>
      <c r="G1326" s="2">
        <f t="shared" si="40"/>
        <v>1</v>
      </c>
      <c r="H1326" s="2">
        <f t="shared" ca="1" si="41"/>
        <v>99</v>
      </c>
      <c r="I1326" s="4">
        <v>46021</v>
      </c>
      <c r="J1326" s="4">
        <v>46022</v>
      </c>
      <c r="K1326" t="s">
        <v>17</v>
      </c>
      <c r="L1326" t="s">
        <v>18</v>
      </c>
      <c r="M1326" t="s">
        <v>19</v>
      </c>
      <c r="N1326" t="s">
        <v>149</v>
      </c>
      <c r="O1326">
        <v>1</v>
      </c>
    </row>
    <row r="1327" spans="1:15" hidden="1" x14ac:dyDescent="0.25">
      <c r="A1327" t="s">
        <v>2820</v>
      </c>
      <c r="B1327" t="s">
        <v>49</v>
      </c>
      <c r="C1327" t="s">
        <v>50</v>
      </c>
      <c r="D1327" t="s">
        <v>15</v>
      </c>
      <c r="E1327" t="s">
        <v>2827</v>
      </c>
      <c r="F1327" s="3">
        <v>345005</v>
      </c>
      <c r="G1327" s="2">
        <f t="shared" si="40"/>
        <v>30</v>
      </c>
      <c r="H1327" s="2">
        <f t="shared" ca="1" si="41"/>
        <v>99</v>
      </c>
      <c r="I1327" s="4">
        <v>46021</v>
      </c>
      <c r="J1327" s="4">
        <v>46051</v>
      </c>
      <c r="K1327" t="s">
        <v>17</v>
      </c>
      <c r="L1327" t="s">
        <v>32</v>
      </c>
      <c r="M1327" t="s">
        <v>19</v>
      </c>
      <c r="N1327" t="s">
        <v>51</v>
      </c>
      <c r="O1327">
        <v>30</v>
      </c>
    </row>
    <row r="1328" spans="1:15" hidden="1" x14ac:dyDescent="0.25">
      <c r="A1328" t="s">
        <v>2820</v>
      </c>
      <c r="B1328" t="s">
        <v>159</v>
      </c>
      <c r="C1328" t="s">
        <v>160</v>
      </c>
      <c r="D1328" t="s">
        <v>46</v>
      </c>
      <c r="E1328" t="s">
        <v>2828</v>
      </c>
      <c r="F1328" s="3">
        <v>621894</v>
      </c>
      <c r="G1328" s="2">
        <f t="shared" si="40"/>
        <v>30</v>
      </c>
      <c r="H1328" s="2">
        <f t="shared" ca="1" si="41"/>
        <v>99</v>
      </c>
      <c r="I1328" s="4">
        <v>46021</v>
      </c>
      <c r="J1328" s="4">
        <v>46051</v>
      </c>
      <c r="K1328" t="s">
        <v>17</v>
      </c>
      <c r="L1328" t="s">
        <v>32</v>
      </c>
      <c r="M1328" t="s">
        <v>19</v>
      </c>
      <c r="N1328" t="s">
        <v>161</v>
      </c>
      <c r="O1328">
        <v>30</v>
      </c>
    </row>
    <row r="1329" spans="1:15" hidden="1" x14ac:dyDescent="0.25">
      <c r="A1329" t="s">
        <v>2820</v>
      </c>
      <c r="B1329" t="s">
        <v>133</v>
      </c>
      <c r="C1329" t="s">
        <v>134</v>
      </c>
      <c r="D1329" t="s">
        <v>15</v>
      </c>
      <c r="E1329" t="s">
        <v>2829</v>
      </c>
      <c r="F1329" s="3">
        <v>138002</v>
      </c>
      <c r="G1329" s="2">
        <f t="shared" si="40"/>
        <v>30</v>
      </c>
      <c r="H1329" s="2">
        <f t="shared" ca="1" si="41"/>
        <v>99</v>
      </c>
      <c r="I1329" s="4">
        <v>46021</v>
      </c>
      <c r="J1329" s="4">
        <v>46051</v>
      </c>
      <c r="K1329" t="s">
        <v>17</v>
      </c>
      <c r="L1329" t="s">
        <v>32</v>
      </c>
      <c r="M1329" t="s">
        <v>19</v>
      </c>
      <c r="N1329" t="s">
        <v>135</v>
      </c>
      <c r="O1329">
        <v>30</v>
      </c>
    </row>
    <row r="1330" spans="1:15" hidden="1" x14ac:dyDescent="0.25">
      <c r="A1330" t="s">
        <v>2820</v>
      </c>
      <c r="B1330" t="s">
        <v>85</v>
      </c>
      <c r="C1330" t="s">
        <v>86</v>
      </c>
      <c r="D1330" t="s">
        <v>46</v>
      </c>
      <c r="E1330" t="s">
        <v>2830</v>
      </c>
      <c r="F1330" s="3">
        <v>1991062</v>
      </c>
      <c r="G1330" s="2">
        <f t="shared" si="40"/>
        <v>30</v>
      </c>
      <c r="H1330" s="2">
        <f t="shared" ca="1" si="41"/>
        <v>99</v>
      </c>
      <c r="I1330" s="4">
        <v>46021</v>
      </c>
      <c r="J1330" s="4">
        <v>46051</v>
      </c>
      <c r="K1330" t="s">
        <v>17</v>
      </c>
      <c r="L1330" t="s">
        <v>32</v>
      </c>
      <c r="M1330" t="s">
        <v>19</v>
      </c>
      <c r="N1330" t="s">
        <v>87</v>
      </c>
      <c r="O1330">
        <v>30</v>
      </c>
    </row>
    <row r="1331" spans="1:15" hidden="1" x14ac:dyDescent="0.25">
      <c r="A1331" t="s">
        <v>2820</v>
      </c>
      <c r="B1331" t="s">
        <v>85</v>
      </c>
      <c r="C1331" t="s">
        <v>86</v>
      </c>
      <c r="D1331" t="s">
        <v>46</v>
      </c>
      <c r="E1331" t="s">
        <v>2831</v>
      </c>
      <c r="F1331" s="3">
        <v>1063193</v>
      </c>
      <c r="G1331" s="2">
        <f t="shared" si="40"/>
        <v>30</v>
      </c>
      <c r="H1331" s="2">
        <f t="shared" ca="1" si="41"/>
        <v>99</v>
      </c>
      <c r="I1331" s="4">
        <v>46021</v>
      </c>
      <c r="J1331" s="4">
        <v>46051</v>
      </c>
      <c r="K1331" t="s">
        <v>17</v>
      </c>
      <c r="L1331" t="s">
        <v>32</v>
      </c>
      <c r="M1331" t="s">
        <v>19</v>
      </c>
      <c r="N1331" t="s">
        <v>87</v>
      </c>
      <c r="O1331">
        <v>30</v>
      </c>
    </row>
    <row r="1332" spans="1:15" hidden="1" x14ac:dyDescent="0.25">
      <c r="A1332" t="s">
        <v>2820</v>
      </c>
      <c r="B1332" t="s">
        <v>79</v>
      </c>
      <c r="C1332" t="s">
        <v>80</v>
      </c>
      <c r="D1332" t="s">
        <v>46</v>
      </c>
      <c r="E1332" t="s">
        <v>2832</v>
      </c>
      <c r="F1332" s="3">
        <v>955000</v>
      </c>
      <c r="G1332" s="2">
        <f t="shared" si="40"/>
        <v>30</v>
      </c>
      <c r="H1332" s="2">
        <f t="shared" ca="1" si="41"/>
        <v>99</v>
      </c>
      <c r="I1332" s="4">
        <v>46021</v>
      </c>
      <c r="J1332" s="4">
        <v>46051</v>
      </c>
      <c r="K1332" t="s">
        <v>17</v>
      </c>
      <c r="L1332" t="s">
        <v>32</v>
      </c>
      <c r="M1332" t="s">
        <v>19</v>
      </c>
      <c r="N1332" t="s">
        <v>81</v>
      </c>
      <c r="O1332">
        <v>30</v>
      </c>
    </row>
    <row r="1333" spans="1:15" hidden="1" x14ac:dyDescent="0.25">
      <c r="A1333" t="s">
        <v>2820</v>
      </c>
      <c r="B1333" t="s">
        <v>52</v>
      </c>
      <c r="C1333" t="s">
        <v>53</v>
      </c>
      <c r="D1333" t="s">
        <v>15</v>
      </c>
      <c r="E1333" t="s">
        <v>2833</v>
      </c>
      <c r="F1333" s="3">
        <v>1234311</v>
      </c>
      <c r="G1333" s="2">
        <f t="shared" si="40"/>
        <v>30</v>
      </c>
      <c r="H1333" s="2">
        <f t="shared" ca="1" si="41"/>
        <v>99</v>
      </c>
      <c r="I1333" s="4">
        <v>46021</v>
      </c>
      <c r="J1333" s="4">
        <v>46051</v>
      </c>
      <c r="K1333" t="s">
        <v>17</v>
      </c>
      <c r="L1333" t="s">
        <v>32</v>
      </c>
      <c r="M1333" t="s">
        <v>19</v>
      </c>
      <c r="N1333" t="s">
        <v>54</v>
      </c>
      <c r="O1333">
        <v>30</v>
      </c>
    </row>
    <row r="1334" spans="1:15" hidden="1" x14ac:dyDescent="0.25">
      <c r="A1334" t="s">
        <v>2820</v>
      </c>
      <c r="B1334" t="s">
        <v>52</v>
      </c>
      <c r="C1334" t="s">
        <v>53</v>
      </c>
      <c r="D1334" t="s">
        <v>15</v>
      </c>
      <c r="E1334" t="s">
        <v>2834</v>
      </c>
      <c r="F1334" s="3">
        <v>4536473</v>
      </c>
      <c r="G1334" s="2">
        <f t="shared" si="40"/>
        <v>30</v>
      </c>
      <c r="H1334" s="2">
        <f t="shared" ca="1" si="41"/>
        <v>99</v>
      </c>
      <c r="I1334" s="4">
        <v>46021</v>
      </c>
      <c r="J1334" s="4">
        <v>46051</v>
      </c>
      <c r="K1334" t="s">
        <v>17</v>
      </c>
      <c r="L1334" t="s">
        <v>32</v>
      </c>
      <c r="M1334" t="s">
        <v>19</v>
      </c>
      <c r="N1334" t="s">
        <v>54</v>
      </c>
      <c r="O1334">
        <v>30</v>
      </c>
    </row>
    <row r="1335" spans="1:15" hidden="1" x14ac:dyDescent="0.25">
      <c r="A1335" t="s">
        <v>2820</v>
      </c>
      <c r="B1335" t="s">
        <v>76</v>
      </c>
      <c r="C1335" t="s">
        <v>77</v>
      </c>
      <c r="D1335" t="s">
        <v>46</v>
      </c>
      <c r="E1335" t="s">
        <v>2835</v>
      </c>
      <c r="F1335" s="3">
        <v>332110</v>
      </c>
      <c r="G1335" s="2">
        <f t="shared" si="40"/>
        <v>30</v>
      </c>
      <c r="H1335" s="2">
        <f t="shared" ca="1" si="41"/>
        <v>99</v>
      </c>
      <c r="I1335" s="4">
        <v>46021</v>
      </c>
      <c r="J1335" s="4">
        <v>46051</v>
      </c>
      <c r="K1335" t="s">
        <v>17</v>
      </c>
      <c r="L1335" t="s">
        <v>32</v>
      </c>
      <c r="M1335" t="s">
        <v>19</v>
      </c>
      <c r="N1335" t="s">
        <v>78</v>
      </c>
      <c r="O1335">
        <v>30</v>
      </c>
    </row>
    <row r="1336" spans="1:15" hidden="1" x14ac:dyDescent="0.25">
      <c r="A1336" t="s">
        <v>2820</v>
      </c>
      <c r="B1336" t="s">
        <v>67</v>
      </c>
      <c r="C1336" t="s">
        <v>68</v>
      </c>
      <c r="D1336" t="s">
        <v>15</v>
      </c>
      <c r="E1336" t="s">
        <v>2836</v>
      </c>
      <c r="F1336" s="3">
        <v>445193</v>
      </c>
      <c r="G1336" s="2">
        <f t="shared" si="40"/>
        <v>30</v>
      </c>
      <c r="H1336" s="2">
        <f t="shared" ca="1" si="41"/>
        <v>99</v>
      </c>
      <c r="I1336" s="4">
        <v>46021</v>
      </c>
      <c r="J1336" s="4">
        <v>46051</v>
      </c>
      <c r="K1336" t="s">
        <v>17</v>
      </c>
      <c r="L1336" t="s">
        <v>32</v>
      </c>
      <c r="M1336" t="s">
        <v>19</v>
      </c>
      <c r="N1336" t="s">
        <v>69</v>
      </c>
      <c r="O1336">
        <v>30</v>
      </c>
    </row>
    <row r="1337" spans="1:15" hidden="1" x14ac:dyDescent="0.25">
      <c r="A1337" t="s">
        <v>2820</v>
      </c>
      <c r="B1337" t="s">
        <v>98</v>
      </c>
      <c r="C1337" t="s">
        <v>99</v>
      </c>
      <c r="D1337" t="s">
        <v>15</v>
      </c>
      <c r="E1337" t="s">
        <v>2837</v>
      </c>
      <c r="F1337" s="3">
        <v>8400000</v>
      </c>
      <c r="G1337" s="2">
        <f t="shared" si="40"/>
        <v>30</v>
      </c>
      <c r="H1337" s="2">
        <f t="shared" ca="1" si="41"/>
        <v>99</v>
      </c>
      <c r="I1337" s="4">
        <v>46021</v>
      </c>
      <c r="J1337" s="4">
        <v>46051</v>
      </c>
      <c r="K1337" t="s">
        <v>17</v>
      </c>
      <c r="L1337" t="s">
        <v>32</v>
      </c>
      <c r="M1337" t="s">
        <v>19</v>
      </c>
      <c r="N1337" t="s">
        <v>100</v>
      </c>
      <c r="O1337">
        <v>30</v>
      </c>
    </row>
    <row r="1338" spans="1:15" hidden="1" x14ac:dyDescent="0.25">
      <c r="A1338" t="s">
        <v>2820</v>
      </c>
      <c r="B1338" t="s">
        <v>162</v>
      </c>
      <c r="C1338" t="s">
        <v>163</v>
      </c>
      <c r="D1338" t="s">
        <v>15</v>
      </c>
      <c r="E1338" t="s">
        <v>2838</v>
      </c>
      <c r="F1338" s="3">
        <v>759160</v>
      </c>
      <c r="G1338" s="2">
        <f t="shared" si="40"/>
        <v>30</v>
      </c>
      <c r="H1338" s="2">
        <f t="shared" ca="1" si="41"/>
        <v>99</v>
      </c>
      <c r="I1338" s="4">
        <v>46021</v>
      </c>
      <c r="J1338" s="4">
        <v>46051</v>
      </c>
      <c r="K1338" t="s">
        <v>17</v>
      </c>
      <c r="L1338" t="s">
        <v>32</v>
      </c>
      <c r="M1338" t="s">
        <v>19</v>
      </c>
      <c r="N1338" t="s">
        <v>164</v>
      </c>
      <c r="O1338">
        <v>30</v>
      </c>
    </row>
    <row r="1339" spans="1:15" hidden="1" x14ac:dyDescent="0.25">
      <c r="A1339" t="s">
        <v>2820</v>
      </c>
      <c r="B1339" t="s">
        <v>111</v>
      </c>
      <c r="C1339" t="s">
        <v>112</v>
      </c>
      <c r="D1339" t="s">
        <v>15</v>
      </c>
      <c r="E1339" t="s">
        <v>2839</v>
      </c>
      <c r="F1339" s="3">
        <v>1233056</v>
      </c>
      <c r="G1339" s="2">
        <f t="shared" si="40"/>
        <v>30</v>
      </c>
      <c r="H1339" s="2">
        <f t="shared" ca="1" si="41"/>
        <v>99</v>
      </c>
      <c r="I1339" s="4">
        <v>46021</v>
      </c>
      <c r="J1339" s="4">
        <v>46051</v>
      </c>
      <c r="K1339" t="s">
        <v>17</v>
      </c>
      <c r="L1339" t="s">
        <v>32</v>
      </c>
      <c r="M1339" t="s">
        <v>19</v>
      </c>
      <c r="N1339" t="s">
        <v>113</v>
      </c>
      <c r="O1339">
        <v>30</v>
      </c>
    </row>
    <row r="1340" spans="1:15" hidden="1" x14ac:dyDescent="0.25">
      <c r="A1340" t="s">
        <v>2820</v>
      </c>
      <c r="B1340" t="s">
        <v>1994</v>
      </c>
      <c r="C1340" t="s">
        <v>1995</v>
      </c>
      <c r="D1340" t="s">
        <v>15</v>
      </c>
      <c r="E1340" t="s">
        <v>2840</v>
      </c>
      <c r="F1340" s="3">
        <v>1811583</v>
      </c>
      <c r="G1340" s="2">
        <f t="shared" si="40"/>
        <v>30</v>
      </c>
      <c r="H1340" s="2">
        <f t="shared" ca="1" si="41"/>
        <v>99</v>
      </c>
      <c r="I1340" s="4">
        <v>46021</v>
      </c>
      <c r="J1340" s="4">
        <v>46051</v>
      </c>
      <c r="K1340" t="s">
        <v>17</v>
      </c>
      <c r="L1340" t="s">
        <v>32</v>
      </c>
      <c r="M1340" t="s">
        <v>19</v>
      </c>
      <c r="N1340" t="s">
        <v>142</v>
      </c>
      <c r="O1340">
        <v>30</v>
      </c>
    </row>
    <row r="1341" spans="1:15" hidden="1" x14ac:dyDescent="0.25">
      <c r="A1341" t="s">
        <v>2820</v>
      </c>
      <c r="B1341" t="s">
        <v>1339</v>
      </c>
      <c r="C1341" t="s">
        <v>1340</v>
      </c>
      <c r="D1341" t="s">
        <v>1323</v>
      </c>
      <c r="E1341" t="s">
        <v>2841</v>
      </c>
      <c r="F1341" s="3">
        <v>833714</v>
      </c>
      <c r="G1341" s="2">
        <f t="shared" si="40"/>
        <v>30</v>
      </c>
      <c r="H1341" s="2">
        <f t="shared" ca="1" si="41"/>
        <v>99</v>
      </c>
      <c r="I1341" s="4">
        <v>46021</v>
      </c>
      <c r="J1341" s="4">
        <v>46051</v>
      </c>
      <c r="K1341" t="s">
        <v>17</v>
      </c>
      <c r="L1341" t="s">
        <v>90</v>
      </c>
      <c r="M1341" t="s">
        <v>19</v>
      </c>
      <c r="N1341" t="s">
        <v>1341</v>
      </c>
      <c r="O1341">
        <v>1</v>
      </c>
    </row>
    <row r="1342" spans="1:15" hidden="1" x14ac:dyDescent="0.25">
      <c r="A1342" t="s">
        <v>2820</v>
      </c>
      <c r="B1342" t="s">
        <v>1339</v>
      </c>
      <c r="C1342" t="s">
        <v>1340</v>
      </c>
      <c r="D1342" t="s">
        <v>1323</v>
      </c>
      <c r="E1342" t="s">
        <v>2842</v>
      </c>
      <c r="F1342" s="3">
        <v>1088521</v>
      </c>
      <c r="G1342" s="2">
        <f t="shared" si="40"/>
        <v>30</v>
      </c>
      <c r="H1342" s="2">
        <f t="shared" ca="1" si="41"/>
        <v>99</v>
      </c>
      <c r="I1342" s="4">
        <v>46021</v>
      </c>
      <c r="J1342" s="4">
        <v>46051</v>
      </c>
      <c r="K1342" t="s">
        <v>17</v>
      </c>
      <c r="L1342" t="s">
        <v>90</v>
      </c>
      <c r="M1342" t="s">
        <v>19</v>
      </c>
      <c r="N1342" t="s">
        <v>1341</v>
      </c>
      <c r="O1342">
        <v>1</v>
      </c>
    </row>
    <row r="1343" spans="1:15" hidden="1" x14ac:dyDescent="0.25">
      <c r="A1343" t="s">
        <v>2820</v>
      </c>
      <c r="B1343" t="s">
        <v>1142</v>
      </c>
      <c r="C1343" t="s">
        <v>1143</v>
      </c>
      <c r="D1343" t="s">
        <v>1118</v>
      </c>
      <c r="E1343" t="s">
        <v>2843</v>
      </c>
      <c r="F1343" s="3">
        <v>1312247</v>
      </c>
      <c r="G1343" s="2">
        <f t="shared" si="40"/>
        <v>30</v>
      </c>
      <c r="H1343" s="2">
        <f t="shared" ca="1" si="41"/>
        <v>99</v>
      </c>
      <c r="I1343" s="4">
        <v>46021</v>
      </c>
      <c r="J1343" s="4">
        <v>46051</v>
      </c>
      <c r="K1343" t="s">
        <v>17</v>
      </c>
      <c r="L1343" t="s">
        <v>207</v>
      </c>
      <c r="M1343" t="s">
        <v>19</v>
      </c>
      <c r="N1343" t="s">
        <v>1145</v>
      </c>
      <c r="O1343">
        <v>30</v>
      </c>
    </row>
    <row r="1344" spans="1:15" hidden="1" x14ac:dyDescent="0.25">
      <c r="A1344" t="s">
        <v>2820</v>
      </c>
      <c r="B1344" t="s">
        <v>1142</v>
      </c>
      <c r="C1344" t="s">
        <v>1143</v>
      </c>
      <c r="D1344" t="s">
        <v>1118</v>
      </c>
      <c r="E1344" t="s">
        <v>2844</v>
      </c>
      <c r="F1344" s="3">
        <v>679002</v>
      </c>
      <c r="G1344" s="2">
        <f t="shared" si="40"/>
        <v>30</v>
      </c>
      <c r="H1344" s="2">
        <f t="shared" ca="1" si="41"/>
        <v>99</v>
      </c>
      <c r="I1344" s="4">
        <v>46021</v>
      </c>
      <c r="J1344" s="4">
        <v>46051</v>
      </c>
      <c r="K1344" t="s">
        <v>17</v>
      </c>
      <c r="L1344" t="s">
        <v>207</v>
      </c>
      <c r="M1344" t="s">
        <v>19</v>
      </c>
      <c r="N1344" t="s">
        <v>1145</v>
      </c>
      <c r="O1344">
        <v>30</v>
      </c>
    </row>
    <row r="1345" spans="1:15" hidden="1" x14ac:dyDescent="0.25">
      <c r="A1345" t="s">
        <v>2820</v>
      </c>
      <c r="B1345" t="s">
        <v>168</v>
      </c>
      <c r="C1345" t="s">
        <v>169</v>
      </c>
      <c r="D1345" t="s">
        <v>15</v>
      </c>
      <c r="E1345" t="s">
        <v>2845</v>
      </c>
      <c r="F1345" s="3">
        <v>1577238</v>
      </c>
      <c r="G1345" s="2">
        <f t="shared" si="40"/>
        <v>30</v>
      </c>
      <c r="H1345" s="2">
        <f t="shared" ca="1" si="41"/>
        <v>99</v>
      </c>
      <c r="I1345" s="4">
        <v>46021</v>
      </c>
      <c r="J1345" s="4">
        <v>46051</v>
      </c>
      <c r="K1345" t="s">
        <v>17</v>
      </c>
      <c r="L1345" t="s">
        <v>32</v>
      </c>
      <c r="M1345" t="s">
        <v>19</v>
      </c>
      <c r="N1345" t="s">
        <v>170</v>
      </c>
      <c r="O1345">
        <v>30</v>
      </c>
    </row>
    <row r="1346" spans="1:15" hidden="1" x14ac:dyDescent="0.25">
      <c r="A1346" t="s">
        <v>2820</v>
      </c>
      <c r="B1346" t="s">
        <v>79</v>
      </c>
      <c r="C1346" t="s">
        <v>80</v>
      </c>
      <c r="D1346" t="s">
        <v>46</v>
      </c>
      <c r="E1346" t="s">
        <v>2850</v>
      </c>
      <c r="F1346" s="3">
        <v>336550</v>
      </c>
      <c r="G1346" s="2">
        <f t="shared" ref="G1346:G1409" si="42">+J1346-I1346</f>
        <v>30</v>
      </c>
      <c r="H1346" s="2">
        <f t="shared" ref="H1346:H1409" ca="1" si="43">+TODAY()-I1346</f>
        <v>99</v>
      </c>
      <c r="I1346" s="4">
        <v>46021</v>
      </c>
      <c r="J1346" s="4">
        <v>46051</v>
      </c>
      <c r="K1346" t="s">
        <v>17</v>
      </c>
      <c r="L1346" t="s">
        <v>32</v>
      </c>
      <c r="M1346" t="s">
        <v>19</v>
      </c>
      <c r="N1346" t="s">
        <v>81</v>
      </c>
      <c r="O1346">
        <v>30</v>
      </c>
    </row>
    <row r="1347" spans="1:15" hidden="1" x14ac:dyDescent="0.25">
      <c r="A1347" t="s">
        <v>2820</v>
      </c>
      <c r="B1347" t="s">
        <v>2125</v>
      </c>
      <c r="C1347" t="s">
        <v>2126</v>
      </c>
      <c r="D1347" t="s">
        <v>15</v>
      </c>
      <c r="E1347" t="s">
        <v>2909</v>
      </c>
      <c r="F1347" s="3">
        <v>775202</v>
      </c>
      <c r="G1347" s="2">
        <f t="shared" si="42"/>
        <v>30</v>
      </c>
      <c r="H1347" s="2">
        <f t="shared" ca="1" si="43"/>
        <v>99</v>
      </c>
      <c r="I1347" s="4">
        <v>46021</v>
      </c>
      <c r="J1347" s="4">
        <v>46051</v>
      </c>
      <c r="K1347" t="s">
        <v>17</v>
      </c>
      <c r="L1347" t="s">
        <v>312</v>
      </c>
      <c r="M1347" t="s">
        <v>19</v>
      </c>
      <c r="N1347" t="s">
        <v>2127</v>
      </c>
      <c r="O1347">
        <v>30</v>
      </c>
    </row>
    <row r="1348" spans="1:15" hidden="1" x14ac:dyDescent="0.25">
      <c r="A1348" t="s">
        <v>2820</v>
      </c>
      <c r="B1348" t="s">
        <v>79</v>
      </c>
      <c r="C1348" t="s">
        <v>80</v>
      </c>
      <c r="D1348" t="s">
        <v>46</v>
      </c>
      <c r="E1348" t="s">
        <v>2913</v>
      </c>
      <c r="F1348" s="3">
        <v>388571</v>
      </c>
      <c r="G1348" s="2">
        <f t="shared" si="42"/>
        <v>30</v>
      </c>
      <c r="H1348" s="2">
        <f t="shared" ca="1" si="43"/>
        <v>99</v>
      </c>
      <c r="I1348" s="4">
        <v>46021</v>
      </c>
      <c r="J1348" s="4">
        <v>46051</v>
      </c>
      <c r="K1348" t="s">
        <v>17</v>
      </c>
      <c r="L1348" t="s">
        <v>32</v>
      </c>
      <c r="M1348" t="s">
        <v>19</v>
      </c>
      <c r="N1348" t="s">
        <v>81</v>
      </c>
      <c r="O1348">
        <v>30</v>
      </c>
    </row>
    <row r="1349" spans="1:15" hidden="1" x14ac:dyDescent="0.25">
      <c r="A1349" t="s">
        <v>2820</v>
      </c>
      <c r="B1349" t="s">
        <v>358</v>
      </c>
      <c r="C1349" t="s">
        <v>359</v>
      </c>
      <c r="D1349" t="s">
        <v>347</v>
      </c>
      <c r="E1349" t="s">
        <v>2940</v>
      </c>
      <c r="F1349" s="3">
        <v>492896</v>
      </c>
      <c r="G1349" s="2">
        <f t="shared" si="42"/>
        <v>30</v>
      </c>
      <c r="H1349" s="2">
        <f t="shared" ca="1" si="43"/>
        <v>99</v>
      </c>
      <c r="I1349" s="4">
        <v>46021</v>
      </c>
      <c r="J1349" s="4">
        <v>46051</v>
      </c>
      <c r="K1349" t="s">
        <v>343</v>
      </c>
      <c r="L1349" t="s">
        <v>984</v>
      </c>
      <c r="M1349" t="s">
        <v>19</v>
      </c>
      <c r="N1349" t="s">
        <v>360</v>
      </c>
      <c r="O1349">
        <v>30</v>
      </c>
    </row>
    <row r="1350" spans="1:15" hidden="1" x14ac:dyDescent="0.25">
      <c r="A1350" t="s">
        <v>2820</v>
      </c>
      <c r="B1350" t="s">
        <v>358</v>
      </c>
      <c r="C1350" t="s">
        <v>359</v>
      </c>
      <c r="D1350" t="s">
        <v>347</v>
      </c>
      <c r="E1350" t="s">
        <v>2941</v>
      </c>
      <c r="F1350" s="3">
        <v>3650315</v>
      </c>
      <c r="G1350" s="2">
        <f t="shared" si="42"/>
        <v>30</v>
      </c>
      <c r="H1350" s="2">
        <f t="shared" ca="1" si="43"/>
        <v>99</v>
      </c>
      <c r="I1350" s="4">
        <v>46021</v>
      </c>
      <c r="J1350" s="4">
        <v>46051</v>
      </c>
      <c r="K1350" t="s">
        <v>343</v>
      </c>
      <c r="L1350" t="s">
        <v>18</v>
      </c>
      <c r="M1350" t="s">
        <v>19</v>
      </c>
      <c r="N1350" t="s">
        <v>360</v>
      </c>
      <c r="O1350">
        <v>30</v>
      </c>
    </row>
    <row r="1351" spans="1:15" hidden="1" x14ac:dyDescent="0.25">
      <c r="A1351" t="s">
        <v>2820</v>
      </c>
      <c r="B1351" t="s">
        <v>2037</v>
      </c>
      <c r="C1351" t="s">
        <v>2038</v>
      </c>
      <c r="D1351" t="s">
        <v>389</v>
      </c>
      <c r="E1351" t="s">
        <v>2942</v>
      </c>
      <c r="F1351" s="3">
        <v>2676662</v>
      </c>
      <c r="G1351" s="2">
        <f t="shared" si="42"/>
        <v>30</v>
      </c>
      <c r="H1351" s="2">
        <f t="shared" ca="1" si="43"/>
        <v>99</v>
      </c>
      <c r="I1351" s="4">
        <v>46021</v>
      </c>
      <c r="J1351" s="4">
        <v>46051</v>
      </c>
      <c r="K1351" t="s">
        <v>343</v>
      </c>
      <c r="L1351" t="s">
        <v>18</v>
      </c>
      <c r="M1351" t="s">
        <v>19</v>
      </c>
      <c r="N1351" t="s">
        <v>2039</v>
      </c>
      <c r="O1351">
        <v>30</v>
      </c>
    </row>
    <row r="1352" spans="1:15" hidden="1" x14ac:dyDescent="0.25">
      <c r="A1352" t="s">
        <v>2820</v>
      </c>
      <c r="B1352" t="s">
        <v>2037</v>
      </c>
      <c r="C1352" t="s">
        <v>2038</v>
      </c>
      <c r="D1352" t="s">
        <v>389</v>
      </c>
      <c r="E1352" t="s">
        <v>2943</v>
      </c>
      <c r="F1352" s="3">
        <v>594112</v>
      </c>
      <c r="G1352" s="2">
        <f t="shared" si="42"/>
        <v>30</v>
      </c>
      <c r="H1352" s="2">
        <f t="shared" ca="1" si="43"/>
        <v>99</v>
      </c>
      <c r="I1352" s="4">
        <v>46021</v>
      </c>
      <c r="J1352" s="4">
        <v>46051</v>
      </c>
      <c r="K1352" t="s">
        <v>343</v>
      </c>
      <c r="L1352" t="s">
        <v>18</v>
      </c>
      <c r="M1352" t="s">
        <v>19</v>
      </c>
      <c r="N1352" t="s">
        <v>2039</v>
      </c>
      <c r="O1352">
        <v>30</v>
      </c>
    </row>
    <row r="1353" spans="1:15" hidden="1" x14ac:dyDescent="0.25">
      <c r="A1353" t="s">
        <v>2820</v>
      </c>
      <c r="B1353" t="s">
        <v>2037</v>
      </c>
      <c r="C1353" t="s">
        <v>2038</v>
      </c>
      <c r="D1353" t="s">
        <v>389</v>
      </c>
      <c r="E1353" t="s">
        <v>2944</v>
      </c>
      <c r="F1353" s="3">
        <v>1684748</v>
      </c>
      <c r="G1353" s="2">
        <f t="shared" si="42"/>
        <v>30</v>
      </c>
      <c r="H1353" s="2">
        <f t="shared" ca="1" si="43"/>
        <v>99</v>
      </c>
      <c r="I1353" s="4">
        <v>46021</v>
      </c>
      <c r="J1353" s="4">
        <v>46051</v>
      </c>
      <c r="K1353" t="s">
        <v>343</v>
      </c>
      <c r="L1353" t="s">
        <v>18</v>
      </c>
      <c r="M1353" t="s">
        <v>19</v>
      </c>
      <c r="N1353" t="s">
        <v>2039</v>
      </c>
      <c r="O1353">
        <v>30</v>
      </c>
    </row>
    <row r="1354" spans="1:15" hidden="1" x14ac:dyDescent="0.25">
      <c r="A1354" t="s">
        <v>2820</v>
      </c>
      <c r="B1354" t="s">
        <v>2108</v>
      </c>
      <c r="C1354" t="s">
        <v>2109</v>
      </c>
      <c r="D1354" t="s">
        <v>2110</v>
      </c>
      <c r="E1354" t="s">
        <v>2945</v>
      </c>
      <c r="F1354" s="3">
        <v>4240000</v>
      </c>
      <c r="G1354" s="2">
        <f t="shared" si="42"/>
        <v>30</v>
      </c>
      <c r="H1354" s="2">
        <f t="shared" ca="1" si="43"/>
        <v>99</v>
      </c>
      <c r="I1354" s="4">
        <v>46021</v>
      </c>
      <c r="J1354" s="4">
        <v>46051</v>
      </c>
      <c r="K1354" t="s">
        <v>343</v>
      </c>
      <c r="L1354" t="s">
        <v>18</v>
      </c>
      <c r="M1354" t="s">
        <v>19</v>
      </c>
      <c r="N1354" t="s">
        <v>2112</v>
      </c>
      <c r="O1354">
        <v>30</v>
      </c>
    </row>
    <row r="1355" spans="1:15" hidden="1" x14ac:dyDescent="0.25">
      <c r="A1355" t="s">
        <v>2820</v>
      </c>
      <c r="B1355" t="s">
        <v>2108</v>
      </c>
      <c r="C1355" t="s">
        <v>2109</v>
      </c>
      <c r="D1355" t="s">
        <v>2110</v>
      </c>
      <c r="E1355" t="s">
        <v>2946</v>
      </c>
      <c r="F1355" s="3">
        <v>1034164</v>
      </c>
      <c r="G1355" s="2">
        <f t="shared" si="42"/>
        <v>30</v>
      </c>
      <c r="H1355" s="2">
        <f t="shared" ca="1" si="43"/>
        <v>99</v>
      </c>
      <c r="I1355" s="4">
        <v>46021</v>
      </c>
      <c r="J1355" s="4">
        <v>46051</v>
      </c>
      <c r="K1355" t="s">
        <v>343</v>
      </c>
      <c r="L1355" t="s">
        <v>18</v>
      </c>
      <c r="M1355" t="s">
        <v>19</v>
      </c>
      <c r="N1355" t="s">
        <v>2112</v>
      </c>
      <c r="O1355">
        <v>30</v>
      </c>
    </row>
    <row r="1356" spans="1:15" hidden="1" x14ac:dyDescent="0.25">
      <c r="A1356" t="s">
        <v>2820</v>
      </c>
      <c r="B1356" t="s">
        <v>380</v>
      </c>
      <c r="C1356" t="s">
        <v>381</v>
      </c>
      <c r="D1356" t="s">
        <v>382</v>
      </c>
      <c r="E1356" t="s">
        <v>2947</v>
      </c>
      <c r="F1356" s="3">
        <v>726874</v>
      </c>
      <c r="G1356" s="2">
        <f t="shared" si="42"/>
        <v>30</v>
      </c>
      <c r="H1356" s="2">
        <f t="shared" ca="1" si="43"/>
        <v>99</v>
      </c>
      <c r="I1356" s="4">
        <v>46021</v>
      </c>
      <c r="J1356" s="4">
        <v>46051</v>
      </c>
      <c r="K1356" t="s">
        <v>343</v>
      </c>
      <c r="L1356" t="s">
        <v>18</v>
      </c>
      <c r="M1356" t="s">
        <v>19</v>
      </c>
      <c r="N1356" t="s">
        <v>383</v>
      </c>
      <c r="O1356">
        <v>30</v>
      </c>
    </row>
    <row r="1357" spans="1:15" hidden="1" x14ac:dyDescent="0.25">
      <c r="A1357" t="s">
        <v>2820</v>
      </c>
      <c r="B1357" t="s">
        <v>2108</v>
      </c>
      <c r="C1357" t="s">
        <v>2109</v>
      </c>
      <c r="D1357" t="s">
        <v>2110</v>
      </c>
      <c r="E1357" t="s">
        <v>2948</v>
      </c>
      <c r="F1357" s="3">
        <v>2616012</v>
      </c>
      <c r="G1357" s="2">
        <f t="shared" si="42"/>
        <v>30</v>
      </c>
      <c r="H1357" s="2">
        <f t="shared" ca="1" si="43"/>
        <v>99</v>
      </c>
      <c r="I1357" s="4">
        <v>46021</v>
      </c>
      <c r="J1357" s="4">
        <v>46051</v>
      </c>
      <c r="K1357" t="s">
        <v>343</v>
      </c>
      <c r="L1357" t="s">
        <v>18</v>
      </c>
      <c r="M1357" t="s">
        <v>19</v>
      </c>
      <c r="N1357" t="s">
        <v>2112</v>
      </c>
      <c r="O1357">
        <v>30</v>
      </c>
    </row>
    <row r="1358" spans="1:15" hidden="1" x14ac:dyDescent="0.25">
      <c r="A1358" t="s">
        <v>2820</v>
      </c>
      <c r="B1358" t="s">
        <v>380</v>
      </c>
      <c r="C1358" t="s">
        <v>381</v>
      </c>
      <c r="D1358" t="s">
        <v>382</v>
      </c>
      <c r="E1358" t="s">
        <v>2949</v>
      </c>
      <c r="F1358" s="3">
        <v>357994</v>
      </c>
      <c r="G1358" s="2">
        <f t="shared" si="42"/>
        <v>30</v>
      </c>
      <c r="H1358" s="2">
        <f t="shared" ca="1" si="43"/>
        <v>99</v>
      </c>
      <c r="I1358" s="4">
        <v>46021</v>
      </c>
      <c r="J1358" s="4">
        <v>46051</v>
      </c>
      <c r="K1358" t="s">
        <v>343</v>
      </c>
      <c r="L1358" t="s">
        <v>984</v>
      </c>
      <c r="M1358" t="s">
        <v>19</v>
      </c>
      <c r="N1358" t="s">
        <v>383</v>
      </c>
      <c r="O1358">
        <v>30</v>
      </c>
    </row>
    <row r="1359" spans="1:15" hidden="1" x14ac:dyDescent="0.25">
      <c r="A1359" t="s">
        <v>2820</v>
      </c>
      <c r="B1359" t="s">
        <v>863</v>
      </c>
      <c r="C1359" t="s">
        <v>864</v>
      </c>
      <c r="D1359" t="s">
        <v>854</v>
      </c>
      <c r="E1359" t="s">
        <v>2975</v>
      </c>
      <c r="F1359" s="3">
        <v>561461</v>
      </c>
      <c r="G1359" s="2">
        <f t="shared" si="42"/>
        <v>30</v>
      </c>
      <c r="H1359" s="2">
        <f t="shared" ca="1" si="43"/>
        <v>99</v>
      </c>
      <c r="I1359" s="4">
        <v>46021</v>
      </c>
      <c r="J1359" s="4">
        <v>46051</v>
      </c>
      <c r="K1359" t="s">
        <v>845</v>
      </c>
      <c r="L1359" t="s">
        <v>18</v>
      </c>
      <c r="M1359" t="s">
        <v>19</v>
      </c>
      <c r="N1359" t="s">
        <v>865</v>
      </c>
      <c r="O1359">
        <v>30</v>
      </c>
    </row>
    <row r="1360" spans="1:15" hidden="1" x14ac:dyDescent="0.25">
      <c r="A1360" t="s">
        <v>2820</v>
      </c>
      <c r="B1360" t="s">
        <v>2618</v>
      </c>
      <c r="C1360" t="s">
        <v>2619</v>
      </c>
      <c r="D1360" t="s">
        <v>844</v>
      </c>
      <c r="E1360" t="s">
        <v>2976</v>
      </c>
      <c r="F1360" s="3">
        <v>5666844</v>
      </c>
      <c r="G1360" s="2">
        <f t="shared" si="42"/>
        <v>30</v>
      </c>
      <c r="H1360" s="2">
        <f t="shared" ca="1" si="43"/>
        <v>99</v>
      </c>
      <c r="I1360" s="4">
        <v>46021</v>
      </c>
      <c r="J1360" s="4">
        <v>46051</v>
      </c>
      <c r="K1360" t="s">
        <v>845</v>
      </c>
      <c r="L1360" t="s">
        <v>18</v>
      </c>
      <c r="M1360" t="s">
        <v>19</v>
      </c>
      <c r="N1360" t="s">
        <v>879</v>
      </c>
      <c r="O1360">
        <v>30</v>
      </c>
    </row>
    <row r="1361" spans="1:15" hidden="1" x14ac:dyDescent="0.25">
      <c r="A1361" t="s">
        <v>2820</v>
      </c>
      <c r="B1361" t="s">
        <v>869</v>
      </c>
      <c r="C1361" t="s">
        <v>870</v>
      </c>
      <c r="D1361" t="s">
        <v>854</v>
      </c>
      <c r="E1361" t="s">
        <v>2977</v>
      </c>
      <c r="F1361" s="3">
        <v>1801207</v>
      </c>
      <c r="G1361" s="2">
        <f t="shared" si="42"/>
        <v>30</v>
      </c>
      <c r="H1361" s="2">
        <f t="shared" ca="1" si="43"/>
        <v>99</v>
      </c>
      <c r="I1361" s="4">
        <v>46021</v>
      </c>
      <c r="J1361" s="4">
        <v>46051</v>
      </c>
      <c r="K1361" t="s">
        <v>845</v>
      </c>
      <c r="L1361" t="s">
        <v>18</v>
      </c>
      <c r="M1361" t="s">
        <v>19</v>
      </c>
      <c r="N1361" t="s">
        <v>871</v>
      </c>
      <c r="O1361">
        <v>30</v>
      </c>
    </row>
    <row r="1362" spans="1:15" hidden="1" x14ac:dyDescent="0.25">
      <c r="A1362" t="s">
        <v>2820</v>
      </c>
      <c r="B1362" t="s">
        <v>1110</v>
      </c>
      <c r="C1362" t="s">
        <v>1111</v>
      </c>
      <c r="D1362" t="s">
        <v>320</v>
      </c>
      <c r="E1362" t="s">
        <v>3013</v>
      </c>
      <c r="F1362" s="3">
        <v>640215</v>
      </c>
      <c r="G1362" s="2">
        <f t="shared" si="42"/>
        <v>30</v>
      </c>
      <c r="H1362" s="2">
        <f t="shared" ca="1" si="43"/>
        <v>99</v>
      </c>
      <c r="I1362" s="4">
        <v>46021</v>
      </c>
      <c r="J1362" s="4">
        <v>46051</v>
      </c>
      <c r="K1362" t="s">
        <v>1068</v>
      </c>
      <c r="L1362" t="s">
        <v>47</v>
      </c>
      <c r="M1362" t="s">
        <v>19</v>
      </c>
      <c r="N1362" t="s">
        <v>149</v>
      </c>
      <c r="O1362">
        <v>30</v>
      </c>
    </row>
    <row r="1363" spans="1:15" hidden="1" x14ac:dyDescent="0.25">
      <c r="A1363" t="s">
        <v>2820</v>
      </c>
      <c r="B1363" t="s">
        <v>2317</v>
      </c>
      <c r="C1363" t="s">
        <v>2318</v>
      </c>
      <c r="D1363" t="s">
        <v>320</v>
      </c>
      <c r="E1363" t="s">
        <v>3014</v>
      </c>
      <c r="F1363" s="3">
        <v>1854</v>
      </c>
      <c r="G1363" s="2">
        <f t="shared" si="42"/>
        <v>15</v>
      </c>
      <c r="H1363" s="2">
        <f t="shared" ca="1" si="43"/>
        <v>99</v>
      </c>
      <c r="I1363" s="4">
        <v>46021</v>
      </c>
      <c r="J1363" s="4">
        <v>46036</v>
      </c>
      <c r="K1363" t="s">
        <v>1068</v>
      </c>
      <c r="L1363" t="s">
        <v>207</v>
      </c>
      <c r="M1363" t="s">
        <v>19</v>
      </c>
      <c r="N1363" t="s">
        <v>2320</v>
      </c>
      <c r="O1363">
        <v>15</v>
      </c>
    </row>
    <row r="1364" spans="1:15" hidden="1" x14ac:dyDescent="0.25">
      <c r="A1364" t="s">
        <v>2820</v>
      </c>
      <c r="B1364" t="s">
        <v>1095</v>
      </c>
      <c r="C1364" t="s">
        <v>1096</v>
      </c>
      <c r="D1364" t="s">
        <v>320</v>
      </c>
      <c r="E1364" t="s">
        <v>3015</v>
      </c>
      <c r="F1364" s="3">
        <v>2665393</v>
      </c>
      <c r="G1364" s="2">
        <f t="shared" si="42"/>
        <v>30</v>
      </c>
      <c r="H1364" s="2">
        <f t="shared" ca="1" si="43"/>
        <v>99</v>
      </c>
      <c r="I1364" s="4">
        <v>46021</v>
      </c>
      <c r="J1364" s="4">
        <v>46051</v>
      </c>
      <c r="K1364" t="s">
        <v>1068</v>
      </c>
      <c r="L1364" t="s">
        <v>207</v>
      </c>
      <c r="M1364" t="s">
        <v>19</v>
      </c>
      <c r="N1364" t="s">
        <v>1097</v>
      </c>
      <c r="O1364">
        <v>30</v>
      </c>
    </row>
    <row r="1365" spans="1:15" hidden="1" x14ac:dyDescent="0.25">
      <c r="A1365" t="s">
        <v>2820</v>
      </c>
      <c r="B1365" t="s">
        <v>1964</v>
      </c>
      <c r="C1365" t="s">
        <v>1965</v>
      </c>
      <c r="D1365" t="s">
        <v>1066</v>
      </c>
      <c r="E1365" t="s">
        <v>3016</v>
      </c>
      <c r="F1365" s="3">
        <v>127499</v>
      </c>
      <c r="G1365" s="2">
        <f t="shared" si="42"/>
        <v>30</v>
      </c>
      <c r="H1365" s="2">
        <f t="shared" ca="1" si="43"/>
        <v>99</v>
      </c>
      <c r="I1365" s="4">
        <v>46021</v>
      </c>
      <c r="J1365" s="4">
        <v>46051</v>
      </c>
      <c r="K1365" t="s">
        <v>1068</v>
      </c>
      <c r="L1365" t="s">
        <v>207</v>
      </c>
      <c r="M1365" t="s">
        <v>19</v>
      </c>
      <c r="N1365" t="s">
        <v>1966</v>
      </c>
      <c r="O1365">
        <v>30</v>
      </c>
    </row>
    <row r="1366" spans="1:15" hidden="1" x14ac:dyDescent="0.25">
      <c r="A1366" t="s">
        <v>2820</v>
      </c>
      <c r="B1366" t="s">
        <v>1098</v>
      </c>
      <c r="C1366" t="s">
        <v>1099</v>
      </c>
      <c r="D1366" t="s">
        <v>1066</v>
      </c>
      <c r="E1366" t="s">
        <v>3017</v>
      </c>
      <c r="F1366" s="3">
        <v>2180741</v>
      </c>
      <c r="G1366" s="2">
        <f t="shared" si="42"/>
        <v>30</v>
      </c>
      <c r="H1366" s="2">
        <f t="shared" ca="1" si="43"/>
        <v>99</v>
      </c>
      <c r="I1366" s="4">
        <v>46021</v>
      </c>
      <c r="J1366" s="4">
        <v>46051</v>
      </c>
      <c r="K1366" t="s">
        <v>1068</v>
      </c>
      <c r="L1366" t="s">
        <v>207</v>
      </c>
      <c r="M1366" t="s">
        <v>19</v>
      </c>
      <c r="N1366" t="s">
        <v>1100</v>
      </c>
      <c r="O1366">
        <v>30</v>
      </c>
    </row>
    <row r="1367" spans="1:15" hidden="1" x14ac:dyDescent="0.25">
      <c r="A1367" t="s">
        <v>2820</v>
      </c>
      <c r="B1367" t="s">
        <v>1119</v>
      </c>
      <c r="C1367" t="s">
        <v>1120</v>
      </c>
      <c r="D1367" t="s">
        <v>1066</v>
      </c>
      <c r="E1367" t="s">
        <v>3018</v>
      </c>
      <c r="F1367" s="3">
        <v>850000</v>
      </c>
      <c r="G1367" s="2">
        <f t="shared" si="42"/>
        <v>30</v>
      </c>
      <c r="H1367" s="2">
        <f t="shared" ca="1" si="43"/>
        <v>99</v>
      </c>
      <c r="I1367" s="4">
        <v>46021</v>
      </c>
      <c r="J1367" s="4">
        <v>46051</v>
      </c>
      <c r="K1367" t="s">
        <v>1068</v>
      </c>
      <c r="L1367" t="s">
        <v>207</v>
      </c>
      <c r="M1367" t="s">
        <v>19</v>
      </c>
      <c r="N1367" t="s">
        <v>1121</v>
      </c>
      <c r="O1367">
        <v>30</v>
      </c>
    </row>
    <row r="1368" spans="1:15" hidden="1" x14ac:dyDescent="0.25">
      <c r="A1368" t="s">
        <v>2820</v>
      </c>
      <c r="B1368" t="s">
        <v>1110</v>
      </c>
      <c r="C1368" t="s">
        <v>1111</v>
      </c>
      <c r="D1368" t="s">
        <v>320</v>
      </c>
      <c r="E1368" t="s">
        <v>3019</v>
      </c>
      <c r="F1368" s="3">
        <v>1394528</v>
      </c>
      <c r="G1368" s="2">
        <f t="shared" si="42"/>
        <v>30</v>
      </c>
      <c r="H1368" s="2">
        <f t="shared" ca="1" si="43"/>
        <v>99</v>
      </c>
      <c r="I1368" s="4">
        <v>46021</v>
      </c>
      <c r="J1368" s="4">
        <v>46051</v>
      </c>
      <c r="K1368" t="s">
        <v>1068</v>
      </c>
      <c r="L1368" t="s">
        <v>207</v>
      </c>
      <c r="M1368" t="s">
        <v>19</v>
      </c>
      <c r="N1368" t="s">
        <v>149</v>
      </c>
      <c r="O1368">
        <v>30</v>
      </c>
    </row>
    <row r="1369" spans="1:15" hidden="1" x14ac:dyDescent="0.25">
      <c r="A1369" t="s">
        <v>2820</v>
      </c>
      <c r="B1369" t="s">
        <v>1101</v>
      </c>
      <c r="C1369" t="s">
        <v>1102</v>
      </c>
      <c r="D1369" t="s">
        <v>1066</v>
      </c>
      <c r="E1369" t="s">
        <v>3020</v>
      </c>
      <c r="F1369" s="3">
        <v>2450067</v>
      </c>
      <c r="G1369" s="2">
        <f t="shared" si="42"/>
        <v>30</v>
      </c>
      <c r="H1369" s="2">
        <f t="shared" ca="1" si="43"/>
        <v>99</v>
      </c>
      <c r="I1369" s="4">
        <v>46021</v>
      </c>
      <c r="J1369" s="4">
        <v>46051</v>
      </c>
      <c r="K1369" t="s">
        <v>1068</v>
      </c>
      <c r="L1369" t="s">
        <v>207</v>
      </c>
      <c r="M1369" t="s">
        <v>19</v>
      </c>
      <c r="N1369" t="s">
        <v>1103</v>
      </c>
      <c r="O1369">
        <v>30</v>
      </c>
    </row>
    <row r="1370" spans="1:15" hidden="1" x14ac:dyDescent="0.25">
      <c r="A1370" t="s">
        <v>2820</v>
      </c>
      <c r="B1370" t="s">
        <v>1149</v>
      </c>
      <c r="C1370" t="s">
        <v>1150</v>
      </c>
      <c r="D1370" t="s">
        <v>1118</v>
      </c>
      <c r="E1370" t="s">
        <v>3043</v>
      </c>
      <c r="F1370" s="3">
        <v>2350993</v>
      </c>
      <c r="G1370" s="2">
        <f t="shared" si="42"/>
        <v>30</v>
      </c>
      <c r="H1370" s="2">
        <f t="shared" ca="1" si="43"/>
        <v>99</v>
      </c>
      <c r="I1370" s="4">
        <v>46021</v>
      </c>
      <c r="J1370" s="4">
        <v>46051</v>
      </c>
      <c r="K1370" t="s">
        <v>1144</v>
      </c>
      <c r="L1370" t="s">
        <v>207</v>
      </c>
      <c r="M1370" t="s">
        <v>19</v>
      </c>
      <c r="N1370" t="s">
        <v>1151</v>
      </c>
      <c r="O1370">
        <v>30</v>
      </c>
    </row>
    <row r="1371" spans="1:15" hidden="1" x14ac:dyDescent="0.25">
      <c r="A1371" t="s">
        <v>2820</v>
      </c>
      <c r="B1371" t="s">
        <v>1152</v>
      </c>
      <c r="C1371" t="s">
        <v>1153</v>
      </c>
      <c r="D1371" t="s">
        <v>1118</v>
      </c>
      <c r="E1371" t="s">
        <v>3044</v>
      </c>
      <c r="F1371" s="3">
        <v>5905219</v>
      </c>
      <c r="G1371" s="2">
        <f t="shared" si="42"/>
        <v>30</v>
      </c>
      <c r="H1371" s="2">
        <f t="shared" ca="1" si="43"/>
        <v>99</v>
      </c>
      <c r="I1371" s="4">
        <v>46021</v>
      </c>
      <c r="J1371" s="4">
        <v>46051</v>
      </c>
      <c r="K1371" t="s">
        <v>1144</v>
      </c>
      <c r="L1371" t="s">
        <v>207</v>
      </c>
      <c r="M1371" t="s">
        <v>19</v>
      </c>
      <c r="N1371" t="s">
        <v>1154</v>
      </c>
      <c r="O1371">
        <v>30</v>
      </c>
    </row>
    <row r="1372" spans="1:15" hidden="1" x14ac:dyDescent="0.25">
      <c r="A1372" t="s">
        <v>2820</v>
      </c>
      <c r="B1372" t="s">
        <v>1146</v>
      </c>
      <c r="C1372" t="s">
        <v>1147</v>
      </c>
      <c r="D1372" t="s">
        <v>1118</v>
      </c>
      <c r="E1372" t="s">
        <v>3045</v>
      </c>
      <c r="F1372" s="3">
        <v>2913720</v>
      </c>
      <c r="G1372" s="2">
        <f t="shared" si="42"/>
        <v>30</v>
      </c>
      <c r="H1372" s="2">
        <f t="shared" ca="1" si="43"/>
        <v>99</v>
      </c>
      <c r="I1372" s="4">
        <v>46021</v>
      </c>
      <c r="J1372" s="4">
        <v>46051</v>
      </c>
      <c r="K1372" t="s">
        <v>1144</v>
      </c>
      <c r="L1372" t="s">
        <v>207</v>
      </c>
      <c r="M1372" t="s">
        <v>19</v>
      </c>
      <c r="N1372" t="s">
        <v>1148</v>
      </c>
      <c r="O1372">
        <v>30</v>
      </c>
    </row>
    <row r="1373" spans="1:15" hidden="1" x14ac:dyDescent="0.25">
      <c r="A1373" t="s">
        <v>2820</v>
      </c>
      <c r="B1373" t="s">
        <v>1146</v>
      </c>
      <c r="C1373" t="s">
        <v>1147</v>
      </c>
      <c r="D1373" t="s">
        <v>1118</v>
      </c>
      <c r="E1373" t="s">
        <v>3046</v>
      </c>
      <c r="F1373" s="3">
        <v>7111517</v>
      </c>
      <c r="G1373" s="2">
        <f t="shared" si="42"/>
        <v>30</v>
      </c>
      <c r="H1373" s="2">
        <f t="shared" ca="1" si="43"/>
        <v>99</v>
      </c>
      <c r="I1373" s="4">
        <v>46021</v>
      </c>
      <c r="J1373" s="4">
        <v>46051</v>
      </c>
      <c r="K1373" t="s">
        <v>1144</v>
      </c>
      <c r="L1373" t="s">
        <v>207</v>
      </c>
      <c r="M1373" t="s">
        <v>19</v>
      </c>
      <c r="N1373" t="s">
        <v>1148</v>
      </c>
      <c r="O1373">
        <v>30</v>
      </c>
    </row>
    <row r="1374" spans="1:15" hidden="1" x14ac:dyDescent="0.25">
      <c r="A1374" t="s">
        <v>2820</v>
      </c>
      <c r="B1374" t="s">
        <v>1161</v>
      </c>
      <c r="C1374" t="s">
        <v>1162</v>
      </c>
      <c r="D1374" t="s">
        <v>1118</v>
      </c>
      <c r="E1374" t="s">
        <v>3047</v>
      </c>
      <c r="F1374" s="3">
        <v>939834</v>
      </c>
      <c r="G1374" s="2">
        <f t="shared" si="42"/>
        <v>30</v>
      </c>
      <c r="H1374" s="2">
        <f t="shared" ca="1" si="43"/>
        <v>99</v>
      </c>
      <c r="I1374" s="4">
        <v>46021</v>
      </c>
      <c r="J1374" s="4">
        <v>46051</v>
      </c>
      <c r="K1374" t="s">
        <v>1144</v>
      </c>
      <c r="L1374" t="s">
        <v>207</v>
      </c>
      <c r="M1374" t="s">
        <v>19</v>
      </c>
      <c r="N1374" t="s">
        <v>1163</v>
      </c>
      <c r="O1374">
        <v>30</v>
      </c>
    </row>
    <row r="1375" spans="1:15" hidden="1" x14ac:dyDescent="0.25">
      <c r="A1375" t="s">
        <v>2820</v>
      </c>
      <c r="B1375" t="s">
        <v>1158</v>
      </c>
      <c r="C1375" t="s">
        <v>1159</v>
      </c>
      <c r="D1375" t="s">
        <v>1118</v>
      </c>
      <c r="E1375" t="s">
        <v>3048</v>
      </c>
      <c r="F1375" s="3">
        <v>2195707</v>
      </c>
      <c r="G1375" s="2">
        <f t="shared" si="42"/>
        <v>30</v>
      </c>
      <c r="H1375" s="2">
        <f t="shared" ca="1" si="43"/>
        <v>99</v>
      </c>
      <c r="I1375" s="4">
        <v>46021</v>
      </c>
      <c r="J1375" s="4">
        <v>46051</v>
      </c>
      <c r="K1375" t="s">
        <v>1144</v>
      </c>
      <c r="L1375" t="s">
        <v>207</v>
      </c>
      <c r="M1375" t="s">
        <v>19</v>
      </c>
      <c r="N1375" t="s">
        <v>1160</v>
      </c>
      <c r="O1375">
        <v>30</v>
      </c>
    </row>
    <row r="1376" spans="1:15" hidden="1" x14ac:dyDescent="0.25">
      <c r="A1376" t="s">
        <v>2820</v>
      </c>
      <c r="B1376" t="s">
        <v>1158</v>
      </c>
      <c r="C1376" t="s">
        <v>1159</v>
      </c>
      <c r="D1376" t="s">
        <v>1118</v>
      </c>
      <c r="E1376" t="s">
        <v>3049</v>
      </c>
      <c r="F1376" s="3">
        <v>4029523</v>
      </c>
      <c r="G1376" s="2">
        <f t="shared" si="42"/>
        <v>30</v>
      </c>
      <c r="H1376" s="2">
        <f t="shared" ca="1" si="43"/>
        <v>99</v>
      </c>
      <c r="I1376" s="4">
        <v>46021</v>
      </c>
      <c r="J1376" s="4">
        <v>46051</v>
      </c>
      <c r="K1376" t="s">
        <v>1144</v>
      </c>
      <c r="L1376" t="s">
        <v>207</v>
      </c>
      <c r="M1376" t="s">
        <v>19</v>
      </c>
      <c r="N1376" t="s">
        <v>1160</v>
      </c>
      <c r="O1376">
        <v>30</v>
      </c>
    </row>
    <row r="1377" spans="1:15" hidden="1" x14ac:dyDescent="0.25">
      <c r="A1377" t="s">
        <v>2820</v>
      </c>
      <c r="B1377" t="s">
        <v>1158</v>
      </c>
      <c r="C1377" t="s">
        <v>1159</v>
      </c>
      <c r="D1377" t="s">
        <v>1118</v>
      </c>
      <c r="E1377" t="s">
        <v>3050</v>
      </c>
      <c r="F1377" s="3">
        <v>340001</v>
      </c>
      <c r="G1377" s="2">
        <f t="shared" si="42"/>
        <v>30</v>
      </c>
      <c r="H1377" s="2">
        <f t="shared" ca="1" si="43"/>
        <v>99</v>
      </c>
      <c r="I1377" s="4">
        <v>46021</v>
      </c>
      <c r="J1377" s="4">
        <v>46051</v>
      </c>
      <c r="K1377" t="s">
        <v>1144</v>
      </c>
      <c r="L1377" t="s">
        <v>207</v>
      </c>
      <c r="M1377" t="s">
        <v>19</v>
      </c>
      <c r="N1377" t="s">
        <v>1160</v>
      </c>
      <c r="O1377">
        <v>30</v>
      </c>
    </row>
    <row r="1378" spans="1:15" hidden="1" x14ac:dyDescent="0.25">
      <c r="A1378" t="s">
        <v>2820</v>
      </c>
      <c r="B1378" t="s">
        <v>1155</v>
      </c>
      <c r="C1378" t="s">
        <v>1156</v>
      </c>
      <c r="D1378" t="s">
        <v>1118</v>
      </c>
      <c r="E1378" t="s">
        <v>3051</v>
      </c>
      <c r="F1378" s="3">
        <v>379003</v>
      </c>
      <c r="G1378" s="2">
        <f t="shared" si="42"/>
        <v>30</v>
      </c>
      <c r="H1378" s="2">
        <f t="shared" ca="1" si="43"/>
        <v>99</v>
      </c>
      <c r="I1378" s="4">
        <v>46021</v>
      </c>
      <c r="J1378" s="4">
        <v>46051</v>
      </c>
      <c r="K1378" t="s">
        <v>1144</v>
      </c>
      <c r="L1378" t="s">
        <v>207</v>
      </c>
      <c r="M1378" t="s">
        <v>19</v>
      </c>
      <c r="N1378" t="s">
        <v>1157</v>
      </c>
      <c r="O1378">
        <v>30</v>
      </c>
    </row>
    <row r="1379" spans="1:15" hidden="1" x14ac:dyDescent="0.25">
      <c r="A1379" t="s">
        <v>2820</v>
      </c>
      <c r="B1379" t="s">
        <v>1155</v>
      </c>
      <c r="C1379" t="s">
        <v>1156</v>
      </c>
      <c r="D1379" t="s">
        <v>1118</v>
      </c>
      <c r="E1379" t="s">
        <v>3052</v>
      </c>
      <c r="F1379" s="3">
        <v>5012055</v>
      </c>
      <c r="G1379" s="2">
        <f t="shared" si="42"/>
        <v>30</v>
      </c>
      <c r="H1379" s="2">
        <f t="shared" ca="1" si="43"/>
        <v>99</v>
      </c>
      <c r="I1379" s="4">
        <v>46021</v>
      </c>
      <c r="J1379" s="4">
        <v>46051</v>
      </c>
      <c r="K1379" t="s">
        <v>1144</v>
      </c>
      <c r="L1379" t="s">
        <v>207</v>
      </c>
      <c r="M1379" t="s">
        <v>19</v>
      </c>
      <c r="N1379" t="s">
        <v>1157</v>
      </c>
      <c r="O1379">
        <v>30</v>
      </c>
    </row>
    <row r="1380" spans="1:15" hidden="1" x14ac:dyDescent="0.25">
      <c r="A1380" t="s">
        <v>2820</v>
      </c>
      <c r="B1380" t="s">
        <v>1199</v>
      </c>
      <c r="C1380" t="s">
        <v>1200</v>
      </c>
      <c r="D1380" t="s">
        <v>1201</v>
      </c>
      <c r="E1380" t="s">
        <v>3077</v>
      </c>
      <c r="F1380" s="3">
        <v>683888</v>
      </c>
      <c r="G1380" s="2">
        <f t="shared" si="42"/>
        <v>30</v>
      </c>
      <c r="H1380" s="2">
        <f t="shared" ca="1" si="43"/>
        <v>99</v>
      </c>
      <c r="I1380" s="4">
        <v>46021</v>
      </c>
      <c r="J1380" s="4">
        <v>46051</v>
      </c>
      <c r="K1380" t="s">
        <v>1202</v>
      </c>
      <c r="L1380" t="s">
        <v>207</v>
      </c>
      <c r="M1380" t="s">
        <v>19</v>
      </c>
      <c r="N1380" t="s">
        <v>1203</v>
      </c>
      <c r="O1380">
        <v>30</v>
      </c>
    </row>
    <row r="1381" spans="1:15" hidden="1" x14ac:dyDescent="0.25">
      <c r="A1381" t="s">
        <v>2820</v>
      </c>
      <c r="B1381" t="s">
        <v>1204</v>
      </c>
      <c r="C1381" t="s">
        <v>1205</v>
      </c>
      <c r="D1381" t="s">
        <v>1201</v>
      </c>
      <c r="E1381" t="s">
        <v>3078</v>
      </c>
      <c r="F1381" s="3">
        <v>6436557</v>
      </c>
      <c r="G1381" s="2">
        <f t="shared" si="42"/>
        <v>30</v>
      </c>
      <c r="H1381" s="2">
        <f t="shared" ca="1" si="43"/>
        <v>99</v>
      </c>
      <c r="I1381" s="4">
        <v>46021</v>
      </c>
      <c r="J1381" s="4">
        <v>46051</v>
      </c>
      <c r="K1381" t="s">
        <v>1202</v>
      </c>
      <c r="L1381" t="s">
        <v>207</v>
      </c>
      <c r="M1381" t="s">
        <v>19</v>
      </c>
      <c r="N1381" t="s">
        <v>1206</v>
      </c>
      <c r="O1381">
        <v>30</v>
      </c>
    </row>
    <row r="1382" spans="1:15" hidden="1" x14ac:dyDescent="0.25">
      <c r="A1382" t="s">
        <v>2820</v>
      </c>
      <c r="B1382" t="s">
        <v>1204</v>
      </c>
      <c r="C1382" t="s">
        <v>1205</v>
      </c>
      <c r="D1382" t="s">
        <v>1201</v>
      </c>
      <c r="E1382" t="s">
        <v>3079</v>
      </c>
      <c r="F1382" s="3">
        <v>13989385</v>
      </c>
      <c r="G1382" s="2">
        <f t="shared" si="42"/>
        <v>30</v>
      </c>
      <c r="H1382" s="2">
        <f t="shared" ca="1" si="43"/>
        <v>99</v>
      </c>
      <c r="I1382" s="4">
        <v>46021</v>
      </c>
      <c r="J1382" s="4">
        <v>46051</v>
      </c>
      <c r="K1382" t="s">
        <v>1202</v>
      </c>
      <c r="L1382" t="s">
        <v>207</v>
      </c>
      <c r="M1382" t="s">
        <v>19</v>
      </c>
      <c r="N1382" t="s">
        <v>1206</v>
      </c>
      <c r="O1382">
        <v>30</v>
      </c>
    </row>
    <row r="1383" spans="1:15" hidden="1" x14ac:dyDescent="0.25">
      <c r="A1383" t="s">
        <v>2820</v>
      </c>
      <c r="B1383" t="s">
        <v>1211</v>
      </c>
      <c r="C1383" t="s">
        <v>1212</v>
      </c>
      <c r="D1383" t="s">
        <v>1209</v>
      </c>
      <c r="E1383" t="s">
        <v>3080</v>
      </c>
      <c r="F1383" s="3">
        <v>964819</v>
      </c>
      <c r="G1383" s="2">
        <f t="shared" si="42"/>
        <v>30</v>
      </c>
      <c r="H1383" s="2">
        <f t="shared" ca="1" si="43"/>
        <v>99</v>
      </c>
      <c r="I1383" s="4">
        <v>46021</v>
      </c>
      <c r="J1383" s="4">
        <v>46051</v>
      </c>
      <c r="K1383" t="s">
        <v>1202</v>
      </c>
      <c r="L1383" t="s">
        <v>321</v>
      </c>
      <c r="M1383" t="s">
        <v>19</v>
      </c>
      <c r="N1383" t="s">
        <v>1213</v>
      </c>
      <c r="O1383">
        <v>30</v>
      </c>
    </row>
    <row r="1384" spans="1:15" hidden="1" x14ac:dyDescent="0.25">
      <c r="A1384" t="s">
        <v>2820</v>
      </c>
      <c r="B1384" t="s">
        <v>1900</v>
      </c>
      <c r="C1384" t="s">
        <v>1901</v>
      </c>
      <c r="D1384" t="s">
        <v>1891</v>
      </c>
      <c r="E1384" t="s">
        <v>3089</v>
      </c>
      <c r="F1384" s="3">
        <v>790192</v>
      </c>
      <c r="G1384" s="2">
        <f t="shared" si="42"/>
        <v>30</v>
      </c>
      <c r="H1384" s="2">
        <f t="shared" ca="1" si="43"/>
        <v>99</v>
      </c>
      <c r="I1384" s="4">
        <v>46021</v>
      </c>
      <c r="J1384" s="4">
        <v>46051</v>
      </c>
      <c r="K1384" t="s">
        <v>1260</v>
      </c>
      <c r="L1384" t="s">
        <v>981</v>
      </c>
      <c r="M1384" t="s">
        <v>19</v>
      </c>
      <c r="N1384" t="s">
        <v>1902</v>
      </c>
      <c r="O1384">
        <v>30</v>
      </c>
    </row>
    <row r="1385" spans="1:15" hidden="1" x14ac:dyDescent="0.25">
      <c r="A1385" t="s">
        <v>2820</v>
      </c>
      <c r="B1385" t="s">
        <v>1333</v>
      </c>
      <c r="C1385" t="s">
        <v>1334</v>
      </c>
      <c r="D1385" t="s">
        <v>1323</v>
      </c>
      <c r="E1385" t="s">
        <v>3109</v>
      </c>
      <c r="F1385" s="3">
        <v>3718918</v>
      </c>
      <c r="G1385" s="2">
        <f t="shared" si="42"/>
        <v>30</v>
      </c>
      <c r="H1385" s="2">
        <f t="shared" ca="1" si="43"/>
        <v>99</v>
      </c>
      <c r="I1385" s="4">
        <v>46021</v>
      </c>
      <c r="J1385" s="4">
        <v>46051</v>
      </c>
      <c r="K1385" t="s">
        <v>1325</v>
      </c>
      <c r="L1385" t="s">
        <v>90</v>
      </c>
      <c r="M1385" t="s">
        <v>19</v>
      </c>
      <c r="N1385" t="s">
        <v>1335</v>
      </c>
      <c r="O1385">
        <v>30</v>
      </c>
    </row>
    <row r="1386" spans="1:15" hidden="1" x14ac:dyDescent="0.25">
      <c r="A1386" t="s">
        <v>2820</v>
      </c>
      <c r="B1386" t="s">
        <v>380</v>
      </c>
      <c r="C1386" t="s">
        <v>381</v>
      </c>
      <c r="D1386" t="s">
        <v>382</v>
      </c>
      <c r="E1386" t="s">
        <v>3110</v>
      </c>
      <c r="F1386" s="3">
        <v>1394528</v>
      </c>
      <c r="G1386" s="2">
        <f t="shared" si="42"/>
        <v>30</v>
      </c>
      <c r="H1386" s="2">
        <f t="shared" ca="1" si="43"/>
        <v>99</v>
      </c>
      <c r="I1386" s="4">
        <v>46021</v>
      </c>
      <c r="J1386" s="4">
        <v>46051</v>
      </c>
      <c r="K1386" t="s">
        <v>1325</v>
      </c>
      <c r="L1386" t="s">
        <v>90</v>
      </c>
      <c r="M1386" t="s">
        <v>19</v>
      </c>
      <c r="N1386" t="s">
        <v>383</v>
      </c>
      <c r="O1386">
        <v>30</v>
      </c>
    </row>
    <row r="1387" spans="1:15" hidden="1" x14ac:dyDescent="0.25">
      <c r="A1387" t="s">
        <v>2820</v>
      </c>
      <c r="B1387" t="s">
        <v>1361</v>
      </c>
      <c r="C1387" t="s">
        <v>1362</v>
      </c>
      <c r="D1387" t="s">
        <v>382</v>
      </c>
      <c r="E1387" t="s">
        <v>3111</v>
      </c>
      <c r="F1387" s="3">
        <v>2937516</v>
      </c>
      <c r="G1387" s="2">
        <f t="shared" si="42"/>
        <v>30</v>
      </c>
      <c r="H1387" s="2">
        <f t="shared" ca="1" si="43"/>
        <v>99</v>
      </c>
      <c r="I1387" s="4">
        <v>46021</v>
      </c>
      <c r="J1387" s="4">
        <v>46051</v>
      </c>
      <c r="K1387" t="s">
        <v>1325</v>
      </c>
      <c r="L1387" t="s">
        <v>90</v>
      </c>
      <c r="M1387" t="s">
        <v>19</v>
      </c>
      <c r="N1387" t="s">
        <v>1363</v>
      </c>
      <c r="O1387">
        <v>30</v>
      </c>
    </row>
    <row r="1388" spans="1:15" hidden="1" x14ac:dyDescent="0.25">
      <c r="A1388" t="s">
        <v>2820</v>
      </c>
      <c r="B1388" t="s">
        <v>2041</v>
      </c>
      <c r="C1388" t="s">
        <v>2042</v>
      </c>
      <c r="D1388" t="s">
        <v>1323</v>
      </c>
      <c r="E1388" t="s">
        <v>3112</v>
      </c>
      <c r="F1388" s="3">
        <v>937712</v>
      </c>
      <c r="G1388" s="2">
        <f t="shared" si="42"/>
        <v>30</v>
      </c>
      <c r="H1388" s="2">
        <f t="shared" ca="1" si="43"/>
        <v>99</v>
      </c>
      <c r="I1388" s="4">
        <v>46021</v>
      </c>
      <c r="J1388" s="4">
        <v>46051</v>
      </c>
      <c r="K1388" t="s">
        <v>1325</v>
      </c>
      <c r="L1388" t="s">
        <v>90</v>
      </c>
      <c r="M1388" t="s">
        <v>19</v>
      </c>
      <c r="N1388" t="s">
        <v>2043</v>
      </c>
      <c r="O1388">
        <v>30</v>
      </c>
    </row>
    <row r="1389" spans="1:15" hidden="1" x14ac:dyDescent="0.25">
      <c r="A1389" t="s">
        <v>2820</v>
      </c>
      <c r="B1389" t="s">
        <v>380</v>
      </c>
      <c r="C1389" t="s">
        <v>381</v>
      </c>
      <c r="D1389" t="s">
        <v>382</v>
      </c>
      <c r="E1389" t="s">
        <v>3113</v>
      </c>
      <c r="F1389" s="3">
        <v>119995</v>
      </c>
      <c r="G1389" s="2">
        <f t="shared" si="42"/>
        <v>30</v>
      </c>
      <c r="H1389" s="2">
        <f t="shared" ca="1" si="43"/>
        <v>99</v>
      </c>
      <c r="I1389" s="4">
        <v>46021</v>
      </c>
      <c r="J1389" s="4">
        <v>46051</v>
      </c>
      <c r="K1389" t="s">
        <v>1325</v>
      </c>
      <c r="L1389" t="s">
        <v>90</v>
      </c>
      <c r="M1389" t="s">
        <v>19</v>
      </c>
      <c r="N1389" t="s">
        <v>383</v>
      </c>
      <c r="O1389">
        <v>30</v>
      </c>
    </row>
    <row r="1390" spans="1:15" hidden="1" x14ac:dyDescent="0.25">
      <c r="A1390" t="s">
        <v>2820</v>
      </c>
      <c r="B1390" t="s">
        <v>1741</v>
      </c>
      <c r="C1390" t="s">
        <v>1742</v>
      </c>
      <c r="D1390" t="s">
        <v>1740</v>
      </c>
      <c r="E1390" t="s">
        <v>3218</v>
      </c>
      <c r="F1390" s="3">
        <v>2348000</v>
      </c>
      <c r="G1390" s="2">
        <f t="shared" si="42"/>
        <v>30</v>
      </c>
      <c r="H1390" s="2">
        <f t="shared" ca="1" si="43"/>
        <v>99</v>
      </c>
      <c r="I1390" s="4">
        <v>46021</v>
      </c>
      <c r="J1390" s="4">
        <v>46051</v>
      </c>
      <c r="K1390" t="s">
        <v>1738</v>
      </c>
      <c r="L1390" t="s">
        <v>981</v>
      </c>
      <c r="M1390" t="s">
        <v>19</v>
      </c>
      <c r="N1390" t="s">
        <v>1743</v>
      </c>
      <c r="O1390">
        <v>30</v>
      </c>
    </row>
    <row r="1391" spans="1:15" hidden="1" x14ac:dyDescent="0.25">
      <c r="A1391" t="s">
        <v>2820</v>
      </c>
      <c r="B1391" t="s">
        <v>2534</v>
      </c>
      <c r="C1391" t="s">
        <v>2535</v>
      </c>
      <c r="D1391" t="s">
        <v>1891</v>
      </c>
      <c r="E1391" t="s">
        <v>3227</v>
      </c>
      <c r="F1391" s="3">
        <v>555075</v>
      </c>
      <c r="G1391" s="2">
        <f t="shared" si="42"/>
        <v>30</v>
      </c>
      <c r="H1391" s="2">
        <f t="shared" ca="1" si="43"/>
        <v>99</v>
      </c>
      <c r="I1391" s="4">
        <v>46021</v>
      </c>
      <c r="J1391" s="4">
        <v>46051</v>
      </c>
      <c r="K1391" t="s">
        <v>1892</v>
      </c>
      <c r="L1391" t="s">
        <v>981</v>
      </c>
      <c r="M1391" t="s">
        <v>19</v>
      </c>
      <c r="N1391" t="s">
        <v>2537</v>
      </c>
      <c r="O1391">
        <v>30</v>
      </c>
    </row>
    <row r="1392" spans="1:15" hidden="1" x14ac:dyDescent="0.25">
      <c r="A1392" t="s">
        <v>2820</v>
      </c>
      <c r="B1392" t="s">
        <v>76</v>
      </c>
      <c r="C1392" t="s">
        <v>77</v>
      </c>
      <c r="D1392" t="s">
        <v>46</v>
      </c>
      <c r="E1392" t="s">
        <v>2851</v>
      </c>
      <c r="F1392" s="3">
        <v>599136</v>
      </c>
      <c r="G1392" s="2">
        <f t="shared" si="42"/>
        <v>30</v>
      </c>
      <c r="H1392" s="2">
        <f t="shared" ca="1" si="43"/>
        <v>98</v>
      </c>
      <c r="I1392" s="4">
        <v>46022</v>
      </c>
      <c r="J1392" s="4">
        <v>46052</v>
      </c>
      <c r="K1392" t="s">
        <v>17</v>
      </c>
      <c r="L1392" t="s">
        <v>32</v>
      </c>
      <c r="M1392" t="s">
        <v>19</v>
      </c>
      <c r="N1392" t="s">
        <v>78</v>
      </c>
      <c r="O1392">
        <v>30</v>
      </c>
    </row>
    <row r="1393" spans="1:15" hidden="1" x14ac:dyDescent="0.25">
      <c r="A1393" t="s">
        <v>2820</v>
      </c>
      <c r="B1393" t="s">
        <v>2852</v>
      </c>
      <c r="C1393" t="s">
        <v>2853</v>
      </c>
      <c r="D1393" t="s">
        <v>15</v>
      </c>
      <c r="E1393" t="s">
        <v>2854</v>
      </c>
      <c r="F1393" s="3">
        <v>495600</v>
      </c>
      <c r="G1393" s="2">
        <f t="shared" si="42"/>
        <v>10</v>
      </c>
      <c r="H1393" s="2">
        <f t="shared" ca="1" si="43"/>
        <v>98</v>
      </c>
      <c r="I1393" s="4">
        <v>46022</v>
      </c>
      <c r="J1393" s="4">
        <v>46032</v>
      </c>
      <c r="K1393" t="s">
        <v>17</v>
      </c>
      <c r="L1393" t="s">
        <v>32</v>
      </c>
      <c r="M1393" t="s">
        <v>19</v>
      </c>
      <c r="N1393" t="s">
        <v>2855</v>
      </c>
      <c r="O1393">
        <v>30</v>
      </c>
    </row>
    <row r="1394" spans="1:15" hidden="1" x14ac:dyDescent="0.25">
      <c r="A1394" t="s">
        <v>2820</v>
      </c>
      <c r="B1394" t="s">
        <v>2102</v>
      </c>
      <c r="C1394" t="s">
        <v>2103</v>
      </c>
      <c r="D1394" t="s">
        <v>15</v>
      </c>
      <c r="E1394" t="s">
        <v>2856</v>
      </c>
      <c r="F1394" s="3">
        <v>1593600</v>
      </c>
      <c r="G1394" s="2">
        <f t="shared" si="42"/>
        <v>30</v>
      </c>
      <c r="H1394" s="2">
        <f t="shared" ca="1" si="43"/>
        <v>98</v>
      </c>
      <c r="I1394" s="4">
        <v>46022</v>
      </c>
      <c r="J1394" s="4">
        <v>46052</v>
      </c>
      <c r="K1394" t="s">
        <v>17</v>
      </c>
      <c r="L1394" t="s">
        <v>18</v>
      </c>
      <c r="M1394" t="s">
        <v>19</v>
      </c>
      <c r="N1394" t="s">
        <v>2104</v>
      </c>
      <c r="O1394">
        <v>30</v>
      </c>
    </row>
    <row r="1395" spans="1:15" hidden="1" x14ac:dyDescent="0.25">
      <c r="A1395" t="s">
        <v>2820</v>
      </c>
      <c r="B1395" t="s">
        <v>143</v>
      </c>
      <c r="C1395" t="s">
        <v>144</v>
      </c>
      <c r="D1395" t="s">
        <v>15</v>
      </c>
      <c r="E1395" t="s">
        <v>2857</v>
      </c>
      <c r="F1395" s="3">
        <v>2287377</v>
      </c>
      <c r="G1395" s="2">
        <f t="shared" si="42"/>
        <v>30</v>
      </c>
      <c r="H1395" s="2">
        <f t="shared" ca="1" si="43"/>
        <v>98</v>
      </c>
      <c r="I1395" s="4">
        <v>46022</v>
      </c>
      <c r="J1395" s="4">
        <v>46052</v>
      </c>
      <c r="K1395" t="s">
        <v>17</v>
      </c>
      <c r="L1395" t="s">
        <v>32</v>
      </c>
      <c r="M1395" t="s">
        <v>19</v>
      </c>
      <c r="N1395" t="s">
        <v>145</v>
      </c>
      <c r="O1395">
        <v>30</v>
      </c>
    </row>
    <row r="1396" spans="1:15" hidden="1" x14ac:dyDescent="0.25">
      <c r="A1396" t="s">
        <v>2820</v>
      </c>
      <c r="B1396" t="s">
        <v>326</v>
      </c>
      <c r="C1396" t="s">
        <v>327</v>
      </c>
      <c r="D1396" t="s">
        <v>15</v>
      </c>
      <c r="E1396" t="s">
        <v>2914</v>
      </c>
      <c r="F1396" s="3">
        <v>892993</v>
      </c>
      <c r="G1396" s="2">
        <f t="shared" si="42"/>
        <v>30</v>
      </c>
      <c r="H1396" s="2">
        <f t="shared" ca="1" si="43"/>
        <v>98</v>
      </c>
      <c r="I1396" s="4">
        <v>46022</v>
      </c>
      <c r="J1396" s="4">
        <v>46052</v>
      </c>
      <c r="K1396" t="s">
        <v>17</v>
      </c>
      <c r="L1396" t="s">
        <v>312</v>
      </c>
      <c r="M1396" t="s">
        <v>19</v>
      </c>
      <c r="N1396" t="s">
        <v>328</v>
      </c>
      <c r="O1396">
        <v>30</v>
      </c>
    </row>
    <row r="1397" spans="1:15" hidden="1" x14ac:dyDescent="0.25">
      <c r="A1397" t="s">
        <v>2820</v>
      </c>
      <c r="B1397" t="s">
        <v>651</v>
      </c>
      <c r="C1397" t="s">
        <v>652</v>
      </c>
      <c r="D1397" t="s">
        <v>642</v>
      </c>
      <c r="E1397" t="s">
        <v>2950</v>
      </c>
      <c r="F1397" s="3">
        <v>504000</v>
      </c>
      <c r="G1397" s="2">
        <f t="shared" si="42"/>
        <v>30</v>
      </c>
      <c r="H1397" s="2">
        <f t="shared" ca="1" si="43"/>
        <v>98</v>
      </c>
      <c r="I1397" s="4">
        <v>46022</v>
      </c>
      <c r="J1397" s="4">
        <v>46052</v>
      </c>
      <c r="K1397" t="s">
        <v>638</v>
      </c>
      <c r="L1397" t="s">
        <v>18</v>
      </c>
      <c r="M1397" t="s">
        <v>19</v>
      </c>
      <c r="N1397" t="s">
        <v>653</v>
      </c>
      <c r="O1397">
        <v>30</v>
      </c>
    </row>
    <row r="1398" spans="1:15" hidden="1" x14ac:dyDescent="0.25">
      <c r="A1398" t="s">
        <v>2820</v>
      </c>
      <c r="B1398" t="s">
        <v>872</v>
      </c>
      <c r="C1398" t="s">
        <v>873</v>
      </c>
      <c r="D1398" t="s">
        <v>854</v>
      </c>
      <c r="E1398" t="s">
        <v>2978</v>
      </c>
      <c r="F1398" s="3">
        <v>2125000</v>
      </c>
      <c r="G1398" s="2">
        <f t="shared" si="42"/>
        <v>30</v>
      </c>
      <c r="H1398" s="2">
        <f t="shared" ca="1" si="43"/>
        <v>98</v>
      </c>
      <c r="I1398" s="4">
        <v>46022</v>
      </c>
      <c r="J1398" s="4">
        <v>46052</v>
      </c>
      <c r="K1398" t="s">
        <v>845</v>
      </c>
      <c r="L1398" t="s">
        <v>18</v>
      </c>
      <c r="M1398" t="s">
        <v>19</v>
      </c>
      <c r="N1398" t="s">
        <v>874</v>
      </c>
      <c r="O1398">
        <v>30</v>
      </c>
    </row>
    <row r="1399" spans="1:15" hidden="1" x14ac:dyDescent="0.25">
      <c r="A1399" t="s">
        <v>2820</v>
      </c>
      <c r="B1399" t="s">
        <v>872</v>
      </c>
      <c r="C1399" t="s">
        <v>873</v>
      </c>
      <c r="D1399" t="s">
        <v>854</v>
      </c>
      <c r="E1399" t="s">
        <v>2979</v>
      </c>
      <c r="F1399" s="3">
        <v>3091302</v>
      </c>
      <c r="G1399" s="2">
        <f t="shared" si="42"/>
        <v>30</v>
      </c>
      <c r="H1399" s="2">
        <f t="shared" ca="1" si="43"/>
        <v>98</v>
      </c>
      <c r="I1399" s="4">
        <v>46022</v>
      </c>
      <c r="J1399" s="4">
        <v>46052</v>
      </c>
      <c r="K1399" t="s">
        <v>845</v>
      </c>
      <c r="L1399" t="s">
        <v>18</v>
      </c>
      <c r="M1399" t="s">
        <v>19</v>
      </c>
      <c r="N1399" t="s">
        <v>874</v>
      </c>
      <c r="O1399">
        <v>30</v>
      </c>
    </row>
    <row r="1400" spans="1:15" hidden="1" x14ac:dyDescent="0.25">
      <c r="A1400" t="s">
        <v>2820</v>
      </c>
      <c r="B1400" t="s">
        <v>872</v>
      </c>
      <c r="C1400" t="s">
        <v>873</v>
      </c>
      <c r="D1400" t="s">
        <v>854</v>
      </c>
      <c r="E1400" t="s">
        <v>2980</v>
      </c>
      <c r="F1400" s="3">
        <v>3982571</v>
      </c>
      <c r="G1400" s="2">
        <f t="shared" si="42"/>
        <v>30</v>
      </c>
      <c r="H1400" s="2">
        <f t="shared" ca="1" si="43"/>
        <v>98</v>
      </c>
      <c r="I1400" s="4">
        <v>46022</v>
      </c>
      <c r="J1400" s="4">
        <v>46052</v>
      </c>
      <c r="K1400" t="s">
        <v>845</v>
      </c>
      <c r="L1400" t="s">
        <v>18</v>
      </c>
      <c r="M1400" t="s">
        <v>19</v>
      </c>
      <c r="N1400" t="s">
        <v>874</v>
      </c>
      <c r="O1400">
        <v>30</v>
      </c>
    </row>
    <row r="1401" spans="1:15" hidden="1" x14ac:dyDescent="0.25">
      <c r="A1401" t="s">
        <v>2820</v>
      </c>
      <c r="B1401" t="s">
        <v>872</v>
      </c>
      <c r="C1401" t="s">
        <v>873</v>
      </c>
      <c r="D1401" t="s">
        <v>854</v>
      </c>
      <c r="E1401" t="s">
        <v>2981</v>
      </c>
      <c r="F1401" s="3">
        <v>420003</v>
      </c>
      <c r="G1401" s="2">
        <f t="shared" si="42"/>
        <v>30</v>
      </c>
      <c r="H1401" s="2">
        <f t="shared" ca="1" si="43"/>
        <v>98</v>
      </c>
      <c r="I1401" s="4">
        <v>46022</v>
      </c>
      <c r="J1401" s="4">
        <v>46052</v>
      </c>
      <c r="K1401" t="s">
        <v>845</v>
      </c>
      <c r="L1401" t="s">
        <v>18</v>
      </c>
      <c r="M1401" t="s">
        <v>19</v>
      </c>
      <c r="N1401" t="s">
        <v>874</v>
      </c>
      <c r="O1401">
        <v>30</v>
      </c>
    </row>
    <row r="1402" spans="1:15" hidden="1" x14ac:dyDescent="0.25">
      <c r="A1402" t="s">
        <v>2820</v>
      </c>
      <c r="B1402" t="s">
        <v>2241</v>
      </c>
      <c r="C1402" t="s">
        <v>2242</v>
      </c>
      <c r="D1402" t="s">
        <v>930</v>
      </c>
      <c r="E1402" t="s">
        <v>2982</v>
      </c>
      <c r="F1402" s="3">
        <v>315000</v>
      </c>
      <c r="G1402" s="2">
        <f t="shared" si="42"/>
        <v>30</v>
      </c>
      <c r="H1402" s="2">
        <f t="shared" ca="1" si="43"/>
        <v>98</v>
      </c>
      <c r="I1402" s="4">
        <v>46022</v>
      </c>
      <c r="J1402" s="4">
        <v>46052</v>
      </c>
      <c r="K1402" t="s">
        <v>918</v>
      </c>
      <c r="L1402" t="s">
        <v>312</v>
      </c>
      <c r="M1402" t="s">
        <v>19</v>
      </c>
      <c r="N1402" t="s">
        <v>2243</v>
      </c>
      <c r="O1402">
        <v>30</v>
      </c>
    </row>
    <row r="1403" spans="1:15" hidden="1" x14ac:dyDescent="0.25">
      <c r="A1403" t="s">
        <v>2820</v>
      </c>
      <c r="B1403" t="s">
        <v>1925</v>
      </c>
      <c r="C1403" t="s">
        <v>1926</v>
      </c>
      <c r="D1403" t="s">
        <v>1242</v>
      </c>
      <c r="E1403" t="s">
        <v>3085</v>
      </c>
      <c r="F1403" s="3">
        <v>1235800</v>
      </c>
      <c r="G1403" s="2">
        <f t="shared" si="42"/>
        <v>30</v>
      </c>
      <c r="H1403" s="2">
        <f t="shared" ca="1" si="43"/>
        <v>98</v>
      </c>
      <c r="I1403" s="4">
        <v>46022</v>
      </c>
      <c r="J1403" s="4">
        <v>46052</v>
      </c>
      <c r="K1403" t="s">
        <v>1243</v>
      </c>
      <c r="L1403" t="s">
        <v>207</v>
      </c>
      <c r="M1403" t="s">
        <v>19</v>
      </c>
      <c r="N1403" t="s">
        <v>1927</v>
      </c>
      <c r="O1403">
        <v>30</v>
      </c>
    </row>
    <row r="1404" spans="1:15" hidden="1" x14ac:dyDescent="0.25">
      <c r="A1404" t="s">
        <v>2820</v>
      </c>
      <c r="B1404" t="s">
        <v>1254</v>
      </c>
      <c r="C1404" t="s">
        <v>1255</v>
      </c>
      <c r="D1404" t="s">
        <v>1250</v>
      </c>
      <c r="E1404" t="s">
        <v>3086</v>
      </c>
      <c r="F1404" s="3">
        <v>425000</v>
      </c>
      <c r="G1404" s="2">
        <f t="shared" si="42"/>
        <v>30</v>
      </c>
      <c r="H1404" s="2">
        <f t="shared" ca="1" si="43"/>
        <v>98</v>
      </c>
      <c r="I1404" s="4">
        <v>46022</v>
      </c>
      <c r="J1404" s="4">
        <v>46052</v>
      </c>
      <c r="K1404" t="s">
        <v>1243</v>
      </c>
      <c r="L1404" t="s">
        <v>207</v>
      </c>
      <c r="M1404" t="s">
        <v>19</v>
      </c>
      <c r="N1404" t="s">
        <v>1256</v>
      </c>
      <c r="O1404">
        <v>15</v>
      </c>
    </row>
    <row r="1405" spans="1:15" hidden="1" x14ac:dyDescent="0.25">
      <c r="A1405" t="s">
        <v>2820</v>
      </c>
      <c r="B1405" t="s">
        <v>1244</v>
      </c>
      <c r="C1405" t="s">
        <v>1245</v>
      </c>
      <c r="D1405" t="s">
        <v>1242</v>
      </c>
      <c r="E1405" t="s">
        <v>3087</v>
      </c>
      <c r="F1405" s="3">
        <v>2138287</v>
      </c>
      <c r="G1405" s="2">
        <f t="shared" si="42"/>
        <v>30</v>
      </c>
      <c r="H1405" s="2">
        <f t="shared" ca="1" si="43"/>
        <v>98</v>
      </c>
      <c r="I1405" s="4">
        <v>46022</v>
      </c>
      <c r="J1405" s="4">
        <v>46052</v>
      </c>
      <c r="K1405" t="s">
        <v>1243</v>
      </c>
      <c r="L1405" t="s">
        <v>207</v>
      </c>
      <c r="M1405" t="s">
        <v>19</v>
      </c>
      <c r="N1405" t="s">
        <v>1246</v>
      </c>
      <c r="O1405">
        <v>30</v>
      </c>
    </row>
    <row r="1406" spans="1:15" hidden="1" x14ac:dyDescent="0.25">
      <c r="A1406" t="s">
        <v>2820</v>
      </c>
      <c r="B1406" t="s">
        <v>1254</v>
      </c>
      <c r="C1406" t="s">
        <v>1255</v>
      </c>
      <c r="D1406" t="s">
        <v>1250</v>
      </c>
      <c r="E1406" t="s">
        <v>3088</v>
      </c>
      <c r="F1406" s="3">
        <v>1255979</v>
      </c>
      <c r="G1406" s="2">
        <f t="shared" si="42"/>
        <v>30</v>
      </c>
      <c r="H1406" s="2">
        <f t="shared" ca="1" si="43"/>
        <v>98</v>
      </c>
      <c r="I1406" s="4">
        <v>46022</v>
      </c>
      <c r="J1406" s="4">
        <v>46052</v>
      </c>
      <c r="K1406" t="s">
        <v>1243</v>
      </c>
      <c r="L1406" t="s">
        <v>207</v>
      </c>
      <c r="M1406" t="s">
        <v>19</v>
      </c>
      <c r="N1406" t="s">
        <v>1256</v>
      </c>
      <c r="O1406">
        <v>15</v>
      </c>
    </row>
    <row r="1407" spans="1:15" hidden="1" x14ac:dyDescent="0.25">
      <c r="A1407" t="s">
        <v>2820</v>
      </c>
      <c r="B1407" t="s">
        <v>95</v>
      </c>
      <c r="C1407" t="s">
        <v>96</v>
      </c>
      <c r="D1407" t="s">
        <v>15</v>
      </c>
      <c r="E1407" t="s">
        <v>2858</v>
      </c>
      <c r="F1407" s="3">
        <v>4173527</v>
      </c>
      <c r="G1407" s="2">
        <f t="shared" si="42"/>
        <v>30</v>
      </c>
      <c r="H1407" s="2">
        <f t="shared" ca="1" si="43"/>
        <v>93</v>
      </c>
      <c r="I1407" s="4">
        <v>46027</v>
      </c>
      <c r="J1407" s="4">
        <v>46057</v>
      </c>
      <c r="K1407" t="s">
        <v>17</v>
      </c>
      <c r="L1407" t="s">
        <v>32</v>
      </c>
      <c r="M1407" t="s">
        <v>19</v>
      </c>
      <c r="N1407" t="s">
        <v>97</v>
      </c>
      <c r="O1407">
        <v>30</v>
      </c>
    </row>
    <row r="1408" spans="1:15" hidden="1" x14ac:dyDescent="0.25">
      <c r="A1408" t="s">
        <v>2820</v>
      </c>
      <c r="B1408" t="s">
        <v>2206</v>
      </c>
      <c r="C1408" t="s">
        <v>2207</v>
      </c>
      <c r="D1408" t="s">
        <v>15</v>
      </c>
      <c r="E1408" t="s">
        <v>2918</v>
      </c>
      <c r="F1408" s="3">
        <v>324000</v>
      </c>
      <c r="G1408" s="2">
        <f t="shared" si="42"/>
        <v>10</v>
      </c>
      <c r="H1408" s="2">
        <f t="shared" ca="1" si="43"/>
        <v>93</v>
      </c>
      <c r="I1408" s="4">
        <v>46027</v>
      </c>
      <c r="J1408" s="4">
        <v>46037</v>
      </c>
      <c r="K1408" t="s">
        <v>17</v>
      </c>
      <c r="L1408" t="s">
        <v>312</v>
      </c>
      <c r="M1408" t="s">
        <v>19</v>
      </c>
      <c r="N1408" t="s">
        <v>2208</v>
      </c>
      <c r="O1408">
        <v>15</v>
      </c>
    </row>
    <row r="1409" spans="1:15" hidden="1" x14ac:dyDescent="0.25">
      <c r="A1409" t="s">
        <v>2820</v>
      </c>
      <c r="B1409" t="s">
        <v>2206</v>
      </c>
      <c r="C1409" t="s">
        <v>2207</v>
      </c>
      <c r="D1409" t="s">
        <v>15</v>
      </c>
      <c r="E1409" t="s">
        <v>2919</v>
      </c>
      <c r="F1409" s="3">
        <v>144882</v>
      </c>
      <c r="G1409" s="2">
        <f t="shared" si="42"/>
        <v>15</v>
      </c>
      <c r="H1409" s="2">
        <f t="shared" ca="1" si="43"/>
        <v>93</v>
      </c>
      <c r="I1409" s="4">
        <v>46027</v>
      </c>
      <c r="J1409" s="4">
        <v>46042</v>
      </c>
      <c r="K1409" t="s">
        <v>17</v>
      </c>
      <c r="L1409" t="s">
        <v>312</v>
      </c>
      <c r="M1409" t="s">
        <v>19</v>
      </c>
      <c r="N1409" t="s">
        <v>2208</v>
      </c>
      <c r="O1409">
        <v>15</v>
      </c>
    </row>
    <row r="1410" spans="1:15" hidden="1" x14ac:dyDescent="0.25">
      <c r="A1410" t="s">
        <v>2820</v>
      </c>
      <c r="B1410" t="s">
        <v>326</v>
      </c>
      <c r="C1410" t="s">
        <v>327</v>
      </c>
      <c r="D1410" t="s">
        <v>15</v>
      </c>
      <c r="E1410" t="s">
        <v>2920</v>
      </c>
      <c r="F1410" s="3">
        <v>267667</v>
      </c>
      <c r="G1410" s="2">
        <f t="shared" ref="G1410:G1473" si="44">+J1410-I1410</f>
        <v>30</v>
      </c>
      <c r="H1410" s="2">
        <f t="shared" ref="H1410:H1473" ca="1" si="45">+TODAY()-I1410</f>
        <v>93</v>
      </c>
      <c r="I1410" s="4">
        <v>46027</v>
      </c>
      <c r="J1410" s="4">
        <v>46057</v>
      </c>
      <c r="K1410" t="s">
        <v>17</v>
      </c>
      <c r="L1410" t="s">
        <v>312</v>
      </c>
      <c r="M1410" t="s">
        <v>19</v>
      </c>
      <c r="N1410" t="s">
        <v>328</v>
      </c>
      <c r="O1410">
        <v>30</v>
      </c>
    </row>
    <row r="1411" spans="1:15" hidden="1" x14ac:dyDescent="0.25">
      <c r="A1411" t="s">
        <v>2820</v>
      </c>
      <c r="B1411" t="s">
        <v>326</v>
      </c>
      <c r="C1411" t="s">
        <v>327</v>
      </c>
      <c r="D1411" t="s">
        <v>15</v>
      </c>
      <c r="E1411" t="s">
        <v>2921</v>
      </c>
      <c r="F1411" s="3">
        <v>355415</v>
      </c>
      <c r="G1411" s="2">
        <f t="shared" si="44"/>
        <v>15</v>
      </c>
      <c r="H1411" s="2">
        <f t="shared" ca="1" si="45"/>
        <v>93</v>
      </c>
      <c r="I1411" s="4">
        <v>46027</v>
      </c>
      <c r="J1411" s="4">
        <v>46042</v>
      </c>
      <c r="K1411" t="s">
        <v>17</v>
      </c>
      <c r="L1411" t="s">
        <v>312</v>
      </c>
      <c r="M1411" t="s">
        <v>19</v>
      </c>
      <c r="N1411" t="s">
        <v>328</v>
      </c>
      <c r="O1411">
        <v>30</v>
      </c>
    </row>
    <row r="1412" spans="1:15" hidden="1" x14ac:dyDescent="0.25">
      <c r="A1412" t="s">
        <v>2820</v>
      </c>
      <c r="B1412" t="s">
        <v>326</v>
      </c>
      <c r="C1412" t="s">
        <v>327</v>
      </c>
      <c r="D1412" t="s">
        <v>15</v>
      </c>
      <c r="E1412" t="s">
        <v>2922</v>
      </c>
      <c r="F1412" s="3">
        <v>135605</v>
      </c>
      <c r="G1412" s="2">
        <f t="shared" si="44"/>
        <v>15</v>
      </c>
      <c r="H1412" s="2">
        <f t="shared" ca="1" si="45"/>
        <v>93</v>
      </c>
      <c r="I1412" s="4">
        <v>46027</v>
      </c>
      <c r="J1412" s="4">
        <v>46042</v>
      </c>
      <c r="K1412" t="s">
        <v>17</v>
      </c>
      <c r="L1412" t="s">
        <v>312</v>
      </c>
      <c r="M1412" t="s">
        <v>19</v>
      </c>
      <c r="N1412" t="s">
        <v>328</v>
      </c>
      <c r="O1412">
        <v>30</v>
      </c>
    </row>
    <row r="1413" spans="1:15" hidden="1" x14ac:dyDescent="0.25">
      <c r="A1413" t="s">
        <v>2820</v>
      </c>
      <c r="B1413" t="s">
        <v>2387</v>
      </c>
      <c r="C1413" t="s">
        <v>2388</v>
      </c>
      <c r="D1413" t="s">
        <v>46</v>
      </c>
      <c r="E1413" t="s">
        <v>2923</v>
      </c>
      <c r="F1413" s="3">
        <v>358038</v>
      </c>
      <c r="G1413" s="2">
        <f t="shared" si="44"/>
        <v>15</v>
      </c>
      <c r="H1413" s="2">
        <f t="shared" ca="1" si="45"/>
        <v>93</v>
      </c>
      <c r="I1413" s="4">
        <v>46027</v>
      </c>
      <c r="J1413" s="4">
        <v>46042</v>
      </c>
      <c r="K1413" t="s">
        <v>17</v>
      </c>
      <c r="L1413" t="s">
        <v>317</v>
      </c>
      <c r="M1413" t="s">
        <v>19</v>
      </c>
      <c r="N1413" t="s">
        <v>2389</v>
      </c>
      <c r="O1413">
        <v>15</v>
      </c>
    </row>
    <row r="1414" spans="1:15" hidden="1" x14ac:dyDescent="0.25">
      <c r="A1414" t="s">
        <v>2820</v>
      </c>
      <c r="B1414" t="s">
        <v>101</v>
      </c>
      <c r="C1414" t="s">
        <v>102</v>
      </c>
      <c r="D1414" t="s">
        <v>15</v>
      </c>
      <c r="E1414" t="s">
        <v>2924</v>
      </c>
      <c r="F1414" s="3">
        <v>5891856</v>
      </c>
      <c r="G1414" s="2">
        <f t="shared" si="44"/>
        <v>30</v>
      </c>
      <c r="H1414" s="2">
        <f t="shared" ca="1" si="45"/>
        <v>93</v>
      </c>
      <c r="I1414" s="4">
        <v>46027</v>
      </c>
      <c r="J1414" s="4">
        <v>46057</v>
      </c>
      <c r="K1414" t="s">
        <v>17</v>
      </c>
      <c r="L1414" t="s">
        <v>32</v>
      </c>
      <c r="M1414" t="s">
        <v>19</v>
      </c>
      <c r="N1414" t="s">
        <v>103</v>
      </c>
      <c r="O1414">
        <v>30</v>
      </c>
    </row>
    <row r="1415" spans="1:15" hidden="1" x14ac:dyDescent="0.25">
      <c r="A1415" t="s">
        <v>2820</v>
      </c>
      <c r="B1415" t="s">
        <v>73</v>
      </c>
      <c r="C1415" t="s">
        <v>74</v>
      </c>
      <c r="D1415" t="s">
        <v>46</v>
      </c>
      <c r="E1415" t="s">
        <v>2925</v>
      </c>
      <c r="F1415" s="3">
        <v>1484000</v>
      </c>
      <c r="G1415" s="2">
        <f t="shared" si="44"/>
        <v>30</v>
      </c>
      <c r="H1415" s="2">
        <f t="shared" ca="1" si="45"/>
        <v>93</v>
      </c>
      <c r="I1415" s="4">
        <v>46027</v>
      </c>
      <c r="J1415" s="4">
        <v>46057</v>
      </c>
      <c r="K1415" t="s">
        <v>17</v>
      </c>
      <c r="L1415" t="s">
        <v>18</v>
      </c>
      <c r="M1415" t="s">
        <v>19</v>
      </c>
      <c r="N1415" t="s">
        <v>75</v>
      </c>
      <c r="O1415">
        <v>30</v>
      </c>
    </row>
    <row r="1416" spans="1:15" hidden="1" x14ac:dyDescent="0.25">
      <c r="A1416" t="s">
        <v>2820</v>
      </c>
      <c r="B1416" t="s">
        <v>52</v>
      </c>
      <c r="C1416" t="s">
        <v>53</v>
      </c>
      <c r="D1416" t="s">
        <v>15</v>
      </c>
      <c r="E1416" t="s">
        <v>2926</v>
      </c>
      <c r="F1416" s="3">
        <v>1065204</v>
      </c>
      <c r="G1416" s="2">
        <f t="shared" si="44"/>
        <v>30</v>
      </c>
      <c r="H1416" s="2">
        <f t="shared" ca="1" si="45"/>
        <v>93</v>
      </c>
      <c r="I1416" s="4">
        <v>46027</v>
      </c>
      <c r="J1416" s="4">
        <v>46057</v>
      </c>
      <c r="K1416" t="s">
        <v>17</v>
      </c>
      <c r="L1416" t="s">
        <v>32</v>
      </c>
      <c r="M1416" t="s">
        <v>19</v>
      </c>
      <c r="N1416" t="s">
        <v>54</v>
      </c>
      <c r="O1416">
        <v>30</v>
      </c>
    </row>
    <row r="1417" spans="1:15" hidden="1" x14ac:dyDescent="0.25">
      <c r="A1417" t="s">
        <v>2820</v>
      </c>
      <c r="B1417" t="s">
        <v>1146</v>
      </c>
      <c r="C1417" t="s">
        <v>1147</v>
      </c>
      <c r="D1417" t="s">
        <v>1118</v>
      </c>
      <c r="E1417" t="s">
        <v>3053</v>
      </c>
      <c r="F1417" s="3">
        <v>5623496</v>
      </c>
      <c r="G1417" s="2">
        <f t="shared" si="44"/>
        <v>30</v>
      </c>
      <c r="H1417" s="2">
        <f t="shared" ca="1" si="45"/>
        <v>93</v>
      </c>
      <c r="I1417" s="4">
        <v>46027</v>
      </c>
      <c r="J1417" s="4">
        <v>46057</v>
      </c>
      <c r="K1417" t="s">
        <v>1144</v>
      </c>
      <c r="L1417" t="s">
        <v>207</v>
      </c>
      <c r="M1417" t="s">
        <v>19</v>
      </c>
      <c r="N1417" t="s">
        <v>1148</v>
      </c>
      <c r="O1417">
        <v>30</v>
      </c>
    </row>
    <row r="1418" spans="1:15" hidden="1" x14ac:dyDescent="0.25">
      <c r="A1418" t="s">
        <v>2820</v>
      </c>
      <c r="B1418" t="s">
        <v>1142</v>
      </c>
      <c r="C1418" t="s">
        <v>1143</v>
      </c>
      <c r="D1418" t="s">
        <v>1118</v>
      </c>
      <c r="E1418" t="s">
        <v>3054</v>
      </c>
      <c r="F1418" s="3">
        <v>672874</v>
      </c>
      <c r="G1418" s="2">
        <f t="shared" si="44"/>
        <v>30</v>
      </c>
      <c r="H1418" s="2">
        <f t="shared" ca="1" si="45"/>
        <v>93</v>
      </c>
      <c r="I1418" s="4">
        <v>46027</v>
      </c>
      <c r="J1418" s="4">
        <v>46057</v>
      </c>
      <c r="K1418" t="s">
        <v>1144</v>
      </c>
      <c r="L1418" t="s">
        <v>207</v>
      </c>
      <c r="M1418" t="s">
        <v>19</v>
      </c>
      <c r="N1418" t="s">
        <v>1145</v>
      </c>
      <c r="O1418">
        <v>30</v>
      </c>
    </row>
    <row r="1419" spans="1:15" hidden="1" x14ac:dyDescent="0.25">
      <c r="A1419" t="s">
        <v>2820</v>
      </c>
      <c r="B1419" t="s">
        <v>1149</v>
      </c>
      <c r="C1419" t="s">
        <v>1150</v>
      </c>
      <c r="D1419" t="s">
        <v>1118</v>
      </c>
      <c r="E1419" t="s">
        <v>3055</v>
      </c>
      <c r="F1419" s="3">
        <v>1537118</v>
      </c>
      <c r="G1419" s="2">
        <f t="shared" si="44"/>
        <v>30</v>
      </c>
      <c r="H1419" s="2">
        <f t="shared" ca="1" si="45"/>
        <v>93</v>
      </c>
      <c r="I1419" s="4">
        <v>46027</v>
      </c>
      <c r="J1419" s="4">
        <v>46057</v>
      </c>
      <c r="K1419" t="s">
        <v>1144</v>
      </c>
      <c r="L1419" t="s">
        <v>207</v>
      </c>
      <c r="M1419" t="s">
        <v>19</v>
      </c>
      <c r="N1419" t="s">
        <v>1151</v>
      </c>
      <c r="O1419">
        <v>30</v>
      </c>
    </row>
    <row r="1420" spans="1:15" hidden="1" x14ac:dyDescent="0.25">
      <c r="A1420" t="s">
        <v>2820</v>
      </c>
      <c r="B1420" t="s">
        <v>1146</v>
      </c>
      <c r="C1420" t="s">
        <v>1147</v>
      </c>
      <c r="D1420" t="s">
        <v>1118</v>
      </c>
      <c r="E1420" t="s">
        <v>3056</v>
      </c>
      <c r="F1420" s="3">
        <v>377392</v>
      </c>
      <c r="G1420" s="2">
        <f t="shared" si="44"/>
        <v>30</v>
      </c>
      <c r="H1420" s="2">
        <f t="shared" ca="1" si="45"/>
        <v>93</v>
      </c>
      <c r="I1420" s="4">
        <v>46027</v>
      </c>
      <c r="J1420" s="4">
        <v>46057</v>
      </c>
      <c r="K1420" t="s">
        <v>1144</v>
      </c>
      <c r="L1420" t="s">
        <v>47</v>
      </c>
      <c r="M1420" t="s">
        <v>19</v>
      </c>
      <c r="N1420" t="s">
        <v>1148</v>
      </c>
      <c r="O1420">
        <v>30</v>
      </c>
    </row>
    <row r="1421" spans="1:15" hidden="1" x14ac:dyDescent="0.25">
      <c r="A1421" t="s">
        <v>2820</v>
      </c>
      <c r="B1421" t="s">
        <v>1155</v>
      </c>
      <c r="C1421" t="s">
        <v>1156</v>
      </c>
      <c r="D1421" t="s">
        <v>1118</v>
      </c>
      <c r="E1421" t="s">
        <v>3057</v>
      </c>
      <c r="F1421" s="3">
        <v>1585584</v>
      </c>
      <c r="G1421" s="2">
        <f t="shared" si="44"/>
        <v>30</v>
      </c>
      <c r="H1421" s="2">
        <f t="shared" ca="1" si="45"/>
        <v>93</v>
      </c>
      <c r="I1421" s="4">
        <v>46027</v>
      </c>
      <c r="J1421" s="4">
        <v>46057</v>
      </c>
      <c r="K1421" t="s">
        <v>1144</v>
      </c>
      <c r="L1421" t="s">
        <v>207</v>
      </c>
      <c r="M1421" t="s">
        <v>19</v>
      </c>
      <c r="N1421" t="s">
        <v>1157</v>
      </c>
      <c r="O1421">
        <v>30</v>
      </c>
    </row>
    <row r="1422" spans="1:15" hidden="1" x14ac:dyDescent="0.25">
      <c r="A1422" t="s">
        <v>2820</v>
      </c>
      <c r="B1422" t="s">
        <v>1155</v>
      </c>
      <c r="C1422" t="s">
        <v>1156</v>
      </c>
      <c r="D1422" t="s">
        <v>1118</v>
      </c>
      <c r="E1422" t="s">
        <v>3058</v>
      </c>
      <c r="F1422" s="3">
        <v>21604019</v>
      </c>
      <c r="G1422" s="2">
        <f t="shared" si="44"/>
        <v>30</v>
      </c>
      <c r="H1422" s="2">
        <f t="shared" ca="1" si="45"/>
        <v>93</v>
      </c>
      <c r="I1422" s="4">
        <v>46027</v>
      </c>
      <c r="J1422" s="4">
        <v>46057</v>
      </c>
      <c r="K1422" t="s">
        <v>1144</v>
      </c>
      <c r="L1422" t="s">
        <v>207</v>
      </c>
      <c r="M1422" t="s">
        <v>19</v>
      </c>
      <c r="N1422" t="s">
        <v>1157</v>
      </c>
      <c r="O1422">
        <v>30</v>
      </c>
    </row>
    <row r="1423" spans="1:15" hidden="1" x14ac:dyDescent="0.25">
      <c r="A1423" t="s">
        <v>2820</v>
      </c>
      <c r="B1423" t="s">
        <v>1164</v>
      </c>
      <c r="C1423" t="s">
        <v>1165</v>
      </c>
      <c r="D1423" t="s">
        <v>1118</v>
      </c>
      <c r="E1423" t="s">
        <v>3059</v>
      </c>
      <c r="F1423" s="3">
        <v>1884272</v>
      </c>
      <c r="G1423" s="2">
        <f t="shared" si="44"/>
        <v>30</v>
      </c>
      <c r="H1423" s="2">
        <f t="shared" ca="1" si="45"/>
        <v>93</v>
      </c>
      <c r="I1423" s="4">
        <v>46027</v>
      </c>
      <c r="J1423" s="4">
        <v>46057</v>
      </c>
      <c r="K1423" t="s">
        <v>1144</v>
      </c>
      <c r="L1423" t="s">
        <v>207</v>
      </c>
      <c r="M1423" t="s">
        <v>19</v>
      </c>
      <c r="N1423" t="s">
        <v>1166</v>
      </c>
      <c r="O1423">
        <v>30</v>
      </c>
    </row>
    <row r="1424" spans="1:15" hidden="1" x14ac:dyDescent="0.25">
      <c r="A1424" t="s">
        <v>2820</v>
      </c>
      <c r="B1424" t="s">
        <v>1146</v>
      </c>
      <c r="C1424" t="s">
        <v>1147</v>
      </c>
      <c r="D1424" t="s">
        <v>1118</v>
      </c>
      <c r="E1424" t="s">
        <v>3060</v>
      </c>
      <c r="F1424" s="3">
        <v>1021910</v>
      </c>
      <c r="G1424" s="2">
        <f t="shared" si="44"/>
        <v>30</v>
      </c>
      <c r="H1424" s="2">
        <f t="shared" ca="1" si="45"/>
        <v>93</v>
      </c>
      <c r="I1424" s="4">
        <v>46027</v>
      </c>
      <c r="J1424" s="4">
        <v>46057</v>
      </c>
      <c r="K1424" t="s">
        <v>1144</v>
      </c>
      <c r="L1424" t="s">
        <v>117</v>
      </c>
      <c r="M1424" t="s">
        <v>19</v>
      </c>
      <c r="N1424" t="s">
        <v>1148</v>
      </c>
      <c r="O1424">
        <v>30</v>
      </c>
    </row>
    <row r="1425" spans="1:15" hidden="1" x14ac:dyDescent="0.25">
      <c r="A1425" t="s">
        <v>2820</v>
      </c>
      <c r="B1425" t="s">
        <v>1164</v>
      </c>
      <c r="C1425" t="s">
        <v>1165</v>
      </c>
      <c r="D1425" t="s">
        <v>1118</v>
      </c>
      <c r="E1425" t="s">
        <v>3061</v>
      </c>
      <c r="F1425" s="3">
        <v>1675914</v>
      </c>
      <c r="G1425" s="2">
        <f t="shared" si="44"/>
        <v>30</v>
      </c>
      <c r="H1425" s="2">
        <f t="shared" ca="1" si="45"/>
        <v>93</v>
      </c>
      <c r="I1425" s="4">
        <v>46027</v>
      </c>
      <c r="J1425" s="4">
        <v>46057</v>
      </c>
      <c r="K1425" t="s">
        <v>1144</v>
      </c>
      <c r="L1425" t="s">
        <v>207</v>
      </c>
      <c r="M1425" t="s">
        <v>19</v>
      </c>
      <c r="N1425" t="s">
        <v>1166</v>
      </c>
      <c r="O1425">
        <v>30</v>
      </c>
    </row>
    <row r="1426" spans="1:15" hidden="1" x14ac:dyDescent="0.25">
      <c r="A1426" t="s">
        <v>2820</v>
      </c>
      <c r="B1426" t="s">
        <v>1142</v>
      </c>
      <c r="C1426" t="s">
        <v>1143</v>
      </c>
      <c r="D1426" t="s">
        <v>1118</v>
      </c>
      <c r="E1426" t="s">
        <v>3062</v>
      </c>
      <c r="F1426" s="3">
        <v>431960</v>
      </c>
      <c r="G1426" s="2">
        <f t="shared" si="44"/>
        <v>30</v>
      </c>
      <c r="H1426" s="2">
        <f t="shared" ca="1" si="45"/>
        <v>93</v>
      </c>
      <c r="I1426" s="4">
        <v>46027</v>
      </c>
      <c r="J1426" s="4">
        <v>46057</v>
      </c>
      <c r="K1426" t="s">
        <v>1144</v>
      </c>
      <c r="L1426" t="s">
        <v>47</v>
      </c>
      <c r="M1426" t="s">
        <v>19</v>
      </c>
      <c r="N1426" t="s">
        <v>1145</v>
      </c>
      <c r="O1426">
        <v>30</v>
      </c>
    </row>
    <row r="1427" spans="1:15" hidden="1" x14ac:dyDescent="0.25">
      <c r="A1427" t="s">
        <v>2820</v>
      </c>
      <c r="B1427" t="s">
        <v>1142</v>
      </c>
      <c r="C1427" t="s">
        <v>1143</v>
      </c>
      <c r="D1427" t="s">
        <v>1118</v>
      </c>
      <c r="E1427" t="s">
        <v>3063</v>
      </c>
      <c r="F1427" s="3">
        <v>970414</v>
      </c>
      <c r="G1427" s="2">
        <f t="shared" si="44"/>
        <v>30</v>
      </c>
      <c r="H1427" s="2">
        <f t="shared" ca="1" si="45"/>
        <v>93</v>
      </c>
      <c r="I1427" s="4">
        <v>46027</v>
      </c>
      <c r="J1427" s="4">
        <v>46057</v>
      </c>
      <c r="K1427" t="s">
        <v>1144</v>
      </c>
      <c r="L1427" t="s">
        <v>117</v>
      </c>
      <c r="M1427" t="s">
        <v>19</v>
      </c>
      <c r="N1427" t="s">
        <v>1145</v>
      </c>
      <c r="O1427">
        <v>30</v>
      </c>
    </row>
    <row r="1428" spans="1:15" hidden="1" x14ac:dyDescent="0.25">
      <c r="A1428" t="s">
        <v>2820</v>
      </c>
      <c r="B1428" t="s">
        <v>1161</v>
      </c>
      <c r="C1428" t="s">
        <v>1162</v>
      </c>
      <c r="D1428" t="s">
        <v>1118</v>
      </c>
      <c r="E1428" t="s">
        <v>3064</v>
      </c>
      <c r="F1428" s="3">
        <v>1424436</v>
      </c>
      <c r="G1428" s="2">
        <f t="shared" si="44"/>
        <v>30</v>
      </c>
      <c r="H1428" s="2">
        <f t="shared" ca="1" si="45"/>
        <v>93</v>
      </c>
      <c r="I1428" s="4">
        <v>46027</v>
      </c>
      <c r="J1428" s="4">
        <v>46057</v>
      </c>
      <c r="K1428" t="s">
        <v>1144</v>
      </c>
      <c r="L1428" t="s">
        <v>207</v>
      </c>
      <c r="M1428" t="s">
        <v>19</v>
      </c>
      <c r="N1428" t="s">
        <v>1163</v>
      </c>
      <c r="O1428">
        <v>30</v>
      </c>
    </row>
    <row r="1429" spans="1:15" hidden="1" x14ac:dyDescent="0.25">
      <c r="A1429" t="s">
        <v>2820</v>
      </c>
      <c r="B1429" t="s">
        <v>1161</v>
      </c>
      <c r="C1429" t="s">
        <v>1162</v>
      </c>
      <c r="D1429" t="s">
        <v>1118</v>
      </c>
      <c r="E1429" t="s">
        <v>3065</v>
      </c>
      <c r="F1429" s="3">
        <v>3380821</v>
      </c>
      <c r="G1429" s="2">
        <f t="shared" si="44"/>
        <v>30</v>
      </c>
      <c r="H1429" s="2">
        <f t="shared" ca="1" si="45"/>
        <v>93</v>
      </c>
      <c r="I1429" s="4">
        <v>46027</v>
      </c>
      <c r="J1429" s="4">
        <v>46057</v>
      </c>
      <c r="K1429" t="s">
        <v>1144</v>
      </c>
      <c r="L1429" t="s">
        <v>207</v>
      </c>
      <c r="M1429" t="s">
        <v>19</v>
      </c>
      <c r="N1429" t="s">
        <v>1163</v>
      </c>
      <c r="O1429">
        <v>30</v>
      </c>
    </row>
    <row r="1430" spans="1:15" hidden="1" x14ac:dyDescent="0.25">
      <c r="A1430" t="s">
        <v>2820</v>
      </c>
      <c r="B1430" t="s">
        <v>1142</v>
      </c>
      <c r="C1430" t="s">
        <v>1143</v>
      </c>
      <c r="D1430" t="s">
        <v>1118</v>
      </c>
      <c r="E1430" t="s">
        <v>3066</v>
      </c>
      <c r="F1430" s="3">
        <v>5112072</v>
      </c>
      <c r="G1430" s="2">
        <f t="shared" si="44"/>
        <v>30</v>
      </c>
      <c r="H1430" s="2">
        <f t="shared" ca="1" si="45"/>
        <v>93</v>
      </c>
      <c r="I1430" s="4">
        <v>46027</v>
      </c>
      <c r="J1430" s="4">
        <v>46057</v>
      </c>
      <c r="K1430" t="s">
        <v>1144</v>
      </c>
      <c r="L1430" t="s">
        <v>207</v>
      </c>
      <c r="M1430" t="s">
        <v>19</v>
      </c>
      <c r="N1430" t="s">
        <v>1145</v>
      </c>
      <c r="O1430">
        <v>30</v>
      </c>
    </row>
    <row r="1431" spans="1:15" hidden="1" x14ac:dyDescent="0.25">
      <c r="A1431" t="s">
        <v>2820</v>
      </c>
      <c r="B1431" t="s">
        <v>1155</v>
      </c>
      <c r="C1431" t="s">
        <v>1156</v>
      </c>
      <c r="D1431" t="s">
        <v>1118</v>
      </c>
      <c r="E1431" t="s">
        <v>3067</v>
      </c>
      <c r="F1431" s="3">
        <v>606880</v>
      </c>
      <c r="G1431" s="2">
        <f t="shared" si="44"/>
        <v>30</v>
      </c>
      <c r="H1431" s="2">
        <f t="shared" ca="1" si="45"/>
        <v>93</v>
      </c>
      <c r="I1431" s="4">
        <v>46027</v>
      </c>
      <c r="J1431" s="4">
        <v>46057</v>
      </c>
      <c r="K1431" t="s">
        <v>1144</v>
      </c>
      <c r="L1431" t="s">
        <v>47</v>
      </c>
      <c r="M1431" t="s">
        <v>19</v>
      </c>
      <c r="N1431" t="s">
        <v>1157</v>
      </c>
      <c r="O1431">
        <v>30</v>
      </c>
    </row>
    <row r="1432" spans="1:15" hidden="1" x14ac:dyDescent="0.25">
      <c r="A1432" t="s">
        <v>2820</v>
      </c>
      <c r="B1432" t="s">
        <v>1155</v>
      </c>
      <c r="C1432" t="s">
        <v>1156</v>
      </c>
      <c r="D1432" t="s">
        <v>1118</v>
      </c>
      <c r="E1432" t="s">
        <v>2859</v>
      </c>
      <c r="F1432" s="3">
        <v>1928593</v>
      </c>
      <c r="G1432" s="2">
        <f t="shared" si="44"/>
        <v>30</v>
      </c>
      <c r="H1432" s="2">
        <f t="shared" ca="1" si="45"/>
        <v>93</v>
      </c>
      <c r="I1432" s="4">
        <v>46027</v>
      </c>
      <c r="J1432" s="4">
        <v>46057</v>
      </c>
      <c r="K1432" t="s">
        <v>1144</v>
      </c>
      <c r="L1432" t="s">
        <v>117</v>
      </c>
      <c r="M1432" t="s">
        <v>19</v>
      </c>
      <c r="N1432" t="s">
        <v>1157</v>
      </c>
      <c r="O1432">
        <v>30</v>
      </c>
    </row>
    <row r="1433" spans="1:15" hidden="1" x14ac:dyDescent="0.25">
      <c r="A1433" t="s">
        <v>2820</v>
      </c>
      <c r="B1433" t="s">
        <v>1149</v>
      </c>
      <c r="C1433" t="s">
        <v>1150</v>
      </c>
      <c r="D1433" t="s">
        <v>1118</v>
      </c>
      <c r="E1433" t="s">
        <v>3068</v>
      </c>
      <c r="F1433" s="3">
        <v>327398</v>
      </c>
      <c r="G1433" s="2">
        <f t="shared" si="44"/>
        <v>30</v>
      </c>
      <c r="H1433" s="2">
        <f t="shared" ca="1" si="45"/>
        <v>93</v>
      </c>
      <c r="I1433" s="4">
        <v>46027</v>
      </c>
      <c r="J1433" s="4">
        <v>46057</v>
      </c>
      <c r="K1433" t="s">
        <v>1144</v>
      </c>
      <c r="L1433" t="s">
        <v>117</v>
      </c>
      <c r="M1433" t="s">
        <v>19</v>
      </c>
      <c r="N1433" t="s">
        <v>1151</v>
      </c>
      <c r="O1433">
        <v>30</v>
      </c>
    </row>
    <row r="1434" spans="1:15" hidden="1" x14ac:dyDescent="0.25">
      <c r="A1434" t="s">
        <v>2820</v>
      </c>
      <c r="B1434" t="s">
        <v>1161</v>
      </c>
      <c r="C1434" t="s">
        <v>1162</v>
      </c>
      <c r="D1434" t="s">
        <v>1118</v>
      </c>
      <c r="E1434" t="s">
        <v>3069</v>
      </c>
      <c r="F1434" s="3">
        <v>2516573</v>
      </c>
      <c r="G1434" s="2">
        <f t="shared" si="44"/>
        <v>30</v>
      </c>
      <c r="H1434" s="2">
        <f t="shared" ca="1" si="45"/>
        <v>93</v>
      </c>
      <c r="I1434" s="4">
        <v>46027</v>
      </c>
      <c r="J1434" s="4">
        <v>46057</v>
      </c>
      <c r="K1434" t="s">
        <v>1144</v>
      </c>
      <c r="L1434" t="s">
        <v>117</v>
      </c>
      <c r="M1434" t="s">
        <v>19</v>
      </c>
      <c r="N1434" t="s">
        <v>1163</v>
      </c>
      <c r="O1434">
        <v>30</v>
      </c>
    </row>
    <row r="1435" spans="1:15" hidden="1" x14ac:dyDescent="0.25">
      <c r="A1435" t="s">
        <v>2820</v>
      </c>
      <c r="B1435" t="s">
        <v>1161</v>
      </c>
      <c r="C1435" t="s">
        <v>1162</v>
      </c>
      <c r="D1435" t="s">
        <v>1118</v>
      </c>
      <c r="E1435" t="s">
        <v>3070</v>
      </c>
      <c r="F1435" s="3">
        <v>891803</v>
      </c>
      <c r="G1435" s="2">
        <f t="shared" si="44"/>
        <v>30</v>
      </c>
      <c r="H1435" s="2">
        <f t="shared" ca="1" si="45"/>
        <v>93</v>
      </c>
      <c r="I1435" s="4">
        <v>46027</v>
      </c>
      <c r="J1435" s="4">
        <v>46057</v>
      </c>
      <c r="K1435" t="s">
        <v>1144</v>
      </c>
      <c r="L1435" t="s">
        <v>47</v>
      </c>
      <c r="M1435" t="s">
        <v>19</v>
      </c>
      <c r="N1435" t="s">
        <v>1163</v>
      </c>
      <c r="O1435">
        <v>30</v>
      </c>
    </row>
    <row r="1436" spans="1:15" hidden="1" x14ac:dyDescent="0.25">
      <c r="A1436" t="s">
        <v>2820</v>
      </c>
      <c r="B1436" t="s">
        <v>1161</v>
      </c>
      <c r="C1436" t="s">
        <v>1162</v>
      </c>
      <c r="D1436" t="s">
        <v>1118</v>
      </c>
      <c r="E1436" t="s">
        <v>3071</v>
      </c>
      <c r="F1436" s="3">
        <v>243596</v>
      </c>
      <c r="G1436" s="2">
        <f t="shared" si="44"/>
        <v>30</v>
      </c>
      <c r="H1436" s="2">
        <f t="shared" ca="1" si="45"/>
        <v>93</v>
      </c>
      <c r="I1436" s="4">
        <v>46027</v>
      </c>
      <c r="J1436" s="4">
        <v>46057</v>
      </c>
      <c r="K1436" t="s">
        <v>1144</v>
      </c>
      <c r="L1436" t="s">
        <v>47</v>
      </c>
      <c r="M1436" t="s">
        <v>19</v>
      </c>
      <c r="N1436" t="s">
        <v>1163</v>
      </c>
      <c r="O1436">
        <v>30</v>
      </c>
    </row>
    <row r="1437" spans="1:15" hidden="1" x14ac:dyDescent="0.25">
      <c r="A1437" t="s">
        <v>2820</v>
      </c>
      <c r="B1437" t="s">
        <v>1483</v>
      </c>
      <c r="C1437" t="s">
        <v>1484</v>
      </c>
      <c r="D1437" t="s">
        <v>341</v>
      </c>
      <c r="E1437" t="s">
        <v>3131</v>
      </c>
      <c r="F1437" s="3">
        <v>2099197</v>
      </c>
      <c r="G1437" s="2">
        <f t="shared" si="44"/>
        <v>30</v>
      </c>
      <c r="H1437" s="2">
        <f t="shared" ca="1" si="45"/>
        <v>93</v>
      </c>
      <c r="I1437" s="4">
        <v>46027</v>
      </c>
      <c r="J1437" s="4">
        <v>46057</v>
      </c>
      <c r="K1437" t="s">
        <v>1470</v>
      </c>
      <c r="L1437" t="s">
        <v>981</v>
      </c>
      <c r="M1437" t="s">
        <v>19</v>
      </c>
      <c r="N1437" t="s">
        <v>1485</v>
      </c>
      <c r="O1437">
        <v>30</v>
      </c>
    </row>
    <row r="1438" spans="1:15" hidden="1" x14ac:dyDescent="0.25">
      <c r="A1438" t="s">
        <v>2820</v>
      </c>
      <c r="B1438" t="s">
        <v>1483</v>
      </c>
      <c r="C1438" t="s">
        <v>1484</v>
      </c>
      <c r="D1438" t="s">
        <v>341</v>
      </c>
      <c r="E1438" t="s">
        <v>3132</v>
      </c>
      <c r="F1438" s="3">
        <v>779184</v>
      </c>
      <c r="G1438" s="2">
        <f t="shared" si="44"/>
        <v>30</v>
      </c>
      <c r="H1438" s="2">
        <f t="shared" ca="1" si="45"/>
        <v>93</v>
      </c>
      <c r="I1438" s="4">
        <v>46027</v>
      </c>
      <c r="J1438" s="4">
        <v>46057</v>
      </c>
      <c r="K1438" t="s">
        <v>1470</v>
      </c>
      <c r="L1438" t="s">
        <v>981</v>
      </c>
      <c r="M1438" t="s">
        <v>19</v>
      </c>
      <c r="N1438" t="s">
        <v>1485</v>
      </c>
      <c r="O1438">
        <v>30</v>
      </c>
    </row>
    <row r="1439" spans="1:15" hidden="1" x14ac:dyDescent="0.25">
      <c r="A1439" t="s">
        <v>2820</v>
      </c>
      <c r="B1439" t="s">
        <v>2181</v>
      </c>
      <c r="C1439" t="s">
        <v>2182</v>
      </c>
      <c r="D1439" t="s">
        <v>341</v>
      </c>
      <c r="E1439" t="s">
        <v>3133</v>
      </c>
      <c r="F1439" s="3">
        <v>2858401</v>
      </c>
      <c r="G1439" s="2">
        <f t="shared" si="44"/>
        <v>30</v>
      </c>
      <c r="H1439" s="2">
        <f t="shared" ca="1" si="45"/>
        <v>93</v>
      </c>
      <c r="I1439" s="4">
        <v>46027</v>
      </c>
      <c r="J1439" s="4">
        <v>46057</v>
      </c>
      <c r="K1439" t="s">
        <v>1470</v>
      </c>
      <c r="L1439" t="s">
        <v>981</v>
      </c>
      <c r="M1439" t="s">
        <v>19</v>
      </c>
      <c r="N1439" t="s">
        <v>2184</v>
      </c>
      <c r="O1439">
        <v>30</v>
      </c>
    </row>
    <row r="1440" spans="1:15" hidden="1" x14ac:dyDescent="0.25">
      <c r="A1440" t="s">
        <v>2820</v>
      </c>
      <c r="B1440" t="s">
        <v>1741</v>
      </c>
      <c r="C1440" t="s">
        <v>1742</v>
      </c>
      <c r="D1440" t="s">
        <v>1740</v>
      </c>
      <c r="E1440" t="s">
        <v>3134</v>
      </c>
      <c r="F1440" s="3">
        <v>702976</v>
      </c>
      <c r="G1440" s="2">
        <f t="shared" si="44"/>
        <v>30</v>
      </c>
      <c r="H1440" s="2">
        <f t="shared" ca="1" si="45"/>
        <v>93</v>
      </c>
      <c r="I1440" s="4">
        <v>46027</v>
      </c>
      <c r="J1440" s="4">
        <v>46057</v>
      </c>
      <c r="K1440" t="s">
        <v>1470</v>
      </c>
      <c r="L1440" t="s">
        <v>981</v>
      </c>
      <c r="M1440" t="s">
        <v>19</v>
      </c>
      <c r="N1440" t="s">
        <v>1743</v>
      </c>
      <c r="O1440">
        <v>30</v>
      </c>
    </row>
    <row r="1441" spans="1:15" hidden="1" x14ac:dyDescent="0.25">
      <c r="A1441" t="s">
        <v>2820</v>
      </c>
      <c r="B1441" t="s">
        <v>1152</v>
      </c>
      <c r="C1441" t="s">
        <v>1153</v>
      </c>
      <c r="D1441" t="s">
        <v>1118</v>
      </c>
      <c r="E1441" t="s">
        <v>3135</v>
      </c>
      <c r="F1441" s="3">
        <v>5222566</v>
      </c>
      <c r="G1441" s="2">
        <f t="shared" si="44"/>
        <v>30</v>
      </c>
      <c r="H1441" s="2">
        <f t="shared" ca="1" si="45"/>
        <v>93</v>
      </c>
      <c r="I1441" s="4">
        <v>46027</v>
      </c>
      <c r="J1441" s="4">
        <v>46057</v>
      </c>
      <c r="K1441" t="s">
        <v>1528</v>
      </c>
      <c r="L1441" t="s">
        <v>207</v>
      </c>
      <c r="M1441" t="s">
        <v>19</v>
      </c>
      <c r="N1441" t="s">
        <v>1154</v>
      </c>
      <c r="O1441">
        <v>30</v>
      </c>
    </row>
    <row r="1442" spans="1:15" hidden="1" x14ac:dyDescent="0.25">
      <c r="A1442" t="s">
        <v>2820</v>
      </c>
      <c r="B1442" t="s">
        <v>1637</v>
      </c>
      <c r="C1442" t="s">
        <v>1638</v>
      </c>
      <c r="D1442" t="s">
        <v>1593</v>
      </c>
      <c r="E1442" t="s">
        <v>3185</v>
      </c>
      <c r="F1442" s="3">
        <v>3260080</v>
      </c>
      <c r="G1442" s="2">
        <f t="shared" si="44"/>
        <v>30</v>
      </c>
      <c r="H1442" s="2">
        <f t="shared" ca="1" si="45"/>
        <v>93</v>
      </c>
      <c r="I1442" s="4">
        <v>46027</v>
      </c>
      <c r="J1442" s="4">
        <v>46057</v>
      </c>
      <c r="K1442" t="s">
        <v>1589</v>
      </c>
      <c r="L1442" t="s">
        <v>984</v>
      </c>
      <c r="M1442" t="s">
        <v>19</v>
      </c>
      <c r="N1442" t="s">
        <v>1639</v>
      </c>
      <c r="O1442">
        <v>30</v>
      </c>
    </row>
    <row r="1443" spans="1:15" hidden="1" x14ac:dyDescent="0.25">
      <c r="A1443" t="s">
        <v>2820</v>
      </c>
      <c r="B1443" t="s">
        <v>1607</v>
      </c>
      <c r="C1443" t="s">
        <v>1608</v>
      </c>
      <c r="D1443" t="s">
        <v>1593</v>
      </c>
      <c r="E1443" t="s">
        <v>3186</v>
      </c>
      <c r="F1443" s="3">
        <v>258011</v>
      </c>
      <c r="G1443" s="2">
        <f t="shared" si="44"/>
        <v>30</v>
      </c>
      <c r="H1443" s="2">
        <f t="shared" ca="1" si="45"/>
        <v>93</v>
      </c>
      <c r="I1443" s="4">
        <v>46027</v>
      </c>
      <c r="J1443" s="4">
        <v>46057</v>
      </c>
      <c r="K1443" t="s">
        <v>1589</v>
      </c>
      <c r="L1443" t="s">
        <v>984</v>
      </c>
      <c r="M1443" t="s">
        <v>19</v>
      </c>
      <c r="N1443" t="s">
        <v>1609</v>
      </c>
      <c r="O1443">
        <v>30</v>
      </c>
    </row>
    <row r="1444" spans="1:15" hidden="1" x14ac:dyDescent="0.25">
      <c r="A1444" t="s">
        <v>2820</v>
      </c>
      <c r="B1444" t="s">
        <v>1658</v>
      </c>
      <c r="C1444" t="s">
        <v>1659</v>
      </c>
      <c r="D1444" t="s">
        <v>1593</v>
      </c>
      <c r="E1444" t="s">
        <v>3187</v>
      </c>
      <c r="F1444" s="3">
        <v>2272149</v>
      </c>
      <c r="G1444" s="2">
        <f t="shared" si="44"/>
        <v>30</v>
      </c>
      <c r="H1444" s="2">
        <f t="shared" ca="1" si="45"/>
        <v>93</v>
      </c>
      <c r="I1444" s="4">
        <v>46027</v>
      </c>
      <c r="J1444" s="4">
        <v>46057</v>
      </c>
      <c r="K1444" t="s">
        <v>1589</v>
      </c>
      <c r="L1444" t="s">
        <v>984</v>
      </c>
      <c r="M1444" t="s">
        <v>19</v>
      </c>
      <c r="N1444" t="s">
        <v>1660</v>
      </c>
      <c r="O1444">
        <v>30</v>
      </c>
    </row>
    <row r="1445" spans="1:15" hidden="1" x14ac:dyDescent="0.25">
      <c r="A1445" t="s">
        <v>2820</v>
      </c>
      <c r="B1445" t="s">
        <v>1658</v>
      </c>
      <c r="C1445" t="s">
        <v>1659</v>
      </c>
      <c r="D1445" t="s">
        <v>1593</v>
      </c>
      <c r="E1445" t="s">
        <v>3188</v>
      </c>
      <c r="F1445" s="3">
        <v>567000</v>
      </c>
      <c r="G1445" s="2">
        <f t="shared" si="44"/>
        <v>30</v>
      </c>
      <c r="H1445" s="2">
        <f t="shared" ca="1" si="45"/>
        <v>93</v>
      </c>
      <c r="I1445" s="4">
        <v>46027</v>
      </c>
      <c r="J1445" s="4">
        <v>46057</v>
      </c>
      <c r="K1445" t="s">
        <v>1589</v>
      </c>
      <c r="L1445" t="s">
        <v>984</v>
      </c>
      <c r="M1445" t="s">
        <v>19</v>
      </c>
      <c r="N1445" t="s">
        <v>1660</v>
      </c>
      <c r="O1445">
        <v>30</v>
      </c>
    </row>
    <row r="1446" spans="1:15" hidden="1" x14ac:dyDescent="0.25">
      <c r="A1446" t="s">
        <v>2820</v>
      </c>
      <c r="B1446" t="s">
        <v>1607</v>
      </c>
      <c r="C1446" t="s">
        <v>1608</v>
      </c>
      <c r="D1446" t="s">
        <v>1593</v>
      </c>
      <c r="E1446" t="s">
        <v>3189</v>
      </c>
      <c r="F1446" s="3">
        <v>2120000</v>
      </c>
      <c r="G1446" s="2">
        <f t="shared" si="44"/>
        <v>30</v>
      </c>
      <c r="H1446" s="2">
        <f t="shared" ca="1" si="45"/>
        <v>93</v>
      </c>
      <c r="I1446" s="4">
        <v>46027</v>
      </c>
      <c r="J1446" s="4">
        <v>46057</v>
      </c>
      <c r="K1446" t="s">
        <v>1589</v>
      </c>
      <c r="L1446" t="s">
        <v>984</v>
      </c>
      <c r="M1446" t="s">
        <v>19</v>
      </c>
      <c r="N1446" t="s">
        <v>1609</v>
      </c>
      <c r="O1446">
        <v>30</v>
      </c>
    </row>
    <row r="1447" spans="1:15" hidden="1" x14ac:dyDescent="0.25">
      <c r="A1447" t="s">
        <v>2820</v>
      </c>
      <c r="B1447" t="s">
        <v>1607</v>
      </c>
      <c r="C1447" t="s">
        <v>1608</v>
      </c>
      <c r="D1447" t="s">
        <v>1593</v>
      </c>
      <c r="E1447" t="s">
        <v>3190</v>
      </c>
      <c r="F1447" s="3">
        <v>3518180</v>
      </c>
      <c r="G1447" s="2">
        <f t="shared" si="44"/>
        <v>30</v>
      </c>
      <c r="H1447" s="2">
        <f t="shared" ca="1" si="45"/>
        <v>93</v>
      </c>
      <c r="I1447" s="4">
        <v>46027</v>
      </c>
      <c r="J1447" s="4">
        <v>46057</v>
      </c>
      <c r="K1447" t="s">
        <v>1589</v>
      </c>
      <c r="L1447" t="s">
        <v>984</v>
      </c>
      <c r="M1447" t="s">
        <v>19</v>
      </c>
      <c r="N1447" t="s">
        <v>1609</v>
      </c>
      <c r="O1447">
        <v>30</v>
      </c>
    </row>
    <row r="1448" spans="1:15" hidden="1" x14ac:dyDescent="0.25">
      <c r="A1448" t="s">
        <v>2820</v>
      </c>
      <c r="B1448" t="s">
        <v>1607</v>
      </c>
      <c r="C1448" t="s">
        <v>1608</v>
      </c>
      <c r="D1448" t="s">
        <v>1593</v>
      </c>
      <c r="E1448" t="s">
        <v>3191</v>
      </c>
      <c r="F1448" s="3">
        <v>204001</v>
      </c>
      <c r="G1448" s="2">
        <f t="shared" si="44"/>
        <v>30</v>
      </c>
      <c r="H1448" s="2">
        <f t="shared" ca="1" si="45"/>
        <v>93</v>
      </c>
      <c r="I1448" s="4">
        <v>46027</v>
      </c>
      <c r="J1448" s="4">
        <v>46057</v>
      </c>
      <c r="K1448" t="s">
        <v>1589</v>
      </c>
      <c r="L1448" t="s">
        <v>984</v>
      </c>
      <c r="M1448" t="s">
        <v>19</v>
      </c>
      <c r="N1448" t="s">
        <v>1609</v>
      </c>
      <c r="O1448">
        <v>30</v>
      </c>
    </row>
    <row r="1449" spans="1:15" hidden="1" x14ac:dyDescent="0.25">
      <c r="A1449" t="s">
        <v>2820</v>
      </c>
      <c r="B1449" t="s">
        <v>1637</v>
      </c>
      <c r="C1449" t="s">
        <v>1638</v>
      </c>
      <c r="D1449" t="s">
        <v>1593</v>
      </c>
      <c r="E1449" t="s">
        <v>3192</v>
      </c>
      <c r="F1449" s="3">
        <v>2304910</v>
      </c>
      <c r="G1449" s="2">
        <f t="shared" si="44"/>
        <v>30</v>
      </c>
      <c r="H1449" s="2">
        <f t="shared" ca="1" si="45"/>
        <v>93</v>
      </c>
      <c r="I1449" s="4">
        <v>46027</v>
      </c>
      <c r="J1449" s="4">
        <v>46057</v>
      </c>
      <c r="K1449" t="s">
        <v>1589</v>
      </c>
      <c r="L1449" t="s">
        <v>984</v>
      </c>
      <c r="M1449" t="s">
        <v>19</v>
      </c>
      <c r="N1449" t="s">
        <v>1639</v>
      </c>
      <c r="O1449">
        <v>30</v>
      </c>
    </row>
    <row r="1450" spans="1:15" hidden="1" x14ac:dyDescent="0.25">
      <c r="A1450" t="s">
        <v>2820</v>
      </c>
      <c r="B1450" t="s">
        <v>1698</v>
      </c>
      <c r="C1450" t="s">
        <v>1699</v>
      </c>
      <c r="D1450" t="s">
        <v>1700</v>
      </c>
      <c r="E1450" t="s">
        <v>3196</v>
      </c>
      <c r="F1450" s="3">
        <v>5780001</v>
      </c>
      <c r="G1450" s="2">
        <f t="shared" si="44"/>
        <v>30</v>
      </c>
      <c r="H1450" s="2">
        <f t="shared" ca="1" si="45"/>
        <v>93</v>
      </c>
      <c r="I1450" s="4">
        <v>46027</v>
      </c>
      <c r="J1450" s="4">
        <v>46057</v>
      </c>
      <c r="K1450" t="s">
        <v>1691</v>
      </c>
      <c r="L1450" t="s">
        <v>984</v>
      </c>
      <c r="M1450" t="s">
        <v>19</v>
      </c>
      <c r="N1450" t="s">
        <v>1701</v>
      </c>
      <c r="O1450">
        <v>30</v>
      </c>
    </row>
    <row r="1451" spans="1:15" hidden="1" x14ac:dyDescent="0.25">
      <c r="A1451" t="s">
        <v>2820</v>
      </c>
      <c r="B1451" t="s">
        <v>1698</v>
      </c>
      <c r="C1451" t="s">
        <v>1699</v>
      </c>
      <c r="D1451" t="s">
        <v>1700</v>
      </c>
      <c r="E1451" t="s">
        <v>3197</v>
      </c>
      <c r="F1451" s="3">
        <v>10102487</v>
      </c>
      <c r="G1451" s="2">
        <f t="shared" si="44"/>
        <v>30</v>
      </c>
      <c r="H1451" s="2">
        <f t="shared" ca="1" si="45"/>
        <v>93</v>
      </c>
      <c r="I1451" s="4">
        <v>46027</v>
      </c>
      <c r="J1451" s="4">
        <v>46057</v>
      </c>
      <c r="K1451" t="s">
        <v>1691</v>
      </c>
      <c r="L1451" t="s">
        <v>984</v>
      </c>
      <c r="M1451" t="s">
        <v>19</v>
      </c>
      <c r="N1451" t="s">
        <v>1701</v>
      </c>
      <c r="O1451">
        <v>30</v>
      </c>
    </row>
    <row r="1452" spans="1:15" hidden="1" x14ac:dyDescent="0.25">
      <c r="A1452" t="s">
        <v>2820</v>
      </c>
      <c r="B1452" t="s">
        <v>1702</v>
      </c>
      <c r="C1452" t="s">
        <v>1703</v>
      </c>
      <c r="D1452" t="s">
        <v>1689</v>
      </c>
      <c r="E1452" t="s">
        <v>3198</v>
      </c>
      <c r="F1452" s="3">
        <v>416400</v>
      </c>
      <c r="G1452" s="2">
        <f t="shared" si="44"/>
        <v>30</v>
      </c>
      <c r="H1452" s="2">
        <f t="shared" ca="1" si="45"/>
        <v>93</v>
      </c>
      <c r="I1452" s="4">
        <v>46027</v>
      </c>
      <c r="J1452" s="4">
        <v>46057</v>
      </c>
      <c r="K1452" t="s">
        <v>1691</v>
      </c>
      <c r="L1452" t="s">
        <v>984</v>
      </c>
      <c r="M1452" t="s">
        <v>19</v>
      </c>
      <c r="N1452" t="s">
        <v>1704</v>
      </c>
      <c r="O1452">
        <v>30</v>
      </c>
    </row>
    <row r="1453" spans="1:15" hidden="1" x14ac:dyDescent="0.25">
      <c r="A1453" t="s">
        <v>2820</v>
      </c>
      <c r="B1453" t="s">
        <v>1702</v>
      </c>
      <c r="C1453" t="s">
        <v>1703</v>
      </c>
      <c r="D1453" t="s">
        <v>1689</v>
      </c>
      <c r="E1453" t="s">
        <v>3199</v>
      </c>
      <c r="F1453" s="3">
        <v>1381140</v>
      </c>
      <c r="G1453" s="2">
        <f t="shared" si="44"/>
        <v>30</v>
      </c>
      <c r="H1453" s="2">
        <f t="shared" ca="1" si="45"/>
        <v>93</v>
      </c>
      <c r="I1453" s="4">
        <v>46027</v>
      </c>
      <c r="J1453" s="4">
        <v>46057</v>
      </c>
      <c r="K1453" t="s">
        <v>1691</v>
      </c>
      <c r="L1453" t="s">
        <v>984</v>
      </c>
      <c r="M1453" t="s">
        <v>19</v>
      </c>
      <c r="N1453" t="s">
        <v>1704</v>
      </c>
      <c r="O1453">
        <v>30</v>
      </c>
    </row>
    <row r="1454" spans="1:15" hidden="1" x14ac:dyDescent="0.25">
      <c r="A1454" t="s">
        <v>2820</v>
      </c>
      <c r="B1454" t="s">
        <v>1741</v>
      </c>
      <c r="C1454" t="s">
        <v>1742</v>
      </c>
      <c r="D1454" t="s">
        <v>1740</v>
      </c>
      <c r="E1454" t="s">
        <v>3204</v>
      </c>
      <c r="F1454" s="3">
        <v>1362308</v>
      </c>
      <c r="G1454" s="2">
        <f t="shared" si="44"/>
        <v>30</v>
      </c>
      <c r="H1454" s="2">
        <f t="shared" ca="1" si="45"/>
        <v>93</v>
      </c>
      <c r="I1454" s="4">
        <v>46027</v>
      </c>
      <c r="J1454" s="4">
        <v>46057</v>
      </c>
      <c r="K1454" t="s">
        <v>1738</v>
      </c>
      <c r="L1454" t="s">
        <v>981</v>
      </c>
      <c r="M1454" t="s">
        <v>19</v>
      </c>
      <c r="N1454" t="s">
        <v>1743</v>
      </c>
      <c r="O1454">
        <v>30</v>
      </c>
    </row>
    <row r="1455" spans="1:15" hidden="1" x14ac:dyDescent="0.25">
      <c r="A1455" t="s">
        <v>2820</v>
      </c>
      <c r="B1455" t="s">
        <v>1744</v>
      </c>
      <c r="C1455" t="s">
        <v>1745</v>
      </c>
      <c r="D1455" t="s">
        <v>1740</v>
      </c>
      <c r="E1455" t="s">
        <v>3205</v>
      </c>
      <c r="F1455" s="3">
        <v>578797</v>
      </c>
      <c r="G1455" s="2">
        <f t="shared" si="44"/>
        <v>30</v>
      </c>
      <c r="H1455" s="2">
        <f t="shared" ca="1" si="45"/>
        <v>93</v>
      </c>
      <c r="I1455" s="4">
        <v>46027</v>
      </c>
      <c r="J1455" s="4">
        <v>46057</v>
      </c>
      <c r="K1455" t="s">
        <v>1738</v>
      </c>
      <c r="L1455" t="s">
        <v>981</v>
      </c>
      <c r="M1455" t="s">
        <v>19</v>
      </c>
      <c r="N1455" t="s">
        <v>1746</v>
      </c>
      <c r="O1455">
        <v>30</v>
      </c>
    </row>
    <row r="1456" spans="1:15" hidden="1" x14ac:dyDescent="0.25">
      <c r="A1456" t="s">
        <v>2820</v>
      </c>
      <c r="B1456" t="s">
        <v>1744</v>
      </c>
      <c r="C1456" t="s">
        <v>1745</v>
      </c>
      <c r="D1456" t="s">
        <v>1740</v>
      </c>
      <c r="E1456" t="s">
        <v>3206</v>
      </c>
      <c r="F1456" s="3">
        <v>3383581</v>
      </c>
      <c r="G1456" s="2">
        <f t="shared" si="44"/>
        <v>30</v>
      </c>
      <c r="H1456" s="2">
        <f t="shared" ca="1" si="45"/>
        <v>93</v>
      </c>
      <c r="I1456" s="4">
        <v>46027</v>
      </c>
      <c r="J1456" s="4">
        <v>46057</v>
      </c>
      <c r="K1456" t="s">
        <v>1738</v>
      </c>
      <c r="L1456" t="s">
        <v>981</v>
      </c>
      <c r="M1456" t="s">
        <v>19</v>
      </c>
      <c r="N1456" t="s">
        <v>1746</v>
      </c>
      <c r="O1456">
        <v>30</v>
      </c>
    </row>
    <row r="1457" spans="1:15" hidden="1" x14ac:dyDescent="0.25">
      <c r="A1457" t="s">
        <v>2820</v>
      </c>
      <c r="B1457" t="s">
        <v>1845</v>
      </c>
      <c r="C1457" t="s">
        <v>1846</v>
      </c>
      <c r="D1457" t="s">
        <v>1847</v>
      </c>
      <c r="E1457" t="s">
        <v>3222</v>
      </c>
      <c r="F1457" s="3">
        <v>3279966</v>
      </c>
      <c r="G1457" s="2">
        <f t="shared" si="44"/>
        <v>30</v>
      </c>
      <c r="H1457" s="2">
        <f t="shared" ca="1" si="45"/>
        <v>93</v>
      </c>
      <c r="I1457" s="4">
        <v>46027</v>
      </c>
      <c r="J1457" s="4">
        <v>46057</v>
      </c>
      <c r="K1457" t="s">
        <v>1843</v>
      </c>
      <c r="L1457" t="s">
        <v>981</v>
      </c>
      <c r="M1457" t="s">
        <v>19</v>
      </c>
      <c r="N1457" t="s">
        <v>1848</v>
      </c>
      <c r="O1457">
        <v>30</v>
      </c>
    </row>
    <row r="1458" spans="1:15" hidden="1" x14ac:dyDescent="0.25">
      <c r="A1458" t="s">
        <v>2820</v>
      </c>
      <c r="B1458" t="s">
        <v>1889</v>
      </c>
      <c r="C1458" t="s">
        <v>1890</v>
      </c>
      <c r="D1458" t="s">
        <v>1891</v>
      </c>
      <c r="E1458" t="s">
        <v>3228</v>
      </c>
      <c r="F1458" s="3">
        <v>2454010</v>
      </c>
      <c r="G1458" s="2">
        <f t="shared" si="44"/>
        <v>30</v>
      </c>
      <c r="H1458" s="2">
        <f t="shared" ca="1" si="45"/>
        <v>93</v>
      </c>
      <c r="I1458" s="4">
        <v>46027</v>
      </c>
      <c r="J1458" s="4">
        <v>46057</v>
      </c>
      <c r="K1458" t="s">
        <v>1892</v>
      </c>
      <c r="L1458" t="s">
        <v>981</v>
      </c>
      <c r="M1458" t="s">
        <v>19</v>
      </c>
      <c r="N1458" t="s">
        <v>1893</v>
      </c>
      <c r="O1458">
        <v>30</v>
      </c>
    </row>
    <row r="1459" spans="1:15" hidden="1" x14ac:dyDescent="0.25">
      <c r="A1459" t="s">
        <v>2820</v>
      </c>
      <c r="B1459" t="s">
        <v>1845</v>
      </c>
      <c r="C1459" t="s">
        <v>1846</v>
      </c>
      <c r="D1459" t="s">
        <v>1847</v>
      </c>
      <c r="E1459" t="s">
        <v>3229</v>
      </c>
      <c r="F1459" s="3">
        <v>3862806</v>
      </c>
      <c r="G1459" s="2">
        <f t="shared" si="44"/>
        <v>30</v>
      </c>
      <c r="H1459" s="2">
        <f t="shared" ca="1" si="45"/>
        <v>93</v>
      </c>
      <c r="I1459" s="4">
        <v>46027</v>
      </c>
      <c r="J1459" s="4">
        <v>46057</v>
      </c>
      <c r="K1459" t="s">
        <v>1892</v>
      </c>
      <c r="L1459" t="s">
        <v>981</v>
      </c>
      <c r="M1459" t="s">
        <v>19</v>
      </c>
      <c r="N1459" t="s">
        <v>1848</v>
      </c>
      <c r="O1459">
        <v>30</v>
      </c>
    </row>
    <row r="1460" spans="1:15" hidden="1" x14ac:dyDescent="0.25">
      <c r="A1460" t="s">
        <v>2820</v>
      </c>
      <c r="B1460" t="s">
        <v>2698</v>
      </c>
      <c r="C1460" t="s">
        <v>2699</v>
      </c>
      <c r="D1460" t="s">
        <v>1722</v>
      </c>
      <c r="E1460" t="s">
        <v>2860</v>
      </c>
      <c r="F1460" s="3">
        <v>366388</v>
      </c>
      <c r="G1460" s="2">
        <f t="shared" si="44"/>
        <v>30</v>
      </c>
      <c r="H1460" s="2">
        <f t="shared" ca="1" si="45"/>
        <v>92</v>
      </c>
      <c r="I1460" s="4">
        <v>46028</v>
      </c>
      <c r="J1460" s="4">
        <v>46058</v>
      </c>
      <c r="K1460" t="s">
        <v>17</v>
      </c>
      <c r="L1460" t="s">
        <v>90</v>
      </c>
      <c r="M1460" t="s">
        <v>19</v>
      </c>
      <c r="N1460" t="s">
        <v>2701</v>
      </c>
      <c r="O1460">
        <v>0</v>
      </c>
    </row>
    <row r="1461" spans="1:15" hidden="1" x14ac:dyDescent="0.25">
      <c r="A1461" t="s">
        <v>2820</v>
      </c>
      <c r="B1461" t="s">
        <v>1719</v>
      </c>
      <c r="C1461" t="s">
        <v>1720</v>
      </c>
      <c r="D1461" t="s">
        <v>1705</v>
      </c>
      <c r="E1461" t="s">
        <v>2861</v>
      </c>
      <c r="F1461" s="3">
        <v>3392612</v>
      </c>
      <c r="G1461" s="2">
        <f t="shared" si="44"/>
        <v>30</v>
      </c>
      <c r="H1461" s="2">
        <f t="shared" ca="1" si="45"/>
        <v>92</v>
      </c>
      <c r="I1461" s="4">
        <v>46028</v>
      </c>
      <c r="J1461" s="4">
        <v>46058</v>
      </c>
      <c r="K1461" t="s">
        <v>17</v>
      </c>
      <c r="L1461" t="s">
        <v>90</v>
      </c>
      <c r="M1461" t="s">
        <v>19</v>
      </c>
      <c r="N1461" t="s">
        <v>1721</v>
      </c>
      <c r="O1461">
        <v>30</v>
      </c>
    </row>
    <row r="1462" spans="1:15" hidden="1" x14ac:dyDescent="0.25">
      <c r="A1462" t="s">
        <v>2820</v>
      </c>
      <c r="B1462" t="s">
        <v>67</v>
      </c>
      <c r="C1462" t="s">
        <v>68</v>
      </c>
      <c r="D1462" t="s">
        <v>15</v>
      </c>
      <c r="E1462" t="s">
        <v>2862</v>
      </c>
      <c r="F1462" s="3">
        <v>9370770</v>
      </c>
      <c r="G1462" s="2">
        <f t="shared" si="44"/>
        <v>30</v>
      </c>
      <c r="H1462" s="2">
        <f t="shared" ca="1" si="45"/>
        <v>92</v>
      </c>
      <c r="I1462" s="4">
        <v>46028</v>
      </c>
      <c r="J1462" s="4">
        <v>46058</v>
      </c>
      <c r="K1462" t="s">
        <v>17</v>
      </c>
      <c r="L1462" t="s">
        <v>32</v>
      </c>
      <c r="M1462" t="s">
        <v>19</v>
      </c>
      <c r="N1462" t="s">
        <v>69</v>
      </c>
      <c r="O1462">
        <v>30</v>
      </c>
    </row>
    <row r="1463" spans="1:15" hidden="1" x14ac:dyDescent="0.25">
      <c r="A1463" t="s">
        <v>2820</v>
      </c>
      <c r="B1463" t="s">
        <v>2073</v>
      </c>
      <c r="C1463" t="s">
        <v>2074</v>
      </c>
      <c r="D1463" t="s">
        <v>15</v>
      </c>
      <c r="E1463" t="s">
        <v>2863</v>
      </c>
      <c r="F1463" s="3">
        <v>2120000</v>
      </c>
      <c r="G1463" s="2">
        <f t="shared" si="44"/>
        <v>30</v>
      </c>
      <c r="H1463" s="2">
        <f t="shared" ca="1" si="45"/>
        <v>92</v>
      </c>
      <c r="I1463" s="4">
        <v>46028</v>
      </c>
      <c r="J1463" s="4">
        <v>46058</v>
      </c>
      <c r="K1463" t="s">
        <v>17</v>
      </c>
      <c r="L1463" t="s">
        <v>32</v>
      </c>
      <c r="M1463" t="s">
        <v>19</v>
      </c>
      <c r="N1463" t="s">
        <v>2075</v>
      </c>
      <c r="O1463">
        <v>30</v>
      </c>
    </row>
    <row r="1464" spans="1:15" hidden="1" x14ac:dyDescent="0.25">
      <c r="A1464" t="s">
        <v>2820</v>
      </c>
      <c r="B1464" t="s">
        <v>2073</v>
      </c>
      <c r="C1464" t="s">
        <v>2074</v>
      </c>
      <c r="D1464" t="s">
        <v>15</v>
      </c>
      <c r="E1464" t="s">
        <v>2864</v>
      </c>
      <c r="F1464" s="3">
        <v>1596600</v>
      </c>
      <c r="G1464" s="2">
        <f t="shared" si="44"/>
        <v>30</v>
      </c>
      <c r="H1464" s="2">
        <f t="shared" ca="1" si="45"/>
        <v>92</v>
      </c>
      <c r="I1464" s="4">
        <v>46028</v>
      </c>
      <c r="J1464" s="4">
        <v>46058</v>
      </c>
      <c r="K1464" t="s">
        <v>17</v>
      </c>
      <c r="L1464" t="s">
        <v>32</v>
      </c>
      <c r="M1464" t="s">
        <v>19</v>
      </c>
      <c r="N1464" t="s">
        <v>2075</v>
      </c>
      <c r="O1464">
        <v>30</v>
      </c>
    </row>
    <row r="1465" spans="1:15" hidden="1" x14ac:dyDescent="0.25">
      <c r="A1465" t="s">
        <v>2820</v>
      </c>
      <c r="B1465" t="s">
        <v>79</v>
      </c>
      <c r="C1465" t="s">
        <v>80</v>
      </c>
      <c r="D1465" t="s">
        <v>46</v>
      </c>
      <c r="E1465" t="s">
        <v>2865</v>
      </c>
      <c r="F1465" s="3">
        <v>2472700</v>
      </c>
      <c r="G1465" s="2">
        <f t="shared" si="44"/>
        <v>30</v>
      </c>
      <c r="H1465" s="2">
        <f t="shared" ca="1" si="45"/>
        <v>92</v>
      </c>
      <c r="I1465" s="4">
        <v>46028</v>
      </c>
      <c r="J1465" s="4">
        <v>46058</v>
      </c>
      <c r="K1465" t="s">
        <v>17</v>
      </c>
      <c r="L1465" t="s">
        <v>32</v>
      </c>
      <c r="M1465" t="s">
        <v>19</v>
      </c>
      <c r="N1465" t="s">
        <v>81</v>
      </c>
      <c r="O1465">
        <v>30</v>
      </c>
    </row>
    <row r="1466" spans="1:15" hidden="1" x14ac:dyDescent="0.25">
      <c r="A1466" t="s">
        <v>2820</v>
      </c>
      <c r="B1466" t="s">
        <v>79</v>
      </c>
      <c r="C1466" t="s">
        <v>80</v>
      </c>
      <c r="D1466" t="s">
        <v>46</v>
      </c>
      <c r="E1466" t="s">
        <v>2866</v>
      </c>
      <c r="F1466" s="3">
        <v>1228800</v>
      </c>
      <c r="G1466" s="2">
        <f t="shared" si="44"/>
        <v>30</v>
      </c>
      <c r="H1466" s="2">
        <f t="shared" ca="1" si="45"/>
        <v>92</v>
      </c>
      <c r="I1466" s="4">
        <v>46028</v>
      </c>
      <c r="J1466" s="4">
        <v>46058</v>
      </c>
      <c r="K1466" t="s">
        <v>17</v>
      </c>
      <c r="L1466" t="s">
        <v>32</v>
      </c>
      <c r="M1466" t="s">
        <v>19</v>
      </c>
      <c r="N1466" t="s">
        <v>81</v>
      </c>
      <c r="O1466">
        <v>30</v>
      </c>
    </row>
    <row r="1467" spans="1:15" hidden="1" x14ac:dyDescent="0.25">
      <c r="A1467" t="s">
        <v>2820</v>
      </c>
      <c r="B1467" t="s">
        <v>168</v>
      </c>
      <c r="C1467" t="s">
        <v>169</v>
      </c>
      <c r="D1467" t="s">
        <v>15</v>
      </c>
      <c r="E1467" t="s">
        <v>2867</v>
      </c>
      <c r="F1467" s="3">
        <v>247251</v>
      </c>
      <c r="G1467" s="2">
        <f t="shared" si="44"/>
        <v>30</v>
      </c>
      <c r="H1467" s="2">
        <f t="shared" ca="1" si="45"/>
        <v>92</v>
      </c>
      <c r="I1467" s="4">
        <v>46028</v>
      </c>
      <c r="J1467" s="4">
        <v>46058</v>
      </c>
      <c r="K1467" t="s">
        <v>17</v>
      </c>
      <c r="L1467" t="s">
        <v>32</v>
      </c>
      <c r="M1467" t="s">
        <v>19</v>
      </c>
      <c r="N1467" t="s">
        <v>170</v>
      </c>
      <c r="O1467">
        <v>30</v>
      </c>
    </row>
    <row r="1468" spans="1:15" hidden="1" x14ac:dyDescent="0.25">
      <c r="A1468" t="s">
        <v>2820</v>
      </c>
      <c r="B1468" t="s">
        <v>168</v>
      </c>
      <c r="C1468" t="s">
        <v>169</v>
      </c>
      <c r="D1468" t="s">
        <v>15</v>
      </c>
      <c r="E1468" t="s">
        <v>2868</v>
      </c>
      <c r="F1468" s="3">
        <v>6144000</v>
      </c>
      <c r="G1468" s="2">
        <f t="shared" si="44"/>
        <v>30</v>
      </c>
      <c r="H1468" s="2">
        <f t="shared" ca="1" si="45"/>
        <v>92</v>
      </c>
      <c r="I1468" s="4">
        <v>46028</v>
      </c>
      <c r="J1468" s="4">
        <v>46058</v>
      </c>
      <c r="K1468" t="s">
        <v>17</v>
      </c>
      <c r="L1468" t="s">
        <v>32</v>
      </c>
      <c r="M1468" t="s">
        <v>19</v>
      </c>
      <c r="N1468" t="s">
        <v>170</v>
      </c>
      <c r="O1468">
        <v>30</v>
      </c>
    </row>
    <row r="1469" spans="1:15" hidden="1" x14ac:dyDescent="0.25">
      <c r="A1469" t="s">
        <v>2820</v>
      </c>
      <c r="B1469" t="s">
        <v>82</v>
      </c>
      <c r="C1469" t="s">
        <v>83</v>
      </c>
      <c r="D1469" t="s">
        <v>15</v>
      </c>
      <c r="E1469" t="s">
        <v>2869</v>
      </c>
      <c r="F1469" s="3">
        <v>88793</v>
      </c>
      <c r="G1469" s="2">
        <f t="shared" si="44"/>
        <v>30</v>
      </c>
      <c r="H1469" s="2">
        <f t="shared" ca="1" si="45"/>
        <v>92</v>
      </c>
      <c r="I1469" s="4">
        <v>46028</v>
      </c>
      <c r="J1469" s="4">
        <v>46058</v>
      </c>
      <c r="K1469" t="s">
        <v>17</v>
      </c>
      <c r="L1469" t="s">
        <v>32</v>
      </c>
      <c r="M1469" t="s">
        <v>19</v>
      </c>
      <c r="N1469" t="s">
        <v>84</v>
      </c>
      <c r="O1469">
        <v>30</v>
      </c>
    </row>
    <row r="1470" spans="1:15" hidden="1" x14ac:dyDescent="0.25">
      <c r="A1470" t="s">
        <v>2820</v>
      </c>
      <c r="B1470" t="s">
        <v>44</v>
      </c>
      <c r="C1470" t="s">
        <v>45</v>
      </c>
      <c r="D1470" t="s">
        <v>46</v>
      </c>
      <c r="E1470" t="s">
        <v>2870</v>
      </c>
      <c r="F1470" s="3">
        <v>1218412</v>
      </c>
      <c r="G1470" s="2">
        <f t="shared" si="44"/>
        <v>30</v>
      </c>
      <c r="H1470" s="2">
        <f t="shared" ca="1" si="45"/>
        <v>92</v>
      </c>
      <c r="I1470" s="4">
        <v>46028</v>
      </c>
      <c r="J1470" s="4">
        <v>46058</v>
      </c>
      <c r="K1470" t="s">
        <v>17</v>
      </c>
      <c r="L1470" t="s">
        <v>32</v>
      </c>
      <c r="M1470" t="s">
        <v>19</v>
      </c>
      <c r="N1470" t="s">
        <v>48</v>
      </c>
      <c r="O1470">
        <v>30</v>
      </c>
    </row>
    <row r="1471" spans="1:15" hidden="1" x14ac:dyDescent="0.25">
      <c r="A1471" t="s">
        <v>2820</v>
      </c>
      <c r="B1471" t="s">
        <v>1994</v>
      </c>
      <c r="C1471" t="s">
        <v>1995</v>
      </c>
      <c r="D1471" t="s">
        <v>15</v>
      </c>
      <c r="E1471" t="s">
        <v>2871</v>
      </c>
      <c r="F1471" s="3">
        <v>2142112</v>
      </c>
      <c r="G1471" s="2">
        <f t="shared" si="44"/>
        <v>30</v>
      </c>
      <c r="H1471" s="2">
        <f t="shared" ca="1" si="45"/>
        <v>92</v>
      </c>
      <c r="I1471" s="4">
        <v>46028</v>
      </c>
      <c r="J1471" s="4">
        <v>46058</v>
      </c>
      <c r="K1471" t="s">
        <v>17</v>
      </c>
      <c r="L1471" t="s">
        <v>32</v>
      </c>
      <c r="M1471" t="s">
        <v>19</v>
      </c>
      <c r="N1471" t="s">
        <v>142</v>
      </c>
      <c r="O1471">
        <v>30</v>
      </c>
    </row>
    <row r="1472" spans="1:15" hidden="1" x14ac:dyDescent="0.25">
      <c r="A1472" t="s">
        <v>2820</v>
      </c>
      <c r="B1472" t="s">
        <v>133</v>
      </c>
      <c r="C1472" t="s">
        <v>134</v>
      </c>
      <c r="D1472" t="s">
        <v>15</v>
      </c>
      <c r="E1472" t="s">
        <v>2872</v>
      </c>
      <c r="F1472" s="3">
        <v>847146</v>
      </c>
      <c r="G1472" s="2">
        <f t="shared" si="44"/>
        <v>30</v>
      </c>
      <c r="H1472" s="2">
        <f t="shared" ca="1" si="45"/>
        <v>92</v>
      </c>
      <c r="I1472" s="4">
        <v>46028</v>
      </c>
      <c r="J1472" s="4">
        <v>46058</v>
      </c>
      <c r="K1472" t="s">
        <v>17</v>
      </c>
      <c r="L1472" t="s">
        <v>32</v>
      </c>
      <c r="M1472" t="s">
        <v>19</v>
      </c>
      <c r="N1472" t="s">
        <v>135</v>
      </c>
      <c r="O1472">
        <v>30</v>
      </c>
    </row>
    <row r="1473" spans="1:15" hidden="1" x14ac:dyDescent="0.25">
      <c r="A1473" t="s">
        <v>2820</v>
      </c>
      <c r="B1473" t="s">
        <v>76</v>
      </c>
      <c r="C1473" t="s">
        <v>77</v>
      </c>
      <c r="D1473" t="s">
        <v>46</v>
      </c>
      <c r="E1473" t="s">
        <v>2873</v>
      </c>
      <c r="F1473" s="3">
        <v>96004</v>
      </c>
      <c r="G1473" s="2">
        <f t="shared" si="44"/>
        <v>30</v>
      </c>
      <c r="H1473" s="2">
        <f t="shared" ca="1" si="45"/>
        <v>92</v>
      </c>
      <c r="I1473" s="4">
        <v>46028</v>
      </c>
      <c r="J1473" s="4">
        <v>46058</v>
      </c>
      <c r="K1473" t="s">
        <v>17</v>
      </c>
      <c r="L1473" t="s">
        <v>32</v>
      </c>
      <c r="M1473" t="s">
        <v>19</v>
      </c>
      <c r="N1473" t="s">
        <v>78</v>
      </c>
      <c r="O1473">
        <v>30</v>
      </c>
    </row>
    <row r="1474" spans="1:15" hidden="1" x14ac:dyDescent="0.25">
      <c r="A1474" t="s">
        <v>2820</v>
      </c>
      <c r="B1474" t="s">
        <v>333</v>
      </c>
      <c r="C1474" t="s">
        <v>334</v>
      </c>
      <c r="D1474" t="s">
        <v>15</v>
      </c>
      <c r="E1474" t="s">
        <v>2927</v>
      </c>
      <c r="F1474" s="3">
        <v>565624</v>
      </c>
      <c r="G1474" s="2">
        <f t="shared" ref="G1474:G1537" si="46">+J1474-I1474</f>
        <v>15</v>
      </c>
      <c r="H1474" s="2">
        <f t="shared" ref="H1474:H1537" ca="1" si="47">+TODAY()-I1474</f>
        <v>92</v>
      </c>
      <c r="I1474" s="4">
        <v>46028</v>
      </c>
      <c r="J1474" s="4">
        <v>46043</v>
      </c>
      <c r="K1474" t="s">
        <v>17</v>
      </c>
      <c r="L1474" t="s">
        <v>317</v>
      </c>
      <c r="M1474" t="s">
        <v>19</v>
      </c>
      <c r="N1474" t="s">
        <v>335</v>
      </c>
      <c r="O1474">
        <v>15</v>
      </c>
    </row>
    <row r="1475" spans="1:15" hidden="1" x14ac:dyDescent="0.25">
      <c r="A1475" t="s">
        <v>2820</v>
      </c>
      <c r="B1475" t="s">
        <v>720</v>
      </c>
      <c r="C1475" t="s">
        <v>721</v>
      </c>
      <c r="D1475" t="s">
        <v>666</v>
      </c>
      <c r="E1475" t="s">
        <v>2958</v>
      </c>
      <c r="F1475" s="3">
        <v>1795593</v>
      </c>
      <c r="G1475" s="2">
        <f t="shared" si="46"/>
        <v>30</v>
      </c>
      <c r="H1475" s="2">
        <f t="shared" ca="1" si="47"/>
        <v>92</v>
      </c>
      <c r="I1475" s="4">
        <v>46028</v>
      </c>
      <c r="J1475" s="4">
        <v>46058</v>
      </c>
      <c r="K1475" t="s">
        <v>716</v>
      </c>
      <c r="L1475" t="s">
        <v>47</v>
      </c>
      <c r="M1475" t="s">
        <v>19</v>
      </c>
      <c r="N1475" t="s">
        <v>722</v>
      </c>
      <c r="O1475">
        <v>30</v>
      </c>
    </row>
    <row r="1476" spans="1:15" hidden="1" x14ac:dyDescent="0.25">
      <c r="A1476" t="s">
        <v>2820</v>
      </c>
      <c r="B1476" t="s">
        <v>720</v>
      </c>
      <c r="C1476" t="s">
        <v>721</v>
      </c>
      <c r="D1476" t="s">
        <v>666</v>
      </c>
      <c r="E1476" t="s">
        <v>2959</v>
      </c>
      <c r="F1476" s="3">
        <v>4737600</v>
      </c>
      <c r="G1476" s="2">
        <f t="shared" si="46"/>
        <v>30</v>
      </c>
      <c r="H1476" s="2">
        <f t="shared" ca="1" si="47"/>
        <v>92</v>
      </c>
      <c r="I1476" s="4">
        <v>46028</v>
      </c>
      <c r="J1476" s="4">
        <v>46058</v>
      </c>
      <c r="K1476" t="s">
        <v>716</v>
      </c>
      <c r="L1476" t="s">
        <v>18</v>
      </c>
      <c r="M1476" t="s">
        <v>19</v>
      </c>
      <c r="N1476" t="s">
        <v>722</v>
      </c>
      <c r="O1476">
        <v>30</v>
      </c>
    </row>
    <row r="1477" spans="1:15" hidden="1" x14ac:dyDescent="0.25">
      <c r="A1477" t="s">
        <v>2820</v>
      </c>
      <c r="B1477" t="s">
        <v>720</v>
      </c>
      <c r="C1477" t="s">
        <v>721</v>
      </c>
      <c r="D1477" t="s">
        <v>666</v>
      </c>
      <c r="E1477" t="s">
        <v>2960</v>
      </c>
      <c r="F1477" s="3">
        <v>3392499</v>
      </c>
      <c r="G1477" s="2">
        <f t="shared" si="46"/>
        <v>30</v>
      </c>
      <c r="H1477" s="2">
        <f t="shared" ca="1" si="47"/>
        <v>92</v>
      </c>
      <c r="I1477" s="4">
        <v>46028</v>
      </c>
      <c r="J1477" s="4">
        <v>46058</v>
      </c>
      <c r="K1477" t="s">
        <v>716</v>
      </c>
      <c r="L1477" t="s">
        <v>18</v>
      </c>
      <c r="M1477" t="s">
        <v>19</v>
      </c>
      <c r="N1477" t="s">
        <v>722</v>
      </c>
      <c r="O1477">
        <v>30</v>
      </c>
    </row>
    <row r="1478" spans="1:15" hidden="1" x14ac:dyDescent="0.25">
      <c r="A1478" t="s">
        <v>2820</v>
      </c>
      <c r="B1478" t="s">
        <v>720</v>
      </c>
      <c r="C1478" t="s">
        <v>721</v>
      </c>
      <c r="D1478" t="s">
        <v>666</v>
      </c>
      <c r="E1478" t="s">
        <v>2961</v>
      </c>
      <c r="F1478" s="3">
        <v>1511731</v>
      </c>
      <c r="G1478" s="2">
        <f t="shared" si="46"/>
        <v>30</v>
      </c>
      <c r="H1478" s="2">
        <f t="shared" ca="1" si="47"/>
        <v>92</v>
      </c>
      <c r="I1478" s="4">
        <v>46028</v>
      </c>
      <c r="J1478" s="4">
        <v>46058</v>
      </c>
      <c r="K1478" t="s">
        <v>716</v>
      </c>
      <c r="L1478" t="s">
        <v>117</v>
      </c>
      <c r="M1478" t="s">
        <v>19</v>
      </c>
      <c r="N1478" t="s">
        <v>722</v>
      </c>
      <c r="O1478">
        <v>30</v>
      </c>
    </row>
    <row r="1479" spans="1:15" hidden="1" x14ac:dyDescent="0.25">
      <c r="A1479" t="s">
        <v>2820</v>
      </c>
      <c r="B1479" t="s">
        <v>2017</v>
      </c>
      <c r="C1479" t="s">
        <v>2018</v>
      </c>
      <c r="D1479" t="s">
        <v>2016</v>
      </c>
      <c r="E1479" t="s">
        <v>2966</v>
      </c>
      <c r="F1479" s="3">
        <v>2651166</v>
      </c>
      <c r="G1479" s="2">
        <f t="shared" si="46"/>
        <v>30</v>
      </c>
      <c r="H1479" s="2">
        <f t="shared" ca="1" si="47"/>
        <v>92</v>
      </c>
      <c r="I1479" s="4">
        <v>46028</v>
      </c>
      <c r="J1479" s="4">
        <v>46058</v>
      </c>
      <c r="K1479" t="s">
        <v>766</v>
      </c>
      <c r="L1479" t="s">
        <v>18</v>
      </c>
      <c r="M1479" t="s">
        <v>19</v>
      </c>
      <c r="N1479" t="s">
        <v>2019</v>
      </c>
      <c r="O1479">
        <v>30</v>
      </c>
    </row>
    <row r="1480" spans="1:15" hidden="1" x14ac:dyDescent="0.25">
      <c r="A1480" t="s">
        <v>2820</v>
      </c>
      <c r="B1480" t="s">
        <v>2017</v>
      </c>
      <c r="C1480" t="s">
        <v>2018</v>
      </c>
      <c r="D1480" t="s">
        <v>2016</v>
      </c>
      <c r="E1480" t="s">
        <v>2967</v>
      </c>
      <c r="F1480" s="3">
        <v>1955245</v>
      </c>
      <c r="G1480" s="2">
        <f t="shared" si="46"/>
        <v>30</v>
      </c>
      <c r="H1480" s="2">
        <f t="shared" ca="1" si="47"/>
        <v>92</v>
      </c>
      <c r="I1480" s="4">
        <v>46028</v>
      </c>
      <c r="J1480" s="4">
        <v>46058</v>
      </c>
      <c r="K1480" t="s">
        <v>766</v>
      </c>
      <c r="L1480" t="s">
        <v>18</v>
      </c>
      <c r="M1480" t="s">
        <v>19</v>
      </c>
      <c r="N1480" t="s">
        <v>2019</v>
      </c>
      <c r="O1480">
        <v>30</v>
      </c>
    </row>
    <row r="1481" spans="1:15" hidden="1" x14ac:dyDescent="0.25">
      <c r="A1481" t="s">
        <v>2820</v>
      </c>
      <c r="B1481" t="s">
        <v>2017</v>
      </c>
      <c r="C1481" t="s">
        <v>2018</v>
      </c>
      <c r="D1481" t="s">
        <v>2016</v>
      </c>
      <c r="E1481" t="s">
        <v>2968</v>
      </c>
      <c r="F1481" s="3">
        <v>1503200</v>
      </c>
      <c r="G1481" s="2">
        <f t="shared" si="46"/>
        <v>30</v>
      </c>
      <c r="H1481" s="2">
        <f t="shared" ca="1" si="47"/>
        <v>92</v>
      </c>
      <c r="I1481" s="4">
        <v>46028</v>
      </c>
      <c r="J1481" s="4">
        <v>46058</v>
      </c>
      <c r="K1481" t="s">
        <v>766</v>
      </c>
      <c r="L1481" t="s">
        <v>18</v>
      </c>
      <c r="M1481" t="s">
        <v>19</v>
      </c>
      <c r="N1481" t="s">
        <v>2019</v>
      </c>
      <c r="O1481">
        <v>30</v>
      </c>
    </row>
    <row r="1482" spans="1:15" hidden="1" x14ac:dyDescent="0.25">
      <c r="A1482" t="s">
        <v>2820</v>
      </c>
      <c r="B1482" t="s">
        <v>2017</v>
      </c>
      <c r="C1482" t="s">
        <v>2018</v>
      </c>
      <c r="D1482" t="s">
        <v>2016</v>
      </c>
      <c r="E1482" t="s">
        <v>2969</v>
      </c>
      <c r="F1482" s="3">
        <v>3943021</v>
      </c>
      <c r="G1482" s="2">
        <f t="shared" si="46"/>
        <v>30</v>
      </c>
      <c r="H1482" s="2">
        <f t="shared" ca="1" si="47"/>
        <v>92</v>
      </c>
      <c r="I1482" s="4">
        <v>46028</v>
      </c>
      <c r="J1482" s="4">
        <v>46058</v>
      </c>
      <c r="K1482" t="s">
        <v>766</v>
      </c>
      <c r="L1482" t="s">
        <v>18</v>
      </c>
      <c r="M1482" t="s">
        <v>19</v>
      </c>
      <c r="N1482" t="s">
        <v>2019</v>
      </c>
      <c r="O1482">
        <v>30</v>
      </c>
    </row>
    <row r="1483" spans="1:15" hidden="1" x14ac:dyDescent="0.25">
      <c r="A1483" t="s">
        <v>2820</v>
      </c>
      <c r="B1483" t="s">
        <v>835</v>
      </c>
      <c r="C1483" t="s">
        <v>836</v>
      </c>
      <c r="D1483" t="s">
        <v>837</v>
      </c>
      <c r="E1483" t="s">
        <v>2970</v>
      </c>
      <c r="F1483" s="3">
        <v>553248</v>
      </c>
      <c r="G1483" s="2">
        <f t="shared" si="46"/>
        <v>1</v>
      </c>
      <c r="H1483" s="2">
        <f t="shared" ca="1" si="47"/>
        <v>92</v>
      </c>
      <c r="I1483" s="4">
        <v>46028</v>
      </c>
      <c r="J1483" s="4">
        <v>46029</v>
      </c>
      <c r="K1483" t="s">
        <v>839</v>
      </c>
      <c r="L1483" t="s">
        <v>18</v>
      </c>
      <c r="M1483" t="s">
        <v>19</v>
      </c>
      <c r="N1483" t="s">
        <v>840</v>
      </c>
      <c r="O1483">
        <v>30</v>
      </c>
    </row>
    <row r="1484" spans="1:15" hidden="1" x14ac:dyDescent="0.25">
      <c r="A1484" t="s">
        <v>2820</v>
      </c>
      <c r="B1484" t="s">
        <v>835</v>
      </c>
      <c r="C1484" t="s">
        <v>836</v>
      </c>
      <c r="D1484" t="s">
        <v>837</v>
      </c>
      <c r="E1484" t="s">
        <v>2971</v>
      </c>
      <c r="F1484" s="3">
        <v>1066853</v>
      </c>
      <c r="G1484" s="2">
        <f t="shared" si="46"/>
        <v>1</v>
      </c>
      <c r="H1484" s="2">
        <f t="shared" ca="1" si="47"/>
        <v>92</v>
      </c>
      <c r="I1484" s="4">
        <v>46028</v>
      </c>
      <c r="J1484" s="4">
        <v>46029</v>
      </c>
      <c r="K1484" t="s">
        <v>839</v>
      </c>
      <c r="L1484" t="s">
        <v>18</v>
      </c>
      <c r="M1484" t="s">
        <v>19</v>
      </c>
      <c r="N1484" t="s">
        <v>840</v>
      </c>
      <c r="O1484">
        <v>30</v>
      </c>
    </row>
    <row r="1485" spans="1:15" hidden="1" x14ac:dyDescent="0.25">
      <c r="A1485" t="s">
        <v>2820</v>
      </c>
      <c r="B1485" t="s">
        <v>934</v>
      </c>
      <c r="C1485" t="s">
        <v>935</v>
      </c>
      <c r="D1485" t="s">
        <v>930</v>
      </c>
      <c r="E1485" t="s">
        <v>2993</v>
      </c>
      <c r="F1485" s="3">
        <v>1569607</v>
      </c>
      <c r="G1485" s="2">
        <f t="shared" si="46"/>
        <v>30</v>
      </c>
      <c r="H1485" s="2">
        <f t="shared" ca="1" si="47"/>
        <v>92</v>
      </c>
      <c r="I1485" s="4">
        <v>46028</v>
      </c>
      <c r="J1485" s="4">
        <v>46058</v>
      </c>
      <c r="K1485" t="s">
        <v>918</v>
      </c>
      <c r="L1485" t="s">
        <v>312</v>
      </c>
      <c r="M1485" t="s">
        <v>19</v>
      </c>
      <c r="N1485" t="s">
        <v>936</v>
      </c>
      <c r="O1485">
        <v>30</v>
      </c>
    </row>
    <row r="1486" spans="1:15" hidden="1" x14ac:dyDescent="0.25">
      <c r="A1486" t="s">
        <v>2820</v>
      </c>
      <c r="B1486" t="s">
        <v>955</v>
      </c>
      <c r="C1486" t="s">
        <v>956</v>
      </c>
      <c r="D1486" t="s">
        <v>916</v>
      </c>
      <c r="E1486" t="s">
        <v>2994</v>
      </c>
      <c r="F1486" s="3">
        <v>386174</v>
      </c>
      <c r="G1486" s="2">
        <f t="shared" si="46"/>
        <v>30</v>
      </c>
      <c r="H1486" s="2">
        <f t="shared" ca="1" si="47"/>
        <v>92</v>
      </c>
      <c r="I1486" s="4">
        <v>46028</v>
      </c>
      <c r="J1486" s="4">
        <v>46058</v>
      </c>
      <c r="K1486" t="s">
        <v>918</v>
      </c>
      <c r="L1486" t="s">
        <v>312</v>
      </c>
      <c r="M1486" t="s">
        <v>19</v>
      </c>
      <c r="N1486" t="s">
        <v>957</v>
      </c>
      <c r="O1486">
        <v>30</v>
      </c>
    </row>
    <row r="1487" spans="1:15" hidden="1" x14ac:dyDescent="0.25">
      <c r="A1487" t="s">
        <v>2820</v>
      </c>
      <c r="B1487" t="s">
        <v>946</v>
      </c>
      <c r="C1487" t="s">
        <v>947</v>
      </c>
      <c r="D1487" t="s">
        <v>916</v>
      </c>
      <c r="E1487" t="s">
        <v>2995</v>
      </c>
      <c r="F1487" s="3">
        <v>115068</v>
      </c>
      <c r="G1487" s="2">
        <f t="shared" si="46"/>
        <v>15</v>
      </c>
      <c r="H1487" s="2">
        <f t="shared" ca="1" si="47"/>
        <v>92</v>
      </c>
      <c r="I1487" s="4">
        <v>46028</v>
      </c>
      <c r="J1487" s="4">
        <v>46043</v>
      </c>
      <c r="K1487" t="s">
        <v>918</v>
      </c>
      <c r="L1487" t="s">
        <v>312</v>
      </c>
      <c r="M1487" t="s">
        <v>19</v>
      </c>
      <c r="N1487" t="s">
        <v>948</v>
      </c>
      <c r="O1487">
        <v>30</v>
      </c>
    </row>
    <row r="1488" spans="1:15" hidden="1" x14ac:dyDescent="0.25">
      <c r="A1488" t="s">
        <v>2820</v>
      </c>
      <c r="B1488" t="s">
        <v>946</v>
      </c>
      <c r="C1488" t="s">
        <v>947</v>
      </c>
      <c r="D1488" t="s">
        <v>916</v>
      </c>
      <c r="E1488" t="s">
        <v>2996</v>
      </c>
      <c r="F1488" s="3">
        <v>120137</v>
      </c>
      <c r="G1488" s="2">
        <f t="shared" si="46"/>
        <v>15</v>
      </c>
      <c r="H1488" s="2">
        <f t="shared" ca="1" si="47"/>
        <v>92</v>
      </c>
      <c r="I1488" s="4">
        <v>46028</v>
      </c>
      <c r="J1488" s="4">
        <v>46043</v>
      </c>
      <c r="K1488" t="s">
        <v>918</v>
      </c>
      <c r="L1488" t="s">
        <v>312</v>
      </c>
      <c r="M1488" t="s">
        <v>19</v>
      </c>
      <c r="N1488" t="s">
        <v>948</v>
      </c>
      <c r="O1488">
        <v>30</v>
      </c>
    </row>
    <row r="1489" spans="1:15" hidden="1" x14ac:dyDescent="0.25">
      <c r="A1489" t="s">
        <v>2820</v>
      </c>
      <c r="B1489" t="s">
        <v>958</v>
      </c>
      <c r="C1489" t="s">
        <v>959</v>
      </c>
      <c r="D1489" t="s">
        <v>916</v>
      </c>
      <c r="E1489" t="s">
        <v>2997</v>
      </c>
      <c r="F1489" s="3">
        <v>120630</v>
      </c>
      <c r="G1489" s="2">
        <f t="shared" si="46"/>
        <v>15</v>
      </c>
      <c r="H1489" s="2">
        <f t="shared" ca="1" si="47"/>
        <v>92</v>
      </c>
      <c r="I1489" s="4">
        <v>46028</v>
      </c>
      <c r="J1489" s="4">
        <v>46043</v>
      </c>
      <c r="K1489" t="s">
        <v>918</v>
      </c>
      <c r="L1489" t="s">
        <v>312</v>
      </c>
      <c r="M1489" t="s">
        <v>19</v>
      </c>
      <c r="N1489" t="s">
        <v>960</v>
      </c>
      <c r="O1489">
        <v>30</v>
      </c>
    </row>
    <row r="1490" spans="1:15" hidden="1" x14ac:dyDescent="0.25">
      <c r="A1490" t="s">
        <v>2820</v>
      </c>
      <c r="B1490" t="s">
        <v>931</v>
      </c>
      <c r="C1490" t="s">
        <v>932</v>
      </c>
      <c r="D1490" t="s">
        <v>916</v>
      </c>
      <c r="E1490" t="s">
        <v>2998</v>
      </c>
      <c r="F1490" s="3">
        <v>666589</v>
      </c>
      <c r="G1490" s="2">
        <f t="shared" si="46"/>
        <v>30</v>
      </c>
      <c r="H1490" s="2">
        <f t="shared" ca="1" si="47"/>
        <v>92</v>
      </c>
      <c r="I1490" s="4">
        <v>46028</v>
      </c>
      <c r="J1490" s="4">
        <v>46058</v>
      </c>
      <c r="K1490" t="s">
        <v>918</v>
      </c>
      <c r="L1490" t="s">
        <v>312</v>
      </c>
      <c r="M1490" t="s">
        <v>19</v>
      </c>
      <c r="N1490" t="s">
        <v>933</v>
      </c>
      <c r="O1490">
        <v>30</v>
      </c>
    </row>
    <row r="1491" spans="1:15" hidden="1" x14ac:dyDescent="0.25">
      <c r="A1491" t="s">
        <v>2820</v>
      </c>
      <c r="B1491" t="s">
        <v>943</v>
      </c>
      <c r="C1491" t="s">
        <v>944</v>
      </c>
      <c r="D1491" t="s">
        <v>930</v>
      </c>
      <c r="E1491" t="s">
        <v>2999</v>
      </c>
      <c r="F1491" s="3">
        <v>330768</v>
      </c>
      <c r="G1491" s="2">
        <f t="shared" si="46"/>
        <v>30</v>
      </c>
      <c r="H1491" s="2">
        <f t="shared" ca="1" si="47"/>
        <v>92</v>
      </c>
      <c r="I1491" s="4">
        <v>46028</v>
      </c>
      <c r="J1491" s="4">
        <v>46058</v>
      </c>
      <c r="K1491" t="s">
        <v>918</v>
      </c>
      <c r="L1491" t="s">
        <v>312</v>
      </c>
      <c r="M1491" t="s">
        <v>19</v>
      </c>
      <c r="N1491" t="s">
        <v>945</v>
      </c>
      <c r="O1491">
        <v>30</v>
      </c>
    </row>
    <row r="1492" spans="1:15" hidden="1" x14ac:dyDescent="0.25">
      <c r="A1492" t="s">
        <v>2820</v>
      </c>
      <c r="B1492" t="s">
        <v>943</v>
      </c>
      <c r="C1492" t="s">
        <v>944</v>
      </c>
      <c r="D1492" t="s">
        <v>930</v>
      </c>
      <c r="E1492" t="s">
        <v>3000</v>
      </c>
      <c r="F1492" s="3">
        <v>790600</v>
      </c>
      <c r="G1492" s="2">
        <f t="shared" si="46"/>
        <v>30</v>
      </c>
      <c r="H1492" s="2">
        <f t="shared" ca="1" si="47"/>
        <v>92</v>
      </c>
      <c r="I1492" s="4">
        <v>46028</v>
      </c>
      <c r="J1492" s="4">
        <v>46058</v>
      </c>
      <c r="K1492" t="s">
        <v>918</v>
      </c>
      <c r="L1492" t="s">
        <v>312</v>
      </c>
      <c r="M1492" t="s">
        <v>19</v>
      </c>
      <c r="N1492" t="s">
        <v>945</v>
      </c>
      <c r="O1492">
        <v>30</v>
      </c>
    </row>
    <row r="1493" spans="1:15" hidden="1" x14ac:dyDescent="0.25">
      <c r="A1493" t="s">
        <v>2820</v>
      </c>
      <c r="B1493" t="s">
        <v>958</v>
      </c>
      <c r="C1493" t="s">
        <v>959</v>
      </c>
      <c r="D1493" t="s">
        <v>916</v>
      </c>
      <c r="E1493" t="s">
        <v>3001</v>
      </c>
      <c r="F1493" s="3">
        <v>377240</v>
      </c>
      <c r="G1493" s="2">
        <f t="shared" si="46"/>
        <v>30</v>
      </c>
      <c r="H1493" s="2">
        <f t="shared" ca="1" si="47"/>
        <v>92</v>
      </c>
      <c r="I1493" s="4">
        <v>46028</v>
      </c>
      <c r="J1493" s="4">
        <v>46058</v>
      </c>
      <c r="K1493" t="s">
        <v>918</v>
      </c>
      <c r="L1493" t="s">
        <v>312</v>
      </c>
      <c r="M1493" t="s">
        <v>19</v>
      </c>
      <c r="N1493" t="s">
        <v>960</v>
      </c>
      <c r="O1493">
        <v>30</v>
      </c>
    </row>
    <row r="1494" spans="1:15" hidden="1" x14ac:dyDescent="0.25">
      <c r="A1494" t="s">
        <v>2820</v>
      </c>
      <c r="B1494" t="s">
        <v>934</v>
      </c>
      <c r="C1494" t="s">
        <v>935</v>
      </c>
      <c r="D1494" t="s">
        <v>930</v>
      </c>
      <c r="E1494" t="s">
        <v>3002</v>
      </c>
      <c r="F1494" s="3">
        <v>220048</v>
      </c>
      <c r="G1494" s="2">
        <f t="shared" si="46"/>
        <v>30</v>
      </c>
      <c r="H1494" s="2">
        <f t="shared" ca="1" si="47"/>
        <v>92</v>
      </c>
      <c r="I1494" s="4">
        <v>46028</v>
      </c>
      <c r="J1494" s="4">
        <v>46058</v>
      </c>
      <c r="K1494" t="s">
        <v>918</v>
      </c>
      <c r="L1494" t="s">
        <v>312</v>
      </c>
      <c r="M1494" t="s">
        <v>19</v>
      </c>
      <c r="N1494" t="s">
        <v>936</v>
      </c>
      <c r="O1494">
        <v>30</v>
      </c>
    </row>
    <row r="1495" spans="1:15" hidden="1" x14ac:dyDescent="0.25">
      <c r="A1495" t="s">
        <v>2820</v>
      </c>
      <c r="B1495" t="s">
        <v>958</v>
      </c>
      <c r="C1495" t="s">
        <v>959</v>
      </c>
      <c r="D1495" t="s">
        <v>916</v>
      </c>
      <c r="E1495" t="s">
        <v>3003</v>
      </c>
      <c r="F1495" s="3">
        <v>327198</v>
      </c>
      <c r="G1495" s="2">
        <f t="shared" si="46"/>
        <v>30</v>
      </c>
      <c r="H1495" s="2">
        <f t="shared" ca="1" si="47"/>
        <v>92</v>
      </c>
      <c r="I1495" s="4">
        <v>46028</v>
      </c>
      <c r="J1495" s="4">
        <v>46058</v>
      </c>
      <c r="K1495" t="s">
        <v>918</v>
      </c>
      <c r="L1495" t="s">
        <v>312</v>
      </c>
      <c r="M1495" t="s">
        <v>19</v>
      </c>
      <c r="N1495" t="s">
        <v>960</v>
      </c>
      <c r="O1495">
        <v>30</v>
      </c>
    </row>
    <row r="1496" spans="1:15" hidden="1" x14ac:dyDescent="0.25">
      <c r="A1496" t="s">
        <v>2820</v>
      </c>
      <c r="B1496" t="s">
        <v>964</v>
      </c>
      <c r="C1496" t="s">
        <v>965</v>
      </c>
      <c r="D1496" t="s">
        <v>916</v>
      </c>
      <c r="E1496" t="s">
        <v>3004</v>
      </c>
      <c r="F1496" s="3">
        <v>137479</v>
      </c>
      <c r="G1496" s="2">
        <f t="shared" si="46"/>
        <v>15</v>
      </c>
      <c r="H1496" s="2">
        <f t="shared" ca="1" si="47"/>
        <v>92</v>
      </c>
      <c r="I1496" s="4">
        <v>46028</v>
      </c>
      <c r="J1496" s="4">
        <v>46043</v>
      </c>
      <c r="K1496" t="s">
        <v>918</v>
      </c>
      <c r="L1496" t="s">
        <v>312</v>
      </c>
      <c r="M1496" t="s">
        <v>19</v>
      </c>
      <c r="N1496" t="s">
        <v>966</v>
      </c>
      <c r="O1496">
        <v>30</v>
      </c>
    </row>
    <row r="1497" spans="1:15" hidden="1" x14ac:dyDescent="0.25">
      <c r="A1497" t="s">
        <v>2820</v>
      </c>
      <c r="B1497" t="s">
        <v>964</v>
      </c>
      <c r="C1497" t="s">
        <v>965</v>
      </c>
      <c r="D1497" t="s">
        <v>916</v>
      </c>
      <c r="E1497" t="s">
        <v>3005</v>
      </c>
      <c r="F1497" s="3">
        <v>125296</v>
      </c>
      <c r="G1497" s="2">
        <f t="shared" si="46"/>
        <v>15</v>
      </c>
      <c r="H1497" s="2">
        <f t="shared" ca="1" si="47"/>
        <v>92</v>
      </c>
      <c r="I1497" s="4">
        <v>46028</v>
      </c>
      <c r="J1497" s="4">
        <v>46043</v>
      </c>
      <c r="K1497" t="s">
        <v>918</v>
      </c>
      <c r="L1497" t="s">
        <v>312</v>
      </c>
      <c r="M1497" t="s">
        <v>19</v>
      </c>
      <c r="N1497" t="s">
        <v>966</v>
      </c>
      <c r="O1497">
        <v>30</v>
      </c>
    </row>
    <row r="1498" spans="1:15" hidden="1" x14ac:dyDescent="0.25">
      <c r="A1498" t="s">
        <v>2820</v>
      </c>
      <c r="B1498" t="s">
        <v>2069</v>
      </c>
      <c r="C1498" t="s">
        <v>2070</v>
      </c>
      <c r="D1498" t="s">
        <v>916</v>
      </c>
      <c r="E1498" t="s">
        <v>3006</v>
      </c>
      <c r="F1498" s="3">
        <v>309578</v>
      </c>
      <c r="G1498" s="2">
        <f t="shared" si="46"/>
        <v>15</v>
      </c>
      <c r="H1498" s="2">
        <f t="shared" ca="1" si="47"/>
        <v>92</v>
      </c>
      <c r="I1498" s="4">
        <v>46028</v>
      </c>
      <c r="J1498" s="4">
        <v>46043</v>
      </c>
      <c r="K1498" t="s">
        <v>918</v>
      </c>
      <c r="L1498" t="s">
        <v>312</v>
      </c>
      <c r="M1498" t="s">
        <v>19</v>
      </c>
      <c r="N1498" t="s">
        <v>2071</v>
      </c>
      <c r="O1498">
        <v>30</v>
      </c>
    </row>
    <row r="1499" spans="1:15" hidden="1" x14ac:dyDescent="0.25">
      <c r="A1499" t="s">
        <v>2820</v>
      </c>
      <c r="B1499" t="s">
        <v>937</v>
      </c>
      <c r="C1499" t="s">
        <v>938</v>
      </c>
      <c r="D1499" t="s">
        <v>930</v>
      </c>
      <c r="E1499" t="s">
        <v>3007</v>
      </c>
      <c r="F1499" s="3">
        <v>820058</v>
      </c>
      <c r="G1499" s="2">
        <f t="shared" si="46"/>
        <v>30</v>
      </c>
      <c r="H1499" s="2">
        <f t="shared" ca="1" si="47"/>
        <v>92</v>
      </c>
      <c r="I1499" s="4">
        <v>46028</v>
      </c>
      <c r="J1499" s="4">
        <v>46058</v>
      </c>
      <c r="K1499" t="s">
        <v>918</v>
      </c>
      <c r="L1499" t="s">
        <v>312</v>
      </c>
      <c r="M1499" t="s">
        <v>19</v>
      </c>
      <c r="N1499" t="s">
        <v>939</v>
      </c>
      <c r="O1499">
        <v>30</v>
      </c>
    </row>
    <row r="1500" spans="1:15" hidden="1" x14ac:dyDescent="0.25">
      <c r="A1500" t="s">
        <v>2820</v>
      </c>
      <c r="B1500" t="s">
        <v>1910</v>
      </c>
      <c r="C1500" t="s">
        <v>1911</v>
      </c>
      <c r="D1500" t="s">
        <v>916</v>
      </c>
      <c r="E1500" t="s">
        <v>3008</v>
      </c>
      <c r="F1500" s="3">
        <v>247683</v>
      </c>
      <c r="G1500" s="2">
        <f t="shared" si="46"/>
        <v>30</v>
      </c>
      <c r="H1500" s="2">
        <f t="shared" ca="1" si="47"/>
        <v>92</v>
      </c>
      <c r="I1500" s="4">
        <v>46028</v>
      </c>
      <c r="J1500" s="4">
        <v>46058</v>
      </c>
      <c r="K1500" t="s">
        <v>918</v>
      </c>
      <c r="L1500" t="s">
        <v>312</v>
      </c>
      <c r="M1500" t="s">
        <v>19</v>
      </c>
      <c r="N1500" t="s">
        <v>1912</v>
      </c>
      <c r="O1500">
        <v>30</v>
      </c>
    </row>
    <row r="1501" spans="1:15" hidden="1" x14ac:dyDescent="0.25">
      <c r="A1501" t="s">
        <v>2820</v>
      </c>
      <c r="B1501" t="s">
        <v>940</v>
      </c>
      <c r="C1501" t="s">
        <v>941</v>
      </c>
      <c r="D1501" t="s">
        <v>930</v>
      </c>
      <c r="E1501" t="s">
        <v>3009</v>
      </c>
      <c r="F1501" s="3">
        <v>1166062</v>
      </c>
      <c r="G1501" s="2">
        <f t="shared" si="46"/>
        <v>30</v>
      </c>
      <c r="H1501" s="2">
        <f t="shared" ca="1" si="47"/>
        <v>92</v>
      </c>
      <c r="I1501" s="4">
        <v>46028</v>
      </c>
      <c r="J1501" s="4">
        <v>46058</v>
      </c>
      <c r="K1501" t="s">
        <v>918</v>
      </c>
      <c r="L1501" t="s">
        <v>312</v>
      </c>
      <c r="M1501" t="s">
        <v>19</v>
      </c>
      <c r="N1501" t="s">
        <v>942</v>
      </c>
      <c r="O1501">
        <v>30</v>
      </c>
    </row>
    <row r="1502" spans="1:15" hidden="1" x14ac:dyDescent="0.25">
      <c r="A1502" t="s">
        <v>2820</v>
      </c>
      <c r="B1502" t="s">
        <v>934</v>
      </c>
      <c r="C1502" t="s">
        <v>935</v>
      </c>
      <c r="D1502" t="s">
        <v>930</v>
      </c>
      <c r="E1502" t="s">
        <v>3010</v>
      </c>
      <c r="F1502" s="3">
        <v>810000</v>
      </c>
      <c r="G1502" s="2">
        <f t="shared" si="46"/>
        <v>30</v>
      </c>
      <c r="H1502" s="2">
        <f t="shared" ca="1" si="47"/>
        <v>92</v>
      </c>
      <c r="I1502" s="4">
        <v>46028</v>
      </c>
      <c r="J1502" s="4">
        <v>46058</v>
      </c>
      <c r="K1502" t="s">
        <v>918</v>
      </c>
      <c r="L1502" t="s">
        <v>312</v>
      </c>
      <c r="M1502" t="s">
        <v>19</v>
      </c>
      <c r="N1502" t="s">
        <v>936</v>
      </c>
      <c r="O1502">
        <v>30</v>
      </c>
    </row>
    <row r="1503" spans="1:15" hidden="1" x14ac:dyDescent="0.25">
      <c r="A1503" t="s">
        <v>2820</v>
      </c>
      <c r="B1503" t="s">
        <v>1095</v>
      </c>
      <c r="C1503" t="s">
        <v>1096</v>
      </c>
      <c r="D1503" t="s">
        <v>320</v>
      </c>
      <c r="E1503" t="s">
        <v>3021</v>
      </c>
      <c r="F1503" s="3">
        <v>3148739</v>
      </c>
      <c r="G1503" s="2">
        <f t="shared" si="46"/>
        <v>30</v>
      </c>
      <c r="H1503" s="2">
        <f t="shared" ca="1" si="47"/>
        <v>92</v>
      </c>
      <c r="I1503" s="4">
        <v>46028</v>
      </c>
      <c r="J1503" s="4">
        <v>46058</v>
      </c>
      <c r="K1503" t="s">
        <v>1068</v>
      </c>
      <c r="L1503" t="s">
        <v>207</v>
      </c>
      <c r="M1503" t="s">
        <v>19</v>
      </c>
      <c r="N1503" t="s">
        <v>1097</v>
      </c>
      <c r="O1503">
        <v>30</v>
      </c>
    </row>
    <row r="1504" spans="1:15" hidden="1" x14ac:dyDescent="0.25">
      <c r="A1504" t="s">
        <v>2820</v>
      </c>
      <c r="B1504" t="s">
        <v>1098</v>
      </c>
      <c r="C1504" t="s">
        <v>1099</v>
      </c>
      <c r="D1504" t="s">
        <v>1066</v>
      </c>
      <c r="E1504" t="s">
        <v>3022</v>
      </c>
      <c r="F1504" s="3">
        <v>1585290</v>
      </c>
      <c r="G1504" s="2">
        <f t="shared" si="46"/>
        <v>30</v>
      </c>
      <c r="H1504" s="2">
        <f t="shared" ca="1" si="47"/>
        <v>92</v>
      </c>
      <c r="I1504" s="4">
        <v>46028</v>
      </c>
      <c r="J1504" s="4">
        <v>46058</v>
      </c>
      <c r="K1504" t="s">
        <v>1068</v>
      </c>
      <c r="L1504" t="s">
        <v>207</v>
      </c>
      <c r="M1504" t="s">
        <v>19</v>
      </c>
      <c r="N1504" t="s">
        <v>1100</v>
      </c>
      <c r="O1504">
        <v>30</v>
      </c>
    </row>
    <row r="1505" spans="1:15" hidden="1" x14ac:dyDescent="0.25">
      <c r="A1505" t="s">
        <v>2820</v>
      </c>
      <c r="B1505" t="s">
        <v>1115</v>
      </c>
      <c r="C1505" t="s">
        <v>1116</v>
      </c>
      <c r="D1505" t="s">
        <v>320</v>
      </c>
      <c r="E1505" t="s">
        <v>3023</v>
      </c>
      <c r="F1505" s="3">
        <v>4017307</v>
      </c>
      <c r="G1505" s="2">
        <f t="shared" si="46"/>
        <v>30</v>
      </c>
      <c r="H1505" s="2">
        <f t="shared" ca="1" si="47"/>
        <v>92</v>
      </c>
      <c r="I1505" s="4">
        <v>46028</v>
      </c>
      <c r="J1505" s="4">
        <v>46058</v>
      </c>
      <c r="K1505" t="s">
        <v>1068</v>
      </c>
      <c r="L1505" t="s">
        <v>207</v>
      </c>
      <c r="M1505" t="s">
        <v>19</v>
      </c>
      <c r="N1505" t="s">
        <v>1117</v>
      </c>
      <c r="O1505">
        <v>30</v>
      </c>
    </row>
    <row r="1506" spans="1:15" hidden="1" x14ac:dyDescent="0.25">
      <c r="A1506" t="s">
        <v>2820</v>
      </c>
      <c r="B1506" t="s">
        <v>1110</v>
      </c>
      <c r="C1506" t="s">
        <v>1111</v>
      </c>
      <c r="D1506" t="s">
        <v>320</v>
      </c>
      <c r="E1506" t="s">
        <v>3024</v>
      </c>
      <c r="F1506" s="3">
        <v>823046</v>
      </c>
      <c r="G1506" s="2">
        <f t="shared" si="46"/>
        <v>30</v>
      </c>
      <c r="H1506" s="2">
        <f t="shared" ca="1" si="47"/>
        <v>92</v>
      </c>
      <c r="I1506" s="4">
        <v>46028</v>
      </c>
      <c r="J1506" s="4">
        <v>46058</v>
      </c>
      <c r="K1506" t="s">
        <v>1068</v>
      </c>
      <c r="L1506" t="s">
        <v>207</v>
      </c>
      <c r="M1506" t="s">
        <v>19</v>
      </c>
      <c r="N1506" t="s">
        <v>149</v>
      </c>
      <c r="O1506">
        <v>30</v>
      </c>
    </row>
    <row r="1507" spans="1:15" hidden="1" x14ac:dyDescent="0.25">
      <c r="A1507" t="s">
        <v>2820</v>
      </c>
      <c r="B1507" t="s">
        <v>1110</v>
      </c>
      <c r="C1507" t="s">
        <v>1111</v>
      </c>
      <c r="D1507" t="s">
        <v>320</v>
      </c>
      <c r="E1507" t="s">
        <v>3025</v>
      </c>
      <c r="F1507" s="3">
        <v>1147920</v>
      </c>
      <c r="G1507" s="2">
        <f t="shared" si="46"/>
        <v>30</v>
      </c>
      <c r="H1507" s="2">
        <f t="shared" ca="1" si="47"/>
        <v>92</v>
      </c>
      <c r="I1507" s="4">
        <v>46028</v>
      </c>
      <c r="J1507" s="4">
        <v>46058</v>
      </c>
      <c r="K1507" t="s">
        <v>1068</v>
      </c>
      <c r="L1507" t="s">
        <v>207</v>
      </c>
      <c r="M1507" t="s">
        <v>19</v>
      </c>
      <c r="N1507" t="s">
        <v>149</v>
      </c>
      <c r="O1507">
        <v>30</v>
      </c>
    </row>
    <row r="1508" spans="1:15" hidden="1" x14ac:dyDescent="0.25">
      <c r="A1508" t="s">
        <v>2820</v>
      </c>
      <c r="B1508" t="s">
        <v>1104</v>
      </c>
      <c r="C1508" t="s">
        <v>1105</v>
      </c>
      <c r="D1508" t="s">
        <v>1066</v>
      </c>
      <c r="E1508" t="s">
        <v>3041</v>
      </c>
      <c r="F1508" s="3">
        <v>1770312</v>
      </c>
      <c r="G1508" s="2">
        <f t="shared" si="46"/>
        <v>15</v>
      </c>
      <c r="H1508" s="2">
        <f t="shared" ca="1" si="47"/>
        <v>92</v>
      </c>
      <c r="I1508" s="4">
        <v>46028</v>
      </c>
      <c r="J1508" s="4">
        <v>46043</v>
      </c>
      <c r="K1508" t="s">
        <v>1068</v>
      </c>
      <c r="L1508" t="s">
        <v>321</v>
      </c>
      <c r="M1508" t="s">
        <v>19</v>
      </c>
      <c r="N1508" t="s">
        <v>1106</v>
      </c>
      <c r="O1508">
        <v>30</v>
      </c>
    </row>
    <row r="1509" spans="1:15" hidden="1" x14ac:dyDescent="0.25">
      <c r="A1509" t="s">
        <v>2820</v>
      </c>
      <c r="B1509" t="s">
        <v>1185</v>
      </c>
      <c r="C1509" t="s">
        <v>1186</v>
      </c>
      <c r="D1509" t="s">
        <v>1181</v>
      </c>
      <c r="E1509" t="s">
        <v>3072</v>
      </c>
      <c r="F1509" s="3">
        <v>2694000</v>
      </c>
      <c r="G1509" s="2">
        <f t="shared" si="46"/>
        <v>30</v>
      </c>
      <c r="H1509" s="2">
        <f t="shared" ca="1" si="47"/>
        <v>92</v>
      </c>
      <c r="I1509" s="4">
        <v>46028</v>
      </c>
      <c r="J1509" s="4">
        <v>46058</v>
      </c>
      <c r="K1509" t="s">
        <v>1183</v>
      </c>
      <c r="L1509" t="s">
        <v>984</v>
      </c>
      <c r="M1509" t="s">
        <v>19</v>
      </c>
      <c r="N1509" t="s">
        <v>1187</v>
      </c>
      <c r="O1509">
        <v>30</v>
      </c>
    </row>
    <row r="1510" spans="1:15" hidden="1" x14ac:dyDescent="0.25">
      <c r="A1510" t="s">
        <v>2820</v>
      </c>
      <c r="B1510" t="s">
        <v>1185</v>
      </c>
      <c r="C1510" t="s">
        <v>1186</v>
      </c>
      <c r="D1510" t="s">
        <v>1181</v>
      </c>
      <c r="E1510" t="s">
        <v>3073</v>
      </c>
      <c r="F1510" s="3">
        <v>3420780</v>
      </c>
      <c r="G1510" s="2">
        <f t="shared" si="46"/>
        <v>30</v>
      </c>
      <c r="H1510" s="2">
        <f t="shared" ca="1" si="47"/>
        <v>92</v>
      </c>
      <c r="I1510" s="4">
        <v>46028</v>
      </c>
      <c r="J1510" s="4">
        <v>46058</v>
      </c>
      <c r="K1510" t="s">
        <v>1183</v>
      </c>
      <c r="L1510" t="s">
        <v>984</v>
      </c>
      <c r="M1510" t="s">
        <v>19</v>
      </c>
      <c r="N1510" t="s">
        <v>1187</v>
      </c>
      <c r="O1510">
        <v>30</v>
      </c>
    </row>
    <row r="1511" spans="1:15" hidden="1" x14ac:dyDescent="0.25">
      <c r="A1511" t="s">
        <v>2820</v>
      </c>
      <c r="B1511" t="s">
        <v>2322</v>
      </c>
      <c r="C1511" t="s">
        <v>2323</v>
      </c>
      <c r="D1511" t="s">
        <v>1181</v>
      </c>
      <c r="E1511" t="s">
        <v>3074</v>
      </c>
      <c r="F1511" s="3">
        <v>757044</v>
      </c>
      <c r="G1511" s="2">
        <f t="shared" si="46"/>
        <v>30</v>
      </c>
      <c r="H1511" s="2">
        <f t="shared" ca="1" si="47"/>
        <v>92</v>
      </c>
      <c r="I1511" s="4">
        <v>46028</v>
      </c>
      <c r="J1511" s="4">
        <v>46058</v>
      </c>
      <c r="K1511" t="s">
        <v>1183</v>
      </c>
      <c r="L1511" t="s">
        <v>984</v>
      </c>
      <c r="M1511" t="s">
        <v>19</v>
      </c>
      <c r="N1511" t="s">
        <v>2325</v>
      </c>
      <c r="O1511">
        <v>30</v>
      </c>
    </row>
    <row r="1512" spans="1:15" hidden="1" x14ac:dyDescent="0.25">
      <c r="A1512" t="s">
        <v>2820</v>
      </c>
      <c r="B1512" t="s">
        <v>2322</v>
      </c>
      <c r="C1512" t="s">
        <v>2323</v>
      </c>
      <c r="D1512" t="s">
        <v>1181</v>
      </c>
      <c r="E1512" t="s">
        <v>3075</v>
      </c>
      <c r="F1512" s="3">
        <v>2531843</v>
      </c>
      <c r="G1512" s="2">
        <f t="shared" si="46"/>
        <v>30</v>
      </c>
      <c r="H1512" s="2">
        <f t="shared" ca="1" si="47"/>
        <v>92</v>
      </c>
      <c r="I1512" s="4">
        <v>46028</v>
      </c>
      <c r="J1512" s="4">
        <v>46058</v>
      </c>
      <c r="K1512" t="s">
        <v>1183</v>
      </c>
      <c r="L1512" t="s">
        <v>984</v>
      </c>
      <c r="M1512" t="s">
        <v>19</v>
      </c>
      <c r="N1512" t="s">
        <v>2325</v>
      </c>
      <c r="O1512">
        <v>30</v>
      </c>
    </row>
    <row r="1513" spans="1:15" hidden="1" x14ac:dyDescent="0.25">
      <c r="A1513" t="s">
        <v>2820</v>
      </c>
      <c r="B1513" t="s">
        <v>1192</v>
      </c>
      <c r="C1513" t="s">
        <v>1193</v>
      </c>
      <c r="D1513" t="s">
        <v>1181</v>
      </c>
      <c r="E1513" t="s">
        <v>3076</v>
      </c>
      <c r="F1513" s="3">
        <v>573449</v>
      </c>
      <c r="G1513" s="2">
        <f t="shared" si="46"/>
        <v>30</v>
      </c>
      <c r="H1513" s="2">
        <f t="shared" ca="1" si="47"/>
        <v>92</v>
      </c>
      <c r="I1513" s="4">
        <v>46028</v>
      </c>
      <c r="J1513" s="4">
        <v>46058</v>
      </c>
      <c r="K1513" t="s">
        <v>1183</v>
      </c>
      <c r="L1513" t="s">
        <v>984</v>
      </c>
      <c r="M1513" t="s">
        <v>19</v>
      </c>
      <c r="N1513" t="s">
        <v>1194</v>
      </c>
      <c r="O1513">
        <v>30</v>
      </c>
    </row>
    <row r="1514" spans="1:15" hidden="1" x14ac:dyDescent="0.25">
      <c r="A1514" t="s">
        <v>2820</v>
      </c>
      <c r="B1514" t="s">
        <v>1561</v>
      </c>
      <c r="C1514" t="s">
        <v>1562</v>
      </c>
      <c r="D1514" t="s">
        <v>1563</v>
      </c>
      <c r="E1514" t="s">
        <v>3146</v>
      </c>
      <c r="F1514" s="3">
        <v>1661884</v>
      </c>
      <c r="G1514" s="2">
        <f t="shared" si="46"/>
        <v>30</v>
      </c>
      <c r="H1514" s="2">
        <f t="shared" ca="1" si="47"/>
        <v>92</v>
      </c>
      <c r="I1514" s="4">
        <v>46028</v>
      </c>
      <c r="J1514" s="4">
        <v>46058</v>
      </c>
      <c r="K1514" t="s">
        <v>1564</v>
      </c>
      <c r="L1514" t="s">
        <v>984</v>
      </c>
      <c r="M1514" t="s">
        <v>19</v>
      </c>
      <c r="N1514" t="s">
        <v>1565</v>
      </c>
      <c r="O1514">
        <v>30</v>
      </c>
    </row>
    <row r="1515" spans="1:15" hidden="1" x14ac:dyDescent="0.25">
      <c r="A1515" t="s">
        <v>2820</v>
      </c>
      <c r="B1515" t="s">
        <v>1572</v>
      </c>
      <c r="C1515" t="s">
        <v>1573</v>
      </c>
      <c r="D1515" t="s">
        <v>1563</v>
      </c>
      <c r="E1515" t="s">
        <v>3147</v>
      </c>
      <c r="F1515" s="3">
        <v>380550</v>
      </c>
      <c r="G1515" s="2">
        <f t="shared" si="46"/>
        <v>30</v>
      </c>
      <c r="H1515" s="2">
        <f t="shared" ca="1" si="47"/>
        <v>92</v>
      </c>
      <c r="I1515" s="4">
        <v>46028</v>
      </c>
      <c r="J1515" s="4">
        <v>46058</v>
      </c>
      <c r="K1515" t="s">
        <v>1564</v>
      </c>
      <c r="L1515" t="s">
        <v>984</v>
      </c>
      <c r="M1515" t="s">
        <v>19</v>
      </c>
      <c r="N1515" t="s">
        <v>1574</v>
      </c>
      <c r="O1515">
        <v>30</v>
      </c>
    </row>
    <row r="1516" spans="1:15" hidden="1" x14ac:dyDescent="0.25">
      <c r="A1516" t="s">
        <v>2820</v>
      </c>
      <c r="B1516" t="s">
        <v>1575</v>
      </c>
      <c r="C1516" t="s">
        <v>1576</v>
      </c>
      <c r="D1516" t="s">
        <v>1563</v>
      </c>
      <c r="E1516" t="s">
        <v>3148</v>
      </c>
      <c r="F1516" s="3">
        <v>4858195</v>
      </c>
      <c r="G1516" s="2">
        <f t="shared" si="46"/>
        <v>30</v>
      </c>
      <c r="H1516" s="2">
        <f t="shared" ca="1" si="47"/>
        <v>92</v>
      </c>
      <c r="I1516" s="4">
        <v>46028</v>
      </c>
      <c r="J1516" s="4">
        <v>46058</v>
      </c>
      <c r="K1516" t="s">
        <v>1564</v>
      </c>
      <c r="L1516" t="s">
        <v>984</v>
      </c>
      <c r="M1516" t="s">
        <v>19</v>
      </c>
      <c r="N1516" t="s">
        <v>1577</v>
      </c>
      <c r="O1516">
        <v>30</v>
      </c>
    </row>
    <row r="1517" spans="1:15" hidden="1" x14ac:dyDescent="0.25">
      <c r="A1517" t="s">
        <v>2820</v>
      </c>
      <c r="B1517" t="s">
        <v>1940</v>
      </c>
      <c r="C1517" t="s">
        <v>1941</v>
      </c>
      <c r="D1517" t="s">
        <v>1563</v>
      </c>
      <c r="E1517" t="s">
        <v>3149</v>
      </c>
      <c r="F1517" s="3">
        <v>3272609</v>
      </c>
      <c r="G1517" s="2">
        <f t="shared" si="46"/>
        <v>30</v>
      </c>
      <c r="H1517" s="2">
        <f t="shared" ca="1" si="47"/>
        <v>92</v>
      </c>
      <c r="I1517" s="4">
        <v>46028</v>
      </c>
      <c r="J1517" s="4">
        <v>46058</v>
      </c>
      <c r="K1517" t="s">
        <v>1564</v>
      </c>
      <c r="L1517" t="s">
        <v>984</v>
      </c>
      <c r="M1517" t="s">
        <v>19</v>
      </c>
      <c r="N1517" t="s">
        <v>1942</v>
      </c>
      <c r="O1517">
        <v>30</v>
      </c>
    </row>
    <row r="1518" spans="1:15" hidden="1" x14ac:dyDescent="0.25">
      <c r="A1518" t="s">
        <v>2820</v>
      </c>
      <c r="B1518" t="s">
        <v>1578</v>
      </c>
      <c r="C1518" t="s">
        <v>1579</v>
      </c>
      <c r="D1518" t="s">
        <v>1563</v>
      </c>
      <c r="E1518" t="s">
        <v>3150</v>
      </c>
      <c r="F1518" s="3">
        <v>3096837</v>
      </c>
      <c r="G1518" s="2">
        <f t="shared" si="46"/>
        <v>30</v>
      </c>
      <c r="H1518" s="2">
        <f t="shared" ca="1" si="47"/>
        <v>92</v>
      </c>
      <c r="I1518" s="4">
        <v>46028</v>
      </c>
      <c r="J1518" s="4">
        <v>46058</v>
      </c>
      <c r="K1518" t="s">
        <v>1564</v>
      </c>
      <c r="L1518" t="s">
        <v>984</v>
      </c>
      <c r="M1518" t="s">
        <v>19</v>
      </c>
      <c r="N1518" t="s">
        <v>1580</v>
      </c>
      <c r="O1518">
        <v>30</v>
      </c>
    </row>
    <row r="1519" spans="1:15" hidden="1" x14ac:dyDescent="0.25">
      <c r="A1519" t="s">
        <v>2820</v>
      </c>
      <c r="B1519" t="s">
        <v>1710</v>
      </c>
      <c r="C1519" t="s">
        <v>1711</v>
      </c>
      <c r="D1519" t="s">
        <v>1705</v>
      </c>
      <c r="E1519" t="s">
        <v>3200</v>
      </c>
      <c r="F1519" s="3">
        <v>1898981</v>
      </c>
      <c r="G1519" s="2">
        <f t="shared" si="46"/>
        <v>30</v>
      </c>
      <c r="H1519" s="2">
        <f t="shared" ca="1" si="47"/>
        <v>92</v>
      </c>
      <c r="I1519" s="4">
        <v>46028</v>
      </c>
      <c r="J1519" s="4">
        <v>46058</v>
      </c>
      <c r="K1519" t="s">
        <v>1706</v>
      </c>
      <c r="L1519" t="s">
        <v>90</v>
      </c>
      <c r="M1519" t="s">
        <v>19</v>
      </c>
      <c r="N1519" t="s">
        <v>1712</v>
      </c>
      <c r="O1519">
        <v>30</v>
      </c>
    </row>
    <row r="1520" spans="1:15" hidden="1" x14ac:dyDescent="0.25">
      <c r="A1520" t="s">
        <v>2820</v>
      </c>
      <c r="B1520" t="s">
        <v>1713</v>
      </c>
      <c r="C1520" t="s">
        <v>1714</v>
      </c>
      <c r="D1520" t="s">
        <v>1705</v>
      </c>
      <c r="E1520" t="s">
        <v>3201</v>
      </c>
      <c r="F1520" s="3">
        <v>1481790</v>
      </c>
      <c r="G1520" s="2">
        <f t="shared" si="46"/>
        <v>30</v>
      </c>
      <c r="H1520" s="2">
        <f t="shared" ca="1" si="47"/>
        <v>92</v>
      </c>
      <c r="I1520" s="4">
        <v>46028</v>
      </c>
      <c r="J1520" s="4">
        <v>46058</v>
      </c>
      <c r="K1520" t="s">
        <v>1706</v>
      </c>
      <c r="L1520" t="s">
        <v>90</v>
      </c>
      <c r="M1520" t="s">
        <v>19</v>
      </c>
      <c r="N1520" t="s">
        <v>1715</v>
      </c>
      <c r="O1520">
        <v>30</v>
      </c>
    </row>
    <row r="1521" spans="1:15" hidden="1" x14ac:dyDescent="0.25">
      <c r="A1521" t="s">
        <v>2820</v>
      </c>
      <c r="B1521" t="s">
        <v>1723</v>
      </c>
      <c r="C1521" t="s">
        <v>1724</v>
      </c>
      <c r="D1521" t="s">
        <v>1705</v>
      </c>
      <c r="E1521" t="s">
        <v>3202</v>
      </c>
      <c r="F1521" s="3">
        <v>2564722</v>
      </c>
      <c r="G1521" s="2">
        <f t="shared" si="46"/>
        <v>30</v>
      </c>
      <c r="H1521" s="2">
        <f t="shared" ca="1" si="47"/>
        <v>92</v>
      </c>
      <c r="I1521" s="4">
        <v>46028</v>
      </c>
      <c r="J1521" s="4">
        <v>46058</v>
      </c>
      <c r="K1521" t="s">
        <v>1706</v>
      </c>
      <c r="L1521" t="s">
        <v>90</v>
      </c>
      <c r="M1521" t="s">
        <v>19</v>
      </c>
      <c r="N1521" t="s">
        <v>1725</v>
      </c>
      <c r="O1521">
        <v>30</v>
      </c>
    </row>
    <row r="1522" spans="1:15" hidden="1" x14ac:dyDescent="0.25">
      <c r="A1522" t="s">
        <v>2820</v>
      </c>
      <c r="B1522" t="s">
        <v>1716</v>
      </c>
      <c r="C1522" t="s">
        <v>1717</v>
      </c>
      <c r="D1522" t="s">
        <v>1705</v>
      </c>
      <c r="E1522" t="s">
        <v>3203</v>
      </c>
      <c r="F1522" s="3">
        <v>2317270</v>
      </c>
      <c r="G1522" s="2">
        <f t="shared" si="46"/>
        <v>30</v>
      </c>
      <c r="H1522" s="2">
        <f t="shared" ca="1" si="47"/>
        <v>92</v>
      </c>
      <c r="I1522" s="4">
        <v>46028</v>
      </c>
      <c r="J1522" s="4">
        <v>46058</v>
      </c>
      <c r="K1522" t="s">
        <v>1706</v>
      </c>
      <c r="L1522" t="s">
        <v>90</v>
      </c>
      <c r="M1522" t="s">
        <v>19</v>
      </c>
      <c r="N1522" t="s">
        <v>1718</v>
      </c>
      <c r="O1522">
        <v>30</v>
      </c>
    </row>
    <row r="1523" spans="1:15" hidden="1" x14ac:dyDescent="0.25">
      <c r="A1523" t="s">
        <v>2820</v>
      </c>
      <c r="B1523" t="s">
        <v>1872</v>
      </c>
      <c r="C1523" t="s">
        <v>1873</v>
      </c>
      <c r="D1523" t="s">
        <v>1190</v>
      </c>
      <c r="E1523" t="s">
        <v>3223</v>
      </c>
      <c r="F1523" s="3">
        <v>5700000</v>
      </c>
      <c r="G1523" s="2">
        <f t="shared" si="46"/>
        <v>30</v>
      </c>
      <c r="H1523" s="2">
        <f t="shared" ca="1" si="47"/>
        <v>92</v>
      </c>
      <c r="I1523" s="4">
        <v>46028</v>
      </c>
      <c r="J1523" s="4">
        <v>46058</v>
      </c>
      <c r="K1523" t="s">
        <v>1863</v>
      </c>
      <c r="L1523" t="s">
        <v>984</v>
      </c>
      <c r="M1523" t="s">
        <v>19</v>
      </c>
      <c r="N1523" t="s">
        <v>1874</v>
      </c>
      <c r="O1523">
        <v>1</v>
      </c>
    </row>
    <row r="1524" spans="1:15" hidden="1" x14ac:dyDescent="0.25">
      <c r="A1524" t="s">
        <v>2820</v>
      </c>
      <c r="B1524" t="s">
        <v>1872</v>
      </c>
      <c r="C1524" t="s">
        <v>1873</v>
      </c>
      <c r="D1524" t="s">
        <v>1190</v>
      </c>
      <c r="E1524" t="s">
        <v>3224</v>
      </c>
      <c r="F1524" s="3">
        <v>1857542</v>
      </c>
      <c r="G1524" s="2">
        <f t="shared" si="46"/>
        <v>30</v>
      </c>
      <c r="H1524" s="2">
        <f t="shared" ca="1" si="47"/>
        <v>92</v>
      </c>
      <c r="I1524" s="4">
        <v>46028</v>
      </c>
      <c r="J1524" s="4">
        <v>46058</v>
      </c>
      <c r="K1524" t="s">
        <v>1863</v>
      </c>
      <c r="L1524" t="s">
        <v>984</v>
      </c>
      <c r="M1524" t="s">
        <v>19</v>
      </c>
      <c r="N1524" t="s">
        <v>1874</v>
      </c>
      <c r="O1524">
        <v>1</v>
      </c>
    </row>
    <row r="1525" spans="1:15" hidden="1" x14ac:dyDescent="0.25">
      <c r="A1525" t="s">
        <v>2820</v>
      </c>
      <c r="B1525" t="s">
        <v>2007</v>
      </c>
      <c r="C1525" t="s">
        <v>2008</v>
      </c>
      <c r="D1525" t="s">
        <v>1583</v>
      </c>
      <c r="E1525" t="s">
        <v>3225</v>
      </c>
      <c r="F1525" s="3">
        <v>1465015</v>
      </c>
      <c r="G1525" s="2">
        <f t="shared" si="46"/>
        <v>30</v>
      </c>
      <c r="H1525" s="2">
        <f t="shared" ca="1" si="47"/>
        <v>92</v>
      </c>
      <c r="I1525" s="4">
        <v>46028</v>
      </c>
      <c r="J1525" s="4">
        <v>46058</v>
      </c>
      <c r="K1525" t="s">
        <v>1863</v>
      </c>
      <c r="L1525" t="s">
        <v>984</v>
      </c>
      <c r="M1525" t="s">
        <v>19</v>
      </c>
      <c r="N1525" t="s">
        <v>2009</v>
      </c>
      <c r="O1525">
        <v>30</v>
      </c>
    </row>
    <row r="1526" spans="1:15" hidden="1" x14ac:dyDescent="0.25">
      <c r="A1526" t="s">
        <v>2820</v>
      </c>
      <c r="B1526" t="s">
        <v>2007</v>
      </c>
      <c r="C1526" t="s">
        <v>2008</v>
      </c>
      <c r="D1526" t="s">
        <v>1583</v>
      </c>
      <c r="E1526" t="s">
        <v>3226</v>
      </c>
      <c r="F1526" s="3">
        <v>386400</v>
      </c>
      <c r="G1526" s="2">
        <f t="shared" si="46"/>
        <v>30</v>
      </c>
      <c r="H1526" s="2">
        <f t="shared" ca="1" si="47"/>
        <v>92</v>
      </c>
      <c r="I1526" s="4">
        <v>46028</v>
      </c>
      <c r="J1526" s="4">
        <v>46058</v>
      </c>
      <c r="K1526" t="s">
        <v>1863</v>
      </c>
      <c r="L1526" t="s">
        <v>984</v>
      </c>
      <c r="M1526" t="s">
        <v>19</v>
      </c>
      <c r="N1526" t="s">
        <v>2009</v>
      </c>
      <c r="O1526">
        <v>30</v>
      </c>
    </row>
    <row r="1527" spans="1:15" hidden="1" x14ac:dyDescent="0.25">
      <c r="A1527" t="s">
        <v>2820</v>
      </c>
      <c r="B1527" t="s">
        <v>76</v>
      </c>
      <c r="C1527" t="s">
        <v>77</v>
      </c>
      <c r="D1527" t="s">
        <v>46</v>
      </c>
      <c r="E1527" t="s">
        <v>2874</v>
      </c>
      <c r="F1527" s="3">
        <v>7697777</v>
      </c>
      <c r="G1527" s="2">
        <f t="shared" si="46"/>
        <v>30</v>
      </c>
      <c r="H1527" s="2">
        <f t="shared" ca="1" si="47"/>
        <v>91</v>
      </c>
      <c r="I1527" s="4">
        <v>46029</v>
      </c>
      <c r="J1527" s="4">
        <v>46059</v>
      </c>
      <c r="K1527" t="s">
        <v>17</v>
      </c>
      <c r="L1527" t="s">
        <v>32</v>
      </c>
      <c r="M1527" t="s">
        <v>19</v>
      </c>
      <c r="N1527" t="s">
        <v>78</v>
      </c>
      <c r="O1527">
        <v>30</v>
      </c>
    </row>
    <row r="1528" spans="1:15" hidden="1" x14ac:dyDescent="0.25">
      <c r="A1528" t="s">
        <v>2820</v>
      </c>
      <c r="B1528" t="s">
        <v>76</v>
      </c>
      <c r="C1528" t="s">
        <v>77</v>
      </c>
      <c r="D1528" t="s">
        <v>46</v>
      </c>
      <c r="E1528" t="s">
        <v>2875</v>
      </c>
      <c r="F1528" s="3">
        <v>10013462</v>
      </c>
      <c r="G1528" s="2">
        <f t="shared" si="46"/>
        <v>30</v>
      </c>
      <c r="H1528" s="2">
        <f t="shared" ca="1" si="47"/>
        <v>91</v>
      </c>
      <c r="I1528" s="4">
        <v>46029</v>
      </c>
      <c r="J1528" s="4">
        <v>46059</v>
      </c>
      <c r="K1528" t="s">
        <v>17</v>
      </c>
      <c r="L1528" t="s">
        <v>32</v>
      </c>
      <c r="M1528" t="s">
        <v>19</v>
      </c>
      <c r="N1528" t="s">
        <v>78</v>
      </c>
      <c r="O1528">
        <v>30</v>
      </c>
    </row>
    <row r="1529" spans="1:15" hidden="1" x14ac:dyDescent="0.25">
      <c r="A1529" t="s">
        <v>2820</v>
      </c>
      <c r="B1529" t="s">
        <v>76</v>
      </c>
      <c r="C1529" t="s">
        <v>77</v>
      </c>
      <c r="D1529" t="s">
        <v>46</v>
      </c>
      <c r="E1529" t="s">
        <v>2876</v>
      </c>
      <c r="F1529" s="3">
        <v>327600</v>
      </c>
      <c r="G1529" s="2">
        <f t="shared" si="46"/>
        <v>30</v>
      </c>
      <c r="H1529" s="2">
        <f t="shared" ca="1" si="47"/>
        <v>91</v>
      </c>
      <c r="I1529" s="4">
        <v>46029</v>
      </c>
      <c r="J1529" s="4">
        <v>46059</v>
      </c>
      <c r="K1529" t="s">
        <v>17</v>
      </c>
      <c r="L1529" t="s">
        <v>32</v>
      </c>
      <c r="M1529" t="s">
        <v>19</v>
      </c>
      <c r="N1529" t="s">
        <v>78</v>
      </c>
      <c r="O1529">
        <v>30</v>
      </c>
    </row>
    <row r="1530" spans="1:15" hidden="1" x14ac:dyDescent="0.25">
      <c r="A1530" t="s">
        <v>2820</v>
      </c>
      <c r="B1530" t="s">
        <v>124</v>
      </c>
      <c r="C1530" t="s">
        <v>125</v>
      </c>
      <c r="D1530" t="s">
        <v>15</v>
      </c>
      <c r="E1530" t="s">
        <v>2877</v>
      </c>
      <c r="F1530" s="3">
        <v>975161</v>
      </c>
      <c r="G1530" s="2">
        <f t="shared" si="46"/>
        <v>30</v>
      </c>
      <c r="H1530" s="2">
        <f t="shared" ca="1" si="47"/>
        <v>91</v>
      </c>
      <c r="I1530" s="4">
        <v>46029</v>
      </c>
      <c r="J1530" s="4">
        <v>46059</v>
      </c>
      <c r="K1530" t="s">
        <v>17</v>
      </c>
      <c r="L1530" t="s">
        <v>32</v>
      </c>
      <c r="M1530" t="s">
        <v>19</v>
      </c>
      <c r="N1530" t="s">
        <v>126</v>
      </c>
      <c r="O1530">
        <v>30</v>
      </c>
    </row>
    <row r="1531" spans="1:15" hidden="1" x14ac:dyDescent="0.25">
      <c r="A1531" t="s">
        <v>2820</v>
      </c>
      <c r="B1531" t="s">
        <v>159</v>
      </c>
      <c r="C1531" t="s">
        <v>160</v>
      </c>
      <c r="D1531" t="s">
        <v>46</v>
      </c>
      <c r="E1531" t="s">
        <v>2878</v>
      </c>
      <c r="F1531" s="3">
        <v>73199</v>
      </c>
      <c r="G1531" s="2">
        <f t="shared" si="46"/>
        <v>30</v>
      </c>
      <c r="H1531" s="2">
        <f t="shared" ca="1" si="47"/>
        <v>91</v>
      </c>
      <c r="I1531" s="4">
        <v>46029</v>
      </c>
      <c r="J1531" s="4">
        <v>46059</v>
      </c>
      <c r="K1531" t="s">
        <v>17</v>
      </c>
      <c r="L1531" t="s">
        <v>32</v>
      </c>
      <c r="M1531" t="s">
        <v>19</v>
      </c>
      <c r="N1531" t="s">
        <v>161</v>
      </c>
      <c r="O1531">
        <v>30</v>
      </c>
    </row>
    <row r="1532" spans="1:15" hidden="1" x14ac:dyDescent="0.25">
      <c r="A1532" t="s">
        <v>2820</v>
      </c>
      <c r="B1532" t="s">
        <v>2586</v>
      </c>
      <c r="C1532" t="s">
        <v>2587</v>
      </c>
      <c r="D1532" t="s">
        <v>15</v>
      </c>
      <c r="E1532" t="s">
        <v>2879</v>
      </c>
      <c r="F1532" s="3">
        <v>129000</v>
      </c>
      <c r="G1532" s="2">
        <f t="shared" si="46"/>
        <v>30</v>
      </c>
      <c r="H1532" s="2">
        <f t="shared" ca="1" si="47"/>
        <v>91</v>
      </c>
      <c r="I1532" s="4">
        <v>46029</v>
      </c>
      <c r="J1532" s="4">
        <v>46059</v>
      </c>
      <c r="K1532" t="s">
        <v>17</v>
      </c>
      <c r="L1532" t="s">
        <v>32</v>
      </c>
      <c r="M1532" t="s">
        <v>19</v>
      </c>
      <c r="N1532" t="s">
        <v>2588</v>
      </c>
      <c r="O1532">
        <v>30</v>
      </c>
    </row>
    <row r="1533" spans="1:15" hidden="1" x14ac:dyDescent="0.25">
      <c r="A1533" t="s">
        <v>2820</v>
      </c>
      <c r="B1533" t="s">
        <v>127</v>
      </c>
      <c r="C1533" t="s">
        <v>128</v>
      </c>
      <c r="D1533" t="s">
        <v>15</v>
      </c>
      <c r="E1533" t="s">
        <v>2880</v>
      </c>
      <c r="F1533" s="3">
        <v>868102</v>
      </c>
      <c r="G1533" s="2">
        <f t="shared" si="46"/>
        <v>30</v>
      </c>
      <c r="H1533" s="2">
        <f t="shared" ca="1" si="47"/>
        <v>91</v>
      </c>
      <c r="I1533" s="4">
        <v>46029</v>
      </c>
      <c r="J1533" s="4">
        <v>46059</v>
      </c>
      <c r="K1533" t="s">
        <v>17</v>
      </c>
      <c r="L1533" t="s">
        <v>32</v>
      </c>
      <c r="M1533" t="s">
        <v>19</v>
      </c>
      <c r="N1533" t="s">
        <v>129</v>
      </c>
      <c r="O1533">
        <v>30</v>
      </c>
    </row>
    <row r="1534" spans="1:15" hidden="1" x14ac:dyDescent="0.25">
      <c r="A1534" t="s">
        <v>2820</v>
      </c>
      <c r="B1534" t="s">
        <v>162</v>
      </c>
      <c r="C1534" t="s">
        <v>163</v>
      </c>
      <c r="D1534" t="s">
        <v>15</v>
      </c>
      <c r="E1534" t="s">
        <v>2881</v>
      </c>
      <c r="F1534" s="3">
        <v>240000</v>
      </c>
      <c r="G1534" s="2">
        <f t="shared" si="46"/>
        <v>30</v>
      </c>
      <c r="H1534" s="2">
        <f t="shared" ca="1" si="47"/>
        <v>91</v>
      </c>
      <c r="I1534" s="4">
        <v>46029</v>
      </c>
      <c r="J1534" s="4">
        <v>46059</v>
      </c>
      <c r="K1534" t="s">
        <v>17</v>
      </c>
      <c r="L1534" t="s">
        <v>32</v>
      </c>
      <c r="M1534" t="s">
        <v>19</v>
      </c>
      <c r="N1534" t="s">
        <v>164</v>
      </c>
      <c r="O1534">
        <v>30</v>
      </c>
    </row>
    <row r="1535" spans="1:15" hidden="1" x14ac:dyDescent="0.25">
      <c r="A1535" t="s">
        <v>2820</v>
      </c>
      <c r="B1535" t="s">
        <v>104</v>
      </c>
      <c r="C1535" t="s">
        <v>105</v>
      </c>
      <c r="D1535" t="s">
        <v>46</v>
      </c>
      <c r="E1535" t="s">
        <v>2882</v>
      </c>
      <c r="F1535" s="3">
        <v>420000</v>
      </c>
      <c r="G1535" s="2">
        <f t="shared" si="46"/>
        <v>30</v>
      </c>
      <c r="H1535" s="2">
        <f t="shared" ca="1" si="47"/>
        <v>91</v>
      </c>
      <c r="I1535" s="4">
        <v>46029</v>
      </c>
      <c r="J1535" s="4">
        <v>46059</v>
      </c>
      <c r="K1535" t="s">
        <v>17</v>
      </c>
      <c r="L1535" t="s">
        <v>32</v>
      </c>
      <c r="M1535" t="s">
        <v>19</v>
      </c>
      <c r="N1535" t="s">
        <v>106</v>
      </c>
      <c r="O1535">
        <v>30</v>
      </c>
    </row>
    <row r="1536" spans="1:15" hidden="1" x14ac:dyDescent="0.25">
      <c r="A1536" t="s">
        <v>2820</v>
      </c>
      <c r="B1536" t="s">
        <v>2883</v>
      </c>
      <c r="C1536" t="s">
        <v>2884</v>
      </c>
      <c r="D1536" t="s">
        <v>15</v>
      </c>
      <c r="E1536" t="s">
        <v>2885</v>
      </c>
      <c r="F1536" s="3">
        <v>1067296</v>
      </c>
      <c r="G1536" s="2">
        <f t="shared" si="46"/>
        <v>30</v>
      </c>
      <c r="H1536" s="2">
        <f t="shared" ca="1" si="47"/>
        <v>91</v>
      </c>
      <c r="I1536" s="4">
        <v>46029</v>
      </c>
      <c r="J1536" s="4">
        <v>46059</v>
      </c>
      <c r="K1536" t="s">
        <v>17</v>
      </c>
      <c r="L1536" t="s">
        <v>32</v>
      </c>
      <c r="M1536" t="s">
        <v>19</v>
      </c>
      <c r="N1536" t="s">
        <v>2886</v>
      </c>
      <c r="O1536">
        <v>30</v>
      </c>
    </row>
    <row r="1537" spans="1:15" hidden="1" x14ac:dyDescent="0.25">
      <c r="A1537" t="s">
        <v>2820</v>
      </c>
      <c r="B1537" t="s">
        <v>104</v>
      </c>
      <c r="C1537" t="s">
        <v>105</v>
      </c>
      <c r="D1537" t="s">
        <v>46</v>
      </c>
      <c r="E1537" t="s">
        <v>2887</v>
      </c>
      <c r="F1537" s="3">
        <v>1750926</v>
      </c>
      <c r="G1537" s="2">
        <f t="shared" si="46"/>
        <v>30</v>
      </c>
      <c r="H1537" s="2">
        <f t="shared" ca="1" si="47"/>
        <v>91</v>
      </c>
      <c r="I1537" s="4">
        <v>46029</v>
      </c>
      <c r="J1537" s="4">
        <v>46059</v>
      </c>
      <c r="K1537" t="s">
        <v>17</v>
      </c>
      <c r="L1537" t="s">
        <v>32</v>
      </c>
      <c r="M1537" t="s">
        <v>19</v>
      </c>
      <c r="N1537" t="s">
        <v>106</v>
      </c>
      <c r="O1537">
        <v>30</v>
      </c>
    </row>
    <row r="1538" spans="1:15" hidden="1" x14ac:dyDescent="0.25">
      <c r="A1538" t="s">
        <v>2820</v>
      </c>
      <c r="B1538" t="s">
        <v>76</v>
      </c>
      <c r="C1538" t="s">
        <v>77</v>
      </c>
      <c r="D1538" t="s">
        <v>46</v>
      </c>
      <c r="E1538" t="s">
        <v>2888</v>
      </c>
      <c r="F1538" s="3">
        <v>899114</v>
      </c>
      <c r="G1538" s="2">
        <f t="shared" ref="G1538:G1601" si="48">+J1538-I1538</f>
        <v>30</v>
      </c>
      <c r="H1538" s="2">
        <f t="shared" ref="H1538:H1601" ca="1" si="49">+TODAY()-I1538</f>
        <v>91</v>
      </c>
      <c r="I1538" s="4">
        <v>46029</v>
      </c>
      <c r="J1538" s="4">
        <v>46059</v>
      </c>
      <c r="K1538" t="s">
        <v>17</v>
      </c>
      <c r="L1538" t="s">
        <v>32</v>
      </c>
      <c r="M1538" t="s">
        <v>19</v>
      </c>
      <c r="N1538" t="s">
        <v>78</v>
      </c>
      <c r="O1538">
        <v>30</v>
      </c>
    </row>
    <row r="1539" spans="1:15" hidden="1" x14ac:dyDescent="0.25">
      <c r="A1539" t="s">
        <v>2820</v>
      </c>
      <c r="B1539" t="s">
        <v>326</v>
      </c>
      <c r="C1539" t="s">
        <v>327</v>
      </c>
      <c r="D1539" t="s">
        <v>15</v>
      </c>
      <c r="E1539" t="s">
        <v>2889</v>
      </c>
      <c r="F1539" s="3">
        <v>31099</v>
      </c>
      <c r="G1539" s="2">
        <f t="shared" si="48"/>
        <v>30</v>
      </c>
      <c r="H1539" s="2">
        <f t="shared" ca="1" si="49"/>
        <v>91</v>
      </c>
      <c r="I1539" s="4">
        <v>46029</v>
      </c>
      <c r="J1539" s="4">
        <v>46059</v>
      </c>
      <c r="K1539" t="s">
        <v>17</v>
      </c>
      <c r="L1539" t="s">
        <v>312</v>
      </c>
      <c r="M1539" t="s">
        <v>19</v>
      </c>
      <c r="N1539" t="s">
        <v>328</v>
      </c>
      <c r="O1539">
        <v>30</v>
      </c>
    </row>
    <row r="1540" spans="1:15" hidden="1" x14ac:dyDescent="0.25">
      <c r="A1540" t="s">
        <v>2820</v>
      </c>
      <c r="B1540" t="s">
        <v>70</v>
      </c>
      <c r="C1540" t="s">
        <v>71</v>
      </c>
      <c r="D1540" t="s">
        <v>15</v>
      </c>
      <c r="E1540" t="s">
        <v>2890</v>
      </c>
      <c r="F1540" s="3">
        <v>475367</v>
      </c>
      <c r="G1540" s="2">
        <f t="shared" si="48"/>
        <v>30</v>
      </c>
      <c r="H1540" s="2">
        <f t="shared" ca="1" si="49"/>
        <v>91</v>
      </c>
      <c r="I1540" s="4">
        <v>46029</v>
      </c>
      <c r="J1540" s="4">
        <v>46059</v>
      </c>
      <c r="K1540" t="s">
        <v>17</v>
      </c>
      <c r="L1540" t="s">
        <v>32</v>
      </c>
      <c r="M1540" t="s">
        <v>19</v>
      </c>
      <c r="N1540" t="s">
        <v>72</v>
      </c>
      <c r="O1540">
        <v>30</v>
      </c>
    </row>
    <row r="1541" spans="1:15" hidden="1" x14ac:dyDescent="0.25">
      <c r="A1541" t="s">
        <v>2820</v>
      </c>
      <c r="B1541" t="s">
        <v>76</v>
      </c>
      <c r="C1541" t="s">
        <v>77</v>
      </c>
      <c r="D1541" t="s">
        <v>46</v>
      </c>
      <c r="E1541" t="s">
        <v>2891</v>
      </c>
      <c r="F1541" s="3">
        <v>1530000</v>
      </c>
      <c r="G1541" s="2">
        <f t="shared" si="48"/>
        <v>30</v>
      </c>
      <c r="H1541" s="2">
        <f t="shared" ca="1" si="49"/>
        <v>91</v>
      </c>
      <c r="I1541" s="4">
        <v>46029</v>
      </c>
      <c r="J1541" s="4">
        <v>46059</v>
      </c>
      <c r="K1541" t="s">
        <v>17</v>
      </c>
      <c r="L1541" t="s">
        <v>32</v>
      </c>
      <c r="M1541" t="s">
        <v>19</v>
      </c>
      <c r="N1541" t="s">
        <v>78</v>
      </c>
      <c r="O1541">
        <v>30</v>
      </c>
    </row>
    <row r="1542" spans="1:15" hidden="1" x14ac:dyDescent="0.25">
      <c r="A1542" t="s">
        <v>2820</v>
      </c>
      <c r="B1542" t="s">
        <v>2084</v>
      </c>
      <c r="C1542" t="s">
        <v>2085</v>
      </c>
      <c r="D1542" t="s">
        <v>15</v>
      </c>
      <c r="E1542" t="s">
        <v>2928</v>
      </c>
      <c r="F1542" s="3">
        <v>35000</v>
      </c>
      <c r="G1542" s="2">
        <f t="shared" si="48"/>
        <v>30</v>
      </c>
      <c r="H1542" s="2">
        <f t="shared" ca="1" si="49"/>
        <v>91</v>
      </c>
      <c r="I1542" s="4">
        <v>46029</v>
      </c>
      <c r="J1542" s="4">
        <v>46059</v>
      </c>
      <c r="K1542" t="s">
        <v>17</v>
      </c>
      <c r="L1542" t="s">
        <v>109</v>
      </c>
      <c r="M1542" t="s">
        <v>19</v>
      </c>
      <c r="N1542" t="s">
        <v>2086</v>
      </c>
      <c r="O1542">
        <v>30</v>
      </c>
    </row>
    <row r="1543" spans="1:15" hidden="1" x14ac:dyDescent="0.25">
      <c r="A1543" t="s">
        <v>2820</v>
      </c>
      <c r="B1543" t="s">
        <v>2084</v>
      </c>
      <c r="C1543" t="s">
        <v>2085</v>
      </c>
      <c r="D1543" t="s">
        <v>15</v>
      </c>
      <c r="E1543" t="s">
        <v>2929</v>
      </c>
      <c r="F1543" s="3">
        <v>21700</v>
      </c>
      <c r="G1543" s="2">
        <f t="shared" si="48"/>
        <v>30</v>
      </c>
      <c r="H1543" s="2">
        <f t="shared" ca="1" si="49"/>
        <v>91</v>
      </c>
      <c r="I1543" s="4">
        <v>46029</v>
      </c>
      <c r="J1543" s="4">
        <v>46059</v>
      </c>
      <c r="K1543" t="s">
        <v>17</v>
      </c>
      <c r="L1543" t="s">
        <v>109</v>
      </c>
      <c r="M1543" t="s">
        <v>19</v>
      </c>
      <c r="N1543" t="s">
        <v>2086</v>
      </c>
      <c r="O1543">
        <v>30</v>
      </c>
    </row>
    <row r="1544" spans="1:15" hidden="1" x14ac:dyDescent="0.25">
      <c r="A1544" t="s">
        <v>2820</v>
      </c>
      <c r="B1544" t="s">
        <v>717</v>
      </c>
      <c r="C1544" t="s">
        <v>718</v>
      </c>
      <c r="D1544" t="s">
        <v>666</v>
      </c>
      <c r="E1544" t="s">
        <v>2962</v>
      </c>
      <c r="F1544" s="3">
        <v>2838600</v>
      </c>
      <c r="G1544" s="2">
        <f t="shared" si="48"/>
        <v>30</v>
      </c>
      <c r="H1544" s="2">
        <f t="shared" ca="1" si="49"/>
        <v>91</v>
      </c>
      <c r="I1544" s="4">
        <v>46029</v>
      </c>
      <c r="J1544" s="4">
        <v>46059</v>
      </c>
      <c r="K1544" t="s">
        <v>716</v>
      </c>
      <c r="L1544" t="s">
        <v>18</v>
      </c>
      <c r="M1544" t="s">
        <v>19</v>
      </c>
      <c r="N1544" t="s">
        <v>719</v>
      </c>
      <c r="O1544">
        <v>30</v>
      </c>
    </row>
    <row r="1545" spans="1:15" hidden="1" x14ac:dyDescent="0.25">
      <c r="A1545" t="s">
        <v>2820</v>
      </c>
      <c r="B1545" t="s">
        <v>717</v>
      </c>
      <c r="C1545" t="s">
        <v>718</v>
      </c>
      <c r="D1545" t="s">
        <v>666</v>
      </c>
      <c r="E1545" t="s">
        <v>2963</v>
      </c>
      <c r="F1545" s="3">
        <v>2434429</v>
      </c>
      <c r="G1545" s="2">
        <f t="shared" si="48"/>
        <v>30</v>
      </c>
      <c r="H1545" s="2">
        <f t="shared" ca="1" si="49"/>
        <v>91</v>
      </c>
      <c r="I1545" s="4">
        <v>46029</v>
      </c>
      <c r="J1545" s="4">
        <v>46059</v>
      </c>
      <c r="K1545" t="s">
        <v>716</v>
      </c>
      <c r="L1545" t="s">
        <v>18</v>
      </c>
      <c r="M1545" t="s">
        <v>19</v>
      </c>
      <c r="N1545" t="s">
        <v>719</v>
      </c>
      <c r="O1545">
        <v>30</v>
      </c>
    </row>
    <row r="1546" spans="1:15" hidden="1" x14ac:dyDescent="0.25">
      <c r="A1546" t="s">
        <v>2820</v>
      </c>
      <c r="B1546" t="s">
        <v>717</v>
      </c>
      <c r="C1546" t="s">
        <v>718</v>
      </c>
      <c r="D1546" t="s">
        <v>666</v>
      </c>
      <c r="E1546" t="s">
        <v>2964</v>
      </c>
      <c r="F1546" s="3">
        <v>449000</v>
      </c>
      <c r="G1546" s="2">
        <f t="shared" si="48"/>
        <v>30</v>
      </c>
      <c r="H1546" s="2">
        <f t="shared" ca="1" si="49"/>
        <v>91</v>
      </c>
      <c r="I1546" s="4">
        <v>46029</v>
      </c>
      <c r="J1546" s="4">
        <v>46059</v>
      </c>
      <c r="K1546" t="s">
        <v>716</v>
      </c>
      <c r="L1546" t="s">
        <v>117</v>
      </c>
      <c r="M1546" t="s">
        <v>19</v>
      </c>
      <c r="N1546" t="s">
        <v>719</v>
      </c>
      <c r="O1546">
        <v>30</v>
      </c>
    </row>
    <row r="1547" spans="1:15" hidden="1" x14ac:dyDescent="0.25">
      <c r="A1547" t="s">
        <v>2820</v>
      </c>
      <c r="B1547" t="s">
        <v>717</v>
      </c>
      <c r="C1547" t="s">
        <v>718</v>
      </c>
      <c r="D1547" t="s">
        <v>666</v>
      </c>
      <c r="E1547" t="s">
        <v>2965</v>
      </c>
      <c r="F1547" s="3">
        <v>386397</v>
      </c>
      <c r="G1547" s="2">
        <f t="shared" si="48"/>
        <v>30</v>
      </c>
      <c r="H1547" s="2">
        <f t="shared" ca="1" si="49"/>
        <v>91</v>
      </c>
      <c r="I1547" s="4">
        <v>46029</v>
      </c>
      <c r="J1547" s="4">
        <v>46059</v>
      </c>
      <c r="K1547" t="s">
        <v>716</v>
      </c>
      <c r="L1547" t="s">
        <v>47</v>
      </c>
      <c r="M1547" t="s">
        <v>19</v>
      </c>
      <c r="N1547" t="s">
        <v>719</v>
      </c>
      <c r="O1547">
        <v>30</v>
      </c>
    </row>
    <row r="1548" spans="1:15" hidden="1" x14ac:dyDescent="0.25">
      <c r="A1548" t="s">
        <v>2820</v>
      </c>
      <c r="B1548" t="s">
        <v>1101</v>
      </c>
      <c r="C1548" t="s">
        <v>1102</v>
      </c>
      <c r="D1548" t="s">
        <v>1066</v>
      </c>
      <c r="E1548" t="s">
        <v>3026</v>
      </c>
      <c r="F1548" s="3">
        <v>1316899</v>
      </c>
      <c r="G1548" s="2">
        <f t="shared" si="48"/>
        <v>30</v>
      </c>
      <c r="H1548" s="2">
        <f t="shared" ca="1" si="49"/>
        <v>91</v>
      </c>
      <c r="I1548" s="4">
        <v>46029</v>
      </c>
      <c r="J1548" s="4">
        <v>46059</v>
      </c>
      <c r="K1548" t="s">
        <v>1068</v>
      </c>
      <c r="L1548" t="s">
        <v>207</v>
      </c>
      <c r="M1548" t="s">
        <v>19</v>
      </c>
      <c r="N1548" t="s">
        <v>1103</v>
      </c>
      <c r="O1548">
        <v>30</v>
      </c>
    </row>
    <row r="1549" spans="1:15" hidden="1" x14ac:dyDescent="0.25">
      <c r="A1549" t="s">
        <v>2820</v>
      </c>
      <c r="B1549" t="s">
        <v>1110</v>
      </c>
      <c r="C1549" t="s">
        <v>1111</v>
      </c>
      <c r="D1549" t="s">
        <v>320</v>
      </c>
      <c r="E1549" t="s">
        <v>3027</v>
      </c>
      <c r="F1549" s="3">
        <v>1595014</v>
      </c>
      <c r="G1549" s="2">
        <f t="shared" si="48"/>
        <v>30</v>
      </c>
      <c r="H1549" s="2">
        <f t="shared" ca="1" si="49"/>
        <v>91</v>
      </c>
      <c r="I1549" s="4">
        <v>46029</v>
      </c>
      <c r="J1549" s="4">
        <v>46059</v>
      </c>
      <c r="K1549" t="s">
        <v>1068</v>
      </c>
      <c r="L1549" t="s">
        <v>207</v>
      </c>
      <c r="M1549" t="s">
        <v>19</v>
      </c>
      <c r="N1549" t="s">
        <v>149</v>
      </c>
      <c r="O1549">
        <v>30</v>
      </c>
    </row>
    <row r="1550" spans="1:15" hidden="1" x14ac:dyDescent="0.25">
      <c r="A1550" t="s">
        <v>2820</v>
      </c>
      <c r="B1550" t="s">
        <v>1964</v>
      </c>
      <c r="C1550" t="s">
        <v>1965</v>
      </c>
      <c r="D1550" t="s">
        <v>1066</v>
      </c>
      <c r="E1550" t="s">
        <v>3028</v>
      </c>
      <c r="F1550" s="3">
        <v>667394</v>
      </c>
      <c r="G1550" s="2">
        <f t="shared" si="48"/>
        <v>30</v>
      </c>
      <c r="H1550" s="2">
        <f t="shared" ca="1" si="49"/>
        <v>91</v>
      </c>
      <c r="I1550" s="4">
        <v>46029</v>
      </c>
      <c r="J1550" s="4">
        <v>46059</v>
      </c>
      <c r="K1550" t="s">
        <v>1068</v>
      </c>
      <c r="L1550" t="s">
        <v>207</v>
      </c>
      <c r="M1550" t="s">
        <v>19</v>
      </c>
      <c r="N1550" t="s">
        <v>1966</v>
      </c>
      <c r="O1550">
        <v>30</v>
      </c>
    </row>
    <row r="1551" spans="1:15" hidden="1" x14ac:dyDescent="0.25">
      <c r="A1551" t="s">
        <v>2820</v>
      </c>
      <c r="B1551" t="s">
        <v>1964</v>
      </c>
      <c r="C1551" t="s">
        <v>1965</v>
      </c>
      <c r="D1551" t="s">
        <v>1066</v>
      </c>
      <c r="E1551" t="s">
        <v>3029</v>
      </c>
      <c r="F1551" s="3">
        <v>1475135</v>
      </c>
      <c r="G1551" s="2">
        <f t="shared" si="48"/>
        <v>30</v>
      </c>
      <c r="H1551" s="2">
        <f t="shared" ca="1" si="49"/>
        <v>91</v>
      </c>
      <c r="I1551" s="4">
        <v>46029</v>
      </c>
      <c r="J1551" s="4">
        <v>46059</v>
      </c>
      <c r="K1551" t="s">
        <v>1068</v>
      </c>
      <c r="L1551" t="s">
        <v>207</v>
      </c>
      <c r="M1551" t="s">
        <v>19</v>
      </c>
      <c r="N1551" t="s">
        <v>1966</v>
      </c>
      <c r="O1551">
        <v>30</v>
      </c>
    </row>
    <row r="1552" spans="1:15" hidden="1" x14ac:dyDescent="0.25">
      <c r="A1552" t="s">
        <v>2820</v>
      </c>
      <c r="B1552" t="s">
        <v>1119</v>
      </c>
      <c r="C1552" t="s">
        <v>1120</v>
      </c>
      <c r="D1552" t="s">
        <v>1066</v>
      </c>
      <c r="E1552" t="s">
        <v>3030</v>
      </c>
      <c r="F1552" s="3">
        <v>806717</v>
      </c>
      <c r="G1552" s="2">
        <f t="shared" si="48"/>
        <v>30</v>
      </c>
      <c r="H1552" s="2">
        <f t="shared" ca="1" si="49"/>
        <v>91</v>
      </c>
      <c r="I1552" s="4">
        <v>46029</v>
      </c>
      <c r="J1552" s="4">
        <v>46059</v>
      </c>
      <c r="K1552" t="s">
        <v>1068</v>
      </c>
      <c r="L1552" t="s">
        <v>207</v>
      </c>
      <c r="M1552" t="s">
        <v>19</v>
      </c>
      <c r="N1552" t="s">
        <v>1121</v>
      </c>
      <c r="O1552">
        <v>30</v>
      </c>
    </row>
    <row r="1553" spans="1:15" hidden="1" x14ac:dyDescent="0.25">
      <c r="A1553" t="s">
        <v>2820</v>
      </c>
      <c r="B1553" t="s">
        <v>1119</v>
      </c>
      <c r="C1553" t="s">
        <v>1120</v>
      </c>
      <c r="D1553" t="s">
        <v>1066</v>
      </c>
      <c r="E1553" t="s">
        <v>3031</v>
      </c>
      <c r="F1553" s="3">
        <v>3245411</v>
      </c>
      <c r="G1553" s="2">
        <f t="shared" si="48"/>
        <v>30</v>
      </c>
      <c r="H1553" s="2">
        <f t="shared" ca="1" si="49"/>
        <v>91</v>
      </c>
      <c r="I1553" s="4">
        <v>46029</v>
      </c>
      <c r="J1553" s="4">
        <v>46059</v>
      </c>
      <c r="K1553" t="s">
        <v>1068</v>
      </c>
      <c r="L1553" t="s">
        <v>207</v>
      </c>
      <c r="M1553" t="s">
        <v>19</v>
      </c>
      <c r="N1553" t="s">
        <v>1121</v>
      </c>
      <c r="O1553">
        <v>30</v>
      </c>
    </row>
    <row r="1554" spans="1:15" hidden="1" x14ac:dyDescent="0.25">
      <c r="A1554" t="s">
        <v>2820</v>
      </c>
      <c r="B1554" t="s">
        <v>1126</v>
      </c>
      <c r="C1554" t="s">
        <v>1127</v>
      </c>
      <c r="D1554" t="s">
        <v>1066</v>
      </c>
      <c r="E1554" t="s">
        <v>3032</v>
      </c>
      <c r="F1554" s="3">
        <v>3656521</v>
      </c>
      <c r="G1554" s="2">
        <f t="shared" si="48"/>
        <v>15</v>
      </c>
      <c r="H1554" s="2">
        <f t="shared" ca="1" si="49"/>
        <v>91</v>
      </c>
      <c r="I1554" s="4">
        <v>46029</v>
      </c>
      <c r="J1554" s="4">
        <v>46044</v>
      </c>
      <c r="K1554" t="s">
        <v>1068</v>
      </c>
      <c r="L1554" t="s">
        <v>207</v>
      </c>
      <c r="M1554" t="s">
        <v>19</v>
      </c>
      <c r="N1554" t="s">
        <v>1128</v>
      </c>
      <c r="O1554">
        <v>8</v>
      </c>
    </row>
    <row r="1555" spans="1:15" hidden="1" x14ac:dyDescent="0.25">
      <c r="A1555" t="s">
        <v>2820</v>
      </c>
      <c r="B1555" t="s">
        <v>1107</v>
      </c>
      <c r="C1555" t="s">
        <v>1108</v>
      </c>
      <c r="D1555" t="s">
        <v>320</v>
      </c>
      <c r="E1555" t="s">
        <v>3033</v>
      </c>
      <c r="F1555" s="3">
        <v>3057600</v>
      </c>
      <c r="G1555" s="2">
        <f t="shared" si="48"/>
        <v>30</v>
      </c>
      <c r="H1555" s="2">
        <f t="shared" ca="1" si="49"/>
        <v>91</v>
      </c>
      <c r="I1555" s="4">
        <v>46029</v>
      </c>
      <c r="J1555" s="4">
        <v>46059</v>
      </c>
      <c r="K1555" t="s">
        <v>1068</v>
      </c>
      <c r="L1555" t="s">
        <v>207</v>
      </c>
      <c r="M1555" t="s">
        <v>19</v>
      </c>
      <c r="N1555" t="s">
        <v>1109</v>
      </c>
      <c r="O1555">
        <v>30</v>
      </c>
    </row>
    <row r="1556" spans="1:15" hidden="1" x14ac:dyDescent="0.25">
      <c r="A1556" t="s">
        <v>2820</v>
      </c>
      <c r="B1556" t="s">
        <v>1115</v>
      </c>
      <c r="C1556" t="s">
        <v>1116</v>
      </c>
      <c r="D1556" t="s">
        <v>320</v>
      </c>
      <c r="E1556" t="s">
        <v>3034</v>
      </c>
      <c r="F1556" s="3">
        <v>1638267</v>
      </c>
      <c r="G1556" s="2">
        <f t="shared" si="48"/>
        <v>30</v>
      </c>
      <c r="H1556" s="2">
        <f t="shared" ca="1" si="49"/>
        <v>91</v>
      </c>
      <c r="I1556" s="4">
        <v>46029</v>
      </c>
      <c r="J1556" s="4">
        <v>46059</v>
      </c>
      <c r="K1556" t="s">
        <v>1068</v>
      </c>
      <c r="L1556" t="s">
        <v>207</v>
      </c>
      <c r="M1556" t="s">
        <v>19</v>
      </c>
      <c r="N1556" t="s">
        <v>1117</v>
      </c>
      <c r="O1556">
        <v>30</v>
      </c>
    </row>
    <row r="1557" spans="1:15" hidden="1" x14ac:dyDescent="0.25">
      <c r="A1557" t="s">
        <v>2820</v>
      </c>
      <c r="B1557" t="s">
        <v>1107</v>
      </c>
      <c r="C1557" t="s">
        <v>1108</v>
      </c>
      <c r="D1557" t="s">
        <v>320</v>
      </c>
      <c r="E1557" t="s">
        <v>3035</v>
      </c>
      <c r="F1557" s="3">
        <v>220000</v>
      </c>
      <c r="G1557" s="2">
        <f t="shared" si="48"/>
        <v>30</v>
      </c>
      <c r="H1557" s="2">
        <f t="shared" ca="1" si="49"/>
        <v>91</v>
      </c>
      <c r="I1557" s="4">
        <v>46029</v>
      </c>
      <c r="J1557" s="4">
        <v>46059</v>
      </c>
      <c r="K1557" t="s">
        <v>1068</v>
      </c>
      <c r="L1557" t="s">
        <v>207</v>
      </c>
      <c r="M1557" t="s">
        <v>19</v>
      </c>
      <c r="N1557" t="s">
        <v>1109</v>
      </c>
      <c r="O1557">
        <v>30</v>
      </c>
    </row>
    <row r="1558" spans="1:15" hidden="1" x14ac:dyDescent="0.25">
      <c r="A1558" t="s">
        <v>2820</v>
      </c>
      <c r="B1558" t="s">
        <v>1119</v>
      </c>
      <c r="C1558" t="s">
        <v>1120</v>
      </c>
      <c r="D1558" t="s">
        <v>1066</v>
      </c>
      <c r="E1558" t="s">
        <v>3036</v>
      </c>
      <c r="F1558" s="3">
        <v>80000</v>
      </c>
      <c r="G1558" s="2">
        <f t="shared" si="48"/>
        <v>30</v>
      </c>
      <c r="H1558" s="2">
        <f t="shared" ca="1" si="49"/>
        <v>91</v>
      </c>
      <c r="I1558" s="4">
        <v>46029</v>
      </c>
      <c r="J1558" s="4">
        <v>46059</v>
      </c>
      <c r="K1558" t="s">
        <v>1068</v>
      </c>
      <c r="L1558" t="s">
        <v>207</v>
      </c>
      <c r="M1558" t="s">
        <v>19</v>
      </c>
      <c r="N1558" t="s">
        <v>1121</v>
      </c>
      <c r="O1558">
        <v>30</v>
      </c>
    </row>
    <row r="1559" spans="1:15" hidden="1" x14ac:dyDescent="0.25">
      <c r="A1559" t="s">
        <v>2820</v>
      </c>
      <c r="B1559" t="s">
        <v>3081</v>
      </c>
      <c r="C1559" t="s">
        <v>3082</v>
      </c>
      <c r="D1559" t="s">
        <v>1209</v>
      </c>
      <c r="E1559" t="s">
        <v>3083</v>
      </c>
      <c r="F1559" s="3">
        <v>213388</v>
      </c>
      <c r="G1559" s="2">
        <f t="shared" si="48"/>
        <v>15</v>
      </c>
      <c r="H1559" s="2">
        <f t="shared" ca="1" si="49"/>
        <v>91</v>
      </c>
      <c r="I1559" s="4">
        <v>46029</v>
      </c>
      <c r="J1559" s="4">
        <v>46044</v>
      </c>
      <c r="K1559" t="s">
        <v>1202</v>
      </c>
      <c r="L1559" t="s">
        <v>321</v>
      </c>
      <c r="M1559" t="s">
        <v>19</v>
      </c>
      <c r="N1559" t="s">
        <v>149</v>
      </c>
      <c r="O1559">
        <v>30</v>
      </c>
    </row>
    <row r="1560" spans="1:15" hidden="1" x14ac:dyDescent="0.25">
      <c r="A1560" t="s">
        <v>2820</v>
      </c>
      <c r="B1560" t="s">
        <v>1211</v>
      </c>
      <c r="C1560" t="s">
        <v>1212</v>
      </c>
      <c r="D1560" t="s">
        <v>1209</v>
      </c>
      <c r="E1560" t="s">
        <v>3084</v>
      </c>
      <c r="F1560" s="3">
        <v>1492963</v>
      </c>
      <c r="G1560" s="2">
        <f t="shared" si="48"/>
        <v>30</v>
      </c>
      <c r="H1560" s="2">
        <f t="shared" ca="1" si="49"/>
        <v>91</v>
      </c>
      <c r="I1560" s="4">
        <v>46029</v>
      </c>
      <c r="J1560" s="4">
        <v>46059</v>
      </c>
      <c r="K1560" t="s">
        <v>1202</v>
      </c>
      <c r="L1560" t="s">
        <v>321</v>
      </c>
      <c r="M1560" t="s">
        <v>19</v>
      </c>
      <c r="N1560" t="s">
        <v>1213</v>
      </c>
      <c r="O1560">
        <v>30</v>
      </c>
    </row>
    <row r="1561" spans="1:15" hidden="1" x14ac:dyDescent="0.25">
      <c r="A1561" t="s">
        <v>2820</v>
      </c>
      <c r="B1561" t="s">
        <v>376</v>
      </c>
      <c r="C1561" t="s">
        <v>377</v>
      </c>
      <c r="D1561" t="s">
        <v>378</v>
      </c>
      <c r="E1561" t="s">
        <v>3114</v>
      </c>
      <c r="F1561" s="3">
        <v>7174973</v>
      </c>
      <c r="G1561" s="2">
        <f t="shared" si="48"/>
        <v>30</v>
      </c>
      <c r="H1561" s="2">
        <f t="shared" ca="1" si="49"/>
        <v>91</v>
      </c>
      <c r="I1561" s="4">
        <v>46029</v>
      </c>
      <c r="J1561" s="4">
        <v>46059</v>
      </c>
      <c r="K1561" t="s">
        <v>1403</v>
      </c>
      <c r="L1561" t="s">
        <v>90</v>
      </c>
      <c r="M1561" t="s">
        <v>19</v>
      </c>
      <c r="N1561" t="s">
        <v>379</v>
      </c>
      <c r="O1561">
        <v>30</v>
      </c>
    </row>
    <row r="1562" spans="1:15" hidden="1" x14ac:dyDescent="0.25">
      <c r="A1562" t="s">
        <v>2820</v>
      </c>
      <c r="B1562" t="s">
        <v>1427</v>
      </c>
      <c r="C1562" t="s">
        <v>1428</v>
      </c>
      <c r="D1562" t="s">
        <v>875</v>
      </c>
      <c r="E1562" t="s">
        <v>3115</v>
      </c>
      <c r="F1562" s="3">
        <v>4016143</v>
      </c>
      <c r="G1562" s="2">
        <f t="shared" si="48"/>
        <v>30</v>
      </c>
      <c r="H1562" s="2">
        <f t="shared" ca="1" si="49"/>
        <v>91</v>
      </c>
      <c r="I1562" s="4">
        <v>46029</v>
      </c>
      <c r="J1562" s="4">
        <v>46059</v>
      </c>
      <c r="K1562" t="s">
        <v>1403</v>
      </c>
      <c r="L1562" t="s">
        <v>90</v>
      </c>
      <c r="M1562" t="s">
        <v>19</v>
      </c>
      <c r="N1562" t="s">
        <v>1429</v>
      </c>
      <c r="O1562">
        <v>30</v>
      </c>
    </row>
    <row r="1563" spans="1:15" hidden="1" x14ac:dyDescent="0.25">
      <c r="A1563" t="s">
        <v>2820</v>
      </c>
      <c r="B1563" t="s">
        <v>2141</v>
      </c>
      <c r="C1563" t="s">
        <v>2142</v>
      </c>
      <c r="D1563" t="s">
        <v>875</v>
      </c>
      <c r="E1563" t="s">
        <v>3116</v>
      </c>
      <c r="F1563" s="3">
        <v>1053189</v>
      </c>
      <c r="G1563" s="2">
        <f t="shared" si="48"/>
        <v>30</v>
      </c>
      <c r="H1563" s="2">
        <f t="shared" ca="1" si="49"/>
        <v>91</v>
      </c>
      <c r="I1563" s="4">
        <v>46029</v>
      </c>
      <c r="J1563" s="4">
        <v>46059</v>
      </c>
      <c r="K1563" t="s">
        <v>1403</v>
      </c>
      <c r="L1563" t="s">
        <v>90</v>
      </c>
      <c r="M1563" t="s">
        <v>19</v>
      </c>
      <c r="N1563" t="s">
        <v>2143</v>
      </c>
      <c r="O1563">
        <v>30</v>
      </c>
    </row>
    <row r="1564" spans="1:15" hidden="1" x14ac:dyDescent="0.25">
      <c r="A1564" t="s">
        <v>2820</v>
      </c>
      <c r="B1564" t="s">
        <v>2213</v>
      </c>
      <c r="C1564" t="s">
        <v>2214</v>
      </c>
      <c r="D1564" t="s">
        <v>1401</v>
      </c>
      <c r="E1564" t="s">
        <v>3117</v>
      </c>
      <c r="F1564" s="3">
        <v>716577</v>
      </c>
      <c r="G1564" s="2">
        <f t="shared" si="48"/>
        <v>30</v>
      </c>
      <c r="H1564" s="2">
        <f t="shared" ca="1" si="49"/>
        <v>91</v>
      </c>
      <c r="I1564" s="4">
        <v>46029</v>
      </c>
      <c r="J1564" s="4">
        <v>46059</v>
      </c>
      <c r="K1564" t="s">
        <v>1403</v>
      </c>
      <c r="L1564" t="s">
        <v>90</v>
      </c>
      <c r="M1564" t="s">
        <v>19</v>
      </c>
      <c r="N1564" t="s">
        <v>2215</v>
      </c>
      <c r="O1564">
        <v>30</v>
      </c>
    </row>
    <row r="1565" spans="1:15" hidden="1" x14ac:dyDescent="0.25">
      <c r="A1565" t="s">
        <v>2820</v>
      </c>
      <c r="B1565" t="s">
        <v>1443</v>
      </c>
      <c r="C1565" t="s">
        <v>1444</v>
      </c>
      <c r="D1565" t="s">
        <v>875</v>
      </c>
      <c r="E1565" t="s">
        <v>3118</v>
      </c>
      <c r="F1565" s="3">
        <v>955276</v>
      </c>
      <c r="G1565" s="2">
        <f t="shared" si="48"/>
        <v>30</v>
      </c>
      <c r="H1565" s="2">
        <f t="shared" ca="1" si="49"/>
        <v>91</v>
      </c>
      <c r="I1565" s="4">
        <v>46029</v>
      </c>
      <c r="J1565" s="4">
        <v>46059</v>
      </c>
      <c r="K1565" t="s">
        <v>1403</v>
      </c>
      <c r="L1565" t="s">
        <v>90</v>
      </c>
      <c r="M1565" t="s">
        <v>19</v>
      </c>
      <c r="N1565" t="s">
        <v>1445</v>
      </c>
      <c r="O1565">
        <v>30</v>
      </c>
    </row>
    <row r="1566" spans="1:15" hidden="1" x14ac:dyDescent="0.25">
      <c r="A1566" t="s">
        <v>2820</v>
      </c>
      <c r="B1566" t="s">
        <v>2782</v>
      </c>
      <c r="C1566" t="s">
        <v>2783</v>
      </c>
      <c r="D1566" t="s">
        <v>1401</v>
      </c>
      <c r="E1566" t="s">
        <v>3119</v>
      </c>
      <c r="F1566" s="3">
        <v>3619206</v>
      </c>
      <c r="G1566" s="2">
        <f t="shared" si="48"/>
        <v>30</v>
      </c>
      <c r="H1566" s="2">
        <f t="shared" ca="1" si="49"/>
        <v>91</v>
      </c>
      <c r="I1566" s="4">
        <v>46029</v>
      </c>
      <c r="J1566" s="4">
        <v>46059</v>
      </c>
      <c r="K1566" t="s">
        <v>1403</v>
      </c>
      <c r="L1566" t="s">
        <v>90</v>
      </c>
      <c r="M1566" t="s">
        <v>19</v>
      </c>
      <c r="N1566" t="s">
        <v>2785</v>
      </c>
      <c r="O1566">
        <v>25</v>
      </c>
    </row>
    <row r="1567" spans="1:15" hidden="1" x14ac:dyDescent="0.25">
      <c r="A1567" t="s">
        <v>2820</v>
      </c>
      <c r="B1567" t="s">
        <v>1433</v>
      </c>
      <c r="C1567" t="s">
        <v>1434</v>
      </c>
      <c r="D1567" t="s">
        <v>875</v>
      </c>
      <c r="E1567" t="s">
        <v>3120</v>
      </c>
      <c r="F1567" s="3">
        <v>1036324</v>
      </c>
      <c r="G1567" s="2">
        <f t="shared" si="48"/>
        <v>30</v>
      </c>
      <c r="H1567" s="2">
        <f t="shared" ca="1" si="49"/>
        <v>91</v>
      </c>
      <c r="I1567" s="4">
        <v>46029</v>
      </c>
      <c r="J1567" s="4">
        <v>46059</v>
      </c>
      <c r="K1567" t="s">
        <v>1403</v>
      </c>
      <c r="L1567" t="s">
        <v>90</v>
      </c>
      <c r="M1567" t="s">
        <v>19</v>
      </c>
      <c r="N1567" t="s">
        <v>1435</v>
      </c>
      <c r="O1567">
        <v>30</v>
      </c>
    </row>
    <row r="1568" spans="1:15" hidden="1" x14ac:dyDescent="0.25">
      <c r="A1568" t="s">
        <v>2820</v>
      </c>
      <c r="B1568" t="s">
        <v>2782</v>
      </c>
      <c r="C1568" t="s">
        <v>2783</v>
      </c>
      <c r="D1568" t="s">
        <v>1401</v>
      </c>
      <c r="E1568" t="s">
        <v>3121</v>
      </c>
      <c r="F1568" s="3">
        <v>2012278</v>
      </c>
      <c r="G1568" s="2">
        <f t="shared" si="48"/>
        <v>30</v>
      </c>
      <c r="H1568" s="2">
        <f t="shared" ca="1" si="49"/>
        <v>91</v>
      </c>
      <c r="I1568" s="4">
        <v>46029</v>
      </c>
      <c r="J1568" s="4">
        <v>46059</v>
      </c>
      <c r="K1568" t="s">
        <v>1403</v>
      </c>
      <c r="L1568" t="s">
        <v>90</v>
      </c>
      <c r="M1568" t="s">
        <v>19</v>
      </c>
      <c r="N1568" t="s">
        <v>2785</v>
      </c>
      <c r="O1568">
        <v>25</v>
      </c>
    </row>
    <row r="1569" spans="1:15" hidden="1" x14ac:dyDescent="0.25">
      <c r="A1569" t="s">
        <v>2820</v>
      </c>
      <c r="B1569" t="s">
        <v>1455</v>
      </c>
      <c r="C1569" t="s">
        <v>1456</v>
      </c>
      <c r="D1569" t="s">
        <v>875</v>
      </c>
      <c r="E1569" t="s">
        <v>3122</v>
      </c>
      <c r="F1569" s="3">
        <v>370733</v>
      </c>
      <c r="G1569" s="2">
        <f t="shared" si="48"/>
        <v>30</v>
      </c>
      <c r="H1569" s="2">
        <f t="shared" ca="1" si="49"/>
        <v>91</v>
      </c>
      <c r="I1569" s="4">
        <v>46029</v>
      </c>
      <c r="J1569" s="4">
        <v>46059</v>
      </c>
      <c r="K1569" t="s">
        <v>1403</v>
      </c>
      <c r="L1569" t="s">
        <v>90</v>
      </c>
      <c r="M1569" t="s">
        <v>19</v>
      </c>
      <c r="N1569" t="s">
        <v>179</v>
      </c>
      <c r="O1569">
        <v>30</v>
      </c>
    </row>
    <row r="1570" spans="1:15" hidden="1" x14ac:dyDescent="0.25">
      <c r="A1570" t="s">
        <v>2820</v>
      </c>
      <c r="B1570" t="s">
        <v>1446</v>
      </c>
      <c r="C1570" t="s">
        <v>1447</v>
      </c>
      <c r="D1570" t="s">
        <v>1401</v>
      </c>
      <c r="E1570" t="s">
        <v>3123</v>
      </c>
      <c r="F1570" s="3">
        <v>3417062</v>
      </c>
      <c r="G1570" s="2">
        <f t="shared" si="48"/>
        <v>30</v>
      </c>
      <c r="H1570" s="2">
        <f t="shared" ca="1" si="49"/>
        <v>91</v>
      </c>
      <c r="I1570" s="4">
        <v>46029</v>
      </c>
      <c r="J1570" s="4">
        <v>46059</v>
      </c>
      <c r="K1570" t="s">
        <v>1403</v>
      </c>
      <c r="L1570" t="s">
        <v>90</v>
      </c>
      <c r="M1570" t="s">
        <v>19</v>
      </c>
      <c r="N1570" t="s">
        <v>1448</v>
      </c>
      <c r="O1570">
        <v>30</v>
      </c>
    </row>
    <row r="1571" spans="1:15" hidden="1" x14ac:dyDescent="0.25">
      <c r="A1571" t="s">
        <v>2820</v>
      </c>
      <c r="B1571" t="s">
        <v>1446</v>
      </c>
      <c r="C1571" t="s">
        <v>1447</v>
      </c>
      <c r="D1571" t="s">
        <v>1401</v>
      </c>
      <c r="E1571" t="s">
        <v>3124</v>
      </c>
      <c r="F1571" s="3">
        <v>15332799</v>
      </c>
      <c r="G1571" s="2">
        <f t="shared" si="48"/>
        <v>30</v>
      </c>
      <c r="H1571" s="2">
        <f t="shared" ca="1" si="49"/>
        <v>91</v>
      </c>
      <c r="I1571" s="4">
        <v>46029</v>
      </c>
      <c r="J1571" s="4">
        <v>46059</v>
      </c>
      <c r="K1571" t="s">
        <v>1403</v>
      </c>
      <c r="L1571" t="s">
        <v>90</v>
      </c>
      <c r="M1571" t="s">
        <v>19</v>
      </c>
      <c r="N1571" t="s">
        <v>1448</v>
      </c>
      <c r="O1571">
        <v>30</v>
      </c>
    </row>
    <row r="1572" spans="1:15" hidden="1" x14ac:dyDescent="0.25">
      <c r="A1572" t="s">
        <v>2820</v>
      </c>
      <c r="B1572" t="s">
        <v>1424</v>
      </c>
      <c r="C1572" t="s">
        <v>1425</v>
      </c>
      <c r="D1572" t="s">
        <v>875</v>
      </c>
      <c r="E1572" t="s">
        <v>3125</v>
      </c>
      <c r="F1572" s="3">
        <v>4006569</v>
      </c>
      <c r="G1572" s="2">
        <f t="shared" si="48"/>
        <v>30</v>
      </c>
      <c r="H1572" s="2">
        <f t="shared" ca="1" si="49"/>
        <v>91</v>
      </c>
      <c r="I1572" s="4">
        <v>46029</v>
      </c>
      <c r="J1572" s="4">
        <v>46059</v>
      </c>
      <c r="K1572" t="s">
        <v>1403</v>
      </c>
      <c r="L1572" t="s">
        <v>90</v>
      </c>
      <c r="M1572" t="s">
        <v>19</v>
      </c>
      <c r="N1572" t="s">
        <v>1426</v>
      </c>
      <c r="O1572">
        <v>30</v>
      </c>
    </row>
    <row r="1573" spans="1:15" hidden="1" x14ac:dyDescent="0.25">
      <c r="A1573" t="s">
        <v>2820</v>
      </c>
      <c r="B1573" t="s">
        <v>1735</v>
      </c>
      <c r="C1573" t="s">
        <v>1736</v>
      </c>
      <c r="D1573" t="s">
        <v>1737</v>
      </c>
      <c r="E1573" t="s">
        <v>3207</v>
      </c>
      <c r="F1573" s="3">
        <v>12077471</v>
      </c>
      <c r="G1573" s="2">
        <f t="shared" si="48"/>
        <v>30</v>
      </c>
      <c r="H1573" s="2">
        <f t="shared" ca="1" si="49"/>
        <v>91</v>
      </c>
      <c r="I1573" s="4">
        <v>46029</v>
      </c>
      <c r="J1573" s="4">
        <v>46059</v>
      </c>
      <c r="K1573" t="s">
        <v>1738</v>
      </c>
      <c r="L1573" t="s">
        <v>981</v>
      </c>
      <c r="M1573" t="s">
        <v>19</v>
      </c>
      <c r="N1573" t="s">
        <v>1739</v>
      </c>
      <c r="O1573">
        <v>30</v>
      </c>
    </row>
    <row r="1574" spans="1:15" hidden="1" x14ac:dyDescent="0.25">
      <c r="A1574" t="s">
        <v>2820</v>
      </c>
      <c r="B1574" t="s">
        <v>1735</v>
      </c>
      <c r="C1574" t="s">
        <v>1736</v>
      </c>
      <c r="D1574" t="s">
        <v>1737</v>
      </c>
      <c r="E1574" t="s">
        <v>3208</v>
      </c>
      <c r="F1574" s="3">
        <v>1725000</v>
      </c>
      <c r="G1574" s="2">
        <f t="shared" si="48"/>
        <v>30</v>
      </c>
      <c r="H1574" s="2">
        <f t="shared" ca="1" si="49"/>
        <v>91</v>
      </c>
      <c r="I1574" s="4">
        <v>46029</v>
      </c>
      <c r="J1574" s="4">
        <v>46059</v>
      </c>
      <c r="K1574" t="s">
        <v>1738</v>
      </c>
      <c r="L1574" t="s">
        <v>981</v>
      </c>
      <c r="M1574" t="s">
        <v>19</v>
      </c>
      <c r="N1574" t="s">
        <v>1739</v>
      </c>
      <c r="O1574">
        <v>30</v>
      </c>
    </row>
    <row r="1575" spans="1:15" hidden="1" x14ac:dyDescent="0.25">
      <c r="A1575" t="s">
        <v>2820</v>
      </c>
      <c r="B1575" t="s">
        <v>3209</v>
      </c>
      <c r="C1575" t="s">
        <v>3210</v>
      </c>
      <c r="D1575" t="s">
        <v>1740</v>
      </c>
      <c r="E1575" t="s">
        <v>3211</v>
      </c>
      <c r="F1575" s="3">
        <v>15999900</v>
      </c>
      <c r="G1575" s="2">
        <f t="shared" si="48"/>
        <v>30</v>
      </c>
      <c r="H1575" s="2">
        <f t="shared" ca="1" si="49"/>
        <v>91</v>
      </c>
      <c r="I1575" s="4">
        <v>46029</v>
      </c>
      <c r="J1575" s="4">
        <v>46059</v>
      </c>
      <c r="K1575" t="s">
        <v>1738</v>
      </c>
      <c r="L1575" t="s">
        <v>981</v>
      </c>
      <c r="M1575" t="s">
        <v>19</v>
      </c>
      <c r="N1575" t="s">
        <v>3212</v>
      </c>
      <c r="O1575">
        <v>30</v>
      </c>
    </row>
    <row r="1576" spans="1:15" hidden="1" x14ac:dyDescent="0.25">
      <c r="A1576" t="s">
        <v>2820</v>
      </c>
      <c r="B1576" t="s">
        <v>1735</v>
      </c>
      <c r="C1576" t="s">
        <v>1736</v>
      </c>
      <c r="D1576" t="s">
        <v>1737</v>
      </c>
      <c r="E1576" t="s">
        <v>3213</v>
      </c>
      <c r="F1576" s="3">
        <v>9220865</v>
      </c>
      <c r="G1576" s="2">
        <f t="shared" si="48"/>
        <v>30</v>
      </c>
      <c r="H1576" s="2">
        <f t="shared" ca="1" si="49"/>
        <v>91</v>
      </c>
      <c r="I1576" s="4">
        <v>46029</v>
      </c>
      <c r="J1576" s="4">
        <v>46059</v>
      </c>
      <c r="K1576" t="s">
        <v>1738</v>
      </c>
      <c r="L1576" t="s">
        <v>981</v>
      </c>
      <c r="M1576" t="s">
        <v>19</v>
      </c>
      <c r="N1576" t="s">
        <v>1739</v>
      </c>
      <c r="O1576">
        <v>30</v>
      </c>
    </row>
    <row r="1577" spans="1:15" hidden="1" x14ac:dyDescent="0.25">
      <c r="A1577" t="s">
        <v>2820</v>
      </c>
      <c r="B1577" t="s">
        <v>1735</v>
      </c>
      <c r="C1577" t="s">
        <v>1736</v>
      </c>
      <c r="D1577" t="s">
        <v>1737</v>
      </c>
      <c r="E1577" t="s">
        <v>3214</v>
      </c>
      <c r="F1577" s="3">
        <v>2272165</v>
      </c>
      <c r="G1577" s="2">
        <f t="shared" si="48"/>
        <v>30</v>
      </c>
      <c r="H1577" s="2">
        <f t="shared" ca="1" si="49"/>
        <v>91</v>
      </c>
      <c r="I1577" s="4">
        <v>46029</v>
      </c>
      <c r="J1577" s="4">
        <v>46059</v>
      </c>
      <c r="K1577" t="s">
        <v>1738</v>
      </c>
      <c r="L1577" t="s">
        <v>981</v>
      </c>
      <c r="M1577" t="s">
        <v>19</v>
      </c>
      <c r="N1577" t="s">
        <v>1739</v>
      </c>
      <c r="O1577">
        <v>30</v>
      </c>
    </row>
    <row r="1578" spans="1:15" hidden="1" x14ac:dyDescent="0.25">
      <c r="A1578" t="s">
        <v>2820</v>
      </c>
      <c r="B1578" t="s">
        <v>1735</v>
      </c>
      <c r="C1578" t="s">
        <v>1736</v>
      </c>
      <c r="D1578" t="s">
        <v>1737</v>
      </c>
      <c r="E1578" t="s">
        <v>3215</v>
      </c>
      <c r="F1578" s="3">
        <v>690000</v>
      </c>
      <c r="G1578" s="2">
        <f t="shared" si="48"/>
        <v>30</v>
      </c>
      <c r="H1578" s="2">
        <f t="shared" ca="1" si="49"/>
        <v>91</v>
      </c>
      <c r="I1578" s="4">
        <v>46029</v>
      </c>
      <c r="J1578" s="4">
        <v>46059</v>
      </c>
      <c r="K1578" t="s">
        <v>1738</v>
      </c>
      <c r="L1578" t="s">
        <v>981</v>
      </c>
      <c r="M1578" t="s">
        <v>19</v>
      </c>
      <c r="N1578" t="s">
        <v>1739</v>
      </c>
      <c r="O1578">
        <v>30</v>
      </c>
    </row>
    <row r="1579" spans="1:15" hidden="1" x14ac:dyDescent="0.25">
      <c r="A1579" t="s">
        <v>2820</v>
      </c>
      <c r="B1579" t="s">
        <v>1735</v>
      </c>
      <c r="C1579" t="s">
        <v>1736</v>
      </c>
      <c r="D1579" t="s">
        <v>1737</v>
      </c>
      <c r="E1579" t="s">
        <v>3216</v>
      </c>
      <c r="F1579" s="3">
        <v>724495</v>
      </c>
      <c r="G1579" s="2">
        <f t="shared" si="48"/>
        <v>30</v>
      </c>
      <c r="H1579" s="2">
        <f t="shared" ca="1" si="49"/>
        <v>91</v>
      </c>
      <c r="I1579" s="4">
        <v>46029</v>
      </c>
      <c r="J1579" s="4">
        <v>46059</v>
      </c>
      <c r="K1579" t="s">
        <v>1738</v>
      </c>
      <c r="L1579" t="s">
        <v>981</v>
      </c>
      <c r="M1579" t="s">
        <v>19</v>
      </c>
      <c r="N1579" t="s">
        <v>1739</v>
      </c>
      <c r="O1579">
        <v>30</v>
      </c>
    </row>
    <row r="1580" spans="1:15" hidden="1" x14ac:dyDescent="0.25">
      <c r="A1580" t="s">
        <v>2820</v>
      </c>
      <c r="B1580" t="s">
        <v>1735</v>
      </c>
      <c r="C1580" t="s">
        <v>1736</v>
      </c>
      <c r="D1580" t="s">
        <v>1737</v>
      </c>
      <c r="E1580" t="s">
        <v>3217</v>
      </c>
      <c r="F1580" s="3">
        <v>1727505</v>
      </c>
      <c r="G1580" s="2">
        <f t="shared" si="48"/>
        <v>30</v>
      </c>
      <c r="H1580" s="2">
        <f t="shared" ca="1" si="49"/>
        <v>91</v>
      </c>
      <c r="I1580" s="4">
        <v>46029</v>
      </c>
      <c r="J1580" s="4">
        <v>46059</v>
      </c>
      <c r="K1580" t="s">
        <v>1738</v>
      </c>
      <c r="L1580" t="s">
        <v>981</v>
      </c>
      <c r="M1580" t="s">
        <v>19</v>
      </c>
      <c r="N1580" t="s">
        <v>1739</v>
      </c>
      <c r="O1580">
        <v>30</v>
      </c>
    </row>
    <row r="1581" spans="1:15" hidden="1" x14ac:dyDescent="0.25">
      <c r="A1581" t="s">
        <v>2820</v>
      </c>
      <c r="B1581" t="s">
        <v>64</v>
      </c>
      <c r="C1581" t="s">
        <v>65</v>
      </c>
      <c r="D1581" t="s">
        <v>46</v>
      </c>
      <c r="E1581" t="s">
        <v>2892</v>
      </c>
      <c r="F1581" s="3">
        <v>685190</v>
      </c>
      <c r="G1581" s="2">
        <f t="shared" si="48"/>
        <v>30</v>
      </c>
      <c r="H1581" s="2">
        <f t="shared" ca="1" si="49"/>
        <v>90</v>
      </c>
      <c r="I1581" s="4">
        <v>46030</v>
      </c>
      <c r="J1581" s="4">
        <v>46060</v>
      </c>
      <c r="K1581" t="s">
        <v>17</v>
      </c>
      <c r="L1581" t="s">
        <v>32</v>
      </c>
      <c r="M1581" t="s">
        <v>19</v>
      </c>
      <c r="N1581" t="s">
        <v>66</v>
      </c>
      <c r="O1581">
        <v>30</v>
      </c>
    </row>
    <row r="1582" spans="1:15" hidden="1" x14ac:dyDescent="0.25">
      <c r="A1582" t="s">
        <v>2820</v>
      </c>
      <c r="B1582" t="s">
        <v>143</v>
      </c>
      <c r="C1582" t="s">
        <v>144</v>
      </c>
      <c r="D1582" t="s">
        <v>15</v>
      </c>
      <c r="E1582" t="s">
        <v>2893</v>
      </c>
      <c r="F1582" s="3">
        <v>2109414</v>
      </c>
      <c r="G1582" s="2">
        <f t="shared" si="48"/>
        <v>30</v>
      </c>
      <c r="H1582" s="2">
        <f t="shared" ca="1" si="49"/>
        <v>90</v>
      </c>
      <c r="I1582" s="4">
        <v>46030</v>
      </c>
      <c r="J1582" s="4">
        <v>46060</v>
      </c>
      <c r="K1582" t="s">
        <v>17</v>
      </c>
      <c r="L1582" t="s">
        <v>32</v>
      </c>
      <c r="M1582" t="s">
        <v>19</v>
      </c>
      <c r="N1582" t="s">
        <v>145</v>
      </c>
      <c r="O1582">
        <v>30</v>
      </c>
    </row>
    <row r="1583" spans="1:15" hidden="1" x14ac:dyDescent="0.25">
      <c r="A1583" t="s">
        <v>2820</v>
      </c>
      <c r="B1583" t="s">
        <v>2197</v>
      </c>
      <c r="C1583" t="s">
        <v>2198</v>
      </c>
      <c r="D1583" t="s">
        <v>15</v>
      </c>
      <c r="E1583" t="s">
        <v>2894</v>
      </c>
      <c r="F1583" s="3">
        <v>548855</v>
      </c>
      <c r="G1583" s="2">
        <f t="shared" si="48"/>
        <v>30</v>
      </c>
      <c r="H1583" s="2">
        <f t="shared" ca="1" si="49"/>
        <v>90</v>
      </c>
      <c r="I1583" s="4">
        <v>46030</v>
      </c>
      <c r="J1583" s="4">
        <v>46060</v>
      </c>
      <c r="K1583" t="s">
        <v>17</v>
      </c>
      <c r="L1583" t="s">
        <v>32</v>
      </c>
      <c r="M1583" t="s">
        <v>19</v>
      </c>
      <c r="N1583" t="s">
        <v>2199</v>
      </c>
      <c r="O1583">
        <v>30</v>
      </c>
    </row>
    <row r="1584" spans="1:15" hidden="1" x14ac:dyDescent="0.25">
      <c r="A1584" t="s">
        <v>2820</v>
      </c>
      <c r="B1584" t="s">
        <v>92</v>
      </c>
      <c r="C1584" t="s">
        <v>93</v>
      </c>
      <c r="D1584" t="s">
        <v>46</v>
      </c>
      <c r="E1584" t="s">
        <v>2895</v>
      </c>
      <c r="F1584" s="3">
        <v>2049696</v>
      </c>
      <c r="G1584" s="2">
        <f t="shared" si="48"/>
        <v>30</v>
      </c>
      <c r="H1584" s="2">
        <f t="shared" ca="1" si="49"/>
        <v>90</v>
      </c>
      <c r="I1584" s="4">
        <v>46030</v>
      </c>
      <c r="J1584" s="4">
        <v>46060</v>
      </c>
      <c r="K1584" t="s">
        <v>17</v>
      </c>
      <c r="L1584" t="s">
        <v>32</v>
      </c>
      <c r="M1584" t="s">
        <v>19</v>
      </c>
      <c r="N1584" t="s">
        <v>94</v>
      </c>
      <c r="O1584">
        <v>0</v>
      </c>
    </row>
    <row r="1585" spans="1:15" hidden="1" x14ac:dyDescent="0.25">
      <c r="A1585" t="s">
        <v>2820</v>
      </c>
      <c r="B1585" t="s">
        <v>98</v>
      </c>
      <c r="C1585" t="s">
        <v>99</v>
      </c>
      <c r="D1585" t="s">
        <v>15</v>
      </c>
      <c r="E1585" t="s">
        <v>2896</v>
      </c>
      <c r="F1585" s="3">
        <v>4224340</v>
      </c>
      <c r="G1585" s="2">
        <f t="shared" si="48"/>
        <v>30</v>
      </c>
      <c r="H1585" s="2">
        <f t="shared" ca="1" si="49"/>
        <v>90</v>
      </c>
      <c r="I1585" s="4">
        <v>46030</v>
      </c>
      <c r="J1585" s="4">
        <v>46060</v>
      </c>
      <c r="K1585" t="s">
        <v>17</v>
      </c>
      <c r="L1585" t="s">
        <v>32</v>
      </c>
      <c r="M1585" t="s">
        <v>19</v>
      </c>
      <c r="N1585" t="s">
        <v>100</v>
      </c>
      <c r="O1585">
        <v>30</v>
      </c>
    </row>
    <row r="1586" spans="1:15" hidden="1" x14ac:dyDescent="0.25">
      <c r="A1586" t="s">
        <v>2820</v>
      </c>
      <c r="B1586" t="s">
        <v>76</v>
      </c>
      <c r="C1586" t="s">
        <v>77</v>
      </c>
      <c r="D1586" t="s">
        <v>46</v>
      </c>
      <c r="E1586" t="s">
        <v>2897</v>
      </c>
      <c r="F1586" s="3">
        <v>2109051</v>
      </c>
      <c r="G1586" s="2">
        <f t="shared" si="48"/>
        <v>30</v>
      </c>
      <c r="H1586" s="2">
        <f t="shared" ca="1" si="49"/>
        <v>90</v>
      </c>
      <c r="I1586" s="4">
        <v>46030</v>
      </c>
      <c r="J1586" s="4">
        <v>46060</v>
      </c>
      <c r="K1586" t="s">
        <v>17</v>
      </c>
      <c r="L1586" t="s">
        <v>32</v>
      </c>
      <c r="M1586" t="s">
        <v>19</v>
      </c>
      <c r="N1586" t="s">
        <v>78</v>
      </c>
      <c r="O1586">
        <v>30</v>
      </c>
    </row>
    <row r="1587" spans="1:15" hidden="1" x14ac:dyDescent="0.25">
      <c r="A1587" t="s">
        <v>2820</v>
      </c>
      <c r="B1587" t="s">
        <v>76</v>
      </c>
      <c r="C1587" t="s">
        <v>77</v>
      </c>
      <c r="D1587" t="s">
        <v>46</v>
      </c>
      <c r="E1587" t="s">
        <v>2898</v>
      </c>
      <c r="F1587" s="3">
        <v>19205000</v>
      </c>
      <c r="G1587" s="2">
        <f t="shared" si="48"/>
        <v>30</v>
      </c>
      <c r="H1587" s="2">
        <f t="shared" ca="1" si="49"/>
        <v>90</v>
      </c>
      <c r="I1587" s="4">
        <v>46030</v>
      </c>
      <c r="J1587" s="4">
        <v>46060</v>
      </c>
      <c r="K1587" t="s">
        <v>17</v>
      </c>
      <c r="L1587" t="s">
        <v>32</v>
      </c>
      <c r="M1587" t="s">
        <v>19</v>
      </c>
      <c r="N1587" t="s">
        <v>78</v>
      </c>
      <c r="O1587">
        <v>30</v>
      </c>
    </row>
    <row r="1588" spans="1:15" hidden="1" x14ac:dyDescent="0.25">
      <c r="A1588" t="s">
        <v>2820</v>
      </c>
      <c r="B1588" t="s">
        <v>70</v>
      </c>
      <c r="C1588" t="s">
        <v>71</v>
      </c>
      <c r="D1588" t="s">
        <v>15</v>
      </c>
      <c r="E1588" t="s">
        <v>2899</v>
      </c>
      <c r="F1588" s="3">
        <v>278403</v>
      </c>
      <c r="G1588" s="2">
        <f t="shared" si="48"/>
        <v>30</v>
      </c>
      <c r="H1588" s="2">
        <f t="shared" ca="1" si="49"/>
        <v>90</v>
      </c>
      <c r="I1588" s="4">
        <v>46030</v>
      </c>
      <c r="J1588" s="4">
        <v>46060</v>
      </c>
      <c r="K1588" t="s">
        <v>17</v>
      </c>
      <c r="L1588" t="s">
        <v>32</v>
      </c>
      <c r="M1588" t="s">
        <v>19</v>
      </c>
      <c r="N1588" t="s">
        <v>72</v>
      </c>
      <c r="O1588">
        <v>30</v>
      </c>
    </row>
    <row r="1589" spans="1:15" hidden="1" x14ac:dyDescent="0.25">
      <c r="A1589" t="s">
        <v>2820</v>
      </c>
      <c r="B1589" t="s">
        <v>130</v>
      </c>
      <c r="C1589" t="s">
        <v>131</v>
      </c>
      <c r="D1589" t="s">
        <v>15</v>
      </c>
      <c r="E1589" t="s">
        <v>2900</v>
      </c>
      <c r="F1589" s="3">
        <v>1179399</v>
      </c>
      <c r="G1589" s="2">
        <f t="shared" si="48"/>
        <v>30</v>
      </c>
      <c r="H1589" s="2">
        <f t="shared" ca="1" si="49"/>
        <v>90</v>
      </c>
      <c r="I1589" s="4">
        <v>46030</v>
      </c>
      <c r="J1589" s="4">
        <v>46060</v>
      </c>
      <c r="K1589" t="s">
        <v>17</v>
      </c>
      <c r="L1589" t="s">
        <v>32</v>
      </c>
      <c r="M1589" t="s">
        <v>19</v>
      </c>
      <c r="N1589" t="s">
        <v>132</v>
      </c>
      <c r="O1589">
        <v>30</v>
      </c>
    </row>
    <row r="1590" spans="1:15" hidden="1" x14ac:dyDescent="0.25">
      <c r="A1590" t="s">
        <v>2820</v>
      </c>
      <c r="B1590" t="s">
        <v>52</v>
      </c>
      <c r="C1590" t="s">
        <v>53</v>
      </c>
      <c r="D1590" t="s">
        <v>15</v>
      </c>
      <c r="E1590" t="s">
        <v>2901</v>
      </c>
      <c r="F1590" s="3">
        <v>2074666</v>
      </c>
      <c r="G1590" s="2">
        <f t="shared" si="48"/>
        <v>30</v>
      </c>
      <c r="H1590" s="2">
        <f t="shared" ca="1" si="49"/>
        <v>90</v>
      </c>
      <c r="I1590" s="4">
        <v>46030</v>
      </c>
      <c r="J1590" s="4">
        <v>46060</v>
      </c>
      <c r="K1590" t="s">
        <v>17</v>
      </c>
      <c r="L1590" t="s">
        <v>32</v>
      </c>
      <c r="M1590" t="s">
        <v>19</v>
      </c>
      <c r="N1590" t="s">
        <v>54</v>
      </c>
      <c r="O1590">
        <v>30</v>
      </c>
    </row>
    <row r="1591" spans="1:15" hidden="1" x14ac:dyDescent="0.25">
      <c r="A1591" t="s">
        <v>2820</v>
      </c>
      <c r="B1591" t="s">
        <v>79</v>
      </c>
      <c r="C1591" t="s">
        <v>80</v>
      </c>
      <c r="D1591" t="s">
        <v>46</v>
      </c>
      <c r="E1591" t="s">
        <v>2902</v>
      </c>
      <c r="F1591" s="3">
        <v>7226078</v>
      </c>
      <c r="G1591" s="2">
        <f t="shared" si="48"/>
        <v>30</v>
      </c>
      <c r="H1591" s="2">
        <f t="shared" ca="1" si="49"/>
        <v>90</v>
      </c>
      <c r="I1591" s="4">
        <v>46030</v>
      </c>
      <c r="J1591" s="4">
        <v>46060</v>
      </c>
      <c r="K1591" t="s">
        <v>17</v>
      </c>
      <c r="L1591" t="s">
        <v>32</v>
      </c>
      <c r="M1591" t="s">
        <v>19</v>
      </c>
      <c r="N1591" t="s">
        <v>81</v>
      </c>
      <c r="O1591">
        <v>30</v>
      </c>
    </row>
    <row r="1592" spans="1:15" hidden="1" x14ac:dyDescent="0.25">
      <c r="A1592" t="s">
        <v>2820</v>
      </c>
      <c r="B1592" t="s">
        <v>76</v>
      </c>
      <c r="C1592" t="s">
        <v>77</v>
      </c>
      <c r="D1592" t="s">
        <v>46</v>
      </c>
      <c r="E1592" t="s">
        <v>3230</v>
      </c>
      <c r="F1592" s="3">
        <v>179999</v>
      </c>
      <c r="G1592" s="2">
        <f t="shared" si="48"/>
        <v>30</v>
      </c>
      <c r="H1592" s="2">
        <f t="shared" ca="1" si="49"/>
        <v>90</v>
      </c>
      <c r="I1592" s="4">
        <v>46030</v>
      </c>
      <c r="J1592" s="4">
        <v>46060</v>
      </c>
      <c r="K1592" t="s">
        <v>17</v>
      </c>
      <c r="L1592" t="s">
        <v>32</v>
      </c>
      <c r="M1592" t="s">
        <v>19</v>
      </c>
      <c r="N1592" t="s">
        <v>78</v>
      </c>
      <c r="O1592">
        <v>30</v>
      </c>
    </row>
    <row r="1593" spans="1:15" hidden="1" x14ac:dyDescent="0.25">
      <c r="A1593" t="s">
        <v>2820</v>
      </c>
      <c r="B1593" t="s">
        <v>76</v>
      </c>
      <c r="C1593" t="s">
        <v>77</v>
      </c>
      <c r="D1593" t="s">
        <v>46</v>
      </c>
      <c r="E1593" t="s">
        <v>3231</v>
      </c>
      <c r="F1593" s="3">
        <v>918061</v>
      </c>
      <c r="G1593" s="2">
        <f t="shared" si="48"/>
        <v>30</v>
      </c>
      <c r="H1593" s="2">
        <f t="shared" ca="1" si="49"/>
        <v>90</v>
      </c>
      <c r="I1593" s="4">
        <v>46030</v>
      </c>
      <c r="J1593" s="4">
        <v>46060</v>
      </c>
      <c r="K1593" t="s">
        <v>17</v>
      </c>
      <c r="L1593" t="s">
        <v>32</v>
      </c>
      <c r="M1593" t="s">
        <v>19</v>
      </c>
      <c r="N1593" t="s">
        <v>78</v>
      </c>
      <c r="O1593">
        <v>30</v>
      </c>
    </row>
    <row r="1594" spans="1:15" hidden="1" x14ac:dyDescent="0.25">
      <c r="A1594" t="s">
        <v>2820</v>
      </c>
      <c r="B1594" t="s">
        <v>314</v>
      </c>
      <c r="C1594" t="s">
        <v>315</v>
      </c>
      <c r="D1594" t="s">
        <v>15</v>
      </c>
      <c r="E1594" t="s">
        <v>2930</v>
      </c>
      <c r="F1594" s="3">
        <v>396759</v>
      </c>
      <c r="G1594" s="2">
        <f t="shared" si="48"/>
        <v>30</v>
      </c>
      <c r="H1594" s="2">
        <f t="shared" ca="1" si="49"/>
        <v>90</v>
      </c>
      <c r="I1594" s="4">
        <v>46030</v>
      </c>
      <c r="J1594" s="4">
        <v>46060</v>
      </c>
      <c r="K1594" t="s">
        <v>17</v>
      </c>
      <c r="L1594" t="s">
        <v>312</v>
      </c>
      <c r="M1594" t="s">
        <v>19</v>
      </c>
      <c r="N1594" t="s">
        <v>316</v>
      </c>
      <c r="O1594">
        <v>30</v>
      </c>
    </row>
    <row r="1595" spans="1:15" hidden="1" x14ac:dyDescent="0.25">
      <c r="A1595" t="s">
        <v>2820</v>
      </c>
      <c r="B1595" t="s">
        <v>657</v>
      </c>
      <c r="C1595" t="s">
        <v>658</v>
      </c>
      <c r="D1595" t="s">
        <v>336</v>
      </c>
      <c r="E1595" t="s">
        <v>2951</v>
      </c>
      <c r="F1595" s="3">
        <v>2475405</v>
      </c>
      <c r="G1595" s="2">
        <f t="shared" si="48"/>
        <v>30</v>
      </c>
      <c r="H1595" s="2">
        <f t="shared" ca="1" si="49"/>
        <v>90</v>
      </c>
      <c r="I1595" s="4">
        <v>46030</v>
      </c>
      <c r="J1595" s="4">
        <v>46060</v>
      </c>
      <c r="K1595" t="s">
        <v>638</v>
      </c>
      <c r="L1595" t="s">
        <v>18</v>
      </c>
      <c r="M1595" t="s">
        <v>19</v>
      </c>
      <c r="N1595" t="s">
        <v>659</v>
      </c>
      <c r="O1595">
        <v>30</v>
      </c>
    </row>
    <row r="1596" spans="1:15" hidden="1" x14ac:dyDescent="0.25">
      <c r="A1596" t="s">
        <v>2820</v>
      </c>
      <c r="B1596" t="s">
        <v>660</v>
      </c>
      <c r="C1596" t="s">
        <v>661</v>
      </c>
      <c r="D1596" t="s">
        <v>336</v>
      </c>
      <c r="E1596" t="s">
        <v>2952</v>
      </c>
      <c r="F1596" s="3">
        <v>1503440</v>
      </c>
      <c r="G1596" s="2">
        <f t="shared" si="48"/>
        <v>30</v>
      </c>
      <c r="H1596" s="2">
        <f t="shared" ca="1" si="49"/>
        <v>90</v>
      </c>
      <c r="I1596" s="4">
        <v>46030</v>
      </c>
      <c r="J1596" s="4">
        <v>46060</v>
      </c>
      <c r="K1596" t="s">
        <v>638</v>
      </c>
      <c r="L1596" t="s">
        <v>18</v>
      </c>
      <c r="M1596" t="s">
        <v>19</v>
      </c>
      <c r="N1596" t="s">
        <v>662</v>
      </c>
      <c r="O1596">
        <v>30</v>
      </c>
    </row>
    <row r="1597" spans="1:15" hidden="1" x14ac:dyDescent="0.25">
      <c r="A1597" t="s">
        <v>2820</v>
      </c>
      <c r="B1597" t="s">
        <v>1922</v>
      </c>
      <c r="C1597" t="s">
        <v>1923</v>
      </c>
      <c r="D1597" t="s">
        <v>336</v>
      </c>
      <c r="E1597" t="s">
        <v>2953</v>
      </c>
      <c r="F1597" s="3">
        <v>1389800</v>
      </c>
      <c r="G1597" s="2">
        <f t="shared" si="48"/>
        <v>30</v>
      </c>
      <c r="H1597" s="2">
        <f t="shared" ca="1" si="49"/>
        <v>90</v>
      </c>
      <c r="I1597" s="4">
        <v>46030</v>
      </c>
      <c r="J1597" s="4">
        <v>46060</v>
      </c>
      <c r="K1597" t="s">
        <v>638</v>
      </c>
      <c r="L1597" t="s">
        <v>18</v>
      </c>
      <c r="M1597" t="s">
        <v>19</v>
      </c>
      <c r="N1597" t="s">
        <v>1924</v>
      </c>
      <c r="O1597">
        <v>30</v>
      </c>
    </row>
    <row r="1598" spans="1:15" hidden="1" x14ac:dyDescent="0.25">
      <c r="A1598" t="s">
        <v>2820</v>
      </c>
      <c r="B1598" t="s">
        <v>1922</v>
      </c>
      <c r="C1598" t="s">
        <v>1923</v>
      </c>
      <c r="D1598" t="s">
        <v>336</v>
      </c>
      <c r="E1598" t="s">
        <v>2954</v>
      </c>
      <c r="F1598" s="3">
        <v>1025345</v>
      </c>
      <c r="G1598" s="2">
        <f t="shared" si="48"/>
        <v>30</v>
      </c>
      <c r="H1598" s="2">
        <f t="shared" ca="1" si="49"/>
        <v>90</v>
      </c>
      <c r="I1598" s="4">
        <v>46030</v>
      </c>
      <c r="J1598" s="4">
        <v>46060</v>
      </c>
      <c r="K1598" t="s">
        <v>638</v>
      </c>
      <c r="L1598" t="s">
        <v>18</v>
      </c>
      <c r="M1598" t="s">
        <v>19</v>
      </c>
      <c r="N1598" t="s">
        <v>1924</v>
      </c>
      <c r="O1598">
        <v>30</v>
      </c>
    </row>
    <row r="1599" spans="1:15" hidden="1" x14ac:dyDescent="0.25">
      <c r="A1599" t="s">
        <v>2820</v>
      </c>
      <c r="B1599" t="s">
        <v>654</v>
      </c>
      <c r="C1599" t="s">
        <v>655</v>
      </c>
      <c r="D1599" t="s">
        <v>642</v>
      </c>
      <c r="E1599" t="s">
        <v>2955</v>
      </c>
      <c r="F1599" s="3">
        <v>1446585</v>
      </c>
      <c r="G1599" s="2">
        <f t="shared" si="48"/>
        <v>30</v>
      </c>
      <c r="H1599" s="2">
        <f t="shared" ca="1" si="49"/>
        <v>90</v>
      </c>
      <c r="I1599" s="4">
        <v>46030</v>
      </c>
      <c r="J1599" s="4">
        <v>46060</v>
      </c>
      <c r="K1599" t="s">
        <v>638</v>
      </c>
      <c r="L1599" t="s">
        <v>18</v>
      </c>
      <c r="M1599" t="s">
        <v>19</v>
      </c>
      <c r="N1599" t="s">
        <v>656</v>
      </c>
      <c r="O1599">
        <v>30</v>
      </c>
    </row>
    <row r="1600" spans="1:15" hidden="1" x14ac:dyDescent="0.25">
      <c r="A1600" t="s">
        <v>2820</v>
      </c>
      <c r="B1600" t="s">
        <v>651</v>
      </c>
      <c r="C1600" t="s">
        <v>652</v>
      </c>
      <c r="D1600" t="s">
        <v>642</v>
      </c>
      <c r="E1600" t="s">
        <v>2956</v>
      </c>
      <c r="F1600" s="3">
        <v>1578253</v>
      </c>
      <c r="G1600" s="2">
        <f t="shared" si="48"/>
        <v>30</v>
      </c>
      <c r="H1600" s="2">
        <f t="shared" ca="1" si="49"/>
        <v>90</v>
      </c>
      <c r="I1600" s="4">
        <v>46030</v>
      </c>
      <c r="J1600" s="4">
        <v>46060</v>
      </c>
      <c r="K1600" t="s">
        <v>638</v>
      </c>
      <c r="L1600" t="s">
        <v>18</v>
      </c>
      <c r="M1600" t="s">
        <v>19</v>
      </c>
      <c r="N1600" t="s">
        <v>653</v>
      </c>
      <c r="O1600">
        <v>30</v>
      </c>
    </row>
    <row r="1601" spans="1:15" hidden="1" x14ac:dyDescent="0.25">
      <c r="A1601" t="s">
        <v>2820</v>
      </c>
      <c r="B1601" t="s">
        <v>1920</v>
      </c>
      <c r="C1601" t="s">
        <v>1921</v>
      </c>
      <c r="D1601" t="s">
        <v>46</v>
      </c>
      <c r="E1601" t="s">
        <v>2957</v>
      </c>
      <c r="F1601" s="3">
        <v>275760</v>
      </c>
      <c r="G1601" s="2">
        <f t="shared" si="48"/>
        <v>15</v>
      </c>
      <c r="H1601" s="2">
        <f t="shared" ca="1" si="49"/>
        <v>90</v>
      </c>
      <c r="I1601" s="4">
        <v>46030</v>
      </c>
      <c r="J1601" s="4">
        <v>46045</v>
      </c>
      <c r="K1601" t="s">
        <v>638</v>
      </c>
      <c r="L1601" t="s">
        <v>317</v>
      </c>
      <c r="M1601" t="s">
        <v>19</v>
      </c>
      <c r="N1601" t="s">
        <v>149</v>
      </c>
      <c r="O1601">
        <v>15</v>
      </c>
    </row>
    <row r="1602" spans="1:15" hidden="1" x14ac:dyDescent="0.25">
      <c r="A1602" t="s">
        <v>2820</v>
      </c>
      <c r="B1602" t="s">
        <v>996</v>
      </c>
      <c r="C1602" t="s">
        <v>997</v>
      </c>
      <c r="D1602" t="s">
        <v>998</v>
      </c>
      <c r="E1602" t="s">
        <v>3011</v>
      </c>
      <c r="F1602" s="3">
        <v>3073722</v>
      </c>
      <c r="G1602" s="2">
        <f t="shared" ref="G1602:G1665" si="50">+J1602-I1602</f>
        <v>30</v>
      </c>
      <c r="H1602" s="2">
        <f t="shared" ref="H1602:H1665" ca="1" si="51">+TODAY()-I1602</f>
        <v>90</v>
      </c>
      <c r="I1602" s="4">
        <v>46030</v>
      </c>
      <c r="J1602" s="4">
        <v>46060</v>
      </c>
      <c r="K1602" t="s">
        <v>989</v>
      </c>
      <c r="L1602" t="s">
        <v>18</v>
      </c>
      <c r="M1602" t="s">
        <v>19</v>
      </c>
      <c r="N1602" t="s">
        <v>999</v>
      </c>
      <c r="O1602">
        <v>30</v>
      </c>
    </row>
    <row r="1603" spans="1:15" hidden="1" x14ac:dyDescent="0.25">
      <c r="A1603" t="s">
        <v>2820</v>
      </c>
      <c r="B1603" t="s">
        <v>992</v>
      </c>
      <c r="C1603" t="s">
        <v>993</v>
      </c>
      <c r="D1603" t="s">
        <v>994</v>
      </c>
      <c r="E1603" t="s">
        <v>3012</v>
      </c>
      <c r="F1603" s="3">
        <v>4015800</v>
      </c>
      <c r="G1603" s="2">
        <f t="shared" si="50"/>
        <v>30</v>
      </c>
      <c r="H1603" s="2">
        <f t="shared" ca="1" si="51"/>
        <v>90</v>
      </c>
      <c r="I1603" s="4">
        <v>46030</v>
      </c>
      <c r="J1603" s="4">
        <v>46060</v>
      </c>
      <c r="K1603" t="s">
        <v>989</v>
      </c>
      <c r="L1603" t="s">
        <v>18</v>
      </c>
      <c r="M1603" t="s">
        <v>19</v>
      </c>
      <c r="N1603" t="s">
        <v>995</v>
      </c>
      <c r="O1603">
        <v>30</v>
      </c>
    </row>
    <row r="1604" spans="1:15" hidden="1" x14ac:dyDescent="0.25">
      <c r="A1604" t="s">
        <v>2820</v>
      </c>
      <c r="B1604" t="s">
        <v>1057</v>
      </c>
      <c r="C1604" t="s">
        <v>1058</v>
      </c>
      <c r="D1604" t="s">
        <v>998</v>
      </c>
      <c r="E1604" t="s">
        <v>3545</v>
      </c>
      <c r="F1604" s="3">
        <v>281201</v>
      </c>
      <c r="G1604" s="2">
        <f t="shared" si="50"/>
        <v>15</v>
      </c>
      <c r="H1604" s="2">
        <f t="shared" ca="1" si="51"/>
        <v>90</v>
      </c>
      <c r="I1604" s="4">
        <v>46030</v>
      </c>
      <c r="J1604" s="4">
        <v>46045</v>
      </c>
      <c r="K1604" t="s">
        <v>989</v>
      </c>
      <c r="L1604" t="s">
        <v>317</v>
      </c>
      <c r="M1604" t="s">
        <v>19</v>
      </c>
      <c r="N1604" t="s">
        <v>1059</v>
      </c>
      <c r="O1604">
        <v>15</v>
      </c>
    </row>
    <row r="1605" spans="1:15" hidden="1" x14ac:dyDescent="0.25">
      <c r="A1605" t="s">
        <v>2820</v>
      </c>
      <c r="B1605" t="s">
        <v>1115</v>
      </c>
      <c r="C1605" t="s">
        <v>1116</v>
      </c>
      <c r="D1605" t="s">
        <v>320</v>
      </c>
      <c r="E1605" t="s">
        <v>3037</v>
      </c>
      <c r="F1605" s="3">
        <v>750744</v>
      </c>
      <c r="G1605" s="2">
        <f t="shared" si="50"/>
        <v>30</v>
      </c>
      <c r="H1605" s="2">
        <f t="shared" ca="1" si="51"/>
        <v>90</v>
      </c>
      <c r="I1605" s="4">
        <v>46030</v>
      </c>
      <c r="J1605" s="4">
        <v>46060</v>
      </c>
      <c r="K1605" t="s">
        <v>1068</v>
      </c>
      <c r="L1605" t="s">
        <v>47</v>
      </c>
      <c r="M1605" t="s">
        <v>19</v>
      </c>
      <c r="N1605" t="s">
        <v>1117</v>
      </c>
      <c r="O1605">
        <v>30</v>
      </c>
    </row>
    <row r="1606" spans="1:15" hidden="1" x14ac:dyDescent="0.25">
      <c r="A1606" t="s">
        <v>2820</v>
      </c>
      <c r="B1606" t="s">
        <v>1110</v>
      </c>
      <c r="C1606" t="s">
        <v>1111</v>
      </c>
      <c r="D1606" t="s">
        <v>320</v>
      </c>
      <c r="E1606" t="s">
        <v>3038</v>
      </c>
      <c r="F1606" s="3">
        <v>179898</v>
      </c>
      <c r="G1606" s="2">
        <f t="shared" si="50"/>
        <v>30</v>
      </c>
      <c r="H1606" s="2">
        <f t="shared" ca="1" si="51"/>
        <v>90</v>
      </c>
      <c r="I1606" s="4">
        <v>46030</v>
      </c>
      <c r="J1606" s="4">
        <v>46060</v>
      </c>
      <c r="K1606" t="s">
        <v>1068</v>
      </c>
      <c r="L1606" t="s">
        <v>47</v>
      </c>
      <c r="M1606" t="s">
        <v>19</v>
      </c>
      <c r="N1606" t="s">
        <v>149</v>
      </c>
      <c r="O1606">
        <v>30</v>
      </c>
    </row>
    <row r="1607" spans="1:15" hidden="1" x14ac:dyDescent="0.25">
      <c r="A1607" t="s">
        <v>2820</v>
      </c>
      <c r="B1607" t="s">
        <v>1115</v>
      </c>
      <c r="C1607" t="s">
        <v>1116</v>
      </c>
      <c r="D1607" t="s">
        <v>320</v>
      </c>
      <c r="E1607" t="s">
        <v>3039</v>
      </c>
      <c r="F1607" s="3">
        <v>165608</v>
      </c>
      <c r="G1607" s="2">
        <f t="shared" si="50"/>
        <v>30</v>
      </c>
      <c r="H1607" s="2">
        <f t="shared" ca="1" si="51"/>
        <v>90</v>
      </c>
      <c r="I1607" s="4">
        <v>46030</v>
      </c>
      <c r="J1607" s="4">
        <v>46060</v>
      </c>
      <c r="K1607" t="s">
        <v>1068</v>
      </c>
      <c r="L1607" t="s">
        <v>117</v>
      </c>
      <c r="M1607" t="s">
        <v>19</v>
      </c>
      <c r="N1607" t="s">
        <v>1117</v>
      </c>
      <c r="O1607">
        <v>30</v>
      </c>
    </row>
    <row r="1608" spans="1:15" hidden="1" x14ac:dyDescent="0.25">
      <c r="A1608" t="s">
        <v>2820</v>
      </c>
      <c r="B1608" t="s">
        <v>1135</v>
      </c>
      <c r="C1608" t="s">
        <v>1136</v>
      </c>
      <c r="D1608" t="s">
        <v>1066</v>
      </c>
      <c r="E1608" t="s">
        <v>3042</v>
      </c>
      <c r="F1608" s="3">
        <v>228871</v>
      </c>
      <c r="G1608" s="2">
        <f t="shared" si="50"/>
        <v>15</v>
      </c>
      <c r="H1608" s="2">
        <f t="shared" ca="1" si="51"/>
        <v>90</v>
      </c>
      <c r="I1608" s="4">
        <v>46030</v>
      </c>
      <c r="J1608" s="4">
        <v>46045</v>
      </c>
      <c r="K1608" t="s">
        <v>1068</v>
      </c>
      <c r="L1608" t="s">
        <v>321</v>
      </c>
      <c r="M1608" t="s">
        <v>19</v>
      </c>
      <c r="N1608" t="s">
        <v>1137</v>
      </c>
      <c r="O1608">
        <v>15</v>
      </c>
    </row>
    <row r="1609" spans="1:15" hidden="1" x14ac:dyDescent="0.25">
      <c r="A1609" t="s">
        <v>2820</v>
      </c>
      <c r="B1609" t="s">
        <v>3619</v>
      </c>
      <c r="C1609" t="s">
        <v>3620</v>
      </c>
      <c r="D1609" t="s">
        <v>15</v>
      </c>
      <c r="E1609" t="s">
        <v>3621</v>
      </c>
      <c r="F1609" s="3">
        <v>2120000</v>
      </c>
      <c r="G1609" s="2">
        <f t="shared" si="50"/>
        <v>30</v>
      </c>
      <c r="H1609" s="2">
        <f t="shared" ca="1" si="51"/>
        <v>90</v>
      </c>
      <c r="I1609" s="4">
        <v>46030</v>
      </c>
      <c r="J1609" s="4">
        <v>46060</v>
      </c>
      <c r="K1609" t="s">
        <v>1233</v>
      </c>
      <c r="L1609" t="s">
        <v>18</v>
      </c>
      <c r="M1609" t="s">
        <v>19</v>
      </c>
      <c r="N1609" t="s">
        <v>3622</v>
      </c>
      <c r="O1609">
        <v>30</v>
      </c>
    </row>
    <row r="1610" spans="1:15" hidden="1" x14ac:dyDescent="0.25">
      <c r="A1610" t="s">
        <v>2820</v>
      </c>
      <c r="B1610" t="s">
        <v>3619</v>
      </c>
      <c r="C1610" t="s">
        <v>3620</v>
      </c>
      <c r="D1610" t="s">
        <v>15</v>
      </c>
      <c r="E1610" t="s">
        <v>3623</v>
      </c>
      <c r="F1610" s="3">
        <v>1552309</v>
      </c>
      <c r="G1610" s="2">
        <f t="shared" si="50"/>
        <v>30</v>
      </c>
      <c r="H1610" s="2">
        <f t="shared" ca="1" si="51"/>
        <v>90</v>
      </c>
      <c r="I1610" s="4">
        <v>46030</v>
      </c>
      <c r="J1610" s="4">
        <v>46060</v>
      </c>
      <c r="K1610" t="s">
        <v>1233</v>
      </c>
      <c r="L1610" t="s">
        <v>18</v>
      </c>
      <c r="M1610" t="s">
        <v>19</v>
      </c>
      <c r="N1610" t="s">
        <v>3622</v>
      </c>
      <c r="O1610">
        <v>30</v>
      </c>
    </row>
    <row r="1611" spans="1:15" hidden="1" x14ac:dyDescent="0.25">
      <c r="A1611" t="s">
        <v>2820</v>
      </c>
      <c r="B1611" t="s">
        <v>3619</v>
      </c>
      <c r="C1611" t="s">
        <v>3620</v>
      </c>
      <c r="D1611" t="s">
        <v>15</v>
      </c>
      <c r="E1611" t="s">
        <v>3624</v>
      </c>
      <c r="F1611" s="3">
        <v>4966000</v>
      </c>
      <c r="G1611" s="2">
        <f t="shared" si="50"/>
        <v>30</v>
      </c>
      <c r="H1611" s="2">
        <f t="shared" ca="1" si="51"/>
        <v>90</v>
      </c>
      <c r="I1611" s="4">
        <v>46030</v>
      </c>
      <c r="J1611" s="4">
        <v>46060</v>
      </c>
      <c r="K1611" t="s">
        <v>1233</v>
      </c>
      <c r="L1611" t="s">
        <v>18</v>
      </c>
      <c r="M1611" t="s">
        <v>19</v>
      </c>
      <c r="N1611" t="s">
        <v>3622</v>
      </c>
      <c r="O1611">
        <v>30</v>
      </c>
    </row>
    <row r="1612" spans="1:15" hidden="1" x14ac:dyDescent="0.25">
      <c r="A1612" t="s">
        <v>2820</v>
      </c>
      <c r="B1612" t="s">
        <v>3619</v>
      </c>
      <c r="C1612" t="s">
        <v>3620</v>
      </c>
      <c r="D1612" t="s">
        <v>15</v>
      </c>
      <c r="E1612" t="s">
        <v>3625</v>
      </c>
      <c r="F1612" s="3">
        <v>1260089</v>
      </c>
      <c r="G1612" s="2">
        <f t="shared" si="50"/>
        <v>30</v>
      </c>
      <c r="H1612" s="2">
        <f t="shared" ca="1" si="51"/>
        <v>90</v>
      </c>
      <c r="I1612" s="4">
        <v>46030</v>
      </c>
      <c r="J1612" s="4">
        <v>46060</v>
      </c>
      <c r="K1612" t="s">
        <v>1233</v>
      </c>
      <c r="L1612" t="s">
        <v>18</v>
      </c>
      <c r="M1612" t="s">
        <v>19</v>
      </c>
      <c r="N1612" t="s">
        <v>3622</v>
      </c>
      <c r="O1612">
        <v>30</v>
      </c>
    </row>
    <row r="1613" spans="1:15" hidden="1" x14ac:dyDescent="0.25">
      <c r="A1613" t="s">
        <v>2820</v>
      </c>
      <c r="B1613" t="s">
        <v>3126</v>
      </c>
      <c r="C1613" t="s">
        <v>3127</v>
      </c>
      <c r="D1613" t="s">
        <v>875</v>
      </c>
      <c r="E1613" t="s">
        <v>3128</v>
      </c>
      <c r="F1613" s="3">
        <v>3140055</v>
      </c>
      <c r="G1613" s="2">
        <f t="shared" si="50"/>
        <v>30</v>
      </c>
      <c r="H1613" s="2">
        <f t="shared" ca="1" si="51"/>
        <v>90</v>
      </c>
      <c r="I1613" s="4">
        <v>46030</v>
      </c>
      <c r="J1613" s="4">
        <v>46060</v>
      </c>
      <c r="K1613" t="s">
        <v>1403</v>
      </c>
      <c r="L1613" t="s">
        <v>90</v>
      </c>
      <c r="M1613" t="s">
        <v>19</v>
      </c>
      <c r="N1613" t="s">
        <v>3129</v>
      </c>
      <c r="O1613">
        <v>30</v>
      </c>
    </row>
    <row r="1614" spans="1:15" hidden="1" x14ac:dyDescent="0.25">
      <c r="A1614" t="s">
        <v>2820</v>
      </c>
      <c r="B1614" t="s">
        <v>3126</v>
      </c>
      <c r="C1614" t="s">
        <v>3127</v>
      </c>
      <c r="D1614" t="s">
        <v>875</v>
      </c>
      <c r="E1614" t="s">
        <v>3130</v>
      </c>
      <c r="F1614" s="3">
        <v>19286219</v>
      </c>
      <c r="G1614" s="2">
        <f t="shared" si="50"/>
        <v>30</v>
      </c>
      <c r="H1614" s="2">
        <f t="shared" ca="1" si="51"/>
        <v>90</v>
      </c>
      <c r="I1614" s="4">
        <v>46030</v>
      </c>
      <c r="J1614" s="4">
        <v>46060</v>
      </c>
      <c r="K1614" t="s">
        <v>1403</v>
      </c>
      <c r="L1614" t="s">
        <v>90</v>
      </c>
      <c r="M1614" t="s">
        <v>19</v>
      </c>
      <c r="N1614" t="s">
        <v>3129</v>
      </c>
      <c r="O1614">
        <v>30</v>
      </c>
    </row>
    <row r="1615" spans="1:15" hidden="1" x14ac:dyDescent="0.25">
      <c r="A1615" t="s">
        <v>2820</v>
      </c>
      <c r="B1615" t="s">
        <v>2313</v>
      </c>
      <c r="C1615" t="s">
        <v>2314</v>
      </c>
      <c r="D1615" t="s">
        <v>875</v>
      </c>
      <c r="E1615" t="s">
        <v>3694</v>
      </c>
      <c r="F1615" s="3">
        <v>5685601</v>
      </c>
      <c r="G1615" s="2">
        <f t="shared" si="50"/>
        <v>30</v>
      </c>
      <c r="H1615" s="2">
        <f t="shared" ca="1" si="51"/>
        <v>90</v>
      </c>
      <c r="I1615" s="4">
        <v>46030</v>
      </c>
      <c r="J1615" s="4">
        <v>46060</v>
      </c>
      <c r="K1615" t="s">
        <v>1403</v>
      </c>
      <c r="L1615" t="s">
        <v>109</v>
      </c>
      <c r="M1615" t="s">
        <v>19</v>
      </c>
      <c r="N1615" t="s">
        <v>2316</v>
      </c>
      <c r="O1615">
        <v>30</v>
      </c>
    </row>
    <row r="1616" spans="1:15" hidden="1" x14ac:dyDescent="0.25">
      <c r="A1616" t="s">
        <v>2820</v>
      </c>
      <c r="B1616" t="s">
        <v>2313</v>
      </c>
      <c r="C1616" t="s">
        <v>2314</v>
      </c>
      <c r="D1616" t="s">
        <v>875</v>
      </c>
      <c r="E1616" t="s">
        <v>3695</v>
      </c>
      <c r="F1616" s="3">
        <v>7308000</v>
      </c>
      <c r="G1616" s="2">
        <f t="shared" si="50"/>
        <v>30</v>
      </c>
      <c r="H1616" s="2">
        <f t="shared" ca="1" si="51"/>
        <v>90</v>
      </c>
      <c r="I1616" s="4">
        <v>46030</v>
      </c>
      <c r="J1616" s="4">
        <v>46060</v>
      </c>
      <c r="K1616" t="s">
        <v>1403</v>
      </c>
      <c r="L1616" t="s">
        <v>109</v>
      </c>
      <c r="M1616" t="s">
        <v>19</v>
      </c>
      <c r="N1616" t="s">
        <v>2316</v>
      </c>
      <c r="O1616">
        <v>30</v>
      </c>
    </row>
    <row r="1617" spans="1:15" hidden="1" x14ac:dyDescent="0.25">
      <c r="A1617" t="s">
        <v>2820</v>
      </c>
      <c r="B1617" t="s">
        <v>114</v>
      </c>
      <c r="C1617" t="s">
        <v>115</v>
      </c>
      <c r="D1617" t="s">
        <v>15</v>
      </c>
      <c r="E1617" t="s">
        <v>3232</v>
      </c>
      <c r="F1617" s="3">
        <v>537207</v>
      </c>
      <c r="G1617" s="2">
        <f t="shared" si="50"/>
        <v>30</v>
      </c>
      <c r="H1617" s="2">
        <f t="shared" ca="1" si="51"/>
        <v>89</v>
      </c>
      <c r="I1617" s="4">
        <v>46031</v>
      </c>
      <c r="J1617" s="4">
        <v>46061</v>
      </c>
      <c r="K1617" t="s">
        <v>17</v>
      </c>
      <c r="L1617" t="s">
        <v>32</v>
      </c>
      <c r="M1617" t="s">
        <v>19</v>
      </c>
      <c r="N1617" t="s">
        <v>116</v>
      </c>
      <c r="O1617">
        <v>30</v>
      </c>
    </row>
    <row r="1618" spans="1:15" hidden="1" x14ac:dyDescent="0.25">
      <c r="A1618" t="s">
        <v>2820</v>
      </c>
      <c r="B1618" t="s">
        <v>76</v>
      </c>
      <c r="C1618" t="s">
        <v>77</v>
      </c>
      <c r="D1618" t="s">
        <v>46</v>
      </c>
      <c r="E1618" t="s">
        <v>3233</v>
      </c>
      <c r="F1618" s="3">
        <v>359999</v>
      </c>
      <c r="G1618" s="2">
        <f t="shared" si="50"/>
        <v>30</v>
      </c>
      <c r="H1618" s="2">
        <f t="shared" ca="1" si="51"/>
        <v>89</v>
      </c>
      <c r="I1618" s="4">
        <v>46031</v>
      </c>
      <c r="J1618" s="4">
        <v>46061</v>
      </c>
      <c r="K1618" t="s">
        <v>17</v>
      </c>
      <c r="L1618" t="s">
        <v>32</v>
      </c>
      <c r="M1618" t="s">
        <v>19</v>
      </c>
      <c r="N1618" t="s">
        <v>78</v>
      </c>
      <c r="O1618">
        <v>30</v>
      </c>
    </row>
    <row r="1619" spans="1:15" hidden="1" x14ac:dyDescent="0.25">
      <c r="A1619" t="s">
        <v>2820</v>
      </c>
      <c r="B1619" t="s">
        <v>98</v>
      </c>
      <c r="C1619" t="s">
        <v>99</v>
      </c>
      <c r="D1619" t="s">
        <v>15</v>
      </c>
      <c r="E1619" t="s">
        <v>3234</v>
      </c>
      <c r="F1619" s="3">
        <v>8400000</v>
      </c>
      <c r="G1619" s="2">
        <f t="shared" si="50"/>
        <v>30</v>
      </c>
      <c r="H1619" s="2">
        <f t="shared" ca="1" si="51"/>
        <v>89</v>
      </c>
      <c r="I1619" s="4">
        <v>46031</v>
      </c>
      <c r="J1619" s="4">
        <v>46061</v>
      </c>
      <c r="K1619" t="s">
        <v>17</v>
      </c>
      <c r="L1619" t="s">
        <v>32</v>
      </c>
      <c r="M1619" t="s">
        <v>19</v>
      </c>
      <c r="N1619" t="s">
        <v>100</v>
      </c>
      <c r="O1619">
        <v>30</v>
      </c>
    </row>
    <row r="1620" spans="1:15" hidden="1" x14ac:dyDescent="0.25">
      <c r="A1620" t="s">
        <v>2820</v>
      </c>
      <c r="B1620" t="s">
        <v>52</v>
      </c>
      <c r="C1620" t="s">
        <v>53</v>
      </c>
      <c r="D1620" t="s">
        <v>15</v>
      </c>
      <c r="E1620" t="s">
        <v>3235</v>
      </c>
      <c r="F1620" s="3">
        <v>2624000</v>
      </c>
      <c r="G1620" s="2">
        <f t="shared" si="50"/>
        <v>30</v>
      </c>
      <c r="H1620" s="2">
        <f t="shared" ca="1" si="51"/>
        <v>89</v>
      </c>
      <c r="I1620" s="4">
        <v>46031</v>
      </c>
      <c r="J1620" s="4">
        <v>46061</v>
      </c>
      <c r="K1620" t="s">
        <v>17</v>
      </c>
      <c r="L1620" t="s">
        <v>32</v>
      </c>
      <c r="M1620" t="s">
        <v>19</v>
      </c>
      <c r="N1620" t="s">
        <v>54</v>
      </c>
      <c r="O1620">
        <v>30</v>
      </c>
    </row>
    <row r="1621" spans="1:15" hidden="1" x14ac:dyDescent="0.25">
      <c r="A1621" t="s">
        <v>2820</v>
      </c>
      <c r="B1621" t="s">
        <v>70</v>
      </c>
      <c r="C1621" t="s">
        <v>71</v>
      </c>
      <c r="D1621" t="s">
        <v>15</v>
      </c>
      <c r="E1621" t="s">
        <v>3236</v>
      </c>
      <c r="F1621" s="3">
        <v>1743332</v>
      </c>
      <c r="G1621" s="2">
        <f t="shared" si="50"/>
        <v>30</v>
      </c>
      <c r="H1621" s="2">
        <f t="shared" ca="1" si="51"/>
        <v>89</v>
      </c>
      <c r="I1621" s="4">
        <v>46031</v>
      </c>
      <c r="J1621" s="4">
        <v>46061</v>
      </c>
      <c r="K1621" t="s">
        <v>17</v>
      </c>
      <c r="L1621" t="s">
        <v>32</v>
      </c>
      <c r="M1621" t="s">
        <v>19</v>
      </c>
      <c r="N1621" t="s">
        <v>72</v>
      </c>
      <c r="O1621">
        <v>30</v>
      </c>
    </row>
    <row r="1622" spans="1:15" hidden="1" x14ac:dyDescent="0.25">
      <c r="A1622" t="s">
        <v>2820</v>
      </c>
      <c r="B1622" t="s">
        <v>70</v>
      </c>
      <c r="C1622" t="s">
        <v>71</v>
      </c>
      <c r="D1622" t="s">
        <v>15</v>
      </c>
      <c r="E1622" t="s">
        <v>3237</v>
      </c>
      <c r="F1622" s="3">
        <v>3843998</v>
      </c>
      <c r="G1622" s="2">
        <f t="shared" si="50"/>
        <v>30</v>
      </c>
      <c r="H1622" s="2">
        <f t="shared" ca="1" si="51"/>
        <v>89</v>
      </c>
      <c r="I1622" s="4">
        <v>46031</v>
      </c>
      <c r="J1622" s="4">
        <v>46061</v>
      </c>
      <c r="K1622" t="s">
        <v>17</v>
      </c>
      <c r="L1622" t="s">
        <v>32</v>
      </c>
      <c r="M1622" t="s">
        <v>19</v>
      </c>
      <c r="N1622" t="s">
        <v>72</v>
      </c>
      <c r="O1622">
        <v>30</v>
      </c>
    </row>
    <row r="1623" spans="1:15" hidden="1" x14ac:dyDescent="0.25">
      <c r="A1623" t="s">
        <v>2820</v>
      </c>
      <c r="B1623" t="s">
        <v>104</v>
      </c>
      <c r="C1623" t="s">
        <v>105</v>
      </c>
      <c r="D1623" t="s">
        <v>46</v>
      </c>
      <c r="E1623" t="s">
        <v>3238</v>
      </c>
      <c r="F1623" s="3">
        <v>154498</v>
      </c>
      <c r="G1623" s="2">
        <f t="shared" si="50"/>
        <v>30</v>
      </c>
      <c r="H1623" s="2">
        <f t="shared" ca="1" si="51"/>
        <v>89</v>
      </c>
      <c r="I1623" s="4">
        <v>46031</v>
      </c>
      <c r="J1623" s="4">
        <v>46061</v>
      </c>
      <c r="K1623" t="s">
        <v>17</v>
      </c>
      <c r="L1623" t="s">
        <v>32</v>
      </c>
      <c r="M1623" t="s">
        <v>19</v>
      </c>
      <c r="N1623" t="s">
        <v>106</v>
      </c>
      <c r="O1623">
        <v>30</v>
      </c>
    </row>
    <row r="1624" spans="1:15" hidden="1" x14ac:dyDescent="0.25">
      <c r="A1624" t="s">
        <v>2820</v>
      </c>
      <c r="B1624" t="s">
        <v>130</v>
      </c>
      <c r="C1624" t="s">
        <v>131</v>
      </c>
      <c r="D1624" t="s">
        <v>15</v>
      </c>
      <c r="E1624" t="s">
        <v>3239</v>
      </c>
      <c r="F1624" s="3">
        <v>808810</v>
      </c>
      <c r="G1624" s="2">
        <f t="shared" si="50"/>
        <v>30</v>
      </c>
      <c r="H1624" s="2">
        <f t="shared" ca="1" si="51"/>
        <v>89</v>
      </c>
      <c r="I1624" s="4">
        <v>46031</v>
      </c>
      <c r="J1624" s="4">
        <v>46061</v>
      </c>
      <c r="K1624" t="s">
        <v>17</v>
      </c>
      <c r="L1624" t="s">
        <v>32</v>
      </c>
      <c r="M1624" t="s">
        <v>19</v>
      </c>
      <c r="N1624" t="s">
        <v>132</v>
      </c>
      <c r="O1624">
        <v>30</v>
      </c>
    </row>
    <row r="1625" spans="1:15" hidden="1" x14ac:dyDescent="0.25">
      <c r="A1625" t="s">
        <v>2820</v>
      </c>
      <c r="B1625" t="s">
        <v>107</v>
      </c>
      <c r="C1625" t="s">
        <v>108</v>
      </c>
      <c r="D1625" t="s">
        <v>46</v>
      </c>
      <c r="E1625" t="s">
        <v>3240</v>
      </c>
      <c r="F1625" s="3">
        <v>19131458</v>
      </c>
      <c r="G1625" s="2">
        <f t="shared" si="50"/>
        <v>30</v>
      </c>
      <c r="H1625" s="2">
        <f t="shared" ca="1" si="51"/>
        <v>89</v>
      </c>
      <c r="I1625" s="4">
        <v>46031</v>
      </c>
      <c r="J1625" s="4">
        <v>46061</v>
      </c>
      <c r="K1625" t="s">
        <v>17</v>
      </c>
      <c r="L1625" t="s">
        <v>117</v>
      </c>
      <c r="M1625" t="s">
        <v>19</v>
      </c>
      <c r="N1625" t="s">
        <v>110</v>
      </c>
      <c r="O1625">
        <v>30</v>
      </c>
    </row>
    <row r="1626" spans="1:15" hidden="1" x14ac:dyDescent="0.25">
      <c r="A1626" t="s">
        <v>2820</v>
      </c>
      <c r="B1626" t="s">
        <v>107</v>
      </c>
      <c r="C1626" t="s">
        <v>108</v>
      </c>
      <c r="D1626" t="s">
        <v>46</v>
      </c>
      <c r="E1626" t="s">
        <v>3241</v>
      </c>
      <c r="F1626" s="3">
        <v>2195000</v>
      </c>
      <c r="G1626" s="2">
        <f t="shared" si="50"/>
        <v>30</v>
      </c>
      <c r="H1626" s="2">
        <f t="shared" ca="1" si="51"/>
        <v>89</v>
      </c>
      <c r="I1626" s="4">
        <v>46031</v>
      </c>
      <c r="J1626" s="4">
        <v>46061</v>
      </c>
      <c r="K1626" t="s">
        <v>17</v>
      </c>
      <c r="L1626" t="s">
        <v>117</v>
      </c>
      <c r="M1626" t="s">
        <v>19</v>
      </c>
      <c r="N1626" t="s">
        <v>110</v>
      </c>
      <c r="O1626">
        <v>30</v>
      </c>
    </row>
    <row r="1627" spans="1:15" hidden="1" x14ac:dyDescent="0.25">
      <c r="A1627" t="s">
        <v>2820</v>
      </c>
      <c r="B1627" t="s">
        <v>104</v>
      </c>
      <c r="C1627" t="s">
        <v>105</v>
      </c>
      <c r="D1627" t="s">
        <v>46</v>
      </c>
      <c r="E1627" t="s">
        <v>3242</v>
      </c>
      <c r="F1627" s="3">
        <v>324000</v>
      </c>
      <c r="G1627" s="2">
        <f t="shared" si="50"/>
        <v>30</v>
      </c>
      <c r="H1627" s="2">
        <f t="shared" ca="1" si="51"/>
        <v>89</v>
      </c>
      <c r="I1627" s="4">
        <v>46031</v>
      </c>
      <c r="J1627" s="4">
        <v>46061</v>
      </c>
      <c r="K1627" t="s">
        <v>17</v>
      </c>
      <c r="L1627" t="s">
        <v>32</v>
      </c>
      <c r="M1627" t="s">
        <v>19</v>
      </c>
      <c r="N1627" t="s">
        <v>106</v>
      </c>
      <c r="O1627">
        <v>30</v>
      </c>
    </row>
    <row r="1628" spans="1:15" hidden="1" x14ac:dyDescent="0.25">
      <c r="A1628" t="s">
        <v>2820</v>
      </c>
      <c r="B1628" t="s">
        <v>2370</v>
      </c>
      <c r="C1628" t="s">
        <v>2371</v>
      </c>
      <c r="D1628" t="s">
        <v>46</v>
      </c>
      <c r="E1628" t="s">
        <v>3243</v>
      </c>
      <c r="F1628" s="3">
        <v>1061052</v>
      </c>
      <c r="G1628" s="2">
        <f t="shared" si="50"/>
        <v>30</v>
      </c>
      <c r="H1628" s="2">
        <f t="shared" ca="1" si="51"/>
        <v>89</v>
      </c>
      <c r="I1628" s="4">
        <v>46031</v>
      </c>
      <c r="J1628" s="4">
        <v>46061</v>
      </c>
      <c r="K1628" t="s">
        <v>17</v>
      </c>
      <c r="L1628" t="s">
        <v>18</v>
      </c>
      <c r="M1628" t="s">
        <v>19</v>
      </c>
      <c r="N1628" t="s">
        <v>2372</v>
      </c>
      <c r="O1628">
        <v>30</v>
      </c>
    </row>
    <row r="1629" spans="1:15" hidden="1" x14ac:dyDescent="0.25">
      <c r="A1629" t="s">
        <v>2820</v>
      </c>
      <c r="B1629" t="s">
        <v>2370</v>
      </c>
      <c r="C1629" t="s">
        <v>2371</v>
      </c>
      <c r="D1629" t="s">
        <v>46</v>
      </c>
      <c r="E1629" t="s">
        <v>3244</v>
      </c>
      <c r="F1629" s="3">
        <v>186284</v>
      </c>
      <c r="G1629" s="2">
        <f t="shared" si="50"/>
        <v>30</v>
      </c>
      <c r="H1629" s="2">
        <f t="shared" ca="1" si="51"/>
        <v>89</v>
      </c>
      <c r="I1629" s="4">
        <v>46031</v>
      </c>
      <c r="J1629" s="4">
        <v>46061</v>
      </c>
      <c r="K1629" t="s">
        <v>17</v>
      </c>
      <c r="L1629" t="s">
        <v>18</v>
      </c>
      <c r="M1629" t="s">
        <v>19</v>
      </c>
      <c r="N1629" t="s">
        <v>2372</v>
      </c>
      <c r="O1629">
        <v>30</v>
      </c>
    </row>
    <row r="1630" spans="1:15" hidden="1" x14ac:dyDescent="0.25">
      <c r="A1630" t="s">
        <v>2820</v>
      </c>
      <c r="B1630" t="s">
        <v>76</v>
      </c>
      <c r="C1630" t="s">
        <v>77</v>
      </c>
      <c r="D1630" t="s">
        <v>46</v>
      </c>
      <c r="E1630" t="s">
        <v>3245</v>
      </c>
      <c r="F1630" s="3">
        <v>465004</v>
      </c>
      <c r="G1630" s="2">
        <f t="shared" si="50"/>
        <v>30</v>
      </c>
      <c r="H1630" s="2">
        <f t="shared" ca="1" si="51"/>
        <v>89</v>
      </c>
      <c r="I1630" s="4">
        <v>46031</v>
      </c>
      <c r="J1630" s="4">
        <v>46061</v>
      </c>
      <c r="K1630" t="s">
        <v>17</v>
      </c>
      <c r="L1630" t="s">
        <v>32</v>
      </c>
      <c r="M1630" t="s">
        <v>19</v>
      </c>
      <c r="N1630" t="s">
        <v>78</v>
      </c>
      <c r="O1630">
        <v>30</v>
      </c>
    </row>
    <row r="1631" spans="1:15" hidden="1" x14ac:dyDescent="0.25">
      <c r="A1631" t="s">
        <v>2820</v>
      </c>
      <c r="B1631" t="s">
        <v>3246</v>
      </c>
      <c r="C1631" t="s">
        <v>3247</v>
      </c>
      <c r="D1631" t="s">
        <v>15</v>
      </c>
      <c r="E1631" t="s">
        <v>3248</v>
      </c>
      <c r="F1631" s="3">
        <v>20882000</v>
      </c>
      <c r="G1631" s="2">
        <f t="shared" si="50"/>
        <v>30</v>
      </c>
      <c r="H1631" s="2">
        <f t="shared" ca="1" si="51"/>
        <v>89</v>
      </c>
      <c r="I1631" s="4">
        <v>46031</v>
      </c>
      <c r="J1631" s="4">
        <v>46061</v>
      </c>
      <c r="K1631" t="s">
        <v>17</v>
      </c>
      <c r="L1631" t="s">
        <v>109</v>
      </c>
      <c r="M1631" t="s">
        <v>19</v>
      </c>
      <c r="N1631" t="s">
        <v>3249</v>
      </c>
      <c r="O1631">
        <v>30</v>
      </c>
    </row>
    <row r="1632" spans="1:15" hidden="1" x14ac:dyDescent="0.25">
      <c r="A1632" t="s">
        <v>2820</v>
      </c>
      <c r="B1632" t="s">
        <v>3246</v>
      </c>
      <c r="C1632" t="s">
        <v>3247</v>
      </c>
      <c r="D1632" t="s">
        <v>15</v>
      </c>
      <c r="E1632" t="s">
        <v>3250</v>
      </c>
      <c r="F1632" s="3">
        <v>3802100</v>
      </c>
      <c r="G1632" s="2">
        <f t="shared" si="50"/>
        <v>30</v>
      </c>
      <c r="H1632" s="2">
        <f t="shared" ca="1" si="51"/>
        <v>89</v>
      </c>
      <c r="I1632" s="4">
        <v>46031</v>
      </c>
      <c r="J1632" s="4">
        <v>46061</v>
      </c>
      <c r="K1632" t="s">
        <v>17</v>
      </c>
      <c r="L1632" t="s">
        <v>109</v>
      </c>
      <c r="M1632" t="s">
        <v>19</v>
      </c>
      <c r="N1632" t="s">
        <v>3249</v>
      </c>
      <c r="O1632">
        <v>30</v>
      </c>
    </row>
    <row r="1633" spans="1:15" hidden="1" x14ac:dyDescent="0.25">
      <c r="A1633" t="s">
        <v>2820</v>
      </c>
      <c r="B1633" t="s">
        <v>3246</v>
      </c>
      <c r="C1633" t="s">
        <v>3247</v>
      </c>
      <c r="D1633" t="s">
        <v>15</v>
      </c>
      <c r="E1633" t="s">
        <v>3251</v>
      </c>
      <c r="F1633" s="3">
        <v>6167652</v>
      </c>
      <c r="G1633" s="2">
        <f t="shared" si="50"/>
        <v>30</v>
      </c>
      <c r="H1633" s="2">
        <f t="shared" ca="1" si="51"/>
        <v>89</v>
      </c>
      <c r="I1633" s="4">
        <v>46031</v>
      </c>
      <c r="J1633" s="4">
        <v>46061</v>
      </c>
      <c r="K1633" t="s">
        <v>17</v>
      </c>
      <c r="L1633" t="s">
        <v>109</v>
      </c>
      <c r="M1633" t="s">
        <v>19</v>
      </c>
      <c r="N1633" t="s">
        <v>3249</v>
      </c>
      <c r="O1633">
        <v>30</v>
      </c>
    </row>
    <row r="1634" spans="1:15" hidden="1" x14ac:dyDescent="0.25">
      <c r="A1634" t="s">
        <v>2820</v>
      </c>
      <c r="B1634" t="s">
        <v>104</v>
      </c>
      <c r="C1634" t="s">
        <v>105</v>
      </c>
      <c r="D1634" t="s">
        <v>46</v>
      </c>
      <c r="E1634" t="s">
        <v>3252</v>
      </c>
      <c r="F1634" s="3">
        <v>1134840</v>
      </c>
      <c r="G1634" s="2">
        <f t="shared" si="50"/>
        <v>30</v>
      </c>
      <c r="H1634" s="2">
        <f t="shared" ca="1" si="51"/>
        <v>89</v>
      </c>
      <c r="I1634" s="4">
        <v>46031</v>
      </c>
      <c r="J1634" s="4">
        <v>46061</v>
      </c>
      <c r="K1634" t="s">
        <v>17</v>
      </c>
      <c r="L1634" t="s">
        <v>32</v>
      </c>
      <c r="M1634" t="s">
        <v>19</v>
      </c>
      <c r="N1634" t="s">
        <v>106</v>
      </c>
      <c r="O1634">
        <v>30</v>
      </c>
    </row>
    <row r="1635" spans="1:15" hidden="1" x14ac:dyDescent="0.25">
      <c r="A1635" t="s">
        <v>2820</v>
      </c>
      <c r="B1635" t="s">
        <v>2200</v>
      </c>
      <c r="C1635" t="s">
        <v>2201</v>
      </c>
      <c r="D1635" t="s">
        <v>15</v>
      </c>
      <c r="E1635" t="s">
        <v>3389</v>
      </c>
      <c r="F1635" s="3">
        <v>121502</v>
      </c>
      <c r="G1635" s="2">
        <f t="shared" si="50"/>
        <v>15</v>
      </c>
      <c r="H1635" s="2">
        <f t="shared" ca="1" si="51"/>
        <v>89</v>
      </c>
      <c r="I1635" s="4">
        <v>46031</v>
      </c>
      <c r="J1635" s="4">
        <v>46046</v>
      </c>
      <c r="K1635" t="s">
        <v>17</v>
      </c>
      <c r="L1635" t="s">
        <v>317</v>
      </c>
      <c r="M1635" t="s">
        <v>19</v>
      </c>
      <c r="N1635" t="s">
        <v>2202</v>
      </c>
      <c r="O1635">
        <v>30</v>
      </c>
    </row>
    <row r="1636" spans="1:15" hidden="1" x14ac:dyDescent="0.25">
      <c r="A1636" t="s">
        <v>2820</v>
      </c>
      <c r="B1636" t="s">
        <v>2200</v>
      </c>
      <c r="C1636" t="s">
        <v>2201</v>
      </c>
      <c r="D1636" t="s">
        <v>15</v>
      </c>
      <c r="E1636" t="s">
        <v>3390</v>
      </c>
      <c r="F1636" s="3">
        <v>358832</v>
      </c>
      <c r="G1636" s="2">
        <f t="shared" si="50"/>
        <v>15</v>
      </c>
      <c r="H1636" s="2">
        <f t="shared" ca="1" si="51"/>
        <v>89</v>
      </c>
      <c r="I1636" s="4">
        <v>46031</v>
      </c>
      <c r="J1636" s="4">
        <v>46046</v>
      </c>
      <c r="K1636" t="s">
        <v>17</v>
      </c>
      <c r="L1636" t="s">
        <v>317</v>
      </c>
      <c r="M1636" t="s">
        <v>19</v>
      </c>
      <c r="N1636" t="s">
        <v>2202</v>
      </c>
      <c r="O1636">
        <v>30</v>
      </c>
    </row>
    <row r="1637" spans="1:15" hidden="1" x14ac:dyDescent="0.25">
      <c r="A1637" t="s">
        <v>2820</v>
      </c>
      <c r="B1637" t="s">
        <v>358</v>
      </c>
      <c r="C1637" t="s">
        <v>359</v>
      </c>
      <c r="D1637" t="s">
        <v>347</v>
      </c>
      <c r="E1637" t="s">
        <v>3445</v>
      </c>
      <c r="F1637" s="3">
        <v>1417661</v>
      </c>
      <c r="G1637" s="2">
        <f t="shared" si="50"/>
        <v>30</v>
      </c>
      <c r="H1637" s="2">
        <f t="shared" ca="1" si="51"/>
        <v>89</v>
      </c>
      <c r="I1637" s="4">
        <v>46031</v>
      </c>
      <c r="J1637" s="4">
        <v>46061</v>
      </c>
      <c r="K1637" t="s">
        <v>343</v>
      </c>
      <c r="L1637" t="s">
        <v>18</v>
      </c>
      <c r="M1637" t="s">
        <v>19</v>
      </c>
      <c r="N1637" t="s">
        <v>360</v>
      </c>
      <c r="O1637">
        <v>30</v>
      </c>
    </row>
    <row r="1638" spans="1:15" hidden="1" x14ac:dyDescent="0.25">
      <c r="A1638" t="s">
        <v>2820</v>
      </c>
      <c r="B1638" t="s">
        <v>358</v>
      </c>
      <c r="C1638" t="s">
        <v>359</v>
      </c>
      <c r="D1638" t="s">
        <v>347</v>
      </c>
      <c r="E1638" t="s">
        <v>3446</v>
      </c>
      <c r="F1638" s="3">
        <v>13189500</v>
      </c>
      <c r="G1638" s="2">
        <f t="shared" si="50"/>
        <v>30</v>
      </c>
      <c r="H1638" s="2">
        <f t="shared" ca="1" si="51"/>
        <v>89</v>
      </c>
      <c r="I1638" s="4">
        <v>46031</v>
      </c>
      <c r="J1638" s="4">
        <v>46061</v>
      </c>
      <c r="K1638" t="s">
        <v>343</v>
      </c>
      <c r="L1638" t="s">
        <v>18</v>
      </c>
      <c r="M1638" t="s">
        <v>19</v>
      </c>
      <c r="N1638" t="s">
        <v>360</v>
      </c>
      <c r="O1638">
        <v>30</v>
      </c>
    </row>
    <row r="1639" spans="1:15" hidden="1" x14ac:dyDescent="0.25">
      <c r="A1639" t="s">
        <v>2820</v>
      </c>
      <c r="B1639" t="s">
        <v>1960</v>
      </c>
      <c r="C1639" t="s">
        <v>1961</v>
      </c>
      <c r="D1639" t="s">
        <v>1962</v>
      </c>
      <c r="E1639" t="s">
        <v>3483</v>
      </c>
      <c r="F1639" s="3">
        <v>4050000</v>
      </c>
      <c r="G1639" s="2">
        <f t="shared" si="50"/>
        <v>30</v>
      </c>
      <c r="H1639" s="2">
        <f t="shared" ca="1" si="51"/>
        <v>89</v>
      </c>
      <c r="I1639" s="4">
        <v>46031</v>
      </c>
      <c r="J1639" s="4">
        <v>46061</v>
      </c>
      <c r="K1639" t="s">
        <v>343</v>
      </c>
      <c r="L1639" t="s">
        <v>18</v>
      </c>
      <c r="M1639" t="s">
        <v>19</v>
      </c>
      <c r="N1639" t="s">
        <v>1963</v>
      </c>
      <c r="O1639">
        <v>30</v>
      </c>
    </row>
    <row r="1640" spans="1:15" hidden="1" x14ac:dyDescent="0.25">
      <c r="A1640" t="s">
        <v>2820</v>
      </c>
      <c r="B1640" t="s">
        <v>2137</v>
      </c>
      <c r="C1640" t="s">
        <v>2138</v>
      </c>
      <c r="D1640" t="s">
        <v>1118</v>
      </c>
      <c r="E1640" t="s">
        <v>3593</v>
      </c>
      <c r="F1640" s="3">
        <v>244231</v>
      </c>
      <c r="G1640" s="2">
        <f t="shared" si="50"/>
        <v>15</v>
      </c>
      <c r="H1640" s="2">
        <f t="shared" ca="1" si="51"/>
        <v>89</v>
      </c>
      <c r="I1640" s="4">
        <v>46031</v>
      </c>
      <c r="J1640" s="4">
        <v>46046</v>
      </c>
      <c r="K1640" t="s">
        <v>1144</v>
      </c>
      <c r="L1640" t="s">
        <v>321</v>
      </c>
      <c r="M1640" t="s">
        <v>19</v>
      </c>
      <c r="N1640" t="s">
        <v>2139</v>
      </c>
      <c r="O1640">
        <v>30</v>
      </c>
    </row>
    <row r="1641" spans="1:15" hidden="1" x14ac:dyDescent="0.25">
      <c r="A1641" t="s">
        <v>2820</v>
      </c>
      <c r="B1641" t="s">
        <v>3594</v>
      </c>
      <c r="C1641" t="s">
        <v>3595</v>
      </c>
      <c r="D1641" t="s">
        <v>1118</v>
      </c>
      <c r="E1641" t="s">
        <v>3596</v>
      </c>
      <c r="F1641" s="3">
        <v>170000</v>
      </c>
      <c r="G1641" s="2">
        <f t="shared" si="50"/>
        <v>15</v>
      </c>
      <c r="H1641" s="2">
        <f t="shared" ca="1" si="51"/>
        <v>89</v>
      </c>
      <c r="I1641" s="4">
        <v>46031</v>
      </c>
      <c r="J1641" s="4">
        <v>46046</v>
      </c>
      <c r="K1641" t="s">
        <v>1144</v>
      </c>
      <c r="L1641" t="s">
        <v>321</v>
      </c>
      <c r="M1641" t="s">
        <v>19</v>
      </c>
      <c r="N1641" t="s">
        <v>3597</v>
      </c>
      <c r="O1641">
        <v>30</v>
      </c>
    </row>
    <row r="1642" spans="1:15" hidden="1" x14ac:dyDescent="0.25">
      <c r="A1642" t="s">
        <v>2820</v>
      </c>
      <c r="B1642" t="s">
        <v>1199</v>
      </c>
      <c r="C1642" t="s">
        <v>1200</v>
      </c>
      <c r="D1642" t="s">
        <v>1201</v>
      </c>
      <c r="E1642" t="s">
        <v>3605</v>
      </c>
      <c r="F1642" s="3">
        <v>5215416</v>
      </c>
      <c r="G1642" s="2">
        <f t="shared" si="50"/>
        <v>30</v>
      </c>
      <c r="H1642" s="2">
        <f t="shared" ca="1" si="51"/>
        <v>89</v>
      </c>
      <c r="I1642" s="4">
        <v>46031</v>
      </c>
      <c r="J1642" s="4">
        <v>46061</v>
      </c>
      <c r="K1642" t="s">
        <v>1202</v>
      </c>
      <c r="L1642" t="s">
        <v>207</v>
      </c>
      <c r="M1642" t="s">
        <v>19</v>
      </c>
      <c r="N1642" t="s">
        <v>1203</v>
      </c>
      <c r="O1642">
        <v>30</v>
      </c>
    </row>
    <row r="1643" spans="1:15" hidden="1" x14ac:dyDescent="0.25">
      <c r="A1643" t="s">
        <v>2820</v>
      </c>
      <c r="B1643" t="s">
        <v>1204</v>
      </c>
      <c r="C1643" t="s">
        <v>1205</v>
      </c>
      <c r="D1643" t="s">
        <v>1201</v>
      </c>
      <c r="E1643" t="s">
        <v>3606</v>
      </c>
      <c r="F1643" s="3">
        <v>3453119</v>
      </c>
      <c r="G1643" s="2">
        <f t="shared" si="50"/>
        <v>30</v>
      </c>
      <c r="H1643" s="2">
        <f t="shared" ca="1" si="51"/>
        <v>89</v>
      </c>
      <c r="I1643" s="4">
        <v>46031</v>
      </c>
      <c r="J1643" s="4">
        <v>46061</v>
      </c>
      <c r="K1643" t="s">
        <v>1202</v>
      </c>
      <c r="L1643" t="s">
        <v>207</v>
      </c>
      <c r="M1643" t="s">
        <v>19</v>
      </c>
      <c r="N1643" t="s">
        <v>1206</v>
      </c>
      <c r="O1643">
        <v>30</v>
      </c>
    </row>
    <row r="1644" spans="1:15" hidden="1" x14ac:dyDescent="0.25">
      <c r="A1644" t="s">
        <v>2820</v>
      </c>
      <c r="B1644" t="s">
        <v>1204</v>
      </c>
      <c r="C1644" t="s">
        <v>1205</v>
      </c>
      <c r="D1644" t="s">
        <v>1201</v>
      </c>
      <c r="E1644" t="s">
        <v>3607</v>
      </c>
      <c r="F1644" s="3">
        <v>770007</v>
      </c>
      <c r="G1644" s="2">
        <f t="shared" si="50"/>
        <v>30</v>
      </c>
      <c r="H1644" s="2">
        <f t="shared" ca="1" si="51"/>
        <v>89</v>
      </c>
      <c r="I1644" s="4">
        <v>46031</v>
      </c>
      <c r="J1644" s="4">
        <v>46061</v>
      </c>
      <c r="K1644" t="s">
        <v>1202</v>
      </c>
      <c r="L1644" t="s">
        <v>207</v>
      </c>
      <c r="M1644" t="s">
        <v>19</v>
      </c>
      <c r="N1644" t="s">
        <v>1206</v>
      </c>
      <c r="O1644">
        <v>30</v>
      </c>
    </row>
    <row r="1645" spans="1:15" hidden="1" x14ac:dyDescent="0.25">
      <c r="A1645" t="s">
        <v>2820</v>
      </c>
      <c r="B1645" t="s">
        <v>1199</v>
      </c>
      <c r="C1645" t="s">
        <v>1200</v>
      </c>
      <c r="D1645" t="s">
        <v>1201</v>
      </c>
      <c r="E1645" t="s">
        <v>3608</v>
      </c>
      <c r="F1645" s="3">
        <v>6310794</v>
      </c>
      <c r="G1645" s="2">
        <f t="shared" si="50"/>
        <v>30</v>
      </c>
      <c r="H1645" s="2">
        <f t="shared" ca="1" si="51"/>
        <v>89</v>
      </c>
      <c r="I1645" s="4">
        <v>46031</v>
      </c>
      <c r="J1645" s="4">
        <v>46061</v>
      </c>
      <c r="K1645" t="s">
        <v>1202</v>
      </c>
      <c r="L1645" t="s">
        <v>207</v>
      </c>
      <c r="M1645" t="s">
        <v>19</v>
      </c>
      <c r="N1645" t="s">
        <v>1203</v>
      </c>
      <c r="O1645">
        <v>30</v>
      </c>
    </row>
    <row r="1646" spans="1:15" hidden="1" x14ac:dyDescent="0.25">
      <c r="A1646" t="s">
        <v>2820</v>
      </c>
      <c r="B1646" t="s">
        <v>1204</v>
      </c>
      <c r="C1646" t="s">
        <v>1205</v>
      </c>
      <c r="D1646" t="s">
        <v>1201</v>
      </c>
      <c r="E1646" t="s">
        <v>3609</v>
      </c>
      <c r="F1646" s="3">
        <v>11</v>
      </c>
      <c r="G1646" s="2">
        <f t="shared" si="50"/>
        <v>30</v>
      </c>
      <c r="H1646" s="2">
        <f t="shared" ca="1" si="51"/>
        <v>89</v>
      </c>
      <c r="I1646" s="4">
        <v>46031</v>
      </c>
      <c r="J1646" s="4">
        <v>46061</v>
      </c>
      <c r="K1646" t="s">
        <v>1202</v>
      </c>
      <c r="L1646" t="s">
        <v>207</v>
      </c>
      <c r="M1646" t="s">
        <v>19</v>
      </c>
      <c r="N1646" t="s">
        <v>1206</v>
      </c>
      <c r="O1646">
        <v>30</v>
      </c>
    </row>
    <row r="1647" spans="1:15" hidden="1" x14ac:dyDescent="0.25">
      <c r="A1647" t="s">
        <v>2820</v>
      </c>
      <c r="B1647" t="s">
        <v>1204</v>
      </c>
      <c r="C1647" t="s">
        <v>1205</v>
      </c>
      <c r="D1647" t="s">
        <v>1201</v>
      </c>
      <c r="E1647" t="s">
        <v>3610</v>
      </c>
      <c r="F1647" s="3">
        <v>3879960</v>
      </c>
      <c r="G1647" s="2">
        <f t="shared" si="50"/>
        <v>30</v>
      </c>
      <c r="H1647" s="2">
        <f t="shared" ca="1" si="51"/>
        <v>89</v>
      </c>
      <c r="I1647" s="4">
        <v>46031</v>
      </c>
      <c r="J1647" s="4">
        <v>46061</v>
      </c>
      <c r="K1647" t="s">
        <v>1202</v>
      </c>
      <c r="L1647" t="s">
        <v>207</v>
      </c>
      <c r="M1647" t="s">
        <v>19</v>
      </c>
      <c r="N1647" t="s">
        <v>1206</v>
      </c>
      <c r="O1647">
        <v>30</v>
      </c>
    </row>
    <row r="1648" spans="1:15" hidden="1" x14ac:dyDescent="0.25">
      <c r="A1648" t="s">
        <v>2820</v>
      </c>
      <c r="B1648" t="s">
        <v>1251</v>
      </c>
      <c r="C1648" t="s">
        <v>1252</v>
      </c>
      <c r="D1648" t="s">
        <v>1242</v>
      </c>
      <c r="E1648" t="s">
        <v>3629</v>
      </c>
      <c r="F1648" s="3">
        <v>141163</v>
      </c>
      <c r="G1648" s="2">
        <f t="shared" si="50"/>
        <v>30</v>
      </c>
      <c r="H1648" s="2">
        <f t="shared" ca="1" si="51"/>
        <v>89</v>
      </c>
      <c r="I1648" s="4">
        <v>46031</v>
      </c>
      <c r="J1648" s="4">
        <v>46061</v>
      </c>
      <c r="K1648" t="s">
        <v>1243</v>
      </c>
      <c r="L1648" t="s">
        <v>207</v>
      </c>
      <c r="M1648" t="s">
        <v>19</v>
      </c>
      <c r="N1648" t="s">
        <v>1253</v>
      </c>
      <c r="O1648">
        <v>30</v>
      </c>
    </row>
    <row r="1649" spans="1:15" hidden="1" x14ac:dyDescent="0.25">
      <c r="A1649" t="s">
        <v>2820</v>
      </c>
      <c r="B1649" t="s">
        <v>1244</v>
      </c>
      <c r="C1649" t="s">
        <v>1245</v>
      </c>
      <c r="D1649" t="s">
        <v>1242</v>
      </c>
      <c r="E1649" t="s">
        <v>3630</v>
      </c>
      <c r="F1649" s="3">
        <v>1807600</v>
      </c>
      <c r="G1649" s="2">
        <f t="shared" si="50"/>
        <v>30</v>
      </c>
      <c r="H1649" s="2">
        <f t="shared" ca="1" si="51"/>
        <v>89</v>
      </c>
      <c r="I1649" s="4">
        <v>46031</v>
      </c>
      <c r="J1649" s="4">
        <v>46061</v>
      </c>
      <c r="K1649" t="s">
        <v>1243</v>
      </c>
      <c r="L1649" t="s">
        <v>207</v>
      </c>
      <c r="M1649" t="s">
        <v>19</v>
      </c>
      <c r="N1649" t="s">
        <v>1246</v>
      </c>
      <c r="O1649">
        <v>30</v>
      </c>
    </row>
    <row r="1650" spans="1:15" hidden="1" x14ac:dyDescent="0.25">
      <c r="A1650" t="s">
        <v>2820</v>
      </c>
      <c r="B1650" t="s">
        <v>1254</v>
      </c>
      <c r="C1650" t="s">
        <v>1255</v>
      </c>
      <c r="D1650" t="s">
        <v>1250</v>
      </c>
      <c r="E1650" t="s">
        <v>3631</v>
      </c>
      <c r="F1650" s="3">
        <v>1517063</v>
      </c>
      <c r="G1650" s="2">
        <f t="shared" si="50"/>
        <v>30</v>
      </c>
      <c r="H1650" s="2">
        <f t="shared" ca="1" si="51"/>
        <v>89</v>
      </c>
      <c r="I1650" s="4">
        <v>46031</v>
      </c>
      <c r="J1650" s="4">
        <v>46061</v>
      </c>
      <c r="K1650" t="s">
        <v>1243</v>
      </c>
      <c r="L1650" t="s">
        <v>207</v>
      </c>
      <c r="M1650" t="s">
        <v>19</v>
      </c>
      <c r="N1650" t="s">
        <v>1256</v>
      </c>
      <c r="O1650">
        <v>15</v>
      </c>
    </row>
    <row r="1651" spans="1:15" hidden="1" x14ac:dyDescent="0.25">
      <c r="A1651" t="s">
        <v>2820</v>
      </c>
      <c r="B1651" t="s">
        <v>1247</v>
      </c>
      <c r="C1651" t="s">
        <v>1248</v>
      </c>
      <c r="D1651" t="s">
        <v>1242</v>
      </c>
      <c r="E1651" t="s">
        <v>3635</v>
      </c>
      <c r="F1651" s="3">
        <v>200000</v>
      </c>
      <c r="G1651" s="2">
        <f t="shared" si="50"/>
        <v>30</v>
      </c>
      <c r="H1651" s="2">
        <f t="shared" ca="1" si="51"/>
        <v>89</v>
      </c>
      <c r="I1651" s="4">
        <v>46031</v>
      </c>
      <c r="J1651" s="4">
        <v>46061</v>
      </c>
      <c r="K1651" t="s">
        <v>1243</v>
      </c>
      <c r="L1651" t="s">
        <v>207</v>
      </c>
      <c r="M1651" t="s">
        <v>19</v>
      </c>
      <c r="N1651" t="s">
        <v>1249</v>
      </c>
      <c r="O1651">
        <v>30</v>
      </c>
    </row>
    <row r="1652" spans="1:15" hidden="1" x14ac:dyDescent="0.25">
      <c r="A1652" t="s">
        <v>2820</v>
      </c>
      <c r="B1652" t="s">
        <v>1421</v>
      </c>
      <c r="C1652" t="s">
        <v>1422</v>
      </c>
      <c r="D1652" t="s">
        <v>1401</v>
      </c>
      <c r="E1652" t="s">
        <v>3696</v>
      </c>
      <c r="F1652" s="3">
        <v>314837</v>
      </c>
      <c r="G1652" s="2">
        <f t="shared" si="50"/>
        <v>30</v>
      </c>
      <c r="H1652" s="2">
        <f t="shared" ca="1" si="51"/>
        <v>89</v>
      </c>
      <c r="I1652" s="4">
        <v>46031</v>
      </c>
      <c r="J1652" s="4">
        <v>46061</v>
      </c>
      <c r="K1652" t="s">
        <v>1403</v>
      </c>
      <c r="L1652" t="s">
        <v>90</v>
      </c>
      <c r="M1652" t="s">
        <v>19</v>
      </c>
      <c r="N1652" t="s">
        <v>1423</v>
      </c>
      <c r="O1652">
        <v>30</v>
      </c>
    </row>
    <row r="1653" spans="1:15" hidden="1" x14ac:dyDescent="0.25">
      <c r="A1653" t="s">
        <v>2820</v>
      </c>
      <c r="B1653" t="s">
        <v>1948</v>
      </c>
      <c r="C1653" t="s">
        <v>1949</v>
      </c>
      <c r="D1653" t="s">
        <v>1401</v>
      </c>
      <c r="E1653" t="s">
        <v>3697</v>
      </c>
      <c r="F1653" s="3">
        <v>1756411</v>
      </c>
      <c r="G1653" s="2">
        <f t="shared" si="50"/>
        <v>30</v>
      </c>
      <c r="H1653" s="2">
        <f t="shared" ca="1" si="51"/>
        <v>89</v>
      </c>
      <c r="I1653" s="4">
        <v>46031</v>
      </c>
      <c r="J1653" s="4">
        <v>46061</v>
      </c>
      <c r="K1653" t="s">
        <v>1403</v>
      </c>
      <c r="L1653" t="s">
        <v>90</v>
      </c>
      <c r="M1653" t="s">
        <v>391</v>
      </c>
      <c r="N1653" t="s">
        <v>1950</v>
      </c>
      <c r="O1653">
        <v>30</v>
      </c>
    </row>
    <row r="1654" spans="1:15" hidden="1" x14ac:dyDescent="0.25">
      <c r="A1654" t="s">
        <v>2820</v>
      </c>
      <c r="B1654" t="s">
        <v>1443</v>
      </c>
      <c r="C1654" t="s">
        <v>1444</v>
      </c>
      <c r="D1654" t="s">
        <v>875</v>
      </c>
      <c r="E1654" t="s">
        <v>3698</v>
      </c>
      <c r="F1654" s="3">
        <v>207800</v>
      </c>
      <c r="G1654" s="2">
        <f t="shared" si="50"/>
        <v>30</v>
      </c>
      <c r="H1654" s="2">
        <f t="shared" ca="1" si="51"/>
        <v>89</v>
      </c>
      <c r="I1654" s="4">
        <v>46031</v>
      </c>
      <c r="J1654" s="4">
        <v>46061</v>
      </c>
      <c r="K1654" t="s">
        <v>1403</v>
      </c>
      <c r="L1654" t="s">
        <v>90</v>
      </c>
      <c r="M1654" t="s">
        <v>19</v>
      </c>
      <c r="N1654" t="s">
        <v>1445</v>
      </c>
      <c r="O1654">
        <v>30</v>
      </c>
    </row>
    <row r="1655" spans="1:15" hidden="1" x14ac:dyDescent="0.25">
      <c r="A1655" t="s">
        <v>2820</v>
      </c>
      <c r="B1655" t="s">
        <v>1415</v>
      </c>
      <c r="C1655" t="s">
        <v>1416</v>
      </c>
      <c r="D1655" t="s">
        <v>875</v>
      </c>
      <c r="E1655" t="s">
        <v>3699</v>
      </c>
      <c r="F1655" s="3">
        <v>160793</v>
      </c>
      <c r="G1655" s="2">
        <f t="shared" si="50"/>
        <v>30</v>
      </c>
      <c r="H1655" s="2">
        <f t="shared" ca="1" si="51"/>
        <v>89</v>
      </c>
      <c r="I1655" s="4">
        <v>46031</v>
      </c>
      <c r="J1655" s="4">
        <v>46061</v>
      </c>
      <c r="K1655" t="s">
        <v>1403</v>
      </c>
      <c r="L1655" t="s">
        <v>90</v>
      </c>
      <c r="M1655" t="s">
        <v>19</v>
      </c>
      <c r="N1655" t="s">
        <v>1417</v>
      </c>
      <c r="O1655">
        <v>30</v>
      </c>
    </row>
    <row r="1656" spans="1:15" hidden="1" x14ac:dyDescent="0.25">
      <c r="A1656" t="s">
        <v>2820</v>
      </c>
      <c r="B1656" t="s">
        <v>1418</v>
      </c>
      <c r="C1656" t="s">
        <v>1419</v>
      </c>
      <c r="D1656" t="s">
        <v>1401</v>
      </c>
      <c r="E1656" t="s">
        <v>3700</v>
      </c>
      <c r="F1656" s="3">
        <v>1374432</v>
      </c>
      <c r="G1656" s="2">
        <f t="shared" si="50"/>
        <v>30</v>
      </c>
      <c r="H1656" s="2">
        <f t="shared" ca="1" si="51"/>
        <v>89</v>
      </c>
      <c r="I1656" s="4">
        <v>46031</v>
      </c>
      <c r="J1656" s="4">
        <v>46061</v>
      </c>
      <c r="K1656" t="s">
        <v>1403</v>
      </c>
      <c r="L1656" t="s">
        <v>90</v>
      </c>
      <c r="M1656" t="s">
        <v>19</v>
      </c>
      <c r="N1656" t="s">
        <v>1420</v>
      </c>
      <c r="O1656">
        <v>30</v>
      </c>
    </row>
    <row r="1657" spans="1:15" hidden="1" x14ac:dyDescent="0.25">
      <c r="A1657" t="s">
        <v>2820</v>
      </c>
      <c r="B1657" t="s">
        <v>3701</v>
      </c>
      <c r="C1657" t="s">
        <v>3702</v>
      </c>
      <c r="D1657" t="s">
        <v>875</v>
      </c>
      <c r="E1657" t="s">
        <v>3703</v>
      </c>
      <c r="F1657" s="3">
        <v>764765</v>
      </c>
      <c r="G1657" s="2">
        <f t="shared" si="50"/>
        <v>30</v>
      </c>
      <c r="H1657" s="2">
        <f t="shared" ca="1" si="51"/>
        <v>89</v>
      </c>
      <c r="I1657" s="4">
        <v>46031</v>
      </c>
      <c r="J1657" s="4">
        <v>46061</v>
      </c>
      <c r="K1657" t="s">
        <v>1403</v>
      </c>
      <c r="L1657" t="s">
        <v>47</v>
      </c>
      <c r="M1657" t="s">
        <v>19</v>
      </c>
      <c r="N1657" t="s">
        <v>3704</v>
      </c>
      <c r="O1657">
        <v>30</v>
      </c>
    </row>
    <row r="1658" spans="1:15" hidden="1" x14ac:dyDescent="0.25">
      <c r="A1658" t="s">
        <v>2820</v>
      </c>
      <c r="B1658" t="s">
        <v>3126</v>
      </c>
      <c r="C1658" t="s">
        <v>3127</v>
      </c>
      <c r="D1658" t="s">
        <v>875</v>
      </c>
      <c r="E1658" t="s">
        <v>3705</v>
      </c>
      <c r="F1658" s="3">
        <v>3751163</v>
      </c>
      <c r="G1658" s="2">
        <f t="shared" si="50"/>
        <v>30</v>
      </c>
      <c r="H1658" s="2">
        <f t="shared" ca="1" si="51"/>
        <v>89</v>
      </c>
      <c r="I1658" s="4">
        <v>46031</v>
      </c>
      <c r="J1658" s="4">
        <v>46061</v>
      </c>
      <c r="K1658" t="s">
        <v>1403</v>
      </c>
      <c r="L1658" t="s">
        <v>117</v>
      </c>
      <c r="M1658" t="s">
        <v>19</v>
      </c>
      <c r="N1658" t="s">
        <v>3129</v>
      </c>
      <c r="O1658">
        <v>30</v>
      </c>
    </row>
    <row r="1659" spans="1:15" hidden="1" x14ac:dyDescent="0.25">
      <c r="A1659" t="s">
        <v>2820</v>
      </c>
      <c r="B1659" t="s">
        <v>3126</v>
      </c>
      <c r="C1659" t="s">
        <v>3127</v>
      </c>
      <c r="D1659" t="s">
        <v>875</v>
      </c>
      <c r="E1659" t="s">
        <v>3706</v>
      </c>
      <c r="F1659" s="3">
        <v>876000</v>
      </c>
      <c r="G1659" s="2">
        <f t="shared" si="50"/>
        <v>30</v>
      </c>
      <c r="H1659" s="2">
        <f t="shared" ca="1" si="51"/>
        <v>89</v>
      </c>
      <c r="I1659" s="4">
        <v>46031</v>
      </c>
      <c r="J1659" s="4">
        <v>46061</v>
      </c>
      <c r="K1659" t="s">
        <v>1403</v>
      </c>
      <c r="L1659" t="s">
        <v>117</v>
      </c>
      <c r="M1659" t="s">
        <v>19</v>
      </c>
      <c r="N1659" t="s">
        <v>3129</v>
      </c>
      <c r="O1659">
        <v>30</v>
      </c>
    </row>
    <row r="1660" spans="1:15" hidden="1" x14ac:dyDescent="0.25">
      <c r="A1660" t="s">
        <v>2820</v>
      </c>
      <c r="B1660" t="s">
        <v>1427</v>
      </c>
      <c r="C1660" t="s">
        <v>1428</v>
      </c>
      <c r="D1660" t="s">
        <v>875</v>
      </c>
      <c r="E1660" t="s">
        <v>3707</v>
      </c>
      <c r="F1660" s="3">
        <v>494995</v>
      </c>
      <c r="G1660" s="2">
        <f t="shared" si="50"/>
        <v>30</v>
      </c>
      <c r="H1660" s="2">
        <f t="shared" ca="1" si="51"/>
        <v>89</v>
      </c>
      <c r="I1660" s="4">
        <v>46031</v>
      </c>
      <c r="J1660" s="4">
        <v>46061</v>
      </c>
      <c r="K1660" t="s">
        <v>1403</v>
      </c>
      <c r="L1660" t="s">
        <v>117</v>
      </c>
      <c r="M1660" t="s">
        <v>19</v>
      </c>
      <c r="N1660" t="s">
        <v>1429</v>
      </c>
      <c r="O1660">
        <v>30</v>
      </c>
    </row>
    <row r="1661" spans="1:15" hidden="1" x14ac:dyDescent="0.25">
      <c r="A1661" t="s">
        <v>2820</v>
      </c>
      <c r="B1661" t="s">
        <v>1440</v>
      </c>
      <c r="C1661" t="s">
        <v>1441</v>
      </c>
      <c r="D1661" t="s">
        <v>1401</v>
      </c>
      <c r="E1661" t="s">
        <v>3708</v>
      </c>
      <c r="F1661" s="3">
        <v>560299</v>
      </c>
      <c r="G1661" s="2">
        <f t="shared" si="50"/>
        <v>30</v>
      </c>
      <c r="H1661" s="2">
        <f t="shared" ca="1" si="51"/>
        <v>89</v>
      </c>
      <c r="I1661" s="4">
        <v>46031</v>
      </c>
      <c r="J1661" s="4">
        <v>46061</v>
      </c>
      <c r="K1661" t="s">
        <v>1403</v>
      </c>
      <c r="L1661" t="s">
        <v>90</v>
      </c>
      <c r="M1661" t="s">
        <v>19</v>
      </c>
      <c r="N1661" t="s">
        <v>1442</v>
      </c>
      <c r="O1661">
        <v>30</v>
      </c>
    </row>
    <row r="1662" spans="1:15" hidden="1" x14ac:dyDescent="0.25">
      <c r="A1662" t="s">
        <v>2820</v>
      </c>
      <c r="B1662" t="s">
        <v>1449</v>
      </c>
      <c r="C1662" t="s">
        <v>1450</v>
      </c>
      <c r="D1662" t="s">
        <v>15</v>
      </c>
      <c r="E1662" t="s">
        <v>3709</v>
      </c>
      <c r="F1662" s="3">
        <v>1711051</v>
      </c>
      <c r="G1662" s="2">
        <f t="shared" si="50"/>
        <v>30</v>
      </c>
      <c r="H1662" s="2">
        <f t="shared" ca="1" si="51"/>
        <v>89</v>
      </c>
      <c r="I1662" s="4">
        <v>46031</v>
      </c>
      <c r="J1662" s="4">
        <v>46061</v>
      </c>
      <c r="K1662" t="s">
        <v>1403</v>
      </c>
      <c r="L1662" t="s">
        <v>90</v>
      </c>
      <c r="M1662" t="s">
        <v>19</v>
      </c>
      <c r="N1662" t="s">
        <v>1451</v>
      </c>
      <c r="O1662">
        <v>30</v>
      </c>
    </row>
    <row r="1663" spans="1:15" hidden="1" x14ac:dyDescent="0.25">
      <c r="A1663" t="s">
        <v>2820</v>
      </c>
      <c r="B1663" t="s">
        <v>1436</v>
      </c>
      <c r="C1663" t="s">
        <v>1437</v>
      </c>
      <c r="D1663" t="s">
        <v>1438</v>
      </c>
      <c r="E1663" t="s">
        <v>3710</v>
      </c>
      <c r="F1663" s="3">
        <v>2648242</v>
      </c>
      <c r="G1663" s="2">
        <f t="shared" si="50"/>
        <v>30</v>
      </c>
      <c r="H1663" s="2">
        <f t="shared" ca="1" si="51"/>
        <v>89</v>
      </c>
      <c r="I1663" s="4">
        <v>46031</v>
      </c>
      <c r="J1663" s="4">
        <v>46061</v>
      </c>
      <c r="K1663" t="s">
        <v>1403</v>
      </c>
      <c r="L1663" t="s">
        <v>90</v>
      </c>
      <c r="M1663" t="s">
        <v>19</v>
      </c>
      <c r="N1663" t="s">
        <v>1439</v>
      </c>
      <c r="O1663">
        <v>30</v>
      </c>
    </row>
    <row r="1664" spans="1:15" hidden="1" x14ac:dyDescent="0.25">
      <c r="A1664" t="s">
        <v>2820</v>
      </c>
      <c r="B1664" t="s">
        <v>1948</v>
      </c>
      <c r="C1664" t="s">
        <v>1949</v>
      </c>
      <c r="D1664" t="s">
        <v>1401</v>
      </c>
      <c r="E1664" t="s">
        <v>3711</v>
      </c>
      <c r="F1664" s="3">
        <v>1512404</v>
      </c>
      <c r="G1664" s="2">
        <f t="shared" si="50"/>
        <v>30</v>
      </c>
      <c r="H1664" s="2">
        <f t="shared" ca="1" si="51"/>
        <v>89</v>
      </c>
      <c r="I1664" s="4">
        <v>46031</v>
      </c>
      <c r="J1664" s="4">
        <v>46061</v>
      </c>
      <c r="K1664" t="s">
        <v>1403</v>
      </c>
      <c r="L1664" t="s">
        <v>90</v>
      </c>
      <c r="M1664" t="s">
        <v>391</v>
      </c>
      <c r="N1664" t="s">
        <v>1950</v>
      </c>
      <c r="O1664">
        <v>30</v>
      </c>
    </row>
    <row r="1665" spans="1:15" hidden="1" x14ac:dyDescent="0.25">
      <c r="A1665" t="s">
        <v>2820</v>
      </c>
      <c r="B1665" t="s">
        <v>1948</v>
      </c>
      <c r="C1665" t="s">
        <v>1949</v>
      </c>
      <c r="D1665" t="s">
        <v>1401</v>
      </c>
      <c r="E1665" t="s">
        <v>3712</v>
      </c>
      <c r="F1665" s="3">
        <v>3330000</v>
      </c>
      <c r="G1665" s="2">
        <f t="shared" si="50"/>
        <v>30</v>
      </c>
      <c r="H1665" s="2">
        <f t="shared" ca="1" si="51"/>
        <v>89</v>
      </c>
      <c r="I1665" s="4">
        <v>46031</v>
      </c>
      <c r="J1665" s="4">
        <v>46061</v>
      </c>
      <c r="K1665" t="s">
        <v>1403</v>
      </c>
      <c r="L1665" t="s">
        <v>90</v>
      </c>
      <c r="M1665" t="s">
        <v>391</v>
      </c>
      <c r="N1665" t="s">
        <v>1950</v>
      </c>
      <c r="O1665">
        <v>30</v>
      </c>
    </row>
    <row r="1666" spans="1:15" hidden="1" x14ac:dyDescent="0.25">
      <c r="A1666" t="s">
        <v>2820</v>
      </c>
      <c r="B1666" t="s">
        <v>1516</v>
      </c>
      <c r="C1666" t="s">
        <v>1517</v>
      </c>
      <c r="D1666" t="s">
        <v>1514</v>
      </c>
      <c r="E1666" t="s">
        <v>3727</v>
      </c>
      <c r="F1666" s="3">
        <v>1048189</v>
      </c>
      <c r="G1666" s="2">
        <f t="shared" ref="G1666:G1729" si="52">+J1666-I1666</f>
        <v>30</v>
      </c>
      <c r="H1666" s="2">
        <f t="shared" ref="H1666:H1729" ca="1" si="53">+TODAY()-I1666</f>
        <v>89</v>
      </c>
      <c r="I1666" s="4">
        <v>46031</v>
      </c>
      <c r="J1666" s="4">
        <v>46061</v>
      </c>
      <c r="K1666" t="s">
        <v>1515</v>
      </c>
      <c r="L1666" t="s">
        <v>984</v>
      </c>
      <c r="M1666" t="s">
        <v>19</v>
      </c>
      <c r="N1666" t="s">
        <v>1518</v>
      </c>
      <c r="O1666">
        <v>1</v>
      </c>
    </row>
    <row r="1667" spans="1:15" hidden="1" x14ac:dyDescent="0.25">
      <c r="A1667" t="s">
        <v>2820</v>
      </c>
      <c r="B1667" t="s">
        <v>1767</v>
      </c>
      <c r="C1667" t="s">
        <v>1768</v>
      </c>
      <c r="D1667" t="s">
        <v>331</v>
      </c>
      <c r="E1667" t="s">
        <v>3829</v>
      </c>
      <c r="F1667" s="3">
        <v>5867349</v>
      </c>
      <c r="G1667" s="2">
        <f t="shared" si="52"/>
        <v>30</v>
      </c>
      <c r="H1667" s="2">
        <f t="shared" ca="1" si="53"/>
        <v>89</v>
      </c>
      <c r="I1667" s="4">
        <v>46031</v>
      </c>
      <c r="J1667" s="4">
        <v>46061</v>
      </c>
      <c r="K1667" t="s">
        <v>1758</v>
      </c>
      <c r="L1667" t="s">
        <v>32</v>
      </c>
      <c r="M1667" t="s">
        <v>19</v>
      </c>
      <c r="N1667" t="s">
        <v>1769</v>
      </c>
      <c r="O1667">
        <v>30</v>
      </c>
    </row>
    <row r="1668" spans="1:15" hidden="1" x14ac:dyDescent="0.25">
      <c r="A1668" t="s">
        <v>2820</v>
      </c>
      <c r="B1668" t="s">
        <v>1756</v>
      </c>
      <c r="C1668" t="s">
        <v>1757</v>
      </c>
      <c r="D1668" t="s">
        <v>331</v>
      </c>
      <c r="E1668" t="s">
        <v>3830</v>
      </c>
      <c r="F1668" s="3">
        <v>1280666</v>
      </c>
      <c r="G1668" s="2">
        <f t="shared" si="52"/>
        <v>30</v>
      </c>
      <c r="H1668" s="2">
        <f t="shared" ca="1" si="53"/>
        <v>89</v>
      </c>
      <c r="I1668" s="4">
        <v>46031</v>
      </c>
      <c r="J1668" s="4">
        <v>46061</v>
      </c>
      <c r="K1668" t="s">
        <v>1758</v>
      </c>
      <c r="L1668" t="s">
        <v>32</v>
      </c>
      <c r="M1668" t="s">
        <v>19</v>
      </c>
      <c r="N1668" t="s">
        <v>1759</v>
      </c>
      <c r="O1668">
        <v>30</v>
      </c>
    </row>
    <row r="1669" spans="1:15" hidden="1" x14ac:dyDescent="0.25">
      <c r="A1669" t="s">
        <v>2820</v>
      </c>
      <c r="B1669" t="s">
        <v>1760</v>
      </c>
      <c r="C1669" t="s">
        <v>1761</v>
      </c>
      <c r="D1669" t="s">
        <v>1762</v>
      </c>
      <c r="E1669" t="s">
        <v>3831</v>
      </c>
      <c r="F1669" s="3">
        <v>807963</v>
      </c>
      <c r="G1669" s="2">
        <f t="shared" si="52"/>
        <v>30</v>
      </c>
      <c r="H1669" s="2">
        <f t="shared" ca="1" si="53"/>
        <v>89</v>
      </c>
      <c r="I1669" s="4">
        <v>46031</v>
      </c>
      <c r="J1669" s="4">
        <v>46061</v>
      </c>
      <c r="K1669" t="s">
        <v>1758</v>
      </c>
      <c r="L1669" t="s">
        <v>32</v>
      </c>
      <c r="M1669" t="s">
        <v>19</v>
      </c>
      <c r="N1669" t="s">
        <v>1763</v>
      </c>
      <c r="O1669">
        <v>30</v>
      </c>
    </row>
    <row r="1670" spans="1:15" hidden="1" x14ac:dyDescent="0.25">
      <c r="A1670" t="s">
        <v>2820</v>
      </c>
      <c r="B1670" t="s">
        <v>1764</v>
      </c>
      <c r="C1670" t="s">
        <v>1765</v>
      </c>
      <c r="D1670" t="s">
        <v>331</v>
      </c>
      <c r="E1670" t="s">
        <v>3832</v>
      </c>
      <c r="F1670" s="3">
        <v>5310991</v>
      </c>
      <c r="G1670" s="2">
        <f t="shared" si="52"/>
        <v>30</v>
      </c>
      <c r="H1670" s="2">
        <f t="shared" ca="1" si="53"/>
        <v>89</v>
      </c>
      <c r="I1670" s="4">
        <v>46031</v>
      </c>
      <c r="J1670" s="4">
        <v>46061</v>
      </c>
      <c r="K1670" t="s">
        <v>1758</v>
      </c>
      <c r="L1670" t="s">
        <v>32</v>
      </c>
      <c r="M1670" t="s">
        <v>19</v>
      </c>
      <c r="N1670" t="s">
        <v>1766</v>
      </c>
      <c r="O1670">
        <v>30</v>
      </c>
    </row>
    <row r="1671" spans="1:15" hidden="1" x14ac:dyDescent="0.25">
      <c r="A1671" t="s">
        <v>2820</v>
      </c>
      <c r="B1671" t="s">
        <v>1764</v>
      </c>
      <c r="C1671" t="s">
        <v>1765</v>
      </c>
      <c r="D1671" t="s">
        <v>331</v>
      </c>
      <c r="E1671" t="s">
        <v>3833</v>
      </c>
      <c r="F1671" s="3">
        <v>2000000</v>
      </c>
      <c r="G1671" s="2">
        <f t="shared" si="52"/>
        <v>10</v>
      </c>
      <c r="H1671" s="2">
        <f t="shared" ca="1" si="53"/>
        <v>89</v>
      </c>
      <c r="I1671" s="4">
        <v>46031</v>
      </c>
      <c r="J1671" s="4">
        <v>46041</v>
      </c>
      <c r="K1671" t="s">
        <v>1758</v>
      </c>
      <c r="L1671" t="s">
        <v>32</v>
      </c>
      <c r="M1671" t="s">
        <v>19</v>
      </c>
      <c r="N1671" t="s">
        <v>1766</v>
      </c>
      <c r="O1671">
        <v>30</v>
      </c>
    </row>
    <row r="1672" spans="1:15" hidden="1" x14ac:dyDescent="0.25">
      <c r="A1672" t="s">
        <v>2820</v>
      </c>
      <c r="B1672" t="s">
        <v>1770</v>
      </c>
      <c r="C1672" t="s">
        <v>1771</v>
      </c>
      <c r="D1672" t="s">
        <v>331</v>
      </c>
      <c r="E1672" t="s">
        <v>3840</v>
      </c>
      <c r="F1672" s="3">
        <v>1577856</v>
      </c>
      <c r="G1672" s="2">
        <f t="shared" si="52"/>
        <v>30</v>
      </c>
      <c r="H1672" s="2">
        <f t="shared" ca="1" si="53"/>
        <v>89</v>
      </c>
      <c r="I1672" s="4">
        <v>46031</v>
      </c>
      <c r="J1672" s="4">
        <v>46061</v>
      </c>
      <c r="K1672" t="s">
        <v>1758</v>
      </c>
      <c r="L1672" t="s">
        <v>317</v>
      </c>
      <c r="M1672" t="s">
        <v>19</v>
      </c>
      <c r="N1672" t="s">
        <v>1772</v>
      </c>
      <c r="O1672">
        <v>30</v>
      </c>
    </row>
    <row r="1673" spans="1:15" hidden="1" x14ac:dyDescent="0.25">
      <c r="A1673" t="s">
        <v>2820</v>
      </c>
      <c r="B1673" t="s">
        <v>3853</v>
      </c>
      <c r="C1673" t="s">
        <v>3854</v>
      </c>
      <c r="D1673" t="s">
        <v>1858</v>
      </c>
      <c r="E1673" t="s">
        <v>3855</v>
      </c>
      <c r="F1673" s="3">
        <v>1657412</v>
      </c>
      <c r="G1673" s="2">
        <f t="shared" si="52"/>
        <v>30</v>
      </c>
      <c r="H1673" s="2">
        <f t="shared" ca="1" si="53"/>
        <v>89</v>
      </c>
      <c r="I1673" s="4">
        <v>46031</v>
      </c>
      <c r="J1673" s="4">
        <v>46061</v>
      </c>
      <c r="K1673" t="s">
        <v>1859</v>
      </c>
      <c r="L1673" t="s">
        <v>984</v>
      </c>
      <c r="M1673" t="s">
        <v>19</v>
      </c>
      <c r="N1673" t="s">
        <v>3856</v>
      </c>
      <c r="O1673">
        <v>30</v>
      </c>
    </row>
    <row r="1674" spans="1:15" hidden="1" x14ac:dyDescent="0.25">
      <c r="A1674" t="s">
        <v>2820</v>
      </c>
      <c r="B1674" t="s">
        <v>1876</v>
      </c>
      <c r="C1674" t="s">
        <v>1877</v>
      </c>
      <c r="D1674" t="s">
        <v>1878</v>
      </c>
      <c r="E1674" t="s">
        <v>3861</v>
      </c>
      <c r="F1674" s="3">
        <v>2091829</v>
      </c>
      <c r="G1674" s="2">
        <f t="shared" si="52"/>
        <v>30</v>
      </c>
      <c r="H1674" s="2">
        <f t="shared" ca="1" si="53"/>
        <v>89</v>
      </c>
      <c r="I1674" s="4">
        <v>46031</v>
      </c>
      <c r="J1674" s="4">
        <v>46061</v>
      </c>
      <c r="K1674" t="s">
        <v>1879</v>
      </c>
      <c r="L1674" t="s">
        <v>984</v>
      </c>
      <c r="M1674" t="s">
        <v>19</v>
      </c>
      <c r="N1674" t="s">
        <v>1880</v>
      </c>
      <c r="O1674">
        <v>30</v>
      </c>
    </row>
    <row r="1675" spans="1:15" hidden="1" x14ac:dyDescent="0.25">
      <c r="A1675" t="s">
        <v>2820</v>
      </c>
      <c r="B1675" t="s">
        <v>1881</v>
      </c>
      <c r="C1675" t="s">
        <v>1882</v>
      </c>
      <c r="D1675" t="s">
        <v>1883</v>
      </c>
      <c r="E1675" t="s">
        <v>3862</v>
      </c>
      <c r="F1675" s="3">
        <v>2750561</v>
      </c>
      <c r="G1675" s="2">
        <f t="shared" si="52"/>
        <v>30</v>
      </c>
      <c r="H1675" s="2">
        <f t="shared" ca="1" si="53"/>
        <v>89</v>
      </c>
      <c r="I1675" s="4">
        <v>46031</v>
      </c>
      <c r="J1675" s="4">
        <v>46061</v>
      </c>
      <c r="K1675" t="s">
        <v>1884</v>
      </c>
      <c r="L1675" t="s">
        <v>984</v>
      </c>
      <c r="M1675" t="s">
        <v>19</v>
      </c>
      <c r="N1675" t="s">
        <v>1885</v>
      </c>
      <c r="O1675">
        <v>30</v>
      </c>
    </row>
    <row r="1676" spans="1:15" hidden="1" x14ac:dyDescent="0.25">
      <c r="A1676" t="s">
        <v>2820</v>
      </c>
      <c r="B1676" t="s">
        <v>2060</v>
      </c>
      <c r="C1676" t="s">
        <v>2061</v>
      </c>
      <c r="D1676" t="s">
        <v>46</v>
      </c>
      <c r="E1676" t="s">
        <v>3253</v>
      </c>
      <c r="F1676" s="3">
        <v>1245000</v>
      </c>
      <c r="G1676" s="2">
        <f t="shared" si="52"/>
        <v>15</v>
      </c>
      <c r="H1676" s="2">
        <f t="shared" ca="1" si="53"/>
        <v>88</v>
      </c>
      <c r="I1676" s="4">
        <v>46032</v>
      </c>
      <c r="J1676" s="4">
        <v>46047</v>
      </c>
      <c r="K1676" t="s">
        <v>17</v>
      </c>
      <c r="L1676" t="s">
        <v>317</v>
      </c>
      <c r="M1676" t="s">
        <v>19</v>
      </c>
      <c r="N1676" t="s">
        <v>2062</v>
      </c>
      <c r="O1676">
        <v>15</v>
      </c>
    </row>
    <row r="1677" spans="1:15" hidden="1" x14ac:dyDescent="0.25">
      <c r="A1677" t="s">
        <v>2820</v>
      </c>
      <c r="B1677" t="s">
        <v>121</v>
      </c>
      <c r="C1677" t="s">
        <v>122</v>
      </c>
      <c r="D1677" t="s">
        <v>15</v>
      </c>
      <c r="E1677" t="s">
        <v>3254</v>
      </c>
      <c r="F1677" s="3">
        <v>327600</v>
      </c>
      <c r="G1677" s="2">
        <f t="shared" si="52"/>
        <v>30</v>
      </c>
      <c r="H1677" s="2">
        <f t="shared" ca="1" si="53"/>
        <v>88</v>
      </c>
      <c r="I1677" s="4">
        <v>46032</v>
      </c>
      <c r="J1677" s="4">
        <v>46062</v>
      </c>
      <c r="K1677" t="s">
        <v>17</v>
      </c>
      <c r="L1677" t="s">
        <v>32</v>
      </c>
      <c r="M1677" t="s">
        <v>19</v>
      </c>
      <c r="N1677" t="s">
        <v>123</v>
      </c>
      <c r="O1677">
        <v>30</v>
      </c>
    </row>
    <row r="1678" spans="1:15" hidden="1" x14ac:dyDescent="0.25">
      <c r="A1678" t="s">
        <v>2820</v>
      </c>
      <c r="B1678" t="s">
        <v>186</v>
      </c>
      <c r="C1678" t="s">
        <v>187</v>
      </c>
      <c r="D1678" t="s">
        <v>46</v>
      </c>
      <c r="E1678" t="s">
        <v>3255</v>
      </c>
      <c r="F1678" s="3">
        <v>1580813</v>
      </c>
      <c r="G1678" s="2">
        <f t="shared" si="52"/>
        <v>30</v>
      </c>
      <c r="H1678" s="2">
        <f t="shared" ca="1" si="53"/>
        <v>88</v>
      </c>
      <c r="I1678" s="4">
        <v>46032</v>
      </c>
      <c r="J1678" s="4">
        <v>46062</v>
      </c>
      <c r="K1678" t="s">
        <v>17</v>
      </c>
      <c r="L1678" t="s">
        <v>32</v>
      </c>
      <c r="M1678" t="s">
        <v>19</v>
      </c>
      <c r="N1678" t="s">
        <v>188</v>
      </c>
      <c r="O1678">
        <v>30</v>
      </c>
    </row>
    <row r="1679" spans="1:15" hidden="1" x14ac:dyDescent="0.25">
      <c r="A1679" t="s">
        <v>2820</v>
      </c>
      <c r="B1679" t="s">
        <v>67</v>
      </c>
      <c r="C1679" t="s">
        <v>68</v>
      </c>
      <c r="D1679" t="s">
        <v>15</v>
      </c>
      <c r="E1679" t="s">
        <v>3256</v>
      </c>
      <c r="F1679" s="3">
        <v>4047173</v>
      </c>
      <c r="G1679" s="2">
        <f t="shared" si="52"/>
        <v>30</v>
      </c>
      <c r="H1679" s="2">
        <f t="shared" ca="1" si="53"/>
        <v>88</v>
      </c>
      <c r="I1679" s="4">
        <v>46032</v>
      </c>
      <c r="J1679" s="4">
        <v>46062</v>
      </c>
      <c r="K1679" t="s">
        <v>17</v>
      </c>
      <c r="L1679" t="s">
        <v>32</v>
      </c>
      <c r="M1679" t="s">
        <v>19</v>
      </c>
      <c r="N1679" t="s">
        <v>69</v>
      </c>
      <c r="O1679">
        <v>30</v>
      </c>
    </row>
    <row r="1680" spans="1:15" hidden="1" x14ac:dyDescent="0.25">
      <c r="A1680" t="s">
        <v>2820</v>
      </c>
      <c r="B1680" t="s">
        <v>118</v>
      </c>
      <c r="C1680" t="s">
        <v>119</v>
      </c>
      <c r="D1680" t="s">
        <v>46</v>
      </c>
      <c r="E1680" t="s">
        <v>3257</v>
      </c>
      <c r="F1680" s="3">
        <v>781312</v>
      </c>
      <c r="G1680" s="2">
        <f t="shared" si="52"/>
        <v>30</v>
      </c>
      <c r="H1680" s="2">
        <f t="shared" ca="1" si="53"/>
        <v>88</v>
      </c>
      <c r="I1680" s="4">
        <v>46032</v>
      </c>
      <c r="J1680" s="4">
        <v>46062</v>
      </c>
      <c r="K1680" t="s">
        <v>17</v>
      </c>
      <c r="L1680" t="s">
        <v>32</v>
      </c>
      <c r="M1680" t="s">
        <v>19</v>
      </c>
      <c r="N1680" t="s">
        <v>120</v>
      </c>
      <c r="O1680">
        <v>30</v>
      </c>
    </row>
    <row r="1681" spans="1:15" hidden="1" x14ac:dyDescent="0.25">
      <c r="A1681" t="s">
        <v>2820</v>
      </c>
      <c r="B1681" t="s">
        <v>114</v>
      </c>
      <c r="C1681" t="s">
        <v>115</v>
      </c>
      <c r="D1681" t="s">
        <v>15</v>
      </c>
      <c r="E1681" t="s">
        <v>3258</v>
      </c>
      <c r="F1681" s="3">
        <v>259400</v>
      </c>
      <c r="G1681" s="2">
        <f t="shared" si="52"/>
        <v>30</v>
      </c>
      <c r="H1681" s="2">
        <f t="shared" ca="1" si="53"/>
        <v>88</v>
      </c>
      <c r="I1681" s="4">
        <v>46032</v>
      </c>
      <c r="J1681" s="4">
        <v>46062</v>
      </c>
      <c r="K1681" t="s">
        <v>17</v>
      </c>
      <c r="L1681" t="s">
        <v>32</v>
      </c>
      <c r="M1681" t="s">
        <v>19</v>
      </c>
      <c r="N1681" t="s">
        <v>116</v>
      </c>
      <c r="O1681">
        <v>30</v>
      </c>
    </row>
    <row r="1682" spans="1:15" hidden="1" x14ac:dyDescent="0.25">
      <c r="A1682" t="s">
        <v>2820</v>
      </c>
      <c r="B1682" t="s">
        <v>139</v>
      </c>
      <c r="C1682" t="s">
        <v>140</v>
      </c>
      <c r="D1682" t="s">
        <v>46</v>
      </c>
      <c r="E1682" t="s">
        <v>3259</v>
      </c>
      <c r="F1682" s="3">
        <v>241901</v>
      </c>
      <c r="G1682" s="2">
        <f t="shared" si="52"/>
        <v>30</v>
      </c>
      <c r="H1682" s="2">
        <f t="shared" ca="1" si="53"/>
        <v>88</v>
      </c>
      <c r="I1682" s="4">
        <v>46032</v>
      </c>
      <c r="J1682" s="4">
        <v>46062</v>
      </c>
      <c r="K1682" t="s">
        <v>17</v>
      </c>
      <c r="L1682" t="s">
        <v>32</v>
      </c>
      <c r="M1682" t="s">
        <v>19</v>
      </c>
      <c r="N1682" t="s">
        <v>141</v>
      </c>
      <c r="O1682">
        <v>30</v>
      </c>
    </row>
    <row r="1683" spans="1:15" hidden="1" x14ac:dyDescent="0.25">
      <c r="A1683" t="s">
        <v>2820</v>
      </c>
      <c r="B1683" t="s">
        <v>139</v>
      </c>
      <c r="C1683" t="s">
        <v>140</v>
      </c>
      <c r="D1683" t="s">
        <v>46</v>
      </c>
      <c r="E1683" t="s">
        <v>3260</v>
      </c>
      <c r="F1683" s="3">
        <v>420000</v>
      </c>
      <c r="G1683" s="2">
        <f t="shared" si="52"/>
        <v>10</v>
      </c>
      <c r="H1683" s="2">
        <f t="shared" ca="1" si="53"/>
        <v>88</v>
      </c>
      <c r="I1683" s="4">
        <v>46032</v>
      </c>
      <c r="J1683" s="4">
        <v>46042</v>
      </c>
      <c r="K1683" t="s">
        <v>17</v>
      </c>
      <c r="L1683" t="s">
        <v>32</v>
      </c>
      <c r="M1683" t="s">
        <v>19</v>
      </c>
      <c r="N1683" t="s">
        <v>141</v>
      </c>
      <c r="O1683">
        <v>30</v>
      </c>
    </row>
    <row r="1684" spans="1:15" hidden="1" x14ac:dyDescent="0.25">
      <c r="A1684" t="s">
        <v>2820</v>
      </c>
      <c r="B1684" t="s">
        <v>3246</v>
      </c>
      <c r="C1684" t="s">
        <v>3247</v>
      </c>
      <c r="D1684" t="s">
        <v>15</v>
      </c>
      <c r="E1684" t="s">
        <v>3261</v>
      </c>
      <c r="F1684" s="3">
        <v>10410000</v>
      </c>
      <c r="G1684" s="2">
        <f t="shared" si="52"/>
        <v>30</v>
      </c>
      <c r="H1684" s="2">
        <f t="shared" ca="1" si="53"/>
        <v>88</v>
      </c>
      <c r="I1684" s="4">
        <v>46032</v>
      </c>
      <c r="J1684" s="4">
        <v>46062</v>
      </c>
      <c r="K1684" t="s">
        <v>17</v>
      </c>
      <c r="L1684" t="s">
        <v>109</v>
      </c>
      <c r="M1684" t="s">
        <v>19</v>
      </c>
      <c r="N1684" t="s">
        <v>3249</v>
      </c>
      <c r="O1684">
        <v>30</v>
      </c>
    </row>
    <row r="1685" spans="1:15" hidden="1" x14ac:dyDescent="0.25">
      <c r="A1685" t="s">
        <v>2820</v>
      </c>
      <c r="B1685" t="s">
        <v>73</v>
      </c>
      <c r="C1685" t="s">
        <v>74</v>
      </c>
      <c r="D1685" t="s">
        <v>46</v>
      </c>
      <c r="E1685" t="s">
        <v>3262</v>
      </c>
      <c r="F1685" s="3">
        <v>2779818</v>
      </c>
      <c r="G1685" s="2">
        <f t="shared" si="52"/>
        <v>30</v>
      </c>
      <c r="H1685" s="2">
        <f t="shared" ca="1" si="53"/>
        <v>88</v>
      </c>
      <c r="I1685" s="4">
        <v>46032</v>
      </c>
      <c r="J1685" s="4">
        <v>46062</v>
      </c>
      <c r="K1685" t="s">
        <v>17</v>
      </c>
      <c r="L1685" t="s">
        <v>18</v>
      </c>
      <c r="M1685" t="s">
        <v>19</v>
      </c>
      <c r="N1685" t="s">
        <v>75</v>
      </c>
      <c r="O1685">
        <v>30</v>
      </c>
    </row>
    <row r="1686" spans="1:15" hidden="1" x14ac:dyDescent="0.25">
      <c r="A1686" t="s">
        <v>2820</v>
      </c>
      <c r="B1686" t="s">
        <v>73</v>
      </c>
      <c r="C1686" t="s">
        <v>74</v>
      </c>
      <c r="D1686" t="s">
        <v>46</v>
      </c>
      <c r="E1686" t="s">
        <v>3263</v>
      </c>
      <c r="F1686" s="3">
        <v>1092555</v>
      </c>
      <c r="G1686" s="2">
        <f t="shared" si="52"/>
        <v>30</v>
      </c>
      <c r="H1686" s="2">
        <f t="shared" ca="1" si="53"/>
        <v>88</v>
      </c>
      <c r="I1686" s="4">
        <v>46032</v>
      </c>
      <c r="J1686" s="4">
        <v>46062</v>
      </c>
      <c r="K1686" t="s">
        <v>17</v>
      </c>
      <c r="L1686" t="s">
        <v>18</v>
      </c>
      <c r="M1686" t="s">
        <v>19</v>
      </c>
      <c r="N1686" t="s">
        <v>75</v>
      </c>
      <c r="O1686">
        <v>30</v>
      </c>
    </row>
    <row r="1687" spans="1:15" hidden="1" x14ac:dyDescent="0.25">
      <c r="A1687" t="s">
        <v>2820</v>
      </c>
      <c r="B1687" t="s">
        <v>171</v>
      </c>
      <c r="C1687" t="s">
        <v>172</v>
      </c>
      <c r="D1687" t="s">
        <v>15</v>
      </c>
      <c r="E1687" t="s">
        <v>3264</v>
      </c>
      <c r="F1687" s="3">
        <v>565354</v>
      </c>
      <c r="G1687" s="2">
        <f t="shared" si="52"/>
        <v>30</v>
      </c>
      <c r="H1687" s="2">
        <f t="shared" ca="1" si="53"/>
        <v>88</v>
      </c>
      <c r="I1687" s="4">
        <v>46032</v>
      </c>
      <c r="J1687" s="4">
        <v>46062</v>
      </c>
      <c r="K1687" t="s">
        <v>17</v>
      </c>
      <c r="L1687" t="s">
        <v>18</v>
      </c>
      <c r="M1687" t="s">
        <v>19</v>
      </c>
      <c r="N1687" t="s">
        <v>173</v>
      </c>
      <c r="O1687">
        <v>30</v>
      </c>
    </row>
    <row r="1688" spans="1:15" hidden="1" x14ac:dyDescent="0.25">
      <c r="A1688" t="s">
        <v>2820</v>
      </c>
      <c r="B1688" t="s">
        <v>104</v>
      </c>
      <c r="C1688" t="s">
        <v>105</v>
      </c>
      <c r="D1688" t="s">
        <v>46</v>
      </c>
      <c r="E1688" t="s">
        <v>3265</v>
      </c>
      <c r="F1688" s="3">
        <v>492000</v>
      </c>
      <c r="G1688" s="2">
        <f t="shared" si="52"/>
        <v>30</v>
      </c>
      <c r="H1688" s="2">
        <f t="shared" ca="1" si="53"/>
        <v>88</v>
      </c>
      <c r="I1688" s="4">
        <v>46032</v>
      </c>
      <c r="J1688" s="4">
        <v>46062</v>
      </c>
      <c r="K1688" t="s">
        <v>17</v>
      </c>
      <c r="L1688" t="s">
        <v>32</v>
      </c>
      <c r="M1688" t="s">
        <v>19</v>
      </c>
      <c r="N1688" t="s">
        <v>106</v>
      </c>
      <c r="O1688">
        <v>30</v>
      </c>
    </row>
    <row r="1689" spans="1:15" hidden="1" x14ac:dyDescent="0.25">
      <c r="A1689" t="s">
        <v>2820</v>
      </c>
      <c r="B1689" t="s">
        <v>76</v>
      </c>
      <c r="C1689" t="s">
        <v>77</v>
      </c>
      <c r="D1689" t="s">
        <v>46</v>
      </c>
      <c r="E1689" t="s">
        <v>3266</v>
      </c>
      <c r="F1689" s="3">
        <v>2556036</v>
      </c>
      <c r="G1689" s="2">
        <f t="shared" si="52"/>
        <v>30</v>
      </c>
      <c r="H1689" s="2">
        <f t="shared" ca="1" si="53"/>
        <v>88</v>
      </c>
      <c r="I1689" s="4">
        <v>46032</v>
      </c>
      <c r="J1689" s="4">
        <v>46062</v>
      </c>
      <c r="K1689" t="s">
        <v>17</v>
      </c>
      <c r="L1689" t="s">
        <v>32</v>
      </c>
      <c r="M1689" t="s">
        <v>19</v>
      </c>
      <c r="N1689" t="s">
        <v>78</v>
      </c>
      <c r="O1689">
        <v>30</v>
      </c>
    </row>
    <row r="1690" spans="1:15" hidden="1" x14ac:dyDescent="0.25">
      <c r="A1690" t="s">
        <v>2820</v>
      </c>
      <c r="B1690" t="s">
        <v>1994</v>
      </c>
      <c r="C1690" t="s">
        <v>1995</v>
      </c>
      <c r="D1690" t="s">
        <v>15</v>
      </c>
      <c r="E1690" t="s">
        <v>3267</v>
      </c>
      <c r="F1690" s="3">
        <v>30900</v>
      </c>
      <c r="G1690" s="2">
        <f t="shared" si="52"/>
        <v>30</v>
      </c>
      <c r="H1690" s="2">
        <f t="shared" ca="1" si="53"/>
        <v>88</v>
      </c>
      <c r="I1690" s="4">
        <v>46032</v>
      </c>
      <c r="J1690" s="4">
        <v>46062</v>
      </c>
      <c r="K1690" t="s">
        <v>17</v>
      </c>
      <c r="L1690" t="s">
        <v>32</v>
      </c>
      <c r="M1690" t="s">
        <v>19</v>
      </c>
      <c r="N1690" t="s">
        <v>142</v>
      </c>
      <c r="O1690">
        <v>30</v>
      </c>
    </row>
    <row r="1691" spans="1:15" hidden="1" x14ac:dyDescent="0.25">
      <c r="A1691" t="s">
        <v>2820</v>
      </c>
      <c r="B1691" t="s">
        <v>1994</v>
      </c>
      <c r="C1691" t="s">
        <v>1995</v>
      </c>
      <c r="D1691" t="s">
        <v>15</v>
      </c>
      <c r="E1691" t="s">
        <v>3268</v>
      </c>
      <c r="F1691" s="3">
        <v>59600</v>
      </c>
      <c r="G1691" s="2">
        <f t="shared" si="52"/>
        <v>30</v>
      </c>
      <c r="H1691" s="2">
        <f t="shared" ca="1" si="53"/>
        <v>88</v>
      </c>
      <c r="I1691" s="4">
        <v>46032</v>
      </c>
      <c r="J1691" s="4">
        <v>46062</v>
      </c>
      <c r="K1691" t="s">
        <v>17</v>
      </c>
      <c r="L1691" t="s">
        <v>32</v>
      </c>
      <c r="M1691" t="s">
        <v>19</v>
      </c>
      <c r="N1691" t="s">
        <v>142</v>
      </c>
      <c r="O1691">
        <v>30</v>
      </c>
    </row>
    <row r="1692" spans="1:15" hidden="1" x14ac:dyDescent="0.25">
      <c r="A1692" t="s">
        <v>2820</v>
      </c>
      <c r="B1692" t="s">
        <v>2060</v>
      </c>
      <c r="C1692" t="s">
        <v>2061</v>
      </c>
      <c r="D1692" t="s">
        <v>46</v>
      </c>
      <c r="E1692" t="s">
        <v>3391</v>
      </c>
      <c r="F1692" s="3">
        <v>1872489</v>
      </c>
      <c r="G1692" s="2">
        <f t="shared" si="52"/>
        <v>15</v>
      </c>
      <c r="H1692" s="2">
        <f t="shared" ca="1" si="53"/>
        <v>88</v>
      </c>
      <c r="I1692" s="4">
        <v>46032</v>
      </c>
      <c r="J1692" s="4">
        <v>46047</v>
      </c>
      <c r="K1692" t="s">
        <v>17</v>
      </c>
      <c r="L1692" t="s">
        <v>317</v>
      </c>
      <c r="M1692" t="s">
        <v>19</v>
      </c>
      <c r="N1692" t="s">
        <v>2062</v>
      </c>
      <c r="O1692">
        <v>15</v>
      </c>
    </row>
    <row r="1693" spans="1:15" hidden="1" x14ac:dyDescent="0.25">
      <c r="A1693" t="s">
        <v>2820</v>
      </c>
      <c r="B1693" t="s">
        <v>323</v>
      </c>
      <c r="C1693" t="s">
        <v>324</v>
      </c>
      <c r="D1693" t="s">
        <v>15</v>
      </c>
      <c r="E1693" t="s">
        <v>3395</v>
      </c>
      <c r="F1693" s="3">
        <v>94902</v>
      </c>
      <c r="G1693" s="2">
        <f t="shared" si="52"/>
        <v>15</v>
      </c>
      <c r="H1693" s="2">
        <f t="shared" ca="1" si="53"/>
        <v>88</v>
      </c>
      <c r="I1693" s="4">
        <v>46032</v>
      </c>
      <c r="J1693" s="4">
        <v>46047</v>
      </c>
      <c r="K1693" t="s">
        <v>17</v>
      </c>
      <c r="L1693" t="s">
        <v>312</v>
      </c>
      <c r="M1693" t="s">
        <v>19</v>
      </c>
      <c r="N1693" t="s">
        <v>325</v>
      </c>
      <c r="O1693">
        <v>15</v>
      </c>
    </row>
    <row r="1694" spans="1:15" hidden="1" x14ac:dyDescent="0.25">
      <c r="A1694" t="s">
        <v>2820</v>
      </c>
      <c r="B1694" t="s">
        <v>323</v>
      </c>
      <c r="C1694" t="s">
        <v>324</v>
      </c>
      <c r="D1694" t="s">
        <v>15</v>
      </c>
      <c r="E1694" t="s">
        <v>3396</v>
      </c>
      <c r="F1694" s="3">
        <v>171188</v>
      </c>
      <c r="G1694" s="2">
        <f t="shared" si="52"/>
        <v>15</v>
      </c>
      <c r="H1694" s="2">
        <f t="shared" ca="1" si="53"/>
        <v>88</v>
      </c>
      <c r="I1694" s="4">
        <v>46032</v>
      </c>
      <c r="J1694" s="4">
        <v>46047</v>
      </c>
      <c r="K1694" t="s">
        <v>17</v>
      </c>
      <c r="L1694" t="s">
        <v>312</v>
      </c>
      <c r="M1694" t="s">
        <v>19</v>
      </c>
      <c r="N1694" t="s">
        <v>325</v>
      </c>
      <c r="O1694">
        <v>15</v>
      </c>
    </row>
    <row r="1695" spans="1:15" hidden="1" x14ac:dyDescent="0.25">
      <c r="A1695" t="s">
        <v>2820</v>
      </c>
      <c r="B1695" t="s">
        <v>651</v>
      </c>
      <c r="C1695" t="s">
        <v>652</v>
      </c>
      <c r="D1695" t="s">
        <v>642</v>
      </c>
      <c r="E1695" t="s">
        <v>3484</v>
      </c>
      <c r="F1695" s="3">
        <v>509250</v>
      </c>
      <c r="G1695" s="2">
        <f t="shared" si="52"/>
        <v>30</v>
      </c>
      <c r="H1695" s="2">
        <f t="shared" ca="1" si="53"/>
        <v>88</v>
      </c>
      <c r="I1695" s="4">
        <v>46032</v>
      </c>
      <c r="J1695" s="4">
        <v>46062</v>
      </c>
      <c r="K1695" t="s">
        <v>638</v>
      </c>
      <c r="L1695" t="s">
        <v>18</v>
      </c>
      <c r="M1695" t="s">
        <v>19</v>
      </c>
      <c r="N1695" t="s">
        <v>653</v>
      </c>
      <c r="O1695">
        <v>30</v>
      </c>
    </row>
    <row r="1696" spans="1:15" hidden="1" x14ac:dyDescent="0.25">
      <c r="A1696" t="s">
        <v>2820</v>
      </c>
      <c r="B1696" t="s">
        <v>1139</v>
      </c>
      <c r="C1696" t="s">
        <v>1140</v>
      </c>
      <c r="D1696" t="s">
        <v>1066</v>
      </c>
      <c r="E1696" t="s">
        <v>3573</v>
      </c>
      <c r="F1696" s="3">
        <v>5456110</v>
      </c>
      <c r="G1696" s="2">
        <f t="shared" si="52"/>
        <v>15</v>
      </c>
      <c r="H1696" s="2">
        <f t="shared" ca="1" si="53"/>
        <v>88</v>
      </c>
      <c r="I1696" s="4">
        <v>46032</v>
      </c>
      <c r="J1696" s="4">
        <v>46047</v>
      </c>
      <c r="K1696" t="s">
        <v>1068</v>
      </c>
      <c r="L1696" t="s">
        <v>321</v>
      </c>
      <c r="M1696" t="s">
        <v>19</v>
      </c>
      <c r="N1696" t="s">
        <v>1141</v>
      </c>
      <c r="O1696">
        <v>15</v>
      </c>
    </row>
    <row r="1697" spans="1:15" hidden="1" x14ac:dyDescent="0.25">
      <c r="A1697" t="s">
        <v>2820</v>
      </c>
      <c r="B1697" t="s">
        <v>1511</v>
      </c>
      <c r="C1697" t="s">
        <v>1512</v>
      </c>
      <c r="D1697" t="s">
        <v>1507</v>
      </c>
      <c r="E1697" t="s">
        <v>3726</v>
      </c>
      <c r="F1697" s="3">
        <v>977978</v>
      </c>
      <c r="G1697" s="2">
        <f t="shared" si="52"/>
        <v>30</v>
      </c>
      <c r="H1697" s="2">
        <f t="shared" ca="1" si="53"/>
        <v>88</v>
      </c>
      <c r="I1697" s="4">
        <v>46032</v>
      </c>
      <c r="J1697" s="4">
        <v>46062</v>
      </c>
      <c r="K1697" t="s">
        <v>1509</v>
      </c>
      <c r="L1697" t="s">
        <v>984</v>
      </c>
      <c r="M1697" t="s">
        <v>19</v>
      </c>
      <c r="N1697" t="s">
        <v>1513</v>
      </c>
      <c r="O1697">
        <v>30</v>
      </c>
    </row>
    <row r="1698" spans="1:15" hidden="1" x14ac:dyDescent="0.25">
      <c r="A1698" t="s">
        <v>2820</v>
      </c>
      <c r="B1698" t="s">
        <v>1522</v>
      </c>
      <c r="C1698" t="s">
        <v>1523</v>
      </c>
      <c r="D1698" t="s">
        <v>1514</v>
      </c>
      <c r="E1698" t="s">
        <v>3728</v>
      </c>
      <c r="F1698" s="3">
        <v>1704752</v>
      </c>
      <c r="G1698" s="2">
        <f t="shared" si="52"/>
        <v>30</v>
      </c>
      <c r="H1698" s="2">
        <f t="shared" ca="1" si="53"/>
        <v>88</v>
      </c>
      <c r="I1698" s="4">
        <v>46032</v>
      </c>
      <c r="J1698" s="4">
        <v>46062</v>
      </c>
      <c r="K1698" t="s">
        <v>1515</v>
      </c>
      <c r="L1698" t="s">
        <v>984</v>
      </c>
      <c r="M1698" t="s">
        <v>19</v>
      </c>
      <c r="N1698" t="s">
        <v>1524</v>
      </c>
      <c r="O1698">
        <v>30</v>
      </c>
    </row>
    <row r="1699" spans="1:15" hidden="1" x14ac:dyDescent="0.25">
      <c r="A1699" t="s">
        <v>2820</v>
      </c>
      <c r="B1699" t="s">
        <v>1522</v>
      </c>
      <c r="C1699" t="s">
        <v>1523</v>
      </c>
      <c r="D1699" t="s">
        <v>1514</v>
      </c>
      <c r="E1699" t="s">
        <v>3729</v>
      </c>
      <c r="F1699" s="3">
        <v>874024</v>
      </c>
      <c r="G1699" s="2">
        <f t="shared" si="52"/>
        <v>30</v>
      </c>
      <c r="H1699" s="2">
        <f t="shared" ca="1" si="53"/>
        <v>88</v>
      </c>
      <c r="I1699" s="4">
        <v>46032</v>
      </c>
      <c r="J1699" s="4">
        <v>46062</v>
      </c>
      <c r="K1699" t="s">
        <v>1515</v>
      </c>
      <c r="L1699" t="s">
        <v>984</v>
      </c>
      <c r="M1699" t="s">
        <v>19</v>
      </c>
      <c r="N1699" t="s">
        <v>1524</v>
      </c>
      <c r="O1699">
        <v>30</v>
      </c>
    </row>
    <row r="1700" spans="1:15" hidden="1" x14ac:dyDescent="0.25">
      <c r="A1700" t="s">
        <v>2820</v>
      </c>
      <c r="B1700" t="s">
        <v>1519</v>
      </c>
      <c r="C1700" t="s">
        <v>1520</v>
      </c>
      <c r="D1700" t="s">
        <v>1514</v>
      </c>
      <c r="E1700" t="s">
        <v>3730</v>
      </c>
      <c r="F1700" s="3">
        <v>2357985</v>
      </c>
      <c r="G1700" s="2">
        <f t="shared" si="52"/>
        <v>30</v>
      </c>
      <c r="H1700" s="2">
        <f t="shared" ca="1" si="53"/>
        <v>88</v>
      </c>
      <c r="I1700" s="4">
        <v>46032</v>
      </c>
      <c r="J1700" s="4">
        <v>46062</v>
      </c>
      <c r="K1700" t="s">
        <v>1515</v>
      </c>
      <c r="L1700" t="s">
        <v>984</v>
      </c>
      <c r="M1700" t="s">
        <v>19</v>
      </c>
      <c r="N1700" t="s">
        <v>1521</v>
      </c>
      <c r="O1700">
        <v>30</v>
      </c>
    </row>
    <row r="1701" spans="1:15" hidden="1" x14ac:dyDescent="0.25">
      <c r="A1701" t="s">
        <v>2820</v>
      </c>
      <c r="B1701" t="s">
        <v>1519</v>
      </c>
      <c r="C1701" t="s">
        <v>1520</v>
      </c>
      <c r="D1701" t="s">
        <v>1514</v>
      </c>
      <c r="E1701" t="s">
        <v>3731</v>
      </c>
      <c r="F1701" s="3">
        <v>772500</v>
      </c>
      <c r="G1701" s="2">
        <f t="shared" si="52"/>
        <v>30</v>
      </c>
      <c r="H1701" s="2">
        <f t="shared" ca="1" si="53"/>
        <v>88</v>
      </c>
      <c r="I1701" s="4">
        <v>46032</v>
      </c>
      <c r="J1701" s="4">
        <v>46062</v>
      </c>
      <c r="K1701" t="s">
        <v>1515</v>
      </c>
      <c r="L1701" t="s">
        <v>984</v>
      </c>
      <c r="M1701" t="s">
        <v>19</v>
      </c>
      <c r="N1701" t="s">
        <v>1521</v>
      </c>
      <c r="O1701">
        <v>30</v>
      </c>
    </row>
    <row r="1702" spans="1:15" hidden="1" x14ac:dyDescent="0.25">
      <c r="A1702" t="s">
        <v>2820</v>
      </c>
      <c r="B1702" t="s">
        <v>1519</v>
      </c>
      <c r="C1702" t="s">
        <v>1520</v>
      </c>
      <c r="D1702" t="s">
        <v>1514</v>
      </c>
      <c r="E1702" t="s">
        <v>3732</v>
      </c>
      <c r="F1702" s="3">
        <v>12659850</v>
      </c>
      <c r="G1702" s="2">
        <f t="shared" si="52"/>
        <v>30</v>
      </c>
      <c r="H1702" s="2">
        <f t="shared" ca="1" si="53"/>
        <v>88</v>
      </c>
      <c r="I1702" s="4">
        <v>46032</v>
      </c>
      <c r="J1702" s="4">
        <v>46062</v>
      </c>
      <c r="K1702" t="s">
        <v>1515</v>
      </c>
      <c r="L1702" t="s">
        <v>984</v>
      </c>
      <c r="M1702" t="s">
        <v>19</v>
      </c>
      <c r="N1702" t="s">
        <v>1521</v>
      </c>
      <c r="O1702">
        <v>30</v>
      </c>
    </row>
    <row r="1703" spans="1:15" hidden="1" x14ac:dyDescent="0.25">
      <c r="A1703" t="s">
        <v>2820</v>
      </c>
      <c r="B1703" t="s">
        <v>2786</v>
      </c>
      <c r="C1703" t="s">
        <v>2787</v>
      </c>
      <c r="D1703" t="s">
        <v>1514</v>
      </c>
      <c r="E1703" t="s">
        <v>3733</v>
      </c>
      <c r="F1703" s="3">
        <v>1218000</v>
      </c>
      <c r="G1703" s="2">
        <f t="shared" si="52"/>
        <v>1</v>
      </c>
      <c r="H1703" s="2">
        <f t="shared" ca="1" si="53"/>
        <v>88</v>
      </c>
      <c r="I1703" s="4">
        <v>46032</v>
      </c>
      <c r="J1703" s="4">
        <v>46033</v>
      </c>
      <c r="K1703" t="s">
        <v>1515</v>
      </c>
      <c r="L1703" t="s">
        <v>984</v>
      </c>
      <c r="M1703" t="s">
        <v>19</v>
      </c>
      <c r="N1703" t="s">
        <v>2789</v>
      </c>
      <c r="O1703">
        <v>25</v>
      </c>
    </row>
    <row r="1704" spans="1:15" hidden="1" x14ac:dyDescent="0.25">
      <c r="A1704" t="s">
        <v>2820</v>
      </c>
      <c r="B1704" t="s">
        <v>2786</v>
      </c>
      <c r="C1704" t="s">
        <v>2787</v>
      </c>
      <c r="D1704" t="s">
        <v>1514</v>
      </c>
      <c r="E1704" t="s">
        <v>3734</v>
      </c>
      <c r="F1704" s="3">
        <v>15336216</v>
      </c>
      <c r="G1704" s="2">
        <f t="shared" si="52"/>
        <v>30</v>
      </c>
      <c r="H1704" s="2">
        <f t="shared" ca="1" si="53"/>
        <v>88</v>
      </c>
      <c r="I1704" s="4">
        <v>46032</v>
      </c>
      <c r="J1704" s="4">
        <v>46062</v>
      </c>
      <c r="K1704" t="s">
        <v>1515</v>
      </c>
      <c r="L1704" t="s">
        <v>984</v>
      </c>
      <c r="M1704" t="s">
        <v>19</v>
      </c>
      <c r="N1704" t="s">
        <v>2789</v>
      </c>
      <c r="O1704">
        <v>25</v>
      </c>
    </row>
    <row r="1705" spans="1:15" hidden="1" x14ac:dyDescent="0.25">
      <c r="A1705" t="s">
        <v>2820</v>
      </c>
      <c r="B1705" t="s">
        <v>329</v>
      </c>
      <c r="C1705" t="s">
        <v>330</v>
      </c>
      <c r="D1705" t="s">
        <v>331</v>
      </c>
      <c r="E1705" t="s">
        <v>3841</v>
      </c>
      <c r="F1705" s="3">
        <v>1929353</v>
      </c>
      <c r="G1705" s="2">
        <f t="shared" si="52"/>
        <v>15</v>
      </c>
      <c r="H1705" s="2">
        <f t="shared" ca="1" si="53"/>
        <v>88</v>
      </c>
      <c r="I1705" s="4">
        <v>46032</v>
      </c>
      <c r="J1705" s="4">
        <v>46047</v>
      </c>
      <c r="K1705" t="s">
        <v>1758</v>
      </c>
      <c r="L1705" t="s">
        <v>317</v>
      </c>
      <c r="M1705" t="s">
        <v>19</v>
      </c>
      <c r="N1705" t="s">
        <v>332</v>
      </c>
      <c r="O1705">
        <v>15</v>
      </c>
    </row>
    <row r="1706" spans="1:15" hidden="1" x14ac:dyDescent="0.25">
      <c r="A1706" t="s">
        <v>2820</v>
      </c>
      <c r="B1706" t="s">
        <v>1886</v>
      </c>
      <c r="C1706" t="s">
        <v>1887</v>
      </c>
      <c r="D1706" t="s">
        <v>1883</v>
      </c>
      <c r="E1706" t="s">
        <v>3863</v>
      </c>
      <c r="F1706" s="3">
        <v>973811</v>
      </c>
      <c r="G1706" s="2">
        <f t="shared" si="52"/>
        <v>30</v>
      </c>
      <c r="H1706" s="2">
        <f t="shared" ca="1" si="53"/>
        <v>88</v>
      </c>
      <c r="I1706" s="4">
        <v>46032</v>
      </c>
      <c r="J1706" s="4">
        <v>46062</v>
      </c>
      <c r="K1706" t="s">
        <v>1884</v>
      </c>
      <c r="L1706" t="s">
        <v>984</v>
      </c>
      <c r="M1706" t="s">
        <v>19</v>
      </c>
      <c r="N1706" t="s">
        <v>1888</v>
      </c>
      <c r="O1706">
        <v>30</v>
      </c>
    </row>
    <row r="1707" spans="1:15" hidden="1" x14ac:dyDescent="0.25">
      <c r="A1707" t="s">
        <v>2820</v>
      </c>
      <c r="B1707" t="s">
        <v>104</v>
      </c>
      <c r="C1707" t="s">
        <v>105</v>
      </c>
      <c r="D1707" t="s">
        <v>46</v>
      </c>
      <c r="E1707" t="s">
        <v>3269</v>
      </c>
      <c r="F1707" s="3">
        <v>308995</v>
      </c>
      <c r="G1707" s="2">
        <f t="shared" si="52"/>
        <v>30</v>
      </c>
      <c r="H1707" s="2">
        <f t="shared" ca="1" si="53"/>
        <v>85</v>
      </c>
      <c r="I1707" s="4">
        <v>46035</v>
      </c>
      <c r="J1707" s="4">
        <v>46065</v>
      </c>
      <c r="K1707" t="s">
        <v>17</v>
      </c>
      <c r="L1707" t="s">
        <v>32</v>
      </c>
      <c r="M1707" t="s">
        <v>19</v>
      </c>
      <c r="N1707" t="s">
        <v>106</v>
      </c>
      <c r="O1707">
        <v>30</v>
      </c>
    </row>
    <row r="1708" spans="1:15" hidden="1" x14ac:dyDescent="0.25">
      <c r="A1708" t="s">
        <v>2820</v>
      </c>
      <c r="B1708" t="s">
        <v>67</v>
      </c>
      <c r="C1708" t="s">
        <v>68</v>
      </c>
      <c r="D1708" t="s">
        <v>15</v>
      </c>
      <c r="E1708" t="s">
        <v>3270</v>
      </c>
      <c r="F1708" s="3">
        <v>1633878</v>
      </c>
      <c r="G1708" s="2">
        <f t="shared" si="52"/>
        <v>10</v>
      </c>
      <c r="H1708" s="2">
        <f t="shared" ca="1" si="53"/>
        <v>85</v>
      </c>
      <c r="I1708" s="4">
        <v>46035</v>
      </c>
      <c r="J1708" s="4">
        <v>46045</v>
      </c>
      <c r="K1708" t="s">
        <v>17</v>
      </c>
      <c r="L1708" t="s">
        <v>32</v>
      </c>
      <c r="M1708" t="s">
        <v>19</v>
      </c>
      <c r="N1708" t="s">
        <v>69</v>
      </c>
      <c r="O1708">
        <v>30</v>
      </c>
    </row>
    <row r="1709" spans="1:15" hidden="1" x14ac:dyDescent="0.25">
      <c r="A1709" t="s">
        <v>2820</v>
      </c>
      <c r="B1709" t="s">
        <v>183</v>
      </c>
      <c r="C1709" t="s">
        <v>184</v>
      </c>
      <c r="D1709" t="s">
        <v>15</v>
      </c>
      <c r="E1709" t="s">
        <v>3271</v>
      </c>
      <c r="F1709" s="3">
        <v>420000</v>
      </c>
      <c r="G1709" s="2">
        <f t="shared" si="52"/>
        <v>10</v>
      </c>
      <c r="H1709" s="2">
        <f t="shared" ca="1" si="53"/>
        <v>85</v>
      </c>
      <c r="I1709" s="4">
        <v>46035</v>
      </c>
      <c r="J1709" s="4">
        <v>46045</v>
      </c>
      <c r="K1709" t="s">
        <v>17</v>
      </c>
      <c r="L1709" t="s">
        <v>32</v>
      </c>
      <c r="M1709" t="s">
        <v>19</v>
      </c>
      <c r="N1709" t="s">
        <v>185</v>
      </c>
      <c r="O1709">
        <v>30</v>
      </c>
    </row>
    <row r="1710" spans="1:15" hidden="1" x14ac:dyDescent="0.25">
      <c r="A1710" t="s">
        <v>2820</v>
      </c>
      <c r="B1710" t="s">
        <v>183</v>
      </c>
      <c r="C1710" t="s">
        <v>184</v>
      </c>
      <c r="D1710" t="s">
        <v>15</v>
      </c>
      <c r="E1710" t="s">
        <v>3272</v>
      </c>
      <c r="F1710" s="3">
        <v>315981</v>
      </c>
      <c r="G1710" s="2">
        <f t="shared" si="52"/>
        <v>30</v>
      </c>
      <c r="H1710" s="2">
        <f t="shared" ca="1" si="53"/>
        <v>85</v>
      </c>
      <c r="I1710" s="4">
        <v>46035</v>
      </c>
      <c r="J1710" s="4">
        <v>46065</v>
      </c>
      <c r="K1710" t="s">
        <v>17</v>
      </c>
      <c r="L1710" t="s">
        <v>32</v>
      </c>
      <c r="M1710" t="s">
        <v>19</v>
      </c>
      <c r="N1710" t="s">
        <v>185</v>
      </c>
      <c r="O1710">
        <v>30</v>
      </c>
    </row>
    <row r="1711" spans="1:15" hidden="1" x14ac:dyDescent="0.25">
      <c r="A1711" t="s">
        <v>2820</v>
      </c>
      <c r="B1711" t="s">
        <v>2197</v>
      </c>
      <c r="C1711" t="s">
        <v>2198</v>
      </c>
      <c r="D1711" t="s">
        <v>15</v>
      </c>
      <c r="E1711" t="s">
        <v>3276</v>
      </c>
      <c r="F1711" s="3">
        <v>356000</v>
      </c>
      <c r="G1711" s="2">
        <f t="shared" si="52"/>
        <v>30</v>
      </c>
      <c r="H1711" s="2">
        <f t="shared" ca="1" si="53"/>
        <v>85</v>
      </c>
      <c r="I1711" s="4">
        <v>46035</v>
      </c>
      <c r="J1711" s="4">
        <v>46065</v>
      </c>
      <c r="K1711" t="s">
        <v>17</v>
      </c>
      <c r="L1711" t="s">
        <v>32</v>
      </c>
      <c r="M1711" t="s">
        <v>19</v>
      </c>
      <c r="N1711" t="s">
        <v>2199</v>
      </c>
      <c r="O1711">
        <v>30</v>
      </c>
    </row>
    <row r="1712" spans="1:15" hidden="1" x14ac:dyDescent="0.25">
      <c r="A1712" t="s">
        <v>2820</v>
      </c>
      <c r="B1712" t="s">
        <v>2013</v>
      </c>
      <c r="C1712" t="s">
        <v>2014</v>
      </c>
      <c r="D1712" t="s">
        <v>15</v>
      </c>
      <c r="E1712" t="s">
        <v>3277</v>
      </c>
      <c r="F1712" s="3">
        <v>2100000</v>
      </c>
      <c r="G1712" s="2">
        <f t="shared" si="52"/>
        <v>10</v>
      </c>
      <c r="H1712" s="2">
        <f t="shared" ca="1" si="53"/>
        <v>85</v>
      </c>
      <c r="I1712" s="4">
        <v>46035</v>
      </c>
      <c r="J1712" s="4">
        <v>46045</v>
      </c>
      <c r="K1712" t="s">
        <v>17</v>
      </c>
      <c r="L1712" t="s">
        <v>32</v>
      </c>
      <c r="M1712" t="s">
        <v>19</v>
      </c>
      <c r="N1712" t="s">
        <v>2015</v>
      </c>
      <c r="O1712">
        <v>30</v>
      </c>
    </row>
    <row r="1713" spans="1:15" hidden="1" x14ac:dyDescent="0.25">
      <c r="A1713" t="s">
        <v>2820</v>
      </c>
      <c r="B1713" t="s">
        <v>76</v>
      </c>
      <c r="C1713" t="s">
        <v>77</v>
      </c>
      <c r="D1713" t="s">
        <v>46</v>
      </c>
      <c r="E1713" t="s">
        <v>3278</v>
      </c>
      <c r="F1713" s="3">
        <v>1260000</v>
      </c>
      <c r="G1713" s="2">
        <f t="shared" si="52"/>
        <v>10</v>
      </c>
      <c r="H1713" s="2">
        <f t="shared" ca="1" si="53"/>
        <v>85</v>
      </c>
      <c r="I1713" s="4">
        <v>46035</v>
      </c>
      <c r="J1713" s="4">
        <v>46045</v>
      </c>
      <c r="K1713" t="s">
        <v>17</v>
      </c>
      <c r="L1713" t="s">
        <v>32</v>
      </c>
      <c r="M1713" t="s">
        <v>19</v>
      </c>
      <c r="N1713" t="s">
        <v>78</v>
      </c>
      <c r="O1713">
        <v>30</v>
      </c>
    </row>
    <row r="1714" spans="1:15" hidden="1" x14ac:dyDescent="0.25">
      <c r="A1714" t="s">
        <v>2820</v>
      </c>
      <c r="B1714" t="s">
        <v>76</v>
      </c>
      <c r="C1714" t="s">
        <v>77</v>
      </c>
      <c r="D1714" t="s">
        <v>46</v>
      </c>
      <c r="E1714" t="s">
        <v>3279</v>
      </c>
      <c r="F1714" s="3">
        <v>1199617</v>
      </c>
      <c r="G1714" s="2">
        <f t="shared" si="52"/>
        <v>30</v>
      </c>
      <c r="H1714" s="2">
        <f t="shared" ca="1" si="53"/>
        <v>85</v>
      </c>
      <c r="I1714" s="4">
        <v>46035</v>
      </c>
      <c r="J1714" s="4">
        <v>46065</v>
      </c>
      <c r="K1714" t="s">
        <v>17</v>
      </c>
      <c r="L1714" t="s">
        <v>32</v>
      </c>
      <c r="M1714" t="s">
        <v>19</v>
      </c>
      <c r="N1714" t="s">
        <v>78</v>
      </c>
      <c r="O1714">
        <v>30</v>
      </c>
    </row>
    <row r="1715" spans="1:15" hidden="1" x14ac:dyDescent="0.25">
      <c r="A1715" t="s">
        <v>2820</v>
      </c>
      <c r="B1715" t="s">
        <v>76</v>
      </c>
      <c r="C1715" t="s">
        <v>77</v>
      </c>
      <c r="D1715" t="s">
        <v>46</v>
      </c>
      <c r="E1715" t="s">
        <v>3280</v>
      </c>
      <c r="F1715" s="3">
        <v>365587</v>
      </c>
      <c r="G1715" s="2">
        <f t="shared" si="52"/>
        <v>30</v>
      </c>
      <c r="H1715" s="2">
        <f t="shared" ca="1" si="53"/>
        <v>85</v>
      </c>
      <c r="I1715" s="4">
        <v>46035</v>
      </c>
      <c r="J1715" s="4">
        <v>46065</v>
      </c>
      <c r="K1715" t="s">
        <v>17</v>
      </c>
      <c r="L1715" t="s">
        <v>32</v>
      </c>
      <c r="M1715" t="s">
        <v>19</v>
      </c>
      <c r="N1715" t="s">
        <v>78</v>
      </c>
      <c r="O1715">
        <v>30</v>
      </c>
    </row>
    <row r="1716" spans="1:15" hidden="1" x14ac:dyDescent="0.25">
      <c r="A1716" t="s">
        <v>2820</v>
      </c>
      <c r="B1716" t="s">
        <v>76</v>
      </c>
      <c r="C1716" t="s">
        <v>77</v>
      </c>
      <c r="D1716" t="s">
        <v>46</v>
      </c>
      <c r="E1716" t="s">
        <v>3281</v>
      </c>
      <c r="F1716" s="3">
        <v>4200000</v>
      </c>
      <c r="G1716" s="2">
        <f t="shared" si="52"/>
        <v>10</v>
      </c>
      <c r="H1716" s="2">
        <f t="shared" ca="1" si="53"/>
        <v>85</v>
      </c>
      <c r="I1716" s="4">
        <v>46035</v>
      </c>
      <c r="J1716" s="4">
        <v>46045</v>
      </c>
      <c r="K1716" t="s">
        <v>17</v>
      </c>
      <c r="L1716" t="s">
        <v>32</v>
      </c>
      <c r="M1716" t="s">
        <v>19</v>
      </c>
      <c r="N1716" t="s">
        <v>78</v>
      </c>
      <c r="O1716">
        <v>30</v>
      </c>
    </row>
    <row r="1717" spans="1:15" hidden="1" x14ac:dyDescent="0.25">
      <c r="A1717" t="s">
        <v>2820</v>
      </c>
      <c r="B1717" t="s">
        <v>79</v>
      </c>
      <c r="C1717" t="s">
        <v>80</v>
      </c>
      <c r="D1717" t="s">
        <v>46</v>
      </c>
      <c r="E1717" t="s">
        <v>3282</v>
      </c>
      <c r="F1717" s="3">
        <v>840000</v>
      </c>
      <c r="G1717" s="2">
        <f t="shared" si="52"/>
        <v>10</v>
      </c>
      <c r="H1717" s="2">
        <f t="shared" ca="1" si="53"/>
        <v>85</v>
      </c>
      <c r="I1717" s="4">
        <v>46035</v>
      </c>
      <c r="J1717" s="4">
        <v>46045</v>
      </c>
      <c r="K1717" t="s">
        <v>17</v>
      </c>
      <c r="L1717" t="s">
        <v>32</v>
      </c>
      <c r="M1717" t="s">
        <v>19</v>
      </c>
      <c r="N1717" t="s">
        <v>81</v>
      </c>
      <c r="O1717">
        <v>30</v>
      </c>
    </row>
    <row r="1718" spans="1:15" hidden="1" x14ac:dyDescent="0.25">
      <c r="A1718" t="s">
        <v>2820</v>
      </c>
      <c r="B1718" t="s">
        <v>79</v>
      </c>
      <c r="C1718" t="s">
        <v>80</v>
      </c>
      <c r="D1718" t="s">
        <v>46</v>
      </c>
      <c r="E1718" t="s">
        <v>3283</v>
      </c>
      <c r="F1718" s="3">
        <v>2100000</v>
      </c>
      <c r="G1718" s="2">
        <f t="shared" si="52"/>
        <v>10</v>
      </c>
      <c r="H1718" s="2">
        <f t="shared" ca="1" si="53"/>
        <v>85</v>
      </c>
      <c r="I1718" s="4">
        <v>46035</v>
      </c>
      <c r="J1718" s="4">
        <v>46045</v>
      </c>
      <c r="K1718" t="s">
        <v>17</v>
      </c>
      <c r="L1718" t="s">
        <v>32</v>
      </c>
      <c r="M1718" t="s">
        <v>19</v>
      </c>
      <c r="N1718" t="s">
        <v>81</v>
      </c>
      <c r="O1718">
        <v>30</v>
      </c>
    </row>
    <row r="1719" spans="1:15" hidden="1" x14ac:dyDescent="0.25">
      <c r="A1719" t="s">
        <v>2820</v>
      </c>
      <c r="B1719" t="s">
        <v>150</v>
      </c>
      <c r="C1719" t="s">
        <v>151</v>
      </c>
      <c r="D1719" t="s">
        <v>46</v>
      </c>
      <c r="E1719" t="s">
        <v>3284</v>
      </c>
      <c r="F1719" s="3">
        <v>1351985</v>
      </c>
      <c r="G1719" s="2">
        <f t="shared" si="52"/>
        <v>30</v>
      </c>
      <c r="H1719" s="2">
        <f t="shared" ca="1" si="53"/>
        <v>85</v>
      </c>
      <c r="I1719" s="4">
        <v>46035</v>
      </c>
      <c r="J1719" s="4">
        <v>46065</v>
      </c>
      <c r="K1719" t="s">
        <v>17</v>
      </c>
      <c r="L1719" t="s">
        <v>32</v>
      </c>
      <c r="M1719" t="s">
        <v>19</v>
      </c>
      <c r="N1719" t="s">
        <v>152</v>
      </c>
      <c r="O1719">
        <v>30</v>
      </c>
    </row>
    <row r="1720" spans="1:15" hidden="1" x14ac:dyDescent="0.25">
      <c r="A1720" t="s">
        <v>2820</v>
      </c>
      <c r="B1720" t="s">
        <v>79</v>
      </c>
      <c r="C1720" t="s">
        <v>80</v>
      </c>
      <c r="D1720" t="s">
        <v>46</v>
      </c>
      <c r="E1720" t="s">
        <v>3285</v>
      </c>
      <c r="F1720" s="3">
        <v>776625</v>
      </c>
      <c r="G1720" s="2">
        <f t="shared" si="52"/>
        <v>30</v>
      </c>
      <c r="H1720" s="2">
        <f t="shared" ca="1" si="53"/>
        <v>85</v>
      </c>
      <c r="I1720" s="4">
        <v>46035</v>
      </c>
      <c r="J1720" s="4">
        <v>46065</v>
      </c>
      <c r="K1720" t="s">
        <v>17</v>
      </c>
      <c r="L1720" t="s">
        <v>32</v>
      </c>
      <c r="M1720" t="s">
        <v>19</v>
      </c>
      <c r="N1720" t="s">
        <v>81</v>
      </c>
      <c r="O1720">
        <v>30</v>
      </c>
    </row>
    <row r="1721" spans="1:15" hidden="1" x14ac:dyDescent="0.25">
      <c r="A1721" t="s">
        <v>2820</v>
      </c>
      <c r="B1721" t="s">
        <v>162</v>
      </c>
      <c r="C1721" t="s">
        <v>163</v>
      </c>
      <c r="D1721" t="s">
        <v>15</v>
      </c>
      <c r="E1721" t="s">
        <v>3286</v>
      </c>
      <c r="F1721" s="3">
        <v>840000</v>
      </c>
      <c r="G1721" s="2">
        <f t="shared" si="52"/>
        <v>10</v>
      </c>
      <c r="H1721" s="2">
        <f t="shared" ca="1" si="53"/>
        <v>85</v>
      </c>
      <c r="I1721" s="4">
        <v>46035</v>
      </c>
      <c r="J1721" s="4">
        <v>46045</v>
      </c>
      <c r="K1721" t="s">
        <v>17</v>
      </c>
      <c r="L1721" t="s">
        <v>32</v>
      </c>
      <c r="M1721" t="s">
        <v>19</v>
      </c>
      <c r="N1721" t="s">
        <v>164</v>
      </c>
      <c r="O1721">
        <v>30</v>
      </c>
    </row>
    <row r="1722" spans="1:15" hidden="1" x14ac:dyDescent="0.25">
      <c r="A1722" t="s">
        <v>2820</v>
      </c>
      <c r="B1722" t="s">
        <v>79</v>
      </c>
      <c r="C1722" t="s">
        <v>80</v>
      </c>
      <c r="D1722" t="s">
        <v>46</v>
      </c>
      <c r="E1722" t="s">
        <v>3287</v>
      </c>
      <c r="F1722" s="3">
        <v>622799</v>
      </c>
      <c r="G1722" s="2">
        <f t="shared" si="52"/>
        <v>30</v>
      </c>
      <c r="H1722" s="2">
        <f t="shared" ca="1" si="53"/>
        <v>85</v>
      </c>
      <c r="I1722" s="4">
        <v>46035</v>
      </c>
      <c r="J1722" s="4">
        <v>46065</v>
      </c>
      <c r="K1722" t="s">
        <v>17</v>
      </c>
      <c r="L1722" t="s">
        <v>32</v>
      </c>
      <c r="M1722" t="s">
        <v>19</v>
      </c>
      <c r="N1722" t="s">
        <v>81</v>
      </c>
      <c r="O1722">
        <v>30</v>
      </c>
    </row>
    <row r="1723" spans="1:15" hidden="1" x14ac:dyDescent="0.25">
      <c r="A1723" t="s">
        <v>2820</v>
      </c>
      <c r="B1723" t="s">
        <v>76</v>
      </c>
      <c r="C1723" t="s">
        <v>77</v>
      </c>
      <c r="D1723" t="s">
        <v>46</v>
      </c>
      <c r="E1723" t="s">
        <v>3288</v>
      </c>
      <c r="F1723" s="3">
        <v>1260000</v>
      </c>
      <c r="G1723" s="2">
        <f t="shared" si="52"/>
        <v>10</v>
      </c>
      <c r="H1723" s="2">
        <f t="shared" ca="1" si="53"/>
        <v>85</v>
      </c>
      <c r="I1723" s="4">
        <v>46035</v>
      </c>
      <c r="J1723" s="4">
        <v>46045</v>
      </c>
      <c r="K1723" t="s">
        <v>17</v>
      </c>
      <c r="L1723" t="s">
        <v>32</v>
      </c>
      <c r="M1723" t="s">
        <v>19</v>
      </c>
      <c r="N1723" t="s">
        <v>78</v>
      </c>
      <c r="O1723">
        <v>30</v>
      </c>
    </row>
    <row r="1724" spans="1:15" hidden="1" x14ac:dyDescent="0.25">
      <c r="A1724" t="s">
        <v>2820</v>
      </c>
      <c r="B1724" t="s">
        <v>82</v>
      </c>
      <c r="C1724" t="s">
        <v>83</v>
      </c>
      <c r="D1724" t="s">
        <v>15</v>
      </c>
      <c r="E1724" t="s">
        <v>3289</v>
      </c>
      <c r="F1724" s="3">
        <v>6300000</v>
      </c>
      <c r="G1724" s="2">
        <f t="shared" si="52"/>
        <v>30</v>
      </c>
      <c r="H1724" s="2">
        <f t="shared" ca="1" si="53"/>
        <v>85</v>
      </c>
      <c r="I1724" s="4">
        <v>46035</v>
      </c>
      <c r="J1724" s="4">
        <v>46065</v>
      </c>
      <c r="K1724" t="s">
        <v>17</v>
      </c>
      <c r="L1724" t="s">
        <v>32</v>
      </c>
      <c r="M1724" t="s">
        <v>19</v>
      </c>
      <c r="N1724" t="s">
        <v>84</v>
      </c>
      <c r="O1724">
        <v>30</v>
      </c>
    </row>
    <row r="1725" spans="1:15" hidden="1" x14ac:dyDescent="0.25">
      <c r="A1725" t="s">
        <v>2820</v>
      </c>
      <c r="B1725" t="s">
        <v>79</v>
      </c>
      <c r="C1725" t="s">
        <v>80</v>
      </c>
      <c r="D1725" t="s">
        <v>46</v>
      </c>
      <c r="E1725" t="s">
        <v>3290</v>
      </c>
      <c r="F1725" s="3">
        <v>1080000</v>
      </c>
      <c r="G1725" s="2">
        <f t="shared" si="52"/>
        <v>30</v>
      </c>
      <c r="H1725" s="2">
        <f t="shared" ca="1" si="53"/>
        <v>85</v>
      </c>
      <c r="I1725" s="4">
        <v>46035</v>
      </c>
      <c r="J1725" s="4">
        <v>46065</v>
      </c>
      <c r="K1725" t="s">
        <v>17</v>
      </c>
      <c r="L1725" t="s">
        <v>32</v>
      </c>
      <c r="M1725" t="s">
        <v>19</v>
      </c>
      <c r="N1725" t="s">
        <v>81</v>
      </c>
      <c r="O1725">
        <v>30</v>
      </c>
    </row>
    <row r="1726" spans="1:15" hidden="1" x14ac:dyDescent="0.25">
      <c r="A1726" t="s">
        <v>2820</v>
      </c>
      <c r="B1726" t="s">
        <v>79</v>
      </c>
      <c r="C1726" t="s">
        <v>80</v>
      </c>
      <c r="D1726" t="s">
        <v>46</v>
      </c>
      <c r="E1726" t="s">
        <v>3291</v>
      </c>
      <c r="F1726" s="3">
        <v>394057</v>
      </c>
      <c r="G1726" s="2">
        <f t="shared" si="52"/>
        <v>30</v>
      </c>
      <c r="H1726" s="2">
        <f t="shared" ca="1" si="53"/>
        <v>85</v>
      </c>
      <c r="I1726" s="4">
        <v>46035</v>
      </c>
      <c r="J1726" s="4">
        <v>46065</v>
      </c>
      <c r="K1726" t="s">
        <v>17</v>
      </c>
      <c r="L1726" t="s">
        <v>32</v>
      </c>
      <c r="M1726" t="s">
        <v>19</v>
      </c>
      <c r="N1726" t="s">
        <v>81</v>
      </c>
      <c r="O1726">
        <v>30</v>
      </c>
    </row>
    <row r="1727" spans="1:15" hidden="1" x14ac:dyDescent="0.25">
      <c r="A1727" t="s">
        <v>2820</v>
      </c>
      <c r="B1727" t="s">
        <v>198</v>
      </c>
      <c r="C1727" t="s">
        <v>199</v>
      </c>
      <c r="D1727" t="s">
        <v>15</v>
      </c>
      <c r="E1727" t="s">
        <v>3292</v>
      </c>
      <c r="F1727" s="3">
        <v>5458440</v>
      </c>
      <c r="G1727" s="2">
        <f t="shared" si="52"/>
        <v>30</v>
      </c>
      <c r="H1727" s="2">
        <f t="shared" ca="1" si="53"/>
        <v>85</v>
      </c>
      <c r="I1727" s="4">
        <v>46035</v>
      </c>
      <c r="J1727" s="4">
        <v>46065</v>
      </c>
      <c r="K1727" t="s">
        <v>17</v>
      </c>
      <c r="L1727" t="s">
        <v>109</v>
      </c>
      <c r="M1727" t="s">
        <v>19</v>
      </c>
      <c r="N1727" t="s">
        <v>200</v>
      </c>
      <c r="O1727">
        <v>30</v>
      </c>
    </row>
    <row r="1728" spans="1:15" hidden="1" x14ac:dyDescent="0.25">
      <c r="A1728" t="s">
        <v>2820</v>
      </c>
      <c r="B1728" t="s">
        <v>82</v>
      </c>
      <c r="C1728" t="s">
        <v>83</v>
      </c>
      <c r="D1728" t="s">
        <v>15</v>
      </c>
      <c r="E1728" t="s">
        <v>3293</v>
      </c>
      <c r="F1728" s="3">
        <v>4314221</v>
      </c>
      <c r="G1728" s="2">
        <f t="shared" si="52"/>
        <v>30</v>
      </c>
      <c r="H1728" s="2">
        <f t="shared" ca="1" si="53"/>
        <v>85</v>
      </c>
      <c r="I1728" s="4">
        <v>46035</v>
      </c>
      <c r="J1728" s="4">
        <v>46065</v>
      </c>
      <c r="K1728" t="s">
        <v>17</v>
      </c>
      <c r="L1728" t="s">
        <v>32</v>
      </c>
      <c r="M1728" t="s">
        <v>19</v>
      </c>
      <c r="N1728" t="s">
        <v>84</v>
      </c>
      <c r="O1728">
        <v>30</v>
      </c>
    </row>
    <row r="1729" spans="1:15" hidden="1" x14ac:dyDescent="0.25">
      <c r="A1729" t="s">
        <v>2820</v>
      </c>
      <c r="B1729" t="s">
        <v>2057</v>
      </c>
      <c r="C1729" t="s">
        <v>2058</v>
      </c>
      <c r="D1729" t="s">
        <v>46</v>
      </c>
      <c r="E1729" t="s">
        <v>3397</v>
      </c>
      <c r="F1729" s="3">
        <v>128400</v>
      </c>
      <c r="G1729" s="2">
        <f t="shared" si="52"/>
        <v>10</v>
      </c>
      <c r="H1729" s="2">
        <f t="shared" ca="1" si="53"/>
        <v>85</v>
      </c>
      <c r="I1729" s="4">
        <v>46035</v>
      </c>
      <c r="J1729" s="4">
        <v>46045</v>
      </c>
      <c r="K1729" t="s">
        <v>17</v>
      </c>
      <c r="L1729" t="s">
        <v>312</v>
      </c>
      <c r="M1729" t="s">
        <v>19</v>
      </c>
      <c r="N1729" t="s">
        <v>2059</v>
      </c>
      <c r="O1729">
        <v>0</v>
      </c>
    </row>
    <row r="1730" spans="1:15" hidden="1" x14ac:dyDescent="0.25">
      <c r="A1730" t="s">
        <v>2820</v>
      </c>
      <c r="B1730" t="s">
        <v>2428</v>
      </c>
      <c r="C1730" t="s">
        <v>2429</v>
      </c>
      <c r="D1730" t="s">
        <v>15</v>
      </c>
      <c r="E1730" t="s">
        <v>3398</v>
      </c>
      <c r="F1730" s="3">
        <v>764000</v>
      </c>
      <c r="G1730" s="2">
        <f t="shared" ref="G1730:G1793" si="54">+J1730-I1730</f>
        <v>10</v>
      </c>
      <c r="H1730" s="2">
        <f t="shared" ref="H1730:H1793" ca="1" si="55">+TODAY()-I1730</f>
        <v>85</v>
      </c>
      <c r="I1730" s="4">
        <v>46035</v>
      </c>
      <c r="J1730" s="4">
        <v>46045</v>
      </c>
      <c r="K1730" t="s">
        <v>17</v>
      </c>
      <c r="L1730" t="s">
        <v>312</v>
      </c>
      <c r="M1730" t="s">
        <v>19</v>
      </c>
      <c r="N1730" t="s">
        <v>2430</v>
      </c>
      <c r="O1730">
        <v>30</v>
      </c>
    </row>
    <row r="1731" spans="1:15" hidden="1" x14ac:dyDescent="0.25">
      <c r="A1731" t="s">
        <v>2820</v>
      </c>
      <c r="B1731" t="s">
        <v>326</v>
      </c>
      <c r="C1731" t="s">
        <v>327</v>
      </c>
      <c r="D1731" t="s">
        <v>15</v>
      </c>
      <c r="E1731" t="s">
        <v>3399</v>
      </c>
      <c r="F1731" s="3">
        <v>155159</v>
      </c>
      <c r="G1731" s="2">
        <f t="shared" si="54"/>
        <v>30</v>
      </c>
      <c r="H1731" s="2">
        <f t="shared" ca="1" si="55"/>
        <v>85</v>
      </c>
      <c r="I1731" s="4">
        <v>46035</v>
      </c>
      <c r="J1731" s="4">
        <v>46065</v>
      </c>
      <c r="K1731" t="s">
        <v>17</v>
      </c>
      <c r="L1731" t="s">
        <v>312</v>
      </c>
      <c r="M1731" t="s">
        <v>19</v>
      </c>
      <c r="N1731" t="s">
        <v>328</v>
      </c>
      <c r="O1731">
        <v>30</v>
      </c>
    </row>
    <row r="1732" spans="1:15" hidden="1" x14ac:dyDescent="0.25">
      <c r="A1732" t="s">
        <v>2820</v>
      </c>
      <c r="B1732" t="s">
        <v>2084</v>
      </c>
      <c r="C1732" t="s">
        <v>2085</v>
      </c>
      <c r="D1732" t="s">
        <v>15</v>
      </c>
      <c r="E1732" t="s">
        <v>3400</v>
      </c>
      <c r="F1732" s="3">
        <v>12938</v>
      </c>
      <c r="G1732" s="2">
        <f t="shared" si="54"/>
        <v>30</v>
      </c>
      <c r="H1732" s="2">
        <f t="shared" ca="1" si="55"/>
        <v>85</v>
      </c>
      <c r="I1732" s="4">
        <v>46035</v>
      </c>
      <c r="J1732" s="4">
        <v>46065</v>
      </c>
      <c r="K1732" t="s">
        <v>17</v>
      </c>
      <c r="L1732" t="s">
        <v>109</v>
      </c>
      <c r="M1732" t="s">
        <v>19</v>
      </c>
      <c r="N1732" t="s">
        <v>2086</v>
      </c>
      <c r="O1732">
        <v>30</v>
      </c>
    </row>
    <row r="1733" spans="1:15" hidden="1" x14ac:dyDescent="0.25">
      <c r="A1733" t="s">
        <v>2820</v>
      </c>
      <c r="B1733" t="s">
        <v>3401</v>
      </c>
      <c r="C1733" t="s">
        <v>3402</v>
      </c>
      <c r="D1733" t="s">
        <v>46</v>
      </c>
      <c r="E1733" t="s">
        <v>3403</v>
      </c>
      <c r="F1733" s="3">
        <v>153766</v>
      </c>
      <c r="G1733" s="2">
        <f t="shared" si="54"/>
        <v>15</v>
      </c>
      <c r="H1733" s="2">
        <f t="shared" ca="1" si="55"/>
        <v>85</v>
      </c>
      <c r="I1733" s="4">
        <v>46035</v>
      </c>
      <c r="J1733" s="4">
        <v>46050</v>
      </c>
      <c r="K1733" t="s">
        <v>17</v>
      </c>
      <c r="L1733" t="s">
        <v>317</v>
      </c>
      <c r="M1733" t="s">
        <v>19</v>
      </c>
      <c r="N1733" t="s">
        <v>3404</v>
      </c>
      <c r="O1733">
        <v>15</v>
      </c>
    </row>
    <row r="1734" spans="1:15" hidden="1" x14ac:dyDescent="0.25">
      <c r="A1734" t="s">
        <v>2820</v>
      </c>
      <c r="B1734" t="s">
        <v>3401</v>
      </c>
      <c r="C1734" t="s">
        <v>3402</v>
      </c>
      <c r="D1734" t="s">
        <v>46</v>
      </c>
      <c r="E1734" t="s">
        <v>3405</v>
      </c>
      <c r="F1734" s="3">
        <v>313501</v>
      </c>
      <c r="G1734" s="2">
        <f t="shared" si="54"/>
        <v>15</v>
      </c>
      <c r="H1734" s="2">
        <f t="shared" ca="1" si="55"/>
        <v>85</v>
      </c>
      <c r="I1734" s="4">
        <v>46035</v>
      </c>
      <c r="J1734" s="4">
        <v>46050</v>
      </c>
      <c r="K1734" t="s">
        <v>17</v>
      </c>
      <c r="L1734" t="s">
        <v>317</v>
      </c>
      <c r="M1734" t="s">
        <v>19</v>
      </c>
      <c r="N1734" t="s">
        <v>3404</v>
      </c>
      <c r="O1734">
        <v>15</v>
      </c>
    </row>
    <row r="1735" spans="1:15" hidden="1" x14ac:dyDescent="0.25">
      <c r="A1735" t="s">
        <v>2820</v>
      </c>
      <c r="B1735" t="s">
        <v>3401</v>
      </c>
      <c r="C1735" t="s">
        <v>3402</v>
      </c>
      <c r="D1735" t="s">
        <v>46</v>
      </c>
      <c r="E1735" t="s">
        <v>3406</v>
      </c>
      <c r="F1735" s="3">
        <v>1532861</v>
      </c>
      <c r="G1735" s="2">
        <f t="shared" si="54"/>
        <v>15</v>
      </c>
      <c r="H1735" s="2">
        <f t="shared" ca="1" si="55"/>
        <v>85</v>
      </c>
      <c r="I1735" s="4">
        <v>46035</v>
      </c>
      <c r="J1735" s="4">
        <v>46050</v>
      </c>
      <c r="K1735" t="s">
        <v>17</v>
      </c>
      <c r="L1735" t="s">
        <v>317</v>
      </c>
      <c r="M1735" t="s">
        <v>19</v>
      </c>
      <c r="N1735" t="s">
        <v>3404</v>
      </c>
      <c r="O1735">
        <v>15</v>
      </c>
    </row>
    <row r="1736" spans="1:15" hidden="1" x14ac:dyDescent="0.25">
      <c r="A1736" t="s">
        <v>2820</v>
      </c>
      <c r="B1736" t="s">
        <v>177</v>
      </c>
      <c r="C1736" t="s">
        <v>178</v>
      </c>
      <c r="D1736" t="s">
        <v>46</v>
      </c>
      <c r="E1736" t="s">
        <v>3407</v>
      </c>
      <c r="F1736" s="3">
        <v>3238228</v>
      </c>
      <c r="G1736" s="2">
        <f t="shared" si="54"/>
        <v>1</v>
      </c>
      <c r="H1736" s="2">
        <f t="shared" ca="1" si="55"/>
        <v>85</v>
      </c>
      <c r="I1736" s="4">
        <v>46035</v>
      </c>
      <c r="J1736" s="4">
        <v>46036</v>
      </c>
      <c r="K1736" t="s">
        <v>17</v>
      </c>
      <c r="L1736" t="s">
        <v>28</v>
      </c>
      <c r="M1736" t="s">
        <v>19</v>
      </c>
      <c r="N1736" t="s">
        <v>179</v>
      </c>
      <c r="O1736">
        <v>0</v>
      </c>
    </row>
    <row r="1737" spans="1:15" hidden="1" x14ac:dyDescent="0.25">
      <c r="A1737" t="s">
        <v>2820</v>
      </c>
      <c r="B1737" t="s">
        <v>943</v>
      </c>
      <c r="C1737" t="s">
        <v>944</v>
      </c>
      <c r="D1737" t="s">
        <v>930</v>
      </c>
      <c r="E1737" t="s">
        <v>3510</v>
      </c>
      <c r="F1737" s="3">
        <v>6</v>
      </c>
      <c r="G1737" s="2">
        <f t="shared" si="54"/>
        <v>30</v>
      </c>
      <c r="H1737" s="2">
        <f t="shared" ca="1" si="55"/>
        <v>85</v>
      </c>
      <c r="I1737" s="4">
        <v>46035</v>
      </c>
      <c r="J1737" s="4">
        <v>46065</v>
      </c>
      <c r="K1737" t="s">
        <v>918</v>
      </c>
      <c r="L1737" t="s">
        <v>312</v>
      </c>
      <c r="M1737" t="s">
        <v>19</v>
      </c>
      <c r="N1737" t="s">
        <v>945</v>
      </c>
      <c r="O1737">
        <v>30</v>
      </c>
    </row>
    <row r="1738" spans="1:15" hidden="1" x14ac:dyDescent="0.25">
      <c r="A1738" t="s">
        <v>2820</v>
      </c>
      <c r="B1738" t="s">
        <v>943</v>
      </c>
      <c r="C1738" t="s">
        <v>944</v>
      </c>
      <c r="D1738" t="s">
        <v>930</v>
      </c>
      <c r="E1738" t="s">
        <v>3511</v>
      </c>
      <c r="F1738" s="3">
        <v>1437000</v>
      </c>
      <c r="G1738" s="2">
        <f t="shared" si="54"/>
        <v>30</v>
      </c>
      <c r="H1738" s="2">
        <f t="shared" ca="1" si="55"/>
        <v>85</v>
      </c>
      <c r="I1738" s="4">
        <v>46035</v>
      </c>
      <c r="J1738" s="4">
        <v>46065</v>
      </c>
      <c r="K1738" t="s">
        <v>918</v>
      </c>
      <c r="L1738" t="s">
        <v>312</v>
      </c>
      <c r="M1738" t="s">
        <v>19</v>
      </c>
      <c r="N1738" t="s">
        <v>945</v>
      </c>
      <c r="O1738">
        <v>30</v>
      </c>
    </row>
    <row r="1739" spans="1:15" hidden="1" x14ac:dyDescent="0.25">
      <c r="A1739" t="s">
        <v>2820</v>
      </c>
      <c r="B1739" t="s">
        <v>952</v>
      </c>
      <c r="C1739" t="s">
        <v>953</v>
      </c>
      <c r="D1739" t="s">
        <v>930</v>
      </c>
      <c r="E1739" t="s">
        <v>3512</v>
      </c>
      <c r="F1739" s="3">
        <v>653856</v>
      </c>
      <c r="G1739" s="2">
        <f t="shared" si="54"/>
        <v>30</v>
      </c>
      <c r="H1739" s="2">
        <f t="shared" ca="1" si="55"/>
        <v>85</v>
      </c>
      <c r="I1739" s="4">
        <v>46035</v>
      </c>
      <c r="J1739" s="4">
        <v>46065</v>
      </c>
      <c r="K1739" t="s">
        <v>918</v>
      </c>
      <c r="L1739" t="s">
        <v>312</v>
      </c>
      <c r="M1739" t="s">
        <v>19</v>
      </c>
      <c r="N1739" t="s">
        <v>954</v>
      </c>
      <c r="O1739">
        <v>30</v>
      </c>
    </row>
    <row r="1740" spans="1:15" hidden="1" x14ac:dyDescent="0.25">
      <c r="A1740" t="s">
        <v>2820</v>
      </c>
      <c r="B1740" t="s">
        <v>3513</v>
      </c>
      <c r="C1740" t="s">
        <v>3514</v>
      </c>
      <c r="D1740" t="s">
        <v>930</v>
      </c>
      <c r="E1740" t="s">
        <v>3515</v>
      </c>
      <c r="F1740" s="3">
        <v>42800</v>
      </c>
      <c r="G1740" s="2">
        <f t="shared" si="54"/>
        <v>1</v>
      </c>
      <c r="H1740" s="2">
        <f t="shared" ca="1" si="55"/>
        <v>85</v>
      </c>
      <c r="I1740" s="4">
        <v>46035</v>
      </c>
      <c r="J1740" s="4">
        <v>46036</v>
      </c>
      <c r="K1740" t="s">
        <v>918</v>
      </c>
      <c r="L1740" t="s">
        <v>312</v>
      </c>
      <c r="M1740" t="s">
        <v>19</v>
      </c>
      <c r="N1740" t="s">
        <v>3516</v>
      </c>
      <c r="O1740">
        <v>0</v>
      </c>
    </row>
    <row r="1741" spans="1:15" hidden="1" x14ac:dyDescent="0.25">
      <c r="A1741" t="s">
        <v>2820</v>
      </c>
      <c r="B1741" t="s">
        <v>946</v>
      </c>
      <c r="C1741" t="s">
        <v>947</v>
      </c>
      <c r="D1741" t="s">
        <v>916</v>
      </c>
      <c r="E1741" t="s">
        <v>3517</v>
      </c>
      <c r="F1741" s="3">
        <v>241500</v>
      </c>
      <c r="G1741" s="2">
        <f t="shared" si="54"/>
        <v>15</v>
      </c>
      <c r="H1741" s="2">
        <f t="shared" ca="1" si="55"/>
        <v>85</v>
      </c>
      <c r="I1741" s="4">
        <v>46035</v>
      </c>
      <c r="J1741" s="4">
        <v>46050</v>
      </c>
      <c r="K1741" t="s">
        <v>918</v>
      </c>
      <c r="L1741" t="s">
        <v>312</v>
      </c>
      <c r="M1741" t="s">
        <v>19</v>
      </c>
      <c r="N1741" t="s">
        <v>948</v>
      </c>
      <c r="O1741">
        <v>30</v>
      </c>
    </row>
    <row r="1742" spans="1:15" hidden="1" x14ac:dyDescent="0.25">
      <c r="A1742" t="s">
        <v>2820</v>
      </c>
      <c r="B1742" t="s">
        <v>946</v>
      </c>
      <c r="C1742" t="s">
        <v>947</v>
      </c>
      <c r="D1742" t="s">
        <v>916</v>
      </c>
      <c r="E1742" t="s">
        <v>3518</v>
      </c>
      <c r="F1742" s="3">
        <v>70701</v>
      </c>
      <c r="G1742" s="2">
        <f t="shared" si="54"/>
        <v>15</v>
      </c>
      <c r="H1742" s="2">
        <f t="shared" ca="1" si="55"/>
        <v>85</v>
      </c>
      <c r="I1742" s="4">
        <v>46035</v>
      </c>
      <c r="J1742" s="4">
        <v>46050</v>
      </c>
      <c r="K1742" t="s">
        <v>918</v>
      </c>
      <c r="L1742" t="s">
        <v>312</v>
      </c>
      <c r="M1742" t="s">
        <v>19</v>
      </c>
      <c r="N1742" t="s">
        <v>948</v>
      </c>
      <c r="O1742">
        <v>30</v>
      </c>
    </row>
    <row r="1743" spans="1:15" hidden="1" x14ac:dyDescent="0.25">
      <c r="A1743" t="s">
        <v>2820</v>
      </c>
      <c r="B1743" t="s">
        <v>1932</v>
      </c>
      <c r="C1743" t="s">
        <v>1933</v>
      </c>
      <c r="D1743" t="s">
        <v>916</v>
      </c>
      <c r="E1743" t="s">
        <v>3519</v>
      </c>
      <c r="F1743" s="3">
        <v>599449</v>
      </c>
      <c r="G1743" s="2">
        <f t="shared" si="54"/>
        <v>15</v>
      </c>
      <c r="H1743" s="2">
        <f t="shared" ca="1" si="55"/>
        <v>85</v>
      </c>
      <c r="I1743" s="4">
        <v>46035</v>
      </c>
      <c r="J1743" s="4">
        <v>46050</v>
      </c>
      <c r="K1743" t="s">
        <v>918</v>
      </c>
      <c r="L1743" t="s">
        <v>312</v>
      </c>
      <c r="M1743" t="s">
        <v>19</v>
      </c>
      <c r="N1743" t="s">
        <v>1934</v>
      </c>
      <c r="O1743">
        <v>30</v>
      </c>
    </row>
    <row r="1744" spans="1:15" hidden="1" x14ac:dyDescent="0.25">
      <c r="A1744" t="s">
        <v>2820</v>
      </c>
      <c r="B1744" t="s">
        <v>1932</v>
      </c>
      <c r="C1744" t="s">
        <v>1933</v>
      </c>
      <c r="D1744" t="s">
        <v>916</v>
      </c>
      <c r="E1744" t="s">
        <v>3520</v>
      </c>
      <c r="F1744" s="3">
        <v>164800</v>
      </c>
      <c r="G1744" s="2">
        <f t="shared" si="54"/>
        <v>30</v>
      </c>
      <c r="H1744" s="2">
        <f t="shared" ca="1" si="55"/>
        <v>85</v>
      </c>
      <c r="I1744" s="4">
        <v>46035</v>
      </c>
      <c r="J1744" s="4">
        <v>46065</v>
      </c>
      <c r="K1744" t="s">
        <v>918</v>
      </c>
      <c r="L1744" t="s">
        <v>312</v>
      </c>
      <c r="M1744" t="s">
        <v>19</v>
      </c>
      <c r="N1744" t="s">
        <v>1934</v>
      </c>
      <c r="O1744">
        <v>30</v>
      </c>
    </row>
    <row r="1745" spans="1:15" hidden="1" x14ac:dyDescent="0.25">
      <c r="A1745" t="s">
        <v>2820</v>
      </c>
      <c r="B1745" t="s">
        <v>3521</v>
      </c>
      <c r="C1745" t="s">
        <v>3522</v>
      </c>
      <c r="D1745" t="s">
        <v>930</v>
      </c>
      <c r="E1745" t="s">
        <v>3523</v>
      </c>
      <c r="F1745" s="3">
        <v>835343</v>
      </c>
      <c r="G1745" s="2">
        <f t="shared" si="54"/>
        <v>30</v>
      </c>
      <c r="H1745" s="2">
        <f t="shared" ca="1" si="55"/>
        <v>85</v>
      </c>
      <c r="I1745" s="4">
        <v>46035</v>
      </c>
      <c r="J1745" s="4">
        <v>46065</v>
      </c>
      <c r="K1745" t="s">
        <v>918</v>
      </c>
      <c r="L1745" t="s">
        <v>312</v>
      </c>
      <c r="M1745" t="s">
        <v>19</v>
      </c>
      <c r="N1745" t="s">
        <v>3524</v>
      </c>
      <c r="O1745">
        <v>30</v>
      </c>
    </row>
    <row r="1746" spans="1:15" hidden="1" x14ac:dyDescent="0.25">
      <c r="A1746" t="s">
        <v>2820</v>
      </c>
      <c r="B1746" t="s">
        <v>970</v>
      </c>
      <c r="C1746" t="s">
        <v>971</v>
      </c>
      <c r="D1746" t="s">
        <v>916</v>
      </c>
      <c r="E1746" t="s">
        <v>3525</v>
      </c>
      <c r="F1746" s="3">
        <v>1348944</v>
      </c>
      <c r="G1746" s="2">
        <f t="shared" si="54"/>
        <v>30</v>
      </c>
      <c r="H1746" s="2">
        <f t="shared" ca="1" si="55"/>
        <v>85</v>
      </c>
      <c r="I1746" s="4">
        <v>46035</v>
      </c>
      <c r="J1746" s="4">
        <v>46065</v>
      </c>
      <c r="K1746" t="s">
        <v>918</v>
      </c>
      <c r="L1746" t="s">
        <v>312</v>
      </c>
      <c r="M1746" t="s">
        <v>19</v>
      </c>
      <c r="N1746" t="s">
        <v>972</v>
      </c>
      <c r="O1746">
        <v>30</v>
      </c>
    </row>
    <row r="1747" spans="1:15" hidden="1" x14ac:dyDescent="0.25">
      <c r="A1747" t="s">
        <v>2820</v>
      </c>
      <c r="B1747" t="s">
        <v>970</v>
      </c>
      <c r="C1747" t="s">
        <v>971</v>
      </c>
      <c r="D1747" t="s">
        <v>916</v>
      </c>
      <c r="E1747" t="s">
        <v>3526</v>
      </c>
      <c r="F1747" s="3">
        <v>259946</v>
      </c>
      <c r="G1747" s="2">
        <f t="shared" si="54"/>
        <v>15</v>
      </c>
      <c r="H1747" s="2">
        <f t="shared" ca="1" si="55"/>
        <v>85</v>
      </c>
      <c r="I1747" s="4">
        <v>46035</v>
      </c>
      <c r="J1747" s="4">
        <v>46050</v>
      </c>
      <c r="K1747" t="s">
        <v>918</v>
      </c>
      <c r="L1747" t="s">
        <v>312</v>
      </c>
      <c r="M1747" t="s">
        <v>19</v>
      </c>
      <c r="N1747" t="s">
        <v>972</v>
      </c>
      <c r="O1747">
        <v>30</v>
      </c>
    </row>
    <row r="1748" spans="1:15" hidden="1" x14ac:dyDescent="0.25">
      <c r="A1748" t="s">
        <v>2820</v>
      </c>
      <c r="B1748" t="s">
        <v>931</v>
      </c>
      <c r="C1748" t="s">
        <v>932</v>
      </c>
      <c r="D1748" t="s">
        <v>916</v>
      </c>
      <c r="E1748" t="s">
        <v>3527</v>
      </c>
      <c r="F1748" s="3">
        <v>437817</v>
      </c>
      <c r="G1748" s="2">
        <f t="shared" si="54"/>
        <v>30</v>
      </c>
      <c r="H1748" s="2">
        <f t="shared" ca="1" si="55"/>
        <v>85</v>
      </c>
      <c r="I1748" s="4">
        <v>46035</v>
      </c>
      <c r="J1748" s="4">
        <v>46065</v>
      </c>
      <c r="K1748" t="s">
        <v>918</v>
      </c>
      <c r="L1748" t="s">
        <v>312</v>
      </c>
      <c r="M1748" t="s">
        <v>19</v>
      </c>
      <c r="N1748" t="s">
        <v>933</v>
      </c>
      <c r="O1748">
        <v>30</v>
      </c>
    </row>
    <row r="1749" spans="1:15" hidden="1" x14ac:dyDescent="0.25">
      <c r="A1749" t="s">
        <v>2820</v>
      </c>
      <c r="B1749" t="s">
        <v>937</v>
      </c>
      <c r="C1749" t="s">
        <v>938</v>
      </c>
      <c r="D1749" t="s">
        <v>930</v>
      </c>
      <c r="E1749" t="s">
        <v>3528</v>
      </c>
      <c r="F1749" s="3">
        <v>2248173</v>
      </c>
      <c r="G1749" s="2">
        <f t="shared" si="54"/>
        <v>30</v>
      </c>
      <c r="H1749" s="2">
        <f t="shared" ca="1" si="55"/>
        <v>85</v>
      </c>
      <c r="I1749" s="4">
        <v>46035</v>
      </c>
      <c r="J1749" s="4">
        <v>46065</v>
      </c>
      <c r="K1749" t="s">
        <v>918</v>
      </c>
      <c r="L1749" t="s">
        <v>312</v>
      </c>
      <c r="M1749" t="s">
        <v>19</v>
      </c>
      <c r="N1749" t="s">
        <v>939</v>
      </c>
      <c r="O1749">
        <v>30</v>
      </c>
    </row>
    <row r="1750" spans="1:15" hidden="1" x14ac:dyDescent="0.25">
      <c r="A1750" t="s">
        <v>2820</v>
      </c>
      <c r="B1750" t="s">
        <v>2063</v>
      </c>
      <c r="C1750" t="s">
        <v>2064</v>
      </c>
      <c r="D1750" t="s">
        <v>930</v>
      </c>
      <c r="E1750" t="s">
        <v>3529</v>
      </c>
      <c r="F1750" s="3">
        <v>775075</v>
      </c>
      <c r="G1750" s="2">
        <f t="shared" si="54"/>
        <v>30</v>
      </c>
      <c r="H1750" s="2">
        <f t="shared" ca="1" si="55"/>
        <v>85</v>
      </c>
      <c r="I1750" s="4">
        <v>46035</v>
      </c>
      <c r="J1750" s="4">
        <v>46065</v>
      </c>
      <c r="K1750" t="s">
        <v>918</v>
      </c>
      <c r="L1750" t="s">
        <v>312</v>
      </c>
      <c r="M1750" t="s">
        <v>19</v>
      </c>
      <c r="N1750" t="s">
        <v>2065</v>
      </c>
      <c r="O1750">
        <v>30</v>
      </c>
    </row>
    <row r="1751" spans="1:15" hidden="1" x14ac:dyDescent="0.25">
      <c r="A1751" t="s">
        <v>2820</v>
      </c>
      <c r="B1751" t="s">
        <v>934</v>
      </c>
      <c r="C1751" t="s">
        <v>935</v>
      </c>
      <c r="D1751" t="s">
        <v>930</v>
      </c>
      <c r="E1751" t="s">
        <v>3530</v>
      </c>
      <c r="F1751" s="3">
        <v>1571864</v>
      </c>
      <c r="G1751" s="2">
        <f t="shared" si="54"/>
        <v>30</v>
      </c>
      <c r="H1751" s="2">
        <f t="shared" ca="1" si="55"/>
        <v>85</v>
      </c>
      <c r="I1751" s="4">
        <v>46035</v>
      </c>
      <c r="J1751" s="4">
        <v>46065</v>
      </c>
      <c r="K1751" t="s">
        <v>918</v>
      </c>
      <c r="L1751" t="s">
        <v>312</v>
      </c>
      <c r="M1751" t="s">
        <v>19</v>
      </c>
      <c r="N1751" t="s">
        <v>936</v>
      </c>
      <c r="O1751">
        <v>30</v>
      </c>
    </row>
    <row r="1752" spans="1:15" hidden="1" x14ac:dyDescent="0.25">
      <c r="A1752" t="s">
        <v>2820</v>
      </c>
      <c r="B1752" t="s">
        <v>955</v>
      </c>
      <c r="C1752" t="s">
        <v>956</v>
      </c>
      <c r="D1752" t="s">
        <v>916</v>
      </c>
      <c r="E1752" t="s">
        <v>3531</v>
      </c>
      <c r="F1752" s="3">
        <v>616659</v>
      </c>
      <c r="G1752" s="2">
        <f t="shared" si="54"/>
        <v>30</v>
      </c>
      <c r="H1752" s="2">
        <f t="shared" ca="1" si="55"/>
        <v>85</v>
      </c>
      <c r="I1752" s="4">
        <v>46035</v>
      </c>
      <c r="J1752" s="4">
        <v>46065</v>
      </c>
      <c r="K1752" t="s">
        <v>918</v>
      </c>
      <c r="L1752" t="s">
        <v>312</v>
      </c>
      <c r="M1752" t="s">
        <v>19</v>
      </c>
      <c r="N1752" t="s">
        <v>957</v>
      </c>
      <c r="O1752">
        <v>30</v>
      </c>
    </row>
    <row r="1753" spans="1:15" hidden="1" x14ac:dyDescent="0.25">
      <c r="A1753" t="s">
        <v>2820</v>
      </c>
      <c r="B1753" t="s">
        <v>943</v>
      </c>
      <c r="C1753" t="s">
        <v>944</v>
      </c>
      <c r="D1753" t="s">
        <v>930</v>
      </c>
      <c r="E1753" t="s">
        <v>3532</v>
      </c>
      <c r="F1753" s="3">
        <v>1540649</v>
      </c>
      <c r="G1753" s="2">
        <f t="shared" si="54"/>
        <v>30</v>
      </c>
      <c r="H1753" s="2">
        <f t="shared" ca="1" si="55"/>
        <v>85</v>
      </c>
      <c r="I1753" s="4">
        <v>46035</v>
      </c>
      <c r="J1753" s="4">
        <v>46065</v>
      </c>
      <c r="K1753" t="s">
        <v>918</v>
      </c>
      <c r="L1753" t="s">
        <v>312</v>
      </c>
      <c r="M1753" t="s">
        <v>19</v>
      </c>
      <c r="N1753" t="s">
        <v>945</v>
      </c>
      <c r="O1753">
        <v>30</v>
      </c>
    </row>
    <row r="1754" spans="1:15" hidden="1" x14ac:dyDescent="0.25">
      <c r="A1754" t="s">
        <v>2820</v>
      </c>
      <c r="B1754" t="s">
        <v>3533</v>
      </c>
      <c r="C1754" t="s">
        <v>3534</v>
      </c>
      <c r="D1754" t="s">
        <v>930</v>
      </c>
      <c r="E1754" t="s">
        <v>3535</v>
      </c>
      <c r="F1754" s="3">
        <v>815780</v>
      </c>
      <c r="G1754" s="2">
        <f t="shared" si="54"/>
        <v>30</v>
      </c>
      <c r="H1754" s="2">
        <f t="shared" ca="1" si="55"/>
        <v>85</v>
      </c>
      <c r="I1754" s="4">
        <v>46035</v>
      </c>
      <c r="J1754" s="4">
        <v>46065</v>
      </c>
      <c r="K1754" t="s">
        <v>918</v>
      </c>
      <c r="L1754" t="s">
        <v>312</v>
      </c>
      <c r="M1754" t="s">
        <v>19</v>
      </c>
      <c r="N1754" t="s">
        <v>3536</v>
      </c>
      <c r="O1754">
        <v>30</v>
      </c>
    </row>
    <row r="1755" spans="1:15" hidden="1" x14ac:dyDescent="0.25">
      <c r="A1755" t="s">
        <v>2820</v>
      </c>
      <c r="B1755" t="s">
        <v>949</v>
      </c>
      <c r="C1755" t="s">
        <v>950</v>
      </c>
      <c r="D1755" t="s">
        <v>916</v>
      </c>
      <c r="E1755" t="s">
        <v>3537</v>
      </c>
      <c r="F1755" s="3">
        <v>260840</v>
      </c>
      <c r="G1755" s="2">
        <f t="shared" si="54"/>
        <v>15</v>
      </c>
      <c r="H1755" s="2">
        <f t="shared" ca="1" si="55"/>
        <v>85</v>
      </c>
      <c r="I1755" s="4">
        <v>46035</v>
      </c>
      <c r="J1755" s="4">
        <v>46050</v>
      </c>
      <c r="K1755" t="s">
        <v>918</v>
      </c>
      <c r="L1755" t="s">
        <v>312</v>
      </c>
      <c r="M1755" t="s">
        <v>19</v>
      </c>
      <c r="N1755" t="s">
        <v>951</v>
      </c>
      <c r="O1755">
        <v>30</v>
      </c>
    </row>
    <row r="1756" spans="1:15" hidden="1" x14ac:dyDescent="0.25">
      <c r="A1756" t="s">
        <v>2820</v>
      </c>
      <c r="B1756" t="s">
        <v>961</v>
      </c>
      <c r="C1756" t="s">
        <v>962</v>
      </c>
      <c r="D1756" t="s">
        <v>916</v>
      </c>
      <c r="E1756" t="s">
        <v>3538</v>
      </c>
      <c r="F1756" s="3">
        <v>1033483</v>
      </c>
      <c r="G1756" s="2">
        <f t="shared" si="54"/>
        <v>30</v>
      </c>
      <c r="H1756" s="2">
        <f t="shared" ca="1" si="55"/>
        <v>85</v>
      </c>
      <c r="I1756" s="4">
        <v>46035</v>
      </c>
      <c r="J1756" s="4">
        <v>46065</v>
      </c>
      <c r="K1756" t="s">
        <v>918</v>
      </c>
      <c r="L1756" t="s">
        <v>312</v>
      </c>
      <c r="M1756" t="s">
        <v>19</v>
      </c>
      <c r="N1756" t="s">
        <v>963</v>
      </c>
      <c r="O1756">
        <v>30</v>
      </c>
    </row>
    <row r="1757" spans="1:15" hidden="1" x14ac:dyDescent="0.25">
      <c r="A1757" t="s">
        <v>2820</v>
      </c>
      <c r="B1757" t="s">
        <v>2317</v>
      </c>
      <c r="C1757" t="s">
        <v>2318</v>
      </c>
      <c r="D1757" t="s">
        <v>320</v>
      </c>
      <c r="E1757" t="s">
        <v>3553</v>
      </c>
      <c r="F1757" s="3">
        <v>3994297</v>
      </c>
      <c r="G1757" s="2">
        <f t="shared" si="54"/>
        <v>15</v>
      </c>
      <c r="H1757" s="2">
        <f t="shared" ca="1" si="55"/>
        <v>85</v>
      </c>
      <c r="I1757" s="4">
        <v>46035</v>
      </c>
      <c r="J1757" s="4">
        <v>46050</v>
      </c>
      <c r="K1757" t="s">
        <v>1068</v>
      </c>
      <c r="L1757" t="s">
        <v>207</v>
      </c>
      <c r="M1757" t="s">
        <v>19</v>
      </c>
      <c r="N1757" t="s">
        <v>2320</v>
      </c>
      <c r="O1757">
        <v>15</v>
      </c>
    </row>
    <row r="1758" spans="1:15" hidden="1" x14ac:dyDescent="0.25">
      <c r="A1758" t="s">
        <v>2820</v>
      </c>
      <c r="B1758" t="s">
        <v>1149</v>
      </c>
      <c r="C1758" t="s">
        <v>1150</v>
      </c>
      <c r="D1758" t="s">
        <v>1118</v>
      </c>
      <c r="E1758" t="s">
        <v>3581</v>
      </c>
      <c r="F1758" s="3">
        <v>2173857</v>
      </c>
      <c r="G1758" s="2">
        <f t="shared" si="54"/>
        <v>30</v>
      </c>
      <c r="H1758" s="2">
        <f t="shared" ca="1" si="55"/>
        <v>85</v>
      </c>
      <c r="I1758" s="4">
        <v>46035</v>
      </c>
      <c r="J1758" s="4">
        <v>46065</v>
      </c>
      <c r="K1758" t="s">
        <v>1144</v>
      </c>
      <c r="L1758" t="s">
        <v>207</v>
      </c>
      <c r="M1758" t="s">
        <v>19</v>
      </c>
      <c r="N1758" t="s">
        <v>1151</v>
      </c>
      <c r="O1758">
        <v>30</v>
      </c>
    </row>
    <row r="1759" spans="1:15" hidden="1" x14ac:dyDescent="0.25">
      <c r="A1759" t="s">
        <v>2820</v>
      </c>
      <c r="B1759" t="s">
        <v>1161</v>
      </c>
      <c r="C1759" t="s">
        <v>1162</v>
      </c>
      <c r="D1759" t="s">
        <v>1118</v>
      </c>
      <c r="E1759" t="s">
        <v>3582</v>
      </c>
      <c r="F1759" s="3">
        <v>10224144</v>
      </c>
      <c r="G1759" s="2">
        <f t="shared" si="54"/>
        <v>30</v>
      </c>
      <c r="H1759" s="2">
        <f t="shared" ca="1" si="55"/>
        <v>85</v>
      </c>
      <c r="I1759" s="4">
        <v>46035</v>
      </c>
      <c r="J1759" s="4">
        <v>46065</v>
      </c>
      <c r="K1759" t="s">
        <v>1144</v>
      </c>
      <c r="L1759" t="s">
        <v>207</v>
      </c>
      <c r="M1759" t="s">
        <v>19</v>
      </c>
      <c r="N1759" t="s">
        <v>1163</v>
      </c>
      <c r="O1759">
        <v>30</v>
      </c>
    </row>
    <row r="1760" spans="1:15" hidden="1" x14ac:dyDescent="0.25">
      <c r="A1760" t="s">
        <v>2820</v>
      </c>
      <c r="B1760" t="s">
        <v>1158</v>
      </c>
      <c r="C1760" t="s">
        <v>1159</v>
      </c>
      <c r="D1760" t="s">
        <v>1118</v>
      </c>
      <c r="E1760" t="s">
        <v>3583</v>
      </c>
      <c r="F1760" s="3">
        <v>7041668</v>
      </c>
      <c r="G1760" s="2">
        <f t="shared" si="54"/>
        <v>30</v>
      </c>
      <c r="H1760" s="2">
        <f t="shared" ca="1" si="55"/>
        <v>85</v>
      </c>
      <c r="I1760" s="4">
        <v>46035</v>
      </c>
      <c r="J1760" s="4">
        <v>46065</v>
      </c>
      <c r="K1760" t="s">
        <v>1144</v>
      </c>
      <c r="L1760" t="s">
        <v>207</v>
      </c>
      <c r="M1760" t="s">
        <v>19</v>
      </c>
      <c r="N1760" t="s">
        <v>1160</v>
      </c>
      <c r="O1760">
        <v>30</v>
      </c>
    </row>
    <row r="1761" spans="1:15" hidden="1" x14ac:dyDescent="0.25">
      <c r="A1761" t="s">
        <v>2820</v>
      </c>
      <c r="B1761" t="s">
        <v>1161</v>
      </c>
      <c r="C1761" t="s">
        <v>1162</v>
      </c>
      <c r="D1761" t="s">
        <v>1118</v>
      </c>
      <c r="E1761" t="s">
        <v>3584</v>
      </c>
      <c r="F1761" s="3">
        <v>5236273</v>
      </c>
      <c r="G1761" s="2">
        <f t="shared" si="54"/>
        <v>30</v>
      </c>
      <c r="H1761" s="2">
        <f t="shared" ca="1" si="55"/>
        <v>85</v>
      </c>
      <c r="I1761" s="4">
        <v>46035</v>
      </c>
      <c r="J1761" s="4">
        <v>46065</v>
      </c>
      <c r="K1761" t="s">
        <v>1144</v>
      </c>
      <c r="L1761" t="s">
        <v>207</v>
      </c>
      <c r="M1761" t="s">
        <v>19</v>
      </c>
      <c r="N1761" t="s">
        <v>1163</v>
      </c>
      <c r="O1761">
        <v>30</v>
      </c>
    </row>
    <row r="1762" spans="1:15" hidden="1" x14ac:dyDescent="0.25">
      <c r="A1762" t="s">
        <v>2820</v>
      </c>
      <c r="B1762" t="s">
        <v>1146</v>
      </c>
      <c r="C1762" t="s">
        <v>1147</v>
      </c>
      <c r="D1762" t="s">
        <v>1118</v>
      </c>
      <c r="E1762" t="s">
        <v>3585</v>
      </c>
      <c r="F1762" s="3">
        <v>7001181</v>
      </c>
      <c r="G1762" s="2">
        <f t="shared" si="54"/>
        <v>30</v>
      </c>
      <c r="H1762" s="2">
        <f t="shared" ca="1" si="55"/>
        <v>85</v>
      </c>
      <c r="I1762" s="4">
        <v>46035</v>
      </c>
      <c r="J1762" s="4">
        <v>46065</v>
      </c>
      <c r="K1762" t="s">
        <v>1144</v>
      </c>
      <c r="L1762" t="s">
        <v>207</v>
      </c>
      <c r="M1762" t="s">
        <v>19</v>
      </c>
      <c r="N1762" t="s">
        <v>1148</v>
      </c>
      <c r="O1762">
        <v>30</v>
      </c>
    </row>
    <row r="1763" spans="1:15" hidden="1" x14ac:dyDescent="0.25">
      <c r="A1763" t="s">
        <v>2820</v>
      </c>
      <c r="B1763" t="s">
        <v>1155</v>
      </c>
      <c r="C1763" t="s">
        <v>1156</v>
      </c>
      <c r="D1763" t="s">
        <v>1118</v>
      </c>
      <c r="E1763" t="s">
        <v>3586</v>
      </c>
      <c r="F1763" s="3">
        <v>8331844</v>
      </c>
      <c r="G1763" s="2">
        <f t="shared" si="54"/>
        <v>30</v>
      </c>
      <c r="H1763" s="2">
        <f t="shared" ca="1" si="55"/>
        <v>85</v>
      </c>
      <c r="I1763" s="4">
        <v>46035</v>
      </c>
      <c r="J1763" s="4">
        <v>46065</v>
      </c>
      <c r="K1763" t="s">
        <v>1144</v>
      </c>
      <c r="L1763" t="s">
        <v>207</v>
      </c>
      <c r="M1763" t="s">
        <v>19</v>
      </c>
      <c r="N1763" t="s">
        <v>1157</v>
      </c>
      <c r="O1763">
        <v>30</v>
      </c>
    </row>
    <row r="1764" spans="1:15" hidden="1" x14ac:dyDescent="0.25">
      <c r="A1764" t="s">
        <v>2820</v>
      </c>
      <c r="B1764" t="s">
        <v>1152</v>
      </c>
      <c r="C1764" t="s">
        <v>1153</v>
      </c>
      <c r="D1764" t="s">
        <v>1118</v>
      </c>
      <c r="E1764" t="s">
        <v>3587</v>
      </c>
      <c r="F1764" s="3">
        <v>2071401</v>
      </c>
      <c r="G1764" s="2">
        <f t="shared" si="54"/>
        <v>30</v>
      </c>
      <c r="H1764" s="2">
        <f t="shared" ca="1" si="55"/>
        <v>85</v>
      </c>
      <c r="I1764" s="4">
        <v>46035</v>
      </c>
      <c r="J1764" s="4">
        <v>46065</v>
      </c>
      <c r="K1764" t="s">
        <v>1144</v>
      </c>
      <c r="L1764" t="s">
        <v>207</v>
      </c>
      <c r="M1764" t="s">
        <v>19</v>
      </c>
      <c r="N1764" t="s">
        <v>1154</v>
      </c>
      <c r="O1764">
        <v>30</v>
      </c>
    </row>
    <row r="1765" spans="1:15" hidden="1" x14ac:dyDescent="0.25">
      <c r="A1765" t="s">
        <v>2820</v>
      </c>
      <c r="B1765" t="s">
        <v>1142</v>
      </c>
      <c r="C1765" t="s">
        <v>1143</v>
      </c>
      <c r="D1765" t="s">
        <v>1118</v>
      </c>
      <c r="E1765" t="s">
        <v>3588</v>
      </c>
      <c r="F1765" s="3">
        <v>4250020</v>
      </c>
      <c r="G1765" s="2">
        <f t="shared" si="54"/>
        <v>30</v>
      </c>
      <c r="H1765" s="2">
        <f t="shared" ca="1" si="55"/>
        <v>85</v>
      </c>
      <c r="I1765" s="4">
        <v>46035</v>
      </c>
      <c r="J1765" s="4">
        <v>46065</v>
      </c>
      <c r="K1765" t="s">
        <v>1144</v>
      </c>
      <c r="L1765" t="s">
        <v>207</v>
      </c>
      <c r="M1765" t="s">
        <v>19</v>
      </c>
      <c r="N1765" t="s">
        <v>1145</v>
      </c>
      <c r="O1765">
        <v>30</v>
      </c>
    </row>
    <row r="1766" spans="1:15" hidden="1" x14ac:dyDescent="0.25">
      <c r="A1766" t="s">
        <v>2820</v>
      </c>
      <c r="B1766" t="s">
        <v>1104</v>
      </c>
      <c r="C1766" t="s">
        <v>1105</v>
      </c>
      <c r="D1766" t="s">
        <v>1066</v>
      </c>
      <c r="E1766" t="s">
        <v>3589</v>
      </c>
      <c r="F1766" s="3">
        <v>1882017</v>
      </c>
      <c r="G1766" s="2">
        <f t="shared" si="54"/>
        <v>30</v>
      </c>
      <c r="H1766" s="2">
        <f t="shared" ca="1" si="55"/>
        <v>85</v>
      </c>
      <c r="I1766" s="4">
        <v>46035</v>
      </c>
      <c r="J1766" s="4">
        <v>46065</v>
      </c>
      <c r="K1766" t="s">
        <v>1144</v>
      </c>
      <c r="L1766" t="s">
        <v>117</v>
      </c>
      <c r="M1766" t="s">
        <v>19</v>
      </c>
      <c r="N1766" t="s">
        <v>1106</v>
      </c>
      <c r="O1766">
        <v>30</v>
      </c>
    </row>
    <row r="1767" spans="1:15" hidden="1" x14ac:dyDescent="0.25">
      <c r="A1767" t="s">
        <v>2820</v>
      </c>
      <c r="B1767" t="s">
        <v>1104</v>
      </c>
      <c r="C1767" t="s">
        <v>1105</v>
      </c>
      <c r="D1767" t="s">
        <v>1066</v>
      </c>
      <c r="E1767" t="s">
        <v>3590</v>
      </c>
      <c r="F1767" s="3">
        <v>2518580</v>
      </c>
      <c r="G1767" s="2">
        <f t="shared" si="54"/>
        <v>15</v>
      </c>
      <c r="H1767" s="2">
        <f t="shared" ca="1" si="55"/>
        <v>85</v>
      </c>
      <c r="I1767" s="4">
        <v>46035</v>
      </c>
      <c r="J1767" s="4">
        <v>46050</v>
      </c>
      <c r="K1767" t="s">
        <v>1144</v>
      </c>
      <c r="L1767" t="s">
        <v>321</v>
      </c>
      <c r="M1767" t="s">
        <v>19</v>
      </c>
      <c r="N1767" t="s">
        <v>1106</v>
      </c>
      <c r="O1767">
        <v>30</v>
      </c>
    </row>
    <row r="1768" spans="1:15" hidden="1" x14ac:dyDescent="0.25">
      <c r="A1768" t="s">
        <v>2820</v>
      </c>
      <c r="B1768" t="s">
        <v>1104</v>
      </c>
      <c r="C1768" t="s">
        <v>1105</v>
      </c>
      <c r="D1768" t="s">
        <v>1066</v>
      </c>
      <c r="E1768" t="s">
        <v>3591</v>
      </c>
      <c r="F1768" s="3">
        <v>1958842</v>
      </c>
      <c r="G1768" s="2">
        <f t="shared" si="54"/>
        <v>15</v>
      </c>
      <c r="H1768" s="2">
        <f t="shared" ca="1" si="55"/>
        <v>85</v>
      </c>
      <c r="I1768" s="4">
        <v>46035</v>
      </c>
      <c r="J1768" s="4">
        <v>46050</v>
      </c>
      <c r="K1768" t="s">
        <v>1144</v>
      </c>
      <c r="L1768" t="s">
        <v>321</v>
      </c>
      <c r="M1768" t="s">
        <v>19</v>
      </c>
      <c r="N1768" t="s">
        <v>1106</v>
      </c>
      <c r="O1768">
        <v>30</v>
      </c>
    </row>
    <row r="1769" spans="1:15" hidden="1" x14ac:dyDescent="0.25">
      <c r="A1769" t="s">
        <v>2820</v>
      </c>
      <c r="B1769" t="s">
        <v>1311</v>
      </c>
      <c r="C1769" t="s">
        <v>1312</v>
      </c>
      <c r="D1769" t="s">
        <v>1299</v>
      </c>
      <c r="E1769" t="s">
        <v>3653</v>
      </c>
      <c r="F1769" s="3">
        <v>1986535</v>
      </c>
      <c r="G1769" s="2">
        <f t="shared" si="54"/>
        <v>30</v>
      </c>
      <c r="H1769" s="2">
        <f t="shared" ca="1" si="55"/>
        <v>85</v>
      </c>
      <c r="I1769" s="4">
        <v>46035</v>
      </c>
      <c r="J1769" s="4">
        <v>46065</v>
      </c>
      <c r="K1769" t="s">
        <v>1300</v>
      </c>
      <c r="L1769" t="s">
        <v>90</v>
      </c>
      <c r="M1769" t="s">
        <v>19</v>
      </c>
      <c r="N1769" t="s">
        <v>1313</v>
      </c>
      <c r="O1769">
        <v>30</v>
      </c>
    </row>
    <row r="1770" spans="1:15" hidden="1" x14ac:dyDescent="0.25">
      <c r="A1770" t="s">
        <v>2820</v>
      </c>
      <c r="B1770" t="s">
        <v>1297</v>
      </c>
      <c r="C1770" t="s">
        <v>1298</v>
      </c>
      <c r="D1770" t="s">
        <v>1299</v>
      </c>
      <c r="E1770" t="s">
        <v>3654</v>
      </c>
      <c r="F1770" s="3">
        <v>11501168</v>
      </c>
      <c r="G1770" s="2">
        <f t="shared" si="54"/>
        <v>30</v>
      </c>
      <c r="H1770" s="2">
        <f t="shared" ca="1" si="55"/>
        <v>85</v>
      </c>
      <c r="I1770" s="4">
        <v>46035</v>
      </c>
      <c r="J1770" s="4">
        <v>46065</v>
      </c>
      <c r="K1770" t="s">
        <v>1300</v>
      </c>
      <c r="L1770" t="s">
        <v>90</v>
      </c>
      <c r="M1770" t="s">
        <v>19</v>
      </c>
      <c r="N1770" t="s">
        <v>1301</v>
      </c>
      <c r="O1770">
        <v>30</v>
      </c>
    </row>
    <row r="1771" spans="1:15" hidden="1" x14ac:dyDescent="0.25">
      <c r="A1771" t="s">
        <v>2820</v>
      </c>
      <c r="B1771" t="s">
        <v>1297</v>
      </c>
      <c r="C1771" t="s">
        <v>1298</v>
      </c>
      <c r="D1771" t="s">
        <v>1299</v>
      </c>
      <c r="E1771" t="s">
        <v>3655</v>
      </c>
      <c r="F1771" s="3">
        <v>6023447</v>
      </c>
      <c r="G1771" s="2">
        <f t="shared" si="54"/>
        <v>30</v>
      </c>
      <c r="H1771" s="2">
        <f t="shared" ca="1" si="55"/>
        <v>85</v>
      </c>
      <c r="I1771" s="4">
        <v>46035</v>
      </c>
      <c r="J1771" s="4">
        <v>46065</v>
      </c>
      <c r="K1771" t="s">
        <v>1300</v>
      </c>
      <c r="L1771" t="s">
        <v>90</v>
      </c>
      <c r="M1771" t="s">
        <v>19</v>
      </c>
      <c r="N1771" t="s">
        <v>1301</v>
      </c>
      <c r="O1771">
        <v>30</v>
      </c>
    </row>
    <row r="1772" spans="1:15" hidden="1" x14ac:dyDescent="0.25">
      <c r="A1772" t="s">
        <v>2820</v>
      </c>
      <c r="B1772" t="s">
        <v>1314</v>
      </c>
      <c r="C1772" t="s">
        <v>1315</v>
      </c>
      <c r="D1772" t="s">
        <v>1299</v>
      </c>
      <c r="E1772" t="s">
        <v>3656</v>
      </c>
      <c r="F1772" s="3">
        <v>1172588</v>
      </c>
      <c r="G1772" s="2">
        <f t="shared" si="54"/>
        <v>30</v>
      </c>
      <c r="H1772" s="2">
        <f t="shared" ca="1" si="55"/>
        <v>85</v>
      </c>
      <c r="I1772" s="4">
        <v>46035</v>
      </c>
      <c r="J1772" s="4">
        <v>46065</v>
      </c>
      <c r="K1772" t="s">
        <v>1300</v>
      </c>
      <c r="L1772" t="s">
        <v>90</v>
      </c>
      <c r="M1772" t="s">
        <v>19</v>
      </c>
      <c r="N1772" t="s">
        <v>1316</v>
      </c>
      <c r="O1772">
        <v>30</v>
      </c>
    </row>
    <row r="1773" spans="1:15" hidden="1" x14ac:dyDescent="0.25">
      <c r="A1773" t="s">
        <v>2820</v>
      </c>
      <c r="B1773" t="s">
        <v>1305</v>
      </c>
      <c r="C1773" t="s">
        <v>1306</v>
      </c>
      <c r="D1773" t="s">
        <v>1299</v>
      </c>
      <c r="E1773" t="s">
        <v>3657</v>
      </c>
      <c r="F1773" s="3">
        <v>932526</v>
      </c>
      <c r="G1773" s="2">
        <f t="shared" si="54"/>
        <v>30</v>
      </c>
      <c r="H1773" s="2">
        <f t="shared" ca="1" si="55"/>
        <v>85</v>
      </c>
      <c r="I1773" s="4">
        <v>46035</v>
      </c>
      <c r="J1773" s="4">
        <v>46065</v>
      </c>
      <c r="K1773" t="s">
        <v>1300</v>
      </c>
      <c r="L1773" t="s">
        <v>90</v>
      </c>
      <c r="M1773" t="s">
        <v>19</v>
      </c>
      <c r="N1773" t="s">
        <v>1307</v>
      </c>
      <c r="O1773">
        <v>30</v>
      </c>
    </row>
    <row r="1774" spans="1:15" hidden="1" x14ac:dyDescent="0.25">
      <c r="A1774" t="s">
        <v>2820</v>
      </c>
      <c r="B1774" t="s">
        <v>1302</v>
      </c>
      <c r="C1774" t="s">
        <v>1303</v>
      </c>
      <c r="D1774" t="s">
        <v>1299</v>
      </c>
      <c r="E1774" t="s">
        <v>3658</v>
      </c>
      <c r="F1774" s="3">
        <v>365999</v>
      </c>
      <c r="G1774" s="2">
        <f t="shared" si="54"/>
        <v>30</v>
      </c>
      <c r="H1774" s="2">
        <f t="shared" ca="1" si="55"/>
        <v>85</v>
      </c>
      <c r="I1774" s="4">
        <v>46035</v>
      </c>
      <c r="J1774" s="4">
        <v>46065</v>
      </c>
      <c r="K1774" t="s">
        <v>1300</v>
      </c>
      <c r="L1774" t="s">
        <v>90</v>
      </c>
      <c r="M1774" t="s">
        <v>19</v>
      </c>
      <c r="N1774" t="s">
        <v>1304</v>
      </c>
      <c r="O1774">
        <v>30</v>
      </c>
    </row>
    <row r="1775" spans="1:15" hidden="1" x14ac:dyDescent="0.25">
      <c r="A1775" t="s">
        <v>2820</v>
      </c>
      <c r="B1775" t="s">
        <v>1317</v>
      </c>
      <c r="C1775" t="s">
        <v>1318</v>
      </c>
      <c r="D1775" t="s">
        <v>1319</v>
      </c>
      <c r="E1775" t="s">
        <v>3659</v>
      </c>
      <c r="F1775" s="3">
        <v>2880678</v>
      </c>
      <c r="G1775" s="2">
        <f t="shared" si="54"/>
        <v>30</v>
      </c>
      <c r="H1775" s="2">
        <f t="shared" ca="1" si="55"/>
        <v>85</v>
      </c>
      <c r="I1775" s="4">
        <v>46035</v>
      </c>
      <c r="J1775" s="4">
        <v>46065</v>
      </c>
      <c r="K1775" t="s">
        <v>1300</v>
      </c>
      <c r="L1775" t="s">
        <v>90</v>
      </c>
      <c r="M1775" t="s">
        <v>19</v>
      </c>
      <c r="N1775" t="s">
        <v>1320</v>
      </c>
      <c r="O1775">
        <v>30</v>
      </c>
    </row>
    <row r="1776" spans="1:15" hidden="1" x14ac:dyDescent="0.25">
      <c r="A1776" t="s">
        <v>2820</v>
      </c>
      <c r="B1776" t="s">
        <v>1314</v>
      </c>
      <c r="C1776" t="s">
        <v>1315</v>
      </c>
      <c r="D1776" t="s">
        <v>1299</v>
      </c>
      <c r="E1776" t="s">
        <v>3660</v>
      </c>
      <c r="F1776" s="3">
        <v>103900</v>
      </c>
      <c r="G1776" s="2">
        <f t="shared" si="54"/>
        <v>30</v>
      </c>
      <c r="H1776" s="2">
        <f t="shared" ca="1" si="55"/>
        <v>85</v>
      </c>
      <c r="I1776" s="4">
        <v>46035</v>
      </c>
      <c r="J1776" s="4">
        <v>46065</v>
      </c>
      <c r="K1776" t="s">
        <v>1300</v>
      </c>
      <c r="L1776" t="s">
        <v>90</v>
      </c>
      <c r="M1776" t="s">
        <v>19</v>
      </c>
      <c r="N1776" t="s">
        <v>1316</v>
      </c>
      <c r="O1776">
        <v>30</v>
      </c>
    </row>
    <row r="1777" spans="1:15" hidden="1" x14ac:dyDescent="0.25">
      <c r="A1777" t="s">
        <v>2820</v>
      </c>
      <c r="B1777" t="s">
        <v>1308</v>
      </c>
      <c r="C1777" t="s">
        <v>1309</v>
      </c>
      <c r="D1777" t="s">
        <v>1299</v>
      </c>
      <c r="E1777" t="s">
        <v>3662</v>
      </c>
      <c r="F1777" s="3">
        <v>1028259</v>
      </c>
      <c r="G1777" s="2">
        <f t="shared" si="54"/>
        <v>30</v>
      </c>
      <c r="H1777" s="2">
        <f t="shared" ca="1" si="55"/>
        <v>85</v>
      </c>
      <c r="I1777" s="4">
        <v>46035</v>
      </c>
      <c r="J1777" s="4">
        <v>46065</v>
      </c>
      <c r="K1777" t="s">
        <v>1300</v>
      </c>
      <c r="L1777" t="s">
        <v>90</v>
      </c>
      <c r="M1777" t="s">
        <v>19</v>
      </c>
      <c r="N1777" t="s">
        <v>1310</v>
      </c>
      <c r="O1777">
        <v>30</v>
      </c>
    </row>
    <row r="1778" spans="1:15" hidden="1" x14ac:dyDescent="0.25">
      <c r="A1778" t="s">
        <v>2820</v>
      </c>
      <c r="B1778" t="s">
        <v>1308</v>
      </c>
      <c r="C1778" t="s">
        <v>1309</v>
      </c>
      <c r="D1778" t="s">
        <v>1299</v>
      </c>
      <c r="E1778" t="s">
        <v>3663</v>
      </c>
      <c r="F1778" s="3">
        <v>560962</v>
      </c>
      <c r="G1778" s="2">
        <f t="shared" si="54"/>
        <v>30</v>
      </c>
      <c r="H1778" s="2">
        <f t="shared" ca="1" si="55"/>
        <v>85</v>
      </c>
      <c r="I1778" s="4">
        <v>46035</v>
      </c>
      <c r="J1778" s="4">
        <v>46065</v>
      </c>
      <c r="K1778" t="s">
        <v>1300</v>
      </c>
      <c r="L1778" t="s">
        <v>90</v>
      </c>
      <c r="M1778" t="s">
        <v>19</v>
      </c>
      <c r="N1778" t="s">
        <v>1310</v>
      </c>
      <c r="O1778">
        <v>30</v>
      </c>
    </row>
    <row r="1779" spans="1:15" hidden="1" x14ac:dyDescent="0.25">
      <c r="A1779" t="s">
        <v>2820</v>
      </c>
      <c r="B1779" t="s">
        <v>1308</v>
      </c>
      <c r="C1779" t="s">
        <v>1309</v>
      </c>
      <c r="D1779" t="s">
        <v>1299</v>
      </c>
      <c r="E1779" t="s">
        <v>3664</v>
      </c>
      <c r="F1779" s="3">
        <v>424000</v>
      </c>
      <c r="G1779" s="2">
        <f t="shared" si="54"/>
        <v>30</v>
      </c>
      <c r="H1779" s="2">
        <f t="shared" ca="1" si="55"/>
        <v>85</v>
      </c>
      <c r="I1779" s="4">
        <v>46035</v>
      </c>
      <c r="J1779" s="4">
        <v>46065</v>
      </c>
      <c r="K1779" t="s">
        <v>1300</v>
      </c>
      <c r="L1779" t="s">
        <v>90</v>
      </c>
      <c r="M1779" t="s">
        <v>19</v>
      </c>
      <c r="N1779" t="s">
        <v>1310</v>
      </c>
      <c r="O1779">
        <v>30</v>
      </c>
    </row>
    <row r="1780" spans="1:15" hidden="1" x14ac:dyDescent="0.25">
      <c r="A1780" t="s">
        <v>2820</v>
      </c>
      <c r="B1780" t="s">
        <v>2313</v>
      </c>
      <c r="C1780" t="s">
        <v>2314</v>
      </c>
      <c r="D1780" t="s">
        <v>875</v>
      </c>
      <c r="E1780" t="s">
        <v>3713</v>
      </c>
      <c r="F1780" s="3">
        <v>4951800</v>
      </c>
      <c r="G1780" s="2">
        <f t="shared" si="54"/>
        <v>30</v>
      </c>
      <c r="H1780" s="2">
        <f t="shared" ca="1" si="55"/>
        <v>85</v>
      </c>
      <c r="I1780" s="4">
        <v>46035</v>
      </c>
      <c r="J1780" s="4">
        <v>46065</v>
      </c>
      <c r="K1780" t="s">
        <v>1403</v>
      </c>
      <c r="L1780" t="s">
        <v>109</v>
      </c>
      <c r="M1780" t="s">
        <v>19</v>
      </c>
      <c r="N1780" t="s">
        <v>2316</v>
      </c>
      <c r="O1780">
        <v>30</v>
      </c>
    </row>
    <row r="1781" spans="1:15" hidden="1" x14ac:dyDescent="0.25">
      <c r="A1781" t="s">
        <v>2820</v>
      </c>
      <c r="B1781" t="s">
        <v>1634</v>
      </c>
      <c r="C1781" t="s">
        <v>1635</v>
      </c>
      <c r="D1781" t="s">
        <v>1587</v>
      </c>
      <c r="E1781" t="s">
        <v>3757</v>
      </c>
      <c r="F1781" s="3">
        <v>1032000</v>
      </c>
      <c r="G1781" s="2">
        <f t="shared" si="54"/>
        <v>30</v>
      </c>
      <c r="H1781" s="2">
        <f t="shared" ca="1" si="55"/>
        <v>85</v>
      </c>
      <c r="I1781" s="4">
        <v>46035</v>
      </c>
      <c r="J1781" s="4">
        <v>46065</v>
      </c>
      <c r="K1781" t="s">
        <v>1589</v>
      </c>
      <c r="L1781" t="s">
        <v>984</v>
      </c>
      <c r="M1781" t="s">
        <v>19</v>
      </c>
      <c r="N1781" t="s">
        <v>1636</v>
      </c>
      <c r="O1781">
        <v>30</v>
      </c>
    </row>
    <row r="1782" spans="1:15" hidden="1" x14ac:dyDescent="0.25">
      <c r="A1782" t="s">
        <v>2820</v>
      </c>
      <c r="B1782" t="s">
        <v>1634</v>
      </c>
      <c r="C1782" t="s">
        <v>1635</v>
      </c>
      <c r="D1782" t="s">
        <v>1587</v>
      </c>
      <c r="E1782" t="s">
        <v>3758</v>
      </c>
      <c r="F1782" s="3">
        <v>727191</v>
      </c>
      <c r="G1782" s="2">
        <f t="shared" si="54"/>
        <v>30</v>
      </c>
      <c r="H1782" s="2">
        <f t="shared" ca="1" si="55"/>
        <v>85</v>
      </c>
      <c r="I1782" s="4">
        <v>46035</v>
      </c>
      <c r="J1782" s="4">
        <v>46065</v>
      </c>
      <c r="K1782" t="s">
        <v>1589</v>
      </c>
      <c r="L1782" t="s">
        <v>984</v>
      </c>
      <c r="M1782" t="s">
        <v>19</v>
      </c>
      <c r="N1782" t="s">
        <v>1636</v>
      </c>
      <c r="O1782">
        <v>30</v>
      </c>
    </row>
    <row r="1783" spans="1:15" hidden="1" x14ac:dyDescent="0.25">
      <c r="A1783" t="s">
        <v>2820</v>
      </c>
      <c r="B1783" t="s">
        <v>1601</v>
      </c>
      <c r="C1783" t="s">
        <v>1602</v>
      </c>
      <c r="D1783" t="s">
        <v>1593</v>
      </c>
      <c r="E1783" t="s">
        <v>3759</v>
      </c>
      <c r="F1783" s="3">
        <v>2884001</v>
      </c>
      <c r="G1783" s="2">
        <f t="shared" si="54"/>
        <v>30</v>
      </c>
      <c r="H1783" s="2">
        <f t="shared" ca="1" si="55"/>
        <v>85</v>
      </c>
      <c r="I1783" s="4">
        <v>46035</v>
      </c>
      <c r="J1783" s="4">
        <v>46065</v>
      </c>
      <c r="K1783" t="s">
        <v>1589</v>
      </c>
      <c r="L1783" t="s">
        <v>984</v>
      </c>
      <c r="M1783" t="s">
        <v>19</v>
      </c>
      <c r="N1783" t="s">
        <v>1603</v>
      </c>
      <c r="O1783">
        <v>30</v>
      </c>
    </row>
    <row r="1784" spans="1:15" hidden="1" x14ac:dyDescent="0.25">
      <c r="A1784" t="s">
        <v>2820</v>
      </c>
      <c r="B1784" t="s">
        <v>1619</v>
      </c>
      <c r="C1784" t="s">
        <v>1620</v>
      </c>
      <c r="D1784" t="s">
        <v>1593</v>
      </c>
      <c r="E1784" t="s">
        <v>3760</v>
      </c>
      <c r="F1784" s="3">
        <v>549908</v>
      </c>
      <c r="G1784" s="2">
        <f t="shared" si="54"/>
        <v>30</v>
      </c>
      <c r="H1784" s="2">
        <f t="shared" ca="1" si="55"/>
        <v>85</v>
      </c>
      <c r="I1784" s="4">
        <v>46035</v>
      </c>
      <c r="J1784" s="4">
        <v>46065</v>
      </c>
      <c r="K1784" t="s">
        <v>1589</v>
      </c>
      <c r="L1784" t="s">
        <v>984</v>
      </c>
      <c r="M1784" t="s">
        <v>19</v>
      </c>
      <c r="N1784" t="s">
        <v>1621</v>
      </c>
      <c r="O1784">
        <v>30</v>
      </c>
    </row>
    <row r="1785" spans="1:15" hidden="1" x14ac:dyDescent="0.25">
      <c r="A1785" t="s">
        <v>2820</v>
      </c>
      <c r="B1785" t="s">
        <v>1682</v>
      </c>
      <c r="C1785" t="s">
        <v>1683</v>
      </c>
      <c r="D1785" t="s">
        <v>1684</v>
      </c>
      <c r="E1785" t="s">
        <v>3761</v>
      </c>
      <c r="F1785" s="3">
        <v>385200</v>
      </c>
      <c r="G1785" s="2">
        <f t="shared" si="54"/>
        <v>30</v>
      </c>
      <c r="H1785" s="2">
        <f t="shared" ca="1" si="55"/>
        <v>85</v>
      </c>
      <c r="I1785" s="4">
        <v>46035</v>
      </c>
      <c r="J1785" s="4">
        <v>46065</v>
      </c>
      <c r="K1785" t="s">
        <v>1589</v>
      </c>
      <c r="L1785" t="s">
        <v>984</v>
      </c>
      <c r="M1785" t="s">
        <v>19</v>
      </c>
      <c r="N1785" t="s">
        <v>1685</v>
      </c>
      <c r="O1785">
        <v>30</v>
      </c>
    </row>
    <row r="1786" spans="1:15" hidden="1" x14ac:dyDescent="0.25">
      <c r="A1786" t="s">
        <v>2820</v>
      </c>
      <c r="B1786" t="s">
        <v>1613</v>
      </c>
      <c r="C1786" t="s">
        <v>1614</v>
      </c>
      <c r="D1786" t="s">
        <v>1593</v>
      </c>
      <c r="E1786" t="s">
        <v>3762</v>
      </c>
      <c r="F1786" s="3">
        <v>3924697</v>
      </c>
      <c r="G1786" s="2">
        <f t="shared" si="54"/>
        <v>30</v>
      </c>
      <c r="H1786" s="2">
        <f t="shared" ca="1" si="55"/>
        <v>85</v>
      </c>
      <c r="I1786" s="4">
        <v>46035</v>
      </c>
      <c r="J1786" s="4">
        <v>46065</v>
      </c>
      <c r="K1786" t="s">
        <v>1589</v>
      </c>
      <c r="L1786" t="s">
        <v>984</v>
      </c>
      <c r="M1786" t="s">
        <v>19</v>
      </c>
      <c r="N1786" t="s">
        <v>1615</v>
      </c>
      <c r="O1786">
        <v>30</v>
      </c>
    </row>
    <row r="1787" spans="1:15" hidden="1" x14ac:dyDescent="0.25">
      <c r="A1787" t="s">
        <v>2820</v>
      </c>
      <c r="B1787" t="s">
        <v>1613</v>
      </c>
      <c r="C1787" t="s">
        <v>1614</v>
      </c>
      <c r="D1787" t="s">
        <v>1593</v>
      </c>
      <c r="E1787" t="s">
        <v>3763</v>
      </c>
      <c r="F1787" s="3">
        <v>1401048</v>
      </c>
      <c r="G1787" s="2">
        <f t="shared" si="54"/>
        <v>30</v>
      </c>
      <c r="H1787" s="2">
        <f t="shared" ca="1" si="55"/>
        <v>85</v>
      </c>
      <c r="I1787" s="4">
        <v>46035</v>
      </c>
      <c r="J1787" s="4">
        <v>46065</v>
      </c>
      <c r="K1787" t="s">
        <v>1589</v>
      </c>
      <c r="L1787" t="s">
        <v>984</v>
      </c>
      <c r="M1787" t="s">
        <v>19</v>
      </c>
      <c r="N1787" t="s">
        <v>1615</v>
      </c>
      <c r="O1787">
        <v>30</v>
      </c>
    </row>
    <row r="1788" spans="1:15" hidden="1" x14ac:dyDescent="0.25">
      <c r="A1788" t="s">
        <v>2820</v>
      </c>
      <c r="B1788" t="s">
        <v>1616</v>
      </c>
      <c r="C1788" t="s">
        <v>1617</v>
      </c>
      <c r="D1788" t="s">
        <v>1593</v>
      </c>
      <c r="E1788" t="s">
        <v>3764</v>
      </c>
      <c r="F1788" s="3">
        <v>329600</v>
      </c>
      <c r="G1788" s="2">
        <f t="shared" si="54"/>
        <v>30</v>
      </c>
      <c r="H1788" s="2">
        <f t="shared" ca="1" si="55"/>
        <v>85</v>
      </c>
      <c r="I1788" s="4">
        <v>46035</v>
      </c>
      <c r="J1788" s="4">
        <v>46065</v>
      </c>
      <c r="K1788" t="s">
        <v>1589</v>
      </c>
      <c r="L1788" t="s">
        <v>984</v>
      </c>
      <c r="M1788" t="s">
        <v>19</v>
      </c>
      <c r="N1788" t="s">
        <v>1618</v>
      </c>
      <c r="O1788">
        <v>30</v>
      </c>
    </row>
    <row r="1789" spans="1:15" hidden="1" x14ac:dyDescent="0.25">
      <c r="A1789" t="s">
        <v>2820</v>
      </c>
      <c r="B1789" t="s">
        <v>1640</v>
      </c>
      <c r="C1789" t="s">
        <v>1641</v>
      </c>
      <c r="D1789" t="s">
        <v>1587</v>
      </c>
      <c r="E1789" t="s">
        <v>3765</v>
      </c>
      <c r="F1789" s="3">
        <v>424000</v>
      </c>
      <c r="G1789" s="2">
        <f t="shared" si="54"/>
        <v>30</v>
      </c>
      <c r="H1789" s="2">
        <f t="shared" ca="1" si="55"/>
        <v>85</v>
      </c>
      <c r="I1789" s="4">
        <v>46035</v>
      </c>
      <c r="J1789" s="4">
        <v>46065</v>
      </c>
      <c r="K1789" t="s">
        <v>1589</v>
      </c>
      <c r="L1789" t="s">
        <v>984</v>
      </c>
      <c r="M1789" t="s">
        <v>391</v>
      </c>
      <c r="N1789" t="s">
        <v>1642</v>
      </c>
      <c r="O1789">
        <v>30</v>
      </c>
    </row>
    <row r="1790" spans="1:15" hidden="1" x14ac:dyDescent="0.25">
      <c r="A1790" t="s">
        <v>2820</v>
      </c>
      <c r="B1790" t="s">
        <v>1640</v>
      </c>
      <c r="C1790" t="s">
        <v>1641</v>
      </c>
      <c r="D1790" t="s">
        <v>1587</v>
      </c>
      <c r="E1790" t="s">
        <v>3766</v>
      </c>
      <c r="F1790" s="3">
        <v>767726</v>
      </c>
      <c r="G1790" s="2">
        <f t="shared" si="54"/>
        <v>30</v>
      </c>
      <c r="H1790" s="2">
        <f t="shared" ca="1" si="55"/>
        <v>85</v>
      </c>
      <c r="I1790" s="4">
        <v>46035</v>
      </c>
      <c r="J1790" s="4">
        <v>46065</v>
      </c>
      <c r="K1790" t="s">
        <v>1589</v>
      </c>
      <c r="L1790" t="s">
        <v>984</v>
      </c>
      <c r="M1790" t="s">
        <v>391</v>
      </c>
      <c r="N1790" t="s">
        <v>1642</v>
      </c>
      <c r="O1790">
        <v>30</v>
      </c>
    </row>
    <row r="1791" spans="1:15" hidden="1" x14ac:dyDescent="0.25">
      <c r="A1791" t="s">
        <v>2820</v>
      </c>
      <c r="B1791" t="s">
        <v>1591</v>
      </c>
      <c r="C1791" t="s">
        <v>1592</v>
      </c>
      <c r="D1791" t="s">
        <v>1593</v>
      </c>
      <c r="E1791" t="s">
        <v>3767</v>
      </c>
      <c r="F1791" s="3">
        <v>4240002</v>
      </c>
      <c r="G1791" s="2">
        <f t="shared" si="54"/>
        <v>30</v>
      </c>
      <c r="H1791" s="2">
        <f t="shared" ca="1" si="55"/>
        <v>85</v>
      </c>
      <c r="I1791" s="4">
        <v>46035</v>
      </c>
      <c r="J1791" s="4">
        <v>46065</v>
      </c>
      <c r="K1791" t="s">
        <v>1589</v>
      </c>
      <c r="L1791" t="s">
        <v>984</v>
      </c>
      <c r="M1791" t="s">
        <v>19</v>
      </c>
      <c r="N1791" t="s">
        <v>1594</v>
      </c>
      <c r="O1791">
        <v>30</v>
      </c>
    </row>
    <row r="1792" spans="1:15" hidden="1" x14ac:dyDescent="0.25">
      <c r="A1792" t="s">
        <v>2820</v>
      </c>
      <c r="B1792" t="s">
        <v>1591</v>
      </c>
      <c r="C1792" t="s">
        <v>1592</v>
      </c>
      <c r="D1792" t="s">
        <v>1593</v>
      </c>
      <c r="E1792" t="s">
        <v>3768</v>
      </c>
      <c r="F1792" s="3">
        <v>2384601</v>
      </c>
      <c r="G1792" s="2">
        <f t="shared" si="54"/>
        <v>30</v>
      </c>
      <c r="H1792" s="2">
        <f t="shared" ca="1" si="55"/>
        <v>85</v>
      </c>
      <c r="I1792" s="4">
        <v>46035</v>
      </c>
      <c r="J1792" s="4">
        <v>46065</v>
      </c>
      <c r="K1792" t="s">
        <v>1589</v>
      </c>
      <c r="L1792" t="s">
        <v>984</v>
      </c>
      <c r="M1792" t="s">
        <v>19</v>
      </c>
      <c r="N1792" t="s">
        <v>1594</v>
      </c>
      <c r="O1792">
        <v>30</v>
      </c>
    </row>
    <row r="1793" spans="1:15" hidden="1" x14ac:dyDescent="0.25">
      <c r="A1793" t="s">
        <v>2820</v>
      </c>
      <c r="B1793" t="s">
        <v>1591</v>
      </c>
      <c r="C1793" t="s">
        <v>1592</v>
      </c>
      <c r="D1793" t="s">
        <v>1593</v>
      </c>
      <c r="E1793" t="s">
        <v>3769</v>
      </c>
      <c r="F1793" s="3">
        <v>4652885</v>
      </c>
      <c r="G1793" s="2">
        <f t="shared" si="54"/>
        <v>30</v>
      </c>
      <c r="H1793" s="2">
        <f t="shared" ca="1" si="55"/>
        <v>85</v>
      </c>
      <c r="I1793" s="4">
        <v>46035</v>
      </c>
      <c r="J1793" s="4">
        <v>46065</v>
      </c>
      <c r="K1793" t="s">
        <v>1589</v>
      </c>
      <c r="L1793" t="s">
        <v>984</v>
      </c>
      <c r="M1793" t="s">
        <v>19</v>
      </c>
      <c r="N1793" t="s">
        <v>1594</v>
      </c>
      <c r="O1793">
        <v>30</v>
      </c>
    </row>
    <row r="1794" spans="1:15" hidden="1" x14ac:dyDescent="0.25">
      <c r="A1794" t="s">
        <v>2820</v>
      </c>
      <c r="B1794" t="s">
        <v>1591</v>
      </c>
      <c r="C1794" t="s">
        <v>1592</v>
      </c>
      <c r="D1794" t="s">
        <v>1593</v>
      </c>
      <c r="E1794" t="s">
        <v>3770</v>
      </c>
      <c r="F1794" s="3">
        <v>2016518</v>
      </c>
      <c r="G1794" s="2">
        <f t="shared" ref="G1794:G1857" si="56">+J1794-I1794</f>
        <v>30</v>
      </c>
      <c r="H1794" s="2">
        <f t="shared" ref="H1794:H1857" ca="1" si="57">+TODAY()-I1794</f>
        <v>85</v>
      </c>
      <c r="I1794" s="4">
        <v>46035</v>
      </c>
      <c r="J1794" s="4">
        <v>46065</v>
      </c>
      <c r="K1794" t="s">
        <v>1589</v>
      </c>
      <c r="L1794" t="s">
        <v>984</v>
      </c>
      <c r="M1794" t="s">
        <v>19</v>
      </c>
      <c r="N1794" t="s">
        <v>1594</v>
      </c>
      <c r="O1794">
        <v>30</v>
      </c>
    </row>
    <row r="1795" spans="1:15" hidden="1" x14ac:dyDescent="0.25">
      <c r="A1795" t="s">
        <v>2820</v>
      </c>
      <c r="B1795" t="s">
        <v>1616</v>
      </c>
      <c r="C1795" t="s">
        <v>1617</v>
      </c>
      <c r="D1795" t="s">
        <v>1593</v>
      </c>
      <c r="E1795" t="s">
        <v>3771</v>
      </c>
      <c r="F1795" s="3">
        <v>2446839</v>
      </c>
      <c r="G1795" s="2">
        <f t="shared" si="56"/>
        <v>30</v>
      </c>
      <c r="H1795" s="2">
        <f t="shared" ca="1" si="57"/>
        <v>85</v>
      </c>
      <c r="I1795" s="4">
        <v>46035</v>
      </c>
      <c r="J1795" s="4">
        <v>46065</v>
      </c>
      <c r="K1795" t="s">
        <v>1589</v>
      </c>
      <c r="L1795" t="s">
        <v>984</v>
      </c>
      <c r="M1795" t="s">
        <v>19</v>
      </c>
      <c r="N1795" t="s">
        <v>1618</v>
      </c>
      <c r="O1795">
        <v>30</v>
      </c>
    </row>
    <row r="1796" spans="1:15" hidden="1" x14ac:dyDescent="0.25">
      <c r="A1796" t="s">
        <v>2820</v>
      </c>
      <c r="B1796" t="s">
        <v>1652</v>
      </c>
      <c r="C1796" t="s">
        <v>1653</v>
      </c>
      <c r="D1796" t="s">
        <v>1587</v>
      </c>
      <c r="E1796" t="s">
        <v>3772</v>
      </c>
      <c r="F1796" s="3">
        <v>564200</v>
      </c>
      <c r="G1796" s="2">
        <f t="shared" si="56"/>
        <v>30</v>
      </c>
      <c r="H1796" s="2">
        <f t="shared" ca="1" si="57"/>
        <v>85</v>
      </c>
      <c r="I1796" s="4">
        <v>46035</v>
      </c>
      <c r="J1796" s="4">
        <v>46065</v>
      </c>
      <c r="K1796" t="s">
        <v>1589</v>
      </c>
      <c r="L1796" t="s">
        <v>984</v>
      </c>
      <c r="M1796" t="s">
        <v>19</v>
      </c>
      <c r="N1796" t="s">
        <v>1654</v>
      </c>
      <c r="O1796">
        <v>30</v>
      </c>
    </row>
    <row r="1797" spans="1:15" hidden="1" x14ac:dyDescent="0.25">
      <c r="A1797" t="s">
        <v>2820</v>
      </c>
      <c r="B1797" t="s">
        <v>1652</v>
      </c>
      <c r="C1797" t="s">
        <v>1653</v>
      </c>
      <c r="D1797" t="s">
        <v>1587</v>
      </c>
      <c r="E1797" t="s">
        <v>3773</v>
      </c>
      <c r="F1797" s="3">
        <v>442787</v>
      </c>
      <c r="G1797" s="2">
        <f t="shared" si="56"/>
        <v>30</v>
      </c>
      <c r="H1797" s="2">
        <f t="shared" ca="1" si="57"/>
        <v>85</v>
      </c>
      <c r="I1797" s="4">
        <v>46035</v>
      </c>
      <c r="J1797" s="4">
        <v>46065</v>
      </c>
      <c r="K1797" t="s">
        <v>1589</v>
      </c>
      <c r="L1797" t="s">
        <v>984</v>
      </c>
      <c r="M1797" t="s">
        <v>19</v>
      </c>
      <c r="N1797" t="s">
        <v>1654</v>
      </c>
      <c r="O1797">
        <v>30</v>
      </c>
    </row>
    <row r="1798" spans="1:15" hidden="1" x14ac:dyDescent="0.25">
      <c r="A1798" t="s">
        <v>2820</v>
      </c>
      <c r="B1798" t="s">
        <v>1188</v>
      </c>
      <c r="C1798" t="s">
        <v>1189</v>
      </c>
      <c r="D1798" t="s">
        <v>1190</v>
      </c>
      <c r="E1798" t="s">
        <v>3857</v>
      </c>
      <c r="F1798" s="3">
        <v>10149634</v>
      </c>
      <c r="G1798" s="2">
        <f t="shared" si="56"/>
        <v>30</v>
      </c>
      <c r="H1798" s="2">
        <f t="shared" ca="1" si="57"/>
        <v>85</v>
      </c>
      <c r="I1798" s="4">
        <v>46035</v>
      </c>
      <c r="J1798" s="4">
        <v>46065</v>
      </c>
      <c r="K1798" t="s">
        <v>1863</v>
      </c>
      <c r="L1798" t="s">
        <v>984</v>
      </c>
      <c r="M1798" t="s">
        <v>19</v>
      </c>
      <c r="N1798" t="s">
        <v>1191</v>
      </c>
      <c r="O1798">
        <v>30</v>
      </c>
    </row>
    <row r="1799" spans="1:15" hidden="1" x14ac:dyDescent="0.25">
      <c r="A1799" t="s">
        <v>2820</v>
      </c>
      <c r="B1799" t="s">
        <v>1188</v>
      </c>
      <c r="C1799" t="s">
        <v>1189</v>
      </c>
      <c r="D1799" t="s">
        <v>1190</v>
      </c>
      <c r="E1799" t="s">
        <v>3858</v>
      </c>
      <c r="F1799" s="3">
        <v>3462496</v>
      </c>
      <c r="G1799" s="2">
        <f t="shared" si="56"/>
        <v>30</v>
      </c>
      <c r="H1799" s="2">
        <f t="shared" ca="1" si="57"/>
        <v>85</v>
      </c>
      <c r="I1799" s="4">
        <v>46035</v>
      </c>
      <c r="J1799" s="4">
        <v>46065</v>
      </c>
      <c r="K1799" t="s">
        <v>1863</v>
      </c>
      <c r="L1799" t="s">
        <v>984</v>
      </c>
      <c r="M1799" t="s">
        <v>19</v>
      </c>
      <c r="N1799" t="s">
        <v>1191</v>
      </c>
      <c r="O1799">
        <v>30</v>
      </c>
    </row>
    <row r="1800" spans="1:15" hidden="1" x14ac:dyDescent="0.25">
      <c r="A1800" t="s">
        <v>2820</v>
      </c>
      <c r="B1800" t="s">
        <v>92</v>
      </c>
      <c r="C1800" t="s">
        <v>93</v>
      </c>
      <c r="D1800" t="s">
        <v>46</v>
      </c>
      <c r="E1800" t="s">
        <v>3294</v>
      </c>
      <c r="F1800" s="3">
        <v>410004</v>
      </c>
      <c r="G1800" s="2">
        <f t="shared" si="56"/>
        <v>30</v>
      </c>
      <c r="H1800" s="2">
        <f t="shared" ca="1" si="57"/>
        <v>84</v>
      </c>
      <c r="I1800" s="4">
        <v>46036</v>
      </c>
      <c r="J1800" s="4">
        <v>46066</v>
      </c>
      <c r="K1800" t="s">
        <v>17</v>
      </c>
      <c r="L1800" t="s">
        <v>32</v>
      </c>
      <c r="M1800" t="s">
        <v>19</v>
      </c>
      <c r="N1800" t="s">
        <v>94</v>
      </c>
      <c r="O1800">
        <v>0</v>
      </c>
    </row>
    <row r="1801" spans="1:15" hidden="1" x14ac:dyDescent="0.25">
      <c r="A1801" t="s">
        <v>2820</v>
      </c>
      <c r="B1801" t="s">
        <v>55</v>
      </c>
      <c r="C1801" t="s">
        <v>56</v>
      </c>
      <c r="D1801" t="s">
        <v>46</v>
      </c>
      <c r="E1801" t="s">
        <v>3295</v>
      </c>
      <c r="F1801" s="3">
        <v>129605</v>
      </c>
      <c r="G1801" s="2">
        <f t="shared" si="56"/>
        <v>30</v>
      </c>
      <c r="H1801" s="2">
        <f t="shared" ca="1" si="57"/>
        <v>84</v>
      </c>
      <c r="I1801" s="4">
        <v>46036</v>
      </c>
      <c r="J1801" s="4">
        <v>46066</v>
      </c>
      <c r="K1801" t="s">
        <v>17</v>
      </c>
      <c r="L1801" t="s">
        <v>32</v>
      </c>
      <c r="M1801" t="s">
        <v>19</v>
      </c>
      <c r="N1801" t="s">
        <v>57</v>
      </c>
      <c r="O1801">
        <v>30</v>
      </c>
    </row>
    <row r="1802" spans="1:15" hidden="1" x14ac:dyDescent="0.25">
      <c r="A1802" t="s">
        <v>2820</v>
      </c>
      <c r="B1802" t="s">
        <v>55</v>
      </c>
      <c r="C1802" t="s">
        <v>56</v>
      </c>
      <c r="D1802" t="s">
        <v>46</v>
      </c>
      <c r="E1802" t="s">
        <v>3296</v>
      </c>
      <c r="F1802" s="3">
        <v>2120000</v>
      </c>
      <c r="G1802" s="2">
        <f t="shared" si="56"/>
        <v>30</v>
      </c>
      <c r="H1802" s="2">
        <f t="shared" ca="1" si="57"/>
        <v>84</v>
      </c>
      <c r="I1802" s="4">
        <v>46036</v>
      </c>
      <c r="J1802" s="4">
        <v>46066</v>
      </c>
      <c r="K1802" t="s">
        <v>17</v>
      </c>
      <c r="L1802" t="s">
        <v>32</v>
      </c>
      <c r="M1802" t="s">
        <v>19</v>
      </c>
      <c r="N1802" t="s">
        <v>57</v>
      </c>
      <c r="O1802">
        <v>30</v>
      </c>
    </row>
    <row r="1803" spans="1:15" hidden="1" x14ac:dyDescent="0.25">
      <c r="A1803" t="s">
        <v>2820</v>
      </c>
      <c r="B1803" t="s">
        <v>82</v>
      </c>
      <c r="C1803" t="s">
        <v>83</v>
      </c>
      <c r="D1803" t="s">
        <v>15</v>
      </c>
      <c r="E1803" t="s">
        <v>3297</v>
      </c>
      <c r="F1803" s="3">
        <v>217456</v>
      </c>
      <c r="G1803" s="2">
        <f t="shared" si="56"/>
        <v>30</v>
      </c>
      <c r="H1803" s="2">
        <f t="shared" ca="1" si="57"/>
        <v>84</v>
      </c>
      <c r="I1803" s="4">
        <v>46036</v>
      </c>
      <c r="J1803" s="4">
        <v>46066</v>
      </c>
      <c r="K1803" t="s">
        <v>17</v>
      </c>
      <c r="L1803" t="s">
        <v>32</v>
      </c>
      <c r="M1803" t="s">
        <v>19</v>
      </c>
      <c r="N1803" t="s">
        <v>84</v>
      </c>
      <c r="O1803">
        <v>30</v>
      </c>
    </row>
    <row r="1804" spans="1:15" hidden="1" x14ac:dyDescent="0.25">
      <c r="A1804" t="s">
        <v>2820</v>
      </c>
      <c r="B1804" t="s">
        <v>67</v>
      </c>
      <c r="C1804" t="s">
        <v>68</v>
      </c>
      <c r="D1804" t="s">
        <v>15</v>
      </c>
      <c r="E1804" t="s">
        <v>3298</v>
      </c>
      <c r="F1804" s="3">
        <v>2319129</v>
      </c>
      <c r="G1804" s="2">
        <f t="shared" si="56"/>
        <v>30</v>
      </c>
      <c r="H1804" s="2">
        <f t="shared" ca="1" si="57"/>
        <v>84</v>
      </c>
      <c r="I1804" s="4">
        <v>46036</v>
      </c>
      <c r="J1804" s="4">
        <v>46066</v>
      </c>
      <c r="K1804" t="s">
        <v>17</v>
      </c>
      <c r="L1804" t="s">
        <v>32</v>
      </c>
      <c r="M1804" t="s">
        <v>19</v>
      </c>
      <c r="N1804" t="s">
        <v>69</v>
      </c>
      <c r="O1804">
        <v>30</v>
      </c>
    </row>
    <row r="1805" spans="1:15" hidden="1" x14ac:dyDescent="0.25">
      <c r="A1805" t="s">
        <v>2820</v>
      </c>
      <c r="B1805" t="s">
        <v>98</v>
      </c>
      <c r="C1805" t="s">
        <v>99</v>
      </c>
      <c r="D1805" t="s">
        <v>15</v>
      </c>
      <c r="E1805" t="s">
        <v>3299</v>
      </c>
      <c r="F1805" s="3">
        <v>13539191</v>
      </c>
      <c r="G1805" s="2">
        <f t="shared" si="56"/>
        <v>30</v>
      </c>
      <c r="H1805" s="2">
        <f t="shared" ca="1" si="57"/>
        <v>84</v>
      </c>
      <c r="I1805" s="4">
        <v>46036</v>
      </c>
      <c r="J1805" s="4">
        <v>46066</v>
      </c>
      <c r="K1805" t="s">
        <v>17</v>
      </c>
      <c r="L1805" t="s">
        <v>32</v>
      </c>
      <c r="M1805" t="s">
        <v>19</v>
      </c>
      <c r="N1805" t="s">
        <v>100</v>
      </c>
      <c r="O1805">
        <v>30</v>
      </c>
    </row>
    <row r="1806" spans="1:15" hidden="1" x14ac:dyDescent="0.25">
      <c r="A1806" t="s">
        <v>2820</v>
      </c>
      <c r="B1806" t="s">
        <v>98</v>
      </c>
      <c r="C1806" t="s">
        <v>99</v>
      </c>
      <c r="D1806" t="s">
        <v>15</v>
      </c>
      <c r="E1806" t="s">
        <v>3300</v>
      </c>
      <c r="F1806" s="3">
        <v>3949995</v>
      </c>
      <c r="G1806" s="2">
        <f t="shared" si="56"/>
        <v>30</v>
      </c>
      <c r="H1806" s="2">
        <f t="shared" ca="1" si="57"/>
        <v>84</v>
      </c>
      <c r="I1806" s="4">
        <v>46036</v>
      </c>
      <c r="J1806" s="4">
        <v>46066</v>
      </c>
      <c r="K1806" t="s">
        <v>17</v>
      </c>
      <c r="L1806" t="s">
        <v>32</v>
      </c>
      <c r="M1806" t="s">
        <v>19</v>
      </c>
      <c r="N1806" t="s">
        <v>100</v>
      </c>
      <c r="O1806">
        <v>30</v>
      </c>
    </row>
    <row r="1807" spans="1:15" hidden="1" x14ac:dyDescent="0.25">
      <c r="A1807" t="s">
        <v>2820</v>
      </c>
      <c r="B1807" t="s">
        <v>1971</v>
      </c>
      <c r="C1807" t="s">
        <v>1972</v>
      </c>
      <c r="D1807" t="s">
        <v>15</v>
      </c>
      <c r="E1807" t="s">
        <v>3301</v>
      </c>
      <c r="F1807" s="3">
        <v>1196950</v>
      </c>
      <c r="G1807" s="2">
        <f t="shared" si="56"/>
        <v>30</v>
      </c>
      <c r="H1807" s="2">
        <f t="shared" ca="1" si="57"/>
        <v>84</v>
      </c>
      <c r="I1807" s="4">
        <v>46036</v>
      </c>
      <c r="J1807" s="4">
        <v>46066</v>
      </c>
      <c r="K1807" t="s">
        <v>17</v>
      </c>
      <c r="L1807" t="s">
        <v>109</v>
      </c>
      <c r="M1807" t="s">
        <v>19</v>
      </c>
      <c r="N1807" t="s">
        <v>1973</v>
      </c>
      <c r="O1807">
        <v>25</v>
      </c>
    </row>
    <row r="1808" spans="1:15" hidden="1" x14ac:dyDescent="0.25">
      <c r="A1808" t="s">
        <v>2820</v>
      </c>
      <c r="B1808" t="s">
        <v>98</v>
      </c>
      <c r="C1808" t="s">
        <v>99</v>
      </c>
      <c r="D1808" t="s">
        <v>15</v>
      </c>
      <c r="E1808" t="s">
        <v>3302</v>
      </c>
      <c r="F1808" s="3">
        <v>316000</v>
      </c>
      <c r="G1808" s="2">
        <f t="shared" si="56"/>
        <v>30</v>
      </c>
      <c r="H1808" s="2">
        <f t="shared" ca="1" si="57"/>
        <v>84</v>
      </c>
      <c r="I1808" s="4">
        <v>46036</v>
      </c>
      <c r="J1808" s="4">
        <v>46066</v>
      </c>
      <c r="K1808" t="s">
        <v>17</v>
      </c>
      <c r="L1808" t="s">
        <v>32</v>
      </c>
      <c r="M1808" t="s">
        <v>19</v>
      </c>
      <c r="N1808" t="s">
        <v>100</v>
      </c>
      <c r="O1808">
        <v>30</v>
      </c>
    </row>
    <row r="1809" spans="1:15" hidden="1" x14ac:dyDescent="0.25">
      <c r="A1809" t="s">
        <v>2820</v>
      </c>
      <c r="B1809" t="s">
        <v>192</v>
      </c>
      <c r="C1809" t="s">
        <v>193</v>
      </c>
      <c r="D1809" t="s">
        <v>15</v>
      </c>
      <c r="E1809" t="s">
        <v>3303</v>
      </c>
      <c r="F1809" s="3">
        <v>2657865</v>
      </c>
      <c r="G1809" s="2">
        <f t="shared" si="56"/>
        <v>30</v>
      </c>
      <c r="H1809" s="2">
        <f t="shared" ca="1" si="57"/>
        <v>84</v>
      </c>
      <c r="I1809" s="4">
        <v>46036</v>
      </c>
      <c r="J1809" s="4">
        <v>46066</v>
      </c>
      <c r="K1809" t="s">
        <v>17</v>
      </c>
      <c r="L1809" t="s">
        <v>32</v>
      </c>
      <c r="M1809" t="s">
        <v>19</v>
      </c>
      <c r="N1809" t="s">
        <v>194</v>
      </c>
      <c r="O1809">
        <v>30</v>
      </c>
    </row>
    <row r="1810" spans="1:15" hidden="1" x14ac:dyDescent="0.25">
      <c r="A1810" t="s">
        <v>2820</v>
      </c>
      <c r="B1810" t="s">
        <v>192</v>
      </c>
      <c r="C1810" t="s">
        <v>193</v>
      </c>
      <c r="D1810" t="s">
        <v>15</v>
      </c>
      <c r="E1810" t="s">
        <v>3304</v>
      </c>
      <c r="F1810" s="3">
        <v>536311</v>
      </c>
      <c r="G1810" s="2">
        <f t="shared" si="56"/>
        <v>30</v>
      </c>
      <c r="H1810" s="2">
        <f t="shared" ca="1" si="57"/>
        <v>84</v>
      </c>
      <c r="I1810" s="4">
        <v>46036</v>
      </c>
      <c r="J1810" s="4">
        <v>46066</v>
      </c>
      <c r="K1810" t="s">
        <v>17</v>
      </c>
      <c r="L1810" t="s">
        <v>32</v>
      </c>
      <c r="M1810" t="s">
        <v>19</v>
      </c>
      <c r="N1810" t="s">
        <v>194</v>
      </c>
      <c r="O1810">
        <v>30</v>
      </c>
    </row>
    <row r="1811" spans="1:15" hidden="1" x14ac:dyDescent="0.25">
      <c r="A1811" t="s">
        <v>2820</v>
      </c>
      <c r="B1811" t="s">
        <v>104</v>
      </c>
      <c r="C1811" t="s">
        <v>105</v>
      </c>
      <c r="D1811" t="s">
        <v>46</v>
      </c>
      <c r="E1811" t="s">
        <v>3305</v>
      </c>
      <c r="F1811" s="3">
        <v>129401</v>
      </c>
      <c r="G1811" s="2">
        <f t="shared" si="56"/>
        <v>30</v>
      </c>
      <c r="H1811" s="2">
        <f t="shared" ca="1" si="57"/>
        <v>84</v>
      </c>
      <c r="I1811" s="4">
        <v>46036</v>
      </c>
      <c r="J1811" s="4">
        <v>46066</v>
      </c>
      <c r="K1811" t="s">
        <v>17</v>
      </c>
      <c r="L1811" t="s">
        <v>32</v>
      </c>
      <c r="M1811" t="s">
        <v>19</v>
      </c>
      <c r="N1811" t="s">
        <v>106</v>
      </c>
      <c r="O1811">
        <v>30</v>
      </c>
    </row>
    <row r="1812" spans="1:15" hidden="1" x14ac:dyDescent="0.25">
      <c r="A1812" t="s">
        <v>2820</v>
      </c>
      <c r="B1812" t="s">
        <v>162</v>
      </c>
      <c r="C1812" t="s">
        <v>163</v>
      </c>
      <c r="D1812" t="s">
        <v>15</v>
      </c>
      <c r="E1812" t="s">
        <v>3306</v>
      </c>
      <c r="F1812" s="3">
        <v>789291</v>
      </c>
      <c r="G1812" s="2">
        <f t="shared" si="56"/>
        <v>30</v>
      </c>
      <c r="H1812" s="2">
        <f t="shared" ca="1" si="57"/>
        <v>84</v>
      </c>
      <c r="I1812" s="4">
        <v>46036</v>
      </c>
      <c r="J1812" s="4">
        <v>46066</v>
      </c>
      <c r="K1812" t="s">
        <v>17</v>
      </c>
      <c r="L1812" t="s">
        <v>32</v>
      </c>
      <c r="M1812" t="s">
        <v>19</v>
      </c>
      <c r="N1812" t="s">
        <v>164</v>
      </c>
      <c r="O1812">
        <v>30</v>
      </c>
    </row>
    <row r="1813" spans="1:15" hidden="1" x14ac:dyDescent="0.25">
      <c r="A1813" t="s">
        <v>2820</v>
      </c>
      <c r="B1813" t="s">
        <v>76</v>
      </c>
      <c r="C1813" t="s">
        <v>77</v>
      </c>
      <c r="D1813" t="s">
        <v>46</v>
      </c>
      <c r="E1813" t="s">
        <v>3307</v>
      </c>
      <c r="F1813" s="3">
        <v>6345277</v>
      </c>
      <c r="G1813" s="2">
        <f t="shared" si="56"/>
        <v>30</v>
      </c>
      <c r="H1813" s="2">
        <f t="shared" ca="1" si="57"/>
        <v>84</v>
      </c>
      <c r="I1813" s="4">
        <v>46036</v>
      </c>
      <c r="J1813" s="4">
        <v>46066</v>
      </c>
      <c r="K1813" t="s">
        <v>17</v>
      </c>
      <c r="L1813" t="s">
        <v>32</v>
      </c>
      <c r="M1813" t="s">
        <v>19</v>
      </c>
      <c r="N1813" t="s">
        <v>78</v>
      </c>
      <c r="O1813">
        <v>30</v>
      </c>
    </row>
    <row r="1814" spans="1:15" hidden="1" x14ac:dyDescent="0.25">
      <c r="A1814" t="s">
        <v>2820</v>
      </c>
      <c r="B1814" t="s">
        <v>104</v>
      </c>
      <c r="C1814" t="s">
        <v>105</v>
      </c>
      <c r="D1814" t="s">
        <v>46</v>
      </c>
      <c r="E1814" t="s">
        <v>3308</v>
      </c>
      <c r="F1814" s="3">
        <v>462601</v>
      </c>
      <c r="G1814" s="2">
        <f t="shared" si="56"/>
        <v>30</v>
      </c>
      <c r="H1814" s="2">
        <f t="shared" ca="1" si="57"/>
        <v>84</v>
      </c>
      <c r="I1814" s="4">
        <v>46036</v>
      </c>
      <c r="J1814" s="4">
        <v>46066</v>
      </c>
      <c r="K1814" t="s">
        <v>17</v>
      </c>
      <c r="L1814" t="s">
        <v>32</v>
      </c>
      <c r="M1814" t="s">
        <v>19</v>
      </c>
      <c r="N1814" t="s">
        <v>106</v>
      </c>
      <c r="O1814">
        <v>30</v>
      </c>
    </row>
    <row r="1815" spans="1:15" hidden="1" x14ac:dyDescent="0.25">
      <c r="A1815" t="s">
        <v>2820</v>
      </c>
      <c r="B1815" t="s">
        <v>79</v>
      </c>
      <c r="C1815" t="s">
        <v>80</v>
      </c>
      <c r="D1815" t="s">
        <v>46</v>
      </c>
      <c r="E1815" t="s">
        <v>3309</v>
      </c>
      <c r="F1815" s="3">
        <v>1570001</v>
      </c>
      <c r="G1815" s="2">
        <f t="shared" si="56"/>
        <v>30</v>
      </c>
      <c r="H1815" s="2">
        <f t="shared" ca="1" si="57"/>
        <v>84</v>
      </c>
      <c r="I1815" s="4">
        <v>46036</v>
      </c>
      <c r="J1815" s="4">
        <v>46066</v>
      </c>
      <c r="K1815" t="s">
        <v>17</v>
      </c>
      <c r="L1815" t="s">
        <v>32</v>
      </c>
      <c r="M1815" t="s">
        <v>19</v>
      </c>
      <c r="N1815" t="s">
        <v>81</v>
      </c>
      <c r="O1815">
        <v>30</v>
      </c>
    </row>
    <row r="1816" spans="1:15" hidden="1" x14ac:dyDescent="0.25">
      <c r="A1816" t="s">
        <v>2820</v>
      </c>
      <c r="B1816" t="s">
        <v>79</v>
      </c>
      <c r="C1816" t="s">
        <v>80</v>
      </c>
      <c r="D1816" t="s">
        <v>46</v>
      </c>
      <c r="E1816" t="s">
        <v>3310</v>
      </c>
      <c r="F1816" s="3">
        <v>976000</v>
      </c>
      <c r="G1816" s="2">
        <f t="shared" si="56"/>
        <v>30</v>
      </c>
      <c r="H1816" s="2">
        <f t="shared" ca="1" si="57"/>
        <v>84</v>
      </c>
      <c r="I1816" s="4">
        <v>46036</v>
      </c>
      <c r="J1816" s="4">
        <v>46066</v>
      </c>
      <c r="K1816" t="s">
        <v>17</v>
      </c>
      <c r="L1816" t="s">
        <v>32</v>
      </c>
      <c r="M1816" t="s">
        <v>19</v>
      </c>
      <c r="N1816" t="s">
        <v>81</v>
      </c>
      <c r="O1816">
        <v>30</v>
      </c>
    </row>
    <row r="1817" spans="1:15" hidden="1" x14ac:dyDescent="0.25">
      <c r="A1817" t="s">
        <v>2820</v>
      </c>
      <c r="B1817" t="s">
        <v>1342</v>
      </c>
      <c r="C1817" t="s">
        <v>1343</v>
      </c>
      <c r="D1817" t="s">
        <v>1323</v>
      </c>
      <c r="E1817" t="s">
        <v>3311</v>
      </c>
      <c r="F1817" s="3">
        <v>137987</v>
      </c>
      <c r="G1817" s="2">
        <f t="shared" si="56"/>
        <v>30</v>
      </c>
      <c r="H1817" s="2">
        <f t="shared" ca="1" si="57"/>
        <v>84</v>
      </c>
      <c r="I1817" s="4">
        <v>46036</v>
      </c>
      <c r="J1817" s="4">
        <v>46066</v>
      </c>
      <c r="K1817" t="s">
        <v>17</v>
      </c>
      <c r="L1817" t="s">
        <v>90</v>
      </c>
      <c r="M1817" t="s">
        <v>19</v>
      </c>
      <c r="N1817" t="s">
        <v>1344</v>
      </c>
      <c r="O1817">
        <v>30</v>
      </c>
    </row>
    <row r="1818" spans="1:15" hidden="1" x14ac:dyDescent="0.25">
      <c r="A1818" t="s">
        <v>2820</v>
      </c>
      <c r="B1818" t="s">
        <v>104</v>
      </c>
      <c r="C1818" t="s">
        <v>105</v>
      </c>
      <c r="D1818" t="s">
        <v>46</v>
      </c>
      <c r="E1818" t="s">
        <v>3312</v>
      </c>
      <c r="F1818" s="3">
        <v>771984</v>
      </c>
      <c r="G1818" s="2">
        <f t="shared" si="56"/>
        <v>30</v>
      </c>
      <c r="H1818" s="2">
        <f t="shared" ca="1" si="57"/>
        <v>84</v>
      </c>
      <c r="I1818" s="4">
        <v>46036</v>
      </c>
      <c r="J1818" s="4">
        <v>46066</v>
      </c>
      <c r="K1818" t="s">
        <v>17</v>
      </c>
      <c r="L1818" t="s">
        <v>32</v>
      </c>
      <c r="M1818" t="s">
        <v>19</v>
      </c>
      <c r="N1818" t="s">
        <v>106</v>
      </c>
      <c r="O1818">
        <v>30</v>
      </c>
    </row>
    <row r="1819" spans="1:15" hidden="1" x14ac:dyDescent="0.25">
      <c r="A1819" t="s">
        <v>2820</v>
      </c>
      <c r="B1819" t="s">
        <v>40</v>
      </c>
      <c r="C1819" t="s">
        <v>41</v>
      </c>
      <c r="D1819" t="s">
        <v>42</v>
      </c>
      <c r="E1819" t="s">
        <v>3313</v>
      </c>
      <c r="F1819" s="3">
        <v>309400</v>
      </c>
      <c r="G1819" s="2">
        <f t="shared" si="56"/>
        <v>1</v>
      </c>
      <c r="H1819" s="2">
        <f t="shared" ca="1" si="57"/>
        <v>84</v>
      </c>
      <c r="I1819" s="4">
        <v>46036</v>
      </c>
      <c r="J1819" s="4">
        <v>46037</v>
      </c>
      <c r="K1819" t="s">
        <v>17</v>
      </c>
      <c r="L1819" t="s">
        <v>28</v>
      </c>
      <c r="M1819" t="s">
        <v>19</v>
      </c>
      <c r="N1819" t="s">
        <v>43</v>
      </c>
      <c r="O1819">
        <v>30</v>
      </c>
    </row>
    <row r="1820" spans="1:15" hidden="1" x14ac:dyDescent="0.25">
      <c r="A1820" t="s">
        <v>2820</v>
      </c>
      <c r="B1820" t="s">
        <v>79</v>
      </c>
      <c r="C1820" t="s">
        <v>80</v>
      </c>
      <c r="D1820" t="s">
        <v>46</v>
      </c>
      <c r="E1820" t="s">
        <v>3314</v>
      </c>
      <c r="F1820" s="3">
        <v>1356000</v>
      </c>
      <c r="G1820" s="2">
        <f t="shared" si="56"/>
        <v>30</v>
      </c>
      <c r="H1820" s="2">
        <f t="shared" ca="1" si="57"/>
        <v>84</v>
      </c>
      <c r="I1820" s="4">
        <v>46036</v>
      </c>
      <c r="J1820" s="4">
        <v>46066</v>
      </c>
      <c r="K1820" t="s">
        <v>17</v>
      </c>
      <c r="L1820" t="s">
        <v>32</v>
      </c>
      <c r="M1820" t="s">
        <v>19</v>
      </c>
      <c r="N1820" t="s">
        <v>81</v>
      </c>
      <c r="O1820">
        <v>30</v>
      </c>
    </row>
    <row r="1821" spans="1:15" hidden="1" x14ac:dyDescent="0.25">
      <c r="A1821" t="s">
        <v>2820</v>
      </c>
      <c r="B1821" t="s">
        <v>3401</v>
      </c>
      <c r="C1821" t="s">
        <v>3402</v>
      </c>
      <c r="D1821" t="s">
        <v>46</v>
      </c>
      <c r="E1821" t="s">
        <v>3408</v>
      </c>
      <c r="F1821" s="3">
        <v>42800</v>
      </c>
      <c r="G1821" s="2">
        <f t="shared" si="56"/>
        <v>15</v>
      </c>
      <c r="H1821" s="2">
        <f t="shared" ca="1" si="57"/>
        <v>84</v>
      </c>
      <c r="I1821" s="4">
        <v>46036</v>
      </c>
      <c r="J1821" s="4">
        <v>46051</v>
      </c>
      <c r="K1821" t="s">
        <v>17</v>
      </c>
      <c r="L1821" t="s">
        <v>317</v>
      </c>
      <c r="M1821" t="s">
        <v>19</v>
      </c>
      <c r="N1821" t="s">
        <v>3404</v>
      </c>
      <c r="O1821">
        <v>15</v>
      </c>
    </row>
    <row r="1822" spans="1:15" hidden="1" x14ac:dyDescent="0.25">
      <c r="A1822" t="s">
        <v>2820</v>
      </c>
      <c r="B1822" t="s">
        <v>3409</v>
      </c>
      <c r="C1822" t="s">
        <v>3410</v>
      </c>
      <c r="D1822" t="s">
        <v>15</v>
      </c>
      <c r="E1822" t="s">
        <v>3411</v>
      </c>
      <c r="F1822" s="3">
        <v>689618</v>
      </c>
      <c r="G1822" s="2">
        <f t="shared" si="56"/>
        <v>15</v>
      </c>
      <c r="H1822" s="2">
        <f t="shared" ca="1" si="57"/>
        <v>84</v>
      </c>
      <c r="I1822" s="4">
        <v>46036</v>
      </c>
      <c r="J1822" s="4">
        <v>46051</v>
      </c>
      <c r="K1822" t="s">
        <v>17</v>
      </c>
      <c r="L1822" t="s">
        <v>317</v>
      </c>
      <c r="M1822" t="s">
        <v>19</v>
      </c>
      <c r="N1822" t="s">
        <v>3412</v>
      </c>
      <c r="O1822">
        <v>30</v>
      </c>
    </row>
    <row r="1823" spans="1:15" hidden="1" x14ac:dyDescent="0.25">
      <c r="A1823" t="s">
        <v>2820</v>
      </c>
      <c r="B1823" t="s">
        <v>2128</v>
      </c>
      <c r="C1823" t="s">
        <v>2129</v>
      </c>
      <c r="D1823" t="s">
        <v>46</v>
      </c>
      <c r="E1823" t="s">
        <v>3413</v>
      </c>
      <c r="F1823" s="3">
        <v>420000</v>
      </c>
      <c r="G1823" s="2">
        <f t="shared" si="56"/>
        <v>10</v>
      </c>
      <c r="H1823" s="2">
        <f t="shared" ca="1" si="57"/>
        <v>84</v>
      </c>
      <c r="I1823" s="4">
        <v>46036</v>
      </c>
      <c r="J1823" s="4">
        <v>46046</v>
      </c>
      <c r="K1823" t="s">
        <v>17</v>
      </c>
      <c r="L1823" t="s">
        <v>317</v>
      </c>
      <c r="M1823" t="s">
        <v>19</v>
      </c>
      <c r="N1823" t="s">
        <v>2130</v>
      </c>
      <c r="O1823">
        <v>30</v>
      </c>
    </row>
    <row r="1824" spans="1:15" hidden="1" x14ac:dyDescent="0.25">
      <c r="A1824" t="s">
        <v>2820</v>
      </c>
      <c r="B1824" t="s">
        <v>156</v>
      </c>
      <c r="C1824" t="s">
        <v>157</v>
      </c>
      <c r="D1824" t="s">
        <v>1289</v>
      </c>
      <c r="E1824" t="s">
        <v>3414</v>
      </c>
      <c r="F1824" s="3">
        <v>8924938</v>
      </c>
      <c r="G1824" s="2">
        <f t="shared" si="56"/>
        <v>30</v>
      </c>
      <c r="H1824" s="2">
        <f t="shared" ca="1" si="57"/>
        <v>84</v>
      </c>
      <c r="I1824" s="4">
        <v>46036</v>
      </c>
      <c r="J1824" s="4">
        <v>46066</v>
      </c>
      <c r="K1824" t="s">
        <v>17</v>
      </c>
      <c r="L1824" t="s">
        <v>47</v>
      </c>
      <c r="M1824" t="s">
        <v>19</v>
      </c>
      <c r="N1824" t="s">
        <v>158</v>
      </c>
      <c r="O1824">
        <v>30</v>
      </c>
    </row>
    <row r="1825" spans="1:15" hidden="1" x14ac:dyDescent="0.25">
      <c r="A1825" t="s">
        <v>2820</v>
      </c>
      <c r="B1825" t="s">
        <v>156</v>
      </c>
      <c r="C1825" t="s">
        <v>157</v>
      </c>
      <c r="D1825" t="s">
        <v>1289</v>
      </c>
      <c r="E1825" t="s">
        <v>3415</v>
      </c>
      <c r="F1825" s="3">
        <v>3702401</v>
      </c>
      <c r="G1825" s="2">
        <f t="shared" si="56"/>
        <v>30</v>
      </c>
      <c r="H1825" s="2">
        <f t="shared" ca="1" si="57"/>
        <v>84</v>
      </c>
      <c r="I1825" s="4">
        <v>46036</v>
      </c>
      <c r="J1825" s="4">
        <v>46066</v>
      </c>
      <c r="K1825" t="s">
        <v>17</v>
      </c>
      <c r="L1825" t="s">
        <v>47</v>
      </c>
      <c r="M1825" t="s">
        <v>19</v>
      </c>
      <c r="N1825" t="s">
        <v>158</v>
      </c>
      <c r="O1825">
        <v>30</v>
      </c>
    </row>
    <row r="1826" spans="1:15" hidden="1" x14ac:dyDescent="0.25">
      <c r="A1826" t="s">
        <v>2820</v>
      </c>
      <c r="B1826" t="s">
        <v>361</v>
      </c>
      <c r="C1826" t="s">
        <v>362</v>
      </c>
      <c r="D1826" t="s">
        <v>204</v>
      </c>
      <c r="E1826" t="s">
        <v>3447</v>
      </c>
      <c r="F1826" s="3">
        <v>524981</v>
      </c>
      <c r="G1826" s="2">
        <f t="shared" si="56"/>
        <v>30</v>
      </c>
      <c r="H1826" s="2">
        <f t="shared" ca="1" si="57"/>
        <v>84</v>
      </c>
      <c r="I1826" s="4">
        <v>46036</v>
      </c>
      <c r="J1826" s="4">
        <v>46066</v>
      </c>
      <c r="K1826" t="s">
        <v>343</v>
      </c>
      <c r="L1826" t="s">
        <v>18</v>
      </c>
      <c r="M1826" t="s">
        <v>19</v>
      </c>
      <c r="N1826" t="s">
        <v>363</v>
      </c>
      <c r="O1826">
        <v>30</v>
      </c>
    </row>
    <row r="1827" spans="1:15" hidden="1" x14ac:dyDescent="0.25">
      <c r="A1827" t="s">
        <v>2820</v>
      </c>
      <c r="B1827" t="s">
        <v>361</v>
      </c>
      <c r="C1827" t="s">
        <v>362</v>
      </c>
      <c r="D1827" t="s">
        <v>204</v>
      </c>
      <c r="E1827" t="s">
        <v>3448</v>
      </c>
      <c r="F1827" s="3">
        <v>8689757</v>
      </c>
      <c r="G1827" s="2">
        <f t="shared" si="56"/>
        <v>30</v>
      </c>
      <c r="H1827" s="2">
        <f t="shared" ca="1" si="57"/>
        <v>84</v>
      </c>
      <c r="I1827" s="4">
        <v>46036</v>
      </c>
      <c r="J1827" s="4">
        <v>46066</v>
      </c>
      <c r="K1827" t="s">
        <v>343</v>
      </c>
      <c r="L1827" t="s">
        <v>18</v>
      </c>
      <c r="M1827" t="s">
        <v>19</v>
      </c>
      <c r="N1827" t="s">
        <v>363</v>
      </c>
      <c r="O1827">
        <v>30</v>
      </c>
    </row>
    <row r="1828" spans="1:15" hidden="1" x14ac:dyDescent="0.25">
      <c r="A1828" t="s">
        <v>2820</v>
      </c>
      <c r="B1828" t="s">
        <v>3449</v>
      </c>
      <c r="C1828" t="s">
        <v>3450</v>
      </c>
      <c r="D1828" t="s">
        <v>347</v>
      </c>
      <c r="E1828" t="s">
        <v>3451</v>
      </c>
      <c r="F1828" s="3">
        <v>895788</v>
      </c>
      <c r="G1828" s="2">
        <f t="shared" si="56"/>
        <v>30</v>
      </c>
      <c r="H1828" s="2">
        <f t="shared" ca="1" si="57"/>
        <v>84</v>
      </c>
      <c r="I1828" s="4">
        <v>46036</v>
      </c>
      <c r="J1828" s="4">
        <v>46066</v>
      </c>
      <c r="K1828" t="s">
        <v>343</v>
      </c>
      <c r="L1828" t="s">
        <v>18</v>
      </c>
      <c r="M1828" t="s">
        <v>19</v>
      </c>
      <c r="N1828" t="s">
        <v>3452</v>
      </c>
      <c r="O1828">
        <v>30</v>
      </c>
    </row>
    <row r="1829" spans="1:15" hidden="1" x14ac:dyDescent="0.25">
      <c r="A1829" t="s">
        <v>2820</v>
      </c>
      <c r="B1829" t="s">
        <v>364</v>
      </c>
      <c r="C1829" t="s">
        <v>365</v>
      </c>
      <c r="D1829" t="s">
        <v>347</v>
      </c>
      <c r="E1829" t="s">
        <v>3453</v>
      </c>
      <c r="F1829" s="3">
        <v>2144213</v>
      </c>
      <c r="G1829" s="2">
        <f t="shared" si="56"/>
        <v>30</v>
      </c>
      <c r="H1829" s="2">
        <f t="shared" ca="1" si="57"/>
        <v>84</v>
      </c>
      <c r="I1829" s="4">
        <v>46036</v>
      </c>
      <c r="J1829" s="4">
        <v>46066</v>
      </c>
      <c r="K1829" t="s">
        <v>343</v>
      </c>
      <c r="L1829" t="s">
        <v>18</v>
      </c>
      <c r="M1829" t="s">
        <v>19</v>
      </c>
      <c r="N1829" t="s">
        <v>366</v>
      </c>
      <c r="O1829">
        <v>30</v>
      </c>
    </row>
    <row r="1830" spans="1:15" hidden="1" x14ac:dyDescent="0.25">
      <c r="A1830" t="s">
        <v>2820</v>
      </c>
      <c r="B1830" t="s">
        <v>364</v>
      </c>
      <c r="C1830" t="s">
        <v>365</v>
      </c>
      <c r="D1830" t="s">
        <v>347</v>
      </c>
      <c r="E1830" t="s">
        <v>3454</v>
      </c>
      <c r="F1830" s="3">
        <v>395369</v>
      </c>
      <c r="G1830" s="2">
        <f t="shared" si="56"/>
        <v>30</v>
      </c>
      <c r="H1830" s="2">
        <f t="shared" ca="1" si="57"/>
        <v>84</v>
      </c>
      <c r="I1830" s="4">
        <v>46036</v>
      </c>
      <c r="J1830" s="4">
        <v>46066</v>
      </c>
      <c r="K1830" t="s">
        <v>343</v>
      </c>
      <c r="L1830" t="s">
        <v>18</v>
      </c>
      <c r="M1830" t="s">
        <v>19</v>
      </c>
      <c r="N1830" t="s">
        <v>366</v>
      </c>
      <c r="O1830">
        <v>30</v>
      </c>
    </row>
    <row r="1831" spans="1:15" hidden="1" x14ac:dyDescent="0.25">
      <c r="A1831" t="s">
        <v>2820</v>
      </c>
      <c r="B1831" t="s">
        <v>361</v>
      </c>
      <c r="C1831" t="s">
        <v>362</v>
      </c>
      <c r="D1831" t="s">
        <v>204</v>
      </c>
      <c r="E1831" t="s">
        <v>3455</v>
      </c>
      <c r="F1831" s="3">
        <v>6138387</v>
      </c>
      <c r="G1831" s="2">
        <f t="shared" si="56"/>
        <v>30</v>
      </c>
      <c r="H1831" s="2">
        <f t="shared" ca="1" si="57"/>
        <v>84</v>
      </c>
      <c r="I1831" s="4">
        <v>46036</v>
      </c>
      <c r="J1831" s="4">
        <v>46066</v>
      </c>
      <c r="K1831" t="s">
        <v>343</v>
      </c>
      <c r="L1831" t="s">
        <v>18</v>
      </c>
      <c r="M1831" t="s">
        <v>19</v>
      </c>
      <c r="N1831" t="s">
        <v>363</v>
      </c>
      <c r="O1831">
        <v>30</v>
      </c>
    </row>
    <row r="1832" spans="1:15" hidden="1" x14ac:dyDescent="0.25">
      <c r="A1832" t="s">
        <v>2820</v>
      </c>
      <c r="B1832" t="s">
        <v>1960</v>
      </c>
      <c r="C1832" t="s">
        <v>1961</v>
      </c>
      <c r="D1832" t="s">
        <v>1962</v>
      </c>
      <c r="E1832" t="s">
        <v>3456</v>
      </c>
      <c r="F1832" s="3">
        <v>5428799</v>
      </c>
      <c r="G1832" s="2">
        <f t="shared" si="56"/>
        <v>30</v>
      </c>
      <c r="H1832" s="2">
        <f t="shared" ca="1" si="57"/>
        <v>84</v>
      </c>
      <c r="I1832" s="4">
        <v>46036</v>
      </c>
      <c r="J1832" s="4">
        <v>46066</v>
      </c>
      <c r="K1832" t="s">
        <v>343</v>
      </c>
      <c r="L1832" t="s">
        <v>18</v>
      </c>
      <c r="M1832" t="s">
        <v>19</v>
      </c>
      <c r="N1832" t="s">
        <v>1963</v>
      </c>
      <c r="O1832">
        <v>30</v>
      </c>
    </row>
    <row r="1833" spans="1:15" hidden="1" x14ac:dyDescent="0.25">
      <c r="A1833" t="s">
        <v>2820</v>
      </c>
      <c r="B1833" t="s">
        <v>376</v>
      </c>
      <c r="C1833" t="s">
        <v>377</v>
      </c>
      <c r="D1833" t="s">
        <v>378</v>
      </c>
      <c r="E1833" t="s">
        <v>3457</v>
      </c>
      <c r="F1833" s="3">
        <v>1</v>
      </c>
      <c r="G1833" s="2">
        <f t="shared" si="56"/>
        <v>1</v>
      </c>
      <c r="H1833" s="2">
        <f t="shared" ca="1" si="57"/>
        <v>84</v>
      </c>
      <c r="I1833" s="4">
        <v>46036</v>
      </c>
      <c r="J1833" s="4">
        <v>46037</v>
      </c>
      <c r="K1833" t="s">
        <v>343</v>
      </c>
      <c r="L1833" t="s">
        <v>47</v>
      </c>
      <c r="M1833" t="s">
        <v>19</v>
      </c>
      <c r="N1833" t="s">
        <v>379</v>
      </c>
      <c r="O1833">
        <v>30</v>
      </c>
    </row>
    <row r="1834" spans="1:15" hidden="1" x14ac:dyDescent="0.25">
      <c r="A1834" t="s">
        <v>2820</v>
      </c>
      <c r="B1834" t="s">
        <v>1101</v>
      </c>
      <c r="C1834" t="s">
        <v>1102</v>
      </c>
      <c r="D1834" t="s">
        <v>1066</v>
      </c>
      <c r="E1834" t="s">
        <v>3554</v>
      </c>
      <c r="F1834" s="3">
        <v>148800</v>
      </c>
      <c r="G1834" s="2">
        <f t="shared" si="56"/>
        <v>30</v>
      </c>
      <c r="H1834" s="2">
        <f t="shared" ca="1" si="57"/>
        <v>84</v>
      </c>
      <c r="I1834" s="4">
        <v>46036</v>
      </c>
      <c r="J1834" s="4">
        <v>46066</v>
      </c>
      <c r="K1834" t="s">
        <v>1068</v>
      </c>
      <c r="L1834" t="s">
        <v>207</v>
      </c>
      <c r="M1834" t="s">
        <v>19</v>
      </c>
      <c r="N1834" t="s">
        <v>1103</v>
      </c>
      <c r="O1834">
        <v>30</v>
      </c>
    </row>
    <row r="1835" spans="1:15" hidden="1" x14ac:dyDescent="0.25">
      <c r="A1835" t="s">
        <v>2820</v>
      </c>
      <c r="B1835" t="s">
        <v>1115</v>
      </c>
      <c r="C1835" t="s">
        <v>1116</v>
      </c>
      <c r="D1835" t="s">
        <v>320</v>
      </c>
      <c r="E1835" t="s">
        <v>3555</v>
      </c>
      <c r="F1835" s="3">
        <v>5190579</v>
      </c>
      <c r="G1835" s="2">
        <f t="shared" si="56"/>
        <v>30</v>
      </c>
      <c r="H1835" s="2">
        <f t="shared" ca="1" si="57"/>
        <v>84</v>
      </c>
      <c r="I1835" s="4">
        <v>46036</v>
      </c>
      <c r="J1835" s="4">
        <v>46066</v>
      </c>
      <c r="K1835" t="s">
        <v>1068</v>
      </c>
      <c r="L1835" t="s">
        <v>207</v>
      </c>
      <c r="M1835" t="s">
        <v>19</v>
      </c>
      <c r="N1835" t="s">
        <v>1117</v>
      </c>
      <c r="O1835">
        <v>30</v>
      </c>
    </row>
    <row r="1836" spans="1:15" hidden="1" x14ac:dyDescent="0.25">
      <c r="A1836" t="s">
        <v>2820</v>
      </c>
      <c r="B1836" t="s">
        <v>1098</v>
      </c>
      <c r="C1836" t="s">
        <v>1099</v>
      </c>
      <c r="D1836" t="s">
        <v>1066</v>
      </c>
      <c r="E1836" t="s">
        <v>3556</v>
      </c>
      <c r="F1836" s="3">
        <v>2430815</v>
      </c>
      <c r="G1836" s="2">
        <f t="shared" si="56"/>
        <v>30</v>
      </c>
      <c r="H1836" s="2">
        <f t="shared" ca="1" si="57"/>
        <v>84</v>
      </c>
      <c r="I1836" s="4">
        <v>46036</v>
      </c>
      <c r="J1836" s="4">
        <v>46066</v>
      </c>
      <c r="K1836" t="s">
        <v>1068</v>
      </c>
      <c r="L1836" t="s">
        <v>207</v>
      </c>
      <c r="M1836" t="s">
        <v>19</v>
      </c>
      <c r="N1836" t="s">
        <v>1100</v>
      </c>
      <c r="O1836">
        <v>30</v>
      </c>
    </row>
    <row r="1837" spans="1:15" hidden="1" x14ac:dyDescent="0.25">
      <c r="A1837" t="s">
        <v>2820</v>
      </c>
      <c r="B1837" t="s">
        <v>1095</v>
      </c>
      <c r="C1837" t="s">
        <v>1096</v>
      </c>
      <c r="D1837" t="s">
        <v>320</v>
      </c>
      <c r="E1837" t="s">
        <v>3557</v>
      </c>
      <c r="F1837" s="3">
        <v>841683</v>
      </c>
      <c r="G1837" s="2">
        <f t="shared" si="56"/>
        <v>30</v>
      </c>
      <c r="H1837" s="2">
        <f t="shared" ca="1" si="57"/>
        <v>84</v>
      </c>
      <c r="I1837" s="4">
        <v>46036</v>
      </c>
      <c r="J1837" s="4">
        <v>46066</v>
      </c>
      <c r="K1837" t="s">
        <v>1068</v>
      </c>
      <c r="L1837" t="s">
        <v>207</v>
      </c>
      <c r="M1837" t="s">
        <v>19</v>
      </c>
      <c r="N1837" t="s">
        <v>1097</v>
      </c>
      <c r="O1837">
        <v>30</v>
      </c>
    </row>
    <row r="1838" spans="1:15" hidden="1" x14ac:dyDescent="0.25">
      <c r="A1838" t="s">
        <v>2820</v>
      </c>
      <c r="B1838" t="s">
        <v>1964</v>
      </c>
      <c r="C1838" t="s">
        <v>1965</v>
      </c>
      <c r="D1838" t="s">
        <v>1066</v>
      </c>
      <c r="E1838" t="s">
        <v>3558</v>
      </c>
      <c r="F1838" s="3">
        <v>1232191</v>
      </c>
      <c r="G1838" s="2">
        <f t="shared" si="56"/>
        <v>30</v>
      </c>
      <c r="H1838" s="2">
        <f t="shared" ca="1" si="57"/>
        <v>84</v>
      </c>
      <c r="I1838" s="4">
        <v>46036</v>
      </c>
      <c r="J1838" s="4">
        <v>46066</v>
      </c>
      <c r="K1838" t="s">
        <v>1068</v>
      </c>
      <c r="L1838" t="s">
        <v>207</v>
      </c>
      <c r="M1838" t="s">
        <v>19</v>
      </c>
      <c r="N1838" t="s">
        <v>1966</v>
      </c>
      <c r="O1838">
        <v>30</v>
      </c>
    </row>
    <row r="1839" spans="1:15" hidden="1" x14ac:dyDescent="0.25">
      <c r="A1839" t="s">
        <v>2820</v>
      </c>
      <c r="B1839" t="s">
        <v>1101</v>
      </c>
      <c r="C1839" t="s">
        <v>1102</v>
      </c>
      <c r="D1839" t="s">
        <v>1066</v>
      </c>
      <c r="E1839" t="s">
        <v>3559</v>
      </c>
      <c r="F1839" s="3">
        <v>784581</v>
      </c>
      <c r="G1839" s="2">
        <f t="shared" si="56"/>
        <v>30</v>
      </c>
      <c r="H1839" s="2">
        <f t="shared" ca="1" si="57"/>
        <v>84</v>
      </c>
      <c r="I1839" s="4">
        <v>46036</v>
      </c>
      <c r="J1839" s="4">
        <v>46066</v>
      </c>
      <c r="K1839" t="s">
        <v>1068</v>
      </c>
      <c r="L1839" t="s">
        <v>207</v>
      </c>
      <c r="M1839" t="s">
        <v>19</v>
      </c>
      <c r="N1839" t="s">
        <v>1103</v>
      </c>
      <c r="O1839">
        <v>30</v>
      </c>
    </row>
    <row r="1840" spans="1:15" hidden="1" x14ac:dyDescent="0.25">
      <c r="A1840" t="s">
        <v>2820</v>
      </c>
      <c r="B1840" t="s">
        <v>1112</v>
      </c>
      <c r="C1840" t="s">
        <v>1113</v>
      </c>
      <c r="D1840" t="s">
        <v>320</v>
      </c>
      <c r="E1840" t="s">
        <v>3560</v>
      </c>
      <c r="F1840" s="3">
        <v>1537017</v>
      </c>
      <c r="G1840" s="2">
        <f t="shared" si="56"/>
        <v>30</v>
      </c>
      <c r="H1840" s="2">
        <f t="shared" ca="1" si="57"/>
        <v>84</v>
      </c>
      <c r="I1840" s="4">
        <v>46036</v>
      </c>
      <c r="J1840" s="4">
        <v>46066</v>
      </c>
      <c r="K1840" t="s">
        <v>1068</v>
      </c>
      <c r="L1840" t="s">
        <v>207</v>
      </c>
      <c r="M1840" t="s">
        <v>19</v>
      </c>
      <c r="N1840" t="s">
        <v>1114</v>
      </c>
      <c r="O1840">
        <v>30</v>
      </c>
    </row>
    <row r="1841" spans="1:15" hidden="1" x14ac:dyDescent="0.25">
      <c r="A1841" t="s">
        <v>2820</v>
      </c>
      <c r="B1841" t="s">
        <v>1104</v>
      </c>
      <c r="C1841" t="s">
        <v>1105</v>
      </c>
      <c r="D1841" t="s">
        <v>1066</v>
      </c>
      <c r="E1841" t="s">
        <v>3561</v>
      </c>
      <c r="F1841" s="3">
        <v>2817075</v>
      </c>
      <c r="G1841" s="2">
        <f t="shared" si="56"/>
        <v>30</v>
      </c>
      <c r="H1841" s="2">
        <f t="shared" ca="1" si="57"/>
        <v>84</v>
      </c>
      <c r="I1841" s="4">
        <v>46036</v>
      </c>
      <c r="J1841" s="4">
        <v>46066</v>
      </c>
      <c r="K1841" t="s">
        <v>1068</v>
      </c>
      <c r="L1841" t="s">
        <v>117</v>
      </c>
      <c r="M1841" t="s">
        <v>19</v>
      </c>
      <c r="N1841" t="s">
        <v>1106</v>
      </c>
      <c r="O1841">
        <v>30</v>
      </c>
    </row>
    <row r="1842" spans="1:15" hidden="1" x14ac:dyDescent="0.25">
      <c r="A1842" t="s">
        <v>2820</v>
      </c>
      <c r="B1842" t="s">
        <v>1104</v>
      </c>
      <c r="C1842" t="s">
        <v>1105</v>
      </c>
      <c r="D1842" t="s">
        <v>1066</v>
      </c>
      <c r="E1842" t="s">
        <v>3562</v>
      </c>
      <c r="F1842" s="3">
        <v>2667645</v>
      </c>
      <c r="G1842" s="2">
        <f t="shared" si="56"/>
        <v>30</v>
      </c>
      <c r="H1842" s="2">
        <f t="shared" ca="1" si="57"/>
        <v>84</v>
      </c>
      <c r="I1842" s="4">
        <v>46036</v>
      </c>
      <c r="J1842" s="4">
        <v>46066</v>
      </c>
      <c r="K1842" t="s">
        <v>1068</v>
      </c>
      <c r="L1842" t="s">
        <v>117</v>
      </c>
      <c r="M1842" t="s">
        <v>19</v>
      </c>
      <c r="N1842" t="s">
        <v>1106</v>
      </c>
      <c r="O1842">
        <v>30</v>
      </c>
    </row>
    <row r="1843" spans="1:15" hidden="1" x14ac:dyDescent="0.25">
      <c r="A1843" t="s">
        <v>2820</v>
      </c>
      <c r="B1843" t="s">
        <v>1104</v>
      </c>
      <c r="C1843" t="s">
        <v>1105</v>
      </c>
      <c r="D1843" t="s">
        <v>1066</v>
      </c>
      <c r="E1843" t="s">
        <v>3563</v>
      </c>
      <c r="F1843" s="3">
        <v>7016248</v>
      </c>
      <c r="G1843" s="2">
        <f t="shared" si="56"/>
        <v>30</v>
      </c>
      <c r="H1843" s="2">
        <f t="shared" ca="1" si="57"/>
        <v>84</v>
      </c>
      <c r="I1843" s="4">
        <v>46036</v>
      </c>
      <c r="J1843" s="4">
        <v>46066</v>
      </c>
      <c r="K1843" t="s">
        <v>1068</v>
      </c>
      <c r="L1843" t="s">
        <v>47</v>
      </c>
      <c r="M1843" t="s">
        <v>19</v>
      </c>
      <c r="N1843" t="s">
        <v>1106</v>
      </c>
      <c r="O1843">
        <v>30</v>
      </c>
    </row>
    <row r="1844" spans="1:15" hidden="1" x14ac:dyDescent="0.25">
      <c r="A1844" t="s">
        <v>2820</v>
      </c>
      <c r="B1844" t="s">
        <v>1104</v>
      </c>
      <c r="C1844" t="s">
        <v>1105</v>
      </c>
      <c r="D1844" t="s">
        <v>1066</v>
      </c>
      <c r="E1844" t="s">
        <v>3564</v>
      </c>
      <c r="F1844" s="3">
        <v>8494249</v>
      </c>
      <c r="G1844" s="2">
        <f t="shared" si="56"/>
        <v>30</v>
      </c>
      <c r="H1844" s="2">
        <f t="shared" ca="1" si="57"/>
        <v>84</v>
      </c>
      <c r="I1844" s="4">
        <v>46036</v>
      </c>
      <c r="J1844" s="4">
        <v>46066</v>
      </c>
      <c r="K1844" t="s">
        <v>1068</v>
      </c>
      <c r="L1844" t="s">
        <v>47</v>
      </c>
      <c r="M1844" t="s">
        <v>19</v>
      </c>
      <c r="N1844" t="s">
        <v>1106</v>
      </c>
      <c r="O1844">
        <v>30</v>
      </c>
    </row>
    <row r="1845" spans="1:15" hidden="1" x14ac:dyDescent="0.25">
      <c r="A1845" t="s">
        <v>2820</v>
      </c>
      <c r="B1845" t="s">
        <v>1104</v>
      </c>
      <c r="C1845" t="s">
        <v>1105</v>
      </c>
      <c r="D1845" t="s">
        <v>1066</v>
      </c>
      <c r="E1845" t="s">
        <v>3565</v>
      </c>
      <c r="F1845" s="3">
        <v>9911614</v>
      </c>
      <c r="G1845" s="2">
        <f t="shared" si="56"/>
        <v>30</v>
      </c>
      <c r="H1845" s="2">
        <f t="shared" ca="1" si="57"/>
        <v>84</v>
      </c>
      <c r="I1845" s="4">
        <v>46036</v>
      </c>
      <c r="J1845" s="4">
        <v>46066</v>
      </c>
      <c r="K1845" t="s">
        <v>1068</v>
      </c>
      <c r="L1845" t="s">
        <v>47</v>
      </c>
      <c r="M1845" t="s">
        <v>19</v>
      </c>
      <c r="N1845" t="s">
        <v>1106</v>
      </c>
      <c r="O1845">
        <v>30</v>
      </c>
    </row>
    <row r="1846" spans="1:15" hidden="1" x14ac:dyDescent="0.25">
      <c r="A1846" t="s">
        <v>2820</v>
      </c>
      <c r="B1846" t="s">
        <v>1104</v>
      </c>
      <c r="C1846" t="s">
        <v>1105</v>
      </c>
      <c r="D1846" t="s">
        <v>1066</v>
      </c>
      <c r="E1846" t="s">
        <v>3566</v>
      </c>
      <c r="F1846" s="3">
        <v>2175876</v>
      </c>
      <c r="G1846" s="2">
        <f t="shared" si="56"/>
        <v>30</v>
      </c>
      <c r="H1846" s="2">
        <f t="shared" ca="1" si="57"/>
        <v>84</v>
      </c>
      <c r="I1846" s="4">
        <v>46036</v>
      </c>
      <c r="J1846" s="4">
        <v>46066</v>
      </c>
      <c r="K1846" t="s">
        <v>1068</v>
      </c>
      <c r="L1846" t="s">
        <v>47</v>
      </c>
      <c r="M1846" t="s">
        <v>19</v>
      </c>
      <c r="N1846" t="s">
        <v>1106</v>
      </c>
      <c r="O1846">
        <v>30</v>
      </c>
    </row>
    <row r="1847" spans="1:15" hidden="1" x14ac:dyDescent="0.25">
      <c r="A1847" t="s">
        <v>2820</v>
      </c>
      <c r="B1847" t="s">
        <v>2001</v>
      </c>
      <c r="C1847" t="s">
        <v>2002</v>
      </c>
      <c r="D1847" t="s">
        <v>1259</v>
      </c>
      <c r="E1847" t="s">
        <v>3642</v>
      </c>
      <c r="F1847" s="3">
        <v>958797</v>
      </c>
      <c r="G1847" s="2">
        <f t="shared" si="56"/>
        <v>30</v>
      </c>
      <c r="H1847" s="2">
        <f t="shared" ca="1" si="57"/>
        <v>84</v>
      </c>
      <c r="I1847" s="4">
        <v>46036</v>
      </c>
      <c r="J1847" s="4">
        <v>46066</v>
      </c>
      <c r="K1847" t="s">
        <v>1260</v>
      </c>
      <c r="L1847" t="s">
        <v>981</v>
      </c>
      <c r="M1847" t="s">
        <v>19</v>
      </c>
      <c r="N1847" t="s">
        <v>2003</v>
      </c>
      <c r="O1847">
        <v>30</v>
      </c>
    </row>
    <row r="1848" spans="1:15" hidden="1" x14ac:dyDescent="0.25">
      <c r="A1848" t="s">
        <v>2820</v>
      </c>
      <c r="B1848" t="s">
        <v>1272</v>
      </c>
      <c r="C1848" t="s">
        <v>1273</v>
      </c>
      <c r="D1848" t="s">
        <v>1259</v>
      </c>
      <c r="E1848" t="s">
        <v>3643</v>
      </c>
      <c r="F1848" s="3">
        <v>523845</v>
      </c>
      <c r="G1848" s="2">
        <f t="shared" si="56"/>
        <v>30</v>
      </c>
      <c r="H1848" s="2">
        <f t="shared" ca="1" si="57"/>
        <v>84</v>
      </c>
      <c r="I1848" s="4">
        <v>46036</v>
      </c>
      <c r="J1848" s="4">
        <v>46066</v>
      </c>
      <c r="K1848" t="s">
        <v>1260</v>
      </c>
      <c r="L1848" t="s">
        <v>981</v>
      </c>
      <c r="M1848" t="s">
        <v>19</v>
      </c>
      <c r="N1848" t="s">
        <v>1274</v>
      </c>
      <c r="O1848">
        <v>30</v>
      </c>
    </row>
    <row r="1849" spans="1:15" hidden="1" x14ac:dyDescent="0.25">
      <c r="A1849" t="s">
        <v>2820</v>
      </c>
      <c r="B1849" t="s">
        <v>1268</v>
      </c>
      <c r="C1849" t="s">
        <v>1269</v>
      </c>
      <c r="D1849" t="s">
        <v>1259</v>
      </c>
      <c r="E1849" t="s">
        <v>3644</v>
      </c>
      <c r="F1849" s="3">
        <v>3318490</v>
      </c>
      <c r="G1849" s="2">
        <f t="shared" si="56"/>
        <v>30</v>
      </c>
      <c r="H1849" s="2">
        <f t="shared" ca="1" si="57"/>
        <v>84</v>
      </c>
      <c r="I1849" s="4">
        <v>46036</v>
      </c>
      <c r="J1849" s="4">
        <v>46066</v>
      </c>
      <c r="K1849" t="s">
        <v>1260</v>
      </c>
      <c r="L1849" t="s">
        <v>981</v>
      </c>
      <c r="M1849" t="s">
        <v>19</v>
      </c>
      <c r="N1849" t="s">
        <v>1270</v>
      </c>
      <c r="O1849">
        <v>30</v>
      </c>
    </row>
    <row r="1850" spans="1:15" hidden="1" x14ac:dyDescent="0.25">
      <c r="A1850" t="s">
        <v>2820</v>
      </c>
      <c r="B1850" t="s">
        <v>1279</v>
      </c>
      <c r="C1850" t="s">
        <v>1280</v>
      </c>
      <c r="D1850" t="s">
        <v>1259</v>
      </c>
      <c r="E1850" t="s">
        <v>3645</v>
      </c>
      <c r="F1850" s="3">
        <v>316427</v>
      </c>
      <c r="G1850" s="2">
        <f t="shared" si="56"/>
        <v>30</v>
      </c>
      <c r="H1850" s="2">
        <f t="shared" ca="1" si="57"/>
        <v>84</v>
      </c>
      <c r="I1850" s="4">
        <v>46036</v>
      </c>
      <c r="J1850" s="4">
        <v>46066</v>
      </c>
      <c r="K1850" t="s">
        <v>1260</v>
      </c>
      <c r="L1850" t="s">
        <v>981</v>
      </c>
      <c r="M1850" t="s">
        <v>19</v>
      </c>
      <c r="N1850" t="s">
        <v>1281</v>
      </c>
      <c r="O1850">
        <v>30</v>
      </c>
    </row>
    <row r="1851" spans="1:15" hidden="1" x14ac:dyDescent="0.25">
      <c r="A1851" t="s">
        <v>2820</v>
      </c>
      <c r="B1851" t="s">
        <v>1279</v>
      </c>
      <c r="C1851" t="s">
        <v>1280</v>
      </c>
      <c r="D1851" t="s">
        <v>1259</v>
      </c>
      <c r="E1851" t="s">
        <v>3646</v>
      </c>
      <c r="F1851" s="3">
        <v>738192</v>
      </c>
      <c r="G1851" s="2">
        <f t="shared" si="56"/>
        <v>30</v>
      </c>
      <c r="H1851" s="2">
        <f t="shared" ca="1" si="57"/>
        <v>84</v>
      </c>
      <c r="I1851" s="4">
        <v>46036</v>
      </c>
      <c r="J1851" s="4">
        <v>46066</v>
      </c>
      <c r="K1851" t="s">
        <v>1260</v>
      </c>
      <c r="L1851" t="s">
        <v>981</v>
      </c>
      <c r="M1851" t="s">
        <v>19</v>
      </c>
      <c r="N1851" t="s">
        <v>1281</v>
      </c>
      <c r="O1851">
        <v>30</v>
      </c>
    </row>
    <row r="1852" spans="1:15" hidden="1" x14ac:dyDescent="0.25">
      <c r="A1852" t="s">
        <v>2820</v>
      </c>
      <c r="B1852" t="s">
        <v>3647</v>
      </c>
      <c r="C1852" t="s">
        <v>3648</v>
      </c>
      <c r="D1852" t="s">
        <v>1271</v>
      </c>
      <c r="E1852" t="s">
        <v>3649</v>
      </c>
      <c r="F1852" s="3">
        <v>1786332</v>
      </c>
      <c r="G1852" s="2">
        <f t="shared" si="56"/>
        <v>30</v>
      </c>
      <c r="H1852" s="2">
        <f t="shared" ca="1" si="57"/>
        <v>84</v>
      </c>
      <c r="I1852" s="4">
        <v>46036</v>
      </c>
      <c r="J1852" s="4">
        <v>46066</v>
      </c>
      <c r="K1852" t="s">
        <v>1260</v>
      </c>
      <c r="L1852" t="s">
        <v>981</v>
      </c>
      <c r="M1852" t="s">
        <v>19</v>
      </c>
      <c r="N1852" t="s">
        <v>3650</v>
      </c>
      <c r="O1852">
        <v>30</v>
      </c>
    </row>
    <row r="1853" spans="1:15" hidden="1" x14ac:dyDescent="0.25">
      <c r="A1853" t="s">
        <v>2820</v>
      </c>
      <c r="B1853" t="s">
        <v>1348</v>
      </c>
      <c r="C1853" t="s">
        <v>1349</v>
      </c>
      <c r="D1853" t="s">
        <v>382</v>
      </c>
      <c r="E1853" t="s">
        <v>3661</v>
      </c>
      <c r="F1853" s="3">
        <v>1768259</v>
      </c>
      <c r="G1853" s="2">
        <f t="shared" si="56"/>
        <v>30</v>
      </c>
      <c r="H1853" s="2">
        <f t="shared" ca="1" si="57"/>
        <v>84</v>
      </c>
      <c r="I1853" s="4">
        <v>46036</v>
      </c>
      <c r="J1853" s="4">
        <v>46066</v>
      </c>
      <c r="K1853" t="s">
        <v>1300</v>
      </c>
      <c r="L1853" t="s">
        <v>90</v>
      </c>
      <c r="M1853" t="s">
        <v>19</v>
      </c>
      <c r="N1853" t="s">
        <v>1350</v>
      </c>
      <c r="O1853">
        <v>30</v>
      </c>
    </row>
    <row r="1854" spans="1:15" hidden="1" x14ac:dyDescent="0.25">
      <c r="A1854" t="s">
        <v>2820</v>
      </c>
      <c r="B1854" t="s">
        <v>3665</v>
      </c>
      <c r="C1854" t="s">
        <v>3666</v>
      </c>
      <c r="D1854" t="s">
        <v>1323</v>
      </c>
      <c r="E1854" t="s">
        <v>3667</v>
      </c>
      <c r="F1854" s="3">
        <v>16720502</v>
      </c>
      <c r="G1854" s="2">
        <f t="shared" si="56"/>
        <v>30</v>
      </c>
      <c r="H1854" s="2">
        <f t="shared" ca="1" si="57"/>
        <v>84</v>
      </c>
      <c r="I1854" s="4">
        <v>46036</v>
      </c>
      <c r="J1854" s="4">
        <v>46066</v>
      </c>
      <c r="K1854" t="s">
        <v>1325</v>
      </c>
      <c r="L1854" t="s">
        <v>90</v>
      </c>
      <c r="M1854" t="s">
        <v>19</v>
      </c>
      <c r="N1854" t="s">
        <v>3668</v>
      </c>
      <c r="O1854">
        <v>30</v>
      </c>
    </row>
    <row r="1855" spans="1:15" hidden="1" x14ac:dyDescent="0.25">
      <c r="A1855" t="s">
        <v>2820</v>
      </c>
      <c r="B1855" t="s">
        <v>1342</v>
      </c>
      <c r="C1855" t="s">
        <v>1343</v>
      </c>
      <c r="D1855" t="s">
        <v>1323</v>
      </c>
      <c r="E1855" t="s">
        <v>3669</v>
      </c>
      <c r="F1855" s="3">
        <v>3677082</v>
      </c>
      <c r="G1855" s="2">
        <f t="shared" si="56"/>
        <v>30</v>
      </c>
      <c r="H1855" s="2">
        <f t="shared" ca="1" si="57"/>
        <v>84</v>
      </c>
      <c r="I1855" s="4">
        <v>46036</v>
      </c>
      <c r="J1855" s="4">
        <v>46066</v>
      </c>
      <c r="K1855" t="s">
        <v>1325</v>
      </c>
      <c r="L1855" t="s">
        <v>90</v>
      </c>
      <c r="M1855" t="s">
        <v>19</v>
      </c>
      <c r="N1855" t="s">
        <v>1344</v>
      </c>
      <c r="O1855">
        <v>30</v>
      </c>
    </row>
    <row r="1856" spans="1:15" hidden="1" x14ac:dyDescent="0.25">
      <c r="A1856" t="s">
        <v>2820</v>
      </c>
      <c r="B1856" t="s">
        <v>1345</v>
      </c>
      <c r="C1856" t="s">
        <v>1346</v>
      </c>
      <c r="D1856" t="s">
        <v>382</v>
      </c>
      <c r="E1856" t="s">
        <v>3670</v>
      </c>
      <c r="F1856" s="3">
        <v>7921887</v>
      </c>
      <c r="G1856" s="2">
        <f t="shared" si="56"/>
        <v>30</v>
      </c>
      <c r="H1856" s="2">
        <f t="shared" ca="1" si="57"/>
        <v>84</v>
      </c>
      <c r="I1856" s="4">
        <v>46036</v>
      </c>
      <c r="J1856" s="4">
        <v>46066</v>
      </c>
      <c r="K1856" t="s">
        <v>1325</v>
      </c>
      <c r="L1856" t="s">
        <v>90</v>
      </c>
      <c r="M1856" t="s">
        <v>19</v>
      </c>
      <c r="N1856" t="s">
        <v>1347</v>
      </c>
      <c r="O1856">
        <v>30</v>
      </c>
    </row>
    <row r="1857" spans="1:15" hidden="1" x14ac:dyDescent="0.25">
      <c r="A1857" t="s">
        <v>2820</v>
      </c>
      <c r="B1857" t="s">
        <v>2846</v>
      </c>
      <c r="C1857" t="s">
        <v>2847</v>
      </c>
      <c r="D1857" t="s">
        <v>382</v>
      </c>
      <c r="E1857" t="s">
        <v>3671</v>
      </c>
      <c r="F1857" s="3">
        <v>833076</v>
      </c>
      <c r="G1857" s="2">
        <f t="shared" si="56"/>
        <v>15</v>
      </c>
      <c r="H1857" s="2">
        <f t="shared" ca="1" si="57"/>
        <v>84</v>
      </c>
      <c r="I1857" s="4">
        <v>46036</v>
      </c>
      <c r="J1857" s="4">
        <v>46051</v>
      </c>
      <c r="K1857" t="s">
        <v>1325</v>
      </c>
      <c r="L1857" t="s">
        <v>90</v>
      </c>
      <c r="M1857" t="s">
        <v>2848</v>
      </c>
      <c r="N1857" t="s">
        <v>2849</v>
      </c>
      <c r="O1857">
        <v>15</v>
      </c>
    </row>
    <row r="1858" spans="1:15" hidden="1" x14ac:dyDescent="0.25">
      <c r="A1858" t="s">
        <v>2820</v>
      </c>
      <c r="B1858" t="s">
        <v>1364</v>
      </c>
      <c r="C1858" t="s">
        <v>1365</v>
      </c>
      <c r="D1858" t="s">
        <v>1323</v>
      </c>
      <c r="E1858" t="s">
        <v>3672</v>
      </c>
      <c r="F1858" s="3">
        <v>22809703</v>
      </c>
      <c r="G1858" s="2">
        <f t="shared" ref="G1858:G1921" si="58">+J1858-I1858</f>
        <v>30</v>
      </c>
      <c r="H1858" s="2">
        <f t="shared" ref="H1858:H1921" ca="1" si="59">+TODAY()-I1858</f>
        <v>84</v>
      </c>
      <c r="I1858" s="4">
        <v>46036</v>
      </c>
      <c r="J1858" s="4">
        <v>46066</v>
      </c>
      <c r="K1858" t="s">
        <v>1325</v>
      </c>
      <c r="L1858" t="s">
        <v>90</v>
      </c>
      <c r="M1858" t="s">
        <v>19</v>
      </c>
      <c r="N1858" t="s">
        <v>1366</v>
      </c>
      <c r="O1858">
        <v>30</v>
      </c>
    </row>
    <row r="1859" spans="1:15" hidden="1" x14ac:dyDescent="0.25">
      <c r="A1859" t="s">
        <v>2820</v>
      </c>
      <c r="B1859" t="s">
        <v>376</v>
      </c>
      <c r="C1859" t="s">
        <v>377</v>
      </c>
      <c r="D1859" t="s">
        <v>378</v>
      </c>
      <c r="E1859" t="s">
        <v>3714</v>
      </c>
      <c r="F1859" s="3">
        <v>3949995</v>
      </c>
      <c r="G1859" s="2">
        <f t="shared" si="58"/>
        <v>30</v>
      </c>
      <c r="H1859" s="2">
        <f t="shared" ca="1" si="59"/>
        <v>84</v>
      </c>
      <c r="I1859" s="4">
        <v>46036</v>
      </c>
      <c r="J1859" s="4">
        <v>46066</v>
      </c>
      <c r="K1859" t="s">
        <v>1403</v>
      </c>
      <c r="L1859" t="s">
        <v>90</v>
      </c>
      <c r="M1859" t="s">
        <v>19</v>
      </c>
      <c r="N1859" t="s">
        <v>379</v>
      </c>
      <c r="O1859">
        <v>30</v>
      </c>
    </row>
    <row r="1860" spans="1:15" hidden="1" x14ac:dyDescent="0.25">
      <c r="A1860" t="s">
        <v>2820</v>
      </c>
      <c r="B1860" t="s">
        <v>376</v>
      </c>
      <c r="C1860" t="s">
        <v>377</v>
      </c>
      <c r="D1860" t="s">
        <v>378</v>
      </c>
      <c r="E1860" t="s">
        <v>3715</v>
      </c>
      <c r="F1860" s="3">
        <v>268452</v>
      </c>
      <c r="G1860" s="2">
        <f t="shared" si="58"/>
        <v>30</v>
      </c>
      <c r="H1860" s="2">
        <f t="shared" ca="1" si="59"/>
        <v>84</v>
      </c>
      <c r="I1860" s="4">
        <v>46036</v>
      </c>
      <c r="J1860" s="4">
        <v>46066</v>
      </c>
      <c r="K1860" t="s">
        <v>1403</v>
      </c>
      <c r="L1860" t="s">
        <v>47</v>
      </c>
      <c r="M1860" t="s">
        <v>19</v>
      </c>
      <c r="N1860" t="s">
        <v>379</v>
      </c>
      <c r="O1860">
        <v>30</v>
      </c>
    </row>
    <row r="1861" spans="1:15" hidden="1" x14ac:dyDescent="0.25">
      <c r="A1861" t="s">
        <v>2820</v>
      </c>
      <c r="B1861" t="s">
        <v>376</v>
      </c>
      <c r="C1861" t="s">
        <v>377</v>
      </c>
      <c r="D1861" t="s">
        <v>378</v>
      </c>
      <c r="E1861" t="s">
        <v>3716</v>
      </c>
      <c r="F1861" s="3">
        <v>517401</v>
      </c>
      <c r="G1861" s="2">
        <f t="shared" si="58"/>
        <v>30</v>
      </c>
      <c r="H1861" s="2">
        <f t="shared" ca="1" si="59"/>
        <v>84</v>
      </c>
      <c r="I1861" s="4">
        <v>46036</v>
      </c>
      <c r="J1861" s="4">
        <v>46066</v>
      </c>
      <c r="K1861" t="s">
        <v>1403</v>
      </c>
      <c r="L1861" t="s">
        <v>117</v>
      </c>
      <c r="M1861" t="s">
        <v>19</v>
      </c>
      <c r="N1861" t="s">
        <v>379</v>
      </c>
      <c r="O1861">
        <v>30</v>
      </c>
    </row>
    <row r="1862" spans="1:15" hidden="1" x14ac:dyDescent="0.25">
      <c r="A1862" t="s">
        <v>2820</v>
      </c>
      <c r="B1862" t="s">
        <v>1948</v>
      </c>
      <c r="C1862" t="s">
        <v>1949</v>
      </c>
      <c r="D1862" t="s">
        <v>1401</v>
      </c>
      <c r="E1862" t="s">
        <v>3717</v>
      </c>
      <c r="F1862" s="3">
        <v>1898064</v>
      </c>
      <c r="G1862" s="2">
        <f t="shared" si="58"/>
        <v>30</v>
      </c>
      <c r="H1862" s="2">
        <f t="shared" ca="1" si="59"/>
        <v>84</v>
      </c>
      <c r="I1862" s="4">
        <v>46036</v>
      </c>
      <c r="J1862" s="4">
        <v>46066</v>
      </c>
      <c r="K1862" t="s">
        <v>1403</v>
      </c>
      <c r="L1862" t="s">
        <v>90</v>
      </c>
      <c r="M1862" t="s">
        <v>391</v>
      </c>
      <c r="N1862" t="s">
        <v>1950</v>
      </c>
      <c r="O1862">
        <v>30</v>
      </c>
    </row>
    <row r="1863" spans="1:15" hidden="1" x14ac:dyDescent="0.25">
      <c r="A1863" t="s">
        <v>2820</v>
      </c>
      <c r="B1863" t="s">
        <v>2313</v>
      </c>
      <c r="C1863" t="s">
        <v>2314</v>
      </c>
      <c r="D1863" t="s">
        <v>875</v>
      </c>
      <c r="E1863" t="s">
        <v>3720</v>
      </c>
      <c r="F1863" s="3">
        <v>4082400</v>
      </c>
      <c r="G1863" s="2">
        <f t="shared" si="58"/>
        <v>30</v>
      </c>
      <c r="H1863" s="2">
        <f t="shared" ca="1" si="59"/>
        <v>84</v>
      </c>
      <c r="I1863" s="4">
        <v>46036</v>
      </c>
      <c r="J1863" s="4">
        <v>46066</v>
      </c>
      <c r="K1863" t="s">
        <v>1403</v>
      </c>
      <c r="L1863" t="s">
        <v>109</v>
      </c>
      <c r="M1863" t="s">
        <v>19</v>
      </c>
      <c r="N1863" t="s">
        <v>2316</v>
      </c>
      <c r="O1863">
        <v>30</v>
      </c>
    </row>
    <row r="1864" spans="1:15" hidden="1" x14ac:dyDescent="0.25">
      <c r="A1864" t="s">
        <v>2820</v>
      </c>
      <c r="B1864" t="s">
        <v>1275</v>
      </c>
      <c r="C1864" t="s">
        <v>1276</v>
      </c>
      <c r="D1864" t="s">
        <v>1277</v>
      </c>
      <c r="E1864" t="s">
        <v>3722</v>
      </c>
      <c r="F1864" s="3">
        <v>630608</v>
      </c>
      <c r="G1864" s="2">
        <f t="shared" si="58"/>
        <v>30</v>
      </c>
      <c r="H1864" s="2">
        <f t="shared" ca="1" si="59"/>
        <v>84</v>
      </c>
      <c r="I1864" s="4">
        <v>46036</v>
      </c>
      <c r="J1864" s="4">
        <v>46066</v>
      </c>
      <c r="K1864" t="s">
        <v>1470</v>
      </c>
      <c r="L1864" t="s">
        <v>981</v>
      </c>
      <c r="M1864" t="s">
        <v>19</v>
      </c>
      <c r="N1864" t="s">
        <v>1278</v>
      </c>
      <c r="O1864">
        <v>30</v>
      </c>
    </row>
    <row r="1865" spans="1:15" hidden="1" x14ac:dyDescent="0.25">
      <c r="A1865" t="s">
        <v>2820</v>
      </c>
      <c r="B1865" t="s">
        <v>1661</v>
      </c>
      <c r="C1865" t="s">
        <v>1662</v>
      </c>
      <c r="D1865" t="s">
        <v>1587</v>
      </c>
      <c r="E1865" t="s">
        <v>3774</v>
      </c>
      <c r="F1865" s="3">
        <v>7858717</v>
      </c>
      <c r="G1865" s="2">
        <f t="shared" si="58"/>
        <v>1</v>
      </c>
      <c r="H1865" s="2">
        <f t="shared" ca="1" si="59"/>
        <v>84</v>
      </c>
      <c r="I1865" s="4">
        <v>46036</v>
      </c>
      <c r="J1865" s="4">
        <v>46037</v>
      </c>
      <c r="K1865" t="s">
        <v>1589</v>
      </c>
      <c r="L1865" t="s">
        <v>984</v>
      </c>
      <c r="M1865" t="s">
        <v>19</v>
      </c>
      <c r="N1865" t="s">
        <v>1663</v>
      </c>
      <c r="O1865">
        <v>1</v>
      </c>
    </row>
    <row r="1866" spans="1:15" hidden="1" x14ac:dyDescent="0.25">
      <c r="A1866" t="s">
        <v>2820</v>
      </c>
      <c r="B1866" t="s">
        <v>1661</v>
      </c>
      <c r="C1866" t="s">
        <v>1662</v>
      </c>
      <c r="D1866" t="s">
        <v>1587</v>
      </c>
      <c r="E1866" t="s">
        <v>3775</v>
      </c>
      <c r="F1866" s="3">
        <v>5730003</v>
      </c>
      <c r="G1866" s="2">
        <f t="shared" si="58"/>
        <v>1</v>
      </c>
      <c r="H1866" s="2">
        <f t="shared" ca="1" si="59"/>
        <v>84</v>
      </c>
      <c r="I1866" s="4">
        <v>46036</v>
      </c>
      <c r="J1866" s="4">
        <v>46037</v>
      </c>
      <c r="K1866" t="s">
        <v>1589</v>
      </c>
      <c r="L1866" t="s">
        <v>984</v>
      </c>
      <c r="M1866" t="s">
        <v>19</v>
      </c>
      <c r="N1866" t="s">
        <v>1663</v>
      </c>
      <c r="O1866">
        <v>1</v>
      </c>
    </row>
    <row r="1867" spans="1:15" hidden="1" x14ac:dyDescent="0.25">
      <c r="A1867" t="s">
        <v>2820</v>
      </c>
      <c r="B1867" t="s">
        <v>1673</v>
      </c>
      <c r="C1867" t="s">
        <v>1674</v>
      </c>
      <c r="D1867" t="s">
        <v>1587</v>
      </c>
      <c r="E1867" t="s">
        <v>3776</v>
      </c>
      <c r="F1867" s="3">
        <v>383400</v>
      </c>
      <c r="G1867" s="2">
        <f t="shared" si="58"/>
        <v>30</v>
      </c>
      <c r="H1867" s="2">
        <f t="shared" ca="1" si="59"/>
        <v>84</v>
      </c>
      <c r="I1867" s="4">
        <v>46036</v>
      </c>
      <c r="J1867" s="4">
        <v>46066</v>
      </c>
      <c r="K1867" t="s">
        <v>1589</v>
      </c>
      <c r="L1867" t="s">
        <v>984</v>
      </c>
      <c r="M1867" t="s">
        <v>19</v>
      </c>
      <c r="N1867" t="s">
        <v>1675</v>
      </c>
      <c r="O1867">
        <v>30</v>
      </c>
    </row>
    <row r="1868" spans="1:15" hidden="1" x14ac:dyDescent="0.25">
      <c r="A1868" t="s">
        <v>2820</v>
      </c>
      <c r="B1868" t="s">
        <v>1673</v>
      </c>
      <c r="C1868" t="s">
        <v>1674</v>
      </c>
      <c r="D1868" t="s">
        <v>1587</v>
      </c>
      <c r="E1868" t="s">
        <v>3777</v>
      </c>
      <c r="F1868" s="3">
        <v>923071</v>
      </c>
      <c r="G1868" s="2">
        <f t="shared" si="58"/>
        <v>30</v>
      </c>
      <c r="H1868" s="2">
        <f t="shared" ca="1" si="59"/>
        <v>84</v>
      </c>
      <c r="I1868" s="4">
        <v>46036</v>
      </c>
      <c r="J1868" s="4">
        <v>46066</v>
      </c>
      <c r="K1868" t="s">
        <v>1589</v>
      </c>
      <c r="L1868" t="s">
        <v>984</v>
      </c>
      <c r="M1868" t="s">
        <v>19</v>
      </c>
      <c r="N1868" t="s">
        <v>1675</v>
      </c>
      <c r="O1868">
        <v>30</v>
      </c>
    </row>
    <row r="1869" spans="1:15" hidden="1" x14ac:dyDescent="0.25">
      <c r="A1869" t="s">
        <v>2820</v>
      </c>
      <c r="B1869" t="s">
        <v>1679</v>
      </c>
      <c r="C1869" t="s">
        <v>1680</v>
      </c>
      <c r="D1869" t="s">
        <v>1593</v>
      </c>
      <c r="E1869" t="s">
        <v>3778</v>
      </c>
      <c r="F1869" s="3">
        <v>627341</v>
      </c>
      <c r="G1869" s="2">
        <f t="shared" si="58"/>
        <v>30</v>
      </c>
      <c r="H1869" s="2">
        <f t="shared" ca="1" si="59"/>
        <v>84</v>
      </c>
      <c r="I1869" s="4">
        <v>46036</v>
      </c>
      <c r="J1869" s="4">
        <v>46066</v>
      </c>
      <c r="K1869" t="s">
        <v>1589</v>
      </c>
      <c r="L1869" t="s">
        <v>984</v>
      </c>
      <c r="M1869" t="s">
        <v>19</v>
      </c>
      <c r="N1869" t="s">
        <v>1681</v>
      </c>
      <c r="O1869">
        <v>30</v>
      </c>
    </row>
    <row r="1870" spans="1:15" hidden="1" x14ac:dyDescent="0.25">
      <c r="A1870" t="s">
        <v>2820</v>
      </c>
      <c r="B1870" t="s">
        <v>1598</v>
      </c>
      <c r="C1870" t="s">
        <v>1599</v>
      </c>
      <c r="D1870" t="s">
        <v>1593</v>
      </c>
      <c r="E1870" t="s">
        <v>3779</v>
      </c>
      <c r="F1870" s="3">
        <v>600400</v>
      </c>
      <c r="G1870" s="2">
        <f t="shared" si="58"/>
        <v>30</v>
      </c>
      <c r="H1870" s="2">
        <f t="shared" ca="1" si="59"/>
        <v>84</v>
      </c>
      <c r="I1870" s="4">
        <v>46036</v>
      </c>
      <c r="J1870" s="4">
        <v>46066</v>
      </c>
      <c r="K1870" t="s">
        <v>1589</v>
      </c>
      <c r="L1870" t="s">
        <v>984</v>
      </c>
      <c r="M1870" t="s">
        <v>19</v>
      </c>
      <c r="N1870" t="s">
        <v>1600</v>
      </c>
      <c r="O1870">
        <v>30</v>
      </c>
    </row>
    <row r="1871" spans="1:15" hidden="1" x14ac:dyDescent="0.25">
      <c r="A1871" t="s">
        <v>2820</v>
      </c>
      <c r="B1871" t="s">
        <v>1598</v>
      </c>
      <c r="C1871" t="s">
        <v>1599</v>
      </c>
      <c r="D1871" t="s">
        <v>1593</v>
      </c>
      <c r="E1871" t="s">
        <v>3780</v>
      </c>
      <c r="F1871" s="3">
        <v>356095</v>
      </c>
      <c r="G1871" s="2">
        <f t="shared" si="58"/>
        <v>30</v>
      </c>
      <c r="H1871" s="2">
        <f t="shared" ca="1" si="59"/>
        <v>84</v>
      </c>
      <c r="I1871" s="4">
        <v>46036</v>
      </c>
      <c r="J1871" s="4">
        <v>46066</v>
      </c>
      <c r="K1871" t="s">
        <v>1589</v>
      </c>
      <c r="L1871" t="s">
        <v>984</v>
      </c>
      <c r="M1871" t="s">
        <v>19</v>
      </c>
      <c r="N1871" t="s">
        <v>1600</v>
      </c>
      <c r="O1871">
        <v>30</v>
      </c>
    </row>
    <row r="1872" spans="1:15" hidden="1" x14ac:dyDescent="0.25">
      <c r="A1872" t="s">
        <v>2820</v>
      </c>
      <c r="B1872" t="s">
        <v>1601</v>
      </c>
      <c r="C1872" t="s">
        <v>1602</v>
      </c>
      <c r="D1872" t="s">
        <v>1593</v>
      </c>
      <c r="E1872" t="s">
        <v>3781</v>
      </c>
      <c r="F1872" s="3">
        <v>2619903</v>
      </c>
      <c r="G1872" s="2">
        <f t="shared" si="58"/>
        <v>30</v>
      </c>
      <c r="H1872" s="2">
        <f t="shared" ca="1" si="59"/>
        <v>84</v>
      </c>
      <c r="I1872" s="4">
        <v>46036</v>
      </c>
      <c r="J1872" s="4">
        <v>46066</v>
      </c>
      <c r="K1872" t="s">
        <v>1589</v>
      </c>
      <c r="L1872" t="s">
        <v>984</v>
      </c>
      <c r="M1872" t="s">
        <v>19</v>
      </c>
      <c r="N1872" t="s">
        <v>1603</v>
      </c>
      <c r="O1872">
        <v>30</v>
      </c>
    </row>
    <row r="1873" spans="1:15" hidden="1" x14ac:dyDescent="0.25">
      <c r="A1873" t="s">
        <v>2820</v>
      </c>
      <c r="B1873" t="s">
        <v>1622</v>
      </c>
      <c r="C1873" t="s">
        <v>1623</v>
      </c>
      <c r="D1873" t="s">
        <v>1587</v>
      </c>
      <c r="E1873" t="s">
        <v>3782</v>
      </c>
      <c r="F1873" s="3">
        <v>508800</v>
      </c>
      <c r="G1873" s="2">
        <f t="shared" si="58"/>
        <v>30</v>
      </c>
      <c r="H1873" s="2">
        <f t="shared" ca="1" si="59"/>
        <v>84</v>
      </c>
      <c r="I1873" s="4">
        <v>46036</v>
      </c>
      <c r="J1873" s="4">
        <v>46066</v>
      </c>
      <c r="K1873" t="s">
        <v>1589</v>
      </c>
      <c r="L1873" t="s">
        <v>984</v>
      </c>
      <c r="M1873" t="s">
        <v>19</v>
      </c>
      <c r="N1873" t="s">
        <v>1624</v>
      </c>
      <c r="O1873">
        <v>1</v>
      </c>
    </row>
    <row r="1874" spans="1:15" hidden="1" x14ac:dyDescent="0.25">
      <c r="A1874" t="s">
        <v>2820</v>
      </c>
      <c r="B1874" t="s">
        <v>1622</v>
      </c>
      <c r="C1874" t="s">
        <v>1623</v>
      </c>
      <c r="D1874" t="s">
        <v>1587</v>
      </c>
      <c r="E1874" t="s">
        <v>3783</v>
      </c>
      <c r="F1874" s="3">
        <v>491638</v>
      </c>
      <c r="G1874" s="2">
        <f t="shared" si="58"/>
        <v>30</v>
      </c>
      <c r="H1874" s="2">
        <f t="shared" ca="1" si="59"/>
        <v>84</v>
      </c>
      <c r="I1874" s="4">
        <v>46036</v>
      </c>
      <c r="J1874" s="4">
        <v>46066</v>
      </c>
      <c r="K1874" t="s">
        <v>1589</v>
      </c>
      <c r="L1874" t="s">
        <v>984</v>
      </c>
      <c r="M1874" t="s">
        <v>19</v>
      </c>
      <c r="N1874" t="s">
        <v>1624</v>
      </c>
      <c r="O1874">
        <v>1</v>
      </c>
    </row>
    <row r="1875" spans="1:15" hidden="1" x14ac:dyDescent="0.25">
      <c r="A1875" t="s">
        <v>2820</v>
      </c>
      <c r="B1875" t="s">
        <v>1646</v>
      </c>
      <c r="C1875" t="s">
        <v>1647</v>
      </c>
      <c r="D1875" t="s">
        <v>1593</v>
      </c>
      <c r="E1875" t="s">
        <v>3784</v>
      </c>
      <c r="F1875" s="3">
        <v>339264</v>
      </c>
      <c r="G1875" s="2">
        <f t="shared" si="58"/>
        <v>30</v>
      </c>
      <c r="H1875" s="2">
        <f t="shared" ca="1" si="59"/>
        <v>84</v>
      </c>
      <c r="I1875" s="4">
        <v>46036</v>
      </c>
      <c r="J1875" s="4">
        <v>46066</v>
      </c>
      <c r="K1875" t="s">
        <v>1589</v>
      </c>
      <c r="L1875" t="s">
        <v>984</v>
      </c>
      <c r="M1875" t="s">
        <v>19</v>
      </c>
      <c r="N1875" t="s">
        <v>1648</v>
      </c>
      <c r="O1875">
        <v>30</v>
      </c>
    </row>
    <row r="1876" spans="1:15" hidden="1" x14ac:dyDescent="0.25">
      <c r="A1876" t="s">
        <v>2820</v>
      </c>
      <c r="B1876" t="s">
        <v>1646</v>
      </c>
      <c r="C1876" t="s">
        <v>1647</v>
      </c>
      <c r="D1876" t="s">
        <v>1593</v>
      </c>
      <c r="E1876" t="s">
        <v>3785</v>
      </c>
      <c r="F1876" s="3">
        <v>666133</v>
      </c>
      <c r="G1876" s="2">
        <f t="shared" si="58"/>
        <v>30</v>
      </c>
      <c r="H1876" s="2">
        <f t="shared" ca="1" si="59"/>
        <v>84</v>
      </c>
      <c r="I1876" s="4">
        <v>46036</v>
      </c>
      <c r="J1876" s="4">
        <v>46066</v>
      </c>
      <c r="K1876" t="s">
        <v>1589</v>
      </c>
      <c r="L1876" t="s">
        <v>984</v>
      </c>
      <c r="M1876" t="s">
        <v>19</v>
      </c>
      <c r="N1876" t="s">
        <v>1648</v>
      </c>
      <c r="O1876">
        <v>30</v>
      </c>
    </row>
    <row r="1877" spans="1:15" hidden="1" x14ac:dyDescent="0.25">
      <c r="A1877" t="s">
        <v>2820</v>
      </c>
      <c r="B1877" t="s">
        <v>3173</v>
      </c>
      <c r="C1877" t="s">
        <v>3174</v>
      </c>
      <c r="D1877" t="s">
        <v>1593</v>
      </c>
      <c r="E1877" t="s">
        <v>3786</v>
      </c>
      <c r="F1877" s="3">
        <v>805980</v>
      </c>
      <c r="G1877" s="2">
        <f t="shared" si="58"/>
        <v>30</v>
      </c>
      <c r="H1877" s="2">
        <f t="shared" ca="1" si="59"/>
        <v>84</v>
      </c>
      <c r="I1877" s="4">
        <v>46036</v>
      </c>
      <c r="J1877" s="4">
        <v>46066</v>
      </c>
      <c r="K1877" t="s">
        <v>1589</v>
      </c>
      <c r="L1877" t="s">
        <v>984</v>
      </c>
      <c r="M1877" t="s">
        <v>19</v>
      </c>
      <c r="N1877" t="s">
        <v>3175</v>
      </c>
      <c r="O1877">
        <v>30</v>
      </c>
    </row>
    <row r="1878" spans="1:15" hidden="1" x14ac:dyDescent="0.25">
      <c r="A1878" t="s">
        <v>2820</v>
      </c>
      <c r="B1878" t="s">
        <v>1667</v>
      </c>
      <c r="C1878" t="s">
        <v>1668</v>
      </c>
      <c r="D1878" t="s">
        <v>1587</v>
      </c>
      <c r="E1878" t="s">
        <v>3787</v>
      </c>
      <c r="F1878" s="3">
        <v>586000</v>
      </c>
      <c r="G1878" s="2">
        <f t="shared" si="58"/>
        <v>30</v>
      </c>
      <c r="H1878" s="2">
        <f t="shared" ca="1" si="59"/>
        <v>84</v>
      </c>
      <c r="I1878" s="4">
        <v>46036</v>
      </c>
      <c r="J1878" s="4">
        <v>46066</v>
      </c>
      <c r="K1878" t="s">
        <v>1589</v>
      </c>
      <c r="L1878" t="s">
        <v>984</v>
      </c>
      <c r="M1878" t="s">
        <v>19</v>
      </c>
      <c r="N1878" t="s">
        <v>1669</v>
      </c>
      <c r="O1878">
        <v>30</v>
      </c>
    </row>
    <row r="1879" spans="1:15" hidden="1" x14ac:dyDescent="0.25">
      <c r="A1879" t="s">
        <v>2820</v>
      </c>
      <c r="B1879" t="s">
        <v>1667</v>
      </c>
      <c r="C1879" t="s">
        <v>1668</v>
      </c>
      <c r="D1879" t="s">
        <v>1587</v>
      </c>
      <c r="E1879" t="s">
        <v>3788</v>
      </c>
      <c r="F1879" s="3">
        <v>1229628</v>
      </c>
      <c r="G1879" s="2">
        <f t="shared" si="58"/>
        <v>30</v>
      </c>
      <c r="H1879" s="2">
        <f t="shared" ca="1" si="59"/>
        <v>84</v>
      </c>
      <c r="I1879" s="4">
        <v>46036</v>
      </c>
      <c r="J1879" s="4">
        <v>46066</v>
      </c>
      <c r="K1879" t="s">
        <v>1589</v>
      </c>
      <c r="L1879" t="s">
        <v>984</v>
      </c>
      <c r="M1879" t="s">
        <v>19</v>
      </c>
      <c r="N1879" t="s">
        <v>1669</v>
      </c>
      <c r="O1879">
        <v>30</v>
      </c>
    </row>
    <row r="1880" spans="1:15" hidden="1" x14ac:dyDescent="0.25">
      <c r="A1880" t="s">
        <v>2820</v>
      </c>
      <c r="B1880" t="s">
        <v>1664</v>
      </c>
      <c r="C1880" t="s">
        <v>1665</v>
      </c>
      <c r="D1880" t="s">
        <v>1593</v>
      </c>
      <c r="E1880" t="s">
        <v>3789</v>
      </c>
      <c r="F1880" s="3">
        <v>553000</v>
      </c>
      <c r="G1880" s="2">
        <f t="shared" si="58"/>
        <v>30</v>
      </c>
      <c r="H1880" s="2">
        <f t="shared" ca="1" si="59"/>
        <v>84</v>
      </c>
      <c r="I1880" s="4">
        <v>46036</v>
      </c>
      <c r="J1880" s="4">
        <v>46066</v>
      </c>
      <c r="K1880" t="s">
        <v>1589</v>
      </c>
      <c r="L1880" t="s">
        <v>984</v>
      </c>
      <c r="M1880" t="s">
        <v>19</v>
      </c>
      <c r="N1880" t="s">
        <v>1666</v>
      </c>
      <c r="O1880">
        <v>30</v>
      </c>
    </row>
    <row r="1881" spans="1:15" hidden="1" x14ac:dyDescent="0.25">
      <c r="A1881" t="s">
        <v>2820</v>
      </c>
      <c r="B1881" t="s">
        <v>1664</v>
      </c>
      <c r="C1881" t="s">
        <v>1665</v>
      </c>
      <c r="D1881" t="s">
        <v>1593</v>
      </c>
      <c r="E1881" t="s">
        <v>3790</v>
      </c>
      <c r="F1881" s="3">
        <v>1069756</v>
      </c>
      <c r="G1881" s="2">
        <f t="shared" si="58"/>
        <v>30</v>
      </c>
      <c r="H1881" s="2">
        <f t="shared" ca="1" si="59"/>
        <v>84</v>
      </c>
      <c r="I1881" s="4">
        <v>46036</v>
      </c>
      <c r="J1881" s="4">
        <v>46066</v>
      </c>
      <c r="K1881" t="s">
        <v>1589</v>
      </c>
      <c r="L1881" t="s">
        <v>984</v>
      </c>
      <c r="M1881" t="s">
        <v>19</v>
      </c>
      <c r="N1881" t="s">
        <v>1666</v>
      </c>
      <c r="O1881">
        <v>30</v>
      </c>
    </row>
    <row r="1882" spans="1:15" hidden="1" x14ac:dyDescent="0.25">
      <c r="A1882" t="s">
        <v>2820</v>
      </c>
      <c r="B1882" t="s">
        <v>1628</v>
      </c>
      <c r="C1882" t="s">
        <v>1629</v>
      </c>
      <c r="D1882" t="s">
        <v>1593</v>
      </c>
      <c r="E1882" t="s">
        <v>3791</v>
      </c>
      <c r="F1882" s="3">
        <v>406300</v>
      </c>
      <c r="G1882" s="2">
        <f t="shared" si="58"/>
        <v>30</v>
      </c>
      <c r="H1882" s="2">
        <f t="shared" ca="1" si="59"/>
        <v>84</v>
      </c>
      <c r="I1882" s="4">
        <v>46036</v>
      </c>
      <c r="J1882" s="4">
        <v>46066</v>
      </c>
      <c r="K1882" t="s">
        <v>1589</v>
      </c>
      <c r="L1882" t="s">
        <v>984</v>
      </c>
      <c r="M1882" t="s">
        <v>19</v>
      </c>
      <c r="N1882" t="s">
        <v>1630</v>
      </c>
      <c r="O1882">
        <v>30</v>
      </c>
    </row>
    <row r="1883" spans="1:15" hidden="1" x14ac:dyDescent="0.25">
      <c r="A1883" t="s">
        <v>2820</v>
      </c>
      <c r="B1883" t="s">
        <v>2153</v>
      </c>
      <c r="C1883" t="s">
        <v>2154</v>
      </c>
      <c r="D1883" t="s">
        <v>1593</v>
      </c>
      <c r="E1883" t="s">
        <v>3792</v>
      </c>
      <c r="F1883" s="3">
        <v>300200</v>
      </c>
      <c r="G1883" s="2">
        <f t="shared" si="58"/>
        <v>15</v>
      </c>
      <c r="H1883" s="2">
        <f t="shared" ca="1" si="59"/>
        <v>84</v>
      </c>
      <c r="I1883" s="4">
        <v>46036</v>
      </c>
      <c r="J1883" s="4">
        <v>46051</v>
      </c>
      <c r="K1883" t="s">
        <v>1589</v>
      </c>
      <c r="L1883" t="s">
        <v>984</v>
      </c>
      <c r="M1883" t="s">
        <v>19</v>
      </c>
      <c r="N1883" t="s">
        <v>2155</v>
      </c>
      <c r="O1883">
        <v>1</v>
      </c>
    </row>
    <row r="1884" spans="1:15" hidden="1" x14ac:dyDescent="0.25">
      <c r="A1884" t="s">
        <v>2820</v>
      </c>
      <c r="B1884" t="s">
        <v>1849</v>
      </c>
      <c r="C1884" t="s">
        <v>1850</v>
      </c>
      <c r="D1884" t="s">
        <v>1266</v>
      </c>
      <c r="E1884" t="s">
        <v>3845</v>
      </c>
      <c r="F1884" s="3">
        <v>7709713</v>
      </c>
      <c r="G1884" s="2">
        <f t="shared" si="58"/>
        <v>30</v>
      </c>
      <c r="H1884" s="2">
        <f t="shared" ca="1" si="59"/>
        <v>84</v>
      </c>
      <c r="I1884" s="4">
        <v>46036</v>
      </c>
      <c r="J1884" s="4">
        <v>46066</v>
      </c>
      <c r="K1884" t="s">
        <v>1854</v>
      </c>
      <c r="L1884" t="s">
        <v>981</v>
      </c>
      <c r="M1884" t="s">
        <v>19</v>
      </c>
      <c r="N1884" t="s">
        <v>1851</v>
      </c>
      <c r="O1884">
        <v>30</v>
      </c>
    </row>
    <row r="1885" spans="1:15" hidden="1" x14ac:dyDescent="0.25">
      <c r="A1885" t="s">
        <v>2820</v>
      </c>
      <c r="B1885" t="s">
        <v>1852</v>
      </c>
      <c r="C1885" t="s">
        <v>1853</v>
      </c>
      <c r="D1885" t="s">
        <v>1266</v>
      </c>
      <c r="E1885" t="s">
        <v>3846</v>
      </c>
      <c r="F1885" s="3">
        <v>2746141</v>
      </c>
      <c r="G1885" s="2">
        <f t="shared" si="58"/>
        <v>30</v>
      </c>
      <c r="H1885" s="2">
        <f t="shared" ca="1" si="59"/>
        <v>84</v>
      </c>
      <c r="I1885" s="4">
        <v>46036</v>
      </c>
      <c r="J1885" s="4">
        <v>46066</v>
      </c>
      <c r="K1885" t="s">
        <v>1854</v>
      </c>
      <c r="L1885" t="s">
        <v>981</v>
      </c>
      <c r="M1885" t="s">
        <v>19</v>
      </c>
      <c r="N1885" t="s">
        <v>1855</v>
      </c>
      <c r="O1885">
        <v>30</v>
      </c>
    </row>
    <row r="1886" spans="1:15" hidden="1" x14ac:dyDescent="0.25">
      <c r="A1886" t="s">
        <v>2820</v>
      </c>
      <c r="B1886" t="s">
        <v>1849</v>
      </c>
      <c r="C1886" t="s">
        <v>1850</v>
      </c>
      <c r="D1886" t="s">
        <v>1266</v>
      </c>
      <c r="E1886" t="s">
        <v>3847</v>
      </c>
      <c r="F1886" s="3">
        <v>923987</v>
      </c>
      <c r="G1886" s="2">
        <f t="shared" si="58"/>
        <v>30</v>
      </c>
      <c r="H1886" s="2">
        <f t="shared" ca="1" si="59"/>
        <v>84</v>
      </c>
      <c r="I1886" s="4">
        <v>46036</v>
      </c>
      <c r="J1886" s="4">
        <v>46066</v>
      </c>
      <c r="K1886" t="s">
        <v>1854</v>
      </c>
      <c r="L1886" t="s">
        <v>981</v>
      </c>
      <c r="M1886" t="s">
        <v>19</v>
      </c>
      <c r="N1886" t="s">
        <v>1851</v>
      </c>
      <c r="O1886">
        <v>30</v>
      </c>
    </row>
    <row r="1887" spans="1:15" hidden="1" x14ac:dyDescent="0.25">
      <c r="A1887" t="s">
        <v>2820</v>
      </c>
      <c r="B1887" t="s">
        <v>2031</v>
      </c>
      <c r="C1887" t="s">
        <v>2032</v>
      </c>
      <c r="D1887" t="s">
        <v>1266</v>
      </c>
      <c r="E1887" t="s">
        <v>3848</v>
      </c>
      <c r="F1887" s="3">
        <v>3686494</v>
      </c>
      <c r="G1887" s="2">
        <f t="shared" si="58"/>
        <v>30</v>
      </c>
      <c r="H1887" s="2">
        <f t="shared" ca="1" si="59"/>
        <v>84</v>
      </c>
      <c r="I1887" s="4">
        <v>46036</v>
      </c>
      <c r="J1887" s="4">
        <v>46066</v>
      </c>
      <c r="K1887" t="s">
        <v>1854</v>
      </c>
      <c r="L1887" t="s">
        <v>981</v>
      </c>
      <c r="M1887" t="s">
        <v>19</v>
      </c>
      <c r="N1887" t="s">
        <v>2033</v>
      </c>
      <c r="O1887">
        <v>1</v>
      </c>
    </row>
    <row r="1888" spans="1:15" hidden="1" x14ac:dyDescent="0.25">
      <c r="A1888" t="s">
        <v>2820</v>
      </c>
      <c r="B1888" t="s">
        <v>1928</v>
      </c>
      <c r="C1888" t="s">
        <v>1929</v>
      </c>
      <c r="D1888" t="s">
        <v>1930</v>
      </c>
      <c r="E1888" t="s">
        <v>3849</v>
      </c>
      <c r="F1888" s="3">
        <v>2977913</v>
      </c>
      <c r="G1888" s="2">
        <f t="shared" si="58"/>
        <v>30</v>
      </c>
      <c r="H1888" s="2">
        <f t="shared" ca="1" si="59"/>
        <v>84</v>
      </c>
      <c r="I1888" s="4">
        <v>46036</v>
      </c>
      <c r="J1888" s="4">
        <v>46066</v>
      </c>
      <c r="K1888" t="s">
        <v>1854</v>
      </c>
      <c r="L1888" t="s">
        <v>981</v>
      </c>
      <c r="M1888" t="s">
        <v>19</v>
      </c>
      <c r="N1888" t="s">
        <v>1931</v>
      </c>
      <c r="O1888">
        <v>30</v>
      </c>
    </row>
    <row r="1889" spans="1:15" hidden="1" x14ac:dyDescent="0.25">
      <c r="A1889" t="s">
        <v>2820</v>
      </c>
      <c r="B1889" t="s">
        <v>1928</v>
      </c>
      <c r="C1889" t="s">
        <v>1929</v>
      </c>
      <c r="D1889" t="s">
        <v>1930</v>
      </c>
      <c r="E1889" t="s">
        <v>3850</v>
      </c>
      <c r="F1889" s="3">
        <v>373630</v>
      </c>
      <c r="G1889" s="2">
        <f t="shared" si="58"/>
        <v>30</v>
      </c>
      <c r="H1889" s="2">
        <f t="shared" ca="1" si="59"/>
        <v>84</v>
      </c>
      <c r="I1889" s="4">
        <v>46036</v>
      </c>
      <c r="J1889" s="4">
        <v>46066</v>
      </c>
      <c r="K1889" t="s">
        <v>1854</v>
      </c>
      <c r="L1889" t="s">
        <v>981</v>
      </c>
      <c r="M1889" t="s">
        <v>19</v>
      </c>
      <c r="N1889" t="s">
        <v>1931</v>
      </c>
      <c r="O1889">
        <v>30</v>
      </c>
    </row>
    <row r="1890" spans="1:15" hidden="1" x14ac:dyDescent="0.25">
      <c r="A1890" t="s">
        <v>2820</v>
      </c>
      <c r="B1890" t="s">
        <v>1852</v>
      </c>
      <c r="C1890" t="s">
        <v>1853</v>
      </c>
      <c r="D1890" t="s">
        <v>1266</v>
      </c>
      <c r="E1890" t="s">
        <v>3851</v>
      </c>
      <c r="F1890" s="3">
        <v>390380</v>
      </c>
      <c r="G1890" s="2">
        <f t="shared" si="58"/>
        <v>30</v>
      </c>
      <c r="H1890" s="2">
        <f t="shared" ca="1" si="59"/>
        <v>84</v>
      </c>
      <c r="I1890" s="4">
        <v>46036</v>
      </c>
      <c r="J1890" s="4">
        <v>46066</v>
      </c>
      <c r="K1890" t="s">
        <v>1854</v>
      </c>
      <c r="L1890" t="s">
        <v>981</v>
      </c>
      <c r="M1890" t="s">
        <v>19</v>
      </c>
      <c r="N1890" t="s">
        <v>1855</v>
      </c>
      <c r="O1890">
        <v>30</v>
      </c>
    </row>
    <row r="1891" spans="1:15" hidden="1" x14ac:dyDescent="0.25">
      <c r="A1891" t="s">
        <v>2820</v>
      </c>
      <c r="B1891" t="s">
        <v>1852</v>
      </c>
      <c r="C1891" t="s">
        <v>1853</v>
      </c>
      <c r="D1891" t="s">
        <v>1266</v>
      </c>
      <c r="E1891" t="s">
        <v>3852</v>
      </c>
      <c r="F1891" s="3">
        <v>15336216</v>
      </c>
      <c r="G1891" s="2">
        <f t="shared" si="58"/>
        <v>30</v>
      </c>
      <c r="H1891" s="2">
        <f t="shared" ca="1" si="59"/>
        <v>84</v>
      </c>
      <c r="I1891" s="4">
        <v>46036</v>
      </c>
      <c r="J1891" s="4">
        <v>46066</v>
      </c>
      <c r="K1891" t="s">
        <v>1854</v>
      </c>
      <c r="L1891" t="s">
        <v>981</v>
      </c>
      <c r="M1891" t="s">
        <v>19</v>
      </c>
      <c r="N1891" t="s">
        <v>1855</v>
      </c>
      <c r="O1891">
        <v>30</v>
      </c>
    </row>
    <row r="1892" spans="1:15" hidden="1" x14ac:dyDescent="0.25">
      <c r="A1892" t="s">
        <v>2820</v>
      </c>
      <c r="B1892" t="s">
        <v>1975</v>
      </c>
      <c r="C1892" t="s">
        <v>1976</v>
      </c>
      <c r="D1892" t="s">
        <v>1977</v>
      </c>
      <c r="E1892" t="s">
        <v>3859</v>
      </c>
      <c r="F1892" s="3">
        <v>4560287</v>
      </c>
      <c r="G1892" s="2">
        <f t="shared" si="58"/>
        <v>30</v>
      </c>
      <c r="H1892" s="2">
        <f t="shared" ca="1" si="59"/>
        <v>84</v>
      </c>
      <c r="I1892" s="4">
        <v>46036</v>
      </c>
      <c r="J1892" s="4">
        <v>46066</v>
      </c>
      <c r="K1892" t="s">
        <v>2814</v>
      </c>
      <c r="L1892" t="s">
        <v>981</v>
      </c>
      <c r="M1892" t="s">
        <v>19</v>
      </c>
      <c r="N1892" t="s">
        <v>1978</v>
      </c>
      <c r="O1892">
        <v>30</v>
      </c>
    </row>
    <row r="1893" spans="1:15" hidden="1" x14ac:dyDescent="0.25">
      <c r="A1893" t="s">
        <v>2820</v>
      </c>
      <c r="B1893" t="s">
        <v>1975</v>
      </c>
      <c r="C1893" t="s">
        <v>1976</v>
      </c>
      <c r="D1893" t="s">
        <v>1977</v>
      </c>
      <c r="E1893" t="s">
        <v>3860</v>
      </c>
      <c r="F1893" s="3">
        <v>5904938</v>
      </c>
      <c r="G1893" s="2">
        <f t="shared" si="58"/>
        <v>30</v>
      </c>
      <c r="H1893" s="2">
        <f t="shared" ca="1" si="59"/>
        <v>84</v>
      </c>
      <c r="I1893" s="4">
        <v>46036</v>
      </c>
      <c r="J1893" s="4">
        <v>46066</v>
      </c>
      <c r="K1893" t="s">
        <v>2814</v>
      </c>
      <c r="L1893" t="s">
        <v>981</v>
      </c>
      <c r="M1893" t="s">
        <v>19</v>
      </c>
      <c r="N1893" t="s">
        <v>1978</v>
      </c>
      <c r="O1893">
        <v>30</v>
      </c>
    </row>
    <row r="1894" spans="1:15" hidden="1" x14ac:dyDescent="0.25">
      <c r="A1894" t="s">
        <v>2820</v>
      </c>
      <c r="B1894" t="s">
        <v>76</v>
      </c>
      <c r="C1894" t="s">
        <v>77</v>
      </c>
      <c r="D1894" t="s">
        <v>46</v>
      </c>
      <c r="E1894" t="s">
        <v>3315</v>
      </c>
      <c r="F1894" s="3">
        <v>1237444</v>
      </c>
      <c r="G1894" s="2">
        <f t="shared" si="58"/>
        <v>30</v>
      </c>
      <c r="H1894" s="2">
        <f t="shared" ca="1" si="59"/>
        <v>83</v>
      </c>
      <c r="I1894" s="4">
        <v>46037</v>
      </c>
      <c r="J1894" s="4">
        <v>46067</v>
      </c>
      <c r="K1894" t="s">
        <v>17</v>
      </c>
      <c r="L1894" t="s">
        <v>32</v>
      </c>
      <c r="M1894" t="s">
        <v>19</v>
      </c>
      <c r="N1894" t="s">
        <v>78</v>
      </c>
      <c r="O1894">
        <v>30</v>
      </c>
    </row>
    <row r="1895" spans="1:15" hidden="1" x14ac:dyDescent="0.25">
      <c r="A1895" t="s">
        <v>2820</v>
      </c>
      <c r="B1895" t="s">
        <v>67</v>
      </c>
      <c r="C1895" t="s">
        <v>68</v>
      </c>
      <c r="D1895" t="s">
        <v>15</v>
      </c>
      <c r="E1895" t="s">
        <v>3316</v>
      </c>
      <c r="F1895" s="3">
        <v>1209016</v>
      </c>
      <c r="G1895" s="2">
        <f t="shared" si="58"/>
        <v>30</v>
      </c>
      <c r="H1895" s="2">
        <f t="shared" ca="1" si="59"/>
        <v>83</v>
      </c>
      <c r="I1895" s="4">
        <v>46037</v>
      </c>
      <c r="J1895" s="4">
        <v>46067</v>
      </c>
      <c r="K1895" t="s">
        <v>17</v>
      </c>
      <c r="L1895" t="s">
        <v>32</v>
      </c>
      <c r="M1895" t="s">
        <v>19</v>
      </c>
      <c r="N1895" t="s">
        <v>69</v>
      </c>
      <c r="O1895">
        <v>30</v>
      </c>
    </row>
    <row r="1896" spans="1:15" hidden="1" x14ac:dyDescent="0.25">
      <c r="A1896" t="s">
        <v>2820</v>
      </c>
      <c r="B1896" t="s">
        <v>146</v>
      </c>
      <c r="C1896" t="s">
        <v>147</v>
      </c>
      <c r="D1896" t="s">
        <v>15</v>
      </c>
      <c r="E1896" t="s">
        <v>3317</v>
      </c>
      <c r="F1896" s="3">
        <v>504000</v>
      </c>
      <c r="G1896" s="2">
        <f t="shared" si="58"/>
        <v>10</v>
      </c>
      <c r="H1896" s="2">
        <f t="shared" ca="1" si="59"/>
        <v>83</v>
      </c>
      <c r="I1896" s="4">
        <v>46037</v>
      </c>
      <c r="J1896" s="4">
        <v>46047</v>
      </c>
      <c r="K1896" t="s">
        <v>17</v>
      </c>
      <c r="L1896" t="s">
        <v>32</v>
      </c>
      <c r="M1896" t="s">
        <v>19</v>
      </c>
      <c r="N1896" t="s">
        <v>148</v>
      </c>
      <c r="O1896">
        <v>30</v>
      </c>
    </row>
    <row r="1897" spans="1:15" hidden="1" x14ac:dyDescent="0.25">
      <c r="A1897" t="s">
        <v>2820</v>
      </c>
      <c r="B1897" t="s">
        <v>146</v>
      </c>
      <c r="C1897" t="s">
        <v>147</v>
      </c>
      <c r="D1897" t="s">
        <v>15</v>
      </c>
      <c r="E1897" t="s">
        <v>3318</v>
      </c>
      <c r="F1897" s="3">
        <v>275621</v>
      </c>
      <c r="G1897" s="2">
        <f t="shared" si="58"/>
        <v>30</v>
      </c>
      <c r="H1897" s="2">
        <f t="shared" ca="1" si="59"/>
        <v>83</v>
      </c>
      <c r="I1897" s="4">
        <v>46037</v>
      </c>
      <c r="J1897" s="4">
        <v>46067</v>
      </c>
      <c r="K1897" t="s">
        <v>17</v>
      </c>
      <c r="L1897" t="s">
        <v>32</v>
      </c>
      <c r="M1897" t="s">
        <v>19</v>
      </c>
      <c r="N1897" t="s">
        <v>148</v>
      </c>
      <c r="O1897">
        <v>30</v>
      </c>
    </row>
    <row r="1898" spans="1:15" hidden="1" x14ac:dyDescent="0.25">
      <c r="A1898" t="s">
        <v>2820</v>
      </c>
      <c r="B1898" t="s">
        <v>121</v>
      </c>
      <c r="C1898" t="s">
        <v>122</v>
      </c>
      <c r="D1898" t="s">
        <v>15</v>
      </c>
      <c r="E1898" t="s">
        <v>3319</v>
      </c>
      <c r="F1898" s="3">
        <v>2106480</v>
      </c>
      <c r="G1898" s="2">
        <f t="shared" si="58"/>
        <v>30</v>
      </c>
      <c r="H1898" s="2">
        <f t="shared" ca="1" si="59"/>
        <v>83</v>
      </c>
      <c r="I1898" s="4">
        <v>46037</v>
      </c>
      <c r="J1898" s="4">
        <v>46067</v>
      </c>
      <c r="K1898" t="s">
        <v>17</v>
      </c>
      <c r="L1898" t="s">
        <v>32</v>
      </c>
      <c r="M1898" t="s">
        <v>19</v>
      </c>
      <c r="N1898" t="s">
        <v>123</v>
      </c>
      <c r="O1898">
        <v>30</v>
      </c>
    </row>
    <row r="1899" spans="1:15" hidden="1" x14ac:dyDescent="0.25">
      <c r="A1899" t="s">
        <v>2820</v>
      </c>
      <c r="B1899" t="s">
        <v>85</v>
      </c>
      <c r="C1899" t="s">
        <v>86</v>
      </c>
      <c r="D1899" t="s">
        <v>46</v>
      </c>
      <c r="E1899" t="s">
        <v>3320</v>
      </c>
      <c r="F1899" s="3">
        <v>3931109</v>
      </c>
      <c r="G1899" s="2">
        <f t="shared" si="58"/>
        <v>30</v>
      </c>
      <c r="H1899" s="2">
        <f t="shared" ca="1" si="59"/>
        <v>83</v>
      </c>
      <c r="I1899" s="4">
        <v>46037</v>
      </c>
      <c r="J1899" s="4">
        <v>46067</v>
      </c>
      <c r="K1899" t="s">
        <v>17</v>
      </c>
      <c r="L1899" t="s">
        <v>32</v>
      </c>
      <c r="M1899" t="s">
        <v>19</v>
      </c>
      <c r="N1899" t="s">
        <v>87</v>
      </c>
      <c r="O1899">
        <v>30</v>
      </c>
    </row>
    <row r="1900" spans="1:15" hidden="1" x14ac:dyDescent="0.25">
      <c r="A1900" t="s">
        <v>2820</v>
      </c>
      <c r="B1900" t="s">
        <v>85</v>
      </c>
      <c r="C1900" t="s">
        <v>86</v>
      </c>
      <c r="D1900" t="s">
        <v>46</v>
      </c>
      <c r="E1900" t="s">
        <v>3321</v>
      </c>
      <c r="F1900" s="3">
        <v>630000</v>
      </c>
      <c r="G1900" s="2">
        <f t="shared" si="58"/>
        <v>10</v>
      </c>
      <c r="H1900" s="2">
        <f t="shared" ca="1" si="59"/>
        <v>83</v>
      </c>
      <c r="I1900" s="4">
        <v>46037</v>
      </c>
      <c r="J1900" s="4">
        <v>46047</v>
      </c>
      <c r="K1900" t="s">
        <v>17</v>
      </c>
      <c r="L1900" t="s">
        <v>32</v>
      </c>
      <c r="M1900" t="s">
        <v>19</v>
      </c>
      <c r="N1900" t="s">
        <v>87</v>
      </c>
      <c r="O1900">
        <v>30</v>
      </c>
    </row>
    <row r="1901" spans="1:15" hidden="1" x14ac:dyDescent="0.25">
      <c r="A1901" t="s">
        <v>2820</v>
      </c>
      <c r="B1901" t="s">
        <v>208</v>
      </c>
      <c r="C1901" t="s">
        <v>209</v>
      </c>
      <c r="D1901" t="s">
        <v>46</v>
      </c>
      <c r="E1901" t="s">
        <v>3322</v>
      </c>
      <c r="F1901" s="3">
        <v>4200000</v>
      </c>
      <c r="G1901" s="2">
        <f t="shared" si="58"/>
        <v>10</v>
      </c>
      <c r="H1901" s="2">
        <f t="shared" ca="1" si="59"/>
        <v>83</v>
      </c>
      <c r="I1901" s="4">
        <v>46037</v>
      </c>
      <c r="J1901" s="4">
        <v>46047</v>
      </c>
      <c r="K1901" t="s">
        <v>17</v>
      </c>
      <c r="L1901" t="s">
        <v>32</v>
      </c>
      <c r="M1901" t="s">
        <v>19</v>
      </c>
      <c r="N1901" t="s">
        <v>210</v>
      </c>
      <c r="O1901">
        <v>30</v>
      </c>
    </row>
    <row r="1902" spans="1:15" hidden="1" x14ac:dyDescent="0.25">
      <c r="A1902" t="s">
        <v>2820</v>
      </c>
      <c r="B1902" t="s">
        <v>76</v>
      </c>
      <c r="C1902" t="s">
        <v>77</v>
      </c>
      <c r="D1902" t="s">
        <v>46</v>
      </c>
      <c r="E1902" t="s">
        <v>3323</v>
      </c>
      <c r="F1902" s="3">
        <v>316000</v>
      </c>
      <c r="G1902" s="2">
        <f t="shared" si="58"/>
        <v>30</v>
      </c>
      <c r="H1902" s="2">
        <f t="shared" ca="1" si="59"/>
        <v>83</v>
      </c>
      <c r="I1902" s="4">
        <v>46037</v>
      </c>
      <c r="J1902" s="4">
        <v>46067</v>
      </c>
      <c r="K1902" t="s">
        <v>17</v>
      </c>
      <c r="L1902" t="s">
        <v>32</v>
      </c>
      <c r="M1902" t="s">
        <v>19</v>
      </c>
      <c r="N1902" t="s">
        <v>78</v>
      </c>
      <c r="O1902">
        <v>30</v>
      </c>
    </row>
    <row r="1903" spans="1:15" hidden="1" x14ac:dyDescent="0.25">
      <c r="A1903" t="s">
        <v>2820</v>
      </c>
      <c r="B1903" t="s">
        <v>76</v>
      </c>
      <c r="C1903" t="s">
        <v>77</v>
      </c>
      <c r="D1903" t="s">
        <v>46</v>
      </c>
      <c r="E1903" t="s">
        <v>3324</v>
      </c>
      <c r="F1903" s="3">
        <v>3949995</v>
      </c>
      <c r="G1903" s="2">
        <f t="shared" si="58"/>
        <v>30</v>
      </c>
      <c r="H1903" s="2">
        <f t="shared" ca="1" si="59"/>
        <v>83</v>
      </c>
      <c r="I1903" s="4">
        <v>46037</v>
      </c>
      <c r="J1903" s="4">
        <v>46067</v>
      </c>
      <c r="K1903" t="s">
        <v>17</v>
      </c>
      <c r="L1903" t="s">
        <v>32</v>
      </c>
      <c r="M1903" t="s">
        <v>19</v>
      </c>
      <c r="N1903" t="s">
        <v>78</v>
      </c>
      <c r="O1903">
        <v>30</v>
      </c>
    </row>
    <row r="1904" spans="1:15" hidden="1" x14ac:dyDescent="0.25">
      <c r="A1904" t="s">
        <v>2820</v>
      </c>
      <c r="B1904" t="s">
        <v>3325</v>
      </c>
      <c r="C1904" t="s">
        <v>3326</v>
      </c>
      <c r="D1904" t="s">
        <v>46</v>
      </c>
      <c r="E1904" t="s">
        <v>3327</v>
      </c>
      <c r="F1904" s="3">
        <v>1260000</v>
      </c>
      <c r="G1904" s="2">
        <f t="shared" si="58"/>
        <v>10</v>
      </c>
      <c r="H1904" s="2">
        <f t="shared" ca="1" si="59"/>
        <v>83</v>
      </c>
      <c r="I1904" s="4">
        <v>46037</v>
      </c>
      <c r="J1904" s="4">
        <v>46047</v>
      </c>
      <c r="K1904" t="s">
        <v>17</v>
      </c>
      <c r="L1904" t="s">
        <v>32</v>
      </c>
      <c r="M1904" t="s">
        <v>19</v>
      </c>
      <c r="N1904" t="s">
        <v>3328</v>
      </c>
      <c r="O1904">
        <v>30</v>
      </c>
    </row>
    <row r="1905" spans="1:15" hidden="1" x14ac:dyDescent="0.25">
      <c r="A1905" t="s">
        <v>2820</v>
      </c>
      <c r="B1905" t="s">
        <v>3325</v>
      </c>
      <c r="C1905" t="s">
        <v>3326</v>
      </c>
      <c r="D1905" t="s">
        <v>46</v>
      </c>
      <c r="E1905" t="s">
        <v>3329</v>
      </c>
      <c r="F1905" s="3">
        <v>865211</v>
      </c>
      <c r="G1905" s="2">
        <f t="shared" si="58"/>
        <v>30</v>
      </c>
      <c r="H1905" s="2">
        <f t="shared" ca="1" si="59"/>
        <v>83</v>
      </c>
      <c r="I1905" s="4">
        <v>46037</v>
      </c>
      <c r="J1905" s="4">
        <v>46067</v>
      </c>
      <c r="K1905" t="s">
        <v>17</v>
      </c>
      <c r="L1905" t="s">
        <v>32</v>
      </c>
      <c r="M1905" t="s">
        <v>19</v>
      </c>
      <c r="N1905" t="s">
        <v>3328</v>
      </c>
      <c r="O1905">
        <v>30</v>
      </c>
    </row>
    <row r="1906" spans="1:15" hidden="1" x14ac:dyDescent="0.25">
      <c r="A1906" t="s">
        <v>2820</v>
      </c>
      <c r="B1906" t="s">
        <v>186</v>
      </c>
      <c r="C1906" t="s">
        <v>187</v>
      </c>
      <c r="D1906" t="s">
        <v>46</v>
      </c>
      <c r="E1906" t="s">
        <v>3330</v>
      </c>
      <c r="F1906" s="3">
        <v>840000</v>
      </c>
      <c r="G1906" s="2">
        <f t="shared" si="58"/>
        <v>10</v>
      </c>
      <c r="H1906" s="2">
        <f t="shared" ca="1" si="59"/>
        <v>83</v>
      </c>
      <c r="I1906" s="4">
        <v>46037</v>
      </c>
      <c r="J1906" s="4">
        <v>46047</v>
      </c>
      <c r="K1906" t="s">
        <v>17</v>
      </c>
      <c r="L1906" t="s">
        <v>32</v>
      </c>
      <c r="M1906" t="s">
        <v>19</v>
      </c>
      <c r="N1906" t="s">
        <v>188</v>
      </c>
      <c r="O1906">
        <v>30</v>
      </c>
    </row>
    <row r="1907" spans="1:15" hidden="1" x14ac:dyDescent="0.25">
      <c r="A1907" t="s">
        <v>2820</v>
      </c>
      <c r="B1907" t="s">
        <v>2102</v>
      </c>
      <c r="C1907" t="s">
        <v>2103</v>
      </c>
      <c r="D1907" t="s">
        <v>15</v>
      </c>
      <c r="E1907" t="s">
        <v>3331</v>
      </c>
      <c r="F1907" s="3">
        <v>136499</v>
      </c>
      <c r="G1907" s="2">
        <f t="shared" si="58"/>
        <v>30</v>
      </c>
      <c r="H1907" s="2">
        <f t="shared" ca="1" si="59"/>
        <v>83</v>
      </c>
      <c r="I1907" s="4">
        <v>46037</v>
      </c>
      <c r="J1907" s="4">
        <v>46067</v>
      </c>
      <c r="K1907" t="s">
        <v>17</v>
      </c>
      <c r="L1907" t="s">
        <v>18</v>
      </c>
      <c r="M1907" t="s">
        <v>19</v>
      </c>
      <c r="N1907" t="s">
        <v>2104</v>
      </c>
      <c r="O1907">
        <v>30</v>
      </c>
    </row>
    <row r="1908" spans="1:15" hidden="1" x14ac:dyDescent="0.25">
      <c r="A1908" t="s">
        <v>2820</v>
      </c>
      <c r="B1908" t="s">
        <v>2102</v>
      </c>
      <c r="C1908" t="s">
        <v>2103</v>
      </c>
      <c r="D1908" t="s">
        <v>15</v>
      </c>
      <c r="E1908" t="s">
        <v>3332</v>
      </c>
      <c r="F1908" s="3">
        <v>1272000</v>
      </c>
      <c r="G1908" s="2">
        <f t="shared" si="58"/>
        <v>30</v>
      </c>
      <c r="H1908" s="2">
        <f t="shared" ca="1" si="59"/>
        <v>83</v>
      </c>
      <c r="I1908" s="4">
        <v>46037</v>
      </c>
      <c r="J1908" s="4">
        <v>46067</v>
      </c>
      <c r="K1908" t="s">
        <v>17</v>
      </c>
      <c r="L1908" t="s">
        <v>18</v>
      </c>
      <c r="M1908" t="s">
        <v>19</v>
      </c>
      <c r="N1908" t="s">
        <v>2104</v>
      </c>
      <c r="O1908">
        <v>30</v>
      </c>
    </row>
    <row r="1909" spans="1:15" hidden="1" x14ac:dyDescent="0.25">
      <c r="A1909" t="s">
        <v>2820</v>
      </c>
      <c r="B1909" t="s">
        <v>2586</v>
      </c>
      <c r="C1909" t="s">
        <v>2587</v>
      </c>
      <c r="D1909" t="s">
        <v>15</v>
      </c>
      <c r="E1909" t="s">
        <v>3333</v>
      </c>
      <c r="F1909" s="3">
        <v>2100000</v>
      </c>
      <c r="G1909" s="2">
        <f t="shared" si="58"/>
        <v>10</v>
      </c>
      <c r="H1909" s="2">
        <f t="shared" ca="1" si="59"/>
        <v>83</v>
      </c>
      <c r="I1909" s="4">
        <v>46037</v>
      </c>
      <c r="J1909" s="4">
        <v>46047</v>
      </c>
      <c r="K1909" t="s">
        <v>17</v>
      </c>
      <c r="L1909" t="s">
        <v>32</v>
      </c>
      <c r="M1909" t="s">
        <v>19</v>
      </c>
      <c r="N1909" t="s">
        <v>2588</v>
      </c>
      <c r="O1909">
        <v>30</v>
      </c>
    </row>
    <row r="1910" spans="1:15" hidden="1" x14ac:dyDescent="0.25">
      <c r="A1910" t="s">
        <v>2820</v>
      </c>
      <c r="B1910" t="s">
        <v>150</v>
      </c>
      <c r="C1910" t="s">
        <v>151</v>
      </c>
      <c r="D1910" t="s">
        <v>46</v>
      </c>
      <c r="E1910" t="s">
        <v>3334</v>
      </c>
      <c r="F1910" s="3">
        <v>840000</v>
      </c>
      <c r="G1910" s="2">
        <f t="shared" si="58"/>
        <v>10</v>
      </c>
      <c r="H1910" s="2">
        <f t="shared" ca="1" si="59"/>
        <v>83</v>
      </c>
      <c r="I1910" s="4">
        <v>46037</v>
      </c>
      <c r="J1910" s="4">
        <v>46047</v>
      </c>
      <c r="K1910" t="s">
        <v>17</v>
      </c>
      <c r="L1910" t="s">
        <v>32</v>
      </c>
      <c r="M1910" t="s">
        <v>19</v>
      </c>
      <c r="N1910" t="s">
        <v>152</v>
      </c>
      <c r="O1910">
        <v>30</v>
      </c>
    </row>
    <row r="1911" spans="1:15" hidden="1" x14ac:dyDescent="0.25">
      <c r="A1911" t="s">
        <v>2820</v>
      </c>
      <c r="B1911" t="s">
        <v>150</v>
      </c>
      <c r="C1911" t="s">
        <v>151</v>
      </c>
      <c r="D1911" t="s">
        <v>46</v>
      </c>
      <c r="E1911" t="s">
        <v>3335</v>
      </c>
      <c r="F1911" s="3">
        <v>251707</v>
      </c>
      <c r="G1911" s="2">
        <f t="shared" si="58"/>
        <v>30</v>
      </c>
      <c r="H1911" s="2">
        <f t="shared" ca="1" si="59"/>
        <v>83</v>
      </c>
      <c r="I1911" s="4">
        <v>46037</v>
      </c>
      <c r="J1911" s="4">
        <v>46067</v>
      </c>
      <c r="K1911" t="s">
        <v>17</v>
      </c>
      <c r="L1911" t="s">
        <v>32</v>
      </c>
      <c r="M1911" t="s">
        <v>19</v>
      </c>
      <c r="N1911" t="s">
        <v>152</v>
      </c>
      <c r="O1911">
        <v>30</v>
      </c>
    </row>
    <row r="1912" spans="1:15" hidden="1" x14ac:dyDescent="0.25">
      <c r="A1912" t="s">
        <v>2820</v>
      </c>
      <c r="B1912" t="s">
        <v>64</v>
      </c>
      <c r="C1912" t="s">
        <v>65</v>
      </c>
      <c r="D1912" t="s">
        <v>46</v>
      </c>
      <c r="E1912" t="s">
        <v>3336</v>
      </c>
      <c r="F1912" s="3">
        <v>653303</v>
      </c>
      <c r="G1912" s="2">
        <f t="shared" si="58"/>
        <v>30</v>
      </c>
      <c r="H1912" s="2">
        <f t="shared" ca="1" si="59"/>
        <v>83</v>
      </c>
      <c r="I1912" s="4">
        <v>46037</v>
      </c>
      <c r="J1912" s="4">
        <v>46067</v>
      </c>
      <c r="K1912" t="s">
        <v>17</v>
      </c>
      <c r="L1912" t="s">
        <v>32</v>
      </c>
      <c r="M1912" t="s">
        <v>19</v>
      </c>
      <c r="N1912" t="s">
        <v>66</v>
      </c>
      <c r="O1912">
        <v>30</v>
      </c>
    </row>
    <row r="1913" spans="1:15" hidden="1" x14ac:dyDescent="0.25">
      <c r="A1913" t="s">
        <v>2820</v>
      </c>
      <c r="B1913" t="s">
        <v>64</v>
      </c>
      <c r="C1913" t="s">
        <v>65</v>
      </c>
      <c r="D1913" t="s">
        <v>46</v>
      </c>
      <c r="E1913" t="s">
        <v>3337</v>
      </c>
      <c r="F1913" s="3">
        <v>76201</v>
      </c>
      <c r="G1913" s="2">
        <f t="shared" si="58"/>
        <v>30</v>
      </c>
      <c r="H1913" s="2">
        <f t="shared" ca="1" si="59"/>
        <v>83</v>
      </c>
      <c r="I1913" s="4">
        <v>46037</v>
      </c>
      <c r="J1913" s="4">
        <v>46067</v>
      </c>
      <c r="K1913" t="s">
        <v>17</v>
      </c>
      <c r="L1913" t="s">
        <v>32</v>
      </c>
      <c r="M1913" t="s">
        <v>19</v>
      </c>
      <c r="N1913" t="s">
        <v>66</v>
      </c>
      <c r="O1913">
        <v>30</v>
      </c>
    </row>
    <row r="1914" spans="1:15" hidden="1" x14ac:dyDescent="0.25">
      <c r="A1914" t="s">
        <v>2820</v>
      </c>
      <c r="B1914" t="s">
        <v>1351</v>
      </c>
      <c r="C1914" t="s">
        <v>1352</v>
      </c>
      <c r="D1914" t="s">
        <v>1323</v>
      </c>
      <c r="E1914" t="s">
        <v>3338</v>
      </c>
      <c r="F1914" s="3">
        <v>214000</v>
      </c>
      <c r="G1914" s="2">
        <f t="shared" si="58"/>
        <v>30</v>
      </c>
      <c r="H1914" s="2">
        <f t="shared" ca="1" si="59"/>
        <v>83</v>
      </c>
      <c r="I1914" s="4">
        <v>46037</v>
      </c>
      <c r="J1914" s="4">
        <v>46067</v>
      </c>
      <c r="K1914" t="s">
        <v>17</v>
      </c>
      <c r="L1914" t="s">
        <v>90</v>
      </c>
      <c r="M1914" t="s">
        <v>19</v>
      </c>
      <c r="N1914" t="s">
        <v>1353</v>
      </c>
      <c r="O1914">
        <v>30</v>
      </c>
    </row>
    <row r="1915" spans="1:15" hidden="1" x14ac:dyDescent="0.25">
      <c r="A1915" t="s">
        <v>2820</v>
      </c>
      <c r="B1915" t="s">
        <v>192</v>
      </c>
      <c r="C1915" t="s">
        <v>193</v>
      </c>
      <c r="D1915" t="s">
        <v>15</v>
      </c>
      <c r="E1915" t="s">
        <v>3339</v>
      </c>
      <c r="F1915" s="3">
        <v>420000</v>
      </c>
      <c r="G1915" s="2">
        <f t="shared" si="58"/>
        <v>10</v>
      </c>
      <c r="H1915" s="2">
        <f t="shared" ca="1" si="59"/>
        <v>83</v>
      </c>
      <c r="I1915" s="4">
        <v>46037</v>
      </c>
      <c r="J1915" s="4">
        <v>46047</v>
      </c>
      <c r="K1915" t="s">
        <v>17</v>
      </c>
      <c r="L1915" t="s">
        <v>32</v>
      </c>
      <c r="M1915" t="s">
        <v>19</v>
      </c>
      <c r="N1915" t="s">
        <v>194</v>
      </c>
      <c r="O1915">
        <v>30</v>
      </c>
    </row>
    <row r="1916" spans="1:15" hidden="1" x14ac:dyDescent="0.25">
      <c r="A1916" t="s">
        <v>2820</v>
      </c>
      <c r="B1916" t="s">
        <v>98</v>
      </c>
      <c r="C1916" t="s">
        <v>99</v>
      </c>
      <c r="D1916" t="s">
        <v>15</v>
      </c>
      <c r="E1916" t="s">
        <v>3340</v>
      </c>
      <c r="F1916" s="3">
        <v>2500267</v>
      </c>
      <c r="G1916" s="2">
        <f t="shared" si="58"/>
        <v>30</v>
      </c>
      <c r="H1916" s="2">
        <f t="shared" ca="1" si="59"/>
        <v>83</v>
      </c>
      <c r="I1916" s="4">
        <v>46037</v>
      </c>
      <c r="J1916" s="4">
        <v>46067</v>
      </c>
      <c r="K1916" t="s">
        <v>17</v>
      </c>
      <c r="L1916" t="s">
        <v>32</v>
      </c>
      <c r="M1916" t="s">
        <v>19</v>
      </c>
      <c r="N1916" t="s">
        <v>100</v>
      </c>
      <c r="O1916">
        <v>30</v>
      </c>
    </row>
    <row r="1917" spans="1:15" hidden="1" x14ac:dyDescent="0.25">
      <c r="A1917" t="s">
        <v>2820</v>
      </c>
      <c r="B1917" t="s">
        <v>44</v>
      </c>
      <c r="C1917" t="s">
        <v>45</v>
      </c>
      <c r="D1917" t="s">
        <v>46</v>
      </c>
      <c r="E1917" t="s">
        <v>3341</v>
      </c>
      <c r="F1917" s="3">
        <v>1012000</v>
      </c>
      <c r="G1917" s="2">
        <f t="shared" si="58"/>
        <v>10</v>
      </c>
      <c r="H1917" s="2">
        <f t="shared" ca="1" si="59"/>
        <v>83</v>
      </c>
      <c r="I1917" s="4">
        <v>46037</v>
      </c>
      <c r="J1917" s="4">
        <v>46047</v>
      </c>
      <c r="K1917" t="s">
        <v>17</v>
      </c>
      <c r="L1917" t="s">
        <v>32</v>
      </c>
      <c r="M1917" t="s">
        <v>19</v>
      </c>
      <c r="N1917" t="s">
        <v>48</v>
      </c>
      <c r="O1917">
        <v>30</v>
      </c>
    </row>
    <row r="1918" spans="1:15" hidden="1" x14ac:dyDescent="0.25">
      <c r="A1918" t="s">
        <v>2820</v>
      </c>
      <c r="B1918" t="s">
        <v>88</v>
      </c>
      <c r="C1918" t="s">
        <v>89</v>
      </c>
      <c r="D1918" t="s">
        <v>15</v>
      </c>
      <c r="E1918" t="s">
        <v>3342</v>
      </c>
      <c r="F1918" s="3">
        <v>1133968</v>
      </c>
      <c r="G1918" s="2">
        <f t="shared" si="58"/>
        <v>30</v>
      </c>
      <c r="H1918" s="2">
        <f t="shared" ca="1" si="59"/>
        <v>83</v>
      </c>
      <c r="I1918" s="4">
        <v>46037</v>
      </c>
      <c r="J1918" s="4">
        <v>46067</v>
      </c>
      <c r="K1918" t="s">
        <v>17</v>
      </c>
      <c r="L1918" t="s">
        <v>32</v>
      </c>
      <c r="M1918" t="s">
        <v>19</v>
      </c>
      <c r="N1918" t="s">
        <v>91</v>
      </c>
      <c r="O1918">
        <v>30</v>
      </c>
    </row>
    <row r="1919" spans="1:15" hidden="1" x14ac:dyDescent="0.25">
      <c r="A1919" t="s">
        <v>2820</v>
      </c>
      <c r="B1919" t="s">
        <v>127</v>
      </c>
      <c r="C1919" t="s">
        <v>128</v>
      </c>
      <c r="D1919" t="s">
        <v>15</v>
      </c>
      <c r="E1919" t="s">
        <v>3343</v>
      </c>
      <c r="F1919" s="3">
        <v>2100000</v>
      </c>
      <c r="G1919" s="2">
        <f t="shared" si="58"/>
        <v>10</v>
      </c>
      <c r="H1919" s="2">
        <f t="shared" ca="1" si="59"/>
        <v>83</v>
      </c>
      <c r="I1919" s="4">
        <v>46037</v>
      </c>
      <c r="J1919" s="4">
        <v>46047</v>
      </c>
      <c r="K1919" t="s">
        <v>17</v>
      </c>
      <c r="L1919" t="s">
        <v>32</v>
      </c>
      <c r="M1919" t="s">
        <v>19</v>
      </c>
      <c r="N1919" t="s">
        <v>129</v>
      </c>
      <c r="O1919">
        <v>30</v>
      </c>
    </row>
    <row r="1920" spans="1:15" hidden="1" x14ac:dyDescent="0.25">
      <c r="A1920" t="s">
        <v>2820</v>
      </c>
      <c r="B1920" t="s">
        <v>44</v>
      </c>
      <c r="C1920" t="s">
        <v>45</v>
      </c>
      <c r="D1920" t="s">
        <v>46</v>
      </c>
      <c r="E1920" t="s">
        <v>3344</v>
      </c>
      <c r="F1920" s="3">
        <v>1353379</v>
      </c>
      <c r="G1920" s="2">
        <f t="shared" si="58"/>
        <v>30</v>
      </c>
      <c r="H1920" s="2">
        <f t="shared" ca="1" si="59"/>
        <v>83</v>
      </c>
      <c r="I1920" s="4">
        <v>46037</v>
      </c>
      <c r="J1920" s="4">
        <v>46067</v>
      </c>
      <c r="K1920" t="s">
        <v>17</v>
      </c>
      <c r="L1920" t="s">
        <v>32</v>
      </c>
      <c r="M1920" t="s">
        <v>19</v>
      </c>
      <c r="N1920" t="s">
        <v>48</v>
      </c>
      <c r="O1920">
        <v>30</v>
      </c>
    </row>
    <row r="1921" spans="1:15" hidden="1" x14ac:dyDescent="0.25">
      <c r="A1921" t="s">
        <v>2820</v>
      </c>
      <c r="B1921" t="s">
        <v>127</v>
      </c>
      <c r="C1921" t="s">
        <v>128</v>
      </c>
      <c r="D1921" t="s">
        <v>15</v>
      </c>
      <c r="E1921" t="s">
        <v>3345</v>
      </c>
      <c r="F1921" s="3">
        <v>1731831</v>
      </c>
      <c r="G1921" s="2">
        <f t="shared" si="58"/>
        <v>30</v>
      </c>
      <c r="H1921" s="2">
        <f t="shared" ca="1" si="59"/>
        <v>83</v>
      </c>
      <c r="I1921" s="4">
        <v>46037</v>
      </c>
      <c r="J1921" s="4">
        <v>46067</v>
      </c>
      <c r="K1921" t="s">
        <v>17</v>
      </c>
      <c r="L1921" t="s">
        <v>32</v>
      </c>
      <c r="M1921" t="s">
        <v>19</v>
      </c>
      <c r="N1921" t="s">
        <v>129</v>
      </c>
      <c r="O1921">
        <v>30</v>
      </c>
    </row>
    <row r="1922" spans="1:15" hidden="1" x14ac:dyDescent="0.25">
      <c r="A1922" t="s">
        <v>2820</v>
      </c>
      <c r="B1922" t="s">
        <v>1994</v>
      </c>
      <c r="C1922" t="s">
        <v>1995</v>
      </c>
      <c r="D1922" t="s">
        <v>15</v>
      </c>
      <c r="E1922" t="s">
        <v>3346</v>
      </c>
      <c r="F1922" s="3">
        <v>2446834</v>
      </c>
      <c r="G1922" s="2">
        <f t="shared" ref="G1922:G1985" si="60">+J1922-I1922</f>
        <v>30</v>
      </c>
      <c r="H1922" s="2">
        <f t="shared" ref="H1922:H1985" ca="1" si="61">+TODAY()-I1922</f>
        <v>83</v>
      </c>
      <c r="I1922" s="4">
        <v>46037</v>
      </c>
      <c r="J1922" s="4">
        <v>46067</v>
      </c>
      <c r="K1922" t="s">
        <v>17</v>
      </c>
      <c r="L1922" t="s">
        <v>32</v>
      </c>
      <c r="M1922" t="s">
        <v>19</v>
      </c>
      <c r="N1922" t="s">
        <v>142</v>
      </c>
      <c r="O1922">
        <v>30</v>
      </c>
    </row>
    <row r="1923" spans="1:15" hidden="1" x14ac:dyDescent="0.25">
      <c r="A1923" t="s">
        <v>2820</v>
      </c>
      <c r="B1923" t="s">
        <v>101</v>
      </c>
      <c r="C1923" t="s">
        <v>102</v>
      </c>
      <c r="D1923" t="s">
        <v>15</v>
      </c>
      <c r="E1923" t="s">
        <v>3347</v>
      </c>
      <c r="F1923" s="3">
        <v>1200000</v>
      </c>
      <c r="G1923" s="2">
        <f t="shared" si="60"/>
        <v>10</v>
      </c>
      <c r="H1923" s="2">
        <f t="shared" ca="1" si="61"/>
        <v>83</v>
      </c>
      <c r="I1923" s="4">
        <v>46037</v>
      </c>
      <c r="J1923" s="4">
        <v>46047</v>
      </c>
      <c r="K1923" t="s">
        <v>17</v>
      </c>
      <c r="L1923" t="s">
        <v>32</v>
      </c>
      <c r="M1923" t="s">
        <v>19</v>
      </c>
      <c r="N1923" t="s">
        <v>103</v>
      </c>
      <c r="O1923">
        <v>30</v>
      </c>
    </row>
    <row r="1924" spans="1:15" hidden="1" x14ac:dyDescent="0.25">
      <c r="A1924" t="s">
        <v>2820</v>
      </c>
      <c r="B1924" t="s">
        <v>2227</v>
      </c>
      <c r="C1924" t="s">
        <v>2228</v>
      </c>
      <c r="D1924" t="s">
        <v>46</v>
      </c>
      <c r="E1924" t="s">
        <v>3348</v>
      </c>
      <c r="F1924" s="3">
        <v>1066482</v>
      </c>
      <c r="G1924" s="2">
        <f t="shared" si="60"/>
        <v>30</v>
      </c>
      <c r="H1924" s="2">
        <f t="shared" ca="1" si="61"/>
        <v>83</v>
      </c>
      <c r="I1924" s="4">
        <v>46037</v>
      </c>
      <c r="J1924" s="4">
        <v>46067</v>
      </c>
      <c r="K1924" t="s">
        <v>17</v>
      </c>
      <c r="L1924" t="s">
        <v>32</v>
      </c>
      <c r="M1924" t="s">
        <v>19</v>
      </c>
      <c r="N1924" t="s">
        <v>2229</v>
      </c>
      <c r="O1924">
        <v>25</v>
      </c>
    </row>
    <row r="1925" spans="1:15" hidden="1" x14ac:dyDescent="0.25">
      <c r="A1925" t="s">
        <v>2820</v>
      </c>
      <c r="B1925" t="s">
        <v>165</v>
      </c>
      <c r="C1925" t="s">
        <v>166</v>
      </c>
      <c r="D1925" t="s">
        <v>15</v>
      </c>
      <c r="E1925" t="s">
        <v>3349</v>
      </c>
      <c r="F1925" s="3">
        <v>1170225</v>
      </c>
      <c r="G1925" s="2">
        <f t="shared" si="60"/>
        <v>30</v>
      </c>
      <c r="H1925" s="2">
        <f t="shared" ca="1" si="61"/>
        <v>83</v>
      </c>
      <c r="I1925" s="4">
        <v>46037</v>
      </c>
      <c r="J1925" s="4">
        <v>46067</v>
      </c>
      <c r="K1925" t="s">
        <v>17</v>
      </c>
      <c r="L1925" t="s">
        <v>32</v>
      </c>
      <c r="M1925" t="s">
        <v>19</v>
      </c>
      <c r="N1925" t="s">
        <v>167</v>
      </c>
      <c r="O1925">
        <v>30</v>
      </c>
    </row>
    <row r="1926" spans="1:15" hidden="1" x14ac:dyDescent="0.25">
      <c r="A1926" t="s">
        <v>2820</v>
      </c>
      <c r="B1926" t="s">
        <v>104</v>
      </c>
      <c r="C1926" t="s">
        <v>105</v>
      </c>
      <c r="D1926" t="s">
        <v>46</v>
      </c>
      <c r="E1926" t="s">
        <v>3350</v>
      </c>
      <c r="F1926" s="3">
        <v>136260</v>
      </c>
      <c r="G1926" s="2">
        <f t="shared" si="60"/>
        <v>30</v>
      </c>
      <c r="H1926" s="2">
        <f t="shared" ca="1" si="61"/>
        <v>83</v>
      </c>
      <c r="I1926" s="4">
        <v>46037</v>
      </c>
      <c r="J1926" s="4">
        <v>46067</v>
      </c>
      <c r="K1926" t="s">
        <v>17</v>
      </c>
      <c r="L1926" t="s">
        <v>32</v>
      </c>
      <c r="M1926" t="s">
        <v>19</v>
      </c>
      <c r="N1926" t="s">
        <v>106</v>
      </c>
      <c r="O1926">
        <v>30</v>
      </c>
    </row>
    <row r="1927" spans="1:15" hidden="1" x14ac:dyDescent="0.25">
      <c r="A1927" t="s">
        <v>2820</v>
      </c>
      <c r="B1927" t="s">
        <v>2556</v>
      </c>
      <c r="C1927" t="s">
        <v>2557</v>
      </c>
      <c r="D1927" t="s">
        <v>15</v>
      </c>
      <c r="E1927" t="s">
        <v>3351</v>
      </c>
      <c r="F1927" s="3">
        <v>17000</v>
      </c>
      <c r="G1927" s="2">
        <f t="shared" si="60"/>
        <v>30</v>
      </c>
      <c r="H1927" s="2">
        <f t="shared" ca="1" si="61"/>
        <v>83</v>
      </c>
      <c r="I1927" s="4">
        <v>46037</v>
      </c>
      <c r="J1927" s="4">
        <v>46067</v>
      </c>
      <c r="K1927" t="s">
        <v>17</v>
      </c>
      <c r="L1927" t="s">
        <v>109</v>
      </c>
      <c r="M1927" t="s">
        <v>19</v>
      </c>
      <c r="N1927" t="s">
        <v>20</v>
      </c>
      <c r="O1927">
        <v>30</v>
      </c>
    </row>
    <row r="1928" spans="1:15" hidden="1" x14ac:dyDescent="0.25">
      <c r="A1928" t="s">
        <v>2820</v>
      </c>
      <c r="B1928" t="s">
        <v>76</v>
      </c>
      <c r="C1928" t="s">
        <v>77</v>
      </c>
      <c r="D1928" t="s">
        <v>46</v>
      </c>
      <c r="E1928" t="s">
        <v>3352</v>
      </c>
      <c r="F1928" s="3">
        <v>393600</v>
      </c>
      <c r="G1928" s="2">
        <f t="shared" si="60"/>
        <v>30</v>
      </c>
      <c r="H1928" s="2">
        <f t="shared" ca="1" si="61"/>
        <v>83</v>
      </c>
      <c r="I1928" s="4">
        <v>46037</v>
      </c>
      <c r="J1928" s="4">
        <v>46067</v>
      </c>
      <c r="K1928" t="s">
        <v>17</v>
      </c>
      <c r="L1928" t="s">
        <v>32</v>
      </c>
      <c r="M1928" t="s">
        <v>19</v>
      </c>
      <c r="N1928" t="s">
        <v>78</v>
      </c>
      <c r="O1928">
        <v>30</v>
      </c>
    </row>
    <row r="1929" spans="1:15" hidden="1" x14ac:dyDescent="0.25">
      <c r="A1929" t="s">
        <v>2820</v>
      </c>
      <c r="B1929" t="s">
        <v>3416</v>
      </c>
      <c r="C1929" t="s">
        <v>3417</v>
      </c>
      <c r="D1929" t="s">
        <v>1201</v>
      </c>
      <c r="E1929" t="s">
        <v>3418</v>
      </c>
      <c r="F1929" s="3">
        <v>2733693</v>
      </c>
      <c r="G1929" s="2">
        <f t="shared" si="60"/>
        <v>30</v>
      </c>
      <c r="H1929" s="2">
        <f t="shared" ca="1" si="61"/>
        <v>83</v>
      </c>
      <c r="I1929" s="4">
        <v>46037</v>
      </c>
      <c r="J1929" s="4">
        <v>46067</v>
      </c>
      <c r="K1929" t="s">
        <v>17</v>
      </c>
      <c r="L1929" t="s">
        <v>207</v>
      </c>
      <c r="M1929" t="s">
        <v>19</v>
      </c>
      <c r="N1929" t="s">
        <v>3419</v>
      </c>
      <c r="O1929">
        <v>30</v>
      </c>
    </row>
    <row r="1930" spans="1:15" hidden="1" x14ac:dyDescent="0.25">
      <c r="A1930" t="s">
        <v>2820</v>
      </c>
      <c r="B1930" t="s">
        <v>3401</v>
      </c>
      <c r="C1930" t="s">
        <v>3402</v>
      </c>
      <c r="D1930" t="s">
        <v>46</v>
      </c>
      <c r="E1930" t="s">
        <v>3420</v>
      </c>
      <c r="F1930" s="3">
        <v>958484</v>
      </c>
      <c r="G1930" s="2">
        <f t="shared" si="60"/>
        <v>15</v>
      </c>
      <c r="H1930" s="2">
        <f t="shared" ca="1" si="61"/>
        <v>83</v>
      </c>
      <c r="I1930" s="4">
        <v>46037</v>
      </c>
      <c r="J1930" s="4">
        <v>46052</v>
      </c>
      <c r="K1930" t="s">
        <v>17</v>
      </c>
      <c r="L1930" t="s">
        <v>317</v>
      </c>
      <c r="M1930" t="s">
        <v>19</v>
      </c>
      <c r="N1930" t="s">
        <v>3404</v>
      </c>
      <c r="O1930">
        <v>15</v>
      </c>
    </row>
    <row r="1931" spans="1:15" hidden="1" x14ac:dyDescent="0.25">
      <c r="A1931" t="s">
        <v>2820</v>
      </c>
      <c r="B1931" t="s">
        <v>333</v>
      </c>
      <c r="C1931" t="s">
        <v>334</v>
      </c>
      <c r="D1931" t="s">
        <v>15</v>
      </c>
      <c r="E1931" t="s">
        <v>3421</v>
      </c>
      <c r="F1931" s="3">
        <v>1241677</v>
      </c>
      <c r="G1931" s="2">
        <f t="shared" si="60"/>
        <v>15</v>
      </c>
      <c r="H1931" s="2">
        <f t="shared" ca="1" si="61"/>
        <v>83</v>
      </c>
      <c r="I1931" s="4">
        <v>46037</v>
      </c>
      <c r="J1931" s="4">
        <v>46052</v>
      </c>
      <c r="K1931" t="s">
        <v>17</v>
      </c>
      <c r="L1931" t="s">
        <v>317</v>
      </c>
      <c r="M1931" t="s">
        <v>19</v>
      </c>
      <c r="N1931" t="s">
        <v>335</v>
      </c>
      <c r="O1931">
        <v>15</v>
      </c>
    </row>
    <row r="1932" spans="1:15" hidden="1" x14ac:dyDescent="0.25">
      <c r="A1932" t="s">
        <v>2820</v>
      </c>
      <c r="B1932" t="s">
        <v>2594</v>
      </c>
      <c r="C1932" t="s">
        <v>2595</v>
      </c>
      <c r="D1932" t="s">
        <v>46</v>
      </c>
      <c r="E1932" t="s">
        <v>3422</v>
      </c>
      <c r="F1932" s="3">
        <v>155606</v>
      </c>
      <c r="G1932" s="2">
        <f t="shared" si="60"/>
        <v>15</v>
      </c>
      <c r="H1932" s="2">
        <f t="shared" ca="1" si="61"/>
        <v>83</v>
      </c>
      <c r="I1932" s="4">
        <v>46037</v>
      </c>
      <c r="J1932" s="4">
        <v>46052</v>
      </c>
      <c r="K1932" t="s">
        <v>17</v>
      </c>
      <c r="L1932" t="s">
        <v>317</v>
      </c>
      <c r="M1932" t="s">
        <v>19</v>
      </c>
      <c r="N1932" t="s">
        <v>2596</v>
      </c>
      <c r="O1932">
        <v>15</v>
      </c>
    </row>
    <row r="1933" spans="1:15" hidden="1" x14ac:dyDescent="0.25">
      <c r="A1933" t="s">
        <v>2820</v>
      </c>
      <c r="B1933" t="s">
        <v>2060</v>
      </c>
      <c r="C1933" t="s">
        <v>2061</v>
      </c>
      <c r="D1933" t="s">
        <v>46</v>
      </c>
      <c r="E1933" t="s">
        <v>3423</v>
      </c>
      <c r="F1933" s="3">
        <v>1992000</v>
      </c>
      <c r="G1933" s="2">
        <f t="shared" si="60"/>
        <v>15</v>
      </c>
      <c r="H1933" s="2">
        <f t="shared" ca="1" si="61"/>
        <v>83</v>
      </c>
      <c r="I1933" s="4">
        <v>46037</v>
      </c>
      <c r="J1933" s="4">
        <v>46052</v>
      </c>
      <c r="K1933" t="s">
        <v>17</v>
      </c>
      <c r="L1933" t="s">
        <v>317</v>
      </c>
      <c r="M1933" t="s">
        <v>19</v>
      </c>
      <c r="N1933" t="s">
        <v>2062</v>
      </c>
      <c r="O1933">
        <v>15</v>
      </c>
    </row>
    <row r="1934" spans="1:15" hidden="1" x14ac:dyDescent="0.25">
      <c r="A1934" t="s">
        <v>2820</v>
      </c>
      <c r="B1934" t="s">
        <v>2384</v>
      </c>
      <c r="C1934" t="s">
        <v>2385</v>
      </c>
      <c r="D1934" t="s">
        <v>15</v>
      </c>
      <c r="E1934" t="s">
        <v>3424</v>
      </c>
      <c r="F1934" s="3">
        <v>747000</v>
      </c>
      <c r="G1934" s="2">
        <f t="shared" si="60"/>
        <v>10</v>
      </c>
      <c r="H1934" s="2">
        <f t="shared" ca="1" si="61"/>
        <v>83</v>
      </c>
      <c r="I1934" s="4">
        <v>46037</v>
      </c>
      <c r="J1934" s="4">
        <v>46047</v>
      </c>
      <c r="K1934" t="s">
        <v>17</v>
      </c>
      <c r="L1934" t="s">
        <v>317</v>
      </c>
      <c r="M1934" t="s">
        <v>19</v>
      </c>
      <c r="N1934" t="s">
        <v>2386</v>
      </c>
      <c r="O1934">
        <v>15</v>
      </c>
    </row>
    <row r="1935" spans="1:15" hidden="1" x14ac:dyDescent="0.25">
      <c r="A1935" t="s">
        <v>2820</v>
      </c>
      <c r="B1935" t="s">
        <v>3425</v>
      </c>
      <c r="C1935" t="s">
        <v>3426</v>
      </c>
      <c r="D1935" t="s">
        <v>46</v>
      </c>
      <c r="E1935" t="s">
        <v>3427</v>
      </c>
      <c r="F1935" s="3">
        <v>1043656</v>
      </c>
      <c r="G1935" s="2">
        <f t="shared" si="60"/>
        <v>15</v>
      </c>
      <c r="H1935" s="2">
        <f t="shared" ca="1" si="61"/>
        <v>83</v>
      </c>
      <c r="I1935" s="4">
        <v>46037</v>
      </c>
      <c r="J1935" s="4">
        <v>46052</v>
      </c>
      <c r="K1935" t="s">
        <v>17</v>
      </c>
      <c r="L1935" t="s">
        <v>317</v>
      </c>
      <c r="M1935" t="s">
        <v>19</v>
      </c>
      <c r="N1935" t="s">
        <v>3428</v>
      </c>
      <c r="O1935">
        <v>15</v>
      </c>
    </row>
    <row r="1936" spans="1:15" hidden="1" x14ac:dyDescent="0.25">
      <c r="A1936" t="s">
        <v>2820</v>
      </c>
      <c r="B1936" t="s">
        <v>2906</v>
      </c>
      <c r="C1936" t="s">
        <v>2907</v>
      </c>
      <c r="D1936" t="s">
        <v>15</v>
      </c>
      <c r="E1936" t="s">
        <v>3429</v>
      </c>
      <c r="F1936" s="3">
        <v>329640</v>
      </c>
      <c r="G1936" s="2">
        <f t="shared" si="60"/>
        <v>15</v>
      </c>
      <c r="H1936" s="2">
        <f t="shared" ca="1" si="61"/>
        <v>83</v>
      </c>
      <c r="I1936" s="4">
        <v>46037</v>
      </c>
      <c r="J1936" s="4">
        <v>46052</v>
      </c>
      <c r="K1936" t="s">
        <v>17</v>
      </c>
      <c r="L1936" t="s">
        <v>317</v>
      </c>
      <c r="M1936" t="s">
        <v>19</v>
      </c>
      <c r="N1936" t="s">
        <v>2908</v>
      </c>
      <c r="O1936">
        <v>30</v>
      </c>
    </row>
    <row r="1937" spans="1:15" hidden="1" x14ac:dyDescent="0.25">
      <c r="A1937" t="s">
        <v>2820</v>
      </c>
      <c r="B1937" t="s">
        <v>2054</v>
      </c>
      <c r="C1937" t="s">
        <v>2055</v>
      </c>
      <c r="D1937" t="s">
        <v>46</v>
      </c>
      <c r="E1937" t="s">
        <v>3430</v>
      </c>
      <c r="F1937" s="3">
        <v>575235</v>
      </c>
      <c r="G1937" s="2">
        <f t="shared" si="60"/>
        <v>15</v>
      </c>
      <c r="H1937" s="2">
        <f t="shared" ca="1" si="61"/>
        <v>83</v>
      </c>
      <c r="I1937" s="4">
        <v>46037</v>
      </c>
      <c r="J1937" s="4">
        <v>46052</v>
      </c>
      <c r="K1937" t="s">
        <v>17</v>
      </c>
      <c r="L1937" t="s">
        <v>312</v>
      </c>
      <c r="M1937" t="s">
        <v>19</v>
      </c>
      <c r="N1937" t="s">
        <v>2056</v>
      </c>
      <c r="O1937">
        <v>10</v>
      </c>
    </row>
    <row r="1938" spans="1:15" hidden="1" x14ac:dyDescent="0.25">
      <c r="A1938" t="s">
        <v>2820</v>
      </c>
      <c r="B1938" t="s">
        <v>3431</v>
      </c>
      <c r="C1938" t="s">
        <v>3432</v>
      </c>
      <c r="D1938" t="s">
        <v>46</v>
      </c>
      <c r="E1938" t="s">
        <v>3433</v>
      </c>
      <c r="F1938" s="3">
        <v>1050000</v>
      </c>
      <c r="G1938" s="2">
        <f t="shared" si="60"/>
        <v>10</v>
      </c>
      <c r="H1938" s="2">
        <f t="shared" ca="1" si="61"/>
        <v>83</v>
      </c>
      <c r="I1938" s="4">
        <v>46037</v>
      </c>
      <c r="J1938" s="4">
        <v>46047</v>
      </c>
      <c r="K1938" t="s">
        <v>17</v>
      </c>
      <c r="L1938" t="s">
        <v>312</v>
      </c>
      <c r="M1938" t="s">
        <v>19</v>
      </c>
      <c r="N1938" t="s">
        <v>3434</v>
      </c>
      <c r="O1938">
        <v>30</v>
      </c>
    </row>
    <row r="1939" spans="1:15" hidden="1" x14ac:dyDescent="0.25">
      <c r="A1939" t="s">
        <v>2820</v>
      </c>
      <c r="B1939" t="s">
        <v>323</v>
      </c>
      <c r="C1939" t="s">
        <v>324</v>
      </c>
      <c r="D1939" t="s">
        <v>15</v>
      </c>
      <c r="E1939" t="s">
        <v>3435</v>
      </c>
      <c r="F1939" s="3">
        <v>630000</v>
      </c>
      <c r="G1939" s="2">
        <f t="shared" si="60"/>
        <v>10</v>
      </c>
      <c r="H1939" s="2">
        <f t="shared" ca="1" si="61"/>
        <v>83</v>
      </c>
      <c r="I1939" s="4">
        <v>46037</v>
      </c>
      <c r="J1939" s="4">
        <v>46047</v>
      </c>
      <c r="K1939" t="s">
        <v>17</v>
      </c>
      <c r="L1939" t="s">
        <v>312</v>
      </c>
      <c r="M1939" t="s">
        <v>19</v>
      </c>
      <c r="N1939" t="s">
        <v>325</v>
      </c>
      <c r="O1939">
        <v>15</v>
      </c>
    </row>
    <row r="1940" spans="1:15" hidden="1" x14ac:dyDescent="0.25">
      <c r="A1940" t="s">
        <v>2820</v>
      </c>
      <c r="B1940" t="s">
        <v>367</v>
      </c>
      <c r="C1940" t="s">
        <v>368</v>
      </c>
      <c r="D1940" t="s">
        <v>347</v>
      </c>
      <c r="E1940" t="s">
        <v>3458</v>
      </c>
      <c r="F1940" s="3">
        <v>4240000</v>
      </c>
      <c r="G1940" s="2">
        <f t="shared" si="60"/>
        <v>30</v>
      </c>
      <c r="H1940" s="2">
        <f t="shared" ca="1" si="61"/>
        <v>83</v>
      </c>
      <c r="I1940" s="4">
        <v>46037</v>
      </c>
      <c r="J1940" s="4">
        <v>46067</v>
      </c>
      <c r="K1940" t="s">
        <v>343</v>
      </c>
      <c r="L1940" t="s">
        <v>18</v>
      </c>
      <c r="M1940" t="s">
        <v>19</v>
      </c>
      <c r="N1940" t="s">
        <v>369</v>
      </c>
      <c r="O1940">
        <v>30</v>
      </c>
    </row>
    <row r="1941" spans="1:15" hidden="1" x14ac:dyDescent="0.25">
      <c r="A1941" t="s">
        <v>2820</v>
      </c>
      <c r="B1941" t="s">
        <v>367</v>
      </c>
      <c r="C1941" t="s">
        <v>368</v>
      </c>
      <c r="D1941" t="s">
        <v>347</v>
      </c>
      <c r="E1941" t="s">
        <v>3459</v>
      </c>
      <c r="F1941" s="3">
        <v>1546829</v>
      </c>
      <c r="G1941" s="2">
        <f t="shared" si="60"/>
        <v>30</v>
      </c>
      <c r="H1941" s="2">
        <f t="shared" ca="1" si="61"/>
        <v>83</v>
      </c>
      <c r="I1941" s="4">
        <v>46037</v>
      </c>
      <c r="J1941" s="4">
        <v>46067</v>
      </c>
      <c r="K1941" t="s">
        <v>343</v>
      </c>
      <c r="L1941" t="s">
        <v>18</v>
      </c>
      <c r="M1941" t="s">
        <v>19</v>
      </c>
      <c r="N1941" t="s">
        <v>369</v>
      </c>
      <c r="O1941">
        <v>30</v>
      </c>
    </row>
    <row r="1942" spans="1:15" hidden="1" x14ac:dyDescent="0.25">
      <c r="A1942" t="s">
        <v>2820</v>
      </c>
      <c r="B1942" t="s">
        <v>1960</v>
      </c>
      <c r="C1942" t="s">
        <v>1961</v>
      </c>
      <c r="D1942" t="s">
        <v>1962</v>
      </c>
      <c r="E1942" t="s">
        <v>3463</v>
      </c>
      <c r="F1942" s="3">
        <v>702405</v>
      </c>
      <c r="G1942" s="2">
        <f t="shared" si="60"/>
        <v>30</v>
      </c>
      <c r="H1942" s="2">
        <f t="shared" ca="1" si="61"/>
        <v>83</v>
      </c>
      <c r="I1942" s="4">
        <v>46037</v>
      </c>
      <c r="J1942" s="4">
        <v>46067</v>
      </c>
      <c r="K1942" t="s">
        <v>343</v>
      </c>
      <c r="L1942" t="s">
        <v>18</v>
      </c>
      <c r="M1942" t="s">
        <v>19</v>
      </c>
      <c r="N1942" t="s">
        <v>1963</v>
      </c>
      <c r="O1942">
        <v>30</v>
      </c>
    </row>
    <row r="1943" spans="1:15" hidden="1" x14ac:dyDescent="0.25">
      <c r="A1943" t="s">
        <v>2820</v>
      </c>
      <c r="B1943" t="s">
        <v>358</v>
      </c>
      <c r="C1943" t="s">
        <v>359</v>
      </c>
      <c r="D1943" t="s">
        <v>347</v>
      </c>
      <c r="E1943" t="s">
        <v>3464</v>
      </c>
      <c r="F1943" s="3">
        <v>2769519</v>
      </c>
      <c r="G1943" s="2">
        <f t="shared" si="60"/>
        <v>30</v>
      </c>
      <c r="H1943" s="2">
        <f t="shared" ca="1" si="61"/>
        <v>83</v>
      </c>
      <c r="I1943" s="4">
        <v>46037</v>
      </c>
      <c r="J1943" s="4">
        <v>46067</v>
      </c>
      <c r="K1943" t="s">
        <v>343</v>
      </c>
      <c r="L1943" t="s">
        <v>18</v>
      </c>
      <c r="M1943" t="s">
        <v>19</v>
      </c>
      <c r="N1943" t="s">
        <v>360</v>
      </c>
      <c r="O1943">
        <v>30</v>
      </c>
    </row>
    <row r="1944" spans="1:15" hidden="1" x14ac:dyDescent="0.25">
      <c r="A1944" t="s">
        <v>2820</v>
      </c>
      <c r="B1944" t="s">
        <v>373</v>
      </c>
      <c r="C1944" t="s">
        <v>374</v>
      </c>
      <c r="D1944" t="s">
        <v>204</v>
      </c>
      <c r="E1944" t="s">
        <v>3465</v>
      </c>
      <c r="F1944" s="3">
        <v>331306</v>
      </c>
      <c r="G1944" s="2">
        <f t="shared" si="60"/>
        <v>30</v>
      </c>
      <c r="H1944" s="2">
        <f t="shared" ca="1" si="61"/>
        <v>83</v>
      </c>
      <c r="I1944" s="4">
        <v>46037</v>
      </c>
      <c r="J1944" s="4">
        <v>46067</v>
      </c>
      <c r="K1944" t="s">
        <v>343</v>
      </c>
      <c r="L1944" t="s">
        <v>18</v>
      </c>
      <c r="M1944" t="s">
        <v>19</v>
      </c>
      <c r="N1944" t="s">
        <v>375</v>
      </c>
      <c r="O1944">
        <v>30</v>
      </c>
    </row>
    <row r="1945" spans="1:15" hidden="1" x14ac:dyDescent="0.25">
      <c r="A1945" t="s">
        <v>2820</v>
      </c>
      <c r="B1945" t="s">
        <v>373</v>
      </c>
      <c r="C1945" t="s">
        <v>374</v>
      </c>
      <c r="D1945" t="s">
        <v>204</v>
      </c>
      <c r="E1945" t="s">
        <v>3466</v>
      </c>
      <c r="F1945" s="3">
        <v>2830586</v>
      </c>
      <c r="G1945" s="2">
        <f t="shared" si="60"/>
        <v>30</v>
      </c>
      <c r="H1945" s="2">
        <f t="shared" ca="1" si="61"/>
        <v>83</v>
      </c>
      <c r="I1945" s="4">
        <v>46037</v>
      </c>
      <c r="J1945" s="4">
        <v>46067</v>
      </c>
      <c r="K1945" t="s">
        <v>343</v>
      </c>
      <c r="L1945" t="s">
        <v>18</v>
      </c>
      <c r="M1945" t="s">
        <v>19</v>
      </c>
      <c r="N1945" t="s">
        <v>375</v>
      </c>
      <c r="O1945">
        <v>30</v>
      </c>
    </row>
    <row r="1946" spans="1:15" hidden="1" x14ac:dyDescent="0.25">
      <c r="A1946" t="s">
        <v>2820</v>
      </c>
      <c r="B1946" t="s">
        <v>3467</v>
      </c>
      <c r="C1946" t="s">
        <v>3468</v>
      </c>
      <c r="D1946" t="s">
        <v>204</v>
      </c>
      <c r="E1946" t="s">
        <v>3469</v>
      </c>
      <c r="F1946" s="3">
        <v>807617</v>
      </c>
      <c r="G1946" s="2">
        <f t="shared" si="60"/>
        <v>30</v>
      </c>
      <c r="H1946" s="2">
        <f t="shared" ca="1" si="61"/>
        <v>83</v>
      </c>
      <c r="I1946" s="4">
        <v>46037</v>
      </c>
      <c r="J1946" s="4">
        <v>46067</v>
      </c>
      <c r="K1946" t="s">
        <v>343</v>
      </c>
      <c r="L1946" t="s">
        <v>47</v>
      </c>
      <c r="M1946" t="s">
        <v>19</v>
      </c>
      <c r="N1946" t="s">
        <v>3470</v>
      </c>
      <c r="O1946">
        <v>30</v>
      </c>
    </row>
    <row r="1947" spans="1:15" hidden="1" x14ac:dyDescent="0.25">
      <c r="A1947" t="s">
        <v>2820</v>
      </c>
      <c r="B1947" t="s">
        <v>384</v>
      </c>
      <c r="C1947" t="s">
        <v>385</v>
      </c>
      <c r="D1947" t="s">
        <v>347</v>
      </c>
      <c r="E1947" t="s">
        <v>3471</v>
      </c>
      <c r="F1947" s="3">
        <v>695454</v>
      </c>
      <c r="G1947" s="2">
        <f t="shared" si="60"/>
        <v>30</v>
      </c>
      <c r="H1947" s="2">
        <f t="shared" ca="1" si="61"/>
        <v>83</v>
      </c>
      <c r="I1947" s="4">
        <v>46037</v>
      </c>
      <c r="J1947" s="4">
        <v>46067</v>
      </c>
      <c r="K1947" t="s">
        <v>343</v>
      </c>
      <c r="L1947" t="s">
        <v>18</v>
      </c>
      <c r="M1947" t="s">
        <v>19</v>
      </c>
      <c r="N1947" t="s">
        <v>386</v>
      </c>
      <c r="O1947">
        <v>30</v>
      </c>
    </row>
    <row r="1948" spans="1:15" hidden="1" x14ac:dyDescent="0.25">
      <c r="A1948" t="s">
        <v>2820</v>
      </c>
      <c r="B1948" t="s">
        <v>370</v>
      </c>
      <c r="C1948" t="s">
        <v>371</v>
      </c>
      <c r="D1948" t="s">
        <v>347</v>
      </c>
      <c r="E1948" t="s">
        <v>3472</v>
      </c>
      <c r="F1948" s="3">
        <v>144699</v>
      </c>
      <c r="G1948" s="2">
        <f t="shared" si="60"/>
        <v>30</v>
      </c>
      <c r="H1948" s="2">
        <f t="shared" ca="1" si="61"/>
        <v>83</v>
      </c>
      <c r="I1948" s="4">
        <v>46037</v>
      </c>
      <c r="J1948" s="4">
        <v>46067</v>
      </c>
      <c r="K1948" t="s">
        <v>343</v>
      </c>
      <c r="L1948" t="s">
        <v>18</v>
      </c>
      <c r="M1948" t="s">
        <v>19</v>
      </c>
      <c r="N1948" t="s">
        <v>372</v>
      </c>
      <c r="O1948">
        <v>30</v>
      </c>
    </row>
    <row r="1949" spans="1:15" hidden="1" x14ac:dyDescent="0.25">
      <c r="A1949" t="s">
        <v>2820</v>
      </c>
      <c r="B1949" t="s">
        <v>1985</v>
      </c>
      <c r="C1949" t="s">
        <v>1986</v>
      </c>
      <c r="D1949" t="s">
        <v>1974</v>
      </c>
      <c r="E1949" t="s">
        <v>3551</v>
      </c>
      <c r="F1949" s="3">
        <v>4171143</v>
      </c>
      <c r="G1949" s="2">
        <f t="shared" si="60"/>
        <v>30</v>
      </c>
      <c r="H1949" s="2">
        <f t="shared" ca="1" si="61"/>
        <v>83</v>
      </c>
      <c r="I1949" s="4">
        <v>46037</v>
      </c>
      <c r="J1949" s="4">
        <v>46067</v>
      </c>
      <c r="K1949" t="s">
        <v>1063</v>
      </c>
      <c r="L1949" t="s">
        <v>981</v>
      </c>
      <c r="M1949" t="s">
        <v>19</v>
      </c>
      <c r="N1949" t="s">
        <v>1987</v>
      </c>
      <c r="O1949">
        <v>30</v>
      </c>
    </row>
    <row r="1950" spans="1:15" hidden="1" x14ac:dyDescent="0.25">
      <c r="A1950" t="s">
        <v>2820</v>
      </c>
      <c r="B1950" t="s">
        <v>1985</v>
      </c>
      <c r="C1950" t="s">
        <v>1986</v>
      </c>
      <c r="D1950" t="s">
        <v>1974</v>
      </c>
      <c r="E1950" t="s">
        <v>3552</v>
      </c>
      <c r="F1950" s="3">
        <v>1041869</v>
      </c>
      <c r="G1950" s="2">
        <f t="shared" si="60"/>
        <v>30</v>
      </c>
      <c r="H1950" s="2">
        <f t="shared" ca="1" si="61"/>
        <v>83</v>
      </c>
      <c r="I1950" s="4">
        <v>46037</v>
      </c>
      <c r="J1950" s="4">
        <v>46067</v>
      </c>
      <c r="K1950" t="s">
        <v>1063</v>
      </c>
      <c r="L1950" t="s">
        <v>981</v>
      </c>
      <c r="M1950" t="s">
        <v>19</v>
      </c>
      <c r="N1950" t="s">
        <v>1987</v>
      </c>
      <c r="O1950">
        <v>30</v>
      </c>
    </row>
    <row r="1951" spans="1:15" hidden="1" x14ac:dyDescent="0.25">
      <c r="A1951" t="s">
        <v>2820</v>
      </c>
      <c r="B1951" t="s">
        <v>1110</v>
      </c>
      <c r="C1951" t="s">
        <v>1111</v>
      </c>
      <c r="D1951" t="s">
        <v>320</v>
      </c>
      <c r="E1951" t="s">
        <v>3567</v>
      </c>
      <c r="F1951" s="3">
        <v>2862619</v>
      </c>
      <c r="G1951" s="2">
        <f t="shared" si="60"/>
        <v>30</v>
      </c>
      <c r="H1951" s="2">
        <f t="shared" ca="1" si="61"/>
        <v>83</v>
      </c>
      <c r="I1951" s="4">
        <v>46037</v>
      </c>
      <c r="J1951" s="4">
        <v>46067</v>
      </c>
      <c r="K1951" t="s">
        <v>1068</v>
      </c>
      <c r="L1951" t="s">
        <v>207</v>
      </c>
      <c r="M1951" t="s">
        <v>19</v>
      </c>
      <c r="N1951" t="s">
        <v>149</v>
      </c>
      <c r="O1951">
        <v>30</v>
      </c>
    </row>
    <row r="1952" spans="1:15" hidden="1" x14ac:dyDescent="0.25">
      <c r="A1952" t="s">
        <v>2820</v>
      </c>
      <c r="B1952" t="s">
        <v>1107</v>
      </c>
      <c r="C1952" t="s">
        <v>1108</v>
      </c>
      <c r="D1952" t="s">
        <v>320</v>
      </c>
      <c r="E1952" t="s">
        <v>3568</v>
      </c>
      <c r="F1952" s="3">
        <v>2612629</v>
      </c>
      <c r="G1952" s="2">
        <f t="shared" si="60"/>
        <v>30</v>
      </c>
      <c r="H1952" s="2">
        <f t="shared" ca="1" si="61"/>
        <v>83</v>
      </c>
      <c r="I1952" s="4">
        <v>46037</v>
      </c>
      <c r="J1952" s="4">
        <v>46067</v>
      </c>
      <c r="K1952" t="s">
        <v>1068</v>
      </c>
      <c r="L1952" t="s">
        <v>207</v>
      </c>
      <c r="M1952" t="s">
        <v>19</v>
      </c>
      <c r="N1952" t="s">
        <v>1109</v>
      </c>
      <c r="O1952">
        <v>30</v>
      </c>
    </row>
    <row r="1953" spans="1:15" hidden="1" x14ac:dyDescent="0.25">
      <c r="A1953" t="s">
        <v>2820</v>
      </c>
      <c r="B1953" t="s">
        <v>1112</v>
      </c>
      <c r="C1953" t="s">
        <v>1113</v>
      </c>
      <c r="D1953" t="s">
        <v>320</v>
      </c>
      <c r="E1953" t="s">
        <v>3569</v>
      </c>
      <c r="F1953" s="3">
        <v>1149860</v>
      </c>
      <c r="G1953" s="2">
        <f t="shared" si="60"/>
        <v>30</v>
      </c>
      <c r="H1953" s="2">
        <f t="shared" ca="1" si="61"/>
        <v>83</v>
      </c>
      <c r="I1953" s="4">
        <v>46037</v>
      </c>
      <c r="J1953" s="4">
        <v>46067</v>
      </c>
      <c r="K1953" t="s">
        <v>1068</v>
      </c>
      <c r="L1953" t="s">
        <v>207</v>
      </c>
      <c r="M1953" t="s">
        <v>19</v>
      </c>
      <c r="N1953" t="s">
        <v>1114</v>
      </c>
      <c r="O1953">
        <v>30</v>
      </c>
    </row>
    <row r="1954" spans="1:15" hidden="1" x14ac:dyDescent="0.25">
      <c r="A1954" t="s">
        <v>2820</v>
      </c>
      <c r="B1954" t="s">
        <v>3081</v>
      </c>
      <c r="C1954" t="s">
        <v>3082</v>
      </c>
      <c r="D1954" t="s">
        <v>1209</v>
      </c>
      <c r="E1954" t="s">
        <v>3615</v>
      </c>
      <c r="F1954" s="3">
        <v>158263</v>
      </c>
      <c r="G1954" s="2">
        <f t="shared" si="60"/>
        <v>15</v>
      </c>
      <c r="H1954" s="2">
        <f t="shared" ca="1" si="61"/>
        <v>83</v>
      </c>
      <c r="I1954" s="4">
        <v>46037</v>
      </c>
      <c r="J1954" s="4">
        <v>46052</v>
      </c>
      <c r="K1954" t="s">
        <v>1202</v>
      </c>
      <c r="L1954" t="s">
        <v>321</v>
      </c>
      <c r="M1954" t="s">
        <v>19</v>
      </c>
      <c r="N1954" t="s">
        <v>149</v>
      </c>
      <c r="O1954">
        <v>30</v>
      </c>
    </row>
    <row r="1955" spans="1:15" hidden="1" x14ac:dyDescent="0.25">
      <c r="A1955" t="s">
        <v>2820</v>
      </c>
      <c r="B1955" t="s">
        <v>1211</v>
      </c>
      <c r="C1955" t="s">
        <v>1212</v>
      </c>
      <c r="D1955" t="s">
        <v>1209</v>
      </c>
      <c r="E1955" t="s">
        <v>3616</v>
      </c>
      <c r="F1955" s="3">
        <v>314646</v>
      </c>
      <c r="G1955" s="2">
        <f t="shared" si="60"/>
        <v>15</v>
      </c>
      <c r="H1955" s="2">
        <f t="shared" ca="1" si="61"/>
        <v>83</v>
      </c>
      <c r="I1955" s="4">
        <v>46037</v>
      </c>
      <c r="J1955" s="4">
        <v>46052</v>
      </c>
      <c r="K1955" t="s">
        <v>1202</v>
      </c>
      <c r="L1955" t="s">
        <v>321</v>
      </c>
      <c r="M1955" t="s">
        <v>19</v>
      </c>
      <c r="N1955" t="s">
        <v>1213</v>
      </c>
      <c r="O1955">
        <v>30</v>
      </c>
    </row>
    <row r="1956" spans="1:15" hidden="1" x14ac:dyDescent="0.25">
      <c r="A1956" t="s">
        <v>2820</v>
      </c>
      <c r="B1956" t="s">
        <v>1211</v>
      </c>
      <c r="C1956" t="s">
        <v>1212</v>
      </c>
      <c r="D1956" t="s">
        <v>1209</v>
      </c>
      <c r="E1956" t="s">
        <v>3617</v>
      </c>
      <c r="F1956" s="3">
        <v>951145</v>
      </c>
      <c r="G1956" s="2">
        <f t="shared" si="60"/>
        <v>30</v>
      </c>
      <c r="H1956" s="2">
        <f t="shared" ca="1" si="61"/>
        <v>83</v>
      </c>
      <c r="I1956" s="4">
        <v>46037</v>
      </c>
      <c r="J1956" s="4">
        <v>46067</v>
      </c>
      <c r="K1956" t="s">
        <v>1202</v>
      </c>
      <c r="L1956" t="s">
        <v>321</v>
      </c>
      <c r="M1956" t="s">
        <v>19</v>
      </c>
      <c r="N1956" t="s">
        <v>1213</v>
      </c>
      <c r="O1956">
        <v>30</v>
      </c>
    </row>
    <row r="1957" spans="1:15" hidden="1" x14ac:dyDescent="0.25">
      <c r="A1957" t="s">
        <v>2820</v>
      </c>
      <c r="B1957" t="s">
        <v>2026</v>
      </c>
      <c r="C1957" t="s">
        <v>2027</v>
      </c>
      <c r="D1957" t="s">
        <v>1201</v>
      </c>
      <c r="E1957" t="s">
        <v>3618</v>
      </c>
      <c r="F1957" s="3">
        <v>314646</v>
      </c>
      <c r="G1957" s="2">
        <f t="shared" si="60"/>
        <v>10</v>
      </c>
      <c r="H1957" s="2">
        <f t="shared" ca="1" si="61"/>
        <v>83</v>
      </c>
      <c r="I1957" s="4">
        <v>46037</v>
      </c>
      <c r="J1957" s="4">
        <v>46047</v>
      </c>
      <c r="K1957" t="s">
        <v>1202</v>
      </c>
      <c r="L1957" t="s">
        <v>321</v>
      </c>
      <c r="M1957" t="s">
        <v>19</v>
      </c>
      <c r="N1957" t="s">
        <v>2028</v>
      </c>
      <c r="O1957">
        <v>30</v>
      </c>
    </row>
    <row r="1958" spans="1:15" hidden="1" x14ac:dyDescent="0.25">
      <c r="A1958" t="s">
        <v>2820</v>
      </c>
      <c r="B1958" t="s">
        <v>1272</v>
      </c>
      <c r="C1958" t="s">
        <v>1273</v>
      </c>
      <c r="D1958" t="s">
        <v>1259</v>
      </c>
      <c r="E1958" t="s">
        <v>3651</v>
      </c>
      <c r="F1958" s="3">
        <v>138016</v>
      </c>
      <c r="G1958" s="2">
        <f t="shared" si="60"/>
        <v>30</v>
      </c>
      <c r="H1958" s="2">
        <f t="shared" ca="1" si="61"/>
        <v>83</v>
      </c>
      <c r="I1958" s="4">
        <v>46037</v>
      </c>
      <c r="J1958" s="4">
        <v>46067</v>
      </c>
      <c r="K1958" t="s">
        <v>1260</v>
      </c>
      <c r="L1958" t="s">
        <v>981</v>
      </c>
      <c r="M1958" t="s">
        <v>19</v>
      </c>
      <c r="N1958" t="s">
        <v>1274</v>
      </c>
      <c r="O1958">
        <v>30</v>
      </c>
    </row>
    <row r="1959" spans="1:15" hidden="1" x14ac:dyDescent="0.25">
      <c r="A1959" t="s">
        <v>2820</v>
      </c>
      <c r="B1959" t="s">
        <v>205</v>
      </c>
      <c r="C1959" t="s">
        <v>206</v>
      </c>
      <c r="D1959" t="s">
        <v>15</v>
      </c>
      <c r="E1959" t="s">
        <v>3652</v>
      </c>
      <c r="F1959" s="3">
        <v>25855</v>
      </c>
      <c r="G1959" s="2">
        <f t="shared" si="60"/>
        <v>1</v>
      </c>
      <c r="H1959" s="2">
        <f t="shared" ca="1" si="61"/>
        <v>83</v>
      </c>
      <c r="I1959" s="4">
        <v>46037</v>
      </c>
      <c r="J1959" s="4">
        <v>46038</v>
      </c>
      <c r="K1959" t="s">
        <v>1260</v>
      </c>
      <c r="L1959" t="s">
        <v>981</v>
      </c>
      <c r="M1959" t="s">
        <v>19</v>
      </c>
      <c r="N1959" t="s">
        <v>149</v>
      </c>
      <c r="O1959">
        <v>1</v>
      </c>
    </row>
    <row r="1960" spans="1:15" hidden="1" x14ac:dyDescent="0.25">
      <c r="A1960" t="s">
        <v>2820</v>
      </c>
      <c r="B1960" t="s">
        <v>1351</v>
      </c>
      <c r="C1960" t="s">
        <v>1352</v>
      </c>
      <c r="D1960" t="s">
        <v>1323</v>
      </c>
      <c r="E1960" t="s">
        <v>3673</v>
      </c>
      <c r="F1960" s="3">
        <v>1938409</v>
      </c>
      <c r="G1960" s="2">
        <f t="shared" si="60"/>
        <v>30</v>
      </c>
      <c r="H1960" s="2">
        <f t="shared" ca="1" si="61"/>
        <v>83</v>
      </c>
      <c r="I1960" s="4">
        <v>46037</v>
      </c>
      <c r="J1960" s="4">
        <v>46067</v>
      </c>
      <c r="K1960" t="s">
        <v>1325</v>
      </c>
      <c r="L1960" t="s">
        <v>90</v>
      </c>
      <c r="M1960" t="s">
        <v>19</v>
      </c>
      <c r="N1960" t="s">
        <v>1353</v>
      </c>
      <c r="O1960">
        <v>30</v>
      </c>
    </row>
    <row r="1961" spans="1:15" hidden="1" x14ac:dyDescent="0.25">
      <c r="A1961" t="s">
        <v>2820</v>
      </c>
      <c r="B1961" t="s">
        <v>1354</v>
      </c>
      <c r="C1961" t="s">
        <v>1355</v>
      </c>
      <c r="D1961" t="s">
        <v>382</v>
      </c>
      <c r="E1961" t="s">
        <v>3674</v>
      </c>
      <c r="F1961" s="3">
        <v>2729525</v>
      </c>
      <c r="G1961" s="2">
        <f t="shared" si="60"/>
        <v>30</v>
      </c>
      <c r="H1961" s="2">
        <f t="shared" ca="1" si="61"/>
        <v>83</v>
      </c>
      <c r="I1961" s="4">
        <v>46037</v>
      </c>
      <c r="J1961" s="4">
        <v>46067</v>
      </c>
      <c r="K1961" t="s">
        <v>1325</v>
      </c>
      <c r="L1961" t="s">
        <v>90</v>
      </c>
      <c r="M1961" t="s">
        <v>19</v>
      </c>
      <c r="N1961" t="s">
        <v>1356</v>
      </c>
      <c r="O1961">
        <v>30</v>
      </c>
    </row>
    <row r="1962" spans="1:15" hidden="1" x14ac:dyDescent="0.25">
      <c r="A1962" t="s">
        <v>2820</v>
      </c>
      <c r="B1962" t="s">
        <v>3665</v>
      </c>
      <c r="C1962" t="s">
        <v>3666</v>
      </c>
      <c r="D1962" t="s">
        <v>1323</v>
      </c>
      <c r="E1962" t="s">
        <v>3675</v>
      </c>
      <c r="F1962" s="3">
        <v>8552552</v>
      </c>
      <c r="G1962" s="2">
        <f t="shared" si="60"/>
        <v>30</v>
      </c>
      <c r="H1962" s="2">
        <f t="shared" ca="1" si="61"/>
        <v>83</v>
      </c>
      <c r="I1962" s="4">
        <v>46037</v>
      </c>
      <c r="J1962" s="4">
        <v>46067</v>
      </c>
      <c r="K1962" t="s">
        <v>1325</v>
      </c>
      <c r="L1962" t="s">
        <v>90</v>
      </c>
      <c r="M1962" t="s">
        <v>19</v>
      </c>
      <c r="N1962" t="s">
        <v>3668</v>
      </c>
      <c r="O1962">
        <v>30</v>
      </c>
    </row>
    <row r="1963" spans="1:15" hidden="1" x14ac:dyDescent="0.25">
      <c r="A1963" t="s">
        <v>2820</v>
      </c>
      <c r="B1963" t="s">
        <v>1379</v>
      </c>
      <c r="C1963" t="s">
        <v>1380</v>
      </c>
      <c r="D1963" t="s">
        <v>382</v>
      </c>
      <c r="E1963" t="s">
        <v>3676</v>
      </c>
      <c r="F1963" s="3">
        <v>1126852</v>
      </c>
      <c r="G1963" s="2">
        <f t="shared" si="60"/>
        <v>30</v>
      </c>
      <c r="H1963" s="2">
        <f t="shared" ca="1" si="61"/>
        <v>83</v>
      </c>
      <c r="I1963" s="4">
        <v>46037</v>
      </c>
      <c r="J1963" s="4">
        <v>46067</v>
      </c>
      <c r="K1963" t="s">
        <v>1325</v>
      </c>
      <c r="L1963" t="s">
        <v>90</v>
      </c>
      <c r="M1963" t="s">
        <v>19</v>
      </c>
      <c r="N1963" t="s">
        <v>1381</v>
      </c>
      <c r="O1963">
        <v>30</v>
      </c>
    </row>
    <row r="1964" spans="1:15" hidden="1" x14ac:dyDescent="0.25">
      <c r="A1964" t="s">
        <v>2820</v>
      </c>
      <c r="B1964" t="s">
        <v>1345</v>
      </c>
      <c r="C1964" t="s">
        <v>1346</v>
      </c>
      <c r="D1964" t="s">
        <v>382</v>
      </c>
      <c r="E1964" t="s">
        <v>3677</v>
      </c>
      <c r="F1964" s="3">
        <v>4313851</v>
      </c>
      <c r="G1964" s="2">
        <f t="shared" si="60"/>
        <v>30</v>
      </c>
      <c r="H1964" s="2">
        <f t="shared" ca="1" si="61"/>
        <v>83</v>
      </c>
      <c r="I1964" s="4">
        <v>46037</v>
      </c>
      <c r="J1964" s="4">
        <v>46067</v>
      </c>
      <c r="K1964" t="s">
        <v>1325</v>
      </c>
      <c r="L1964" t="s">
        <v>90</v>
      </c>
      <c r="M1964" t="s">
        <v>19</v>
      </c>
      <c r="N1964" t="s">
        <v>1347</v>
      </c>
      <c r="O1964">
        <v>30</v>
      </c>
    </row>
    <row r="1965" spans="1:15" hidden="1" x14ac:dyDescent="0.25">
      <c r="A1965" t="s">
        <v>2820</v>
      </c>
      <c r="B1965" t="s">
        <v>380</v>
      </c>
      <c r="C1965" t="s">
        <v>381</v>
      </c>
      <c r="D1965" t="s">
        <v>382</v>
      </c>
      <c r="E1965" t="s">
        <v>3678</v>
      </c>
      <c r="F1965" s="3">
        <v>1825742</v>
      </c>
      <c r="G1965" s="2">
        <f t="shared" si="60"/>
        <v>30</v>
      </c>
      <c r="H1965" s="2">
        <f t="shared" ca="1" si="61"/>
        <v>83</v>
      </c>
      <c r="I1965" s="4">
        <v>46037</v>
      </c>
      <c r="J1965" s="4">
        <v>46067</v>
      </c>
      <c r="K1965" t="s">
        <v>1325</v>
      </c>
      <c r="L1965" t="s">
        <v>90</v>
      </c>
      <c r="M1965" t="s">
        <v>19</v>
      </c>
      <c r="N1965" t="s">
        <v>383</v>
      </c>
      <c r="O1965">
        <v>30</v>
      </c>
    </row>
    <row r="1966" spans="1:15" hidden="1" x14ac:dyDescent="0.25">
      <c r="A1966" t="s">
        <v>2820</v>
      </c>
      <c r="B1966" t="s">
        <v>380</v>
      </c>
      <c r="C1966" t="s">
        <v>381</v>
      </c>
      <c r="D1966" t="s">
        <v>382</v>
      </c>
      <c r="E1966" t="s">
        <v>3679</v>
      </c>
      <c r="F1966" s="3">
        <v>13022533</v>
      </c>
      <c r="G1966" s="2">
        <f t="shared" si="60"/>
        <v>30</v>
      </c>
      <c r="H1966" s="2">
        <f t="shared" ca="1" si="61"/>
        <v>83</v>
      </c>
      <c r="I1966" s="4">
        <v>46037</v>
      </c>
      <c r="J1966" s="4">
        <v>46067</v>
      </c>
      <c r="K1966" t="s">
        <v>1325</v>
      </c>
      <c r="L1966" t="s">
        <v>90</v>
      </c>
      <c r="M1966" t="s">
        <v>19</v>
      </c>
      <c r="N1966" t="s">
        <v>383</v>
      </c>
      <c r="O1966">
        <v>30</v>
      </c>
    </row>
    <row r="1967" spans="1:15" hidden="1" x14ac:dyDescent="0.25">
      <c r="A1967" t="s">
        <v>2820</v>
      </c>
      <c r="B1967" t="s">
        <v>1357</v>
      </c>
      <c r="C1967" t="s">
        <v>1358</v>
      </c>
      <c r="D1967" t="s">
        <v>1359</v>
      </c>
      <c r="E1967" t="s">
        <v>3680</v>
      </c>
      <c r="F1967" s="3">
        <v>7491813</v>
      </c>
      <c r="G1967" s="2">
        <f t="shared" si="60"/>
        <v>30</v>
      </c>
      <c r="H1967" s="2">
        <f t="shared" ca="1" si="61"/>
        <v>83</v>
      </c>
      <c r="I1967" s="4">
        <v>46037</v>
      </c>
      <c r="J1967" s="4">
        <v>46067</v>
      </c>
      <c r="K1967" t="s">
        <v>1325</v>
      </c>
      <c r="L1967" t="s">
        <v>90</v>
      </c>
      <c r="M1967" t="s">
        <v>19</v>
      </c>
      <c r="N1967" t="s">
        <v>1360</v>
      </c>
      <c r="O1967">
        <v>30</v>
      </c>
    </row>
    <row r="1968" spans="1:15" hidden="1" x14ac:dyDescent="0.25">
      <c r="A1968" t="s">
        <v>2820</v>
      </c>
      <c r="B1968" t="s">
        <v>1364</v>
      </c>
      <c r="C1968" t="s">
        <v>1365</v>
      </c>
      <c r="D1968" t="s">
        <v>1323</v>
      </c>
      <c r="E1968" t="s">
        <v>3681</v>
      </c>
      <c r="F1968" s="3">
        <v>1417918</v>
      </c>
      <c r="G1968" s="2">
        <f t="shared" si="60"/>
        <v>30</v>
      </c>
      <c r="H1968" s="2">
        <f t="shared" ca="1" si="61"/>
        <v>83</v>
      </c>
      <c r="I1968" s="4">
        <v>46037</v>
      </c>
      <c r="J1968" s="4">
        <v>46067</v>
      </c>
      <c r="K1968" t="s">
        <v>1325</v>
      </c>
      <c r="L1968" t="s">
        <v>90</v>
      </c>
      <c r="M1968" t="s">
        <v>19</v>
      </c>
      <c r="N1968" t="s">
        <v>1366</v>
      </c>
      <c r="O1968">
        <v>30</v>
      </c>
    </row>
    <row r="1969" spans="1:15" hidden="1" x14ac:dyDescent="0.25">
      <c r="A1969" t="s">
        <v>2820</v>
      </c>
      <c r="B1969" t="s">
        <v>1364</v>
      </c>
      <c r="C1969" t="s">
        <v>1365</v>
      </c>
      <c r="D1969" t="s">
        <v>1323</v>
      </c>
      <c r="E1969" t="s">
        <v>3682</v>
      </c>
      <c r="F1969" s="3">
        <v>1898064</v>
      </c>
      <c r="G1969" s="2">
        <f t="shared" si="60"/>
        <v>30</v>
      </c>
      <c r="H1969" s="2">
        <f t="shared" ca="1" si="61"/>
        <v>83</v>
      </c>
      <c r="I1969" s="4">
        <v>46037</v>
      </c>
      <c r="J1969" s="4">
        <v>46067</v>
      </c>
      <c r="K1969" t="s">
        <v>1325</v>
      </c>
      <c r="L1969" t="s">
        <v>90</v>
      </c>
      <c r="M1969" t="s">
        <v>19</v>
      </c>
      <c r="N1969" t="s">
        <v>1366</v>
      </c>
      <c r="O1969">
        <v>30</v>
      </c>
    </row>
    <row r="1970" spans="1:15" hidden="1" x14ac:dyDescent="0.25">
      <c r="A1970" t="s">
        <v>2820</v>
      </c>
      <c r="B1970" t="s">
        <v>1376</v>
      </c>
      <c r="C1970" t="s">
        <v>1377</v>
      </c>
      <c r="D1970" t="s">
        <v>1323</v>
      </c>
      <c r="E1970" t="s">
        <v>3683</v>
      </c>
      <c r="F1970" s="3">
        <v>6510799</v>
      </c>
      <c r="G1970" s="2">
        <f t="shared" si="60"/>
        <v>30</v>
      </c>
      <c r="H1970" s="2">
        <f t="shared" ca="1" si="61"/>
        <v>83</v>
      </c>
      <c r="I1970" s="4">
        <v>46037</v>
      </c>
      <c r="J1970" s="4">
        <v>46067</v>
      </c>
      <c r="K1970" t="s">
        <v>1325</v>
      </c>
      <c r="L1970" t="s">
        <v>90</v>
      </c>
      <c r="M1970" t="s">
        <v>19</v>
      </c>
      <c r="N1970" t="s">
        <v>1378</v>
      </c>
      <c r="O1970">
        <v>30</v>
      </c>
    </row>
    <row r="1971" spans="1:15" hidden="1" x14ac:dyDescent="0.25">
      <c r="A1971" t="s">
        <v>2820</v>
      </c>
      <c r="B1971" t="s">
        <v>1342</v>
      </c>
      <c r="C1971" t="s">
        <v>1343</v>
      </c>
      <c r="D1971" t="s">
        <v>1323</v>
      </c>
      <c r="E1971" t="s">
        <v>3684</v>
      </c>
      <c r="F1971" s="3">
        <v>333000</v>
      </c>
      <c r="G1971" s="2">
        <f t="shared" si="60"/>
        <v>30</v>
      </c>
      <c r="H1971" s="2">
        <f t="shared" ca="1" si="61"/>
        <v>83</v>
      </c>
      <c r="I1971" s="4">
        <v>46037</v>
      </c>
      <c r="J1971" s="4">
        <v>46067</v>
      </c>
      <c r="K1971" t="s">
        <v>1325</v>
      </c>
      <c r="L1971" t="s">
        <v>90</v>
      </c>
      <c r="M1971" t="s">
        <v>19</v>
      </c>
      <c r="N1971" t="s">
        <v>1344</v>
      </c>
      <c r="O1971">
        <v>30</v>
      </c>
    </row>
    <row r="1972" spans="1:15" hidden="1" x14ac:dyDescent="0.25">
      <c r="A1972" t="s">
        <v>2820</v>
      </c>
      <c r="B1972" t="s">
        <v>1345</v>
      </c>
      <c r="C1972" t="s">
        <v>1346</v>
      </c>
      <c r="D1972" t="s">
        <v>382</v>
      </c>
      <c r="E1972" t="s">
        <v>3685</v>
      </c>
      <c r="F1972" s="3">
        <v>24028161</v>
      </c>
      <c r="G1972" s="2">
        <f t="shared" si="60"/>
        <v>30</v>
      </c>
      <c r="H1972" s="2">
        <f t="shared" ca="1" si="61"/>
        <v>83</v>
      </c>
      <c r="I1972" s="4">
        <v>46037</v>
      </c>
      <c r="J1972" s="4">
        <v>46067</v>
      </c>
      <c r="K1972" t="s">
        <v>1325</v>
      </c>
      <c r="L1972" t="s">
        <v>90</v>
      </c>
      <c r="M1972" t="s">
        <v>19</v>
      </c>
      <c r="N1972" t="s">
        <v>1347</v>
      </c>
      <c r="O1972">
        <v>30</v>
      </c>
    </row>
    <row r="1973" spans="1:15" hidden="1" x14ac:dyDescent="0.25">
      <c r="A1973" t="s">
        <v>2820</v>
      </c>
      <c r="B1973" t="s">
        <v>1373</v>
      </c>
      <c r="C1973" t="s">
        <v>1374</v>
      </c>
      <c r="D1973" t="s">
        <v>382</v>
      </c>
      <c r="E1973" t="s">
        <v>3686</v>
      </c>
      <c r="F1973" s="3">
        <v>257130</v>
      </c>
      <c r="G1973" s="2">
        <f t="shared" si="60"/>
        <v>30</v>
      </c>
      <c r="H1973" s="2">
        <f t="shared" ca="1" si="61"/>
        <v>83</v>
      </c>
      <c r="I1973" s="4">
        <v>46037</v>
      </c>
      <c r="J1973" s="4">
        <v>46067</v>
      </c>
      <c r="K1973" t="s">
        <v>1325</v>
      </c>
      <c r="L1973" t="s">
        <v>90</v>
      </c>
      <c r="M1973" t="s">
        <v>19</v>
      </c>
      <c r="N1973" t="s">
        <v>1375</v>
      </c>
      <c r="O1973">
        <v>30</v>
      </c>
    </row>
    <row r="1974" spans="1:15" hidden="1" x14ac:dyDescent="0.25">
      <c r="A1974" t="s">
        <v>2820</v>
      </c>
      <c r="B1974" t="s">
        <v>2041</v>
      </c>
      <c r="C1974" t="s">
        <v>2042</v>
      </c>
      <c r="D1974" t="s">
        <v>1323</v>
      </c>
      <c r="E1974" t="s">
        <v>3687</v>
      </c>
      <c r="F1974" s="3">
        <v>4505769</v>
      </c>
      <c r="G1974" s="2">
        <f t="shared" si="60"/>
        <v>30</v>
      </c>
      <c r="H1974" s="2">
        <f t="shared" ca="1" si="61"/>
        <v>83</v>
      </c>
      <c r="I1974" s="4">
        <v>46037</v>
      </c>
      <c r="J1974" s="4">
        <v>46067</v>
      </c>
      <c r="K1974" t="s">
        <v>1325</v>
      </c>
      <c r="L1974" t="s">
        <v>90</v>
      </c>
      <c r="M1974" t="s">
        <v>19</v>
      </c>
      <c r="N1974" t="s">
        <v>2043</v>
      </c>
      <c r="O1974">
        <v>30</v>
      </c>
    </row>
    <row r="1975" spans="1:15" hidden="1" x14ac:dyDescent="0.25">
      <c r="A1975" t="s">
        <v>2820</v>
      </c>
      <c r="B1975" t="s">
        <v>1146</v>
      </c>
      <c r="C1975" t="s">
        <v>1147</v>
      </c>
      <c r="D1975" t="s">
        <v>1118</v>
      </c>
      <c r="E1975" t="s">
        <v>3735</v>
      </c>
      <c r="F1975" s="3">
        <v>3716855</v>
      </c>
      <c r="G1975" s="2">
        <f t="shared" si="60"/>
        <v>30</v>
      </c>
      <c r="H1975" s="2">
        <f t="shared" ca="1" si="61"/>
        <v>83</v>
      </c>
      <c r="I1975" s="4">
        <v>46037</v>
      </c>
      <c r="J1975" s="4">
        <v>46067</v>
      </c>
      <c r="K1975" t="s">
        <v>1528</v>
      </c>
      <c r="L1975" t="s">
        <v>207</v>
      </c>
      <c r="M1975" t="s">
        <v>19</v>
      </c>
      <c r="N1975" t="s">
        <v>1148</v>
      </c>
      <c r="O1975">
        <v>30</v>
      </c>
    </row>
    <row r="1976" spans="1:15" hidden="1" x14ac:dyDescent="0.25">
      <c r="A1976" t="s">
        <v>2820</v>
      </c>
      <c r="B1976" t="s">
        <v>1546</v>
      </c>
      <c r="C1976" t="s">
        <v>1547</v>
      </c>
      <c r="D1976" t="s">
        <v>1527</v>
      </c>
      <c r="E1976" t="s">
        <v>3736</v>
      </c>
      <c r="F1976" s="3">
        <v>2429600</v>
      </c>
      <c r="G1976" s="2">
        <f t="shared" si="60"/>
        <v>30</v>
      </c>
      <c r="H1976" s="2">
        <f t="shared" ca="1" si="61"/>
        <v>83</v>
      </c>
      <c r="I1976" s="4">
        <v>46037</v>
      </c>
      <c r="J1976" s="4">
        <v>46067</v>
      </c>
      <c r="K1976" t="s">
        <v>1528</v>
      </c>
      <c r="L1976" t="s">
        <v>207</v>
      </c>
      <c r="M1976" t="s">
        <v>19</v>
      </c>
      <c r="N1976" t="s">
        <v>1548</v>
      </c>
      <c r="O1976">
        <v>0</v>
      </c>
    </row>
    <row r="1977" spans="1:15" hidden="1" x14ac:dyDescent="0.25">
      <c r="A1977" t="s">
        <v>2820</v>
      </c>
      <c r="B1977" t="s">
        <v>3737</v>
      </c>
      <c r="C1977" t="s">
        <v>3738</v>
      </c>
      <c r="D1977" t="s">
        <v>1527</v>
      </c>
      <c r="E1977" t="s">
        <v>3739</v>
      </c>
      <c r="F1977" s="3">
        <v>1020986</v>
      </c>
      <c r="G1977" s="2">
        <f t="shared" si="60"/>
        <v>30</v>
      </c>
      <c r="H1977" s="2">
        <f t="shared" ca="1" si="61"/>
        <v>83</v>
      </c>
      <c r="I1977" s="4">
        <v>46037</v>
      </c>
      <c r="J1977" s="4">
        <v>46067</v>
      </c>
      <c r="K1977" t="s">
        <v>1528</v>
      </c>
      <c r="L1977" t="s">
        <v>207</v>
      </c>
      <c r="M1977" t="s">
        <v>19</v>
      </c>
      <c r="N1977" t="s">
        <v>3740</v>
      </c>
      <c r="O1977">
        <v>1</v>
      </c>
    </row>
    <row r="1978" spans="1:15" hidden="1" x14ac:dyDescent="0.25">
      <c r="A1978" t="s">
        <v>2820</v>
      </c>
      <c r="B1978" t="s">
        <v>1525</v>
      </c>
      <c r="C1978" t="s">
        <v>1526</v>
      </c>
      <c r="D1978" t="s">
        <v>1527</v>
      </c>
      <c r="E1978" t="s">
        <v>3741</v>
      </c>
      <c r="F1978" s="3">
        <v>1908164</v>
      </c>
      <c r="G1978" s="2">
        <f t="shared" si="60"/>
        <v>30</v>
      </c>
      <c r="H1978" s="2">
        <f t="shared" ca="1" si="61"/>
        <v>83</v>
      </c>
      <c r="I1978" s="4">
        <v>46037</v>
      </c>
      <c r="J1978" s="4">
        <v>46067</v>
      </c>
      <c r="K1978" t="s">
        <v>1528</v>
      </c>
      <c r="L1978" t="s">
        <v>207</v>
      </c>
      <c r="M1978" t="s">
        <v>19</v>
      </c>
      <c r="N1978" t="s">
        <v>1529</v>
      </c>
      <c r="O1978">
        <v>30</v>
      </c>
    </row>
    <row r="1979" spans="1:15" hidden="1" x14ac:dyDescent="0.25">
      <c r="A1979" t="s">
        <v>2820</v>
      </c>
      <c r="B1979" t="s">
        <v>1549</v>
      </c>
      <c r="C1979" t="s">
        <v>1550</v>
      </c>
      <c r="D1979" t="s">
        <v>1532</v>
      </c>
      <c r="E1979" t="s">
        <v>3742</v>
      </c>
      <c r="F1979" s="3">
        <v>595591</v>
      </c>
      <c r="G1979" s="2">
        <f t="shared" si="60"/>
        <v>30</v>
      </c>
      <c r="H1979" s="2">
        <f t="shared" ca="1" si="61"/>
        <v>83</v>
      </c>
      <c r="I1979" s="4">
        <v>46037</v>
      </c>
      <c r="J1979" s="4">
        <v>46067</v>
      </c>
      <c r="K1979" t="s">
        <v>1528</v>
      </c>
      <c r="L1979" t="s">
        <v>207</v>
      </c>
      <c r="M1979" t="s">
        <v>19</v>
      </c>
      <c r="N1979" t="s">
        <v>1551</v>
      </c>
      <c r="O1979">
        <v>30</v>
      </c>
    </row>
    <row r="1980" spans="1:15" hidden="1" x14ac:dyDescent="0.25">
      <c r="A1980" t="s">
        <v>2820</v>
      </c>
      <c r="B1980" t="s">
        <v>1534</v>
      </c>
      <c r="C1980" t="s">
        <v>1535</v>
      </c>
      <c r="D1980" t="s">
        <v>1527</v>
      </c>
      <c r="E1980" t="s">
        <v>3743</v>
      </c>
      <c r="F1980" s="3">
        <v>12329600</v>
      </c>
      <c r="G1980" s="2">
        <f t="shared" si="60"/>
        <v>30</v>
      </c>
      <c r="H1980" s="2">
        <f t="shared" ca="1" si="61"/>
        <v>83</v>
      </c>
      <c r="I1980" s="4">
        <v>46037</v>
      </c>
      <c r="J1980" s="4">
        <v>46067</v>
      </c>
      <c r="K1980" t="s">
        <v>1528</v>
      </c>
      <c r="L1980" t="s">
        <v>207</v>
      </c>
      <c r="M1980" t="s">
        <v>19</v>
      </c>
      <c r="N1980" t="s">
        <v>1536</v>
      </c>
      <c r="O1980">
        <v>30</v>
      </c>
    </row>
    <row r="1981" spans="1:15" hidden="1" x14ac:dyDescent="0.25">
      <c r="A1981" t="s">
        <v>2820</v>
      </c>
      <c r="B1981" t="s">
        <v>1534</v>
      </c>
      <c r="C1981" t="s">
        <v>1535</v>
      </c>
      <c r="D1981" t="s">
        <v>1527</v>
      </c>
      <c r="E1981" t="s">
        <v>3744</v>
      </c>
      <c r="F1981" s="3">
        <v>3699979</v>
      </c>
      <c r="G1981" s="2">
        <f t="shared" si="60"/>
        <v>30</v>
      </c>
      <c r="H1981" s="2">
        <f t="shared" ca="1" si="61"/>
        <v>83</v>
      </c>
      <c r="I1981" s="4">
        <v>46037</v>
      </c>
      <c r="J1981" s="4">
        <v>46067</v>
      </c>
      <c r="K1981" t="s">
        <v>1528</v>
      </c>
      <c r="L1981" t="s">
        <v>207</v>
      </c>
      <c r="M1981" t="s">
        <v>19</v>
      </c>
      <c r="N1981" t="s">
        <v>1536</v>
      </c>
      <c r="O1981">
        <v>30</v>
      </c>
    </row>
    <row r="1982" spans="1:15" hidden="1" x14ac:dyDescent="0.25">
      <c r="A1982" t="s">
        <v>2820</v>
      </c>
      <c r="B1982" t="s">
        <v>1537</v>
      </c>
      <c r="C1982" t="s">
        <v>1538</v>
      </c>
      <c r="D1982" t="s">
        <v>1527</v>
      </c>
      <c r="E1982" t="s">
        <v>3745</v>
      </c>
      <c r="F1982" s="3">
        <v>1251151</v>
      </c>
      <c r="G1982" s="2">
        <f t="shared" si="60"/>
        <v>30</v>
      </c>
      <c r="H1982" s="2">
        <f t="shared" ca="1" si="61"/>
        <v>83</v>
      </c>
      <c r="I1982" s="4">
        <v>46037</v>
      </c>
      <c r="J1982" s="4">
        <v>46067</v>
      </c>
      <c r="K1982" t="s">
        <v>1528</v>
      </c>
      <c r="L1982" t="s">
        <v>207</v>
      </c>
      <c r="M1982" t="s">
        <v>19</v>
      </c>
      <c r="N1982" t="s">
        <v>1539</v>
      </c>
      <c r="O1982">
        <v>30</v>
      </c>
    </row>
    <row r="1983" spans="1:15" hidden="1" x14ac:dyDescent="0.25">
      <c r="A1983" t="s">
        <v>2820</v>
      </c>
      <c r="B1983" t="s">
        <v>1554</v>
      </c>
      <c r="C1983" t="s">
        <v>1555</v>
      </c>
      <c r="D1983" t="s">
        <v>1532</v>
      </c>
      <c r="E1983" t="s">
        <v>3746</v>
      </c>
      <c r="F1983" s="3">
        <v>545000</v>
      </c>
      <c r="G1983" s="2">
        <f t="shared" si="60"/>
        <v>30</v>
      </c>
      <c r="H1983" s="2">
        <f t="shared" ca="1" si="61"/>
        <v>83</v>
      </c>
      <c r="I1983" s="4">
        <v>46037</v>
      </c>
      <c r="J1983" s="4">
        <v>46067</v>
      </c>
      <c r="K1983" t="s">
        <v>1528</v>
      </c>
      <c r="L1983" t="s">
        <v>207</v>
      </c>
      <c r="M1983" t="s">
        <v>19</v>
      </c>
      <c r="N1983" t="s">
        <v>1556</v>
      </c>
      <c r="O1983">
        <v>30</v>
      </c>
    </row>
    <row r="1984" spans="1:15" hidden="1" x14ac:dyDescent="0.25">
      <c r="A1984" t="s">
        <v>2820</v>
      </c>
      <c r="B1984" t="s">
        <v>1530</v>
      </c>
      <c r="C1984" t="s">
        <v>1531</v>
      </c>
      <c r="D1984" t="s">
        <v>1532</v>
      </c>
      <c r="E1984" t="s">
        <v>3747</v>
      </c>
      <c r="F1984" s="3">
        <v>1846898</v>
      </c>
      <c r="G1984" s="2">
        <f t="shared" si="60"/>
        <v>30</v>
      </c>
      <c r="H1984" s="2">
        <f t="shared" ca="1" si="61"/>
        <v>83</v>
      </c>
      <c r="I1984" s="4">
        <v>46037</v>
      </c>
      <c r="J1984" s="4">
        <v>46067</v>
      </c>
      <c r="K1984" t="s">
        <v>1528</v>
      </c>
      <c r="L1984" t="s">
        <v>207</v>
      </c>
      <c r="M1984" t="s">
        <v>19</v>
      </c>
      <c r="N1984" t="s">
        <v>1533</v>
      </c>
      <c r="O1984">
        <v>0</v>
      </c>
    </row>
    <row r="1985" spans="1:15" hidden="1" x14ac:dyDescent="0.25">
      <c r="A1985" t="s">
        <v>2820</v>
      </c>
      <c r="B1985" t="s">
        <v>1540</v>
      </c>
      <c r="C1985" t="s">
        <v>1541</v>
      </c>
      <c r="D1985" t="s">
        <v>1532</v>
      </c>
      <c r="E1985" t="s">
        <v>3748</v>
      </c>
      <c r="F1985" s="3">
        <v>1404894</v>
      </c>
      <c r="G1985" s="2">
        <f t="shared" si="60"/>
        <v>30</v>
      </c>
      <c r="H1985" s="2">
        <f t="shared" ca="1" si="61"/>
        <v>83</v>
      </c>
      <c r="I1985" s="4">
        <v>46037</v>
      </c>
      <c r="J1985" s="4">
        <v>46067</v>
      </c>
      <c r="K1985" t="s">
        <v>1528</v>
      </c>
      <c r="L1985" t="s">
        <v>207</v>
      </c>
      <c r="M1985" t="s">
        <v>19</v>
      </c>
      <c r="N1985" t="s">
        <v>1542</v>
      </c>
      <c r="O1985">
        <v>30</v>
      </c>
    </row>
    <row r="1986" spans="1:15" hidden="1" x14ac:dyDescent="0.25">
      <c r="A1986" t="s">
        <v>2820</v>
      </c>
      <c r="B1986" t="s">
        <v>1543</v>
      </c>
      <c r="C1986" t="s">
        <v>1544</v>
      </c>
      <c r="D1986" t="s">
        <v>1527</v>
      </c>
      <c r="E1986" t="s">
        <v>3749</v>
      </c>
      <c r="F1986" s="3">
        <v>2616490</v>
      </c>
      <c r="G1986" s="2">
        <f t="shared" ref="G1986:G2049" si="62">+J1986-I1986</f>
        <v>30</v>
      </c>
      <c r="H1986" s="2">
        <f t="shared" ref="H1986:H2049" ca="1" si="63">+TODAY()-I1986</f>
        <v>83</v>
      </c>
      <c r="I1986" s="4">
        <v>46037</v>
      </c>
      <c r="J1986" s="4">
        <v>46067</v>
      </c>
      <c r="K1986" t="s">
        <v>1528</v>
      </c>
      <c r="L1986" t="s">
        <v>207</v>
      </c>
      <c r="M1986" t="s">
        <v>19</v>
      </c>
      <c r="N1986" t="s">
        <v>1545</v>
      </c>
      <c r="O1986">
        <v>15</v>
      </c>
    </row>
    <row r="1987" spans="1:15" hidden="1" x14ac:dyDescent="0.25">
      <c r="A1987" t="s">
        <v>2820</v>
      </c>
      <c r="B1987" t="s">
        <v>1552</v>
      </c>
      <c r="C1987" t="s">
        <v>1553</v>
      </c>
      <c r="D1987" t="s">
        <v>1527</v>
      </c>
      <c r="E1987" t="s">
        <v>3750</v>
      </c>
      <c r="F1987" s="3">
        <v>822238</v>
      </c>
      <c r="G1987" s="2">
        <f t="shared" si="62"/>
        <v>30</v>
      </c>
      <c r="H1987" s="2">
        <f t="shared" ca="1" si="63"/>
        <v>83</v>
      </c>
      <c r="I1987" s="4">
        <v>46037</v>
      </c>
      <c r="J1987" s="4">
        <v>46067</v>
      </c>
      <c r="K1987" t="s">
        <v>1528</v>
      </c>
      <c r="L1987" t="s">
        <v>207</v>
      </c>
      <c r="M1987" t="s">
        <v>19</v>
      </c>
      <c r="N1987" t="s">
        <v>1539</v>
      </c>
      <c r="O1987">
        <v>30</v>
      </c>
    </row>
    <row r="1988" spans="1:15" hidden="1" x14ac:dyDescent="0.25">
      <c r="A1988" t="s">
        <v>2820</v>
      </c>
      <c r="B1988" t="s">
        <v>2113</v>
      </c>
      <c r="C1988" t="s">
        <v>2114</v>
      </c>
      <c r="D1988" t="s">
        <v>1527</v>
      </c>
      <c r="E1988" t="s">
        <v>3751</v>
      </c>
      <c r="F1988" s="3">
        <v>238513</v>
      </c>
      <c r="G1988" s="2">
        <f t="shared" si="62"/>
        <v>15</v>
      </c>
      <c r="H1988" s="2">
        <f t="shared" ca="1" si="63"/>
        <v>83</v>
      </c>
      <c r="I1988" s="4">
        <v>46037</v>
      </c>
      <c r="J1988" s="4">
        <v>46052</v>
      </c>
      <c r="K1988" t="s">
        <v>1528</v>
      </c>
      <c r="L1988" t="s">
        <v>312</v>
      </c>
      <c r="M1988" t="s">
        <v>19</v>
      </c>
      <c r="N1988" t="s">
        <v>2115</v>
      </c>
      <c r="O1988">
        <v>15</v>
      </c>
    </row>
    <row r="1989" spans="1:15" hidden="1" x14ac:dyDescent="0.25">
      <c r="A1989" t="s">
        <v>2820</v>
      </c>
      <c r="B1989" t="s">
        <v>1146</v>
      </c>
      <c r="C1989" t="s">
        <v>1147</v>
      </c>
      <c r="D1989" t="s">
        <v>1118</v>
      </c>
      <c r="E1989" t="s">
        <v>3752</v>
      </c>
      <c r="F1989" s="3">
        <v>378027</v>
      </c>
      <c r="G1989" s="2">
        <f t="shared" si="62"/>
        <v>15</v>
      </c>
      <c r="H1989" s="2">
        <f t="shared" ca="1" si="63"/>
        <v>83</v>
      </c>
      <c r="I1989" s="4">
        <v>46037</v>
      </c>
      <c r="J1989" s="4">
        <v>46052</v>
      </c>
      <c r="K1989" t="s">
        <v>1528</v>
      </c>
      <c r="L1989" t="s">
        <v>312</v>
      </c>
      <c r="M1989" t="s">
        <v>19</v>
      </c>
      <c r="N1989" t="s">
        <v>1148</v>
      </c>
      <c r="O1989">
        <v>30</v>
      </c>
    </row>
    <row r="1990" spans="1:15" hidden="1" x14ac:dyDescent="0.25">
      <c r="A1990" t="s">
        <v>2820</v>
      </c>
      <c r="B1990" t="s">
        <v>1525</v>
      </c>
      <c r="C1990" t="s">
        <v>1526</v>
      </c>
      <c r="D1990" t="s">
        <v>1527</v>
      </c>
      <c r="E1990" t="s">
        <v>3753</v>
      </c>
      <c r="F1990" s="3">
        <v>611721</v>
      </c>
      <c r="G1990" s="2">
        <f t="shared" si="62"/>
        <v>15</v>
      </c>
      <c r="H1990" s="2">
        <f t="shared" ca="1" si="63"/>
        <v>83</v>
      </c>
      <c r="I1990" s="4">
        <v>46037</v>
      </c>
      <c r="J1990" s="4">
        <v>46052</v>
      </c>
      <c r="K1990" t="s">
        <v>1528</v>
      </c>
      <c r="L1990" t="s">
        <v>312</v>
      </c>
      <c r="M1990" t="s">
        <v>19</v>
      </c>
      <c r="N1990" t="s">
        <v>1529</v>
      </c>
      <c r="O1990">
        <v>30</v>
      </c>
    </row>
    <row r="1991" spans="1:15" hidden="1" x14ac:dyDescent="0.25">
      <c r="A1991" t="s">
        <v>2820</v>
      </c>
      <c r="B1991" t="s">
        <v>1534</v>
      </c>
      <c r="C1991" t="s">
        <v>1535</v>
      </c>
      <c r="D1991" t="s">
        <v>1527</v>
      </c>
      <c r="E1991" t="s">
        <v>3754</v>
      </c>
      <c r="F1991" s="3">
        <v>998613</v>
      </c>
      <c r="G1991" s="2">
        <f t="shared" si="62"/>
        <v>15</v>
      </c>
      <c r="H1991" s="2">
        <f t="shared" ca="1" si="63"/>
        <v>83</v>
      </c>
      <c r="I1991" s="4">
        <v>46037</v>
      </c>
      <c r="J1991" s="4">
        <v>46052</v>
      </c>
      <c r="K1991" t="s">
        <v>1528</v>
      </c>
      <c r="L1991" t="s">
        <v>312</v>
      </c>
      <c r="M1991" t="s">
        <v>19</v>
      </c>
      <c r="N1991" t="s">
        <v>1536</v>
      </c>
      <c r="O1991">
        <v>30</v>
      </c>
    </row>
    <row r="1992" spans="1:15" hidden="1" x14ac:dyDescent="0.25">
      <c r="A1992" t="s">
        <v>2820</v>
      </c>
      <c r="B1992" t="s">
        <v>1530</v>
      </c>
      <c r="C1992" t="s">
        <v>1531</v>
      </c>
      <c r="D1992" t="s">
        <v>1532</v>
      </c>
      <c r="E1992" t="s">
        <v>3755</v>
      </c>
      <c r="F1992" s="3">
        <v>903601</v>
      </c>
      <c r="G1992" s="2">
        <f t="shared" si="62"/>
        <v>15</v>
      </c>
      <c r="H1992" s="2">
        <f t="shared" ca="1" si="63"/>
        <v>83</v>
      </c>
      <c r="I1992" s="4">
        <v>46037</v>
      </c>
      <c r="J1992" s="4">
        <v>46052</v>
      </c>
      <c r="K1992" t="s">
        <v>1528</v>
      </c>
      <c r="L1992" t="s">
        <v>312</v>
      </c>
      <c r="M1992" t="s">
        <v>19</v>
      </c>
      <c r="N1992" t="s">
        <v>1533</v>
      </c>
      <c r="O1992">
        <v>0</v>
      </c>
    </row>
    <row r="1993" spans="1:15" hidden="1" x14ac:dyDescent="0.25">
      <c r="A1993" t="s">
        <v>2820</v>
      </c>
      <c r="B1993" t="s">
        <v>1537</v>
      </c>
      <c r="C1993" t="s">
        <v>1538</v>
      </c>
      <c r="D1993" t="s">
        <v>1527</v>
      </c>
      <c r="E1993" t="s">
        <v>3756</v>
      </c>
      <c r="F1993" s="3">
        <v>226344</v>
      </c>
      <c r="G1993" s="2">
        <f t="shared" si="62"/>
        <v>15</v>
      </c>
      <c r="H1993" s="2">
        <f t="shared" ca="1" si="63"/>
        <v>83</v>
      </c>
      <c r="I1993" s="4">
        <v>46037</v>
      </c>
      <c r="J1993" s="4">
        <v>46052</v>
      </c>
      <c r="K1993" t="s">
        <v>1528</v>
      </c>
      <c r="L1993" t="s">
        <v>312</v>
      </c>
      <c r="M1993" t="s">
        <v>19</v>
      </c>
      <c r="N1993" t="s">
        <v>1539</v>
      </c>
      <c r="O1993">
        <v>30</v>
      </c>
    </row>
    <row r="1994" spans="1:15" hidden="1" x14ac:dyDescent="0.25">
      <c r="A1994" t="s">
        <v>2820</v>
      </c>
      <c r="B1994" t="s">
        <v>1607</v>
      </c>
      <c r="C1994" t="s">
        <v>1608</v>
      </c>
      <c r="D1994" t="s">
        <v>1593</v>
      </c>
      <c r="E1994" t="s">
        <v>3793</v>
      </c>
      <c r="F1994" s="3">
        <v>3150091</v>
      </c>
      <c r="G1994" s="2">
        <f t="shared" si="62"/>
        <v>30</v>
      </c>
      <c r="H1994" s="2">
        <f t="shared" ca="1" si="63"/>
        <v>83</v>
      </c>
      <c r="I1994" s="4">
        <v>46037</v>
      </c>
      <c r="J1994" s="4">
        <v>46067</v>
      </c>
      <c r="K1994" t="s">
        <v>1589</v>
      </c>
      <c r="L1994" t="s">
        <v>984</v>
      </c>
      <c r="M1994" t="s">
        <v>19</v>
      </c>
      <c r="N1994" t="s">
        <v>1609</v>
      </c>
      <c r="O1994">
        <v>30</v>
      </c>
    </row>
    <row r="1995" spans="1:15" hidden="1" x14ac:dyDescent="0.25">
      <c r="A1995" t="s">
        <v>2820</v>
      </c>
      <c r="B1995" t="s">
        <v>1637</v>
      </c>
      <c r="C1995" t="s">
        <v>1638</v>
      </c>
      <c r="D1995" t="s">
        <v>1593</v>
      </c>
      <c r="E1995" t="s">
        <v>3794</v>
      </c>
      <c r="F1995" s="3">
        <v>2285202</v>
      </c>
      <c r="G1995" s="2">
        <f t="shared" si="62"/>
        <v>30</v>
      </c>
      <c r="H1995" s="2">
        <f t="shared" ca="1" si="63"/>
        <v>83</v>
      </c>
      <c r="I1995" s="4">
        <v>46037</v>
      </c>
      <c r="J1995" s="4">
        <v>46067</v>
      </c>
      <c r="K1995" t="s">
        <v>1589</v>
      </c>
      <c r="L1995" t="s">
        <v>984</v>
      </c>
      <c r="M1995" t="s">
        <v>19</v>
      </c>
      <c r="N1995" t="s">
        <v>1639</v>
      </c>
      <c r="O1995">
        <v>30</v>
      </c>
    </row>
    <row r="1996" spans="1:15" hidden="1" x14ac:dyDescent="0.25">
      <c r="A1996" t="s">
        <v>2820</v>
      </c>
      <c r="B1996" t="s">
        <v>1637</v>
      </c>
      <c r="C1996" t="s">
        <v>1638</v>
      </c>
      <c r="D1996" t="s">
        <v>1593</v>
      </c>
      <c r="E1996" t="s">
        <v>3795</v>
      </c>
      <c r="F1996" s="3">
        <v>3494761</v>
      </c>
      <c r="G1996" s="2">
        <f t="shared" si="62"/>
        <v>30</v>
      </c>
      <c r="H1996" s="2">
        <f t="shared" ca="1" si="63"/>
        <v>83</v>
      </c>
      <c r="I1996" s="4">
        <v>46037</v>
      </c>
      <c r="J1996" s="4">
        <v>46067</v>
      </c>
      <c r="K1996" t="s">
        <v>1589</v>
      </c>
      <c r="L1996" t="s">
        <v>984</v>
      </c>
      <c r="M1996" t="s">
        <v>19</v>
      </c>
      <c r="N1996" t="s">
        <v>1639</v>
      </c>
      <c r="O1996">
        <v>30</v>
      </c>
    </row>
    <row r="1997" spans="1:15" hidden="1" x14ac:dyDescent="0.25">
      <c r="A1997" t="s">
        <v>2820</v>
      </c>
      <c r="B1997" t="s">
        <v>3168</v>
      </c>
      <c r="C1997" t="s">
        <v>3169</v>
      </c>
      <c r="D1997" t="s">
        <v>1593</v>
      </c>
      <c r="E1997" t="s">
        <v>3796</v>
      </c>
      <c r="F1997" s="3">
        <v>334490</v>
      </c>
      <c r="G1997" s="2">
        <f t="shared" si="62"/>
        <v>30</v>
      </c>
      <c r="H1997" s="2">
        <f t="shared" ca="1" si="63"/>
        <v>83</v>
      </c>
      <c r="I1997" s="4">
        <v>46037</v>
      </c>
      <c r="J1997" s="4">
        <v>46067</v>
      </c>
      <c r="K1997" t="s">
        <v>1589</v>
      </c>
      <c r="L1997" t="s">
        <v>984</v>
      </c>
      <c r="M1997" t="s">
        <v>19</v>
      </c>
      <c r="N1997" t="s">
        <v>3171</v>
      </c>
      <c r="O1997">
        <v>30</v>
      </c>
    </row>
    <row r="1998" spans="1:15" hidden="1" x14ac:dyDescent="0.25">
      <c r="A1998" t="s">
        <v>2820</v>
      </c>
      <c r="B1998" t="s">
        <v>1625</v>
      </c>
      <c r="C1998" t="s">
        <v>1626</v>
      </c>
      <c r="D1998" t="s">
        <v>1587</v>
      </c>
      <c r="E1998" t="s">
        <v>3797</v>
      </c>
      <c r="F1998" s="3">
        <v>895800</v>
      </c>
      <c r="G1998" s="2">
        <f t="shared" si="62"/>
        <v>30</v>
      </c>
      <c r="H1998" s="2">
        <f t="shared" ca="1" si="63"/>
        <v>83</v>
      </c>
      <c r="I1998" s="4">
        <v>46037</v>
      </c>
      <c r="J1998" s="4">
        <v>46067</v>
      </c>
      <c r="K1998" t="s">
        <v>1589</v>
      </c>
      <c r="L1998" t="s">
        <v>984</v>
      </c>
      <c r="M1998" t="s">
        <v>19</v>
      </c>
      <c r="N1998" t="s">
        <v>1627</v>
      </c>
      <c r="O1998">
        <v>30</v>
      </c>
    </row>
    <row r="1999" spans="1:15" hidden="1" x14ac:dyDescent="0.25">
      <c r="A1999" t="s">
        <v>2820</v>
      </c>
      <c r="B1999" t="s">
        <v>1625</v>
      </c>
      <c r="C1999" t="s">
        <v>1626</v>
      </c>
      <c r="D1999" t="s">
        <v>1587</v>
      </c>
      <c r="E1999" t="s">
        <v>3798</v>
      </c>
      <c r="F1999" s="3">
        <v>402183</v>
      </c>
      <c r="G1999" s="2">
        <f t="shared" si="62"/>
        <v>30</v>
      </c>
      <c r="H1999" s="2">
        <f t="shared" ca="1" si="63"/>
        <v>83</v>
      </c>
      <c r="I1999" s="4">
        <v>46037</v>
      </c>
      <c r="J1999" s="4">
        <v>46067</v>
      </c>
      <c r="K1999" t="s">
        <v>1589</v>
      </c>
      <c r="L1999" t="s">
        <v>984</v>
      </c>
      <c r="M1999" t="s">
        <v>19</v>
      </c>
      <c r="N1999" t="s">
        <v>1627</v>
      </c>
      <c r="O1999">
        <v>30</v>
      </c>
    </row>
    <row r="2000" spans="1:15" hidden="1" x14ac:dyDescent="0.25">
      <c r="A2000" t="s">
        <v>2820</v>
      </c>
      <c r="B2000" t="s">
        <v>1616</v>
      </c>
      <c r="C2000" t="s">
        <v>1617</v>
      </c>
      <c r="D2000" t="s">
        <v>1593</v>
      </c>
      <c r="E2000" t="s">
        <v>3799</v>
      </c>
      <c r="F2000" s="3">
        <v>205083</v>
      </c>
      <c r="G2000" s="2">
        <f t="shared" si="62"/>
        <v>30</v>
      </c>
      <c r="H2000" s="2">
        <f t="shared" ca="1" si="63"/>
        <v>83</v>
      </c>
      <c r="I2000" s="4">
        <v>46037</v>
      </c>
      <c r="J2000" s="4">
        <v>46067</v>
      </c>
      <c r="K2000" t="s">
        <v>1589</v>
      </c>
      <c r="L2000" t="s">
        <v>984</v>
      </c>
      <c r="M2000" t="s">
        <v>19</v>
      </c>
      <c r="N2000" t="s">
        <v>1618</v>
      </c>
      <c r="O2000">
        <v>30</v>
      </c>
    </row>
    <row r="2001" spans="1:15" hidden="1" x14ac:dyDescent="0.25">
      <c r="A2001" t="s">
        <v>2820</v>
      </c>
      <c r="B2001" t="s">
        <v>1595</v>
      </c>
      <c r="C2001" t="s">
        <v>1596</v>
      </c>
      <c r="D2001" t="s">
        <v>1593</v>
      </c>
      <c r="E2001" t="s">
        <v>3800</v>
      </c>
      <c r="F2001" s="3">
        <v>1397428</v>
      </c>
      <c r="G2001" s="2">
        <f t="shared" si="62"/>
        <v>30</v>
      </c>
      <c r="H2001" s="2">
        <f t="shared" ca="1" si="63"/>
        <v>83</v>
      </c>
      <c r="I2001" s="4">
        <v>46037</v>
      </c>
      <c r="J2001" s="4">
        <v>46067</v>
      </c>
      <c r="K2001" t="s">
        <v>1589</v>
      </c>
      <c r="L2001" t="s">
        <v>984</v>
      </c>
      <c r="M2001" t="s">
        <v>19</v>
      </c>
      <c r="N2001" t="s">
        <v>1597</v>
      </c>
      <c r="O2001">
        <v>30</v>
      </c>
    </row>
    <row r="2002" spans="1:15" hidden="1" x14ac:dyDescent="0.25">
      <c r="A2002" t="s">
        <v>2820</v>
      </c>
      <c r="B2002" t="s">
        <v>1643</v>
      </c>
      <c r="C2002" t="s">
        <v>1644</v>
      </c>
      <c r="D2002" t="s">
        <v>1587</v>
      </c>
      <c r="E2002" t="s">
        <v>3801</v>
      </c>
      <c r="F2002" s="3">
        <v>300200</v>
      </c>
      <c r="G2002" s="2">
        <f t="shared" si="62"/>
        <v>30</v>
      </c>
      <c r="H2002" s="2">
        <f t="shared" ca="1" si="63"/>
        <v>83</v>
      </c>
      <c r="I2002" s="4">
        <v>46037</v>
      </c>
      <c r="J2002" s="4">
        <v>46067</v>
      </c>
      <c r="K2002" t="s">
        <v>1589</v>
      </c>
      <c r="L2002" t="s">
        <v>984</v>
      </c>
      <c r="M2002" t="s">
        <v>19</v>
      </c>
      <c r="N2002" t="s">
        <v>1645</v>
      </c>
      <c r="O2002">
        <v>30</v>
      </c>
    </row>
    <row r="2003" spans="1:15" hidden="1" x14ac:dyDescent="0.25">
      <c r="A2003" t="s">
        <v>2820</v>
      </c>
      <c r="B2003" t="s">
        <v>1643</v>
      </c>
      <c r="C2003" t="s">
        <v>1644</v>
      </c>
      <c r="D2003" t="s">
        <v>1587</v>
      </c>
      <c r="E2003" t="s">
        <v>3802</v>
      </c>
      <c r="F2003" s="3">
        <v>250504</v>
      </c>
      <c r="G2003" s="2">
        <f t="shared" si="62"/>
        <v>30</v>
      </c>
      <c r="H2003" s="2">
        <f t="shared" ca="1" si="63"/>
        <v>83</v>
      </c>
      <c r="I2003" s="4">
        <v>46037</v>
      </c>
      <c r="J2003" s="4">
        <v>46067</v>
      </c>
      <c r="K2003" t="s">
        <v>1589</v>
      </c>
      <c r="L2003" t="s">
        <v>984</v>
      </c>
      <c r="M2003" t="s">
        <v>19</v>
      </c>
      <c r="N2003" t="s">
        <v>1645</v>
      </c>
      <c r="O2003">
        <v>30</v>
      </c>
    </row>
    <row r="2004" spans="1:15" hidden="1" x14ac:dyDescent="0.25">
      <c r="A2004" t="s">
        <v>2820</v>
      </c>
      <c r="B2004" t="s">
        <v>1943</v>
      </c>
      <c r="C2004" t="s">
        <v>1944</v>
      </c>
      <c r="D2004" t="s">
        <v>1587</v>
      </c>
      <c r="E2004" t="s">
        <v>3803</v>
      </c>
      <c r="F2004" s="3">
        <v>212040</v>
      </c>
      <c r="G2004" s="2">
        <f t="shared" si="62"/>
        <v>30</v>
      </c>
      <c r="H2004" s="2">
        <f t="shared" ca="1" si="63"/>
        <v>83</v>
      </c>
      <c r="I2004" s="4">
        <v>46037</v>
      </c>
      <c r="J2004" s="4">
        <v>46067</v>
      </c>
      <c r="K2004" t="s">
        <v>1589</v>
      </c>
      <c r="L2004" t="s">
        <v>984</v>
      </c>
      <c r="M2004" t="s">
        <v>19</v>
      </c>
      <c r="N2004" t="s">
        <v>1945</v>
      </c>
      <c r="O2004">
        <v>30</v>
      </c>
    </row>
    <row r="2005" spans="1:15" hidden="1" x14ac:dyDescent="0.25">
      <c r="A2005" t="s">
        <v>2820</v>
      </c>
      <c r="B2005" t="s">
        <v>1943</v>
      </c>
      <c r="C2005" t="s">
        <v>1944</v>
      </c>
      <c r="D2005" t="s">
        <v>1587</v>
      </c>
      <c r="E2005" t="s">
        <v>3804</v>
      </c>
      <c r="F2005" s="3">
        <v>653716</v>
      </c>
      <c r="G2005" s="2">
        <f t="shared" si="62"/>
        <v>30</v>
      </c>
      <c r="H2005" s="2">
        <f t="shared" ca="1" si="63"/>
        <v>83</v>
      </c>
      <c r="I2005" s="4">
        <v>46037</v>
      </c>
      <c r="J2005" s="4">
        <v>46067</v>
      </c>
      <c r="K2005" t="s">
        <v>1589</v>
      </c>
      <c r="L2005" t="s">
        <v>984</v>
      </c>
      <c r="M2005" t="s">
        <v>19</v>
      </c>
      <c r="N2005" t="s">
        <v>1945</v>
      </c>
      <c r="O2005">
        <v>30</v>
      </c>
    </row>
    <row r="2006" spans="1:15" hidden="1" x14ac:dyDescent="0.25">
      <c r="A2006" t="s">
        <v>2820</v>
      </c>
      <c r="B2006" t="s">
        <v>1649</v>
      </c>
      <c r="C2006" t="s">
        <v>1650</v>
      </c>
      <c r="D2006" t="s">
        <v>1593</v>
      </c>
      <c r="E2006" t="s">
        <v>3805</v>
      </c>
      <c r="F2006" s="3">
        <v>496988</v>
      </c>
      <c r="G2006" s="2">
        <f t="shared" si="62"/>
        <v>30</v>
      </c>
      <c r="H2006" s="2">
        <f t="shared" ca="1" si="63"/>
        <v>83</v>
      </c>
      <c r="I2006" s="4">
        <v>46037</v>
      </c>
      <c r="J2006" s="4">
        <v>46067</v>
      </c>
      <c r="K2006" t="s">
        <v>1589</v>
      </c>
      <c r="L2006" t="s">
        <v>984</v>
      </c>
      <c r="M2006" t="s">
        <v>19</v>
      </c>
      <c r="N2006" t="s">
        <v>1651</v>
      </c>
      <c r="O2006">
        <v>30</v>
      </c>
    </row>
    <row r="2007" spans="1:15" hidden="1" x14ac:dyDescent="0.25">
      <c r="A2007" t="s">
        <v>2820</v>
      </c>
      <c r="B2007" t="s">
        <v>1676</v>
      </c>
      <c r="C2007" t="s">
        <v>1677</v>
      </c>
      <c r="D2007" t="s">
        <v>1593</v>
      </c>
      <c r="E2007" t="s">
        <v>3806</v>
      </c>
      <c r="F2007" s="3">
        <v>274800</v>
      </c>
      <c r="G2007" s="2">
        <f t="shared" si="62"/>
        <v>15</v>
      </c>
      <c r="H2007" s="2">
        <f t="shared" ca="1" si="63"/>
        <v>83</v>
      </c>
      <c r="I2007" s="4">
        <v>46037</v>
      </c>
      <c r="J2007" s="4">
        <v>46052</v>
      </c>
      <c r="K2007" t="s">
        <v>1589</v>
      </c>
      <c r="L2007" t="s">
        <v>984</v>
      </c>
      <c r="M2007" t="s">
        <v>19</v>
      </c>
      <c r="N2007" t="s">
        <v>1678</v>
      </c>
      <c r="O2007">
        <v>30</v>
      </c>
    </row>
    <row r="2008" spans="1:15" hidden="1" x14ac:dyDescent="0.25">
      <c r="A2008" t="s">
        <v>2820</v>
      </c>
      <c r="B2008" t="s">
        <v>1679</v>
      </c>
      <c r="C2008" t="s">
        <v>1680</v>
      </c>
      <c r="D2008" t="s">
        <v>1593</v>
      </c>
      <c r="E2008" t="s">
        <v>3807</v>
      </c>
      <c r="F2008" s="3">
        <v>700922</v>
      </c>
      <c r="G2008" s="2">
        <f t="shared" si="62"/>
        <v>30</v>
      </c>
      <c r="H2008" s="2">
        <f t="shared" ca="1" si="63"/>
        <v>83</v>
      </c>
      <c r="I2008" s="4">
        <v>46037</v>
      </c>
      <c r="J2008" s="4">
        <v>46067</v>
      </c>
      <c r="K2008" t="s">
        <v>1589</v>
      </c>
      <c r="L2008" t="s">
        <v>984</v>
      </c>
      <c r="M2008" t="s">
        <v>19</v>
      </c>
      <c r="N2008" t="s">
        <v>1681</v>
      </c>
      <c r="O2008">
        <v>30</v>
      </c>
    </row>
    <row r="2009" spans="1:15" hidden="1" x14ac:dyDescent="0.25">
      <c r="A2009" t="s">
        <v>2820</v>
      </c>
      <c r="B2009" t="s">
        <v>1607</v>
      </c>
      <c r="C2009" t="s">
        <v>1608</v>
      </c>
      <c r="D2009" t="s">
        <v>1593</v>
      </c>
      <c r="E2009" t="s">
        <v>3808</v>
      </c>
      <c r="F2009" s="3">
        <v>3817601</v>
      </c>
      <c r="G2009" s="2">
        <f t="shared" si="62"/>
        <v>30</v>
      </c>
      <c r="H2009" s="2">
        <f t="shared" ca="1" si="63"/>
        <v>83</v>
      </c>
      <c r="I2009" s="4">
        <v>46037</v>
      </c>
      <c r="J2009" s="4">
        <v>46067</v>
      </c>
      <c r="K2009" t="s">
        <v>1589</v>
      </c>
      <c r="L2009" t="s">
        <v>984</v>
      </c>
      <c r="M2009" t="s">
        <v>19</v>
      </c>
      <c r="N2009" t="s">
        <v>1609</v>
      </c>
      <c r="O2009">
        <v>30</v>
      </c>
    </row>
    <row r="2010" spans="1:15" hidden="1" x14ac:dyDescent="0.25">
      <c r="A2010" t="s">
        <v>2820</v>
      </c>
      <c r="B2010" t="s">
        <v>70</v>
      </c>
      <c r="C2010" t="s">
        <v>71</v>
      </c>
      <c r="D2010" t="s">
        <v>15</v>
      </c>
      <c r="E2010" t="s">
        <v>3353</v>
      </c>
      <c r="F2010" s="3">
        <v>181200</v>
      </c>
      <c r="G2010" s="2">
        <f t="shared" si="62"/>
        <v>30</v>
      </c>
      <c r="H2010" s="2">
        <f t="shared" ca="1" si="63"/>
        <v>82</v>
      </c>
      <c r="I2010" s="4">
        <v>46038</v>
      </c>
      <c r="J2010" s="4">
        <v>46068</v>
      </c>
      <c r="K2010" t="s">
        <v>17</v>
      </c>
      <c r="L2010" t="s">
        <v>32</v>
      </c>
      <c r="M2010" t="s">
        <v>19</v>
      </c>
      <c r="N2010" t="s">
        <v>72</v>
      </c>
      <c r="O2010">
        <v>30</v>
      </c>
    </row>
    <row r="2011" spans="1:15" hidden="1" x14ac:dyDescent="0.25">
      <c r="A2011" t="s">
        <v>2820</v>
      </c>
      <c r="B2011" t="s">
        <v>61</v>
      </c>
      <c r="C2011" t="s">
        <v>62</v>
      </c>
      <c r="D2011" t="s">
        <v>46</v>
      </c>
      <c r="E2011" t="s">
        <v>3354</v>
      </c>
      <c r="F2011" s="3">
        <v>2100000</v>
      </c>
      <c r="G2011" s="2">
        <f t="shared" si="62"/>
        <v>10</v>
      </c>
      <c r="H2011" s="2">
        <f t="shared" ca="1" si="63"/>
        <v>82</v>
      </c>
      <c r="I2011" s="4">
        <v>46038</v>
      </c>
      <c r="J2011" s="4">
        <v>46048</v>
      </c>
      <c r="K2011" t="s">
        <v>17</v>
      </c>
      <c r="L2011" t="s">
        <v>32</v>
      </c>
      <c r="M2011" t="s">
        <v>19</v>
      </c>
      <c r="N2011" t="s">
        <v>63</v>
      </c>
      <c r="O2011">
        <v>30</v>
      </c>
    </row>
    <row r="2012" spans="1:15" hidden="1" x14ac:dyDescent="0.25">
      <c r="A2012" t="s">
        <v>2820</v>
      </c>
      <c r="B2012" t="s">
        <v>61</v>
      </c>
      <c r="C2012" t="s">
        <v>62</v>
      </c>
      <c r="D2012" t="s">
        <v>46</v>
      </c>
      <c r="E2012" t="s">
        <v>3355</v>
      </c>
      <c r="F2012" s="3">
        <v>5734939</v>
      </c>
      <c r="G2012" s="2">
        <f t="shared" si="62"/>
        <v>30</v>
      </c>
      <c r="H2012" s="2">
        <f t="shared" ca="1" si="63"/>
        <v>82</v>
      </c>
      <c r="I2012" s="4">
        <v>46038</v>
      </c>
      <c r="J2012" s="4">
        <v>46068</v>
      </c>
      <c r="K2012" t="s">
        <v>17</v>
      </c>
      <c r="L2012" t="s">
        <v>32</v>
      </c>
      <c r="M2012" t="s">
        <v>19</v>
      </c>
      <c r="N2012" t="s">
        <v>63</v>
      </c>
      <c r="O2012">
        <v>30</v>
      </c>
    </row>
    <row r="2013" spans="1:15" hidden="1" x14ac:dyDescent="0.25">
      <c r="A2013" t="s">
        <v>2820</v>
      </c>
      <c r="B2013" t="s">
        <v>82</v>
      </c>
      <c r="C2013" t="s">
        <v>83</v>
      </c>
      <c r="D2013" t="s">
        <v>15</v>
      </c>
      <c r="E2013" t="s">
        <v>3356</v>
      </c>
      <c r="F2013" s="3">
        <v>3949995</v>
      </c>
      <c r="G2013" s="2">
        <f t="shared" si="62"/>
        <v>30</v>
      </c>
      <c r="H2013" s="2">
        <f t="shared" ca="1" si="63"/>
        <v>82</v>
      </c>
      <c r="I2013" s="4">
        <v>46038</v>
      </c>
      <c r="J2013" s="4">
        <v>46068</v>
      </c>
      <c r="K2013" t="s">
        <v>17</v>
      </c>
      <c r="L2013" t="s">
        <v>32</v>
      </c>
      <c r="M2013" t="s">
        <v>19</v>
      </c>
      <c r="N2013" t="s">
        <v>84</v>
      </c>
      <c r="O2013">
        <v>30</v>
      </c>
    </row>
    <row r="2014" spans="1:15" hidden="1" x14ac:dyDescent="0.25">
      <c r="A2014" t="s">
        <v>2820</v>
      </c>
      <c r="B2014" t="s">
        <v>52</v>
      </c>
      <c r="C2014" t="s">
        <v>53</v>
      </c>
      <c r="D2014" t="s">
        <v>15</v>
      </c>
      <c r="E2014" t="s">
        <v>3357</v>
      </c>
      <c r="F2014" s="3">
        <v>1187123</v>
      </c>
      <c r="G2014" s="2">
        <f t="shared" si="62"/>
        <v>30</v>
      </c>
      <c r="H2014" s="2">
        <f t="shared" ca="1" si="63"/>
        <v>82</v>
      </c>
      <c r="I2014" s="4">
        <v>46038</v>
      </c>
      <c r="J2014" s="4">
        <v>46068</v>
      </c>
      <c r="K2014" t="s">
        <v>17</v>
      </c>
      <c r="L2014" t="s">
        <v>32</v>
      </c>
      <c r="M2014" t="s">
        <v>19</v>
      </c>
      <c r="N2014" t="s">
        <v>54</v>
      </c>
      <c r="O2014">
        <v>30</v>
      </c>
    </row>
    <row r="2015" spans="1:15" hidden="1" x14ac:dyDescent="0.25">
      <c r="A2015" t="s">
        <v>2820</v>
      </c>
      <c r="B2015" t="s">
        <v>52</v>
      </c>
      <c r="C2015" t="s">
        <v>53</v>
      </c>
      <c r="D2015" t="s">
        <v>15</v>
      </c>
      <c r="E2015" t="s">
        <v>3358</v>
      </c>
      <c r="F2015" s="3">
        <v>3683742</v>
      </c>
      <c r="G2015" s="2">
        <f t="shared" si="62"/>
        <v>30</v>
      </c>
      <c r="H2015" s="2">
        <f t="shared" ca="1" si="63"/>
        <v>82</v>
      </c>
      <c r="I2015" s="4">
        <v>46038</v>
      </c>
      <c r="J2015" s="4">
        <v>46068</v>
      </c>
      <c r="K2015" t="s">
        <v>17</v>
      </c>
      <c r="L2015" t="s">
        <v>32</v>
      </c>
      <c r="M2015" t="s">
        <v>19</v>
      </c>
      <c r="N2015" t="s">
        <v>54</v>
      </c>
      <c r="O2015">
        <v>30</v>
      </c>
    </row>
    <row r="2016" spans="1:15" hidden="1" x14ac:dyDescent="0.25">
      <c r="A2016" t="s">
        <v>2820</v>
      </c>
      <c r="B2016" t="s">
        <v>52</v>
      </c>
      <c r="C2016" t="s">
        <v>53</v>
      </c>
      <c r="D2016" t="s">
        <v>15</v>
      </c>
      <c r="E2016" t="s">
        <v>3359</v>
      </c>
      <c r="F2016" s="3">
        <v>163800</v>
      </c>
      <c r="G2016" s="2">
        <f t="shared" si="62"/>
        <v>30</v>
      </c>
      <c r="H2016" s="2">
        <f t="shared" ca="1" si="63"/>
        <v>82</v>
      </c>
      <c r="I2016" s="4">
        <v>46038</v>
      </c>
      <c r="J2016" s="4">
        <v>46068</v>
      </c>
      <c r="K2016" t="s">
        <v>17</v>
      </c>
      <c r="L2016" t="s">
        <v>32</v>
      </c>
      <c r="M2016" t="s">
        <v>19</v>
      </c>
      <c r="N2016" t="s">
        <v>54</v>
      </c>
      <c r="O2016">
        <v>30</v>
      </c>
    </row>
    <row r="2017" spans="1:15" hidden="1" x14ac:dyDescent="0.25">
      <c r="A2017" t="s">
        <v>2820</v>
      </c>
      <c r="B2017" t="s">
        <v>156</v>
      </c>
      <c r="C2017" t="s">
        <v>157</v>
      </c>
      <c r="D2017" t="s">
        <v>1289</v>
      </c>
      <c r="E2017" t="s">
        <v>3360</v>
      </c>
      <c r="F2017" s="3">
        <v>5725588</v>
      </c>
      <c r="G2017" s="2">
        <f t="shared" si="62"/>
        <v>30</v>
      </c>
      <c r="H2017" s="2">
        <f t="shared" ca="1" si="63"/>
        <v>82</v>
      </c>
      <c r="I2017" s="4">
        <v>46038</v>
      </c>
      <c r="J2017" s="4">
        <v>46068</v>
      </c>
      <c r="K2017" t="s">
        <v>17</v>
      </c>
      <c r="L2017" t="s">
        <v>47</v>
      </c>
      <c r="M2017" t="s">
        <v>19</v>
      </c>
      <c r="N2017" t="s">
        <v>158</v>
      </c>
      <c r="O2017">
        <v>30</v>
      </c>
    </row>
    <row r="2018" spans="1:15" hidden="1" x14ac:dyDescent="0.25">
      <c r="A2018" t="s">
        <v>2820</v>
      </c>
      <c r="B2018" t="s">
        <v>2303</v>
      </c>
      <c r="C2018" t="s">
        <v>2304</v>
      </c>
      <c r="D2018" t="s">
        <v>46</v>
      </c>
      <c r="E2018" t="s">
        <v>3361</v>
      </c>
      <c r="F2018" s="3">
        <v>420000</v>
      </c>
      <c r="G2018" s="2">
        <f t="shared" si="62"/>
        <v>10</v>
      </c>
      <c r="H2018" s="2">
        <f t="shared" ca="1" si="63"/>
        <v>82</v>
      </c>
      <c r="I2018" s="4">
        <v>46038</v>
      </c>
      <c r="J2018" s="4">
        <v>46048</v>
      </c>
      <c r="K2018" t="s">
        <v>17</v>
      </c>
      <c r="L2018" t="s">
        <v>32</v>
      </c>
      <c r="M2018" t="s">
        <v>19</v>
      </c>
      <c r="N2018" t="s">
        <v>2305</v>
      </c>
      <c r="O2018">
        <v>30</v>
      </c>
    </row>
    <row r="2019" spans="1:15" hidden="1" x14ac:dyDescent="0.25">
      <c r="A2019" t="s">
        <v>2820</v>
      </c>
      <c r="B2019" t="s">
        <v>114</v>
      </c>
      <c r="C2019" t="s">
        <v>115</v>
      </c>
      <c r="D2019" t="s">
        <v>15</v>
      </c>
      <c r="E2019" t="s">
        <v>3362</v>
      </c>
      <c r="F2019" s="3">
        <v>940044</v>
      </c>
      <c r="G2019" s="2">
        <f t="shared" si="62"/>
        <v>30</v>
      </c>
      <c r="H2019" s="2">
        <f t="shared" ca="1" si="63"/>
        <v>82</v>
      </c>
      <c r="I2019" s="4">
        <v>46038</v>
      </c>
      <c r="J2019" s="4">
        <v>46068</v>
      </c>
      <c r="K2019" t="s">
        <v>17</v>
      </c>
      <c r="L2019" t="s">
        <v>32</v>
      </c>
      <c r="M2019" t="s">
        <v>19</v>
      </c>
      <c r="N2019" t="s">
        <v>116</v>
      </c>
      <c r="O2019">
        <v>30</v>
      </c>
    </row>
    <row r="2020" spans="1:15" hidden="1" x14ac:dyDescent="0.25">
      <c r="A2020" t="s">
        <v>2820</v>
      </c>
      <c r="B2020" t="s">
        <v>2852</v>
      </c>
      <c r="C2020" t="s">
        <v>2853</v>
      </c>
      <c r="D2020" t="s">
        <v>15</v>
      </c>
      <c r="E2020" t="s">
        <v>3363</v>
      </c>
      <c r="F2020" s="3">
        <v>414009</v>
      </c>
      <c r="G2020" s="2">
        <f t="shared" si="62"/>
        <v>30</v>
      </c>
      <c r="H2020" s="2">
        <f t="shared" ca="1" si="63"/>
        <v>82</v>
      </c>
      <c r="I2020" s="4">
        <v>46038</v>
      </c>
      <c r="J2020" s="4">
        <v>46068</v>
      </c>
      <c r="K2020" t="s">
        <v>17</v>
      </c>
      <c r="L2020" t="s">
        <v>32</v>
      </c>
      <c r="M2020" t="s">
        <v>19</v>
      </c>
      <c r="N2020" t="s">
        <v>2855</v>
      </c>
      <c r="O2020">
        <v>30</v>
      </c>
    </row>
    <row r="2021" spans="1:15" hidden="1" x14ac:dyDescent="0.25">
      <c r="A2021" t="s">
        <v>2820</v>
      </c>
      <c r="B2021" t="s">
        <v>104</v>
      </c>
      <c r="C2021" t="s">
        <v>105</v>
      </c>
      <c r="D2021" t="s">
        <v>46</v>
      </c>
      <c r="E2021" t="s">
        <v>3364</v>
      </c>
      <c r="F2021" s="3">
        <v>371244</v>
      </c>
      <c r="G2021" s="2">
        <f t="shared" si="62"/>
        <v>30</v>
      </c>
      <c r="H2021" s="2">
        <f t="shared" ca="1" si="63"/>
        <v>82</v>
      </c>
      <c r="I2021" s="4">
        <v>46038</v>
      </c>
      <c r="J2021" s="4">
        <v>46068</v>
      </c>
      <c r="K2021" t="s">
        <v>17</v>
      </c>
      <c r="L2021" t="s">
        <v>32</v>
      </c>
      <c r="M2021" t="s">
        <v>19</v>
      </c>
      <c r="N2021" t="s">
        <v>106</v>
      </c>
      <c r="O2021">
        <v>30</v>
      </c>
    </row>
    <row r="2022" spans="1:15" hidden="1" x14ac:dyDescent="0.25">
      <c r="A2022" t="s">
        <v>2820</v>
      </c>
      <c r="B2022" t="s">
        <v>3365</v>
      </c>
      <c r="C2022" t="s">
        <v>3366</v>
      </c>
      <c r="D2022" t="s">
        <v>15</v>
      </c>
      <c r="E2022" t="s">
        <v>3367</v>
      </c>
      <c r="F2022" s="3">
        <v>10759313</v>
      </c>
      <c r="G2022" s="2">
        <f t="shared" si="62"/>
        <v>30</v>
      </c>
      <c r="H2022" s="2">
        <f t="shared" ca="1" si="63"/>
        <v>82</v>
      </c>
      <c r="I2022" s="4">
        <v>46038</v>
      </c>
      <c r="J2022" s="4">
        <v>46068</v>
      </c>
      <c r="K2022" t="s">
        <v>17</v>
      </c>
      <c r="L2022" t="s">
        <v>90</v>
      </c>
      <c r="M2022" t="s">
        <v>19</v>
      </c>
      <c r="N2022" t="s">
        <v>3368</v>
      </c>
      <c r="O2022">
        <v>1</v>
      </c>
    </row>
    <row r="2023" spans="1:15" hidden="1" x14ac:dyDescent="0.25">
      <c r="A2023" t="s">
        <v>2820</v>
      </c>
      <c r="B2023" t="s">
        <v>3369</v>
      </c>
      <c r="C2023" t="s">
        <v>3370</v>
      </c>
      <c r="D2023" t="s">
        <v>15</v>
      </c>
      <c r="E2023" t="s">
        <v>3371</v>
      </c>
      <c r="F2023" s="3">
        <v>437400</v>
      </c>
      <c r="G2023" s="2">
        <f t="shared" si="62"/>
        <v>30</v>
      </c>
      <c r="H2023" s="2">
        <f t="shared" ca="1" si="63"/>
        <v>82</v>
      </c>
      <c r="I2023" s="4">
        <v>46038</v>
      </c>
      <c r="J2023" s="4">
        <v>46068</v>
      </c>
      <c r="K2023" t="s">
        <v>17</v>
      </c>
      <c r="L2023" t="s">
        <v>109</v>
      </c>
      <c r="M2023" t="s">
        <v>19</v>
      </c>
      <c r="N2023" t="s">
        <v>3372</v>
      </c>
      <c r="O2023">
        <v>30</v>
      </c>
    </row>
    <row r="2024" spans="1:15" hidden="1" x14ac:dyDescent="0.25">
      <c r="A2024" t="s">
        <v>2820</v>
      </c>
      <c r="B2024" t="s">
        <v>3365</v>
      </c>
      <c r="C2024" t="s">
        <v>3366</v>
      </c>
      <c r="D2024" t="s">
        <v>15</v>
      </c>
      <c r="E2024" t="s">
        <v>3373</v>
      </c>
      <c r="F2024" s="3">
        <v>13568803</v>
      </c>
      <c r="G2024" s="2">
        <f t="shared" si="62"/>
        <v>30</v>
      </c>
      <c r="H2024" s="2">
        <f t="shared" ca="1" si="63"/>
        <v>82</v>
      </c>
      <c r="I2024" s="4">
        <v>46038</v>
      </c>
      <c r="J2024" s="4">
        <v>46068</v>
      </c>
      <c r="K2024" t="s">
        <v>17</v>
      </c>
      <c r="L2024" t="s">
        <v>90</v>
      </c>
      <c r="M2024" t="s">
        <v>19</v>
      </c>
      <c r="N2024" t="s">
        <v>3368</v>
      </c>
      <c r="O2024">
        <v>1</v>
      </c>
    </row>
    <row r="2025" spans="1:15" hidden="1" x14ac:dyDescent="0.25">
      <c r="A2025" t="s">
        <v>2820</v>
      </c>
      <c r="B2025" t="s">
        <v>82</v>
      </c>
      <c r="C2025" t="s">
        <v>83</v>
      </c>
      <c r="D2025" t="s">
        <v>15</v>
      </c>
      <c r="E2025" t="s">
        <v>3374</v>
      </c>
      <c r="F2025" s="3">
        <v>7568155</v>
      </c>
      <c r="G2025" s="2">
        <f t="shared" si="62"/>
        <v>30</v>
      </c>
      <c r="H2025" s="2">
        <f t="shared" ca="1" si="63"/>
        <v>82</v>
      </c>
      <c r="I2025" s="4">
        <v>46038</v>
      </c>
      <c r="J2025" s="4">
        <v>46068</v>
      </c>
      <c r="K2025" t="s">
        <v>17</v>
      </c>
      <c r="L2025" t="s">
        <v>32</v>
      </c>
      <c r="M2025" t="s">
        <v>19</v>
      </c>
      <c r="N2025" t="s">
        <v>84</v>
      </c>
      <c r="O2025">
        <v>30</v>
      </c>
    </row>
    <row r="2026" spans="1:15" hidden="1" x14ac:dyDescent="0.25">
      <c r="A2026" t="s">
        <v>2820</v>
      </c>
      <c r="B2026" t="s">
        <v>205</v>
      </c>
      <c r="C2026" t="s">
        <v>206</v>
      </c>
      <c r="D2026" t="s">
        <v>15</v>
      </c>
      <c r="E2026" t="s">
        <v>3375</v>
      </c>
      <c r="F2026" s="3">
        <v>42000</v>
      </c>
      <c r="G2026" s="2">
        <f t="shared" si="62"/>
        <v>1</v>
      </c>
      <c r="H2026" s="2">
        <f t="shared" ca="1" si="63"/>
        <v>82</v>
      </c>
      <c r="I2026" s="4">
        <v>46038</v>
      </c>
      <c r="J2026" s="4">
        <v>46039</v>
      </c>
      <c r="K2026" t="s">
        <v>17</v>
      </c>
      <c r="L2026" t="s">
        <v>109</v>
      </c>
      <c r="M2026" t="s">
        <v>19</v>
      </c>
      <c r="N2026" t="s">
        <v>149</v>
      </c>
      <c r="O2026">
        <v>1</v>
      </c>
    </row>
    <row r="2027" spans="1:15" hidden="1" x14ac:dyDescent="0.25">
      <c r="A2027" t="s">
        <v>2820</v>
      </c>
      <c r="B2027" t="s">
        <v>2558</v>
      </c>
      <c r="C2027" t="s">
        <v>2559</v>
      </c>
      <c r="D2027" t="s">
        <v>1323</v>
      </c>
      <c r="E2027" t="s">
        <v>3376</v>
      </c>
      <c r="F2027" s="3">
        <v>5298446</v>
      </c>
      <c r="G2027" s="2">
        <f t="shared" si="62"/>
        <v>30</v>
      </c>
      <c r="H2027" s="2">
        <f t="shared" ca="1" si="63"/>
        <v>82</v>
      </c>
      <c r="I2027" s="4">
        <v>46038</v>
      </c>
      <c r="J2027" s="4">
        <v>46068</v>
      </c>
      <c r="K2027" t="s">
        <v>17</v>
      </c>
      <c r="L2027" t="s">
        <v>90</v>
      </c>
      <c r="M2027" t="s">
        <v>19</v>
      </c>
      <c r="N2027" t="s">
        <v>2561</v>
      </c>
      <c r="O2027">
        <v>30</v>
      </c>
    </row>
    <row r="2028" spans="1:15" hidden="1" x14ac:dyDescent="0.25">
      <c r="A2028" t="s">
        <v>2820</v>
      </c>
      <c r="B2028" t="s">
        <v>3460</v>
      </c>
      <c r="C2028" t="s">
        <v>3461</v>
      </c>
      <c r="D2028" t="s">
        <v>347</v>
      </c>
      <c r="E2028" t="s">
        <v>3473</v>
      </c>
      <c r="F2028" s="3">
        <v>290054</v>
      </c>
      <c r="G2028" s="2">
        <f t="shared" si="62"/>
        <v>30</v>
      </c>
      <c r="H2028" s="2">
        <f t="shared" ca="1" si="63"/>
        <v>82</v>
      </c>
      <c r="I2028" s="4">
        <v>46038</v>
      </c>
      <c r="J2028" s="4">
        <v>46068</v>
      </c>
      <c r="K2028" t="s">
        <v>343</v>
      </c>
      <c r="L2028" t="s">
        <v>18</v>
      </c>
      <c r="M2028" t="s">
        <v>19</v>
      </c>
      <c r="N2028" t="s">
        <v>3462</v>
      </c>
      <c r="O2028">
        <v>30</v>
      </c>
    </row>
    <row r="2029" spans="1:15" hidden="1" x14ac:dyDescent="0.25">
      <c r="A2029" t="s">
        <v>2820</v>
      </c>
      <c r="B2029" t="s">
        <v>1935</v>
      </c>
      <c r="C2029" t="s">
        <v>1936</v>
      </c>
      <c r="D2029" t="s">
        <v>1937</v>
      </c>
      <c r="E2029" t="s">
        <v>3474</v>
      </c>
      <c r="F2029" s="3">
        <v>2281591</v>
      </c>
      <c r="G2029" s="2">
        <f t="shared" si="62"/>
        <v>30</v>
      </c>
      <c r="H2029" s="2">
        <f t="shared" ca="1" si="63"/>
        <v>82</v>
      </c>
      <c r="I2029" s="4">
        <v>46038</v>
      </c>
      <c r="J2029" s="4">
        <v>46068</v>
      </c>
      <c r="K2029" t="s">
        <v>343</v>
      </c>
      <c r="L2029" t="s">
        <v>18</v>
      </c>
      <c r="M2029" t="s">
        <v>19</v>
      </c>
      <c r="N2029" t="s">
        <v>1938</v>
      </c>
      <c r="O2029">
        <v>30</v>
      </c>
    </row>
    <row r="2030" spans="1:15" hidden="1" x14ac:dyDescent="0.25">
      <c r="A2030" t="s">
        <v>2820</v>
      </c>
      <c r="B2030" t="s">
        <v>1935</v>
      </c>
      <c r="C2030" t="s">
        <v>1936</v>
      </c>
      <c r="D2030" t="s">
        <v>1937</v>
      </c>
      <c r="E2030" t="s">
        <v>3475</v>
      </c>
      <c r="F2030" s="3">
        <v>2579976</v>
      </c>
      <c r="G2030" s="2">
        <f t="shared" si="62"/>
        <v>30</v>
      </c>
      <c r="H2030" s="2">
        <f t="shared" ca="1" si="63"/>
        <v>82</v>
      </c>
      <c r="I2030" s="4">
        <v>46038</v>
      </c>
      <c r="J2030" s="4">
        <v>46068</v>
      </c>
      <c r="K2030" t="s">
        <v>343</v>
      </c>
      <c r="L2030" t="s">
        <v>18</v>
      </c>
      <c r="M2030" t="s">
        <v>19</v>
      </c>
      <c r="N2030" t="s">
        <v>1938</v>
      </c>
      <c r="O2030">
        <v>30</v>
      </c>
    </row>
    <row r="2031" spans="1:15" hidden="1" x14ac:dyDescent="0.25">
      <c r="A2031" t="s">
        <v>2820</v>
      </c>
      <c r="B2031" t="s">
        <v>380</v>
      </c>
      <c r="C2031" t="s">
        <v>381</v>
      </c>
      <c r="D2031" t="s">
        <v>382</v>
      </c>
      <c r="E2031" t="s">
        <v>3476</v>
      </c>
      <c r="F2031" s="3">
        <v>475468</v>
      </c>
      <c r="G2031" s="2">
        <f t="shared" si="62"/>
        <v>30</v>
      </c>
      <c r="H2031" s="2">
        <f t="shared" ca="1" si="63"/>
        <v>82</v>
      </c>
      <c r="I2031" s="4">
        <v>46038</v>
      </c>
      <c r="J2031" s="4">
        <v>46068</v>
      </c>
      <c r="K2031" t="s">
        <v>343</v>
      </c>
      <c r="L2031" t="s">
        <v>18</v>
      </c>
      <c r="M2031" t="s">
        <v>19</v>
      </c>
      <c r="N2031" t="s">
        <v>383</v>
      </c>
      <c r="O2031">
        <v>30</v>
      </c>
    </row>
    <row r="2032" spans="1:15" hidden="1" x14ac:dyDescent="0.25">
      <c r="A2032" t="s">
        <v>2820</v>
      </c>
      <c r="B2032" t="s">
        <v>2037</v>
      </c>
      <c r="C2032" t="s">
        <v>2038</v>
      </c>
      <c r="D2032" t="s">
        <v>389</v>
      </c>
      <c r="E2032" t="s">
        <v>3477</v>
      </c>
      <c r="F2032" s="3">
        <v>5152451</v>
      </c>
      <c r="G2032" s="2">
        <f t="shared" si="62"/>
        <v>30</v>
      </c>
      <c r="H2032" s="2">
        <f t="shared" ca="1" si="63"/>
        <v>82</v>
      </c>
      <c r="I2032" s="4">
        <v>46038</v>
      </c>
      <c r="J2032" s="4">
        <v>46068</v>
      </c>
      <c r="K2032" t="s">
        <v>343</v>
      </c>
      <c r="L2032" t="s">
        <v>18</v>
      </c>
      <c r="M2032" t="s">
        <v>19</v>
      </c>
      <c r="N2032" t="s">
        <v>2039</v>
      </c>
      <c r="O2032">
        <v>30</v>
      </c>
    </row>
    <row r="2033" spans="1:15" hidden="1" x14ac:dyDescent="0.25">
      <c r="A2033" t="s">
        <v>2820</v>
      </c>
      <c r="B2033" t="s">
        <v>2037</v>
      </c>
      <c r="C2033" t="s">
        <v>2038</v>
      </c>
      <c r="D2033" t="s">
        <v>389</v>
      </c>
      <c r="E2033" t="s">
        <v>3478</v>
      </c>
      <c r="F2033" s="3">
        <v>2100000</v>
      </c>
      <c r="G2033" s="2">
        <f t="shared" si="62"/>
        <v>30</v>
      </c>
      <c r="H2033" s="2">
        <f t="shared" ca="1" si="63"/>
        <v>82</v>
      </c>
      <c r="I2033" s="4">
        <v>46038</v>
      </c>
      <c r="J2033" s="4">
        <v>46068</v>
      </c>
      <c r="K2033" t="s">
        <v>343</v>
      </c>
      <c r="L2033" t="s">
        <v>18</v>
      </c>
      <c r="M2033" t="s">
        <v>19</v>
      </c>
      <c r="N2033" t="s">
        <v>2039</v>
      </c>
      <c r="O2033">
        <v>30</v>
      </c>
    </row>
    <row r="2034" spans="1:15" hidden="1" x14ac:dyDescent="0.25">
      <c r="A2034" t="s">
        <v>2820</v>
      </c>
      <c r="B2034" t="s">
        <v>2037</v>
      </c>
      <c r="C2034" t="s">
        <v>2038</v>
      </c>
      <c r="D2034" t="s">
        <v>389</v>
      </c>
      <c r="E2034" t="s">
        <v>3479</v>
      </c>
      <c r="F2034" s="3">
        <v>1314290</v>
      </c>
      <c r="G2034" s="2">
        <f t="shared" si="62"/>
        <v>30</v>
      </c>
      <c r="H2034" s="2">
        <f t="shared" ca="1" si="63"/>
        <v>82</v>
      </c>
      <c r="I2034" s="4">
        <v>46038</v>
      </c>
      <c r="J2034" s="4">
        <v>46068</v>
      </c>
      <c r="K2034" t="s">
        <v>343</v>
      </c>
      <c r="L2034" t="s">
        <v>18</v>
      </c>
      <c r="M2034" t="s">
        <v>19</v>
      </c>
      <c r="N2034" t="s">
        <v>2039</v>
      </c>
      <c r="O2034">
        <v>30</v>
      </c>
    </row>
    <row r="2035" spans="1:15" hidden="1" x14ac:dyDescent="0.25">
      <c r="A2035" t="s">
        <v>2820</v>
      </c>
      <c r="B2035" t="s">
        <v>376</v>
      </c>
      <c r="C2035" t="s">
        <v>377</v>
      </c>
      <c r="D2035" t="s">
        <v>378</v>
      </c>
      <c r="E2035" t="s">
        <v>3480</v>
      </c>
      <c r="F2035" s="3">
        <v>2539669</v>
      </c>
      <c r="G2035" s="2">
        <f t="shared" si="62"/>
        <v>30</v>
      </c>
      <c r="H2035" s="2">
        <f t="shared" ca="1" si="63"/>
        <v>82</v>
      </c>
      <c r="I2035" s="4">
        <v>46038</v>
      </c>
      <c r="J2035" s="4">
        <v>46068</v>
      </c>
      <c r="K2035" t="s">
        <v>343</v>
      </c>
      <c r="L2035" t="s">
        <v>18</v>
      </c>
      <c r="M2035" t="s">
        <v>19</v>
      </c>
      <c r="N2035" t="s">
        <v>379</v>
      </c>
      <c r="O2035">
        <v>30</v>
      </c>
    </row>
    <row r="2036" spans="1:15" hidden="1" x14ac:dyDescent="0.25">
      <c r="A2036" t="s">
        <v>2820</v>
      </c>
      <c r="B2036" t="s">
        <v>2108</v>
      </c>
      <c r="C2036" t="s">
        <v>2109</v>
      </c>
      <c r="D2036" t="s">
        <v>2110</v>
      </c>
      <c r="E2036" t="s">
        <v>3481</v>
      </c>
      <c r="F2036" s="3">
        <v>1210028</v>
      </c>
      <c r="G2036" s="2">
        <f t="shared" si="62"/>
        <v>30</v>
      </c>
      <c r="H2036" s="2">
        <f t="shared" ca="1" si="63"/>
        <v>82</v>
      </c>
      <c r="I2036" s="4">
        <v>46038</v>
      </c>
      <c r="J2036" s="4">
        <v>46068</v>
      </c>
      <c r="K2036" t="s">
        <v>343</v>
      </c>
      <c r="L2036" t="s">
        <v>18</v>
      </c>
      <c r="M2036" t="s">
        <v>19</v>
      </c>
      <c r="N2036" t="s">
        <v>2112</v>
      </c>
      <c r="O2036">
        <v>30</v>
      </c>
    </row>
    <row r="2037" spans="1:15" hidden="1" x14ac:dyDescent="0.25">
      <c r="A2037" t="s">
        <v>2820</v>
      </c>
      <c r="B2037" t="s">
        <v>2037</v>
      </c>
      <c r="C2037" t="s">
        <v>2038</v>
      </c>
      <c r="D2037" t="s">
        <v>389</v>
      </c>
      <c r="E2037" t="s">
        <v>3482</v>
      </c>
      <c r="F2037" s="3">
        <v>183000</v>
      </c>
      <c r="G2037" s="2">
        <f t="shared" si="62"/>
        <v>30</v>
      </c>
      <c r="H2037" s="2">
        <f t="shared" ca="1" si="63"/>
        <v>82</v>
      </c>
      <c r="I2037" s="4">
        <v>46038</v>
      </c>
      <c r="J2037" s="4">
        <v>46068</v>
      </c>
      <c r="K2037" t="s">
        <v>343</v>
      </c>
      <c r="L2037" t="s">
        <v>18</v>
      </c>
      <c r="M2037" t="s">
        <v>19</v>
      </c>
      <c r="N2037" t="s">
        <v>2039</v>
      </c>
      <c r="O2037">
        <v>30</v>
      </c>
    </row>
    <row r="2038" spans="1:15" hidden="1" x14ac:dyDescent="0.25">
      <c r="A2038" t="s">
        <v>2820</v>
      </c>
      <c r="B2038" t="s">
        <v>3485</v>
      </c>
      <c r="C2038" t="s">
        <v>3486</v>
      </c>
      <c r="D2038" t="s">
        <v>336</v>
      </c>
      <c r="E2038" t="s">
        <v>3488</v>
      </c>
      <c r="F2038" s="3">
        <v>38100</v>
      </c>
      <c r="G2038" s="2">
        <f t="shared" si="62"/>
        <v>1</v>
      </c>
      <c r="H2038" s="2">
        <f t="shared" ca="1" si="63"/>
        <v>82</v>
      </c>
      <c r="I2038" s="4">
        <v>46038</v>
      </c>
      <c r="J2038" s="4">
        <v>46039</v>
      </c>
      <c r="K2038" t="s">
        <v>638</v>
      </c>
      <c r="L2038" t="s">
        <v>317</v>
      </c>
      <c r="M2038" t="s">
        <v>19</v>
      </c>
      <c r="N2038" t="s">
        <v>3487</v>
      </c>
      <c r="O2038">
        <v>1</v>
      </c>
    </row>
    <row r="2039" spans="1:15" hidden="1" x14ac:dyDescent="0.25">
      <c r="A2039" t="s">
        <v>2820</v>
      </c>
      <c r="B2039" t="s">
        <v>3539</v>
      </c>
      <c r="C2039" t="s">
        <v>3540</v>
      </c>
      <c r="D2039" t="s">
        <v>979</v>
      </c>
      <c r="E2039" t="s">
        <v>3541</v>
      </c>
      <c r="F2039" s="3">
        <v>3922755</v>
      </c>
      <c r="G2039" s="2">
        <f t="shared" si="62"/>
        <v>30</v>
      </c>
      <c r="H2039" s="2">
        <f t="shared" ca="1" si="63"/>
        <v>82</v>
      </c>
      <c r="I2039" s="4">
        <v>46038</v>
      </c>
      <c r="J2039" s="4">
        <v>46068</v>
      </c>
      <c r="K2039" t="s">
        <v>980</v>
      </c>
      <c r="L2039" t="s">
        <v>981</v>
      </c>
      <c r="M2039" t="s">
        <v>19</v>
      </c>
      <c r="N2039" t="s">
        <v>3542</v>
      </c>
      <c r="O2039">
        <v>30</v>
      </c>
    </row>
    <row r="2040" spans="1:15" hidden="1" x14ac:dyDescent="0.25">
      <c r="A2040" t="s">
        <v>2820</v>
      </c>
      <c r="B2040" t="s">
        <v>2044</v>
      </c>
      <c r="C2040" t="s">
        <v>2045</v>
      </c>
      <c r="D2040" t="s">
        <v>341</v>
      </c>
      <c r="E2040" t="s">
        <v>3543</v>
      </c>
      <c r="F2040" s="3">
        <v>467599</v>
      </c>
      <c r="G2040" s="2">
        <f t="shared" si="62"/>
        <v>30</v>
      </c>
      <c r="H2040" s="2">
        <f t="shared" ca="1" si="63"/>
        <v>82</v>
      </c>
      <c r="I2040" s="4">
        <v>46038</v>
      </c>
      <c r="J2040" s="4">
        <v>46068</v>
      </c>
      <c r="K2040" t="s">
        <v>980</v>
      </c>
      <c r="L2040" t="s">
        <v>981</v>
      </c>
      <c r="M2040" t="s">
        <v>19</v>
      </c>
      <c r="N2040" t="s">
        <v>2046</v>
      </c>
      <c r="O2040">
        <v>30</v>
      </c>
    </row>
    <row r="2041" spans="1:15" hidden="1" x14ac:dyDescent="0.25">
      <c r="A2041" t="s">
        <v>2820</v>
      </c>
      <c r="B2041" t="s">
        <v>2044</v>
      </c>
      <c r="C2041" t="s">
        <v>2045</v>
      </c>
      <c r="D2041" t="s">
        <v>341</v>
      </c>
      <c r="E2041" t="s">
        <v>3544</v>
      </c>
      <c r="F2041" s="3">
        <v>2963506</v>
      </c>
      <c r="G2041" s="2">
        <f t="shared" si="62"/>
        <v>30</v>
      </c>
      <c r="H2041" s="2">
        <f t="shared" ca="1" si="63"/>
        <v>82</v>
      </c>
      <c r="I2041" s="4">
        <v>46038</v>
      </c>
      <c r="J2041" s="4">
        <v>46068</v>
      </c>
      <c r="K2041" t="s">
        <v>980</v>
      </c>
      <c r="L2041" t="s">
        <v>981</v>
      </c>
      <c r="M2041" t="s">
        <v>19</v>
      </c>
      <c r="N2041" t="s">
        <v>2046</v>
      </c>
      <c r="O2041">
        <v>30</v>
      </c>
    </row>
    <row r="2042" spans="1:15" hidden="1" x14ac:dyDescent="0.25">
      <c r="A2042" t="s">
        <v>2820</v>
      </c>
      <c r="B2042" t="s">
        <v>1057</v>
      </c>
      <c r="C2042" t="s">
        <v>1058</v>
      </c>
      <c r="D2042" t="s">
        <v>998</v>
      </c>
      <c r="E2042" t="s">
        <v>3546</v>
      </c>
      <c r="F2042" s="3">
        <v>343801</v>
      </c>
      <c r="G2042" s="2">
        <f t="shared" si="62"/>
        <v>15</v>
      </c>
      <c r="H2042" s="2">
        <f t="shared" ca="1" si="63"/>
        <v>82</v>
      </c>
      <c r="I2042" s="4">
        <v>46038</v>
      </c>
      <c r="J2042" s="4">
        <v>46053</v>
      </c>
      <c r="K2042" t="s">
        <v>989</v>
      </c>
      <c r="L2042" t="s">
        <v>317</v>
      </c>
      <c r="M2042" t="s">
        <v>19</v>
      </c>
      <c r="N2042" t="s">
        <v>1059</v>
      </c>
      <c r="O2042">
        <v>15</v>
      </c>
    </row>
    <row r="2043" spans="1:15" hidden="1" x14ac:dyDescent="0.25">
      <c r="A2043" t="s">
        <v>2820</v>
      </c>
      <c r="B2043" t="s">
        <v>3570</v>
      </c>
      <c r="C2043" t="s">
        <v>3571</v>
      </c>
      <c r="D2043" t="s">
        <v>320</v>
      </c>
      <c r="E2043" t="s">
        <v>3574</v>
      </c>
      <c r="F2043" s="3">
        <v>316787</v>
      </c>
      <c r="G2043" s="2">
        <f t="shared" si="62"/>
        <v>8</v>
      </c>
      <c r="H2043" s="2">
        <f t="shared" ca="1" si="63"/>
        <v>82</v>
      </c>
      <c r="I2043" s="4">
        <v>46038</v>
      </c>
      <c r="J2043" s="4">
        <v>46046</v>
      </c>
      <c r="K2043" t="s">
        <v>1068</v>
      </c>
      <c r="L2043" t="s">
        <v>321</v>
      </c>
      <c r="M2043" t="s">
        <v>19</v>
      </c>
      <c r="N2043" t="s">
        <v>3572</v>
      </c>
      <c r="O2043">
        <v>8</v>
      </c>
    </row>
    <row r="2044" spans="1:15" hidden="1" x14ac:dyDescent="0.25">
      <c r="A2044" t="s">
        <v>2820</v>
      </c>
      <c r="B2044" t="s">
        <v>3575</v>
      </c>
      <c r="C2044" t="s">
        <v>3576</v>
      </c>
      <c r="D2044" t="s">
        <v>320</v>
      </c>
      <c r="E2044" t="s">
        <v>3577</v>
      </c>
      <c r="F2044" s="3">
        <v>1362982</v>
      </c>
      <c r="G2044" s="2">
        <f t="shared" si="62"/>
        <v>15</v>
      </c>
      <c r="H2044" s="2">
        <f t="shared" ca="1" si="63"/>
        <v>82</v>
      </c>
      <c r="I2044" s="4">
        <v>46038</v>
      </c>
      <c r="J2044" s="4">
        <v>46053</v>
      </c>
      <c r="K2044" t="s">
        <v>1068</v>
      </c>
      <c r="L2044" t="s">
        <v>321</v>
      </c>
      <c r="M2044" t="s">
        <v>19</v>
      </c>
      <c r="N2044" t="s">
        <v>3578</v>
      </c>
      <c r="O2044">
        <v>15</v>
      </c>
    </row>
    <row r="2045" spans="1:15" hidden="1" x14ac:dyDescent="0.25">
      <c r="A2045" t="s">
        <v>2820</v>
      </c>
      <c r="B2045" t="s">
        <v>1126</v>
      </c>
      <c r="C2045" t="s">
        <v>1127</v>
      </c>
      <c r="D2045" t="s">
        <v>1066</v>
      </c>
      <c r="E2045" t="s">
        <v>3579</v>
      </c>
      <c r="F2045" s="3">
        <v>2533736</v>
      </c>
      <c r="G2045" s="2">
        <f t="shared" si="62"/>
        <v>15</v>
      </c>
      <c r="H2045" s="2">
        <f t="shared" ca="1" si="63"/>
        <v>82</v>
      </c>
      <c r="I2045" s="4">
        <v>46038</v>
      </c>
      <c r="J2045" s="4">
        <v>46053</v>
      </c>
      <c r="K2045" t="s">
        <v>1068</v>
      </c>
      <c r="L2045" t="s">
        <v>207</v>
      </c>
      <c r="M2045" t="s">
        <v>19</v>
      </c>
      <c r="N2045" t="s">
        <v>1128</v>
      </c>
      <c r="O2045">
        <v>8</v>
      </c>
    </row>
    <row r="2046" spans="1:15" hidden="1" x14ac:dyDescent="0.25">
      <c r="A2046" t="s">
        <v>2820</v>
      </c>
      <c r="B2046" t="s">
        <v>318</v>
      </c>
      <c r="C2046" t="s">
        <v>319</v>
      </c>
      <c r="D2046" t="s">
        <v>320</v>
      </c>
      <c r="E2046" t="s">
        <v>3580</v>
      </c>
      <c r="F2046" s="3">
        <v>805115</v>
      </c>
      <c r="G2046" s="2">
        <f t="shared" si="62"/>
        <v>15</v>
      </c>
      <c r="H2046" s="2">
        <f t="shared" ca="1" si="63"/>
        <v>82</v>
      </c>
      <c r="I2046" s="4">
        <v>46038</v>
      </c>
      <c r="J2046" s="4">
        <v>46053</v>
      </c>
      <c r="K2046" t="s">
        <v>1068</v>
      </c>
      <c r="L2046" t="s">
        <v>321</v>
      </c>
      <c r="M2046" t="s">
        <v>19</v>
      </c>
      <c r="N2046" t="s">
        <v>322</v>
      </c>
      <c r="O2046">
        <v>15</v>
      </c>
    </row>
    <row r="2047" spans="1:15" hidden="1" x14ac:dyDescent="0.25">
      <c r="A2047" t="s">
        <v>2820</v>
      </c>
      <c r="B2047" t="s">
        <v>1158</v>
      </c>
      <c r="C2047" t="s">
        <v>1159</v>
      </c>
      <c r="D2047" t="s">
        <v>1118</v>
      </c>
      <c r="E2047" t="s">
        <v>3592</v>
      </c>
      <c r="F2047" s="3">
        <v>5112072</v>
      </c>
      <c r="G2047" s="2">
        <f t="shared" si="62"/>
        <v>30</v>
      </c>
      <c r="H2047" s="2">
        <f t="shared" ca="1" si="63"/>
        <v>82</v>
      </c>
      <c r="I2047" s="4">
        <v>46038</v>
      </c>
      <c r="J2047" s="4">
        <v>46068</v>
      </c>
      <c r="K2047" t="s">
        <v>1144</v>
      </c>
      <c r="L2047" t="s">
        <v>207</v>
      </c>
      <c r="M2047" t="s">
        <v>19</v>
      </c>
      <c r="N2047" t="s">
        <v>1160</v>
      </c>
      <c r="O2047">
        <v>30</v>
      </c>
    </row>
    <row r="2048" spans="1:15" hidden="1" x14ac:dyDescent="0.25">
      <c r="A2048" t="s">
        <v>2820</v>
      </c>
      <c r="B2048" t="s">
        <v>3598</v>
      </c>
      <c r="C2048" t="s">
        <v>3599</v>
      </c>
      <c r="D2048" t="s">
        <v>1138</v>
      </c>
      <c r="E2048" t="s">
        <v>3600</v>
      </c>
      <c r="F2048" s="3">
        <v>774485</v>
      </c>
      <c r="G2048" s="2">
        <f t="shared" si="62"/>
        <v>15</v>
      </c>
      <c r="H2048" s="2">
        <f t="shared" ca="1" si="63"/>
        <v>82</v>
      </c>
      <c r="I2048" s="4">
        <v>46038</v>
      </c>
      <c r="J2048" s="4">
        <v>46053</v>
      </c>
      <c r="K2048" t="s">
        <v>1144</v>
      </c>
      <c r="L2048" t="s">
        <v>321</v>
      </c>
      <c r="M2048" t="s">
        <v>19</v>
      </c>
      <c r="N2048" t="s">
        <v>3601</v>
      </c>
      <c r="O2048">
        <v>15</v>
      </c>
    </row>
    <row r="2049" spans="1:15" hidden="1" x14ac:dyDescent="0.25">
      <c r="A2049" t="s">
        <v>2820</v>
      </c>
      <c r="B2049" t="s">
        <v>1176</v>
      </c>
      <c r="C2049" t="s">
        <v>1177</v>
      </c>
      <c r="D2049" t="s">
        <v>1138</v>
      </c>
      <c r="E2049" t="s">
        <v>3602</v>
      </c>
      <c r="F2049" s="3">
        <v>212232</v>
      </c>
      <c r="G2049" s="2">
        <f t="shared" si="62"/>
        <v>15</v>
      </c>
      <c r="H2049" s="2">
        <f t="shared" ca="1" si="63"/>
        <v>82</v>
      </c>
      <c r="I2049" s="4">
        <v>46038</v>
      </c>
      <c r="J2049" s="4">
        <v>46053</v>
      </c>
      <c r="K2049" t="s">
        <v>1144</v>
      </c>
      <c r="L2049" t="s">
        <v>321</v>
      </c>
      <c r="M2049" t="s">
        <v>19</v>
      </c>
      <c r="N2049" t="s">
        <v>1178</v>
      </c>
      <c r="O2049">
        <v>15</v>
      </c>
    </row>
    <row r="2050" spans="1:15" hidden="1" x14ac:dyDescent="0.25">
      <c r="A2050" t="s">
        <v>2820</v>
      </c>
      <c r="B2050" t="s">
        <v>1176</v>
      </c>
      <c r="C2050" t="s">
        <v>1177</v>
      </c>
      <c r="D2050" t="s">
        <v>1138</v>
      </c>
      <c r="E2050" t="s">
        <v>3603</v>
      </c>
      <c r="F2050" s="3">
        <v>42500</v>
      </c>
      <c r="G2050" s="2">
        <f t="shared" ref="G2050:G2113" si="64">+J2050-I2050</f>
        <v>15</v>
      </c>
      <c r="H2050" s="2">
        <f t="shared" ref="H2050:H2113" ca="1" si="65">+TODAY()-I2050</f>
        <v>82</v>
      </c>
      <c r="I2050" s="4">
        <v>46038</v>
      </c>
      <c r="J2050" s="4">
        <v>46053</v>
      </c>
      <c r="K2050" t="s">
        <v>1144</v>
      </c>
      <c r="L2050" t="s">
        <v>321</v>
      </c>
      <c r="M2050" t="s">
        <v>19</v>
      </c>
      <c r="N2050" t="s">
        <v>1178</v>
      </c>
      <c r="O2050">
        <v>15</v>
      </c>
    </row>
    <row r="2051" spans="1:15" hidden="1" x14ac:dyDescent="0.25">
      <c r="A2051" t="s">
        <v>2820</v>
      </c>
      <c r="B2051" t="s">
        <v>3594</v>
      </c>
      <c r="C2051" t="s">
        <v>3595</v>
      </c>
      <c r="D2051" t="s">
        <v>1118</v>
      </c>
      <c r="E2051" t="s">
        <v>3604</v>
      </c>
      <c r="F2051" s="3">
        <v>133500</v>
      </c>
      <c r="G2051" s="2">
        <f t="shared" si="64"/>
        <v>15</v>
      </c>
      <c r="H2051" s="2">
        <f t="shared" ca="1" si="65"/>
        <v>82</v>
      </c>
      <c r="I2051" s="4">
        <v>46038</v>
      </c>
      <c r="J2051" s="4">
        <v>46053</v>
      </c>
      <c r="K2051" t="s">
        <v>1144</v>
      </c>
      <c r="L2051" t="s">
        <v>321</v>
      </c>
      <c r="M2051" t="s">
        <v>19</v>
      </c>
      <c r="N2051" t="s">
        <v>3597</v>
      </c>
      <c r="O2051">
        <v>30</v>
      </c>
    </row>
    <row r="2052" spans="1:15" hidden="1" x14ac:dyDescent="0.25">
      <c r="A2052" t="s">
        <v>2820</v>
      </c>
      <c r="B2052" t="s">
        <v>3416</v>
      </c>
      <c r="C2052" t="s">
        <v>3417</v>
      </c>
      <c r="D2052" t="s">
        <v>1201</v>
      </c>
      <c r="E2052" t="s">
        <v>3611</v>
      </c>
      <c r="F2052" s="3">
        <v>22800000</v>
      </c>
      <c r="G2052" s="2">
        <f t="shared" si="64"/>
        <v>30</v>
      </c>
      <c r="H2052" s="2">
        <f t="shared" ca="1" si="65"/>
        <v>82</v>
      </c>
      <c r="I2052" s="4">
        <v>46038</v>
      </c>
      <c r="J2052" s="4">
        <v>46068</v>
      </c>
      <c r="K2052" t="s">
        <v>1202</v>
      </c>
      <c r="L2052" t="s">
        <v>207</v>
      </c>
      <c r="M2052" t="s">
        <v>19</v>
      </c>
      <c r="N2052" t="s">
        <v>3419</v>
      </c>
      <c r="O2052">
        <v>30</v>
      </c>
    </row>
    <row r="2053" spans="1:15" hidden="1" x14ac:dyDescent="0.25">
      <c r="A2053" t="s">
        <v>2820</v>
      </c>
      <c r="B2053" t="s">
        <v>3416</v>
      </c>
      <c r="C2053" t="s">
        <v>3417</v>
      </c>
      <c r="D2053" t="s">
        <v>1201</v>
      </c>
      <c r="E2053" t="s">
        <v>3612</v>
      </c>
      <c r="F2053" s="3">
        <v>3780528</v>
      </c>
      <c r="G2053" s="2">
        <f t="shared" si="64"/>
        <v>30</v>
      </c>
      <c r="H2053" s="2">
        <f t="shared" ca="1" si="65"/>
        <v>82</v>
      </c>
      <c r="I2053" s="4">
        <v>46038</v>
      </c>
      <c r="J2053" s="4">
        <v>46068</v>
      </c>
      <c r="K2053" t="s">
        <v>1202</v>
      </c>
      <c r="L2053" t="s">
        <v>207</v>
      </c>
      <c r="M2053" t="s">
        <v>19</v>
      </c>
      <c r="N2053" t="s">
        <v>3419</v>
      </c>
      <c r="O2053">
        <v>30</v>
      </c>
    </row>
    <row r="2054" spans="1:15" hidden="1" x14ac:dyDescent="0.25">
      <c r="A2054" t="s">
        <v>2820</v>
      </c>
      <c r="B2054" t="s">
        <v>1204</v>
      </c>
      <c r="C2054" t="s">
        <v>1205</v>
      </c>
      <c r="D2054" t="s">
        <v>1201</v>
      </c>
      <c r="E2054" t="s">
        <v>3613</v>
      </c>
      <c r="F2054" s="3">
        <v>2230512</v>
      </c>
      <c r="G2054" s="2">
        <f t="shared" si="64"/>
        <v>30</v>
      </c>
      <c r="H2054" s="2">
        <f t="shared" ca="1" si="65"/>
        <v>82</v>
      </c>
      <c r="I2054" s="4">
        <v>46038</v>
      </c>
      <c r="J2054" s="4">
        <v>46068</v>
      </c>
      <c r="K2054" t="s">
        <v>1202</v>
      </c>
      <c r="L2054" t="s">
        <v>207</v>
      </c>
      <c r="M2054" t="s">
        <v>19</v>
      </c>
      <c r="N2054" t="s">
        <v>1206</v>
      </c>
      <c r="O2054">
        <v>30</v>
      </c>
    </row>
    <row r="2055" spans="1:15" hidden="1" x14ac:dyDescent="0.25">
      <c r="A2055" t="s">
        <v>2820</v>
      </c>
      <c r="B2055" t="s">
        <v>1204</v>
      </c>
      <c r="C2055" t="s">
        <v>1205</v>
      </c>
      <c r="D2055" t="s">
        <v>1201</v>
      </c>
      <c r="E2055" t="s">
        <v>3614</v>
      </c>
      <c r="F2055" s="3">
        <v>6338271</v>
      </c>
      <c r="G2055" s="2">
        <f t="shared" si="64"/>
        <v>30</v>
      </c>
      <c r="H2055" s="2">
        <f t="shared" ca="1" si="65"/>
        <v>82</v>
      </c>
      <c r="I2055" s="4">
        <v>46038</v>
      </c>
      <c r="J2055" s="4">
        <v>46068</v>
      </c>
      <c r="K2055" t="s">
        <v>1202</v>
      </c>
      <c r="L2055" t="s">
        <v>207</v>
      </c>
      <c r="M2055" t="s">
        <v>19</v>
      </c>
      <c r="N2055" t="s">
        <v>1206</v>
      </c>
      <c r="O2055">
        <v>30</v>
      </c>
    </row>
    <row r="2056" spans="1:15" hidden="1" x14ac:dyDescent="0.25">
      <c r="A2056" t="s">
        <v>2820</v>
      </c>
      <c r="B2056" t="s">
        <v>1244</v>
      </c>
      <c r="C2056" t="s">
        <v>1245</v>
      </c>
      <c r="D2056" t="s">
        <v>1242</v>
      </c>
      <c r="E2056" t="s">
        <v>3636</v>
      </c>
      <c r="F2056" s="3">
        <v>1718748</v>
      </c>
      <c r="G2056" s="2">
        <f t="shared" si="64"/>
        <v>30</v>
      </c>
      <c r="H2056" s="2">
        <f t="shared" ca="1" si="65"/>
        <v>82</v>
      </c>
      <c r="I2056" s="4">
        <v>46038</v>
      </c>
      <c r="J2056" s="4">
        <v>46068</v>
      </c>
      <c r="K2056" t="s">
        <v>1243</v>
      </c>
      <c r="L2056" t="s">
        <v>207</v>
      </c>
      <c r="M2056" t="s">
        <v>19</v>
      </c>
      <c r="N2056" t="s">
        <v>1246</v>
      </c>
      <c r="O2056">
        <v>30</v>
      </c>
    </row>
    <row r="2057" spans="1:15" hidden="1" x14ac:dyDescent="0.25">
      <c r="A2057" t="s">
        <v>2820</v>
      </c>
      <c r="B2057" t="s">
        <v>2252</v>
      </c>
      <c r="C2057" t="s">
        <v>2253</v>
      </c>
      <c r="D2057" t="s">
        <v>1242</v>
      </c>
      <c r="E2057" t="s">
        <v>3637</v>
      </c>
      <c r="F2057" s="3">
        <v>840000</v>
      </c>
      <c r="G2057" s="2">
        <f t="shared" si="64"/>
        <v>8</v>
      </c>
      <c r="H2057" s="2">
        <f t="shared" ca="1" si="65"/>
        <v>82</v>
      </c>
      <c r="I2057" s="4">
        <v>46038</v>
      </c>
      <c r="J2057" s="4">
        <v>46046</v>
      </c>
      <c r="K2057" t="s">
        <v>1243</v>
      </c>
      <c r="L2057" t="s">
        <v>207</v>
      </c>
      <c r="M2057" t="s">
        <v>19</v>
      </c>
      <c r="N2057" t="s">
        <v>2254</v>
      </c>
      <c r="O2057">
        <v>25</v>
      </c>
    </row>
    <row r="2058" spans="1:15" hidden="1" x14ac:dyDescent="0.25">
      <c r="A2058" t="s">
        <v>2820</v>
      </c>
      <c r="B2058" t="s">
        <v>1251</v>
      </c>
      <c r="C2058" t="s">
        <v>1252</v>
      </c>
      <c r="D2058" t="s">
        <v>1242</v>
      </c>
      <c r="E2058" t="s">
        <v>3638</v>
      </c>
      <c r="F2058" s="3">
        <v>167000</v>
      </c>
      <c r="G2058" s="2">
        <f t="shared" si="64"/>
        <v>30</v>
      </c>
      <c r="H2058" s="2">
        <f t="shared" ca="1" si="65"/>
        <v>82</v>
      </c>
      <c r="I2058" s="4">
        <v>46038</v>
      </c>
      <c r="J2058" s="4">
        <v>46068</v>
      </c>
      <c r="K2058" t="s">
        <v>1243</v>
      </c>
      <c r="L2058" t="s">
        <v>207</v>
      </c>
      <c r="M2058" t="s">
        <v>19</v>
      </c>
      <c r="N2058" t="s">
        <v>1253</v>
      </c>
      <c r="O2058">
        <v>30</v>
      </c>
    </row>
    <row r="2059" spans="1:15" hidden="1" x14ac:dyDescent="0.25">
      <c r="A2059" t="s">
        <v>2820</v>
      </c>
      <c r="B2059" t="s">
        <v>1251</v>
      </c>
      <c r="C2059" t="s">
        <v>1252</v>
      </c>
      <c r="D2059" t="s">
        <v>1242</v>
      </c>
      <c r="E2059" t="s">
        <v>3639</v>
      </c>
      <c r="F2059" s="3">
        <v>637500</v>
      </c>
      <c r="G2059" s="2">
        <f t="shared" si="64"/>
        <v>30</v>
      </c>
      <c r="H2059" s="2">
        <f t="shared" ca="1" si="65"/>
        <v>82</v>
      </c>
      <c r="I2059" s="4">
        <v>46038</v>
      </c>
      <c r="J2059" s="4">
        <v>46068</v>
      </c>
      <c r="K2059" t="s">
        <v>1243</v>
      </c>
      <c r="L2059" t="s">
        <v>207</v>
      </c>
      <c r="M2059" t="s">
        <v>19</v>
      </c>
      <c r="N2059" t="s">
        <v>1253</v>
      </c>
      <c r="O2059">
        <v>30</v>
      </c>
    </row>
    <row r="2060" spans="1:15" hidden="1" x14ac:dyDescent="0.25">
      <c r="A2060" t="s">
        <v>2820</v>
      </c>
      <c r="B2060" t="s">
        <v>1254</v>
      </c>
      <c r="C2060" t="s">
        <v>1255</v>
      </c>
      <c r="D2060" t="s">
        <v>1250</v>
      </c>
      <c r="E2060" t="s">
        <v>3640</v>
      </c>
      <c r="F2060" s="3">
        <v>1194308</v>
      </c>
      <c r="G2060" s="2">
        <f t="shared" si="64"/>
        <v>30</v>
      </c>
      <c r="H2060" s="2">
        <f t="shared" ca="1" si="65"/>
        <v>82</v>
      </c>
      <c r="I2060" s="4">
        <v>46038</v>
      </c>
      <c r="J2060" s="4">
        <v>46068</v>
      </c>
      <c r="K2060" t="s">
        <v>1243</v>
      </c>
      <c r="L2060" t="s">
        <v>207</v>
      </c>
      <c r="M2060" t="s">
        <v>19</v>
      </c>
      <c r="N2060" t="s">
        <v>1256</v>
      </c>
      <c r="O2060">
        <v>15</v>
      </c>
    </row>
    <row r="2061" spans="1:15" hidden="1" x14ac:dyDescent="0.25">
      <c r="A2061" t="s">
        <v>2820</v>
      </c>
      <c r="B2061" t="s">
        <v>1247</v>
      </c>
      <c r="C2061" t="s">
        <v>1248</v>
      </c>
      <c r="D2061" t="s">
        <v>1242</v>
      </c>
      <c r="E2061" t="s">
        <v>3641</v>
      </c>
      <c r="F2061" s="3">
        <v>638429</v>
      </c>
      <c r="G2061" s="2">
        <f t="shared" si="64"/>
        <v>30</v>
      </c>
      <c r="H2061" s="2">
        <f t="shared" ca="1" si="65"/>
        <v>82</v>
      </c>
      <c r="I2061" s="4">
        <v>46038</v>
      </c>
      <c r="J2061" s="4">
        <v>46068</v>
      </c>
      <c r="K2061" t="s">
        <v>1243</v>
      </c>
      <c r="L2061" t="s">
        <v>207</v>
      </c>
      <c r="M2061" t="s">
        <v>19</v>
      </c>
      <c r="N2061" t="s">
        <v>1249</v>
      </c>
      <c r="O2061">
        <v>30</v>
      </c>
    </row>
    <row r="2062" spans="1:15" hidden="1" x14ac:dyDescent="0.25">
      <c r="A2062" t="s">
        <v>2820</v>
      </c>
      <c r="B2062" t="s">
        <v>1339</v>
      </c>
      <c r="C2062" t="s">
        <v>1340</v>
      </c>
      <c r="D2062" t="s">
        <v>1323</v>
      </c>
      <c r="E2062" t="s">
        <v>3688</v>
      </c>
      <c r="F2062" s="3">
        <v>3844432</v>
      </c>
      <c r="G2062" s="2">
        <f t="shared" si="64"/>
        <v>30</v>
      </c>
      <c r="H2062" s="2">
        <f t="shared" ca="1" si="65"/>
        <v>82</v>
      </c>
      <c r="I2062" s="4">
        <v>46038</v>
      </c>
      <c r="J2062" s="4">
        <v>46068</v>
      </c>
      <c r="K2062" t="s">
        <v>1325</v>
      </c>
      <c r="L2062" t="s">
        <v>90</v>
      </c>
      <c r="M2062" t="s">
        <v>19</v>
      </c>
      <c r="N2062" t="s">
        <v>1341</v>
      </c>
      <c r="O2062">
        <v>1</v>
      </c>
    </row>
    <row r="2063" spans="1:15" hidden="1" x14ac:dyDescent="0.25">
      <c r="A2063" t="s">
        <v>2820</v>
      </c>
      <c r="B2063" t="s">
        <v>1339</v>
      </c>
      <c r="C2063" t="s">
        <v>1340</v>
      </c>
      <c r="D2063" t="s">
        <v>1323</v>
      </c>
      <c r="E2063" t="s">
        <v>3689</v>
      </c>
      <c r="F2063" s="3">
        <v>521895</v>
      </c>
      <c r="G2063" s="2">
        <f t="shared" si="64"/>
        <v>30</v>
      </c>
      <c r="H2063" s="2">
        <f t="shared" ca="1" si="65"/>
        <v>82</v>
      </c>
      <c r="I2063" s="4">
        <v>46038</v>
      </c>
      <c r="J2063" s="4">
        <v>46068</v>
      </c>
      <c r="K2063" t="s">
        <v>1325</v>
      </c>
      <c r="L2063" t="s">
        <v>90</v>
      </c>
      <c r="M2063" t="s">
        <v>19</v>
      </c>
      <c r="N2063" t="s">
        <v>1341</v>
      </c>
      <c r="O2063">
        <v>1</v>
      </c>
    </row>
    <row r="2064" spans="1:15" hidden="1" x14ac:dyDescent="0.25">
      <c r="A2064" t="s">
        <v>2820</v>
      </c>
      <c r="B2064" t="s">
        <v>1382</v>
      </c>
      <c r="C2064" t="s">
        <v>1383</v>
      </c>
      <c r="D2064" t="s">
        <v>1323</v>
      </c>
      <c r="E2064" t="s">
        <v>3690</v>
      </c>
      <c r="F2064" s="3">
        <v>482119</v>
      </c>
      <c r="G2064" s="2">
        <f t="shared" si="64"/>
        <v>30</v>
      </c>
      <c r="H2064" s="2">
        <f t="shared" ca="1" si="65"/>
        <v>82</v>
      </c>
      <c r="I2064" s="4">
        <v>46038</v>
      </c>
      <c r="J2064" s="4">
        <v>46068</v>
      </c>
      <c r="K2064" t="s">
        <v>1325</v>
      </c>
      <c r="L2064" t="s">
        <v>90</v>
      </c>
      <c r="M2064" t="s">
        <v>19</v>
      </c>
      <c r="N2064" t="s">
        <v>1384</v>
      </c>
      <c r="O2064">
        <v>30</v>
      </c>
    </row>
    <row r="2065" spans="1:15" hidden="1" x14ac:dyDescent="0.25">
      <c r="A2065" t="s">
        <v>2820</v>
      </c>
      <c r="B2065" t="s">
        <v>1333</v>
      </c>
      <c r="C2065" t="s">
        <v>1334</v>
      </c>
      <c r="D2065" t="s">
        <v>1323</v>
      </c>
      <c r="E2065" t="s">
        <v>3691</v>
      </c>
      <c r="F2065" s="3">
        <v>5960015</v>
      </c>
      <c r="G2065" s="2">
        <f t="shared" si="64"/>
        <v>30</v>
      </c>
      <c r="H2065" s="2">
        <f t="shared" ca="1" si="65"/>
        <v>82</v>
      </c>
      <c r="I2065" s="4">
        <v>46038</v>
      </c>
      <c r="J2065" s="4">
        <v>46068</v>
      </c>
      <c r="K2065" t="s">
        <v>1325</v>
      </c>
      <c r="L2065" t="s">
        <v>90</v>
      </c>
      <c r="M2065" t="s">
        <v>19</v>
      </c>
      <c r="N2065" t="s">
        <v>1335</v>
      </c>
      <c r="O2065">
        <v>30</v>
      </c>
    </row>
    <row r="2066" spans="1:15" hidden="1" x14ac:dyDescent="0.25">
      <c r="A2066" t="s">
        <v>2820</v>
      </c>
      <c r="B2066" t="s">
        <v>1370</v>
      </c>
      <c r="C2066" t="s">
        <v>1371</v>
      </c>
      <c r="D2066" t="s">
        <v>1323</v>
      </c>
      <c r="E2066" t="s">
        <v>3692</v>
      </c>
      <c r="F2066" s="3">
        <v>1842401</v>
      </c>
      <c r="G2066" s="2">
        <f t="shared" si="64"/>
        <v>30</v>
      </c>
      <c r="H2066" s="2">
        <f t="shared" ca="1" si="65"/>
        <v>82</v>
      </c>
      <c r="I2066" s="4">
        <v>46038</v>
      </c>
      <c r="J2066" s="4">
        <v>46068</v>
      </c>
      <c r="K2066" t="s">
        <v>1325</v>
      </c>
      <c r="L2066" t="s">
        <v>90</v>
      </c>
      <c r="M2066" t="s">
        <v>19</v>
      </c>
      <c r="N2066" t="s">
        <v>1372</v>
      </c>
      <c r="O2066">
        <v>30</v>
      </c>
    </row>
    <row r="2067" spans="1:15" hidden="1" x14ac:dyDescent="0.25">
      <c r="A2067" t="s">
        <v>2820</v>
      </c>
      <c r="B2067" t="s">
        <v>205</v>
      </c>
      <c r="C2067" t="s">
        <v>206</v>
      </c>
      <c r="D2067" t="s">
        <v>15</v>
      </c>
      <c r="E2067" t="s">
        <v>3723</v>
      </c>
      <c r="F2067" s="3">
        <v>-2</v>
      </c>
      <c r="G2067" s="2">
        <f t="shared" si="64"/>
        <v>1</v>
      </c>
      <c r="H2067" s="2">
        <f t="shared" ca="1" si="65"/>
        <v>82</v>
      </c>
      <c r="I2067" s="4">
        <v>46038</v>
      </c>
      <c r="J2067" s="4">
        <v>46039</v>
      </c>
      <c r="K2067" t="s">
        <v>1470</v>
      </c>
      <c r="L2067" t="s">
        <v>981</v>
      </c>
      <c r="M2067" t="s">
        <v>19</v>
      </c>
      <c r="N2067" t="s">
        <v>149</v>
      </c>
      <c r="O2067">
        <v>1</v>
      </c>
    </row>
    <row r="2068" spans="1:15" hidden="1" x14ac:dyDescent="0.25">
      <c r="A2068" t="s">
        <v>2820</v>
      </c>
      <c r="B2068" t="s">
        <v>1676</v>
      </c>
      <c r="C2068" t="s">
        <v>1677</v>
      </c>
      <c r="D2068" t="s">
        <v>1593</v>
      </c>
      <c r="E2068" t="s">
        <v>3809</v>
      </c>
      <c r="F2068" s="3">
        <v>55900</v>
      </c>
      <c r="G2068" s="2">
        <f t="shared" si="64"/>
        <v>30</v>
      </c>
      <c r="H2068" s="2">
        <f t="shared" ca="1" si="65"/>
        <v>82</v>
      </c>
      <c r="I2068" s="4">
        <v>46038</v>
      </c>
      <c r="J2068" s="4">
        <v>46068</v>
      </c>
      <c r="K2068" t="s">
        <v>1589</v>
      </c>
      <c r="L2068" t="s">
        <v>984</v>
      </c>
      <c r="M2068" t="s">
        <v>19</v>
      </c>
      <c r="N2068" t="s">
        <v>1678</v>
      </c>
      <c r="O2068">
        <v>30</v>
      </c>
    </row>
    <row r="2069" spans="1:15" hidden="1" x14ac:dyDescent="0.25">
      <c r="A2069" t="s">
        <v>2820</v>
      </c>
      <c r="B2069" t="s">
        <v>1637</v>
      </c>
      <c r="C2069" t="s">
        <v>1638</v>
      </c>
      <c r="D2069" t="s">
        <v>1593</v>
      </c>
      <c r="E2069" t="s">
        <v>3810</v>
      </c>
      <c r="F2069" s="3">
        <v>1910001</v>
      </c>
      <c r="G2069" s="2">
        <f t="shared" si="64"/>
        <v>30</v>
      </c>
      <c r="H2069" s="2">
        <f t="shared" ca="1" si="65"/>
        <v>82</v>
      </c>
      <c r="I2069" s="4">
        <v>46038</v>
      </c>
      <c r="J2069" s="4">
        <v>46068</v>
      </c>
      <c r="K2069" t="s">
        <v>1589</v>
      </c>
      <c r="L2069" t="s">
        <v>984</v>
      </c>
      <c r="M2069" t="s">
        <v>19</v>
      </c>
      <c r="N2069" t="s">
        <v>1639</v>
      </c>
      <c r="O2069">
        <v>30</v>
      </c>
    </row>
    <row r="2070" spans="1:15" hidden="1" x14ac:dyDescent="0.25">
      <c r="A2070" t="s">
        <v>2820</v>
      </c>
      <c r="B2070" t="s">
        <v>1631</v>
      </c>
      <c r="C2070" t="s">
        <v>1632</v>
      </c>
      <c r="D2070" t="s">
        <v>1587</v>
      </c>
      <c r="E2070" t="s">
        <v>3811</v>
      </c>
      <c r="F2070" s="3">
        <v>315004</v>
      </c>
      <c r="G2070" s="2">
        <f t="shared" si="64"/>
        <v>30</v>
      </c>
      <c r="H2070" s="2">
        <f t="shared" ca="1" si="65"/>
        <v>82</v>
      </c>
      <c r="I2070" s="4">
        <v>46038</v>
      </c>
      <c r="J2070" s="4">
        <v>46068</v>
      </c>
      <c r="K2070" t="s">
        <v>1589</v>
      </c>
      <c r="L2070" t="s">
        <v>984</v>
      </c>
      <c r="M2070" t="s">
        <v>19</v>
      </c>
      <c r="N2070" t="s">
        <v>1633</v>
      </c>
      <c r="O2070">
        <v>30</v>
      </c>
    </row>
    <row r="2071" spans="1:15" hidden="1" x14ac:dyDescent="0.25">
      <c r="A2071" t="s">
        <v>2820</v>
      </c>
      <c r="B2071" t="s">
        <v>1631</v>
      </c>
      <c r="C2071" t="s">
        <v>1632</v>
      </c>
      <c r="D2071" t="s">
        <v>1587</v>
      </c>
      <c r="E2071" t="s">
        <v>3812</v>
      </c>
      <c r="F2071" s="3">
        <v>504000</v>
      </c>
      <c r="G2071" s="2">
        <f t="shared" si="64"/>
        <v>30</v>
      </c>
      <c r="H2071" s="2">
        <f t="shared" ca="1" si="65"/>
        <v>82</v>
      </c>
      <c r="I2071" s="4">
        <v>46038</v>
      </c>
      <c r="J2071" s="4">
        <v>46068</v>
      </c>
      <c r="K2071" t="s">
        <v>1589</v>
      </c>
      <c r="L2071" t="s">
        <v>984</v>
      </c>
      <c r="M2071" t="s">
        <v>19</v>
      </c>
      <c r="N2071" t="s">
        <v>1633</v>
      </c>
      <c r="O2071">
        <v>30</v>
      </c>
    </row>
    <row r="2072" spans="1:15" hidden="1" x14ac:dyDescent="0.25">
      <c r="A2072" t="s">
        <v>2820</v>
      </c>
      <c r="B2072" t="s">
        <v>1591</v>
      </c>
      <c r="C2072" t="s">
        <v>1592</v>
      </c>
      <c r="D2072" t="s">
        <v>1593</v>
      </c>
      <c r="E2072" t="s">
        <v>3813</v>
      </c>
      <c r="F2072" s="3">
        <v>5700000</v>
      </c>
      <c r="G2072" s="2">
        <f t="shared" si="64"/>
        <v>30</v>
      </c>
      <c r="H2072" s="2">
        <f t="shared" ca="1" si="65"/>
        <v>82</v>
      </c>
      <c r="I2072" s="4">
        <v>46038</v>
      </c>
      <c r="J2072" s="4">
        <v>46068</v>
      </c>
      <c r="K2072" t="s">
        <v>1589</v>
      </c>
      <c r="L2072" t="s">
        <v>984</v>
      </c>
      <c r="M2072" t="s">
        <v>19</v>
      </c>
      <c r="N2072" t="s">
        <v>1594</v>
      </c>
      <c r="O2072">
        <v>30</v>
      </c>
    </row>
    <row r="2073" spans="1:15" hidden="1" x14ac:dyDescent="0.25">
      <c r="A2073" t="s">
        <v>2820</v>
      </c>
      <c r="B2073" t="s">
        <v>1591</v>
      </c>
      <c r="C2073" t="s">
        <v>1592</v>
      </c>
      <c r="D2073" t="s">
        <v>1593</v>
      </c>
      <c r="E2073" t="s">
        <v>3814</v>
      </c>
      <c r="F2073" s="3">
        <v>1620980</v>
      </c>
      <c r="G2073" s="2">
        <f t="shared" si="64"/>
        <v>30</v>
      </c>
      <c r="H2073" s="2">
        <f t="shared" ca="1" si="65"/>
        <v>82</v>
      </c>
      <c r="I2073" s="4">
        <v>46038</v>
      </c>
      <c r="J2073" s="4">
        <v>46068</v>
      </c>
      <c r="K2073" t="s">
        <v>1589</v>
      </c>
      <c r="L2073" t="s">
        <v>984</v>
      </c>
      <c r="M2073" t="s">
        <v>19</v>
      </c>
      <c r="N2073" t="s">
        <v>1594</v>
      </c>
      <c r="O2073">
        <v>30</v>
      </c>
    </row>
    <row r="2074" spans="1:15" hidden="1" x14ac:dyDescent="0.25">
      <c r="A2074" t="s">
        <v>2820</v>
      </c>
      <c r="B2074" t="s">
        <v>1658</v>
      </c>
      <c r="C2074" t="s">
        <v>1659</v>
      </c>
      <c r="D2074" t="s">
        <v>1593</v>
      </c>
      <c r="E2074" t="s">
        <v>3815</v>
      </c>
      <c r="F2074" s="3">
        <v>687100</v>
      </c>
      <c r="G2074" s="2">
        <f t="shared" si="64"/>
        <v>30</v>
      </c>
      <c r="H2074" s="2">
        <f t="shared" ca="1" si="65"/>
        <v>82</v>
      </c>
      <c r="I2074" s="4">
        <v>46038</v>
      </c>
      <c r="J2074" s="4">
        <v>46068</v>
      </c>
      <c r="K2074" t="s">
        <v>1589</v>
      </c>
      <c r="L2074" t="s">
        <v>984</v>
      </c>
      <c r="M2074" t="s">
        <v>19</v>
      </c>
      <c r="N2074" t="s">
        <v>1660</v>
      </c>
      <c r="O2074">
        <v>30</v>
      </c>
    </row>
    <row r="2075" spans="1:15" hidden="1" x14ac:dyDescent="0.25">
      <c r="A2075" t="s">
        <v>2820</v>
      </c>
      <c r="B2075" t="s">
        <v>1658</v>
      </c>
      <c r="C2075" t="s">
        <v>1659</v>
      </c>
      <c r="D2075" t="s">
        <v>1593</v>
      </c>
      <c r="E2075" t="s">
        <v>3816</v>
      </c>
      <c r="F2075" s="3">
        <v>1790304</v>
      </c>
      <c r="G2075" s="2">
        <f t="shared" si="64"/>
        <v>30</v>
      </c>
      <c r="H2075" s="2">
        <f t="shared" ca="1" si="65"/>
        <v>82</v>
      </c>
      <c r="I2075" s="4">
        <v>46038</v>
      </c>
      <c r="J2075" s="4">
        <v>46068</v>
      </c>
      <c r="K2075" t="s">
        <v>1589</v>
      </c>
      <c r="L2075" t="s">
        <v>984</v>
      </c>
      <c r="M2075" t="s">
        <v>19</v>
      </c>
      <c r="N2075" t="s">
        <v>1660</v>
      </c>
      <c r="O2075">
        <v>30</v>
      </c>
    </row>
    <row r="2076" spans="1:15" hidden="1" x14ac:dyDescent="0.25">
      <c r="A2076" t="s">
        <v>2820</v>
      </c>
      <c r="B2076" t="s">
        <v>1702</v>
      </c>
      <c r="C2076" t="s">
        <v>1703</v>
      </c>
      <c r="D2076" t="s">
        <v>1689</v>
      </c>
      <c r="E2076" t="s">
        <v>3821</v>
      </c>
      <c r="F2076" s="3">
        <v>1850501</v>
      </c>
      <c r="G2076" s="2">
        <f t="shared" si="64"/>
        <v>30</v>
      </c>
      <c r="H2076" s="2">
        <f t="shared" ca="1" si="65"/>
        <v>82</v>
      </c>
      <c r="I2076" s="4">
        <v>46038</v>
      </c>
      <c r="J2076" s="4">
        <v>46068</v>
      </c>
      <c r="K2076" t="s">
        <v>1691</v>
      </c>
      <c r="L2076" t="s">
        <v>984</v>
      </c>
      <c r="M2076" t="s">
        <v>19</v>
      </c>
      <c r="N2076" t="s">
        <v>1704</v>
      </c>
      <c r="O2076">
        <v>30</v>
      </c>
    </row>
    <row r="2077" spans="1:15" hidden="1" x14ac:dyDescent="0.25">
      <c r="A2077" t="s">
        <v>2820</v>
      </c>
      <c r="B2077" t="s">
        <v>1702</v>
      </c>
      <c r="C2077" t="s">
        <v>1703</v>
      </c>
      <c r="D2077" t="s">
        <v>1689</v>
      </c>
      <c r="E2077" t="s">
        <v>3822</v>
      </c>
      <c r="F2077" s="3">
        <v>2535194</v>
      </c>
      <c r="G2077" s="2">
        <f t="shared" si="64"/>
        <v>30</v>
      </c>
      <c r="H2077" s="2">
        <f t="shared" ca="1" si="65"/>
        <v>82</v>
      </c>
      <c r="I2077" s="4">
        <v>46038</v>
      </c>
      <c r="J2077" s="4">
        <v>46068</v>
      </c>
      <c r="K2077" t="s">
        <v>1691</v>
      </c>
      <c r="L2077" t="s">
        <v>984</v>
      </c>
      <c r="M2077" t="s">
        <v>19</v>
      </c>
      <c r="N2077" t="s">
        <v>1704</v>
      </c>
      <c r="O2077">
        <v>30</v>
      </c>
    </row>
    <row r="2078" spans="1:15" hidden="1" x14ac:dyDescent="0.25">
      <c r="A2078" t="s">
        <v>2820</v>
      </c>
      <c r="B2078" t="s">
        <v>2081</v>
      </c>
      <c r="C2078" t="s">
        <v>2082</v>
      </c>
      <c r="D2078" t="s">
        <v>1689</v>
      </c>
      <c r="E2078" t="s">
        <v>3823</v>
      </c>
      <c r="F2078" s="3">
        <v>1686000</v>
      </c>
      <c r="G2078" s="2">
        <f t="shared" si="64"/>
        <v>30</v>
      </c>
      <c r="H2078" s="2">
        <f t="shared" ca="1" si="65"/>
        <v>82</v>
      </c>
      <c r="I2078" s="4">
        <v>46038</v>
      </c>
      <c r="J2078" s="4">
        <v>46068</v>
      </c>
      <c r="K2078" t="s">
        <v>1691</v>
      </c>
      <c r="L2078" t="s">
        <v>984</v>
      </c>
      <c r="M2078" t="s">
        <v>19</v>
      </c>
      <c r="N2078" t="s">
        <v>2083</v>
      </c>
      <c r="O2078">
        <v>30</v>
      </c>
    </row>
    <row r="2079" spans="1:15" hidden="1" x14ac:dyDescent="0.25">
      <c r="A2079" t="s">
        <v>2820</v>
      </c>
      <c r="B2079" t="s">
        <v>2081</v>
      </c>
      <c r="C2079" t="s">
        <v>2082</v>
      </c>
      <c r="D2079" t="s">
        <v>1689</v>
      </c>
      <c r="E2079" t="s">
        <v>3824</v>
      </c>
      <c r="F2079" s="3">
        <v>3308052</v>
      </c>
      <c r="G2079" s="2">
        <f t="shared" si="64"/>
        <v>30</v>
      </c>
      <c r="H2079" s="2">
        <f t="shared" ca="1" si="65"/>
        <v>82</v>
      </c>
      <c r="I2079" s="4">
        <v>46038</v>
      </c>
      <c r="J2079" s="4">
        <v>46068</v>
      </c>
      <c r="K2079" t="s">
        <v>1691</v>
      </c>
      <c r="L2079" t="s">
        <v>984</v>
      </c>
      <c r="M2079" t="s">
        <v>19</v>
      </c>
      <c r="N2079" t="s">
        <v>2083</v>
      </c>
      <c r="O2079">
        <v>30</v>
      </c>
    </row>
    <row r="2080" spans="1:15" hidden="1" x14ac:dyDescent="0.25">
      <c r="A2080" t="s">
        <v>2820</v>
      </c>
      <c r="B2080" t="s">
        <v>1698</v>
      </c>
      <c r="C2080" t="s">
        <v>1699</v>
      </c>
      <c r="D2080" t="s">
        <v>1700</v>
      </c>
      <c r="E2080" t="s">
        <v>3825</v>
      </c>
      <c r="F2080" s="3">
        <v>1272000</v>
      </c>
      <c r="G2080" s="2">
        <f t="shared" si="64"/>
        <v>30</v>
      </c>
      <c r="H2080" s="2">
        <f t="shared" ca="1" si="65"/>
        <v>82</v>
      </c>
      <c r="I2080" s="4">
        <v>46038</v>
      </c>
      <c r="J2080" s="4">
        <v>46068</v>
      </c>
      <c r="K2080" t="s">
        <v>1691</v>
      </c>
      <c r="L2080" t="s">
        <v>984</v>
      </c>
      <c r="M2080" t="s">
        <v>19</v>
      </c>
      <c r="N2080" t="s">
        <v>1701</v>
      </c>
      <c r="O2080">
        <v>30</v>
      </c>
    </row>
    <row r="2081" spans="1:15" hidden="1" x14ac:dyDescent="0.25">
      <c r="A2081" t="s">
        <v>2820</v>
      </c>
      <c r="B2081" t="s">
        <v>1698</v>
      </c>
      <c r="C2081" t="s">
        <v>1699</v>
      </c>
      <c r="D2081" t="s">
        <v>1700</v>
      </c>
      <c r="E2081" t="s">
        <v>3826</v>
      </c>
      <c r="F2081" s="3">
        <v>3781936</v>
      </c>
      <c r="G2081" s="2">
        <f t="shared" si="64"/>
        <v>30</v>
      </c>
      <c r="H2081" s="2">
        <f t="shared" ca="1" si="65"/>
        <v>82</v>
      </c>
      <c r="I2081" s="4">
        <v>46038</v>
      </c>
      <c r="J2081" s="4">
        <v>46068</v>
      </c>
      <c r="K2081" t="s">
        <v>1691</v>
      </c>
      <c r="L2081" t="s">
        <v>984</v>
      </c>
      <c r="M2081" t="s">
        <v>19</v>
      </c>
      <c r="N2081" t="s">
        <v>1701</v>
      </c>
      <c r="O2081">
        <v>30</v>
      </c>
    </row>
    <row r="2082" spans="1:15" hidden="1" x14ac:dyDescent="0.25">
      <c r="A2082" t="s">
        <v>2820</v>
      </c>
      <c r="B2082" t="s">
        <v>1695</v>
      </c>
      <c r="C2082" t="s">
        <v>1696</v>
      </c>
      <c r="D2082" t="s">
        <v>1689</v>
      </c>
      <c r="E2082" t="s">
        <v>3827</v>
      </c>
      <c r="F2082" s="3">
        <v>385800</v>
      </c>
      <c r="G2082" s="2">
        <f t="shared" si="64"/>
        <v>30</v>
      </c>
      <c r="H2082" s="2">
        <f t="shared" ca="1" si="65"/>
        <v>82</v>
      </c>
      <c r="I2082" s="4">
        <v>46038</v>
      </c>
      <c r="J2082" s="4">
        <v>46068</v>
      </c>
      <c r="K2082" t="s">
        <v>1691</v>
      </c>
      <c r="L2082" t="s">
        <v>984</v>
      </c>
      <c r="M2082" t="s">
        <v>19</v>
      </c>
      <c r="N2082" t="s">
        <v>1697</v>
      </c>
      <c r="O2082">
        <v>1</v>
      </c>
    </row>
    <row r="2083" spans="1:15" hidden="1" x14ac:dyDescent="0.25">
      <c r="A2083" t="s">
        <v>2820</v>
      </c>
      <c r="B2083" t="s">
        <v>1695</v>
      </c>
      <c r="C2083" t="s">
        <v>1696</v>
      </c>
      <c r="D2083" t="s">
        <v>1689</v>
      </c>
      <c r="E2083" t="s">
        <v>3828</v>
      </c>
      <c r="F2083" s="3">
        <v>1825882</v>
      </c>
      <c r="G2083" s="2">
        <f t="shared" si="64"/>
        <v>30</v>
      </c>
      <c r="H2083" s="2">
        <f t="shared" ca="1" si="65"/>
        <v>82</v>
      </c>
      <c r="I2083" s="4">
        <v>46038</v>
      </c>
      <c r="J2083" s="4">
        <v>46068</v>
      </c>
      <c r="K2083" t="s">
        <v>1691</v>
      </c>
      <c r="L2083" t="s">
        <v>984</v>
      </c>
      <c r="M2083" t="s">
        <v>19</v>
      </c>
      <c r="N2083" t="s">
        <v>1697</v>
      </c>
      <c r="O2083">
        <v>1</v>
      </c>
    </row>
    <row r="2084" spans="1:15" hidden="1" x14ac:dyDescent="0.25">
      <c r="A2084" t="s">
        <v>2820</v>
      </c>
      <c r="B2084" t="s">
        <v>1756</v>
      </c>
      <c r="C2084" t="s">
        <v>1757</v>
      </c>
      <c r="D2084" t="s">
        <v>331</v>
      </c>
      <c r="E2084" t="s">
        <v>3834</v>
      </c>
      <c r="F2084" s="3">
        <v>1193294</v>
      </c>
      <c r="G2084" s="2">
        <f t="shared" si="64"/>
        <v>30</v>
      </c>
      <c r="H2084" s="2">
        <f t="shared" ca="1" si="65"/>
        <v>82</v>
      </c>
      <c r="I2084" s="4">
        <v>46038</v>
      </c>
      <c r="J2084" s="4">
        <v>46068</v>
      </c>
      <c r="K2084" t="s">
        <v>1758</v>
      </c>
      <c r="L2084" t="s">
        <v>32</v>
      </c>
      <c r="M2084" t="s">
        <v>19</v>
      </c>
      <c r="N2084" t="s">
        <v>1759</v>
      </c>
      <c r="O2084">
        <v>30</v>
      </c>
    </row>
    <row r="2085" spans="1:15" hidden="1" x14ac:dyDescent="0.25">
      <c r="A2085" t="s">
        <v>2820</v>
      </c>
      <c r="B2085" t="s">
        <v>1760</v>
      </c>
      <c r="C2085" t="s">
        <v>1761</v>
      </c>
      <c r="D2085" t="s">
        <v>1762</v>
      </c>
      <c r="E2085" t="s">
        <v>3835</v>
      </c>
      <c r="F2085" s="3">
        <v>49248</v>
      </c>
      <c r="G2085" s="2">
        <f t="shared" si="64"/>
        <v>10</v>
      </c>
      <c r="H2085" s="2">
        <f t="shared" ca="1" si="65"/>
        <v>82</v>
      </c>
      <c r="I2085" s="4">
        <v>46038</v>
      </c>
      <c r="J2085" s="4">
        <v>46048</v>
      </c>
      <c r="K2085" t="s">
        <v>1758</v>
      </c>
      <c r="L2085" t="s">
        <v>32</v>
      </c>
      <c r="M2085" t="s">
        <v>19</v>
      </c>
      <c r="N2085" t="s">
        <v>1763</v>
      </c>
      <c r="O2085">
        <v>30</v>
      </c>
    </row>
    <row r="2086" spans="1:15" hidden="1" x14ac:dyDescent="0.25">
      <c r="A2086" t="s">
        <v>2820</v>
      </c>
      <c r="B2086" t="s">
        <v>1760</v>
      </c>
      <c r="C2086" t="s">
        <v>1761</v>
      </c>
      <c r="D2086" t="s">
        <v>1762</v>
      </c>
      <c r="E2086" t="s">
        <v>3836</v>
      </c>
      <c r="F2086" s="3">
        <v>630000</v>
      </c>
      <c r="G2086" s="2">
        <f t="shared" si="64"/>
        <v>10</v>
      </c>
      <c r="H2086" s="2">
        <f t="shared" ca="1" si="65"/>
        <v>82</v>
      </c>
      <c r="I2086" s="4">
        <v>46038</v>
      </c>
      <c r="J2086" s="4">
        <v>46048</v>
      </c>
      <c r="K2086" t="s">
        <v>1758</v>
      </c>
      <c r="L2086" t="s">
        <v>32</v>
      </c>
      <c r="M2086" t="s">
        <v>19</v>
      </c>
      <c r="N2086" t="s">
        <v>1763</v>
      </c>
      <c r="O2086">
        <v>30</v>
      </c>
    </row>
    <row r="2087" spans="1:15" hidden="1" x14ac:dyDescent="0.25">
      <c r="A2087" t="s">
        <v>2820</v>
      </c>
      <c r="B2087" t="s">
        <v>1767</v>
      </c>
      <c r="C2087" t="s">
        <v>1768</v>
      </c>
      <c r="D2087" t="s">
        <v>331</v>
      </c>
      <c r="E2087" t="s">
        <v>3837</v>
      </c>
      <c r="F2087" s="3">
        <v>1478377</v>
      </c>
      <c r="G2087" s="2">
        <f t="shared" si="64"/>
        <v>30</v>
      </c>
      <c r="H2087" s="2">
        <f t="shared" ca="1" si="65"/>
        <v>82</v>
      </c>
      <c r="I2087" s="4">
        <v>46038</v>
      </c>
      <c r="J2087" s="4">
        <v>46068</v>
      </c>
      <c r="K2087" t="s">
        <v>1758</v>
      </c>
      <c r="L2087" t="s">
        <v>32</v>
      </c>
      <c r="M2087" t="s">
        <v>19</v>
      </c>
      <c r="N2087" t="s">
        <v>1769</v>
      </c>
      <c r="O2087">
        <v>30</v>
      </c>
    </row>
    <row r="2088" spans="1:15" hidden="1" x14ac:dyDescent="0.25">
      <c r="A2088" t="s">
        <v>2820</v>
      </c>
      <c r="B2088" t="s">
        <v>1767</v>
      </c>
      <c r="C2088" t="s">
        <v>1768</v>
      </c>
      <c r="D2088" t="s">
        <v>331</v>
      </c>
      <c r="E2088" t="s">
        <v>3838</v>
      </c>
      <c r="F2088" s="3">
        <v>2940000</v>
      </c>
      <c r="G2088" s="2">
        <f t="shared" si="64"/>
        <v>10</v>
      </c>
      <c r="H2088" s="2">
        <f t="shared" ca="1" si="65"/>
        <v>82</v>
      </c>
      <c r="I2088" s="4">
        <v>46038</v>
      </c>
      <c r="J2088" s="4">
        <v>46048</v>
      </c>
      <c r="K2088" t="s">
        <v>1758</v>
      </c>
      <c r="L2088" t="s">
        <v>32</v>
      </c>
      <c r="M2088" t="s">
        <v>19</v>
      </c>
      <c r="N2088" t="s">
        <v>1769</v>
      </c>
      <c r="O2088">
        <v>30</v>
      </c>
    </row>
    <row r="2089" spans="1:15" hidden="1" x14ac:dyDescent="0.25">
      <c r="A2089" t="s">
        <v>2820</v>
      </c>
      <c r="B2089" t="s">
        <v>1764</v>
      </c>
      <c r="C2089" t="s">
        <v>1765</v>
      </c>
      <c r="D2089" t="s">
        <v>331</v>
      </c>
      <c r="E2089" t="s">
        <v>3839</v>
      </c>
      <c r="F2089" s="3">
        <v>2436000</v>
      </c>
      <c r="G2089" s="2">
        <f t="shared" si="64"/>
        <v>10</v>
      </c>
      <c r="H2089" s="2">
        <f t="shared" ca="1" si="65"/>
        <v>82</v>
      </c>
      <c r="I2089" s="4">
        <v>46038</v>
      </c>
      <c r="J2089" s="4">
        <v>46048</v>
      </c>
      <c r="K2089" t="s">
        <v>1758</v>
      </c>
      <c r="L2089" t="s">
        <v>32</v>
      </c>
      <c r="M2089" t="s">
        <v>19</v>
      </c>
      <c r="N2089" t="s">
        <v>1766</v>
      </c>
      <c r="O2089">
        <v>30</v>
      </c>
    </row>
    <row r="2090" spans="1:15" hidden="1" x14ac:dyDescent="0.25">
      <c r="A2090" t="s">
        <v>2820</v>
      </c>
      <c r="B2090" t="s">
        <v>3219</v>
      </c>
      <c r="C2090" t="s">
        <v>3220</v>
      </c>
      <c r="D2090" t="s">
        <v>331</v>
      </c>
      <c r="E2090" t="s">
        <v>3842</v>
      </c>
      <c r="F2090" s="3">
        <v>412400</v>
      </c>
      <c r="G2090" s="2">
        <f t="shared" si="64"/>
        <v>8</v>
      </c>
      <c r="H2090" s="2">
        <f t="shared" ca="1" si="65"/>
        <v>82</v>
      </c>
      <c r="I2090" s="4">
        <v>46038</v>
      </c>
      <c r="J2090" s="4">
        <v>46046</v>
      </c>
      <c r="K2090" t="s">
        <v>1758</v>
      </c>
      <c r="L2090" t="s">
        <v>317</v>
      </c>
      <c r="M2090" t="s">
        <v>19</v>
      </c>
      <c r="N2090" t="s">
        <v>3221</v>
      </c>
      <c r="O2090">
        <v>8</v>
      </c>
    </row>
    <row r="2091" spans="1:15" hidden="1" x14ac:dyDescent="0.25">
      <c r="A2091" t="s">
        <v>2820</v>
      </c>
      <c r="B2091" t="s">
        <v>1770</v>
      </c>
      <c r="C2091" t="s">
        <v>1771</v>
      </c>
      <c r="D2091" t="s">
        <v>331</v>
      </c>
      <c r="E2091" t="s">
        <v>3843</v>
      </c>
      <c r="F2091" s="3">
        <v>611000</v>
      </c>
      <c r="G2091" s="2">
        <f t="shared" si="64"/>
        <v>10</v>
      </c>
      <c r="H2091" s="2">
        <f t="shared" ca="1" si="65"/>
        <v>82</v>
      </c>
      <c r="I2091" s="4">
        <v>46038</v>
      </c>
      <c r="J2091" s="4">
        <v>46048</v>
      </c>
      <c r="K2091" t="s">
        <v>1758</v>
      </c>
      <c r="L2091" t="s">
        <v>317</v>
      </c>
      <c r="M2091" t="s">
        <v>19</v>
      </c>
      <c r="N2091" t="s">
        <v>1772</v>
      </c>
      <c r="O2091">
        <v>30</v>
      </c>
    </row>
    <row r="2092" spans="1:15" hidden="1" x14ac:dyDescent="0.25">
      <c r="A2092" t="s">
        <v>2820</v>
      </c>
      <c r="B2092" t="s">
        <v>67</v>
      </c>
      <c r="C2092" t="s">
        <v>68</v>
      </c>
      <c r="D2092" t="s">
        <v>15</v>
      </c>
      <c r="E2092" t="s">
        <v>3377</v>
      </c>
      <c r="F2092" s="3">
        <v>2100000</v>
      </c>
      <c r="G2092" s="2">
        <f t="shared" si="64"/>
        <v>10</v>
      </c>
      <c r="H2092" s="2">
        <f t="shared" ca="1" si="65"/>
        <v>81</v>
      </c>
      <c r="I2092" s="4">
        <v>46039</v>
      </c>
      <c r="J2092" s="4">
        <v>46049</v>
      </c>
      <c r="K2092" t="s">
        <v>17</v>
      </c>
      <c r="L2092" t="s">
        <v>32</v>
      </c>
      <c r="M2092" t="s">
        <v>19</v>
      </c>
      <c r="N2092" t="s">
        <v>69</v>
      </c>
      <c r="O2092">
        <v>30</v>
      </c>
    </row>
    <row r="2093" spans="1:15" hidden="1" x14ac:dyDescent="0.25">
      <c r="A2093" t="s">
        <v>2820</v>
      </c>
      <c r="B2093" t="s">
        <v>2010</v>
      </c>
      <c r="C2093" t="s">
        <v>2011</v>
      </c>
      <c r="D2093" t="s">
        <v>15</v>
      </c>
      <c r="E2093" t="s">
        <v>3378</v>
      </c>
      <c r="F2093" s="3">
        <v>2428000</v>
      </c>
      <c r="G2093" s="2">
        <f t="shared" si="64"/>
        <v>10</v>
      </c>
      <c r="H2093" s="2">
        <f t="shared" ca="1" si="65"/>
        <v>81</v>
      </c>
      <c r="I2093" s="4">
        <v>46039</v>
      </c>
      <c r="J2093" s="4">
        <v>46049</v>
      </c>
      <c r="K2093" t="s">
        <v>17</v>
      </c>
      <c r="L2093" t="s">
        <v>32</v>
      </c>
      <c r="M2093" t="s">
        <v>19</v>
      </c>
      <c r="N2093" t="s">
        <v>2012</v>
      </c>
      <c r="O2093">
        <v>30</v>
      </c>
    </row>
    <row r="2094" spans="1:15" hidden="1" x14ac:dyDescent="0.25">
      <c r="A2094" t="s">
        <v>2820</v>
      </c>
      <c r="B2094" t="s">
        <v>101</v>
      </c>
      <c r="C2094" t="s">
        <v>102</v>
      </c>
      <c r="D2094" t="s">
        <v>15</v>
      </c>
      <c r="E2094" t="s">
        <v>3379</v>
      </c>
      <c r="F2094" s="3">
        <v>2750598</v>
      </c>
      <c r="G2094" s="2">
        <f t="shared" si="64"/>
        <v>30</v>
      </c>
      <c r="H2094" s="2">
        <f t="shared" ca="1" si="65"/>
        <v>81</v>
      </c>
      <c r="I2094" s="4">
        <v>46039</v>
      </c>
      <c r="J2094" s="4">
        <v>46069</v>
      </c>
      <c r="K2094" t="s">
        <v>17</v>
      </c>
      <c r="L2094" t="s">
        <v>32</v>
      </c>
      <c r="M2094" t="s">
        <v>19</v>
      </c>
      <c r="N2094" t="s">
        <v>103</v>
      </c>
      <c r="O2094">
        <v>30</v>
      </c>
    </row>
    <row r="2095" spans="1:15" hidden="1" x14ac:dyDescent="0.25">
      <c r="A2095" t="s">
        <v>2820</v>
      </c>
      <c r="B2095" t="s">
        <v>79</v>
      </c>
      <c r="C2095" t="s">
        <v>80</v>
      </c>
      <c r="D2095" t="s">
        <v>46</v>
      </c>
      <c r="E2095" t="s">
        <v>3380</v>
      </c>
      <c r="F2095" s="3">
        <v>4054105</v>
      </c>
      <c r="G2095" s="2">
        <f t="shared" si="64"/>
        <v>30</v>
      </c>
      <c r="H2095" s="2">
        <f t="shared" ca="1" si="65"/>
        <v>81</v>
      </c>
      <c r="I2095" s="4">
        <v>46039</v>
      </c>
      <c r="J2095" s="4">
        <v>46069</v>
      </c>
      <c r="K2095" t="s">
        <v>17</v>
      </c>
      <c r="L2095" t="s">
        <v>32</v>
      </c>
      <c r="M2095" t="s">
        <v>19</v>
      </c>
      <c r="N2095" t="s">
        <v>81</v>
      </c>
      <c r="O2095">
        <v>30</v>
      </c>
    </row>
    <row r="2096" spans="1:15" hidden="1" x14ac:dyDescent="0.25">
      <c r="A2096" t="s">
        <v>2820</v>
      </c>
      <c r="B2096" t="s">
        <v>195</v>
      </c>
      <c r="C2096" t="s">
        <v>196</v>
      </c>
      <c r="D2096" t="s">
        <v>15</v>
      </c>
      <c r="E2096" t="s">
        <v>3381</v>
      </c>
      <c r="F2096" s="3">
        <v>1060000</v>
      </c>
      <c r="G2096" s="2">
        <f t="shared" si="64"/>
        <v>10</v>
      </c>
      <c r="H2096" s="2">
        <f t="shared" ca="1" si="65"/>
        <v>81</v>
      </c>
      <c r="I2096" s="4">
        <v>46039</v>
      </c>
      <c r="J2096" s="4">
        <v>46049</v>
      </c>
      <c r="K2096" t="s">
        <v>17</v>
      </c>
      <c r="L2096" t="s">
        <v>32</v>
      </c>
      <c r="M2096" t="s">
        <v>19</v>
      </c>
      <c r="N2096" t="s">
        <v>197</v>
      </c>
      <c r="O2096">
        <v>30</v>
      </c>
    </row>
    <row r="2097" spans="1:15" hidden="1" x14ac:dyDescent="0.25">
      <c r="A2097" t="s">
        <v>2820</v>
      </c>
      <c r="B2097" t="s">
        <v>150</v>
      </c>
      <c r="C2097" t="s">
        <v>151</v>
      </c>
      <c r="D2097" t="s">
        <v>46</v>
      </c>
      <c r="E2097" t="s">
        <v>3382</v>
      </c>
      <c r="F2097" s="3">
        <v>1260000</v>
      </c>
      <c r="G2097" s="2">
        <f t="shared" si="64"/>
        <v>10</v>
      </c>
      <c r="H2097" s="2">
        <f t="shared" ca="1" si="65"/>
        <v>81</v>
      </c>
      <c r="I2097" s="4">
        <v>46039</v>
      </c>
      <c r="J2097" s="4">
        <v>46049</v>
      </c>
      <c r="K2097" t="s">
        <v>17</v>
      </c>
      <c r="L2097" t="s">
        <v>32</v>
      </c>
      <c r="M2097" t="s">
        <v>19</v>
      </c>
      <c r="N2097" t="s">
        <v>152</v>
      </c>
      <c r="O2097">
        <v>30</v>
      </c>
    </row>
    <row r="2098" spans="1:15" hidden="1" x14ac:dyDescent="0.25">
      <c r="A2098" t="s">
        <v>2820</v>
      </c>
      <c r="B2098" t="s">
        <v>130</v>
      </c>
      <c r="C2098" t="s">
        <v>131</v>
      </c>
      <c r="D2098" t="s">
        <v>15</v>
      </c>
      <c r="E2098" t="s">
        <v>3383</v>
      </c>
      <c r="F2098" s="3">
        <v>840000</v>
      </c>
      <c r="G2098" s="2">
        <f t="shared" si="64"/>
        <v>10</v>
      </c>
      <c r="H2098" s="2">
        <f t="shared" ca="1" si="65"/>
        <v>81</v>
      </c>
      <c r="I2098" s="4">
        <v>46039</v>
      </c>
      <c r="J2098" s="4">
        <v>46049</v>
      </c>
      <c r="K2098" t="s">
        <v>17</v>
      </c>
      <c r="L2098" t="s">
        <v>32</v>
      </c>
      <c r="M2098" t="s">
        <v>19</v>
      </c>
      <c r="N2098" t="s">
        <v>132</v>
      </c>
      <c r="O2098">
        <v>30</v>
      </c>
    </row>
    <row r="2099" spans="1:15" hidden="1" x14ac:dyDescent="0.25">
      <c r="A2099" t="s">
        <v>2820</v>
      </c>
      <c r="B2099" t="s">
        <v>195</v>
      </c>
      <c r="C2099" t="s">
        <v>196</v>
      </c>
      <c r="D2099" t="s">
        <v>15</v>
      </c>
      <c r="E2099" t="s">
        <v>3384</v>
      </c>
      <c r="F2099" s="3">
        <v>663308</v>
      </c>
      <c r="G2099" s="2">
        <f t="shared" si="64"/>
        <v>30</v>
      </c>
      <c r="H2099" s="2">
        <f t="shared" ca="1" si="65"/>
        <v>81</v>
      </c>
      <c r="I2099" s="4">
        <v>46039</v>
      </c>
      <c r="J2099" s="4">
        <v>46069</v>
      </c>
      <c r="K2099" t="s">
        <v>17</v>
      </c>
      <c r="L2099" t="s">
        <v>32</v>
      </c>
      <c r="M2099" t="s">
        <v>19</v>
      </c>
      <c r="N2099" t="s">
        <v>197</v>
      </c>
      <c r="O2099">
        <v>30</v>
      </c>
    </row>
    <row r="2100" spans="1:15" hidden="1" x14ac:dyDescent="0.25">
      <c r="A2100" t="s">
        <v>2820</v>
      </c>
      <c r="B2100" t="s">
        <v>107</v>
      </c>
      <c r="C2100" t="s">
        <v>108</v>
      </c>
      <c r="D2100" t="s">
        <v>46</v>
      </c>
      <c r="E2100" t="s">
        <v>3385</v>
      </c>
      <c r="F2100" s="3">
        <v>6050078</v>
      </c>
      <c r="G2100" s="2">
        <f t="shared" si="64"/>
        <v>30</v>
      </c>
      <c r="H2100" s="2">
        <f t="shared" ca="1" si="65"/>
        <v>81</v>
      </c>
      <c r="I2100" s="4">
        <v>46039</v>
      </c>
      <c r="J2100" s="4">
        <v>46069</v>
      </c>
      <c r="K2100" t="s">
        <v>17</v>
      </c>
      <c r="L2100" t="s">
        <v>117</v>
      </c>
      <c r="M2100" t="s">
        <v>19</v>
      </c>
      <c r="N2100" t="s">
        <v>110</v>
      </c>
      <c r="O2100">
        <v>30</v>
      </c>
    </row>
    <row r="2101" spans="1:15" hidden="1" x14ac:dyDescent="0.25">
      <c r="A2101" t="s">
        <v>2820</v>
      </c>
      <c r="B2101" t="s">
        <v>111</v>
      </c>
      <c r="C2101" t="s">
        <v>112</v>
      </c>
      <c r="D2101" t="s">
        <v>15</v>
      </c>
      <c r="E2101" t="s">
        <v>3386</v>
      </c>
      <c r="F2101" s="3">
        <v>1158091</v>
      </c>
      <c r="G2101" s="2">
        <f t="shared" si="64"/>
        <v>30</v>
      </c>
      <c r="H2101" s="2">
        <f t="shared" ca="1" si="65"/>
        <v>81</v>
      </c>
      <c r="I2101" s="4">
        <v>46039</v>
      </c>
      <c r="J2101" s="4">
        <v>46069</v>
      </c>
      <c r="K2101" t="s">
        <v>17</v>
      </c>
      <c r="L2101" t="s">
        <v>32</v>
      </c>
      <c r="M2101" t="s">
        <v>19</v>
      </c>
      <c r="N2101" t="s">
        <v>113</v>
      </c>
      <c r="O2101">
        <v>30</v>
      </c>
    </row>
    <row r="2102" spans="1:15" hidden="1" x14ac:dyDescent="0.25">
      <c r="A2102" t="s">
        <v>2820</v>
      </c>
      <c r="B2102" t="s">
        <v>67</v>
      </c>
      <c r="C2102" t="s">
        <v>68</v>
      </c>
      <c r="D2102" t="s">
        <v>15</v>
      </c>
      <c r="E2102" t="s">
        <v>3387</v>
      </c>
      <c r="F2102" s="3">
        <v>3583585</v>
      </c>
      <c r="G2102" s="2">
        <f t="shared" si="64"/>
        <v>30</v>
      </c>
      <c r="H2102" s="2">
        <f t="shared" ca="1" si="65"/>
        <v>81</v>
      </c>
      <c r="I2102" s="4">
        <v>46039</v>
      </c>
      <c r="J2102" s="4">
        <v>46069</v>
      </c>
      <c r="K2102" t="s">
        <v>17</v>
      </c>
      <c r="L2102" t="s">
        <v>32</v>
      </c>
      <c r="M2102" t="s">
        <v>19</v>
      </c>
      <c r="N2102" t="s">
        <v>69</v>
      </c>
      <c r="O2102">
        <v>30</v>
      </c>
    </row>
    <row r="2103" spans="1:15" hidden="1" x14ac:dyDescent="0.25">
      <c r="A2103" t="s">
        <v>2820</v>
      </c>
      <c r="B2103" t="s">
        <v>88</v>
      </c>
      <c r="C2103" t="s">
        <v>89</v>
      </c>
      <c r="D2103" t="s">
        <v>15</v>
      </c>
      <c r="E2103" t="s">
        <v>3388</v>
      </c>
      <c r="F2103" s="3">
        <v>633253</v>
      </c>
      <c r="G2103" s="2">
        <f t="shared" si="64"/>
        <v>30</v>
      </c>
      <c r="H2103" s="2">
        <f t="shared" ca="1" si="65"/>
        <v>81</v>
      </c>
      <c r="I2103" s="4">
        <v>46039</v>
      </c>
      <c r="J2103" s="4">
        <v>46069</v>
      </c>
      <c r="K2103" t="s">
        <v>17</v>
      </c>
      <c r="L2103" t="s">
        <v>32</v>
      </c>
      <c r="M2103" t="s">
        <v>19</v>
      </c>
      <c r="N2103" t="s">
        <v>91</v>
      </c>
      <c r="O2103">
        <v>30</v>
      </c>
    </row>
    <row r="2104" spans="1:15" hidden="1" x14ac:dyDescent="0.25">
      <c r="A2104" t="s">
        <v>2820</v>
      </c>
      <c r="B2104" t="s">
        <v>337</v>
      </c>
      <c r="C2104" t="s">
        <v>338</v>
      </c>
      <c r="D2104" t="s">
        <v>15</v>
      </c>
      <c r="E2104" t="s">
        <v>3436</v>
      </c>
      <c r="F2104" s="3">
        <v>106510</v>
      </c>
      <c r="G2104" s="2">
        <f t="shared" si="64"/>
        <v>15</v>
      </c>
      <c r="H2104" s="2">
        <f t="shared" ca="1" si="65"/>
        <v>81</v>
      </c>
      <c r="I2104" s="4">
        <v>46039</v>
      </c>
      <c r="J2104" s="4">
        <v>46054</v>
      </c>
      <c r="K2104" t="s">
        <v>17</v>
      </c>
      <c r="L2104" t="s">
        <v>312</v>
      </c>
      <c r="M2104" t="s">
        <v>19</v>
      </c>
      <c r="N2104" t="s">
        <v>339</v>
      </c>
      <c r="O2104">
        <v>30</v>
      </c>
    </row>
    <row r="2105" spans="1:15" hidden="1" x14ac:dyDescent="0.25">
      <c r="A2105" t="s">
        <v>2820</v>
      </c>
      <c r="B2105" t="s">
        <v>337</v>
      </c>
      <c r="C2105" t="s">
        <v>338</v>
      </c>
      <c r="D2105" t="s">
        <v>15</v>
      </c>
      <c r="E2105" t="s">
        <v>3437</v>
      </c>
      <c r="F2105" s="3">
        <v>105118</v>
      </c>
      <c r="G2105" s="2">
        <f t="shared" si="64"/>
        <v>15</v>
      </c>
      <c r="H2105" s="2">
        <f t="shared" ca="1" si="65"/>
        <v>81</v>
      </c>
      <c r="I2105" s="4">
        <v>46039</v>
      </c>
      <c r="J2105" s="4">
        <v>46054</v>
      </c>
      <c r="K2105" t="s">
        <v>17</v>
      </c>
      <c r="L2105" t="s">
        <v>312</v>
      </c>
      <c r="M2105" t="s">
        <v>19</v>
      </c>
      <c r="N2105" t="s">
        <v>339</v>
      </c>
      <c r="O2105">
        <v>30</v>
      </c>
    </row>
    <row r="2106" spans="1:15" hidden="1" x14ac:dyDescent="0.25">
      <c r="A2106" t="s">
        <v>2820</v>
      </c>
      <c r="B2106" t="s">
        <v>323</v>
      </c>
      <c r="C2106" t="s">
        <v>324</v>
      </c>
      <c r="D2106" t="s">
        <v>15</v>
      </c>
      <c r="E2106" t="s">
        <v>3438</v>
      </c>
      <c r="F2106" s="3">
        <v>345895</v>
      </c>
      <c r="G2106" s="2">
        <f t="shared" si="64"/>
        <v>15</v>
      </c>
      <c r="H2106" s="2">
        <f t="shared" ca="1" si="65"/>
        <v>81</v>
      </c>
      <c r="I2106" s="4">
        <v>46039</v>
      </c>
      <c r="J2106" s="4">
        <v>46054</v>
      </c>
      <c r="K2106" t="s">
        <v>17</v>
      </c>
      <c r="L2106" t="s">
        <v>312</v>
      </c>
      <c r="M2106" t="s">
        <v>19</v>
      </c>
      <c r="N2106" t="s">
        <v>325</v>
      </c>
      <c r="O2106">
        <v>15</v>
      </c>
    </row>
    <row r="2107" spans="1:15" hidden="1" x14ac:dyDescent="0.25">
      <c r="A2107" t="s">
        <v>2820</v>
      </c>
      <c r="B2107" t="s">
        <v>323</v>
      </c>
      <c r="C2107" t="s">
        <v>324</v>
      </c>
      <c r="D2107" t="s">
        <v>15</v>
      </c>
      <c r="E2107" t="s">
        <v>3439</v>
      </c>
      <c r="F2107" s="3">
        <v>117679</v>
      </c>
      <c r="G2107" s="2">
        <f t="shared" si="64"/>
        <v>15</v>
      </c>
      <c r="H2107" s="2">
        <f t="shared" ca="1" si="65"/>
        <v>81</v>
      </c>
      <c r="I2107" s="4">
        <v>46039</v>
      </c>
      <c r="J2107" s="4">
        <v>46054</v>
      </c>
      <c r="K2107" t="s">
        <v>17</v>
      </c>
      <c r="L2107" t="s">
        <v>312</v>
      </c>
      <c r="M2107" t="s">
        <v>19</v>
      </c>
      <c r="N2107" t="s">
        <v>325</v>
      </c>
      <c r="O2107">
        <v>15</v>
      </c>
    </row>
    <row r="2108" spans="1:15" hidden="1" x14ac:dyDescent="0.25">
      <c r="A2108" t="s">
        <v>2820</v>
      </c>
      <c r="B2108" t="s">
        <v>2387</v>
      </c>
      <c r="C2108" t="s">
        <v>2388</v>
      </c>
      <c r="D2108" t="s">
        <v>46</v>
      </c>
      <c r="E2108" t="s">
        <v>3440</v>
      </c>
      <c r="F2108" s="3">
        <v>256800</v>
      </c>
      <c r="G2108" s="2">
        <f t="shared" si="64"/>
        <v>10</v>
      </c>
      <c r="H2108" s="2">
        <f t="shared" ca="1" si="65"/>
        <v>81</v>
      </c>
      <c r="I2108" s="4">
        <v>46039</v>
      </c>
      <c r="J2108" s="4">
        <v>46049</v>
      </c>
      <c r="K2108" t="s">
        <v>17</v>
      </c>
      <c r="L2108" t="s">
        <v>317</v>
      </c>
      <c r="M2108" t="s">
        <v>19</v>
      </c>
      <c r="N2108" t="s">
        <v>2389</v>
      </c>
      <c r="O2108">
        <v>15</v>
      </c>
    </row>
    <row r="2109" spans="1:15" hidden="1" x14ac:dyDescent="0.25">
      <c r="A2109" t="s">
        <v>2820</v>
      </c>
      <c r="B2109" t="s">
        <v>3441</v>
      </c>
      <c r="C2109" t="s">
        <v>3442</v>
      </c>
      <c r="D2109" t="s">
        <v>46</v>
      </c>
      <c r="E2109" t="s">
        <v>3443</v>
      </c>
      <c r="F2109" s="3">
        <v>856052</v>
      </c>
      <c r="G2109" s="2">
        <f t="shared" si="64"/>
        <v>15</v>
      </c>
      <c r="H2109" s="2">
        <f t="shared" ca="1" si="65"/>
        <v>81</v>
      </c>
      <c r="I2109" s="4">
        <v>46039</v>
      </c>
      <c r="J2109" s="4">
        <v>46054</v>
      </c>
      <c r="K2109" t="s">
        <v>17</v>
      </c>
      <c r="L2109" t="s">
        <v>317</v>
      </c>
      <c r="M2109" t="s">
        <v>19</v>
      </c>
      <c r="N2109" t="s">
        <v>3444</v>
      </c>
      <c r="O2109">
        <v>15</v>
      </c>
    </row>
    <row r="2110" spans="1:15" hidden="1" x14ac:dyDescent="0.25">
      <c r="A2110" t="s">
        <v>2820</v>
      </c>
      <c r="B2110" t="s">
        <v>2023</v>
      </c>
      <c r="C2110" t="s">
        <v>2024</v>
      </c>
      <c r="D2110" t="s">
        <v>854</v>
      </c>
      <c r="E2110" t="s">
        <v>3489</v>
      </c>
      <c r="F2110" s="3">
        <v>1964386</v>
      </c>
      <c r="G2110" s="2">
        <f t="shared" si="64"/>
        <v>30</v>
      </c>
      <c r="H2110" s="2">
        <f t="shared" ca="1" si="65"/>
        <v>81</v>
      </c>
      <c r="I2110" s="4">
        <v>46039</v>
      </c>
      <c r="J2110" s="4">
        <v>46069</v>
      </c>
      <c r="K2110" t="s">
        <v>845</v>
      </c>
      <c r="L2110" t="s">
        <v>18</v>
      </c>
      <c r="M2110" t="s">
        <v>19</v>
      </c>
      <c r="N2110" t="s">
        <v>2025</v>
      </c>
      <c r="O2110">
        <v>30</v>
      </c>
    </row>
    <row r="2111" spans="1:15" hidden="1" x14ac:dyDescent="0.25">
      <c r="A2111" t="s">
        <v>2820</v>
      </c>
      <c r="B2111" t="s">
        <v>2626</v>
      </c>
      <c r="C2111" t="s">
        <v>2627</v>
      </c>
      <c r="D2111" t="s">
        <v>844</v>
      </c>
      <c r="E2111" t="s">
        <v>3490</v>
      </c>
      <c r="F2111" s="3">
        <v>15042773</v>
      </c>
      <c r="G2111" s="2">
        <f t="shared" si="64"/>
        <v>30</v>
      </c>
      <c r="H2111" s="2">
        <f t="shared" ca="1" si="65"/>
        <v>81</v>
      </c>
      <c r="I2111" s="4">
        <v>46039</v>
      </c>
      <c r="J2111" s="4">
        <v>46069</v>
      </c>
      <c r="K2111" t="s">
        <v>845</v>
      </c>
      <c r="L2111" t="s">
        <v>18</v>
      </c>
      <c r="M2111" t="s">
        <v>19</v>
      </c>
      <c r="N2111" t="s">
        <v>2628</v>
      </c>
      <c r="O2111">
        <v>30</v>
      </c>
    </row>
    <row r="2112" spans="1:15" hidden="1" x14ac:dyDescent="0.25">
      <c r="A2112" t="s">
        <v>2820</v>
      </c>
      <c r="B2112" t="s">
        <v>889</v>
      </c>
      <c r="C2112" t="s">
        <v>890</v>
      </c>
      <c r="D2112" t="s">
        <v>854</v>
      </c>
      <c r="E2112" t="s">
        <v>3491</v>
      </c>
      <c r="F2112" s="3">
        <v>289646</v>
      </c>
      <c r="G2112" s="2">
        <f t="shared" si="64"/>
        <v>30</v>
      </c>
      <c r="H2112" s="2">
        <f t="shared" ca="1" si="65"/>
        <v>81</v>
      </c>
      <c r="I2112" s="4">
        <v>46039</v>
      </c>
      <c r="J2112" s="4">
        <v>46069</v>
      </c>
      <c r="K2112" t="s">
        <v>845</v>
      </c>
      <c r="L2112" t="s">
        <v>18</v>
      </c>
      <c r="M2112" t="s">
        <v>19</v>
      </c>
      <c r="N2112" t="s">
        <v>891</v>
      </c>
      <c r="O2112">
        <v>30</v>
      </c>
    </row>
    <row r="2113" spans="1:15" hidden="1" x14ac:dyDescent="0.25">
      <c r="A2113" t="s">
        <v>2820</v>
      </c>
      <c r="B2113" t="s">
        <v>866</v>
      </c>
      <c r="C2113" t="s">
        <v>867</v>
      </c>
      <c r="D2113" t="s">
        <v>854</v>
      </c>
      <c r="E2113" t="s">
        <v>3492</v>
      </c>
      <c r="F2113" s="3">
        <v>1351459</v>
      </c>
      <c r="G2113" s="2">
        <f t="shared" si="64"/>
        <v>30</v>
      </c>
      <c r="H2113" s="2">
        <f t="shared" ca="1" si="65"/>
        <v>81</v>
      </c>
      <c r="I2113" s="4">
        <v>46039</v>
      </c>
      <c r="J2113" s="4">
        <v>46069</v>
      </c>
      <c r="K2113" t="s">
        <v>845</v>
      </c>
      <c r="L2113" t="s">
        <v>18</v>
      </c>
      <c r="M2113" t="s">
        <v>19</v>
      </c>
      <c r="N2113" t="s">
        <v>868</v>
      </c>
      <c r="O2113">
        <v>30</v>
      </c>
    </row>
    <row r="2114" spans="1:15" hidden="1" x14ac:dyDescent="0.25">
      <c r="A2114" t="s">
        <v>2820</v>
      </c>
      <c r="B2114" t="s">
        <v>876</v>
      </c>
      <c r="C2114" t="s">
        <v>877</v>
      </c>
      <c r="D2114" t="s">
        <v>844</v>
      </c>
      <c r="E2114" t="s">
        <v>3493</v>
      </c>
      <c r="F2114" s="3">
        <v>779762</v>
      </c>
      <c r="G2114" s="2">
        <f t="shared" ref="G2114:G2177" si="66">+J2114-I2114</f>
        <v>30</v>
      </c>
      <c r="H2114" s="2">
        <f t="shared" ref="H2114:H2177" ca="1" si="67">+TODAY()-I2114</f>
        <v>81</v>
      </c>
      <c r="I2114" s="4">
        <v>46039</v>
      </c>
      <c r="J2114" s="4">
        <v>46069</v>
      </c>
      <c r="K2114" t="s">
        <v>845</v>
      </c>
      <c r="L2114" t="s">
        <v>18</v>
      </c>
      <c r="M2114" t="s">
        <v>19</v>
      </c>
      <c r="N2114" t="s">
        <v>878</v>
      </c>
      <c r="O2114">
        <v>30</v>
      </c>
    </row>
    <row r="2115" spans="1:15" hidden="1" x14ac:dyDescent="0.25">
      <c r="A2115" t="s">
        <v>2820</v>
      </c>
      <c r="B2115" t="s">
        <v>880</v>
      </c>
      <c r="C2115" t="s">
        <v>881</v>
      </c>
      <c r="D2115" t="s">
        <v>854</v>
      </c>
      <c r="E2115" t="s">
        <v>3494</v>
      </c>
      <c r="F2115" s="3">
        <v>909400</v>
      </c>
      <c r="G2115" s="2">
        <f t="shared" si="66"/>
        <v>30</v>
      </c>
      <c r="H2115" s="2">
        <f t="shared" ca="1" si="67"/>
        <v>81</v>
      </c>
      <c r="I2115" s="4">
        <v>46039</v>
      </c>
      <c r="J2115" s="4">
        <v>46069</v>
      </c>
      <c r="K2115" t="s">
        <v>845</v>
      </c>
      <c r="L2115" t="s">
        <v>18</v>
      </c>
      <c r="M2115" t="s">
        <v>19</v>
      </c>
      <c r="N2115" t="s">
        <v>882</v>
      </c>
      <c r="O2115">
        <v>30</v>
      </c>
    </row>
    <row r="2116" spans="1:15" hidden="1" x14ac:dyDescent="0.25">
      <c r="A2116" t="s">
        <v>2820</v>
      </c>
      <c r="B2116" t="s">
        <v>880</v>
      </c>
      <c r="C2116" t="s">
        <v>881</v>
      </c>
      <c r="D2116" t="s">
        <v>854</v>
      </c>
      <c r="E2116" t="s">
        <v>3495</v>
      </c>
      <c r="F2116" s="3">
        <v>2521493</v>
      </c>
      <c r="G2116" s="2">
        <f t="shared" si="66"/>
        <v>30</v>
      </c>
      <c r="H2116" s="2">
        <f t="shared" ca="1" si="67"/>
        <v>81</v>
      </c>
      <c r="I2116" s="4">
        <v>46039</v>
      </c>
      <c r="J2116" s="4">
        <v>46069</v>
      </c>
      <c r="K2116" t="s">
        <v>845</v>
      </c>
      <c r="L2116" t="s">
        <v>18</v>
      </c>
      <c r="M2116" t="s">
        <v>19</v>
      </c>
      <c r="N2116" t="s">
        <v>882</v>
      </c>
      <c r="O2116">
        <v>30</v>
      </c>
    </row>
    <row r="2117" spans="1:15" hidden="1" x14ac:dyDescent="0.25">
      <c r="A2117" t="s">
        <v>2820</v>
      </c>
      <c r="B2117" t="s">
        <v>2020</v>
      </c>
      <c r="C2117" t="s">
        <v>2021</v>
      </c>
      <c r="D2117" t="s">
        <v>844</v>
      </c>
      <c r="E2117" t="s">
        <v>3496</v>
      </c>
      <c r="F2117" s="3">
        <v>809280</v>
      </c>
      <c r="G2117" s="2">
        <f t="shared" si="66"/>
        <v>30</v>
      </c>
      <c r="H2117" s="2">
        <f t="shared" ca="1" si="67"/>
        <v>81</v>
      </c>
      <c r="I2117" s="4">
        <v>46039</v>
      </c>
      <c r="J2117" s="4">
        <v>46069</v>
      </c>
      <c r="K2117" t="s">
        <v>845</v>
      </c>
      <c r="L2117" t="s">
        <v>18</v>
      </c>
      <c r="M2117" t="s">
        <v>19</v>
      </c>
      <c r="N2117" t="s">
        <v>2022</v>
      </c>
      <c r="O2117">
        <v>30</v>
      </c>
    </row>
    <row r="2118" spans="1:15" hidden="1" x14ac:dyDescent="0.25">
      <c r="A2118" t="s">
        <v>2820</v>
      </c>
      <c r="B2118" t="s">
        <v>883</v>
      </c>
      <c r="C2118" t="s">
        <v>884</v>
      </c>
      <c r="D2118" t="s">
        <v>844</v>
      </c>
      <c r="E2118" t="s">
        <v>3497</v>
      </c>
      <c r="F2118" s="3">
        <v>67205</v>
      </c>
      <c r="G2118" s="2">
        <f t="shared" si="66"/>
        <v>30</v>
      </c>
      <c r="H2118" s="2">
        <f t="shared" ca="1" si="67"/>
        <v>81</v>
      </c>
      <c r="I2118" s="4">
        <v>46039</v>
      </c>
      <c r="J2118" s="4">
        <v>46069</v>
      </c>
      <c r="K2118" t="s">
        <v>845</v>
      </c>
      <c r="L2118" t="s">
        <v>18</v>
      </c>
      <c r="M2118" t="s">
        <v>19</v>
      </c>
      <c r="N2118" t="s">
        <v>885</v>
      </c>
      <c r="O2118">
        <v>25</v>
      </c>
    </row>
    <row r="2119" spans="1:15" hidden="1" x14ac:dyDescent="0.25">
      <c r="A2119" t="s">
        <v>2820</v>
      </c>
      <c r="B2119" t="s">
        <v>2622</v>
      </c>
      <c r="C2119" t="s">
        <v>2623</v>
      </c>
      <c r="D2119" t="s">
        <v>854</v>
      </c>
      <c r="E2119" t="s">
        <v>3498</v>
      </c>
      <c r="F2119" s="3">
        <v>219043</v>
      </c>
      <c r="G2119" s="2">
        <f t="shared" si="66"/>
        <v>30</v>
      </c>
      <c r="H2119" s="2">
        <f t="shared" ca="1" si="67"/>
        <v>81</v>
      </c>
      <c r="I2119" s="4">
        <v>46039</v>
      </c>
      <c r="J2119" s="4">
        <v>46069</v>
      </c>
      <c r="K2119" t="s">
        <v>845</v>
      </c>
      <c r="L2119" t="s">
        <v>18</v>
      </c>
      <c r="M2119" t="s">
        <v>19</v>
      </c>
      <c r="N2119" t="s">
        <v>2624</v>
      </c>
      <c r="O2119">
        <v>30</v>
      </c>
    </row>
    <row r="2120" spans="1:15" hidden="1" x14ac:dyDescent="0.25">
      <c r="A2120" t="s">
        <v>2820</v>
      </c>
      <c r="B2120" t="s">
        <v>886</v>
      </c>
      <c r="C2120" t="s">
        <v>887</v>
      </c>
      <c r="D2120" t="s">
        <v>844</v>
      </c>
      <c r="E2120" t="s">
        <v>3499</v>
      </c>
      <c r="F2120" s="3">
        <v>266080</v>
      </c>
      <c r="G2120" s="2">
        <f t="shared" si="66"/>
        <v>30</v>
      </c>
      <c r="H2120" s="2">
        <f t="shared" ca="1" si="67"/>
        <v>81</v>
      </c>
      <c r="I2120" s="4">
        <v>46039</v>
      </c>
      <c r="J2120" s="4">
        <v>46069</v>
      </c>
      <c r="K2120" t="s">
        <v>845</v>
      </c>
      <c r="L2120" t="s">
        <v>18</v>
      </c>
      <c r="M2120" t="s">
        <v>19</v>
      </c>
      <c r="N2120" t="s">
        <v>888</v>
      </c>
      <c r="O2120">
        <v>25</v>
      </c>
    </row>
    <row r="2121" spans="1:15" hidden="1" x14ac:dyDescent="0.25">
      <c r="A2121" t="s">
        <v>2820</v>
      </c>
      <c r="B2121" t="s">
        <v>872</v>
      </c>
      <c r="C2121" t="s">
        <v>873</v>
      </c>
      <c r="D2121" t="s">
        <v>854</v>
      </c>
      <c r="E2121" t="s">
        <v>3500</v>
      </c>
      <c r="F2121" s="3">
        <v>1505000</v>
      </c>
      <c r="G2121" s="2">
        <f t="shared" si="66"/>
        <v>30</v>
      </c>
      <c r="H2121" s="2">
        <f t="shared" ca="1" si="67"/>
        <v>81</v>
      </c>
      <c r="I2121" s="4">
        <v>46039</v>
      </c>
      <c r="J2121" s="4">
        <v>46069</v>
      </c>
      <c r="K2121" t="s">
        <v>845</v>
      </c>
      <c r="L2121" t="s">
        <v>18</v>
      </c>
      <c r="M2121" t="s">
        <v>19</v>
      </c>
      <c r="N2121" t="s">
        <v>874</v>
      </c>
      <c r="O2121">
        <v>30</v>
      </c>
    </row>
    <row r="2122" spans="1:15" hidden="1" x14ac:dyDescent="0.25">
      <c r="A2122" t="s">
        <v>2820</v>
      </c>
      <c r="B2122" t="s">
        <v>872</v>
      </c>
      <c r="C2122" t="s">
        <v>873</v>
      </c>
      <c r="D2122" t="s">
        <v>854</v>
      </c>
      <c r="E2122" t="s">
        <v>3501</v>
      </c>
      <c r="F2122" s="3">
        <v>2120000</v>
      </c>
      <c r="G2122" s="2">
        <f t="shared" si="66"/>
        <v>30</v>
      </c>
      <c r="H2122" s="2">
        <f t="shared" ca="1" si="67"/>
        <v>81</v>
      </c>
      <c r="I2122" s="4">
        <v>46039</v>
      </c>
      <c r="J2122" s="4">
        <v>46069</v>
      </c>
      <c r="K2122" t="s">
        <v>845</v>
      </c>
      <c r="L2122" t="s">
        <v>18</v>
      </c>
      <c r="M2122" t="s">
        <v>19</v>
      </c>
      <c r="N2122" t="s">
        <v>874</v>
      </c>
      <c r="O2122">
        <v>30</v>
      </c>
    </row>
    <row r="2123" spans="1:15" hidden="1" x14ac:dyDescent="0.25">
      <c r="A2123" t="s">
        <v>2820</v>
      </c>
      <c r="B2123" t="s">
        <v>2618</v>
      </c>
      <c r="C2123" t="s">
        <v>2619</v>
      </c>
      <c r="D2123" t="s">
        <v>844</v>
      </c>
      <c r="E2123" t="s">
        <v>3502</v>
      </c>
      <c r="F2123" s="3">
        <v>151500</v>
      </c>
      <c r="G2123" s="2">
        <f t="shared" si="66"/>
        <v>30</v>
      </c>
      <c r="H2123" s="2">
        <f t="shared" ca="1" si="67"/>
        <v>81</v>
      </c>
      <c r="I2123" s="4">
        <v>46039</v>
      </c>
      <c r="J2123" s="4">
        <v>46069</v>
      </c>
      <c r="K2123" t="s">
        <v>845</v>
      </c>
      <c r="L2123" t="s">
        <v>18</v>
      </c>
      <c r="M2123" t="s">
        <v>19</v>
      </c>
      <c r="N2123" t="s">
        <v>879</v>
      </c>
      <c r="O2123">
        <v>30</v>
      </c>
    </row>
    <row r="2124" spans="1:15" hidden="1" x14ac:dyDescent="0.25">
      <c r="A2124" t="s">
        <v>2820</v>
      </c>
      <c r="B2124" t="s">
        <v>2618</v>
      </c>
      <c r="C2124" t="s">
        <v>2619</v>
      </c>
      <c r="D2124" t="s">
        <v>844</v>
      </c>
      <c r="E2124" t="s">
        <v>3503</v>
      </c>
      <c r="F2124" s="3">
        <v>2204000</v>
      </c>
      <c r="G2124" s="2">
        <f t="shared" si="66"/>
        <v>30</v>
      </c>
      <c r="H2124" s="2">
        <f t="shared" ca="1" si="67"/>
        <v>81</v>
      </c>
      <c r="I2124" s="4">
        <v>46039</v>
      </c>
      <c r="J2124" s="4">
        <v>46069</v>
      </c>
      <c r="K2124" t="s">
        <v>845</v>
      </c>
      <c r="L2124" t="s">
        <v>18</v>
      </c>
      <c r="M2124" t="s">
        <v>19</v>
      </c>
      <c r="N2124" t="s">
        <v>879</v>
      </c>
      <c r="O2124">
        <v>30</v>
      </c>
    </row>
    <row r="2125" spans="1:15" hidden="1" x14ac:dyDescent="0.25">
      <c r="A2125" t="s">
        <v>2820</v>
      </c>
      <c r="B2125" t="s">
        <v>863</v>
      </c>
      <c r="C2125" t="s">
        <v>864</v>
      </c>
      <c r="D2125" t="s">
        <v>854</v>
      </c>
      <c r="E2125" t="s">
        <v>3504</v>
      </c>
      <c r="F2125" s="3">
        <v>684599</v>
      </c>
      <c r="G2125" s="2">
        <f t="shared" si="66"/>
        <v>30</v>
      </c>
      <c r="H2125" s="2">
        <f t="shared" ca="1" si="67"/>
        <v>81</v>
      </c>
      <c r="I2125" s="4">
        <v>46039</v>
      </c>
      <c r="J2125" s="4">
        <v>46069</v>
      </c>
      <c r="K2125" t="s">
        <v>845</v>
      </c>
      <c r="L2125" t="s">
        <v>18</v>
      </c>
      <c r="M2125" t="s">
        <v>19</v>
      </c>
      <c r="N2125" t="s">
        <v>865</v>
      </c>
      <c r="O2125">
        <v>30</v>
      </c>
    </row>
    <row r="2126" spans="1:15" hidden="1" x14ac:dyDescent="0.25">
      <c r="A2126" t="s">
        <v>2820</v>
      </c>
      <c r="B2126" t="s">
        <v>1990</v>
      </c>
      <c r="C2126" t="s">
        <v>1991</v>
      </c>
      <c r="D2126" t="s">
        <v>854</v>
      </c>
      <c r="E2126" t="s">
        <v>3505</v>
      </c>
      <c r="F2126" s="3">
        <v>3531592</v>
      </c>
      <c r="G2126" s="2">
        <f t="shared" si="66"/>
        <v>30</v>
      </c>
      <c r="H2126" s="2">
        <f t="shared" ca="1" si="67"/>
        <v>81</v>
      </c>
      <c r="I2126" s="4">
        <v>46039</v>
      </c>
      <c r="J2126" s="4">
        <v>46069</v>
      </c>
      <c r="K2126" t="s">
        <v>845</v>
      </c>
      <c r="L2126" t="s">
        <v>18</v>
      </c>
      <c r="M2126" t="s">
        <v>19</v>
      </c>
      <c r="N2126" t="s">
        <v>1992</v>
      </c>
      <c r="O2126">
        <v>30</v>
      </c>
    </row>
    <row r="2127" spans="1:15" hidden="1" x14ac:dyDescent="0.25">
      <c r="A2127" t="s">
        <v>2820</v>
      </c>
      <c r="B2127" t="s">
        <v>3506</v>
      </c>
      <c r="C2127" t="s">
        <v>3507</v>
      </c>
      <c r="D2127" t="s">
        <v>854</v>
      </c>
      <c r="E2127" t="s">
        <v>3508</v>
      </c>
      <c r="F2127" s="3">
        <v>2263992</v>
      </c>
      <c r="G2127" s="2">
        <f t="shared" si="66"/>
        <v>30</v>
      </c>
      <c r="H2127" s="2">
        <f t="shared" ca="1" si="67"/>
        <v>81</v>
      </c>
      <c r="I2127" s="4">
        <v>46039</v>
      </c>
      <c r="J2127" s="4">
        <v>46069</v>
      </c>
      <c r="K2127" t="s">
        <v>845</v>
      </c>
      <c r="L2127" t="s">
        <v>18</v>
      </c>
      <c r="M2127" t="s">
        <v>19</v>
      </c>
      <c r="N2127" t="s">
        <v>3509</v>
      </c>
      <c r="O2127">
        <v>30</v>
      </c>
    </row>
    <row r="2128" spans="1:15" hidden="1" x14ac:dyDescent="0.25">
      <c r="A2128" t="s">
        <v>2820</v>
      </c>
      <c r="B2128" t="s">
        <v>2210</v>
      </c>
      <c r="C2128" t="s">
        <v>2211</v>
      </c>
      <c r="D2128" t="s">
        <v>994</v>
      </c>
      <c r="E2128" t="s">
        <v>3550</v>
      </c>
      <c r="F2128" s="3">
        <v>1012000</v>
      </c>
      <c r="G2128" s="2">
        <f t="shared" si="66"/>
        <v>1</v>
      </c>
      <c r="H2128" s="2">
        <f t="shared" ca="1" si="67"/>
        <v>81</v>
      </c>
      <c r="I2128" s="4">
        <v>46039</v>
      </c>
      <c r="J2128" s="4">
        <v>46040</v>
      </c>
      <c r="K2128" t="s">
        <v>989</v>
      </c>
      <c r="L2128" t="s">
        <v>317</v>
      </c>
      <c r="M2128" t="s">
        <v>19</v>
      </c>
      <c r="N2128" t="s">
        <v>2212</v>
      </c>
      <c r="O2128">
        <v>30</v>
      </c>
    </row>
    <row r="2129" spans="1:15" hidden="1" x14ac:dyDescent="0.25">
      <c r="A2129" t="s">
        <v>2820</v>
      </c>
      <c r="B2129" t="s">
        <v>2041</v>
      </c>
      <c r="C2129" t="s">
        <v>2042</v>
      </c>
      <c r="D2129" t="s">
        <v>1323</v>
      </c>
      <c r="E2129" t="s">
        <v>3693</v>
      </c>
      <c r="F2129" s="3">
        <v>459299</v>
      </c>
      <c r="G2129" s="2">
        <f t="shared" si="66"/>
        <v>30</v>
      </c>
      <c r="H2129" s="2">
        <f t="shared" ca="1" si="67"/>
        <v>81</v>
      </c>
      <c r="I2129" s="4">
        <v>46039</v>
      </c>
      <c r="J2129" s="4">
        <v>46069</v>
      </c>
      <c r="K2129" t="s">
        <v>1325</v>
      </c>
      <c r="L2129" t="s">
        <v>90</v>
      </c>
      <c r="M2129" t="s">
        <v>19</v>
      </c>
      <c r="N2129" t="s">
        <v>2043</v>
      </c>
      <c r="O2129">
        <v>30</v>
      </c>
    </row>
    <row r="2130" spans="1:15" hidden="1" x14ac:dyDescent="0.25">
      <c r="A2130" t="s">
        <v>2820</v>
      </c>
      <c r="B2130" t="s">
        <v>2147</v>
      </c>
      <c r="C2130" t="s">
        <v>2148</v>
      </c>
      <c r="D2130" t="s">
        <v>1289</v>
      </c>
      <c r="E2130" t="s">
        <v>3721</v>
      </c>
      <c r="F2130" s="3">
        <v>6122963</v>
      </c>
      <c r="G2130" s="2">
        <f t="shared" si="66"/>
        <v>30</v>
      </c>
      <c r="H2130" s="2">
        <f t="shared" ca="1" si="67"/>
        <v>81</v>
      </c>
      <c r="I2130" s="4">
        <v>46039</v>
      </c>
      <c r="J2130" s="4">
        <v>46069</v>
      </c>
      <c r="K2130" t="s">
        <v>1466</v>
      </c>
      <c r="L2130" t="s">
        <v>981</v>
      </c>
      <c r="M2130" t="s">
        <v>19</v>
      </c>
      <c r="N2130" t="s">
        <v>2149</v>
      </c>
      <c r="O2130">
        <v>30</v>
      </c>
    </row>
    <row r="2131" spans="1:15" hidden="1" x14ac:dyDescent="0.25">
      <c r="A2131" t="s">
        <v>2820</v>
      </c>
      <c r="B2131" t="s">
        <v>1968</v>
      </c>
      <c r="C2131" t="s">
        <v>1969</v>
      </c>
      <c r="D2131" t="s">
        <v>341</v>
      </c>
      <c r="E2131" t="s">
        <v>3724</v>
      </c>
      <c r="F2131" s="3">
        <v>1878595</v>
      </c>
      <c r="G2131" s="2">
        <f t="shared" si="66"/>
        <v>30</v>
      </c>
      <c r="H2131" s="2">
        <f t="shared" ca="1" si="67"/>
        <v>81</v>
      </c>
      <c r="I2131" s="4">
        <v>46039</v>
      </c>
      <c r="J2131" s="4">
        <v>46069</v>
      </c>
      <c r="K2131" t="s">
        <v>1470</v>
      </c>
      <c r="L2131" t="s">
        <v>981</v>
      </c>
      <c r="M2131" t="s">
        <v>19</v>
      </c>
      <c r="N2131" t="s">
        <v>1970</v>
      </c>
      <c r="O2131">
        <v>1</v>
      </c>
    </row>
    <row r="2132" spans="1:15" hidden="1" x14ac:dyDescent="0.25">
      <c r="A2132" t="s">
        <v>2820</v>
      </c>
      <c r="B2132" t="s">
        <v>1486</v>
      </c>
      <c r="C2132" t="s">
        <v>1487</v>
      </c>
      <c r="D2132" t="s">
        <v>341</v>
      </c>
      <c r="E2132" t="s">
        <v>3725</v>
      </c>
      <c r="F2132" s="3">
        <v>377120</v>
      </c>
      <c r="G2132" s="2">
        <f t="shared" si="66"/>
        <v>30</v>
      </c>
      <c r="H2132" s="2">
        <f t="shared" ca="1" si="67"/>
        <v>81</v>
      </c>
      <c r="I2132" s="4">
        <v>46039</v>
      </c>
      <c r="J2132" s="4">
        <v>46069</v>
      </c>
      <c r="K2132" t="s">
        <v>1470</v>
      </c>
      <c r="L2132" t="s">
        <v>981</v>
      </c>
      <c r="M2132" t="s">
        <v>19</v>
      </c>
      <c r="N2132" t="s">
        <v>1488</v>
      </c>
      <c r="O2132">
        <v>30</v>
      </c>
    </row>
    <row r="2133" spans="1:15" hidden="1" x14ac:dyDescent="0.25">
      <c r="A2133" t="s">
        <v>2820</v>
      </c>
      <c r="B2133" t="s">
        <v>1634</v>
      </c>
      <c r="C2133" t="s">
        <v>1635</v>
      </c>
      <c r="D2133" t="s">
        <v>1587</v>
      </c>
      <c r="E2133" t="s">
        <v>3817</v>
      </c>
      <c r="F2133" s="3">
        <v>508800</v>
      </c>
      <c r="G2133" s="2">
        <f t="shared" si="66"/>
        <v>30</v>
      </c>
      <c r="H2133" s="2">
        <f t="shared" ca="1" si="67"/>
        <v>81</v>
      </c>
      <c r="I2133" s="4">
        <v>46039</v>
      </c>
      <c r="J2133" s="4">
        <v>46069</v>
      </c>
      <c r="K2133" t="s">
        <v>1589</v>
      </c>
      <c r="L2133" t="s">
        <v>984</v>
      </c>
      <c r="M2133" t="s">
        <v>19</v>
      </c>
      <c r="N2133" t="s">
        <v>1636</v>
      </c>
      <c r="O2133">
        <v>30</v>
      </c>
    </row>
    <row r="2134" spans="1:15" hidden="1" x14ac:dyDescent="0.25">
      <c r="A2134" t="s">
        <v>2820</v>
      </c>
      <c r="B2134" t="s">
        <v>1634</v>
      </c>
      <c r="C2134" t="s">
        <v>1635</v>
      </c>
      <c r="D2134" t="s">
        <v>1587</v>
      </c>
      <c r="E2134" t="s">
        <v>3818</v>
      </c>
      <c r="F2134" s="3">
        <v>1233463</v>
      </c>
      <c r="G2134" s="2">
        <f t="shared" si="66"/>
        <v>30</v>
      </c>
      <c r="H2134" s="2">
        <f t="shared" ca="1" si="67"/>
        <v>81</v>
      </c>
      <c r="I2134" s="4">
        <v>46039</v>
      </c>
      <c r="J2134" s="4">
        <v>46069</v>
      </c>
      <c r="K2134" t="s">
        <v>1589</v>
      </c>
      <c r="L2134" t="s">
        <v>984</v>
      </c>
      <c r="M2134" t="s">
        <v>19</v>
      </c>
      <c r="N2134" t="s">
        <v>1636</v>
      </c>
      <c r="O2134">
        <v>30</v>
      </c>
    </row>
    <row r="2135" spans="1:15" hidden="1" x14ac:dyDescent="0.25">
      <c r="A2135" t="s">
        <v>2820</v>
      </c>
      <c r="B2135" t="s">
        <v>1661</v>
      </c>
      <c r="C2135" t="s">
        <v>1662</v>
      </c>
      <c r="D2135" t="s">
        <v>1587</v>
      </c>
      <c r="E2135" t="s">
        <v>3819</v>
      </c>
      <c r="F2135" s="3">
        <v>1548000</v>
      </c>
      <c r="G2135" s="2">
        <f t="shared" si="66"/>
        <v>1</v>
      </c>
      <c r="H2135" s="2">
        <f t="shared" ca="1" si="67"/>
        <v>81</v>
      </c>
      <c r="I2135" s="4">
        <v>46039</v>
      </c>
      <c r="J2135" s="4">
        <v>46040</v>
      </c>
      <c r="K2135" t="s">
        <v>1589</v>
      </c>
      <c r="L2135" t="s">
        <v>984</v>
      </c>
      <c r="M2135" t="s">
        <v>19</v>
      </c>
      <c r="N2135" t="s">
        <v>1663</v>
      </c>
      <c r="O2135">
        <v>1</v>
      </c>
    </row>
    <row r="2136" spans="1:15" hidden="1" x14ac:dyDescent="0.25">
      <c r="A2136" t="s">
        <v>2820</v>
      </c>
      <c r="B2136" t="s">
        <v>1661</v>
      </c>
      <c r="C2136" t="s">
        <v>1662</v>
      </c>
      <c r="D2136" t="s">
        <v>1587</v>
      </c>
      <c r="E2136" t="s">
        <v>3820</v>
      </c>
      <c r="F2136" s="3">
        <v>321586</v>
      </c>
      <c r="G2136" s="2">
        <f t="shared" si="66"/>
        <v>1</v>
      </c>
      <c r="H2136" s="2">
        <f t="shared" ca="1" si="67"/>
        <v>81</v>
      </c>
      <c r="I2136" s="4">
        <v>46039</v>
      </c>
      <c r="J2136" s="4">
        <v>46040</v>
      </c>
      <c r="K2136" t="s">
        <v>1589</v>
      </c>
      <c r="L2136" t="s">
        <v>984</v>
      </c>
      <c r="M2136" t="s">
        <v>19</v>
      </c>
      <c r="N2136" t="s">
        <v>1663</v>
      </c>
      <c r="O2136">
        <v>1</v>
      </c>
    </row>
    <row r="2137" spans="1:15" hidden="1" x14ac:dyDescent="0.25">
      <c r="A2137" t="s">
        <v>2820</v>
      </c>
      <c r="B2137" t="s">
        <v>329</v>
      </c>
      <c r="C2137" t="s">
        <v>330</v>
      </c>
      <c r="D2137" t="s">
        <v>331</v>
      </c>
      <c r="E2137" t="s">
        <v>3844</v>
      </c>
      <c r="F2137" s="3">
        <v>1261088</v>
      </c>
      <c r="G2137" s="2">
        <f t="shared" si="66"/>
        <v>15</v>
      </c>
      <c r="H2137" s="2">
        <f t="shared" ca="1" si="67"/>
        <v>81</v>
      </c>
      <c r="I2137" s="4">
        <v>46039</v>
      </c>
      <c r="J2137" s="4">
        <v>46054</v>
      </c>
      <c r="K2137" t="s">
        <v>1758</v>
      </c>
      <c r="L2137" t="s">
        <v>317</v>
      </c>
      <c r="M2137" t="s">
        <v>19</v>
      </c>
      <c r="N2137" t="s">
        <v>332</v>
      </c>
      <c r="O2137">
        <v>15</v>
      </c>
    </row>
    <row r="2138" spans="1:15" hidden="1" x14ac:dyDescent="0.25">
      <c r="A2138" t="s">
        <v>2820</v>
      </c>
      <c r="B2138" t="s">
        <v>82</v>
      </c>
      <c r="C2138" t="s">
        <v>83</v>
      </c>
      <c r="D2138" t="s">
        <v>15</v>
      </c>
      <c r="E2138" t="s">
        <v>3865</v>
      </c>
      <c r="F2138" s="3">
        <v>12600000</v>
      </c>
      <c r="G2138" s="2">
        <f t="shared" si="66"/>
        <v>30</v>
      </c>
      <c r="H2138" s="2">
        <f t="shared" ca="1" si="67"/>
        <v>79</v>
      </c>
      <c r="I2138" s="4">
        <v>46041</v>
      </c>
      <c r="J2138" s="4">
        <v>46071</v>
      </c>
      <c r="K2138" t="s">
        <v>17</v>
      </c>
      <c r="L2138" t="s">
        <v>32</v>
      </c>
      <c r="M2138" t="s">
        <v>19</v>
      </c>
      <c r="N2138" t="s">
        <v>84</v>
      </c>
      <c r="O2138">
        <v>30</v>
      </c>
    </row>
    <row r="2139" spans="1:15" hidden="1" x14ac:dyDescent="0.25">
      <c r="A2139" t="s">
        <v>2820</v>
      </c>
      <c r="B2139" t="s">
        <v>82</v>
      </c>
      <c r="C2139" t="s">
        <v>83</v>
      </c>
      <c r="D2139" t="s">
        <v>15</v>
      </c>
      <c r="E2139" t="s">
        <v>3866</v>
      </c>
      <c r="F2139" s="3">
        <v>462000</v>
      </c>
      <c r="G2139" s="2">
        <f t="shared" si="66"/>
        <v>30</v>
      </c>
      <c r="H2139" s="2">
        <f t="shared" ca="1" si="67"/>
        <v>79</v>
      </c>
      <c r="I2139" s="4">
        <v>46041</v>
      </c>
      <c r="J2139" s="4">
        <v>46071</v>
      </c>
      <c r="K2139" t="s">
        <v>17</v>
      </c>
      <c r="L2139" t="s">
        <v>32</v>
      </c>
      <c r="M2139" t="s">
        <v>19</v>
      </c>
      <c r="N2139" t="s">
        <v>84</v>
      </c>
      <c r="O2139">
        <v>30</v>
      </c>
    </row>
    <row r="2140" spans="1:15" hidden="1" x14ac:dyDescent="0.25">
      <c r="A2140" t="s">
        <v>2820</v>
      </c>
      <c r="B2140" t="s">
        <v>79</v>
      </c>
      <c r="C2140" t="s">
        <v>80</v>
      </c>
      <c r="D2140" t="s">
        <v>46</v>
      </c>
      <c r="E2140" t="s">
        <v>3867</v>
      </c>
      <c r="F2140" s="3">
        <v>5449599</v>
      </c>
      <c r="G2140" s="2">
        <f t="shared" si="66"/>
        <v>30</v>
      </c>
      <c r="H2140" s="2">
        <f t="shared" ca="1" si="67"/>
        <v>79</v>
      </c>
      <c r="I2140" s="4">
        <v>46041</v>
      </c>
      <c r="J2140" s="4">
        <v>46071</v>
      </c>
      <c r="K2140" t="s">
        <v>17</v>
      </c>
      <c r="L2140" t="s">
        <v>32</v>
      </c>
      <c r="M2140" t="s">
        <v>19</v>
      </c>
      <c r="N2140" t="s">
        <v>81</v>
      </c>
      <c r="O2140">
        <v>30</v>
      </c>
    </row>
    <row r="2141" spans="1:15" hidden="1" x14ac:dyDescent="0.25">
      <c r="A2141" t="s">
        <v>2820</v>
      </c>
      <c r="B2141" t="s">
        <v>70</v>
      </c>
      <c r="C2141" t="s">
        <v>71</v>
      </c>
      <c r="D2141" t="s">
        <v>15</v>
      </c>
      <c r="E2141" t="s">
        <v>3868</v>
      </c>
      <c r="F2141" s="3">
        <v>2100000</v>
      </c>
      <c r="G2141" s="2">
        <f t="shared" si="66"/>
        <v>10</v>
      </c>
      <c r="H2141" s="2">
        <f t="shared" ca="1" si="67"/>
        <v>79</v>
      </c>
      <c r="I2141" s="4">
        <v>46041</v>
      </c>
      <c r="J2141" s="4">
        <v>46051</v>
      </c>
      <c r="K2141" t="s">
        <v>17</v>
      </c>
      <c r="L2141" t="s">
        <v>32</v>
      </c>
      <c r="M2141" t="s">
        <v>19</v>
      </c>
      <c r="N2141" t="s">
        <v>72</v>
      </c>
      <c r="O2141">
        <v>30</v>
      </c>
    </row>
    <row r="2142" spans="1:15" hidden="1" x14ac:dyDescent="0.25">
      <c r="A2142" t="s">
        <v>2820</v>
      </c>
      <c r="B2142" t="s">
        <v>2300</v>
      </c>
      <c r="C2142" t="s">
        <v>2301</v>
      </c>
      <c r="D2142" t="s">
        <v>46</v>
      </c>
      <c r="E2142" t="s">
        <v>3869</v>
      </c>
      <c r="F2142" s="3">
        <v>1932000</v>
      </c>
      <c r="G2142" s="2">
        <f t="shared" si="66"/>
        <v>30</v>
      </c>
      <c r="H2142" s="2">
        <f t="shared" ca="1" si="67"/>
        <v>79</v>
      </c>
      <c r="I2142" s="4">
        <v>46041</v>
      </c>
      <c r="J2142" s="4">
        <v>46071</v>
      </c>
      <c r="K2142" t="s">
        <v>17</v>
      </c>
      <c r="L2142" t="s">
        <v>109</v>
      </c>
      <c r="M2142" t="s">
        <v>19</v>
      </c>
      <c r="N2142" t="s">
        <v>2302</v>
      </c>
      <c r="O2142">
        <v>30</v>
      </c>
    </row>
    <row r="2143" spans="1:15" hidden="1" x14ac:dyDescent="0.25">
      <c r="A2143" t="s">
        <v>2820</v>
      </c>
      <c r="B2143" t="s">
        <v>76</v>
      </c>
      <c r="C2143" t="s">
        <v>77</v>
      </c>
      <c r="D2143" t="s">
        <v>46</v>
      </c>
      <c r="E2143" t="s">
        <v>3870</v>
      </c>
      <c r="F2143" s="3">
        <v>412200</v>
      </c>
      <c r="G2143" s="2">
        <f t="shared" si="66"/>
        <v>30</v>
      </c>
      <c r="H2143" s="2">
        <f t="shared" ca="1" si="67"/>
        <v>79</v>
      </c>
      <c r="I2143" s="4">
        <v>46041</v>
      </c>
      <c r="J2143" s="4">
        <v>46071</v>
      </c>
      <c r="K2143" t="s">
        <v>17</v>
      </c>
      <c r="L2143" t="s">
        <v>32</v>
      </c>
      <c r="M2143" t="s">
        <v>19</v>
      </c>
      <c r="N2143" t="s">
        <v>78</v>
      </c>
      <c r="O2143">
        <v>30</v>
      </c>
    </row>
    <row r="2144" spans="1:15" hidden="1" x14ac:dyDescent="0.25">
      <c r="A2144" t="s">
        <v>2820</v>
      </c>
      <c r="B2144" t="s">
        <v>76</v>
      </c>
      <c r="C2144" t="s">
        <v>77</v>
      </c>
      <c r="D2144" t="s">
        <v>46</v>
      </c>
      <c r="E2144" t="s">
        <v>3871</v>
      </c>
      <c r="F2144" s="3">
        <v>416976</v>
      </c>
      <c r="G2144" s="2">
        <f t="shared" si="66"/>
        <v>30</v>
      </c>
      <c r="H2144" s="2">
        <f t="shared" ca="1" si="67"/>
        <v>79</v>
      </c>
      <c r="I2144" s="4">
        <v>46041</v>
      </c>
      <c r="J2144" s="4">
        <v>46071</v>
      </c>
      <c r="K2144" t="s">
        <v>17</v>
      </c>
      <c r="L2144" t="s">
        <v>32</v>
      </c>
      <c r="M2144" t="s">
        <v>19</v>
      </c>
      <c r="N2144" t="s">
        <v>78</v>
      </c>
      <c r="O2144">
        <v>30</v>
      </c>
    </row>
    <row r="2145" spans="1:15" hidden="1" x14ac:dyDescent="0.25">
      <c r="A2145" t="s">
        <v>2820</v>
      </c>
      <c r="B2145" t="s">
        <v>82</v>
      </c>
      <c r="C2145" t="s">
        <v>83</v>
      </c>
      <c r="D2145" t="s">
        <v>15</v>
      </c>
      <c r="E2145" t="s">
        <v>3872</v>
      </c>
      <c r="F2145" s="3">
        <v>394270</v>
      </c>
      <c r="G2145" s="2">
        <f t="shared" si="66"/>
        <v>30</v>
      </c>
      <c r="H2145" s="2">
        <f t="shared" ca="1" si="67"/>
        <v>79</v>
      </c>
      <c r="I2145" s="4">
        <v>46041</v>
      </c>
      <c r="J2145" s="4">
        <v>46071</v>
      </c>
      <c r="K2145" t="s">
        <v>17</v>
      </c>
      <c r="L2145" t="s">
        <v>117</v>
      </c>
      <c r="M2145" t="s">
        <v>19</v>
      </c>
      <c r="N2145" t="s">
        <v>84</v>
      </c>
      <c r="O2145">
        <v>30</v>
      </c>
    </row>
    <row r="2146" spans="1:15" hidden="1" x14ac:dyDescent="0.25">
      <c r="A2146" t="s">
        <v>2820</v>
      </c>
      <c r="B2146" t="s">
        <v>49</v>
      </c>
      <c r="C2146" t="s">
        <v>50</v>
      </c>
      <c r="D2146" t="s">
        <v>15</v>
      </c>
      <c r="E2146" t="s">
        <v>3939</v>
      </c>
      <c r="F2146" s="3">
        <v>2100000</v>
      </c>
      <c r="G2146" s="2">
        <f t="shared" si="66"/>
        <v>10</v>
      </c>
      <c r="H2146" s="2">
        <f t="shared" ca="1" si="67"/>
        <v>79</v>
      </c>
      <c r="I2146" s="4">
        <v>46041</v>
      </c>
      <c r="J2146" s="4">
        <v>46051</v>
      </c>
      <c r="K2146" t="s">
        <v>17</v>
      </c>
      <c r="L2146" t="s">
        <v>32</v>
      </c>
      <c r="M2146" t="s">
        <v>19</v>
      </c>
      <c r="N2146" t="s">
        <v>51</v>
      </c>
      <c r="O2146">
        <v>30</v>
      </c>
    </row>
    <row r="2147" spans="1:15" hidden="1" x14ac:dyDescent="0.25">
      <c r="A2147" t="s">
        <v>2820</v>
      </c>
      <c r="B2147" t="s">
        <v>55</v>
      </c>
      <c r="C2147" t="s">
        <v>56</v>
      </c>
      <c r="D2147" t="s">
        <v>46</v>
      </c>
      <c r="E2147" t="s">
        <v>3940</v>
      </c>
      <c r="F2147" s="3">
        <v>284005</v>
      </c>
      <c r="G2147" s="2">
        <f t="shared" si="66"/>
        <v>30</v>
      </c>
      <c r="H2147" s="2">
        <f t="shared" ca="1" si="67"/>
        <v>79</v>
      </c>
      <c r="I2147" s="4">
        <v>46041</v>
      </c>
      <c r="J2147" s="4">
        <v>46071</v>
      </c>
      <c r="K2147" t="s">
        <v>17</v>
      </c>
      <c r="L2147" t="s">
        <v>32</v>
      </c>
      <c r="M2147" t="s">
        <v>19</v>
      </c>
      <c r="N2147" t="s">
        <v>57</v>
      </c>
      <c r="O2147">
        <v>30</v>
      </c>
    </row>
    <row r="2148" spans="1:15" hidden="1" x14ac:dyDescent="0.25">
      <c r="A2148" t="s">
        <v>2820</v>
      </c>
      <c r="B2148" t="s">
        <v>55</v>
      </c>
      <c r="C2148" t="s">
        <v>56</v>
      </c>
      <c r="D2148" t="s">
        <v>46</v>
      </c>
      <c r="E2148" t="s">
        <v>3941</v>
      </c>
      <c r="F2148" s="3">
        <v>2283800</v>
      </c>
      <c r="G2148" s="2">
        <f t="shared" si="66"/>
        <v>30</v>
      </c>
      <c r="H2148" s="2">
        <f t="shared" ca="1" si="67"/>
        <v>79</v>
      </c>
      <c r="I2148" s="4">
        <v>46041</v>
      </c>
      <c r="J2148" s="4">
        <v>46071</v>
      </c>
      <c r="K2148" t="s">
        <v>17</v>
      </c>
      <c r="L2148" t="s">
        <v>32</v>
      </c>
      <c r="M2148" t="s">
        <v>19</v>
      </c>
      <c r="N2148" t="s">
        <v>57</v>
      </c>
      <c r="O2148">
        <v>30</v>
      </c>
    </row>
    <row r="2149" spans="1:15" hidden="1" x14ac:dyDescent="0.25">
      <c r="A2149" t="s">
        <v>2820</v>
      </c>
      <c r="B2149" t="s">
        <v>1161</v>
      </c>
      <c r="C2149" t="s">
        <v>1162</v>
      </c>
      <c r="D2149" t="s">
        <v>1118</v>
      </c>
      <c r="E2149" t="s">
        <v>4068</v>
      </c>
      <c r="F2149" s="3">
        <v>334711</v>
      </c>
      <c r="G2149" s="2">
        <f t="shared" si="66"/>
        <v>30</v>
      </c>
      <c r="H2149" s="2">
        <f t="shared" ca="1" si="67"/>
        <v>79</v>
      </c>
      <c r="I2149" s="4">
        <v>46041</v>
      </c>
      <c r="J2149" s="4">
        <v>46071</v>
      </c>
      <c r="K2149" t="s">
        <v>1144</v>
      </c>
      <c r="L2149" t="s">
        <v>47</v>
      </c>
      <c r="M2149" t="s">
        <v>19</v>
      </c>
      <c r="N2149" t="s">
        <v>1163</v>
      </c>
      <c r="O2149">
        <v>30</v>
      </c>
    </row>
    <row r="2150" spans="1:15" hidden="1" x14ac:dyDescent="0.25">
      <c r="A2150" t="s">
        <v>2820</v>
      </c>
      <c r="B2150" t="s">
        <v>1161</v>
      </c>
      <c r="C2150" t="s">
        <v>1162</v>
      </c>
      <c r="D2150" t="s">
        <v>1118</v>
      </c>
      <c r="E2150" t="s">
        <v>4069</v>
      </c>
      <c r="F2150" s="3">
        <v>176970</v>
      </c>
      <c r="G2150" s="2">
        <f t="shared" si="66"/>
        <v>30</v>
      </c>
      <c r="H2150" s="2">
        <f t="shared" ca="1" si="67"/>
        <v>79</v>
      </c>
      <c r="I2150" s="4">
        <v>46041</v>
      </c>
      <c r="J2150" s="4">
        <v>46071</v>
      </c>
      <c r="K2150" t="s">
        <v>1144</v>
      </c>
      <c r="L2150" t="s">
        <v>47</v>
      </c>
      <c r="M2150" t="s">
        <v>19</v>
      </c>
      <c r="N2150" t="s">
        <v>1163</v>
      </c>
      <c r="O2150">
        <v>30</v>
      </c>
    </row>
    <row r="2151" spans="1:15" hidden="1" x14ac:dyDescent="0.25">
      <c r="A2151" t="s">
        <v>2820</v>
      </c>
      <c r="B2151" t="s">
        <v>1149</v>
      </c>
      <c r="C2151" t="s">
        <v>1150</v>
      </c>
      <c r="D2151" t="s">
        <v>1118</v>
      </c>
      <c r="E2151" t="s">
        <v>4070</v>
      </c>
      <c r="F2151" s="3">
        <v>234291</v>
      </c>
      <c r="G2151" s="2">
        <f t="shared" si="66"/>
        <v>30</v>
      </c>
      <c r="H2151" s="2">
        <f t="shared" ca="1" si="67"/>
        <v>79</v>
      </c>
      <c r="I2151" s="4">
        <v>46041</v>
      </c>
      <c r="J2151" s="4">
        <v>46071</v>
      </c>
      <c r="K2151" t="s">
        <v>1144</v>
      </c>
      <c r="L2151" t="s">
        <v>47</v>
      </c>
      <c r="M2151" t="s">
        <v>19</v>
      </c>
      <c r="N2151" t="s">
        <v>1151</v>
      </c>
      <c r="O2151">
        <v>30</v>
      </c>
    </row>
    <row r="2152" spans="1:15" hidden="1" x14ac:dyDescent="0.25">
      <c r="A2152" t="s">
        <v>2820</v>
      </c>
      <c r="B2152" t="s">
        <v>1149</v>
      </c>
      <c r="C2152" t="s">
        <v>1150</v>
      </c>
      <c r="D2152" t="s">
        <v>1118</v>
      </c>
      <c r="E2152" t="s">
        <v>4071</v>
      </c>
      <c r="F2152" s="3">
        <v>488747</v>
      </c>
      <c r="G2152" s="2">
        <f t="shared" si="66"/>
        <v>30</v>
      </c>
      <c r="H2152" s="2">
        <f t="shared" ca="1" si="67"/>
        <v>79</v>
      </c>
      <c r="I2152" s="4">
        <v>46041</v>
      </c>
      <c r="J2152" s="4">
        <v>46071</v>
      </c>
      <c r="K2152" t="s">
        <v>1144</v>
      </c>
      <c r="L2152" t="s">
        <v>207</v>
      </c>
      <c r="M2152" t="s">
        <v>19</v>
      </c>
      <c r="N2152" t="s">
        <v>1151</v>
      </c>
      <c r="O2152">
        <v>30</v>
      </c>
    </row>
    <row r="2153" spans="1:15" hidden="1" x14ac:dyDescent="0.25">
      <c r="A2153" t="s">
        <v>2820</v>
      </c>
      <c r="B2153" t="s">
        <v>1152</v>
      </c>
      <c r="C2153" t="s">
        <v>1153</v>
      </c>
      <c r="D2153" t="s">
        <v>1118</v>
      </c>
      <c r="E2153" t="s">
        <v>4072</v>
      </c>
      <c r="F2153" s="3">
        <v>1155284</v>
      </c>
      <c r="G2153" s="2">
        <f t="shared" si="66"/>
        <v>30</v>
      </c>
      <c r="H2153" s="2">
        <f t="shared" ca="1" si="67"/>
        <v>79</v>
      </c>
      <c r="I2153" s="4">
        <v>46041</v>
      </c>
      <c r="J2153" s="4">
        <v>46071</v>
      </c>
      <c r="K2153" t="s">
        <v>1144</v>
      </c>
      <c r="L2153" t="s">
        <v>207</v>
      </c>
      <c r="M2153" t="s">
        <v>19</v>
      </c>
      <c r="N2153" t="s">
        <v>1154</v>
      </c>
      <c r="O2153">
        <v>30</v>
      </c>
    </row>
    <row r="2154" spans="1:15" hidden="1" x14ac:dyDescent="0.25">
      <c r="A2154" t="s">
        <v>2820</v>
      </c>
      <c r="B2154" t="s">
        <v>1155</v>
      </c>
      <c r="C2154" t="s">
        <v>1156</v>
      </c>
      <c r="D2154" t="s">
        <v>1118</v>
      </c>
      <c r="E2154" t="s">
        <v>4073</v>
      </c>
      <c r="F2154" s="3">
        <v>13120985</v>
      </c>
      <c r="G2154" s="2">
        <f t="shared" si="66"/>
        <v>30</v>
      </c>
      <c r="H2154" s="2">
        <f t="shared" ca="1" si="67"/>
        <v>79</v>
      </c>
      <c r="I2154" s="4">
        <v>46041</v>
      </c>
      <c r="J2154" s="4">
        <v>46071</v>
      </c>
      <c r="K2154" t="s">
        <v>1144</v>
      </c>
      <c r="L2154" t="s">
        <v>207</v>
      </c>
      <c r="M2154" t="s">
        <v>19</v>
      </c>
      <c r="N2154" t="s">
        <v>1157</v>
      </c>
      <c r="O2154">
        <v>30</v>
      </c>
    </row>
    <row r="2155" spans="1:15" hidden="1" x14ac:dyDescent="0.25">
      <c r="A2155" t="s">
        <v>2820</v>
      </c>
      <c r="B2155" t="s">
        <v>1155</v>
      </c>
      <c r="C2155" t="s">
        <v>1156</v>
      </c>
      <c r="D2155" t="s">
        <v>1118</v>
      </c>
      <c r="E2155" t="s">
        <v>4074</v>
      </c>
      <c r="F2155" s="3">
        <v>302393</v>
      </c>
      <c r="G2155" s="2">
        <f t="shared" si="66"/>
        <v>30</v>
      </c>
      <c r="H2155" s="2">
        <f t="shared" ca="1" si="67"/>
        <v>79</v>
      </c>
      <c r="I2155" s="4">
        <v>46041</v>
      </c>
      <c r="J2155" s="4">
        <v>46071</v>
      </c>
      <c r="K2155" t="s">
        <v>1144</v>
      </c>
      <c r="L2155" t="s">
        <v>207</v>
      </c>
      <c r="M2155" t="s">
        <v>19</v>
      </c>
      <c r="N2155" t="s">
        <v>1157</v>
      </c>
      <c r="O2155">
        <v>30</v>
      </c>
    </row>
    <row r="2156" spans="1:15" hidden="1" x14ac:dyDescent="0.25">
      <c r="A2156" t="s">
        <v>2820</v>
      </c>
      <c r="B2156" t="s">
        <v>1161</v>
      </c>
      <c r="C2156" t="s">
        <v>1162</v>
      </c>
      <c r="D2156" t="s">
        <v>1118</v>
      </c>
      <c r="E2156" t="s">
        <v>4075</v>
      </c>
      <c r="F2156" s="3">
        <v>5300424</v>
      </c>
      <c r="G2156" s="2">
        <f t="shared" si="66"/>
        <v>30</v>
      </c>
      <c r="H2156" s="2">
        <f t="shared" ca="1" si="67"/>
        <v>79</v>
      </c>
      <c r="I2156" s="4">
        <v>46041</v>
      </c>
      <c r="J2156" s="4">
        <v>46071</v>
      </c>
      <c r="K2156" t="s">
        <v>1144</v>
      </c>
      <c r="L2156" t="s">
        <v>207</v>
      </c>
      <c r="M2156" t="s">
        <v>19</v>
      </c>
      <c r="N2156" t="s">
        <v>1163</v>
      </c>
      <c r="O2156">
        <v>30</v>
      </c>
    </row>
    <row r="2157" spans="1:15" hidden="1" x14ac:dyDescent="0.25">
      <c r="A2157" t="s">
        <v>2820</v>
      </c>
      <c r="B2157" t="s">
        <v>1164</v>
      </c>
      <c r="C2157" t="s">
        <v>1165</v>
      </c>
      <c r="D2157" t="s">
        <v>1118</v>
      </c>
      <c r="E2157" t="s">
        <v>4076</v>
      </c>
      <c r="F2157" s="3">
        <v>331248</v>
      </c>
      <c r="G2157" s="2">
        <f t="shared" si="66"/>
        <v>30</v>
      </c>
      <c r="H2157" s="2">
        <f t="shared" ca="1" si="67"/>
        <v>79</v>
      </c>
      <c r="I2157" s="4">
        <v>46041</v>
      </c>
      <c r="J2157" s="4">
        <v>46071</v>
      </c>
      <c r="K2157" t="s">
        <v>1144</v>
      </c>
      <c r="L2157" t="s">
        <v>207</v>
      </c>
      <c r="M2157" t="s">
        <v>19</v>
      </c>
      <c r="N2157" t="s">
        <v>1166</v>
      </c>
      <c r="O2157">
        <v>30</v>
      </c>
    </row>
    <row r="2158" spans="1:15" hidden="1" x14ac:dyDescent="0.25">
      <c r="A2158" t="s">
        <v>2820</v>
      </c>
      <c r="B2158" t="s">
        <v>2289</v>
      </c>
      <c r="C2158" t="s">
        <v>2290</v>
      </c>
      <c r="D2158" t="s">
        <v>1118</v>
      </c>
      <c r="E2158" t="s">
        <v>4077</v>
      </c>
      <c r="F2158" s="3">
        <v>462994</v>
      </c>
      <c r="G2158" s="2">
        <f t="shared" si="66"/>
        <v>30</v>
      </c>
      <c r="H2158" s="2">
        <f t="shared" ca="1" si="67"/>
        <v>79</v>
      </c>
      <c r="I2158" s="4">
        <v>46041</v>
      </c>
      <c r="J2158" s="4">
        <v>46071</v>
      </c>
      <c r="K2158" t="s">
        <v>1144</v>
      </c>
      <c r="L2158" t="s">
        <v>207</v>
      </c>
      <c r="M2158" t="s">
        <v>19</v>
      </c>
      <c r="N2158" t="s">
        <v>2291</v>
      </c>
      <c r="O2158">
        <v>30</v>
      </c>
    </row>
    <row r="2159" spans="1:15" hidden="1" x14ac:dyDescent="0.25">
      <c r="A2159" t="s">
        <v>2820</v>
      </c>
      <c r="B2159" t="s">
        <v>1155</v>
      </c>
      <c r="C2159" t="s">
        <v>1156</v>
      </c>
      <c r="D2159" t="s">
        <v>1118</v>
      </c>
      <c r="E2159" t="s">
        <v>4078</v>
      </c>
      <c r="F2159" s="3">
        <v>1518396</v>
      </c>
      <c r="G2159" s="2">
        <f t="shared" si="66"/>
        <v>30</v>
      </c>
      <c r="H2159" s="2">
        <f t="shared" ca="1" si="67"/>
        <v>79</v>
      </c>
      <c r="I2159" s="4">
        <v>46041</v>
      </c>
      <c r="J2159" s="4">
        <v>46071</v>
      </c>
      <c r="K2159" t="s">
        <v>1144</v>
      </c>
      <c r="L2159" t="s">
        <v>47</v>
      </c>
      <c r="M2159" t="s">
        <v>19</v>
      </c>
      <c r="N2159" t="s">
        <v>1157</v>
      </c>
      <c r="O2159">
        <v>30</v>
      </c>
    </row>
    <row r="2160" spans="1:15" hidden="1" x14ac:dyDescent="0.25">
      <c r="A2160" t="s">
        <v>2820</v>
      </c>
      <c r="B2160" t="s">
        <v>1185</v>
      </c>
      <c r="C2160" t="s">
        <v>1186</v>
      </c>
      <c r="D2160" t="s">
        <v>1181</v>
      </c>
      <c r="E2160" t="s">
        <v>4082</v>
      </c>
      <c r="F2160" s="3">
        <v>2075378</v>
      </c>
      <c r="G2160" s="2">
        <f t="shared" si="66"/>
        <v>30</v>
      </c>
      <c r="H2160" s="2">
        <f t="shared" ca="1" si="67"/>
        <v>79</v>
      </c>
      <c r="I2160" s="4">
        <v>46041</v>
      </c>
      <c r="J2160" s="4">
        <v>46071</v>
      </c>
      <c r="K2160" t="s">
        <v>1183</v>
      </c>
      <c r="L2160" t="s">
        <v>984</v>
      </c>
      <c r="M2160" t="s">
        <v>19</v>
      </c>
      <c r="N2160" t="s">
        <v>1187</v>
      </c>
      <c r="O2160">
        <v>30</v>
      </c>
    </row>
    <row r="2161" spans="1:15" hidden="1" x14ac:dyDescent="0.25">
      <c r="A2161" t="s">
        <v>2820</v>
      </c>
      <c r="B2161" t="s">
        <v>1185</v>
      </c>
      <c r="C2161" t="s">
        <v>1186</v>
      </c>
      <c r="D2161" t="s">
        <v>1181</v>
      </c>
      <c r="E2161" t="s">
        <v>4083</v>
      </c>
      <c r="F2161" s="3">
        <v>2312000</v>
      </c>
      <c r="G2161" s="2">
        <f t="shared" si="66"/>
        <v>30</v>
      </c>
      <c r="H2161" s="2">
        <f t="shared" ca="1" si="67"/>
        <v>79</v>
      </c>
      <c r="I2161" s="4">
        <v>46041</v>
      </c>
      <c r="J2161" s="4">
        <v>46071</v>
      </c>
      <c r="K2161" t="s">
        <v>1183</v>
      </c>
      <c r="L2161" t="s">
        <v>984</v>
      </c>
      <c r="M2161" t="s">
        <v>19</v>
      </c>
      <c r="N2161" t="s">
        <v>1187</v>
      </c>
      <c r="O2161">
        <v>30</v>
      </c>
    </row>
    <row r="2162" spans="1:15" hidden="1" x14ac:dyDescent="0.25">
      <c r="A2162" t="s">
        <v>2820</v>
      </c>
      <c r="B2162" t="s">
        <v>1185</v>
      </c>
      <c r="C2162" t="s">
        <v>1186</v>
      </c>
      <c r="D2162" t="s">
        <v>1181</v>
      </c>
      <c r="E2162" t="s">
        <v>4084</v>
      </c>
      <c r="F2162" s="3">
        <v>1130101</v>
      </c>
      <c r="G2162" s="2">
        <f t="shared" si="66"/>
        <v>30</v>
      </c>
      <c r="H2162" s="2">
        <f t="shared" ca="1" si="67"/>
        <v>79</v>
      </c>
      <c r="I2162" s="4">
        <v>46041</v>
      </c>
      <c r="J2162" s="4">
        <v>46071</v>
      </c>
      <c r="K2162" t="s">
        <v>1183</v>
      </c>
      <c r="L2162" t="s">
        <v>984</v>
      </c>
      <c r="M2162" t="s">
        <v>19</v>
      </c>
      <c r="N2162" t="s">
        <v>1187</v>
      </c>
      <c r="O2162">
        <v>30</v>
      </c>
    </row>
    <row r="2163" spans="1:15" hidden="1" x14ac:dyDescent="0.25">
      <c r="A2163" t="s">
        <v>2820</v>
      </c>
      <c r="B2163" t="s">
        <v>1345</v>
      </c>
      <c r="C2163" t="s">
        <v>1346</v>
      </c>
      <c r="D2163" t="s">
        <v>382</v>
      </c>
      <c r="E2163" t="s">
        <v>4090</v>
      </c>
      <c r="F2163" s="3">
        <v>11593992</v>
      </c>
      <c r="G2163" s="2">
        <f t="shared" si="66"/>
        <v>30</v>
      </c>
      <c r="H2163" s="2">
        <f t="shared" ca="1" si="67"/>
        <v>79</v>
      </c>
      <c r="I2163" s="4">
        <v>46041</v>
      </c>
      <c r="J2163" s="4">
        <v>46071</v>
      </c>
      <c r="K2163" t="s">
        <v>1325</v>
      </c>
      <c r="L2163" t="s">
        <v>90</v>
      </c>
      <c r="M2163" t="s">
        <v>19</v>
      </c>
      <c r="N2163" t="s">
        <v>1347</v>
      </c>
      <c r="O2163">
        <v>30</v>
      </c>
    </row>
    <row r="2164" spans="1:15" hidden="1" x14ac:dyDescent="0.25">
      <c r="A2164" t="s">
        <v>2820</v>
      </c>
      <c r="B2164" t="s">
        <v>1361</v>
      </c>
      <c r="C2164" t="s">
        <v>1362</v>
      </c>
      <c r="D2164" t="s">
        <v>382</v>
      </c>
      <c r="E2164" t="s">
        <v>4091</v>
      </c>
      <c r="F2164" s="3">
        <v>2963760</v>
      </c>
      <c r="G2164" s="2">
        <f t="shared" si="66"/>
        <v>30</v>
      </c>
      <c r="H2164" s="2">
        <f t="shared" ca="1" si="67"/>
        <v>79</v>
      </c>
      <c r="I2164" s="4">
        <v>46041</v>
      </c>
      <c r="J2164" s="4">
        <v>46071</v>
      </c>
      <c r="K2164" t="s">
        <v>1325</v>
      </c>
      <c r="L2164" t="s">
        <v>90</v>
      </c>
      <c r="M2164" t="s">
        <v>19</v>
      </c>
      <c r="N2164" t="s">
        <v>1363</v>
      </c>
      <c r="O2164">
        <v>30</v>
      </c>
    </row>
    <row r="2165" spans="1:15" hidden="1" x14ac:dyDescent="0.25">
      <c r="A2165" t="s">
        <v>2820</v>
      </c>
      <c r="B2165" t="s">
        <v>4092</v>
      </c>
      <c r="C2165" t="s">
        <v>4093</v>
      </c>
      <c r="D2165" t="s">
        <v>1323</v>
      </c>
      <c r="E2165" t="s">
        <v>4094</v>
      </c>
      <c r="F2165" s="3">
        <v>1191009</v>
      </c>
      <c r="G2165" s="2">
        <f t="shared" si="66"/>
        <v>30</v>
      </c>
      <c r="H2165" s="2">
        <f t="shared" ca="1" si="67"/>
        <v>79</v>
      </c>
      <c r="I2165" s="4">
        <v>46041</v>
      </c>
      <c r="J2165" s="4">
        <v>46071</v>
      </c>
      <c r="K2165" t="s">
        <v>1325</v>
      </c>
      <c r="L2165" t="s">
        <v>90</v>
      </c>
      <c r="M2165" t="s">
        <v>19</v>
      </c>
      <c r="N2165" t="s">
        <v>4095</v>
      </c>
      <c r="O2165">
        <v>30</v>
      </c>
    </row>
    <row r="2166" spans="1:15" hidden="1" x14ac:dyDescent="0.25">
      <c r="A2166" t="s">
        <v>2820</v>
      </c>
      <c r="B2166" t="s">
        <v>1339</v>
      </c>
      <c r="C2166" t="s">
        <v>1340</v>
      </c>
      <c r="D2166" t="s">
        <v>1323</v>
      </c>
      <c r="E2166" t="s">
        <v>4096</v>
      </c>
      <c r="F2166" s="3">
        <v>339752</v>
      </c>
      <c r="G2166" s="2">
        <f t="shared" si="66"/>
        <v>30</v>
      </c>
      <c r="H2166" s="2">
        <f t="shared" ca="1" si="67"/>
        <v>79</v>
      </c>
      <c r="I2166" s="4">
        <v>46041</v>
      </c>
      <c r="J2166" s="4">
        <v>46071</v>
      </c>
      <c r="K2166" t="s">
        <v>1325</v>
      </c>
      <c r="L2166" t="s">
        <v>90</v>
      </c>
      <c r="M2166" t="s">
        <v>19</v>
      </c>
      <c r="N2166" t="s">
        <v>1341</v>
      </c>
      <c r="O2166">
        <v>1</v>
      </c>
    </row>
    <row r="2167" spans="1:15" hidden="1" x14ac:dyDescent="0.25">
      <c r="A2167" t="s">
        <v>2820</v>
      </c>
      <c r="B2167" t="s">
        <v>3665</v>
      </c>
      <c r="C2167" t="s">
        <v>3666</v>
      </c>
      <c r="D2167" t="s">
        <v>1323</v>
      </c>
      <c r="E2167" t="s">
        <v>4097</v>
      </c>
      <c r="F2167" s="3">
        <v>206498</v>
      </c>
      <c r="G2167" s="2">
        <f t="shared" si="66"/>
        <v>30</v>
      </c>
      <c r="H2167" s="2">
        <f t="shared" ca="1" si="67"/>
        <v>79</v>
      </c>
      <c r="I2167" s="4">
        <v>46041</v>
      </c>
      <c r="J2167" s="4">
        <v>46071</v>
      </c>
      <c r="K2167" t="s">
        <v>1325</v>
      </c>
      <c r="L2167" t="s">
        <v>90</v>
      </c>
      <c r="M2167" t="s">
        <v>19</v>
      </c>
      <c r="N2167" t="s">
        <v>3668</v>
      </c>
      <c r="O2167">
        <v>30</v>
      </c>
    </row>
    <row r="2168" spans="1:15" hidden="1" x14ac:dyDescent="0.25">
      <c r="A2168" t="s">
        <v>2820</v>
      </c>
      <c r="B2168" t="s">
        <v>2331</v>
      </c>
      <c r="C2168" t="s">
        <v>2332</v>
      </c>
      <c r="D2168" t="s">
        <v>2333</v>
      </c>
      <c r="E2168" t="s">
        <v>3718</v>
      </c>
      <c r="F2168" s="3">
        <v>2745000</v>
      </c>
      <c r="G2168" s="2">
        <f t="shared" si="66"/>
        <v>15</v>
      </c>
      <c r="H2168" s="2">
        <f t="shared" ca="1" si="67"/>
        <v>79</v>
      </c>
      <c r="I2168" s="4">
        <v>46041</v>
      </c>
      <c r="J2168" s="4">
        <v>46056</v>
      </c>
      <c r="K2168" t="s">
        <v>1403</v>
      </c>
      <c r="L2168" t="s">
        <v>109</v>
      </c>
      <c r="M2168" t="s">
        <v>19</v>
      </c>
      <c r="N2168" t="s">
        <v>2334</v>
      </c>
      <c r="O2168">
        <v>30</v>
      </c>
    </row>
    <row r="2169" spans="1:15" hidden="1" x14ac:dyDescent="0.25">
      <c r="A2169" t="s">
        <v>2820</v>
      </c>
      <c r="B2169" t="s">
        <v>2331</v>
      </c>
      <c r="C2169" t="s">
        <v>2332</v>
      </c>
      <c r="D2169" t="s">
        <v>2333</v>
      </c>
      <c r="E2169" t="s">
        <v>3719</v>
      </c>
      <c r="F2169" s="3">
        <v>4490503</v>
      </c>
      <c r="G2169" s="2">
        <f t="shared" si="66"/>
        <v>30</v>
      </c>
      <c r="H2169" s="2">
        <f t="shared" ca="1" si="67"/>
        <v>79</v>
      </c>
      <c r="I2169" s="4">
        <v>46041</v>
      </c>
      <c r="J2169" s="4">
        <v>46071</v>
      </c>
      <c r="K2169" t="s">
        <v>1403</v>
      </c>
      <c r="L2169" t="s">
        <v>109</v>
      </c>
      <c r="M2169" t="s">
        <v>19</v>
      </c>
      <c r="N2169" t="s">
        <v>2334</v>
      </c>
      <c r="O2169">
        <v>30</v>
      </c>
    </row>
    <row r="2170" spans="1:15" hidden="1" x14ac:dyDescent="0.25">
      <c r="A2170" t="s">
        <v>2820</v>
      </c>
      <c r="B2170" t="s">
        <v>1572</v>
      </c>
      <c r="C2170" t="s">
        <v>1573</v>
      </c>
      <c r="D2170" t="s">
        <v>1563</v>
      </c>
      <c r="E2170" t="s">
        <v>4117</v>
      </c>
      <c r="F2170" s="3">
        <v>778360</v>
      </c>
      <c r="G2170" s="2">
        <f t="shared" si="66"/>
        <v>30</v>
      </c>
      <c r="H2170" s="2">
        <f t="shared" ca="1" si="67"/>
        <v>79</v>
      </c>
      <c r="I2170" s="4">
        <v>46041</v>
      </c>
      <c r="J2170" s="4">
        <v>46071</v>
      </c>
      <c r="K2170" t="s">
        <v>1564</v>
      </c>
      <c r="L2170" t="s">
        <v>984</v>
      </c>
      <c r="M2170" t="s">
        <v>19</v>
      </c>
      <c r="N2170" t="s">
        <v>1574</v>
      </c>
      <c r="O2170">
        <v>30</v>
      </c>
    </row>
    <row r="2171" spans="1:15" hidden="1" x14ac:dyDescent="0.25">
      <c r="A2171" t="s">
        <v>2820</v>
      </c>
      <c r="B2171" t="s">
        <v>1561</v>
      </c>
      <c r="C2171" t="s">
        <v>1562</v>
      </c>
      <c r="D2171" t="s">
        <v>1563</v>
      </c>
      <c r="E2171" t="s">
        <v>4118</v>
      </c>
      <c r="F2171" s="3">
        <v>1652958</v>
      </c>
      <c r="G2171" s="2">
        <f t="shared" si="66"/>
        <v>30</v>
      </c>
      <c r="H2171" s="2">
        <f t="shared" ca="1" si="67"/>
        <v>79</v>
      </c>
      <c r="I2171" s="4">
        <v>46041</v>
      </c>
      <c r="J2171" s="4">
        <v>46071</v>
      </c>
      <c r="K2171" t="s">
        <v>1564</v>
      </c>
      <c r="L2171" t="s">
        <v>984</v>
      </c>
      <c r="M2171" t="s">
        <v>19</v>
      </c>
      <c r="N2171" t="s">
        <v>1565</v>
      </c>
      <c r="O2171">
        <v>30</v>
      </c>
    </row>
    <row r="2172" spans="1:15" hidden="1" x14ac:dyDescent="0.25">
      <c r="A2172" t="s">
        <v>2820</v>
      </c>
      <c r="B2172" t="s">
        <v>1561</v>
      </c>
      <c r="C2172" t="s">
        <v>1562</v>
      </c>
      <c r="D2172" t="s">
        <v>1563</v>
      </c>
      <c r="E2172" t="s">
        <v>4119</v>
      </c>
      <c r="F2172" s="3">
        <v>235793</v>
      </c>
      <c r="G2172" s="2">
        <f t="shared" si="66"/>
        <v>30</v>
      </c>
      <c r="H2172" s="2">
        <f t="shared" ca="1" si="67"/>
        <v>79</v>
      </c>
      <c r="I2172" s="4">
        <v>46041</v>
      </c>
      <c r="J2172" s="4">
        <v>46071</v>
      </c>
      <c r="K2172" t="s">
        <v>1564</v>
      </c>
      <c r="L2172" t="s">
        <v>984</v>
      </c>
      <c r="M2172" t="s">
        <v>19</v>
      </c>
      <c r="N2172" t="s">
        <v>1565</v>
      </c>
      <c r="O2172">
        <v>30</v>
      </c>
    </row>
    <row r="2173" spans="1:15" hidden="1" x14ac:dyDescent="0.25">
      <c r="A2173" t="s">
        <v>2820</v>
      </c>
      <c r="B2173" t="s">
        <v>2004</v>
      </c>
      <c r="C2173" t="s">
        <v>2005</v>
      </c>
      <c r="D2173" t="s">
        <v>1190</v>
      </c>
      <c r="E2173" t="s">
        <v>4157</v>
      </c>
      <c r="F2173" s="3">
        <v>2124990</v>
      </c>
      <c r="G2173" s="2">
        <f t="shared" si="66"/>
        <v>30</v>
      </c>
      <c r="H2173" s="2">
        <f t="shared" ca="1" si="67"/>
        <v>79</v>
      </c>
      <c r="I2173" s="4">
        <v>46041</v>
      </c>
      <c r="J2173" s="4">
        <v>46071</v>
      </c>
      <c r="K2173" t="s">
        <v>1863</v>
      </c>
      <c r="L2173" t="s">
        <v>984</v>
      </c>
      <c r="M2173" t="s">
        <v>19</v>
      </c>
      <c r="N2173" t="s">
        <v>2006</v>
      </c>
      <c r="O2173">
        <v>30</v>
      </c>
    </row>
    <row r="2174" spans="1:15" hidden="1" x14ac:dyDescent="0.25">
      <c r="A2174" t="s">
        <v>2820</v>
      </c>
      <c r="B2174" t="s">
        <v>104</v>
      </c>
      <c r="C2174" t="s">
        <v>105</v>
      </c>
      <c r="D2174" t="s">
        <v>46</v>
      </c>
      <c r="E2174" t="s">
        <v>3873</v>
      </c>
      <c r="F2174" s="3">
        <v>420000</v>
      </c>
      <c r="G2174" s="2">
        <f t="shared" si="66"/>
        <v>30</v>
      </c>
      <c r="H2174" s="2">
        <f t="shared" ca="1" si="67"/>
        <v>78</v>
      </c>
      <c r="I2174" s="4">
        <v>46042</v>
      </c>
      <c r="J2174" s="4">
        <v>46072</v>
      </c>
      <c r="K2174" t="s">
        <v>17</v>
      </c>
      <c r="L2174" t="s">
        <v>32</v>
      </c>
      <c r="M2174" t="s">
        <v>19</v>
      </c>
      <c r="N2174" t="s">
        <v>106</v>
      </c>
      <c r="O2174">
        <v>30</v>
      </c>
    </row>
    <row r="2175" spans="1:15" hidden="1" x14ac:dyDescent="0.25">
      <c r="A2175" t="s">
        <v>2820</v>
      </c>
      <c r="B2175" t="s">
        <v>2227</v>
      </c>
      <c r="C2175" t="s">
        <v>2228</v>
      </c>
      <c r="D2175" t="s">
        <v>46</v>
      </c>
      <c r="E2175" t="s">
        <v>3874</v>
      </c>
      <c r="F2175" s="3">
        <v>840000</v>
      </c>
      <c r="G2175" s="2">
        <f t="shared" si="66"/>
        <v>10</v>
      </c>
      <c r="H2175" s="2">
        <f t="shared" ca="1" si="67"/>
        <v>78</v>
      </c>
      <c r="I2175" s="4">
        <v>46042</v>
      </c>
      <c r="J2175" s="4">
        <v>46052</v>
      </c>
      <c r="K2175" t="s">
        <v>17</v>
      </c>
      <c r="L2175" t="s">
        <v>32</v>
      </c>
      <c r="M2175" t="s">
        <v>19</v>
      </c>
      <c r="N2175" t="s">
        <v>2229</v>
      </c>
      <c r="O2175">
        <v>25</v>
      </c>
    </row>
    <row r="2176" spans="1:15" hidden="1" x14ac:dyDescent="0.25">
      <c r="A2176" t="s">
        <v>2820</v>
      </c>
      <c r="B2176" t="s">
        <v>64</v>
      </c>
      <c r="C2176" t="s">
        <v>65</v>
      </c>
      <c r="D2176" t="s">
        <v>46</v>
      </c>
      <c r="E2176" t="s">
        <v>3875</v>
      </c>
      <c r="F2176" s="3">
        <v>630000</v>
      </c>
      <c r="G2176" s="2">
        <f t="shared" si="66"/>
        <v>10</v>
      </c>
      <c r="H2176" s="2">
        <f t="shared" ca="1" si="67"/>
        <v>78</v>
      </c>
      <c r="I2176" s="4">
        <v>46042</v>
      </c>
      <c r="J2176" s="4">
        <v>46052</v>
      </c>
      <c r="K2176" t="s">
        <v>17</v>
      </c>
      <c r="L2176" t="s">
        <v>32</v>
      </c>
      <c r="M2176" t="s">
        <v>19</v>
      </c>
      <c r="N2176" t="s">
        <v>66</v>
      </c>
      <c r="O2176">
        <v>30</v>
      </c>
    </row>
    <row r="2177" spans="1:15" hidden="1" x14ac:dyDescent="0.25">
      <c r="A2177" t="s">
        <v>2820</v>
      </c>
      <c r="B2177" t="s">
        <v>180</v>
      </c>
      <c r="C2177" t="s">
        <v>181</v>
      </c>
      <c r="D2177" t="s">
        <v>46</v>
      </c>
      <c r="E2177" t="s">
        <v>3876</v>
      </c>
      <c r="F2177" s="3">
        <v>833311</v>
      </c>
      <c r="G2177" s="2">
        <f t="shared" si="66"/>
        <v>30</v>
      </c>
      <c r="H2177" s="2">
        <f t="shared" ca="1" si="67"/>
        <v>78</v>
      </c>
      <c r="I2177" s="4">
        <v>46042</v>
      </c>
      <c r="J2177" s="4">
        <v>46072</v>
      </c>
      <c r="K2177" t="s">
        <v>17</v>
      </c>
      <c r="L2177" t="s">
        <v>32</v>
      </c>
      <c r="M2177" t="s">
        <v>19</v>
      </c>
      <c r="N2177" t="s">
        <v>182</v>
      </c>
      <c r="O2177">
        <v>30</v>
      </c>
    </row>
    <row r="2178" spans="1:15" hidden="1" x14ac:dyDescent="0.25">
      <c r="A2178" t="s">
        <v>2820</v>
      </c>
      <c r="B2178" t="s">
        <v>180</v>
      </c>
      <c r="C2178" t="s">
        <v>181</v>
      </c>
      <c r="D2178" t="s">
        <v>46</v>
      </c>
      <c r="E2178" t="s">
        <v>3877</v>
      </c>
      <c r="F2178" s="3">
        <v>420000</v>
      </c>
      <c r="G2178" s="2">
        <f t="shared" ref="G2178:G2241" si="68">+J2178-I2178</f>
        <v>10</v>
      </c>
      <c r="H2178" s="2">
        <f t="shared" ref="H2178:H2241" ca="1" si="69">+TODAY()-I2178</f>
        <v>78</v>
      </c>
      <c r="I2178" s="4">
        <v>46042</v>
      </c>
      <c r="J2178" s="4">
        <v>46052</v>
      </c>
      <c r="K2178" t="s">
        <v>17</v>
      </c>
      <c r="L2178" t="s">
        <v>32</v>
      </c>
      <c r="M2178" t="s">
        <v>19</v>
      </c>
      <c r="N2178" t="s">
        <v>182</v>
      </c>
      <c r="O2178">
        <v>30</v>
      </c>
    </row>
    <row r="2179" spans="1:15" hidden="1" x14ac:dyDescent="0.25">
      <c r="A2179" t="s">
        <v>2820</v>
      </c>
      <c r="B2179" t="s">
        <v>1905</v>
      </c>
      <c r="C2179" t="s">
        <v>2124</v>
      </c>
      <c r="D2179" t="s">
        <v>15</v>
      </c>
      <c r="E2179" t="s">
        <v>3878</v>
      </c>
      <c r="F2179" s="3">
        <v>1050000</v>
      </c>
      <c r="G2179" s="2">
        <f t="shared" si="68"/>
        <v>10</v>
      </c>
      <c r="H2179" s="2">
        <f t="shared" ca="1" si="69"/>
        <v>78</v>
      </c>
      <c r="I2179" s="4">
        <v>46042</v>
      </c>
      <c r="J2179" s="4">
        <v>46052</v>
      </c>
      <c r="K2179" t="s">
        <v>17</v>
      </c>
      <c r="L2179" t="s">
        <v>32</v>
      </c>
      <c r="M2179" t="s">
        <v>19</v>
      </c>
      <c r="N2179" t="s">
        <v>1906</v>
      </c>
      <c r="O2179">
        <v>30</v>
      </c>
    </row>
    <row r="2180" spans="1:15" hidden="1" x14ac:dyDescent="0.25">
      <c r="A2180" t="s">
        <v>2820</v>
      </c>
      <c r="B2180" t="s">
        <v>130</v>
      </c>
      <c r="C2180" t="s">
        <v>131</v>
      </c>
      <c r="D2180" t="s">
        <v>15</v>
      </c>
      <c r="E2180" t="s">
        <v>3879</v>
      </c>
      <c r="F2180" s="3">
        <v>164000</v>
      </c>
      <c r="G2180" s="2">
        <f t="shared" si="68"/>
        <v>10</v>
      </c>
      <c r="H2180" s="2">
        <f t="shared" ca="1" si="69"/>
        <v>78</v>
      </c>
      <c r="I2180" s="4">
        <v>46042</v>
      </c>
      <c r="J2180" s="4">
        <v>46052</v>
      </c>
      <c r="K2180" t="s">
        <v>17</v>
      </c>
      <c r="L2180" t="s">
        <v>32</v>
      </c>
      <c r="M2180" t="s">
        <v>19</v>
      </c>
      <c r="N2180" t="s">
        <v>132</v>
      </c>
      <c r="O2180">
        <v>30</v>
      </c>
    </row>
    <row r="2181" spans="1:15" hidden="1" x14ac:dyDescent="0.25">
      <c r="A2181" t="s">
        <v>2820</v>
      </c>
      <c r="B2181" t="s">
        <v>130</v>
      </c>
      <c r="C2181" t="s">
        <v>131</v>
      </c>
      <c r="D2181" t="s">
        <v>15</v>
      </c>
      <c r="E2181" t="s">
        <v>3880</v>
      </c>
      <c r="F2181" s="3">
        <v>503693</v>
      </c>
      <c r="G2181" s="2">
        <f t="shared" si="68"/>
        <v>30</v>
      </c>
      <c r="H2181" s="2">
        <f t="shared" ca="1" si="69"/>
        <v>78</v>
      </c>
      <c r="I2181" s="4">
        <v>46042</v>
      </c>
      <c r="J2181" s="4">
        <v>46072</v>
      </c>
      <c r="K2181" t="s">
        <v>17</v>
      </c>
      <c r="L2181" t="s">
        <v>32</v>
      </c>
      <c r="M2181" t="s">
        <v>19</v>
      </c>
      <c r="N2181" t="s">
        <v>132</v>
      </c>
      <c r="O2181">
        <v>30</v>
      </c>
    </row>
    <row r="2182" spans="1:15" hidden="1" x14ac:dyDescent="0.25">
      <c r="A2182" t="s">
        <v>2820</v>
      </c>
      <c r="B2182" t="s">
        <v>67</v>
      </c>
      <c r="C2182" t="s">
        <v>68</v>
      </c>
      <c r="D2182" t="s">
        <v>15</v>
      </c>
      <c r="E2182" t="s">
        <v>3881</v>
      </c>
      <c r="F2182" s="3">
        <v>585998</v>
      </c>
      <c r="G2182" s="2">
        <f t="shared" si="68"/>
        <v>30</v>
      </c>
      <c r="H2182" s="2">
        <f t="shared" ca="1" si="69"/>
        <v>78</v>
      </c>
      <c r="I2182" s="4">
        <v>46042</v>
      </c>
      <c r="J2182" s="4">
        <v>46072</v>
      </c>
      <c r="K2182" t="s">
        <v>17</v>
      </c>
      <c r="L2182" t="s">
        <v>32</v>
      </c>
      <c r="M2182" t="s">
        <v>19</v>
      </c>
      <c r="N2182" t="s">
        <v>69</v>
      </c>
      <c r="O2182">
        <v>30</v>
      </c>
    </row>
    <row r="2183" spans="1:15" hidden="1" x14ac:dyDescent="0.25">
      <c r="A2183" t="s">
        <v>2820</v>
      </c>
      <c r="B2183" t="s">
        <v>95</v>
      </c>
      <c r="C2183" t="s">
        <v>96</v>
      </c>
      <c r="D2183" t="s">
        <v>15</v>
      </c>
      <c r="E2183" t="s">
        <v>3882</v>
      </c>
      <c r="F2183" s="3">
        <v>5337293</v>
      </c>
      <c r="G2183" s="2">
        <f t="shared" si="68"/>
        <v>30</v>
      </c>
      <c r="H2183" s="2">
        <f t="shared" ca="1" si="69"/>
        <v>78</v>
      </c>
      <c r="I2183" s="4">
        <v>46042</v>
      </c>
      <c r="J2183" s="4">
        <v>46072</v>
      </c>
      <c r="K2183" t="s">
        <v>17</v>
      </c>
      <c r="L2183" t="s">
        <v>32</v>
      </c>
      <c r="M2183" t="s">
        <v>19</v>
      </c>
      <c r="N2183" t="s">
        <v>97</v>
      </c>
      <c r="O2183">
        <v>30</v>
      </c>
    </row>
    <row r="2184" spans="1:15" hidden="1" x14ac:dyDescent="0.25">
      <c r="A2184" t="s">
        <v>2820</v>
      </c>
      <c r="B2184" t="s">
        <v>95</v>
      </c>
      <c r="C2184" t="s">
        <v>96</v>
      </c>
      <c r="D2184" t="s">
        <v>15</v>
      </c>
      <c r="E2184" t="s">
        <v>3883</v>
      </c>
      <c r="F2184" s="3">
        <v>4240000</v>
      </c>
      <c r="G2184" s="2">
        <f t="shared" si="68"/>
        <v>30</v>
      </c>
      <c r="H2184" s="2">
        <f t="shared" ca="1" si="69"/>
        <v>78</v>
      </c>
      <c r="I2184" s="4">
        <v>46042</v>
      </c>
      <c r="J2184" s="4">
        <v>46072</v>
      </c>
      <c r="K2184" t="s">
        <v>17</v>
      </c>
      <c r="L2184" t="s">
        <v>32</v>
      </c>
      <c r="M2184" t="s">
        <v>19</v>
      </c>
      <c r="N2184" t="s">
        <v>97</v>
      </c>
      <c r="O2184">
        <v>30</v>
      </c>
    </row>
    <row r="2185" spans="1:15" hidden="1" x14ac:dyDescent="0.25">
      <c r="A2185" t="s">
        <v>2820</v>
      </c>
      <c r="B2185" t="s">
        <v>95</v>
      </c>
      <c r="C2185" t="s">
        <v>96</v>
      </c>
      <c r="D2185" t="s">
        <v>15</v>
      </c>
      <c r="E2185" t="s">
        <v>3884</v>
      </c>
      <c r="F2185" s="3">
        <v>1153810</v>
      </c>
      <c r="G2185" s="2">
        <f t="shared" si="68"/>
        <v>30</v>
      </c>
      <c r="H2185" s="2">
        <f t="shared" ca="1" si="69"/>
        <v>78</v>
      </c>
      <c r="I2185" s="4">
        <v>46042</v>
      </c>
      <c r="J2185" s="4">
        <v>46072</v>
      </c>
      <c r="K2185" t="s">
        <v>17</v>
      </c>
      <c r="L2185" t="s">
        <v>32</v>
      </c>
      <c r="M2185" t="s">
        <v>19</v>
      </c>
      <c r="N2185" t="s">
        <v>97</v>
      </c>
      <c r="O2185">
        <v>30</v>
      </c>
    </row>
    <row r="2186" spans="1:15" hidden="1" x14ac:dyDescent="0.25">
      <c r="A2186" t="s">
        <v>2820</v>
      </c>
      <c r="B2186" t="s">
        <v>95</v>
      </c>
      <c r="C2186" t="s">
        <v>96</v>
      </c>
      <c r="D2186" t="s">
        <v>15</v>
      </c>
      <c r="E2186" t="s">
        <v>3885</v>
      </c>
      <c r="F2186" s="3">
        <v>6610987</v>
      </c>
      <c r="G2186" s="2">
        <f t="shared" si="68"/>
        <v>30</v>
      </c>
      <c r="H2186" s="2">
        <f t="shared" ca="1" si="69"/>
        <v>78</v>
      </c>
      <c r="I2186" s="4">
        <v>46042</v>
      </c>
      <c r="J2186" s="4">
        <v>46072</v>
      </c>
      <c r="K2186" t="s">
        <v>17</v>
      </c>
      <c r="L2186" t="s">
        <v>32</v>
      </c>
      <c r="M2186" t="s">
        <v>19</v>
      </c>
      <c r="N2186" t="s">
        <v>97</v>
      </c>
      <c r="O2186">
        <v>30</v>
      </c>
    </row>
    <row r="2187" spans="1:15" hidden="1" x14ac:dyDescent="0.25">
      <c r="A2187" t="s">
        <v>2820</v>
      </c>
      <c r="B2187" t="s">
        <v>61</v>
      </c>
      <c r="C2187" t="s">
        <v>62</v>
      </c>
      <c r="D2187" t="s">
        <v>46</v>
      </c>
      <c r="E2187" t="s">
        <v>3886</v>
      </c>
      <c r="F2187" s="3">
        <v>785345</v>
      </c>
      <c r="G2187" s="2">
        <f t="shared" si="68"/>
        <v>30</v>
      </c>
      <c r="H2187" s="2">
        <f t="shared" ca="1" si="69"/>
        <v>78</v>
      </c>
      <c r="I2187" s="4">
        <v>46042</v>
      </c>
      <c r="J2187" s="4">
        <v>46072</v>
      </c>
      <c r="K2187" t="s">
        <v>17</v>
      </c>
      <c r="L2187" t="s">
        <v>32</v>
      </c>
      <c r="M2187" t="s">
        <v>19</v>
      </c>
      <c r="N2187" t="s">
        <v>63</v>
      </c>
      <c r="O2187">
        <v>30</v>
      </c>
    </row>
    <row r="2188" spans="1:15" hidden="1" x14ac:dyDescent="0.25">
      <c r="A2188" t="s">
        <v>2820</v>
      </c>
      <c r="B2188" t="s">
        <v>61</v>
      </c>
      <c r="C2188" t="s">
        <v>62</v>
      </c>
      <c r="D2188" t="s">
        <v>46</v>
      </c>
      <c r="E2188" t="s">
        <v>3887</v>
      </c>
      <c r="F2188" s="3">
        <v>3490365</v>
      </c>
      <c r="G2188" s="2">
        <f t="shared" si="68"/>
        <v>30</v>
      </c>
      <c r="H2188" s="2">
        <f t="shared" ca="1" si="69"/>
        <v>78</v>
      </c>
      <c r="I2188" s="4">
        <v>46042</v>
      </c>
      <c r="J2188" s="4">
        <v>46072</v>
      </c>
      <c r="K2188" t="s">
        <v>17</v>
      </c>
      <c r="L2188" t="s">
        <v>32</v>
      </c>
      <c r="M2188" t="s">
        <v>19</v>
      </c>
      <c r="N2188" t="s">
        <v>63</v>
      </c>
      <c r="O2188">
        <v>30</v>
      </c>
    </row>
    <row r="2189" spans="1:15" hidden="1" x14ac:dyDescent="0.25">
      <c r="A2189" t="s">
        <v>2820</v>
      </c>
      <c r="B2189" t="s">
        <v>101</v>
      </c>
      <c r="C2189" t="s">
        <v>102</v>
      </c>
      <c r="D2189" t="s">
        <v>15</v>
      </c>
      <c r="E2189" t="s">
        <v>3888</v>
      </c>
      <c r="F2189" s="3">
        <v>5885758</v>
      </c>
      <c r="G2189" s="2">
        <f t="shared" si="68"/>
        <v>30</v>
      </c>
      <c r="H2189" s="2">
        <f t="shared" ca="1" si="69"/>
        <v>78</v>
      </c>
      <c r="I2189" s="4">
        <v>46042</v>
      </c>
      <c r="J2189" s="4">
        <v>46072</v>
      </c>
      <c r="K2189" t="s">
        <v>17</v>
      </c>
      <c r="L2189" t="s">
        <v>32</v>
      </c>
      <c r="M2189" t="s">
        <v>19</v>
      </c>
      <c r="N2189" t="s">
        <v>103</v>
      </c>
      <c r="O2189">
        <v>30</v>
      </c>
    </row>
    <row r="2190" spans="1:15" hidden="1" x14ac:dyDescent="0.25">
      <c r="A2190" t="s">
        <v>2820</v>
      </c>
      <c r="B2190" t="s">
        <v>2073</v>
      </c>
      <c r="C2190" t="s">
        <v>2074</v>
      </c>
      <c r="D2190" t="s">
        <v>15</v>
      </c>
      <c r="E2190" t="s">
        <v>3889</v>
      </c>
      <c r="F2190" s="3">
        <v>2120000</v>
      </c>
      <c r="G2190" s="2">
        <f t="shared" si="68"/>
        <v>30</v>
      </c>
      <c r="H2190" s="2">
        <f t="shared" ca="1" si="69"/>
        <v>78</v>
      </c>
      <c r="I2190" s="4">
        <v>46042</v>
      </c>
      <c r="J2190" s="4">
        <v>46072</v>
      </c>
      <c r="K2190" t="s">
        <v>17</v>
      </c>
      <c r="L2190" t="s">
        <v>32</v>
      </c>
      <c r="M2190" t="s">
        <v>19</v>
      </c>
      <c r="N2190" t="s">
        <v>2075</v>
      </c>
      <c r="O2190">
        <v>30</v>
      </c>
    </row>
    <row r="2191" spans="1:15" hidden="1" x14ac:dyDescent="0.25">
      <c r="A2191" t="s">
        <v>2820</v>
      </c>
      <c r="B2191" t="s">
        <v>3890</v>
      </c>
      <c r="C2191" t="s">
        <v>3891</v>
      </c>
      <c r="D2191" t="s">
        <v>15</v>
      </c>
      <c r="E2191" t="s">
        <v>3892</v>
      </c>
      <c r="F2191" s="3">
        <v>420000</v>
      </c>
      <c r="G2191" s="2">
        <f t="shared" si="68"/>
        <v>10</v>
      </c>
      <c r="H2191" s="2">
        <f t="shared" ca="1" si="69"/>
        <v>78</v>
      </c>
      <c r="I2191" s="4">
        <v>46042</v>
      </c>
      <c r="J2191" s="4">
        <v>46052</v>
      </c>
      <c r="K2191" t="s">
        <v>17</v>
      </c>
      <c r="L2191" t="s">
        <v>32</v>
      </c>
      <c r="M2191" t="s">
        <v>19</v>
      </c>
      <c r="N2191" t="s">
        <v>3893</v>
      </c>
      <c r="O2191">
        <v>30</v>
      </c>
    </row>
    <row r="2192" spans="1:15" hidden="1" x14ac:dyDescent="0.25">
      <c r="A2192" t="s">
        <v>2820</v>
      </c>
      <c r="B2192" t="s">
        <v>49</v>
      </c>
      <c r="C2192" t="s">
        <v>50</v>
      </c>
      <c r="D2192" t="s">
        <v>15</v>
      </c>
      <c r="E2192" t="s">
        <v>3894</v>
      </c>
      <c r="F2192" s="3">
        <v>331895</v>
      </c>
      <c r="G2192" s="2">
        <f t="shared" si="68"/>
        <v>30</v>
      </c>
      <c r="H2192" s="2">
        <f t="shared" ca="1" si="69"/>
        <v>78</v>
      </c>
      <c r="I2192" s="4">
        <v>46042</v>
      </c>
      <c r="J2192" s="4">
        <v>46072</v>
      </c>
      <c r="K2192" t="s">
        <v>17</v>
      </c>
      <c r="L2192" t="s">
        <v>32</v>
      </c>
      <c r="M2192" t="s">
        <v>19</v>
      </c>
      <c r="N2192" t="s">
        <v>51</v>
      </c>
      <c r="O2192">
        <v>30</v>
      </c>
    </row>
    <row r="2193" spans="1:15" hidden="1" x14ac:dyDescent="0.25">
      <c r="A2193" t="s">
        <v>2820</v>
      </c>
      <c r="B2193" t="s">
        <v>67</v>
      </c>
      <c r="C2193" t="s">
        <v>68</v>
      </c>
      <c r="D2193" t="s">
        <v>15</v>
      </c>
      <c r="E2193" t="s">
        <v>3895</v>
      </c>
      <c r="F2193" s="3">
        <v>464400</v>
      </c>
      <c r="G2193" s="2">
        <f t="shared" si="68"/>
        <v>30</v>
      </c>
      <c r="H2193" s="2">
        <f t="shared" ca="1" si="69"/>
        <v>78</v>
      </c>
      <c r="I2193" s="4">
        <v>46042</v>
      </c>
      <c r="J2193" s="4">
        <v>46072</v>
      </c>
      <c r="K2193" t="s">
        <v>17</v>
      </c>
      <c r="L2193" t="s">
        <v>32</v>
      </c>
      <c r="M2193" t="s">
        <v>19</v>
      </c>
      <c r="N2193" t="s">
        <v>69</v>
      </c>
      <c r="O2193">
        <v>30</v>
      </c>
    </row>
    <row r="2194" spans="1:15" hidden="1" x14ac:dyDescent="0.25">
      <c r="A2194" t="s">
        <v>2820</v>
      </c>
      <c r="B2194" t="s">
        <v>67</v>
      </c>
      <c r="C2194" t="s">
        <v>68</v>
      </c>
      <c r="D2194" t="s">
        <v>15</v>
      </c>
      <c r="E2194" t="s">
        <v>3896</v>
      </c>
      <c r="F2194" s="3">
        <v>8977598</v>
      </c>
      <c r="G2194" s="2">
        <f t="shared" si="68"/>
        <v>30</v>
      </c>
      <c r="H2194" s="2">
        <f t="shared" ca="1" si="69"/>
        <v>78</v>
      </c>
      <c r="I2194" s="4">
        <v>46042</v>
      </c>
      <c r="J2194" s="4">
        <v>46072</v>
      </c>
      <c r="K2194" t="s">
        <v>17</v>
      </c>
      <c r="L2194" t="s">
        <v>32</v>
      </c>
      <c r="M2194" t="s">
        <v>19</v>
      </c>
      <c r="N2194" t="s">
        <v>69</v>
      </c>
      <c r="O2194">
        <v>30</v>
      </c>
    </row>
    <row r="2195" spans="1:15" hidden="1" x14ac:dyDescent="0.25">
      <c r="A2195" t="s">
        <v>2820</v>
      </c>
      <c r="B2195" t="s">
        <v>79</v>
      </c>
      <c r="C2195" t="s">
        <v>80</v>
      </c>
      <c r="D2195" t="s">
        <v>46</v>
      </c>
      <c r="E2195" t="s">
        <v>3897</v>
      </c>
      <c r="F2195" s="3">
        <v>630000</v>
      </c>
      <c r="G2195" s="2">
        <f t="shared" si="68"/>
        <v>10</v>
      </c>
      <c r="H2195" s="2">
        <f t="shared" ca="1" si="69"/>
        <v>78</v>
      </c>
      <c r="I2195" s="4">
        <v>46042</v>
      </c>
      <c r="J2195" s="4">
        <v>46052</v>
      </c>
      <c r="K2195" t="s">
        <v>17</v>
      </c>
      <c r="L2195" t="s">
        <v>32</v>
      </c>
      <c r="M2195" t="s">
        <v>19</v>
      </c>
      <c r="N2195" t="s">
        <v>81</v>
      </c>
      <c r="O2195">
        <v>30</v>
      </c>
    </row>
    <row r="2196" spans="1:15" hidden="1" x14ac:dyDescent="0.25">
      <c r="A2196" t="s">
        <v>2820</v>
      </c>
      <c r="B2196" t="s">
        <v>124</v>
      </c>
      <c r="C2196" t="s">
        <v>125</v>
      </c>
      <c r="D2196" t="s">
        <v>15</v>
      </c>
      <c r="E2196" t="s">
        <v>3898</v>
      </c>
      <c r="F2196" s="3">
        <v>743035</v>
      </c>
      <c r="G2196" s="2">
        <f t="shared" si="68"/>
        <v>30</v>
      </c>
      <c r="H2196" s="2">
        <f t="shared" ca="1" si="69"/>
        <v>78</v>
      </c>
      <c r="I2196" s="4">
        <v>46042</v>
      </c>
      <c r="J2196" s="4">
        <v>46072</v>
      </c>
      <c r="K2196" t="s">
        <v>17</v>
      </c>
      <c r="L2196" t="s">
        <v>32</v>
      </c>
      <c r="M2196" t="s">
        <v>19</v>
      </c>
      <c r="N2196" t="s">
        <v>126</v>
      </c>
      <c r="O2196">
        <v>30</v>
      </c>
    </row>
    <row r="2197" spans="1:15" hidden="1" x14ac:dyDescent="0.25">
      <c r="A2197" t="s">
        <v>2820</v>
      </c>
      <c r="B2197" t="s">
        <v>79</v>
      </c>
      <c r="C2197" t="s">
        <v>80</v>
      </c>
      <c r="D2197" t="s">
        <v>46</v>
      </c>
      <c r="E2197" t="s">
        <v>3899</v>
      </c>
      <c r="F2197" s="3">
        <v>2100000</v>
      </c>
      <c r="G2197" s="2">
        <f t="shared" si="68"/>
        <v>10</v>
      </c>
      <c r="H2197" s="2">
        <f t="shared" ca="1" si="69"/>
        <v>78</v>
      </c>
      <c r="I2197" s="4">
        <v>46042</v>
      </c>
      <c r="J2197" s="4">
        <v>46052</v>
      </c>
      <c r="K2197" t="s">
        <v>17</v>
      </c>
      <c r="L2197" t="s">
        <v>32</v>
      </c>
      <c r="M2197" t="s">
        <v>19</v>
      </c>
      <c r="N2197" t="s">
        <v>81</v>
      </c>
      <c r="O2197">
        <v>30</v>
      </c>
    </row>
    <row r="2198" spans="1:15" hidden="1" x14ac:dyDescent="0.25">
      <c r="A2198" t="s">
        <v>2820</v>
      </c>
      <c r="B2198" t="s">
        <v>124</v>
      </c>
      <c r="C2198" t="s">
        <v>125</v>
      </c>
      <c r="D2198" t="s">
        <v>15</v>
      </c>
      <c r="E2198" t="s">
        <v>3900</v>
      </c>
      <c r="F2198" s="3">
        <v>428000</v>
      </c>
      <c r="G2198" s="2">
        <f t="shared" si="68"/>
        <v>30</v>
      </c>
      <c r="H2198" s="2">
        <f t="shared" ca="1" si="69"/>
        <v>78</v>
      </c>
      <c r="I2198" s="4">
        <v>46042</v>
      </c>
      <c r="J2198" s="4">
        <v>46072</v>
      </c>
      <c r="K2198" t="s">
        <v>17</v>
      </c>
      <c r="L2198" t="s">
        <v>32</v>
      </c>
      <c r="M2198" t="s">
        <v>19</v>
      </c>
      <c r="N2198" t="s">
        <v>126</v>
      </c>
      <c r="O2198">
        <v>30</v>
      </c>
    </row>
    <row r="2199" spans="1:15" hidden="1" x14ac:dyDescent="0.25">
      <c r="A2199" t="s">
        <v>2820</v>
      </c>
      <c r="B2199" t="s">
        <v>3901</v>
      </c>
      <c r="C2199" t="s">
        <v>3902</v>
      </c>
      <c r="D2199" t="s">
        <v>46</v>
      </c>
      <c r="E2199" t="s">
        <v>3903</v>
      </c>
      <c r="F2199" s="3">
        <v>287830</v>
      </c>
      <c r="G2199" s="2">
        <f t="shared" si="68"/>
        <v>30</v>
      </c>
      <c r="H2199" s="2">
        <f t="shared" ca="1" si="69"/>
        <v>78</v>
      </c>
      <c r="I2199" s="4">
        <v>46042</v>
      </c>
      <c r="J2199" s="4">
        <v>46072</v>
      </c>
      <c r="K2199" t="s">
        <v>17</v>
      </c>
      <c r="L2199" t="s">
        <v>109</v>
      </c>
      <c r="M2199" t="s">
        <v>19</v>
      </c>
      <c r="N2199" t="s">
        <v>3904</v>
      </c>
      <c r="O2199">
        <v>30</v>
      </c>
    </row>
    <row r="2200" spans="1:15" hidden="1" x14ac:dyDescent="0.25">
      <c r="A2200" t="s">
        <v>2820</v>
      </c>
      <c r="B2200" t="s">
        <v>70</v>
      </c>
      <c r="C2200" t="s">
        <v>71</v>
      </c>
      <c r="D2200" t="s">
        <v>15</v>
      </c>
      <c r="E2200" t="s">
        <v>3905</v>
      </c>
      <c r="F2200" s="3">
        <v>5203058</v>
      </c>
      <c r="G2200" s="2">
        <f t="shared" si="68"/>
        <v>30</v>
      </c>
      <c r="H2200" s="2">
        <f t="shared" ca="1" si="69"/>
        <v>78</v>
      </c>
      <c r="I2200" s="4">
        <v>46042</v>
      </c>
      <c r="J2200" s="4">
        <v>46072</v>
      </c>
      <c r="K2200" t="s">
        <v>17</v>
      </c>
      <c r="L2200" t="s">
        <v>32</v>
      </c>
      <c r="M2200" t="s">
        <v>19</v>
      </c>
      <c r="N2200" t="s">
        <v>72</v>
      </c>
      <c r="O2200">
        <v>30</v>
      </c>
    </row>
    <row r="2201" spans="1:15" hidden="1" x14ac:dyDescent="0.25">
      <c r="A2201" t="s">
        <v>2820</v>
      </c>
      <c r="B2201" t="s">
        <v>70</v>
      </c>
      <c r="C2201" t="s">
        <v>71</v>
      </c>
      <c r="D2201" t="s">
        <v>15</v>
      </c>
      <c r="E2201" t="s">
        <v>3906</v>
      </c>
      <c r="F2201" s="3">
        <v>831750</v>
      </c>
      <c r="G2201" s="2">
        <f t="shared" si="68"/>
        <v>30</v>
      </c>
      <c r="H2201" s="2">
        <f t="shared" ca="1" si="69"/>
        <v>78</v>
      </c>
      <c r="I2201" s="4">
        <v>46042</v>
      </c>
      <c r="J2201" s="4">
        <v>46072</v>
      </c>
      <c r="K2201" t="s">
        <v>17</v>
      </c>
      <c r="L2201" t="s">
        <v>32</v>
      </c>
      <c r="M2201" t="s">
        <v>19</v>
      </c>
      <c r="N2201" t="s">
        <v>72</v>
      </c>
      <c r="O2201">
        <v>30</v>
      </c>
    </row>
    <row r="2202" spans="1:15" hidden="1" x14ac:dyDescent="0.25">
      <c r="A2202" t="s">
        <v>2820</v>
      </c>
      <c r="B2202" t="s">
        <v>79</v>
      </c>
      <c r="C2202" t="s">
        <v>80</v>
      </c>
      <c r="D2202" t="s">
        <v>46</v>
      </c>
      <c r="E2202" t="s">
        <v>3907</v>
      </c>
      <c r="F2202" s="3">
        <v>968100</v>
      </c>
      <c r="G2202" s="2">
        <f t="shared" si="68"/>
        <v>30</v>
      </c>
      <c r="H2202" s="2">
        <f t="shared" ca="1" si="69"/>
        <v>78</v>
      </c>
      <c r="I2202" s="4">
        <v>46042</v>
      </c>
      <c r="J2202" s="4">
        <v>46072</v>
      </c>
      <c r="K2202" t="s">
        <v>17</v>
      </c>
      <c r="L2202" t="s">
        <v>32</v>
      </c>
      <c r="M2202" t="s">
        <v>19</v>
      </c>
      <c r="N2202" t="s">
        <v>81</v>
      </c>
      <c r="O2202">
        <v>30</v>
      </c>
    </row>
    <row r="2203" spans="1:15" hidden="1" x14ac:dyDescent="0.25">
      <c r="A2203" t="s">
        <v>2820</v>
      </c>
      <c r="B2203" t="s">
        <v>70</v>
      </c>
      <c r="C2203" t="s">
        <v>71</v>
      </c>
      <c r="D2203" t="s">
        <v>15</v>
      </c>
      <c r="E2203" t="s">
        <v>3908</v>
      </c>
      <c r="F2203" s="3">
        <v>188000</v>
      </c>
      <c r="G2203" s="2">
        <f t="shared" si="68"/>
        <v>30</v>
      </c>
      <c r="H2203" s="2">
        <f t="shared" ca="1" si="69"/>
        <v>78</v>
      </c>
      <c r="I2203" s="4">
        <v>46042</v>
      </c>
      <c r="J2203" s="4">
        <v>46072</v>
      </c>
      <c r="K2203" t="s">
        <v>17</v>
      </c>
      <c r="L2203" t="s">
        <v>32</v>
      </c>
      <c r="M2203" t="s">
        <v>19</v>
      </c>
      <c r="N2203" t="s">
        <v>72</v>
      </c>
      <c r="O2203">
        <v>30</v>
      </c>
    </row>
    <row r="2204" spans="1:15" hidden="1" x14ac:dyDescent="0.25">
      <c r="A2204" t="s">
        <v>2820</v>
      </c>
      <c r="B2204" t="s">
        <v>70</v>
      </c>
      <c r="C2204" t="s">
        <v>71</v>
      </c>
      <c r="D2204" t="s">
        <v>15</v>
      </c>
      <c r="E2204" t="s">
        <v>3909</v>
      </c>
      <c r="F2204" s="3">
        <v>149280</v>
      </c>
      <c r="G2204" s="2">
        <f t="shared" si="68"/>
        <v>30</v>
      </c>
      <c r="H2204" s="2">
        <f t="shared" ca="1" si="69"/>
        <v>78</v>
      </c>
      <c r="I2204" s="4">
        <v>46042</v>
      </c>
      <c r="J2204" s="4">
        <v>46072</v>
      </c>
      <c r="K2204" t="s">
        <v>17</v>
      </c>
      <c r="L2204" t="s">
        <v>32</v>
      </c>
      <c r="M2204" t="s">
        <v>19</v>
      </c>
      <c r="N2204" t="s">
        <v>72</v>
      </c>
      <c r="O2204">
        <v>30</v>
      </c>
    </row>
    <row r="2205" spans="1:15" hidden="1" x14ac:dyDescent="0.25">
      <c r="A2205" t="s">
        <v>2820</v>
      </c>
      <c r="B2205" t="s">
        <v>3942</v>
      </c>
      <c r="C2205" t="s">
        <v>3943</v>
      </c>
      <c r="D2205" t="s">
        <v>15</v>
      </c>
      <c r="E2205" t="s">
        <v>3944</v>
      </c>
      <c r="F2205" s="3">
        <v>276102</v>
      </c>
      <c r="G2205" s="2">
        <f t="shared" si="68"/>
        <v>15</v>
      </c>
      <c r="H2205" s="2">
        <f t="shared" ca="1" si="69"/>
        <v>78</v>
      </c>
      <c r="I2205" s="4">
        <v>46042</v>
      </c>
      <c r="J2205" s="4">
        <v>46057</v>
      </c>
      <c r="K2205" t="s">
        <v>17</v>
      </c>
      <c r="L2205" t="s">
        <v>317</v>
      </c>
      <c r="M2205" t="s">
        <v>19</v>
      </c>
      <c r="N2205" t="s">
        <v>3945</v>
      </c>
      <c r="O2205">
        <v>15</v>
      </c>
    </row>
    <row r="2206" spans="1:15" hidden="1" x14ac:dyDescent="0.25">
      <c r="A2206" t="s">
        <v>2820</v>
      </c>
      <c r="B2206" t="s">
        <v>3942</v>
      </c>
      <c r="C2206" t="s">
        <v>3943</v>
      </c>
      <c r="D2206" t="s">
        <v>15</v>
      </c>
      <c r="E2206" t="s">
        <v>3946</v>
      </c>
      <c r="F2206" s="3">
        <v>88619</v>
      </c>
      <c r="G2206" s="2">
        <f t="shared" si="68"/>
        <v>15</v>
      </c>
      <c r="H2206" s="2">
        <f t="shared" ca="1" si="69"/>
        <v>78</v>
      </c>
      <c r="I2206" s="4">
        <v>46042</v>
      </c>
      <c r="J2206" s="4">
        <v>46057</v>
      </c>
      <c r="K2206" t="s">
        <v>17</v>
      </c>
      <c r="L2206" t="s">
        <v>317</v>
      </c>
      <c r="M2206" t="s">
        <v>19</v>
      </c>
      <c r="N2206" t="s">
        <v>3945</v>
      </c>
      <c r="O2206">
        <v>15</v>
      </c>
    </row>
    <row r="2207" spans="1:15" hidden="1" x14ac:dyDescent="0.25">
      <c r="A2207" t="s">
        <v>2820</v>
      </c>
      <c r="B2207" t="s">
        <v>3947</v>
      </c>
      <c r="C2207" t="s">
        <v>3948</v>
      </c>
      <c r="D2207" t="s">
        <v>15</v>
      </c>
      <c r="E2207" t="s">
        <v>3949</v>
      </c>
      <c r="F2207" s="3">
        <v>717063</v>
      </c>
      <c r="G2207" s="2">
        <f t="shared" si="68"/>
        <v>15</v>
      </c>
      <c r="H2207" s="2">
        <f t="shared" ca="1" si="69"/>
        <v>78</v>
      </c>
      <c r="I2207" s="4">
        <v>46042</v>
      </c>
      <c r="J2207" s="4">
        <v>46057</v>
      </c>
      <c r="K2207" t="s">
        <v>17</v>
      </c>
      <c r="L2207" t="s">
        <v>317</v>
      </c>
      <c r="M2207" t="s">
        <v>19</v>
      </c>
      <c r="N2207" t="s">
        <v>3950</v>
      </c>
      <c r="O2207">
        <v>15</v>
      </c>
    </row>
    <row r="2208" spans="1:15" hidden="1" x14ac:dyDescent="0.25">
      <c r="A2208" t="s">
        <v>2820</v>
      </c>
      <c r="B2208" t="s">
        <v>3951</v>
      </c>
      <c r="C2208" t="s">
        <v>3952</v>
      </c>
      <c r="D2208" t="s">
        <v>15</v>
      </c>
      <c r="E2208" t="s">
        <v>3953</v>
      </c>
      <c r="F2208" s="3">
        <v>323259</v>
      </c>
      <c r="G2208" s="2">
        <f t="shared" si="68"/>
        <v>15</v>
      </c>
      <c r="H2208" s="2">
        <f t="shared" ca="1" si="69"/>
        <v>78</v>
      </c>
      <c r="I2208" s="4">
        <v>46042</v>
      </c>
      <c r="J2208" s="4">
        <v>46057</v>
      </c>
      <c r="K2208" t="s">
        <v>17</v>
      </c>
      <c r="L2208" t="s">
        <v>317</v>
      </c>
      <c r="M2208" t="s">
        <v>19</v>
      </c>
      <c r="N2208" t="s">
        <v>3954</v>
      </c>
      <c r="O2208">
        <v>15</v>
      </c>
    </row>
    <row r="2209" spans="1:15" hidden="1" x14ac:dyDescent="0.25">
      <c r="A2209" t="s">
        <v>2820</v>
      </c>
      <c r="B2209" t="s">
        <v>333</v>
      </c>
      <c r="C2209" t="s">
        <v>334</v>
      </c>
      <c r="D2209" t="s">
        <v>15</v>
      </c>
      <c r="E2209" t="s">
        <v>3955</v>
      </c>
      <c r="F2209" s="3">
        <v>420000</v>
      </c>
      <c r="G2209" s="2">
        <f t="shared" si="68"/>
        <v>10</v>
      </c>
      <c r="H2209" s="2">
        <f t="shared" ca="1" si="69"/>
        <v>78</v>
      </c>
      <c r="I2209" s="4">
        <v>46042</v>
      </c>
      <c r="J2209" s="4">
        <v>46052</v>
      </c>
      <c r="K2209" t="s">
        <v>17</v>
      </c>
      <c r="L2209" t="s">
        <v>317</v>
      </c>
      <c r="M2209" t="s">
        <v>19</v>
      </c>
      <c r="N2209" t="s">
        <v>335</v>
      </c>
      <c r="O2209">
        <v>15</v>
      </c>
    </row>
    <row r="2210" spans="1:15" hidden="1" x14ac:dyDescent="0.25">
      <c r="A2210" t="s">
        <v>2820</v>
      </c>
      <c r="B2210" t="s">
        <v>333</v>
      </c>
      <c r="C2210" t="s">
        <v>334</v>
      </c>
      <c r="D2210" t="s">
        <v>15</v>
      </c>
      <c r="E2210" t="s">
        <v>3956</v>
      </c>
      <c r="F2210" s="3">
        <v>722191</v>
      </c>
      <c r="G2210" s="2">
        <f t="shared" si="68"/>
        <v>15</v>
      </c>
      <c r="H2210" s="2">
        <f t="shared" ca="1" si="69"/>
        <v>78</v>
      </c>
      <c r="I2210" s="4">
        <v>46042</v>
      </c>
      <c r="J2210" s="4">
        <v>46057</v>
      </c>
      <c r="K2210" t="s">
        <v>17</v>
      </c>
      <c r="L2210" t="s">
        <v>317</v>
      </c>
      <c r="M2210" t="s">
        <v>19</v>
      </c>
      <c r="N2210" t="s">
        <v>335</v>
      </c>
      <c r="O2210">
        <v>15</v>
      </c>
    </row>
    <row r="2211" spans="1:15" hidden="1" x14ac:dyDescent="0.25">
      <c r="A2211" t="s">
        <v>2820</v>
      </c>
      <c r="B2211" t="s">
        <v>326</v>
      </c>
      <c r="C2211" t="s">
        <v>327</v>
      </c>
      <c r="D2211" t="s">
        <v>15</v>
      </c>
      <c r="E2211" t="s">
        <v>3957</v>
      </c>
      <c r="F2211" s="3">
        <v>583800</v>
      </c>
      <c r="G2211" s="2">
        <f t="shared" si="68"/>
        <v>10</v>
      </c>
      <c r="H2211" s="2">
        <f t="shared" ca="1" si="69"/>
        <v>78</v>
      </c>
      <c r="I2211" s="4">
        <v>46042</v>
      </c>
      <c r="J2211" s="4">
        <v>46052</v>
      </c>
      <c r="K2211" t="s">
        <v>17</v>
      </c>
      <c r="L2211" t="s">
        <v>312</v>
      </c>
      <c r="M2211" t="s">
        <v>19</v>
      </c>
      <c r="N2211" t="s">
        <v>328</v>
      </c>
      <c r="O2211">
        <v>30</v>
      </c>
    </row>
    <row r="2212" spans="1:15" hidden="1" x14ac:dyDescent="0.25">
      <c r="A2212" t="s">
        <v>2820</v>
      </c>
      <c r="B2212" t="s">
        <v>3409</v>
      </c>
      <c r="C2212" t="s">
        <v>3410</v>
      </c>
      <c r="D2212" t="s">
        <v>15</v>
      </c>
      <c r="E2212" t="s">
        <v>3958</v>
      </c>
      <c r="F2212" s="3">
        <v>428000</v>
      </c>
      <c r="G2212" s="2">
        <f t="shared" si="68"/>
        <v>10</v>
      </c>
      <c r="H2212" s="2">
        <f t="shared" ca="1" si="69"/>
        <v>78</v>
      </c>
      <c r="I2212" s="4">
        <v>46042</v>
      </c>
      <c r="J2212" s="4">
        <v>46052</v>
      </c>
      <c r="K2212" t="s">
        <v>17</v>
      </c>
      <c r="L2212" t="s">
        <v>317</v>
      </c>
      <c r="M2212" t="s">
        <v>19</v>
      </c>
      <c r="N2212" t="s">
        <v>3412</v>
      </c>
      <c r="O2212">
        <v>30</v>
      </c>
    </row>
    <row r="2213" spans="1:15" hidden="1" x14ac:dyDescent="0.25">
      <c r="A2213" t="s">
        <v>2820</v>
      </c>
      <c r="B2213" t="s">
        <v>1979</v>
      </c>
      <c r="C2213" t="s">
        <v>1980</v>
      </c>
      <c r="D2213" t="s">
        <v>844</v>
      </c>
      <c r="E2213" t="s">
        <v>3987</v>
      </c>
      <c r="F2213" s="3">
        <v>9214307</v>
      </c>
      <c r="G2213" s="2">
        <f t="shared" si="68"/>
        <v>30</v>
      </c>
      <c r="H2213" s="2">
        <f t="shared" ca="1" si="69"/>
        <v>78</v>
      </c>
      <c r="I2213" s="4">
        <v>46042</v>
      </c>
      <c r="J2213" s="4">
        <v>46072</v>
      </c>
      <c r="K2213" t="s">
        <v>845</v>
      </c>
      <c r="L2213" t="s">
        <v>18</v>
      </c>
      <c r="M2213" t="s">
        <v>19</v>
      </c>
      <c r="N2213" t="s">
        <v>1981</v>
      </c>
      <c r="O2213">
        <v>30</v>
      </c>
    </row>
    <row r="2214" spans="1:15" hidden="1" x14ac:dyDescent="0.25">
      <c r="A2214" t="s">
        <v>2820</v>
      </c>
      <c r="B2214" t="s">
        <v>1979</v>
      </c>
      <c r="C2214" t="s">
        <v>1980</v>
      </c>
      <c r="D2214" t="s">
        <v>844</v>
      </c>
      <c r="E2214" t="s">
        <v>3988</v>
      </c>
      <c r="F2214" s="3">
        <v>2</v>
      </c>
      <c r="G2214" s="2">
        <f t="shared" si="68"/>
        <v>30</v>
      </c>
      <c r="H2214" s="2">
        <f t="shared" ca="1" si="69"/>
        <v>78</v>
      </c>
      <c r="I2214" s="4">
        <v>46042</v>
      </c>
      <c r="J2214" s="4">
        <v>46072</v>
      </c>
      <c r="K2214" t="s">
        <v>845</v>
      </c>
      <c r="L2214" t="s">
        <v>18</v>
      </c>
      <c r="M2214" t="s">
        <v>19</v>
      </c>
      <c r="N2214" t="s">
        <v>1981</v>
      </c>
      <c r="O2214">
        <v>30</v>
      </c>
    </row>
    <row r="2215" spans="1:15" hidden="1" x14ac:dyDescent="0.25">
      <c r="A2215" t="s">
        <v>2820</v>
      </c>
      <c r="B2215" t="s">
        <v>961</v>
      </c>
      <c r="C2215" t="s">
        <v>962</v>
      </c>
      <c r="D2215" t="s">
        <v>916</v>
      </c>
      <c r="E2215" t="s">
        <v>3989</v>
      </c>
      <c r="F2215" s="3">
        <v>428000</v>
      </c>
      <c r="G2215" s="2">
        <f t="shared" si="68"/>
        <v>30</v>
      </c>
      <c r="H2215" s="2">
        <f t="shared" ca="1" si="69"/>
        <v>78</v>
      </c>
      <c r="I2215" s="4">
        <v>46042</v>
      </c>
      <c r="J2215" s="4">
        <v>46072</v>
      </c>
      <c r="K2215" t="s">
        <v>918</v>
      </c>
      <c r="L2215" t="s">
        <v>312</v>
      </c>
      <c r="M2215" t="s">
        <v>19</v>
      </c>
      <c r="N2215" t="s">
        <v>963</v>
      </c>
      <c r="O2215">
        <v>30</v>
      </c>
    </row>
    <row r="2216" spans="1:15" hidden="1" x14ac:dyDescent="0.25">
      <c r="A2216" t="s">
        <v>2820</v>
      </c>
      <c r="B2216" t="s">
        <v>931</v>
      </c>
      <c r="C2216" t="s">
        <v>932</v>
      </c>
      <c r="D2216" t="s">
        <v>916</v>
      </c>
      <c r="E2216" t="s">
        <v>3993</v>
      </c>
      <c r="F2216" s="3">
        <v>412951</v>
      </c>
      <c r="G2216" s="2">
        <f t="shared" si="68"/>
        <v>30</v>
      </c>
      <c r="H2216" s="2">
        <f t="shared" ca="1" si="69"/>
        <v>78</v>
      </c>
      <c r="I2216" s="4">
        <v>46042</v>
      </c>
      <c r="J2216" s="4">
        <v>46072</v>
      </c>
      <c r="K2216" t="s">
        <v>918</v>
      </c>
      <c r="L2216" t="s">
        <v>312</v>
      </c>
      <c r="M2216" t="s">
        <v>19</v>
      </c>
      <c r="N2216" t="s">
        <v>933</v>
      </c>
      <c r="O2216">
        <v>30</v>
      </c>
    </row>
    <row r="2217" spans="1:15" hidden="1" x14ac:dyDescent="0.25">
      <c r="A2217" t="s">
        <v>2820</v>
      </c>
      <c r="B2217" t="s">
        <v>964</v>
      </c>
      <c r="C2217" t="s">
        <v>965</v>
      </c>
      <c r="D2217" t="s">
        <v>916</v>
      </c>
      <c r="E2217" t="s">
        <v>3997</v>
      </c>
      <c r="F2217" s="3">
        <v>227901</v>
      </c>
      <c r="G2217" s="2">
        <f t="shared" si="68"/>
        <v>15</v>
      </c>
      <c r="H2217" s="2">
        <f t="shared" ca="1" si="69"/>
        <v>78</v>
      </c>
      <c r="I2217" s="4">
        <v>46042</v>
      </c>
      <c r="J2217" s="4">
        <v>46057</v>
      </c>
      <c r="K2217" t="s">
        <v>918</v>
      </c>
      <c r="L2217" t="s">
        <v>312</v>
      </c>
      <c r="M2217" t="s">
        <v>19</v>
      </c>
      <c r="N2217" t="s">
        <v>966</v>
      </c>
      <c r="O2217">
        <v>30</v>
      </c>
    </row>
    <row r="2218" spans="1:15" hidden="1" x14ac:dyDescent="0.25">
      <c r="A2218" t="s">
        <v>2820</v>
      </c>
      <c r="B2218" t="s">
        <v>3998</v>
      </c>
      <c r="C2218" t="s">
        <v>3999</v>
      </c>
      <c r="D2218" t="s">
        <v>916</v>
      </c>
      <c r="E2218" t="s">
        <v>4000</v>
      </c>
      <c r="F2218" s="3">
        <v>229923</v>
      </c>
      <c r="G2218" s="2">
        <f t="shared" si="68"/>
        <v>1</v>
      </c>
      <c r="H2218" s="2">
        <f t="shared" ca="1" si="69"/>
        <v>78</v>
      </c>
      <c r="I2218" s="4">
        <v>46042</v>
      </c>
      <c r="J2218" s="4">
        <v>46043</v>
      </c>
      <c r="K2218" t="s">
        <v>918</v>
      </c>
      <c r="L2218" t="s">
        <v>312</v>
      </c>
      <c r="M2218" t="s">
        <v>19</v>
      </c>
      <c r="N2218" t="s">
        <v>4001</v>
      </c>
      <c r="O2218">
        <v>1</v>
      </c>
    </row>
    <row r="2219" spans="1:15" hidden="1" x14ac:dyDescent="0.25">
      <c r="A2219" t="s">
        <v>2820</v>
      </c>
      <c r="B2219" t="s">
        <v>970</v>
      </c>
      <c r="C2219" t="s">
        <v>971</v>
      </c>
      <c r="D2219" t="s">
        <v>916</v>
      </c>
      <c r="E2219" t="s">
        <v>4002</v>
      </c>
      <c r="F2219" s="3">
        <v>574368</v>
      </c>
      <c r="G2219" s="2">
        <f t="shared" si="68"/>
        <v>30</v>
      </c>
      <c r="H2219" s="2">
        <f t="shared" ca="1" si="69"/>
        <v>78</v>
      </c>
      <c r="I2219" s="4">
        <v>46042</v>
      </c>
      <c r="J2219" s="4">
        <v>46072</v>
      </c>
      <c r="K2219" t="s">
        <v>918</v>
      </c>
      <c r="L2219" t="s">
        <v>312</v>
      </c>
      <c r="M2219" t="s">
        <v>19</v>
      </c>
      <c r="N2219" t="s">
        <v>972</v>
      </c>
      <c r="O2219">
        <v>30</v>
      </c>
    </row>
    <row r="2220" spans="1:15" hidden="1" x14ac:dyDescent="0.25">
      <c r="A2220" t="s">
        <v>2820</v>
      </c>
      <c r="B2220" t="s">
        <v>967</v>
      </c>
      <c r="C2220" t="s">
        <v>968</v>
      </c>
      <c r="D2220" t="s">
        <v>930</v>
      </c>
      <c r="E2220" t="s">
        <v>4003</v>
      </c>
      <c r="F2220" s="3">
        <v>328197</v>
      </c>
      <c r="G2220" s="2">
        <f t="shared" si="68"/>
        <v>30</v>
      </c>
      <c r="H2220" s="2">
        <f t="shared" ca="1" si="69"/>
        <v>78</v>
      </c>
      <c r="I2220" s="4">
        <v>46042</v>
      </c>
      <c r="J2220" s="4">
        <v>46072</v>
      </c>
      <c r="K2220" t="s">
        <v>918</v>
      </c>
      <c r="L2220" t="s">
        <v>312</v>
      </c>
      <c r="M2220" t="s">
        <v>19</v>
      </c>
      <c r="N2220" t="s">
        <v>969</v>
      </c>
      <c r="O2220">
        <v>30</v>
      </c>
    </row>
    <row r="2221" spans="1:15" hidden="1" x14ac:dyDescent="0.25">
      <c r="A2221" t="s">
        <v>2820</v>
      </c>
      <c r="B2221" t="s">
        <v>1910</v>
      </c>
      <c r="C2221" t="s">
        <v>1911</v>
      </c>
      <c r="D2221" t="s">
        <v>916</v>
      </c>
      <c r="E2221" t="s">
        <v>4008</v>
      </c>
      <c r="F2221" s="3">
        <v>219399</v>
      </c>
      <c r="G2221" s="2">
        <f t="shared" si="68"/>
        <v>30</v>
      </c>
      <c r="H2221" s="2">
        <f t="shared" ca="1" si="69"/>
        <v>78</v>
      </c>
      <c r="I2221" s="4">
        <v>46042</v>
      </c>
      <c r="J2221" s="4">
        <v>46072</v>
      </c>
      <c r="K2221" t="s">
        <v>918</v>
      </c>
      <c r="L2221" t="s">
        <v>312</v>
      </c>
      <c r="M2221" t="s">
        <v>19</v>
      </c>
      <c r="N2221" t="s">
        <v>1912</v>
      </c>
      <c r="O2221">
        <v>30</v>
      </c>
    </row>
    <row r="2222" spans="1:15" hidden="1" x14ac:dyDescent="0.25">
      <c r="A2222" t="s">
        <v>2820</v>
      </c>
      <c r="B2222" t="s">
        <v>2069</v>
      </c>
      <c r="C2222" t="s">
        <v>2070</v>
      </c>
      <c r="D2222" t="s">
        <v>916</v>
      </c>
      <c r="E2222" t="s">
        <v>4011</v>
      </c>
      <c r="F2222" s="3">
        <v>444392</v>
      </c>
      <c r="G2222" s="2">
        <f t="shared" si="68"/>
        <v>15</v>
      </c>
      <c r="H2222" s="2">
        <f t="shared" ca="1" si="69"/>
        <v>78</v>
      </c>
      <c r="I2222" s="4">
        <v>46042</v>
      </c>
      <c r="J2222" s="4">
        <v>46057</v>
      </c>
      <c r="K2222" t="s">
        <v>918</v>
      </c>
      <c r="L2222" t="s">
        <v>312</v>
      </c>
      <c r="M2222" t="s">
        <v>19</v>
      </c>
      <c r="N2222" t="s">
        <v>2071</v>
      </c>
      <c r="O2222">
        <v>30</v>
      </c>
    </row>
    <row r="2223" spans="1:15" hidden="1" x14ac:dyDescent="0.25">
      <c r="A2223" t="s">
        <v>2820</v>
      </c>
      <c r="B2223" t="s">
        <v>2069</v>
      </c>
      <c r="C2223" t="s">
        <v>2070</v>
      </c>
      <c r="D2223" t="s">
        <v>916</v>
      </c>
      <c r="E2223" t="s">
        <v>4012</v>
      </c>
      <c r="F2223" s="3">
        <v>428178</v>
      </c>
      <c r="G2223" s="2">
        <f t="shared" si="68"/>
        <v>30</v>
      </c>
      <c r="H2223" s="2">
        <f t="shared" ca="1" si="69"/>
        <v>78</v>
      </c>
      <c r="I2223" s="4">
        <v>46042</v>
      </c>
      <c r="J2223" s="4">
        <v>46072</v>
      </c>
      <c r="K2223" t="s">
        <v>918</v>
      </c>
      <c r="L2223" t="s">
        <v>312</v>
      </c>
      <c r="M2223" t="s">
        <v>19</v>
      </c>
      <c r="N2223" t="s">
        <v>2071</v>
      </c>
      <c r="O2223">
        <v>30</v>
      </c>
    </row>
    <row r="2224" spans="1:15" hidden="1" x14ac:dyDescent="0.25">
      <c r="A2224" t="s">
        <v>2820</v>
      </c>
      <c r="B2224" t="s">
        <v>4013</v>
      </c>
      <c r="C2224" t="s">
        <v>4014</v>
      </c>
      <c r="D2224" t="s">
        <v>916</v>
      </c>
      <c r="E2224" t="s">
        <v>4015</v>
      </c>
      <c r="F2224" s="3">
        <v>1366302</v>
      </c>
      <c r="G2224" s="2">
        <f t="shared" si="68"/>
        <v>30</v>
      </c>
      <c r="H2224" s="2">
        <f t="shared" ca="1" si="69"/>
        <v>78</v>
      </c>
      <c r="I2224" s="4">
        <v>46042</v>
      </c>
      <c r="J2224" s="4">
        <v>46072</v>
      </c>
      <c r="K2224" t="s">
        <v>918</v>
      </c>
      <c r="L2224" t="s">
        <v>312</v>
      </c>
      <c r="M2224" t="s">
        <v>19</v>
      </c>
      <c r="N2224" t="s">
        <v>4016</v>
      </c>
      <c r="O2224">
        <v>30</v>
      </c>
    </row>
    <row r="2225" spans="1:15" hidden="1" x14ac:dyDescent="0.25">
      <c r="A2225" t="s">
        <v>2820</v>
      </c>
      <c r="B2225" t="s">
        <v>4013</v>
      </c>
      <c r="C2225" t="s">
        <v>4014</v>
      </c>
      <c r="D2225" t="s">
        <v>916</v>
      </c>
      <c r="E2225" t="s">
        <v>4017</v>
      </c>
      <c r="F2225" s="3">
        <v>889587</v>
      </c>
      <c r="G2225" s="2">
        <f t="shared" si="68"/>
        <v>30</v>
      </c>
      <c r="H2225" s="2">
        <f t="shared" ca="1" si="69"/>
        <v>78</v>
      </c>
      <c r="I2225" s="4">
        <v>46042</v>
      </c>
      <c r="J2225" s="4">
        <v>46072</v>
      </c>
      <c r="K2225" t="s">
        <v>918</v>
      </c>
      <c r="L2225" t="s">
        <v>312</v>
      </c>
      <c r="M2225" t="s">
        <v>19</v>
      </c>
      <c r="N2225" t="s">
        <v>4016</v>
      </c>
      <c r="O2225">
        <v>30</v>
      </c>
    </row>
    <row r="2226" spans="1:15" hidden="1" x14ac:dyDescent="0.25">
      <c r="A2226" t="s">
        <v>2820</v>
      </c>
      <c r="B2226" t="s">
        <v>2297</v>
      </c>
      <c r="C2226" t="s">
        <v>2298</v>
      </c>
      <c r="D2226" t="s">
        <v>916</v>
      </c>
      <c r="E2226" t="s">
        <v>4018</v>
      </c>
      <c r="F2226" s="3">
        <v>95867</v>
      </c>
      <c r="G2226" s="2">
        <f t="shared" si="68"/>
        <v>15</v>
      </c>
      <c r="H2226" s="2">
        <f t="shared" ca="1" si="69"/>
        <v>78</v>
      </c>
      <c r="I2226" s="4">
        <v>46042</v>
      </c>
      <c r="J2226" s="4">
        <v>46057</v>
      </c>
      <c r="K2226" t="s">
        <v>918</v>
      </c>
      <c r="L2226" t="s">
        <v>312</v>
      </c>
      <c r="M2226" t="s">
        <v>19</v>
      </c>
      <c r="N2226" t="s">
        <v>2299</v>
      </c>
      <c r="O2226">
        <v>15</v>
      </c>
    </row>
    <row r="2227" spans="1:15" hidden="1" x14ac:dyDescent="0.25">
      <c r="A2227" t="s">
        <v>2820</v>
      </c>
      <c r="B2227" t="s">
        <v>1932</v>
      </c>
      <c r="C2227" t="s">
        <v>1933</v>
      </c>
      <c r="D2227" t="s">
        <v>916</v>
      </c>
      <c r="E2227" t="s">
        <v>4019</v>
      </c>
      <c r="F2227" s="3">
        <v>428000</v>
      </c>
      <c r="G2227" s="2">
        <f t="shared" si="68"/>
        <v>30</v>
      </c>
      <c r="H2227" s="2">
        <f t="shared" ca="1" si="69"/>
        <v>78</v>
      </c>
      <c r="I2227" s="4">
        <v>46042</v>
      </c>
      <c r="J2227" s="4">
        <v>46072</v>
      </c>
      <c r="K2227" t="s">
        <v>918</v>
      </c>
      <c r="L2227" t="s">
        <v>312</v>
      </c>
      <c r="M2227" t="s">
        <v>19</v>
      </c>
      <c r="N2227" t="s">
        <v>1934</v>
      </c>
      <c r="O2227">
        <v>30</v>
      </c>
    </row>
    <row r="2228" spans="1:15" hidden="1" x14ac:dyDescent="0.25">
      <c r="A2228" t="s">
        <v>2820</v>
      </c>
      <c r="B2228" t="s">
        <v>934</v>
      </c>
      <c r="C2228" t="s">
        <v>935</v>
      </c>
      <c r="D2228" t="s">
        <v>930</v>
      </c>
      <c r="E2228" t="s">
        <v>4023</v>
      </c>
      <c r="F2228" s="3">
        <v>1046246</v>
      </c>
      <c r="G2228" s="2">
        <f t="shared" si="68"/>
        <v>30</v>
      </c>
      <c r="H2228" s="2">
        <f t="shared" ca="1" si="69"/>
        <v>78</v>
      </c>
      <c r="I2228" s="4">
        <v>46042</v>
      </c>
      <c r="J2228" s="4">
        <v>46072</v>
      </c>
      <c r="K2228" t="s">
        <v>918</v>
      </c>
      <c r="L2228" t="s">
        <v>312</v>
      </c>
      <c r="M2228" t="s">
        <v>19</v>
      </c>
      <c r="N2228" t="s">
        <v>936</v>
      </c>
      <c r="O2228">
        <v>30</v>
      </c>
    </row>
    <row r="2229" spans="1:15" hidden="1" x14ac:dyDescent="0.25">
      <c r="A2229" t="s">
        <v>2820</v>
      </c>
      <c r="B2229" t="s">
        <v>934</v>
      </c>
      <c r="C2229" t="s">
        <v>935</v>
      </c>
      <c r="D2229" t="s">
        <v>930</v>
      </c>
      <c r="E2229" t="s">
        <v>4024</v>
      </c>
      <c r="F2229" s="3">
        <v>562166</v>
      </c>
      <c r="G2229" s="2">
        <f t="shared" si="68"/>
        <v>15</v>
      </c>
      <c r="H2229" s="2">
        <f t="shared" ca="1" si="69"/>
        <v>78</v>
      </c>
      <c r="I2229" s="4">
        <v>46042</v>
      </c>
      <c r="J2229" s="4">
        <v>46057</v>
      </c>
      <c r="K2229" t="s">
        <v>918</v>
      </c>
      <c r="L2229" t="s">
        <v>312</v>
      </c>
      <c r="M2229" t="s">
        <v>19</v>
      </c>
      <c r="N2229" t="s">
        <v>936</v>
      </c>
      <c r="O2229">
        <v>30</v>
      </c>
    </row>
    <row r="2230" spans="1:15" hidden="1" x14ac:dyDescent="0.25">
      <c r="A2230" t="s">
        <v>2820</v>
      </c>
      <c r="B2230" t="s">
        <v>955</v>
      </c>
      <c r="C2230" t="s">
        <v>956</v>
      </c>
      <c r="D2230" t="s">
        <v>916</v>
      </c>
      <c r="E2230" t="s">
        <v>4025</v>
      </c>
      <c r="F2230" s="3">
        <v>294677</v>
      </c>
      <c r="G2230" s="2">
        <f t="shared" si="68"/>
        <v>30</v>
      </c>
      <c r="H2230" s="2">
        <f t="shared" ca="1" si="69"/>
        <v>78</v>
      </c>
      <c r="I2230" s="4">
        <v>46042</v>
      </c>
      <c r="J2230" s="4">
        <v>46072</v>
      </c>
      <c r="K2230" t="s">
        <v>918</v>
      </c>
      <c r="L2230" t="s">
        <v>312</v>
      </c>
      <c r="M2230" t="s">
        <v>19</v>
      </c>
      <c r="N2230" t="s">
        <v>957</v>
      </c>
      <c r="O2230">
        <v>30</v>
      </c>
    </row>
    <row r="2231" spans="1:15" hidden="1" x14ac:dyDescent="0.25">
      <c r="A2231" t="s">
        <v>2820</v>
      </c>
      <c r="B2231" t="s">
        <v>937</v>
      </c>
      <c r="C2231" t="s">
        <v>938</v>
      </c>
      <c r="D2231" t="s">
        <v>930</v>
      </c>
      <c r="E2231" t="s">
        <v>4026</v>
      </c>
      <c r="F2231" s="3">
        <v>1232461</v>
      </c>
      <c r="G2231" s="2">
        <f t="shared" si="68"/>
        <v>30</v>
      </c>
      <c r="H2231" s="2">
        <f t="shared" ca="1" si="69"/>
        <v>78</v>
      </c>
      <c r="I2231" s="4">
        <v>46042</v>
      </c>
      <c r="J2231" s="4">
        <v>46072</v>
      </c>
      <c r="K2231" t="s">
        <v>918</v>
      </c>
      <c r="L2231" t="s">
        <v>312</v>
      </c>
      <c r="M2231" t="s">
        <v>19</v>
      </c>
      <c r="N2231" t="s">
        <v>939</v>
      </c>
      <c r="O2231">
        <v>30</v>
      </c>
    </row>
    <row r="2232" spans="1:15" hidden="1" x14ac:dyDescent="0.25">
      <c r="A2232" t="s">
        <v>2820</v>
      </c>
      <c r="B2232" t="s">
        <v>1129</v>
      </c>
      <c r="C2232" t="s">
        <v>1130</v>
      </c>
      <c r="D2232" t="s">
        <v>1066</v>
      </c>
      <c r="E2232" t="s">
        <v>4029</v>
      </c>
      <c r="F2232" s="3">
        <v>4960426</v>
      </c>
      <c r="G2232" s="2">
        <f t="shared" si="68"/>
        <v>15</v>
      </c>
      <c r="H2232" s="2">
        <f t="shared" ca="1" si="69"/>
        <v>78</v>
      </c>
      <c r="I2232" s="4">
        <v>46042</v>
      </c>
      <c r="J2232" s="4">
        <v>46057</v>
      </c>
      <c r="K2232" t="s">
        <v>1068</v>
      </c>
      <c r="L2232" t="s">
        <v>321</v>
      </c>
      <c r="M2232" t="s">
        <v>19</v>
      </c>
      <c r="N2232" t="s">
        <v>1131</v>
      </c>
      <c r="O2232">
        <v>15</v>
      </c>
    </row>
    <row r="2233" spans="1:15" hidden="1" x14ac:dyDescent="0.25">
      <c r="A2233" t="s">
        <v>2820</v>
      </c>
      <c r="B2233" t="s">
        <v>1129</v>
      </c>
      <c r="C2233" t="s">
        <v>1130</v>
      </c>
      <c r="D2233" t="s">
        <v>1066</v>
      </c>
      <c r="E2233" t="s">
        <v>4030</v>
      </c>
      <c r="F2233" s="3">
        <v>628781</v>
      </c>
      <c r="G2233" s="2">
        <f t="shared" si="68"/>
        <v>15</v>
      </c>
      <c r="H2233" s="2">
        <f t="shared" ca="1" si="69"/>
        <v>78</v>
      </c>
      <c r="I2233" s="4">
        <v>46042</v>
      </c>
      <c r="J2233" s="4">
        <v>46057</v>
      </c>
      <c r="K2233" t="s">
        <v>1068</v>
      </c>
      <c r="L2233" t="s">
        <v>321</v>
      </c>
      <c r="M2233" t="s">
        <v>19</v>
      </c>
      <c r="N2233" t="s">
        <v>1131</v>
      </c>
      <c r="O2233">
        <v>15</v>
      </c>
    </row>
    <row r="2234" spans="1:15" hidden="1" x14ac:dyDescent="0.25">
      <c r="A2234" t="s">
        <v>2820</v>
      </c>
      <c r="B2234" t="s">
        <v>2449</v>
      </c>
      <c r="C2234" t="s">
        <v>2450</v>
      </c>
      <c r="D2234" t="s">
        <v>1066</v>
      </c>
      <c r="E2234" t="s">
        <v>4065</v>
      </c>
      <c r="F2234" s="3">
        <v>445720</v>
      </c>
      <c r="G2234" s="2">
        <f t="shared" si="68"/>
        <v>8</v>
      </c>
      <c r="H2234" s="2">
        <f t="shared" ca="1" si="69"/>
        <v>78</v>
      </c>
      <c r="I2234" s="4">
        <v>46042</v>
      </c>
      <c r="J2234" s="4">
        <v>46050</v>
      </c>
      <c r="K2234" t="s">
        <v>1068</v>
      </c>
      <c r="L2234" t="s">
        <v>321</v>
      </c>
      <c r="M2234" t="s">
        <v>19</v>
      </c>
      <c r="N2234" t="s">
        <v>2451</v>
      </c>
      <c r="O2234">
        <v>8</v>
      </c>
    </row>
    <row r="2235" spans="1:15" hidden="1" x14ac:dyDescent="0.25">
      <c r="A2235" t="s">
        <v>2820</v>
      </c>
      <c r="B2235" t="s">
        <v>1104</v>
      </c>
      <c r="C2235" t="s">
        <v>1105</v>
      </c>
      <c r="D2235" t="s">
        <v>1066</v>
      </c>
      <c r="E2235" t="s">
        <v>4066</v>
      </c>
      <c r="F2235" s="3">
        <v>1754034</v>
      </c>
      <c r="G2235" s="2">
        <f t="shared" si="68"/>
        <v>15</v>
      </c>
      <c r="H2235" s="2">
        <f t="shared" ca="1" si="69"/>
        <v>78</v>
      </c>
      <c r="I2235" s="4">
        <v>46042</v>
      </c>
      <c r="J2235" s="4">
        <v>46057</v>
      </c>
      <c r="K2235" t="s">
        <v>1068</v>
      </c>
      <c r="L2235" t="s">
        <v>321</v>
      </c>
      <c r="M2235" t="s">
        <v>19</v>
      </c>
      <c r="N2235" t="s">
        <v>1106</v>
      </c>
      <c r="O2235">
        <v>30</v>
      </c>
    </row>
    <row r="2236" spans="1:15" hidden="1" x14ac:dyDescent="0.25">
      <c r="A2236" t="s">
        <v>2820</v>
      </c>
      <c r="B2236" t="s">
        <v>1104</v>
      </c>
      <c r="C2236" t="s">
        <v>1105</v>
      </c>
      <c r="D2236" t="s">
        <v>1066</v>
      </c>
      <c r="E2236" t="s">
        <v>4067</v>
      </c>
      <c r="F2236" s="3">
        <v>1172663</v>
      </c>
      <c r="G2236" s="2">
        <f t="shared" si="68"/>
        <v>15</v>
      </c>
      <c r="H2236" s="2">
        <f t="shared" ca="1" si="69"/>
        <v>78</v>
      </c>
      <c r="I2236" s="4">
        <v>46042</v>
      </c>
      <c r="J2236" s="4">
        <v>46057</v>
      </c>
      <c r="K2236" t="s">
        <v>1068</v>
      </c>
      <c r="L2236" t="s">
        <v>321</v>
      </c>
      <c r="M2236" t="s">
        <v>19</v>
      </c>
      <c r="N2236" t="s">
        <v>1106</v>
      </c>
      <c r="O2236">
        <v>30</v>
      </c>
    </row>
    <row r="2237" spans="1:15" hidden="1" x14ac:dyDescent="0.25">
      <c r="A2237" t="s">
        <v>2820</v>
      </c>
      <c r="B2237" t="s">
        <v>2289</v>
      </c>
      <c r="C2237" t="s">
        <v>2290</v>
      </c>
      <c r="D2237" t="s">
        <v>1118</v>
      </c>
      <c r="E2237" t="s">
        <v>4079</v>
      </c>
      <c r="F2237" s="3">
        <v>153596</v>
      </c>
      <c r="G2237" s="2">
        <f t="shared" si="68"/>
        <v>30</v>
      </c>
      <c r="H2237" s="2">
        <f t="shared" ca="1" si="69"/>
        <v>78</v>
      </c>
      <c r="I2237" s="4">
        <v>46042</v>
      </c>
      <c r="J2237" s="4">
        <v>46072</v>
      </c>
      <c r="K2237" t="s">
        <v>1144</v>
      </c>
      <c r="L2237" t="s">
        <v>207</v>
      </c>
      <c r="M2237" t="s">
        <v>19</v>
      </c>
      <c r="N2237" t="s">
        <v>2291</v>
      </c>
      <c r="O2237">
        <v>30</v>
      </c>
    </row>
    <row r="2238" spans="1:15" hidden="1" x14ac:dyDescent="0.25">
      <c r="A2238" t="s">
        <v>2820</v>
      </c>
      <c r="B2238" t="s">
        <v>1146</v>
      </c>
      <c r="C2238" t="s">
        <v>1147</v>
      </c>
      <c r="D2238" t="s">
        <v>1118</v>
      </c>
      <c r="E2238" t="s">
        <v>4080</v>
      </c>
      <c r="F2238" s="3">
        <v>3193974</v>
      </c>
      <c r="G2238" s="2">
        <f t="shared" si="68"/>
        <v>30</v>
      </c>
      <c r="H2238" s="2">
        <f t="shared" ca="1" si="69"/>
        <v>78</v>
      </c>
      <c r="I2238" s="4">
        <v>46042</v>
      </c>
      <c r="J2238" s="4">
        <v>46072</v>
      </c>
      <c r="K2238" t="s">
        <v>1144</v>
      </c>
      <c r="L2238" t="s">
        <v>207</v>
      </c>
      <c r="M2238" t="s">
        <v>19</v>
      </c>
      <c r="N2238" t="s">
        <v>1148</v>
      </c>
      <c r="O2238">
        <v>30</v>
      </c>
    </row>
    <row r="2239" spans="1:15" hidden="1" x14ac:dyDescent="0.25">
      <c r="A2239" t="s">
        <v>2820</v>
      </c>
      <c r="B2239" t="s">
        <v>1146</v>
      </c>
      <c r="C2239" t="s">
        <v>1147</v>
      </c>
      <c r="D2239" t="s">
        <v>1118</v>
      </c>
      <c r="E2239" t="s">
        <v>4081</v>
      </c>
      <c r="F2239" s="3">
        <v>1657947</v>
      </c>
      <c r="G2239" s="2">
        <f t="shared" si="68"/>
        <v>30</v>
      </c>
      <c r="H2239" s="2">
        <f t="shared" ca="1" si="69"/>
        <v>78</v>
      </c>
      <c r="I2239" s="4">
        <v>46042</v>
      </c>
      <c r="J2239" s="4">
        <v>46072</v>
      </c>
      <c r="K2239" t="s">
        <v>1144</v>
      </c>
      <c r="L2239" t="s">
        <v>207</v>
      </c>
      <c r="M2239" t="s">
        <v>19</v>
      </c>
      <c r="N2239" t="s">
        <v>1148</v>
      </c>
      <c r="O2239">
        <v>30</v>
      </c>
    </row>
    <row r="2240" spans="1:15" hidden="1" x14ac:dyDescent="0.25">
      <c r="A2240" t="s">
        <v>2820</v>
      </c>
      <c r="B2240" t="s">
        <v>1308</v>
      </c>
      <c r="C2240" t="s">
        <v>1309</v>
      </c>
      <c r="D2240" t="s">
        <v>1299</v>
      </c>
      <c r="E2240" t="s">
        <v>4089</v>
      </c>
      <c r="F2240" s="3">
        <v>646044</v>
      </c>
      <c r="G2240" s="2">
        <f t="shared" si="68"/>
        <v>30</v>
      </c>
      <c r="H2240" s="2">
        <f t="shared" ca="1" si="69"/>
        <v>78</v>
      </c>
      <c r="I2240" s="4">
        <v>46042</v>
      </c>
      <c r="J2240" s="4">
        <v>46072</v>
      </c>
      <c r="K2240" t="s">
        <v>1300</v>
      </c>
      <c r="L2240" t="s">
        <v>90</v>
      </c>
      <c r="M2240" t="s">
        <v>19</v>
      </c>
      <c r="N2240" t="s">
        <v>1310</v>
      </c>
      <c r="O2240">
        <v>30</v>
      </c>
    </row>
    <row r="2241" spans="1:15" hidden="1" x14ac:dyDescent="0.25">
      <c r="A2241" t="s">
        <v>2820</v>
      </c>
      <c r="B2241" t="s">
        <v>1707</v>
      </c>
      <c r="C2241" t="s">
        <v>1708</v>
      </c>
      <c r="D2241" t="s">
        <v>1705</v>
      </c>
      <c r="E2241" t="s">
        <v>4124</v>
      </c>
      <c r="F2241" s="3">
        <v>836589</v>
      </c>
      <c r="G2241" s="2">
        <f t="shared" si="68"/>
        <v>30</v>
      </c>
      <c r="H2241" s="2">
        <f t="shared" ca="1" si="69"/>
        <v>78</v>
      </c>
      <c r="I2241" s="4">
        <v>46042</v>
      </c>
      <c r="J2241" s="4">
        <v>46072</v>
      </c>
      <c r="K2241" t="s">
        <v>1706</v>
      </c>
      <c r="L2241" t="s">
        <v>90</v>
      </c>
      <c r="M2241" t="s">
        <v>19</v>
      </c>
      <c r="N2241" t="s">
        <v>1709</v>
      </c>
      <c r="O2241">
        <v>30</v>
      </c>
    </row>
    <row r="2242" spans="1:15" hidden="1" x14ac:dyDescent="0.25">
      <c r="A2242" t="s">
        <v>2820</v>
      </c>
      <c r="B2242" t="s">
        <v>1719</v>
      </c>
      <c r="C2242" t="s">
        <v>1720</v>
      </c>
      <c r="D2242" t="s">
        <v>1705</v>
      </c>
      <c r="E2242" t="s">
        <v>4125</v>
      </c>
      <c r="F2242" s="3">
        <v>2354642</v>
      </c>
      <c r="G2242" s="2">
        <f t="shared" ref="G2242:G2305" si="70">+J2242-I2242</f>
        <v>30</v>
      </c>
      <c r="H2242" s="2">
        <f t="shared" ref="H2242:H2305" ca="1" si="71">+TODAY()-I2242</f>
        <v>78</v>
      </c>
      <c r="I2242" s="4">
        <v>46042</v>
      </c>
      <c r="J2242" s="4">
        <v>46072</v>
      </c>
      <c r="K2242" t="s">
        <v>1706</v>
      </c>
      <c r="L2242" t="s">
        <v>90</v>
      </c>
      <c r="M2242" t="s">
        <v>19</v>
      </c>
      <c r="N2242" t="s">
        <v>1721</v>
      </c>
      <c r="O2242">
        <v>30</v>
      </c>
    </row>
    <row r="2243" spans="1:15" hidden="1" x14ac:dyDescent="0.25">
      <c r="A2243" t="s">
        <v>2820</v>
      </c>
      <c r="B2243" t="s">
        <v>1719</v>
      </c>
      <c r="C2243" t="s">
        <v>1720</v>
      </c>
      <c r="D2243" t="s">
        <v>1705</v>
      </c>
      <c r="E2243" t="s">
        <v>4126</v>
      </c>
      <c r="F2243" s="3">
        <v>4460016</v>
      </c>
      <c r="G2243" s="2">
        <f t="shared" si="70"/>
        <v>30</v>
      </c>
      <c r="H2243" s="2">
        <f t="shared" ca="1" si="71"/>
        <v>78</v>
      </c>
      <c r="I2243" s="4">
        <v>46042</v>
      </c>
      <c r="J2243" s="4">
        <v>46072</v>
      </c>
      <c r="K2243" t="s">
        <v>1706</v>
      </c>
      <c r="L2243" t="s">
        <v>90</v>
      </c>
      <c r="M2243" t="s">
        <v>19</v>
      </c>
      <c r="N2243" t="s">
        <v>1721</v>
      </c>
      <c r="O2243">
        <v>30</v>
      </c>
    </row>
    <row r="2244" spans="1:15" hidden="1" x14ac:dyDescent="0.25">
      <c r="A2244" t="s">
        <v>2820</v>
      </c>
      <c r="B2244" t="s">
        <v>4127</v>
      </c>
      <c r="C2244" t="s">
        <v>4128</v>
      </c>
      <c r="D2244" t="s">
        <v>1722</v>
      </c>
      <c r="E2244" t="s">
        <v>4129</v>
      </c>
      <c r="F2244" s="3">
        <v>366749</v>
      </c>
      <c r="G2244" s="2">
        <f t="shared" si="70"/>
        <v>30</v>
      </c>
      <c r="H2244" s="2">
        <f t="shared" ca="1" si="71"/>
        <v>78</v>
      </c>
      <c r="I2244" s="4">
        <v>46042</v>
      </c>
      <c r="J2244" s="4">
        <v>46072</v>
      </c>
      <c r="K2244" t="s">
        <v>1706</v>
      </c>
      <c r="L2244" t="s">
        <v>90</v>
      </c>
      <c r="M2244" t="s">
        <v>19</v>
      </c>
      <c r="N2244" t="s">
        <v>4130</v>
      </c>
      <c r="O2244">
        <v>30</v>
      </c>
    </row>
    <row r="2245" spans="1:15" hidden="1" x14ac:dyDescent="0.25">
      <c r="A2245" t="s">
        <v>2820</v>
      </c>
      <c r="B2245" t="s">
        <v>1723</v>
      </c>
      <c r="C2245" t="s">
        <v>1724</v>
      </c>
      <c r="D2245" t="s">
        <v>1705</v>
      </c>
      <c r="E2245" t="s">
        <v>4131</v>
      </c>
      <c r="F2245" s="3">
        <v>1295852</v>
      </c>
      <c r="G2245" s="2">
        <f t="shared" si="70"/>
        <v>30</v>
      </c>
      <c r="H2245" s="2">
        <f t="shared" ca="1" si="71"/>
        <v>78</v>
      </c>
      <c r="I2245" s="4">
        <v>46042</v>
      </c>
      <c r="J2245" s="4">
        <v>46072</v>
      </c>
      <c r="K2245" t="s">
        <v>1706</v>
      </c>
      <c r="L2245" t="s">
        <v>90</v>
      </c>
      <c r="M2245" t="s">
        <v>19</v>
      </c>
      <c r="N2245" t="s">
        <v>1725</v>
      </c>
      <c r="O2245">
        <v>30</v>
      </c>
    </row>
    <row r="2246" spans="1:15" hidden="1" x14ac:dyDescent="0.25">
      <c r="A2246" t="s">
        <v>2820</v>
      </c>
      <c r="B2246" t="s">
        <v>1726</v>
      </c>
      <c r="C2246" t="s">
        <v>1727</v>
      </c>
      <c r="D2246" t="s">
        <v>1705</v>
      </c>
      <c r="E2246" t="s">
        <v>4132</v>
      </c>
      <c r="F2246" s="3">
        <v>1425105</v>
      </c>
      <c r="G2246" s="2">
        <f t="shared" si="70"/>
        <v>30</v>
      </c>
      <c r="H2246" s="2">
        <f t="shared" ca="1" si="71"/>
        <v>78</v>
      </c>
      <c r="I2246" s="4">
        <v>46042</v>
      </c>
      <c r="J2246" s="4">
        <v>46072</v>
      </c>
      <c r="K2246" t="s">
        <v>1706</v>
      </c>
      <c r="L2246" t="s">
        <v>90</v>
      </c>
      <c r="M2246" t="s">
        <v>19</v>
      </c>
      <c r="N2246" t="s">
        <v>1728</v>
      </c>
      <c r="O2246">
        <v>30</v>
      </c>
    </row>
    <row r="2247" spans="1:15" hidden="1" x14ac:dyDescent="0.25">
      <c r="A2247" t="s">
        <v>2820</v>
      </c>
      <c r="B2247" t="s">
        <v>2698</v>
      </c>
      <c r="C2247" t="s">
        <v>2699</v>
      </c>
      <c r="D2247" t="s">
        <v>1722</v>
      </c>
      <c r="E2247" t="s">
        <v>4133</v>
      </c>
      <c r="F2247" s="3">
        <v>432988</v>
      </c>
      <c r="G2247" s="2">
        <f t="shared" si="70"/>
        <v>30</v>
      </c>
      <c r="H2247" s="2">
        <f t="shared" ca="1" si="71"/>
        <v>78</v>
      </c>
      <c r="I2247" s="4">
        <v>46042</v>
      </c>
      <c r="J2247" s="4">
        <v>46072</v>
      </c>
      <c r="K2247" t="s">
        <v>1706</v>
      </c>
      <c r="L2247" t="s">
        <v>90</v>
      </c>
      <c r="M2247" t="s">
        <v>19</v>
      </c>
      <c r="N2247" t="s">
        <v>2701</v>
      </c>
      <c r="O2247">
        <v>0</v>
      </c>
    </row>
    <row r="2248" spans="1:15" hidden="1" x14ac:dyDescent="0.25">
      <c r="A2248" t="s">
        <v>2820</v>
      </c>
      <c r="B2248" t="s">
        <v>1713</v>
      </c>
      <c r="C2248" t="s">
        <v>1714</v>
      </c>
      <c r="D2248" t="s">
        <v>1705</v>
      </c>
      <c r="E2248" t="s">
        <v>4134</v>
      </c>
      <c r="F2248" s="3">
        <v>210370</v>
      </c>
      <c r="G2248" s="2">
        <f t="shared" si="70"/>
        <v>30</v>
      </c>
      <c r="H2248" s="2">
        <f t="shared" ca="1" si="71"/>
        <v>78</v>
      </c>
      <c r="I2248" s="4">
        <v>46042</v>
      </c>
      <c r="J2248" s="4">
        <v>46072</v>
      </c>
      <c r="K2248" t="s">
        <v>1706</v>
      </c>
      <c r="L2248" t="s">
        <v>90</v>
      </c>
      <c r="M2248" t="s">
        <v>19</v>
      </c>
      <c r="N2248" t="s">
        <v>1715</v>
      </c>
      <c r="O2248">
        <v>30</v>
      </c>
    </row>
    <row r="2249" spans="1:15" hidden="1" x14ac:dyDescent="0.25">
      <c r="A2249" t="s">
        <v>2820</v>
      </c>
      <c r="B2249" t="s">
        <v>1713</v>
      </c>
      <c r="C2249" t="s">
        <v>1714</v>
      </c>
      <c r="D2249" t="s">
        <v>1705</v>
      </c>
      <c r="E2249" t="s">
        <v>4135</v>
      </c>
      <c r="F2249" s="3">
        <v>642000</v>
      </c>
      <c r="G2249" s="2">
        <f t="shared" si="70"/>
        <v>30</v>
      </c>
      <c r="H2249" s="2">
        <f t="shared" ca="1" si="71"/>
        <v>78</v>
      </c>
      <c r="I2249" s="4">
        <v>46042</v>
      </c>
      <c r="J2249" s="4">
        <v>46072</v>
      </c>
      <c r="K2249" t="s">
        <v>1706</v>
      </c>
      <c r="L2249" t="s">
        <v>90</v>
      </c>
      <c r="M2249" t="s">
        <v>19</v>
      </c>
      <c r="N2249" t="s">
        <v>1715</v>
      </c>
      <c r="O2249">
        <v>30</v>
      </c>
    </row>
    <row r="2250" spans="1:15" hidden="1" x14ac:dyDescent="0.25">
      <c r="A2250" t="s">
        <v>2820</v>
      </c>
      <c r="B2250" t="s">
        <v>4136</v>
      </c>
      <c r="C2250" t="s">
        <v>4137</v>
      </c>
      <c r="D2250" t="s">
        <v>1722</v>
      </c>
      <c r="E2250" t="s">
        <v>4138</v>
      </c>
      <c r="F2250" s="3">
        <v>536843</v>
      </c>
      <c r="G2250" s="2">
        <f t="shared" si="70"/>
        <v>20</v>
      </c>
      <c r="H2250" s="2">
        <f t="shared" ca="1" si="71"/>
        <v>78</v>
      </c>
      <c r="I2250" s="4">
        <v>46042</v>
      </c>
      <c r="J2250" s="4">
        <v>46062</v>
      </c>
      <c r="K2250" t="s">
        <v>1706</v>
      </c>
      <c r="L2250" t="s">
        <v>90</v>
      </c>
      <c r="M2250" t="s">
        <v>19</v>
      </c>
      <c r="N2250" t="s">
        <v>4139</v>
      </c>
      <c r="O2250">
        <v>30</v>
      </c>
    </row>
    <row r="2251" spans="1:15" hidden="1" x14ac:dyDescent="0.25">
      <c r="A2251" t="s">
        <v>2820</v>
      </c>
      <c r="B2251" t="s">
        <v>1710</v>
      </c>
      <c r="C2251" t="s">
        <v>1711</v>
      </c>
      <c r="D2251" t="s">
        <v>1705</v>
      </c>
      <c r="E2251" t="s">
        <v>4140</v>
      </c>
      <c r="F2251" s="3">
        <v>6635962</v>
      </c>
      <c r="G2251" s="2">
        <f t="shared" si="70"/>
        <v>30</v>
      </c>
      <c r="H2251" s="2">
        <f t="shared" ca="1" si="71"/>
        <v>78</v>
      </c>
      <c r="I2251" s="4">
        <v>46042</v>
      </c>
      <c r="J2251" s="4">
        <v>46072</v>
      </c>
      <c r="K2251" t="s">
        <v>1706</v>
      </c>
      <c r="L2251" t="s">
        <v>90</v>
      </c>
      <c r="M2251" t="s">
        <v>19</v>
      </c>
      <c r="N2251" t="s">
        <v>1712</v>
      </c>
      <c r="O2251">
        <v>30</v>
      </c>
    </row>
    <row r="2252" spans="1:15" hidden="1" x14ac:dyDescent="0.25">
      <c r="A2252" t="s">
        <v>2820</v>
      </c>
      <c r="B2252" t="s">
        <v>52</v>
      </c>
      <c r="C2252" t="s">
        <v>53</v>
      </c>
      <c r="D2252" t="s">
        <v>15</v>
      </c>
      <c r="E2252" t="s">
        <v>3910</v>
      </c>
      <c r="F2252" s="3">
        <v>1356850</v>
      </c>
      <c r="G2252" s="2">
        <f t="shared" si="70"/>
        <v>30</v>
      </c>
      <c r="H2252" s="2">
        <f t="shared" ca="1" si="71"/>
        <v>77</v>
      </c>
      <c r="I2252" s="4">
        <v>46043</v>
      </c>
      <c r="J2252" s="4">
        <v>46073</v>
      </c>
      <c r="K2252" t="s">
        <v>17</v>
      </c>
      <c r="L2252" t="s">
        <v>32</v>
      </c>
      <c r="M2252" t="s">
        <v>19</v>
      </c>
      <c r="N2252" t="s">
        <v>54</v>
      </c>
      <c r="O2252">
        <v>30</v>
      </c>
    </row>
    <row r="2253" spans="1:15" hidden="1" x14ac:dyDescent="0.25">
      <c r="A2253" t="s">
        <v>2820</v>
      </c>
      <c r="B2253" t="s">
        <v>133</v>
      </c>
      <c r="C2253" t="s">
        <v>134</v>
      </c>
      <c r="D2253" t="s">
        <v>15</v>
      </c>
      <c r="E2253" t="s">
        <v>3911</v>
      </c>
      <c r="F2253" s="3">
        <v>2140000</v>
      </c>
      <c r="G2253" s="2">
        <f t="shared" si="70"/>
        <v>30</v>
      </c>
      <c r="H2253" s="2">
        <f t="shared" ca="1" si="71"/>
        <v>77</v>
      </c>
      <c r="I2253" s="4">
        <v>46043</v>
      </c>
      <c r="J2253" s="4">
        <v>46073</v>
      </c>
      <c r="K2253" t="s">
        <v>17</v>
      </c>
      <c r="L2253" t="s">
        <v>32</v>
      </c>
      <c r="M2253" t="s">
        <v>19</v>
      </c>
      <c r="N2253" t="s">
        <v>135</v>
      </c>
      <c r="O2253">
        <v>30</v>
      </c>
    </row>
    <row r="2254" spans="1:15" hidden="1" x14ac:dyDescent="0.25">
      <c r="A2254" t="s">
        <v>2820</v>
      </c>
      <c r="B2254" t="s">
        <v>146</v>
      </c>
      <c r="C2254" t="s">
        <v>147</v>
      </c>
      <c r="D2254" t="s">
        <v>15</v>
      </c>
      <c r="E2254" t="s">
        <v>3912</v>
      </c>
      <c r="F2254" s="3">
        <v>254400</v>
      </c>
      <c r="G2254" s="2">
        <f t="shared" si="70"/>
        <v>10</v>
      </c>
      <c r="H2254" s="2">
        <f t="shared" ca="1" si="71"/>
        <v>77</v>
      </c>
      <c r="I2254" s="4">
        <v>46043</v>
      </c>
      <c r="J2254" s="4">
        <v>46053</v>
      </c>
      <c r="K2254" t="s">
        <v>17</v>
      </c>
      <c r="L2254" t="s">
        <v>32</v>
      </c>
      <c r="M2254" t="s">
        <v>19</v>
      </c>
      <c r="N2254" t="s">
        <v>148</v>
      </c>
      <c r="O2254">
        <v>30</v>
      </c>
    </row>
    <row r="2255" spans="1:15" hidden="1" x14ac:dyDescent="0.25">
      <c r="A2255" t="s">
        <v>2820</v>
      </c>
      <c r="B2255" t="s">
        <v>133</v>
      </c>
      <c r="C2255" t="s">
        <v>134</v>
      </c>
      <c r="D2255" t="s">
        <v>15</v>
      </c>
      <c r="E2255" t="s">
        <v>3913</v>
      </c>
      <c r="F2255" s="3">
        <v>35300</v>
      </c>
      <c r="G2255" s="2">
        <f t="shared" si="70"/>
        <v>30</v>
      </c>
      <c r="H2255" s="2">
        <f t="shared" ca="1" si="71"/>
        <v>77</v>
      </c>
      <c r="I2255" s="4">
        <v>46043</v>
      </c>
      <c r="J2255" s="4">
        <v>46073</v>
      </c>
      <c r="K2255" t="s">
        <v>17</v>
      </c>
      <c r="L2255" t="s">
        <v>32</v>
      </c>
      <c r="M2255" t="s">
        <v>19</v>
      </c>
      <c r="N2255" t="s">
        <v>135</v>
      </c>
      <c r="O2255">
        <v>30</v>
      </c>
    </row>
    <row r="2256" spans="1:15" hidden="1" x14ac:dyDescent="0.25">
      <c r="A2256" t="s">
        <v>2820</v>
      </c>
      <c r="B2256" t="s">
        <v>2197</v>
      </c>
      <c r="C2256" t="s">
        <v>2198</v>
      </c>
      <c r="D2256" t="s">
        <v>15</v>
      </c>
      <c r="E2256" t="s">
        <v>3914</v>
      </c>
      <c r="F2256" s="3">
        <v>216660</v>
      </c>
      <c r="G2256" s="2">
        <f t="shared" si="70"/>
        <v>30</v>
      </c>
      <c r="H2256" s="2">
        <f t="shared" ca="1" si="71"/>
        <v>77</v>
      </c>
      <c r="I2256" s="4">
        <v>46043</v>
      </c>
      <c r="J2256" s="4">
        <v>46073</v>
      </c>
      <c r="K2256" t="s">
        <v>17</v>
      </c>
      <c r="L2256" t="s">
        <v>32</v>
      </c>
      <c r="M2256" t="s">
        <v>19</v>
      </c>
      <c r="N2256" t="s">
        <v>2199</v>
      </c>
      <c r="O2256">
        <v>30</v>
      </c>
    </row>
    <row r="2257" spans="1:15" hidden="1" x14ac:dyDescent="0.25">
      <c r="A2257" t="s">
        <v>2820</v>
      </c>
      <c r="B2257" t="s">
        <v>101</v>
      </c>
      <c r="C2257" t="s">
        <v>102</v>
      </c>
      <c r="D2257" t="s">
        <v>15</v>
      </c>
      <c r="E2257" t="s">
        <v>3915</v>
      </c>
      <c r="F2257" s="3">
        <v>2130607</v>
      </c>
      <c r="G2257" s="2">
        <f t="shared" si="70"/>
        <v>30</v>
      </c>
      <c r="H2257" s="2">
        <f t="shared" ca="1" si="71"/>
        <v>77</v>
      </c>
      <c r="I2257" s="4">
        <v>46043</v>
      </c>
      <c r="J2257" s="4">
        <v>46073</v>
      </c>
      <c r="K2257" t="s">
        <v>17</v>
      </c>
      <c r="L2257" t="s">
        <v>32</v>
      </c>
      <c r="M2257" t="s">
        <v>19</v>
      </c>
      <c r="N2257" t="s">
        <v>103</v>
      </c>
      <c r="O2257">
        <v>30</v>
      </c>
    </row>
    <row r="2258" spans="1:15" hidden="1" x14ac:dyDescent="0.25">
      <c r="A2258" t="s">
        <v>2820</v>
      </c>
      <c r="B2258" t="s">
        <v>1905</v>
      </c>
      <c r="C2258" t="s">
        <v>2124</v>
      </c>
      <c r="D2258" t="s">
        <v>15</v>
      </c>
      <c r="E2258" t="s">
        <v>3916</v>
      </c>
      <c r="F2258" s="3">
        <v>1802754</v>
      </c>
      <c r="G2258" s="2">
        <f t="shared" si="70"/>
        <v>30</v>
      </c>
      <c r="H2258" s="2">
        <f t="shared" ca="1" si="71"/>
        <v>77</v>
      </c>
      <c r="I2258" s="4">
        <v>46043</v>
      </c>
      <c r="J2258" s="4">
        <v>46073</v>
      </c>
      <c r="K2258" t="s">
        <v>17</v>
      </c>
      <c r="L2258" t="s">
        <v>32</v>
      </c>
      <c r="M2258" t="s">
        <v>19</v>
      </c>
      <c r="N2258" t="s">
        <v>1906</v>
      </c>
      <c r="O2258">
        <v>30</v>
      </c>
    </row>
    <row r="2259" spans="1:15" hidden="1" x14ac:dyDescent="0.25">
      <c r="A2259" t="s">
        <v>2820</v>
      </c>
      <c r="B2259" t="s">
        <v>76</v>
      </c>
      <c r="C2259" t="s">
        <v>77</v>
      </c>
      <c r="D2259" t="s">
        <v>46</v>
      </c>
      <c r="E2259" t="s">
        <v>3917</v>
      </c>
      <c r="F2259" s="3">
        <v>4200000</v>
      </c>
      <c r="G2259" s="2">
        <f t="shared" si="70"/>
        <v>10</v>
      </c>
      <c r="H2259" s="2">
        <f t="shared" ca="1" si="71"/>
        <v>77</v>
      </c>
      <c r="I2259" s="4">
        <v>46043</v>
      </c>
      <c r="J2259" s="4">
        <v>46053</v>
      </c>
      <c r="K2259" t="s">
        <v>17</v>
      </c>
      <c r="L2259" t="s">
        <v>32</v>
      </c>
      <c r="M2259" t="s">
        <v>19</v>
      </c>
      <c r="N2259" t="s">
        <v>78</v>
      </c>
      <c r="O2259">
        <v>30</v>
      </c>
    </row>
    <row r="2260" spans="1:15" hidden="1" x14ac:dyDescent="0.25">
      <c r="A2260" t="s">
        <v>2820</v>
      </c>
      <c r="B2260" t="s">
        <v>2010</v>
      </c>
      <c r="C2260" t="s">
        <v>2011</v>
      </c>
      <c r="D2260" t="s">
        <v>15</v>
      </c>
      <c r="E2260" t="s">
        <v>3918</v>
      </c>
      <c r="F2260" s="3">
        <v>290650</v>
      </c>
      <c r="G2260" s="2">
        <f t="shared" si="70"/>
        <v>30</v>
      </c>
      <c r="H2260" s="2">
        <f t="shared" ca="1" si="71"/>
        <v>77</v>
      </c>
      <c r="I2260" s="4">
        <v>46043</v>
      </c>
      <c r="J2260" s="4">
        <v>46073</v>
      </c>
      <c r="K2260" t="s">
        <v>17</v>
      </c>
      <c r="L2260" t="s">
        <v>32</v>
      </c>
      <c r="M2260" t="s">
        <v>19</v>
      </c>
      <c r="N2260" t="s">
        <v>2012</v>
      </c>
      <c r="O2260">
        <v>30</v>
      </c>
    </row>
    <row r="2261" spans="1:15" hidden="1" x14ac:dyDescent="0.25">
      <c r="A2261" t="s">
        <v>2820</v>
      </c>
      <c r="B2261" t="s">
        <v>174</v>
      </c>
      <c r="C2261" t="s">
        <v>175</v>
      </c>
      <c r="D2261" t="s">
        <v>46</v>
      </c>
      <c r="E2261" t="s">
        <v>3919</v>
      </c>
      <c r="F2261" s="3">
        <v>1059899</v>
      </c>
      <c r="G2261" s="2">
        <f t="shared" si="70"/>
        <v>30</v>
      </c>
      <c r="H2261" s="2">
        <f t="shared" ca="1" si="71"/>
        <v>77</v>
      </c>
      <c r="I2261" s="4">
        <v>46043</v>
      </c>
      <c r="J2261" s="4">
        <v>46073</v>
      </c>
      <c r="K2261" t="s">
        <v>17</v>
      </c>
      <c r="L2261" t="s">
        <v>32</v>
      </c>
      <c r="M2261" t="s">
        <v>19</v>
      </c>
      <c r="N2261" t="s">
        <v>176</v>
      </c>
      <c r="O2261">
        <v>30</v>
      </c>
    </row>
    <row r="2262" spans="1:15" hidden="1" x14ac:dyDescent="0.25">
      <c r="A2262" t="s">
        <v>2820</v>
      </c>
      <c r="B2262" t="s">
        <v>49</v>
      </c>
      <c r="C2262" t="s">
        <v>50</v>
      </c>
      <c r="D2262" t="s">
        <v>15</v>
      </c>
      <c r="E2262" t="s">
        <v>3920</v>
      </c>
      <c r="F2262" s="3">
        <v>194407</v>
      </c>
      <c r="G2262" s="2">
        <f t="shared" si="70"/>
        <v>30</v>
      </c>
      <c r="H2262" s="2">
        <f t="shared" ca="1" si="71"/>
        <v>77</v>
      </c>
      <c r="I2262" s="4">
        <v>46043</v>
      </c>
      <c r="J2262" s="4">
        <v>46073</v>
      </c>
      <c r="K2262" t="s">
        <v>17</v>
      </c>
      <c r="L2262" t="s">
        <v>32</v>
      </c>
      <c r="M2262" t="s">
        <v>19</v>
      </c>
      <c r="N2262" t="s">
        <v>51</v>
      </c>
      <c r="O2262">
        <v>30</v>
      </c>
    </row>
    <row r="2263" spans="1:15" hidden="1" x14ac:dyDescent="0.25">
      <c r="A2263" t="s">
        <v>2820</v>
      </c>
      <c r="B2263" t="s">
        <v>98</v>
      </c>
      <c r="C2263" t="s">
        <v>99</v>
      </c>
      <c r="D2263" t="s">
        <v>15</v>
      </c>
      <c r="E2263" t="s">
        <v>3921</v>
      </c>
      <c r="F2263" s="3">
        <v>8400000</v>
      </c>
      <c r="G2263" s="2">
        <f t="shared" si="70"/>
        <v>30</v>
      </c>
      <c r="H2263" s="2">
        <f t="shared" ca="1" si="71"/>
        <v>77</v>
      </c>
      <c r="I2263" s="4">
        <v>46043</v>
      </c>
      <c r="J2263" s="4">
        <v>46073</v>
      </c>
      <c r="K2263" t="s">
        <v>17</v>
      </c>
      <c r="L2263" t="s">
        <v>32</v>
      </c>
      <c r="M2263" t="s">
        <v>19</v>
      </c>
      <c r="N2263" t="s">
        <v>100</v>
      </c>
      <c r="O2263">
        <v>30</v>
      </c>
    </row>
    <row r="2264" spans="1:15" hidden="1" x14ac:dyDescent="0.25">
      <c r="A2264" t="s">
        <v>2820</v>
      </c>
      <c r="B2264" t="s">
        <v>198</v>
      </c>
      <c r="C2264" t="s">
        <v>199</v>
      </c>
      <c r="D2264" t="s">
        <v>15</v>
      </c>
      <c r="E2264" t="s">
        <v>3922</v>
      </c>
      <c r="F2264" s="3">
        <v>886640</v>
      </c>
      <c r="G2264" s="2">
        <f t="shared" si="70"/>
        <v>8</v>
      </c>
      <c r="H2264" s="2">
        <f t="shared" ca="1" si="71"/>
        <v>77</v>
      </c>
      <c r="I2264" s="4">
        <v>46043</v>
      </c>
      <c r="J2264" s="4">
        <v>46051</v>
      </c>
      <c r="K2264" t="s">
        <v>17</v>
      </c>
      <c r="L2264" t="s">
        <v>109</v>
      </c>
      <c r="M2264" t="s">
        <v>19</v>
      </c>
      <c r="N2264" t="s">
        <v>200</v>
      </c>
      <c r="O2264">
        <v>30</v>
      </c>
    </row>
    <row r="2265" spans="1:15" hidden="1" x14ac:dyDescent="0.25">
      <c r="A2265" t="s">
        <v>2820</v>
      </c>
      <c r="B2265" t="s">
        <v>2910</v>
      </c>
      <c r="C2265" t="s">
        <v>2911</v>
      </c>
      <c r="D2265" t="s">
        <v>15</v>
      </c>
      <c r="E2265" t="s">
        <v>3959</v>
      </c>
      <c r="F2265" s="3">
        <v>172552</v>
      </c>
      <c r="G2265" s="2">
        <f t="shared" si="70"/>
        <v>15</v>
      </c>
      <c r="H2265" s="2">
        <f t="shared" ca="1" si="71"/>
        <v>77</v>
      </c>
      <c r="I2265" s="4">
        <v>46043</v>
      </c>
      <c r="J2265" s="4">
        <v>46058</v>
      </c>
      <c r="K2265" t="s">
        <v>17</v>
      </c>
      <c r="L2265" t="s">
        <v>317</v>
      </c>
      <c r="M2265" t="s">
        <v>19</v>
      </c>
      <c r="N2265" t="s">
        <v>2912</v>
      </c>
      <c r="O2265">
        <v>15</v>
      </c>
    </row>
    <row r="2266" spans="1:15" hidden="1" x14ac:dyDescent="0.25">
      <c r="A2266" t="s">
        <v>2820</v>
      </c>
      <c r="B2266" t="s">
        <v>2203</v>
      </c>
      <c r="C2266" t="s">
        <v>2204</v>
      </c>
      <c r="D2266" t="s">
        <v>15</v>
      </c>
      <c r="E2266" t="s">
        <v>3960</v>
      </c>
      <c r="F2266" s="3">
        <v>214020</v>
      </c>
      <c r="G2266" s="2">
        <f t="shared" si="70"/>
        <v>1</v>
      </c>
      <c r="H2266" s="2">
        <f t="shared" ca="1" si="71"/>
        <v>77</v>
      </c>
      <c r="I2266" s="4">
        <v>46043</v>
      </c>
      <c r="J2266" s="4">
        <v>46044</v>
      </c>
      <c r="K2266" t="s">
        <v>17</v>
      </c>
      <c r="L2266" t="s">
        <v>317</v>
      </c>
      <c r="M2266" t="s">
        <v>19</v>
      </c>
      <c r="N2266" t="s">
        <v>2205</v>
      </c>
      <c r="O2266">
        <v>30</v>
      </c>
    </row>
    <row r="2267" spans="1:15" hidden="1" x14ac:dyDescent="0.25">
      <c r="A2267" t="s">
        <v>2820</v>
      </c>
      <c r="B2267" t="s">
        <v>1920</v>
      </c>
      <c r="C2267" t="s">
        <v>1921</v>
      </c>
      <c r="D2267" t="s">
        <v>46</v>
      </c>
      <c r="E2267" t="s">
        <v>3961</v>
      </c>
      <c r="F2267" s="3">
        <v>246745</v>
      </c>
      <c r="G2267" s="2">
        <f t="shared" si="70"/>
        <v>15</v>
      </c>
      <c r="H2267" s="2">
        <f t="shared" ca="1" si="71"/>
        <v>77</v>
      </c>
      <c r="I2267" s="4">
        <v>46043</v>
      </c>
      <c r="J2267" s="4">
        <v>46058</v>
      </c>
      <c r="K2267" t="s">
        <v>17</v>
      </c>
      <c r="L2267" t="s">
        <v>317</v>
      </c>
      <c r="M2267" t="s">
        <v>19</v>
      </c>
      <c r="N2267" t="s">
        <v>149</v>
      </c>
      <c r="O2267">
        <v>15</v>
      </c>
    </row>
    <row r="2268" spans="1:15" hidden="1" x14ac:dyDescent="0.25">
      <c r="A2268" t="s">
        <v>2820</v>
      </c>
      <c r="B2268" t="s">
        <v>3962</v>
      </c>
      <c r="C2268" t="s">
        <v>3963</v>
      </c>
      <c r="D2268" t="s">
        <v>15</v>
      </c>
      <c r="E2268" t="s">
        <v>3964</v>
      </c>
      <c r="F2268" s="3">
        <v>128041</v>
      </c>
      <c r="G2268" s="2">
        <f t="shared" si="70"/>
        <v>1</v>
      </c>
      <c r="H2268" s="2">
        <f t="shared" ca="1" si="71"/>
        <v>77</v>
      </c>
      <c r="I2268" s="4">
        <v>46043</v>
      </c>
      <c r="J2268" s="4">
        <v>46044</v>
      </c>
      <c r="K2268" t="s">
        <v>17</v>
      </c>
      <c r="L2268" t="s">
        <v>317</v>
      </c>
      <c r="M2268" t="s">
        <v>19</v>
      </c>
      <c r="N2268" t="s">
        <v>3965</v>
      </c>
      <c r="O2268">
        <v>30</v>
      </c>
    </row>
    <row r="2269" spans="1:15" hidden="1" x14ac:dyDescent="0.25">
      <c r="A2269" t="s">
        <v>2820</v>
      </c>
      <c r="B2269" t="s">
        <v>3962</v>
      </c>
      <c r="C2269" t="s">
        <v>3963</v>
      </c>
      <c r="D2269" t="s">
        <v>15</v>
      </c>
      <c r="E2269" t="s">
        <v>3966</v>
      </c>
      <c r="F2269" s="3">
        <v>128400</v>
      </c>
      <c r="G2269" s="2">
        <f t="shared" si="70"/>
        <v>1</v>
      </c>
      <c r="H2269" s="2">
        <f t="shared" ca="1" si="71"/>
        <v>77</v>
      </c>
      <c r="I2269" s="4">
        <v>46043</v>
      </c>
      <c r="J2269" s="4">
        <v>46044</v>
      </c>
      <c r="K2269" t="s">
        <v>17</v>
      </c>
      <c r="L2269" t="s">
        <v>317</v>
      </c>
      <c r="M2269" t="s">
        <v>19</v>
      </c>
      <c r="N2269" t="s">
        <v>3965</v>
      </c>
      <c r="O2269">
        <v>30</v>
      </c>
    </row>
    <row r="2270" spans="1:15" hidden="1" x14ac:dyDescent="0.25">
      <c r="A2270" t="s">
        <v>2820</v>
      </c>
      <c r="B2270" t="s">
        <v>3962</v>
      </c>
      <c r="C2270" t="s">
        <v>3963</v>
      </c>
      <c r="D2270" t="s">
        <v>15</v>
      </c>
      <c r="E2270" t="s">
        <v>3967</v>
      </c>
      <c r="F2270" s="3">
        <v>64011</v>
      </c>
      <c r="G2270" s="2">
        <f t="shared" si="70"/>
        <v>1</v>
      </c>
      <c r="H2270" s="2">
        <f t="shared" ca="1" si="71"/>
        <v>77</v>
      </c>
      <c r="I2270" s="4">
        <v>46043</v>
      </c>
      <c r="J2270" s="4">
        <v>46044</v>
      </c>
      <c r="K2270" t="s">
        <v>17</v>
      </c>
      <c r="L2270" t="s">
        <v>317</v>
      </c>
      <c r="M2270" t="s">
        <v>19</v>
      </c>
      <c r="N2270" t="s">
        <v>3965</v>
      </c>
      <c r="O2270">
        <v>30</v>
      </c>
    </row>
    <row r="2271" spans="1:15" hidden="1" x14ac:dyDescent="0.25">
      <c r="A2271" t="s">
        <v>2820</v>
      </c>
      <c r="B2271" t="s">
        <v>333</v>
      </c>
      <c r="C2271" t="s">
        <v>334</v>
      </c>
      <c r="D2271" t="s">
        <v>15</v>
      </c>
      <c r="E2271" t="s">
        <v>3968</v>
      </c>
      <c r="F2271" s="3">
        <v>840000</v>
      </c>
      <c r="G2271" s="2">
        <f t="shared" si="70"/>
        <v>10</v>
      </c>
      <c r="H2271" s="2">
        <f t="shared" ca="1" si="71"/>
        <v>77</v>
      </c>
      <c r="I2271" s="4">
        <v>46043</v>
      </c>
      <c r="J2271" s="4">
        <v>46053</v>
      </c>
      <c r="K2271" t="s">
        <v>17</v>
      </c>
      <c r="L2271" t="s">
        <v>317</v>
      </c>
      <c r="M2271" t="s">
        <v>19</v>
      </c>
      <c r="N2271" t="s">
        <v>335</v>
      </c>
      <c r="O2271">
        <v>15</v>
      </c>
    </row>
    <row r="2272" spans="1:15" hidden="1" x14ac:dyDescent="0.25">
      <c r="A2272" t="s">
        <v>2820</v>
      </c>
      <c r="B2272" t="s">
        <v>717</v>
      </c>
      <c r="C2272" t="s">
        <v>718</v>
      </c>
      <c r="D2272" t="s">
        <v>666</v>
      </c>
      <c r="E2272" t="s">
        <v>3979</v>
      </c>
      <c r="F2272" s="3">
        <v>1272000</v>
      </c>
      <c r="G2272" s="2">
        <f t="shared" si="70"/>
        <v>30</v>
      </c>
      <c r="H2272" s="2">
        <f t="shared" ca="1" si="71"/>
        <v>77</v>
      </c>
      <c r="I2272" s="4">
        <v>46043</v>
      </c>
      <c r="J2272" s="4">
        <v>46073</v>
      </c>
      <c r="K2272" t="s">
        <v>716</v>
      </c>
      <c r="L2272" t="s">
        <v>18</v>
      </c>
      <c r="M2272" t="s">
        <v>19</v>
      </c>
      <c r="N2272" t="s">
        <v>719</v>
      </c>
      <c r="O2272">
        <v>30</v>
      </c>
    </row>
    <row r="2273" spans="1:15" hidden="1" x14ac:dyDescent="0.25">
      <c r="A2273" t="s">
        <v>2820</v>
      </c>
      <c r="B2273" t="s">
        <v>717</v>
      </c>
      <c r="C2273" t="s">
        <v>718</v>
      </c>
      <c r="D2273" t="s">
        <v>666</v>
      </c>
      <c r="E2273" t="s">
        <v>3980</v>
      </c>
      <c r="F2273" s="3">
        <v>1437627</v>
      </c>
      <c r="G2273" s="2">
        <f t="shared" si="70"/>
        <v>30</v>
      </c>
      <c r="H2273" s="2">
        <f t="shared" ca="1" si="71"/>
        <v>77</v>
      </c>
      <c r="I2273" s="4">
        <v>46043</v>
      </c>
      <c r="J2273" s="4">
        <v>46073</v>
      </c>
      <c r="K2273" t="s">
        <v>716</v>
      </c>
      <c r="L2273" t="s">
        <v>18</v>
      </c>
      <c r="M2273" t="s">
        <v>19</v>
      </c>
      <c r="N2273" t="s">
        <v>719</v>
      </c>
      <c r="O2273">
        <v>30</v>
      </c>
    </row>
    <row r="2274" spans="1:15" hidden="1" x14ac:dyDescent="0.25">
      <c r="A2274" t="s">
        <v>2820</v>
      </c>
      <c r="B2274" t="s">
        <v>2017</v>
      </c>
      <c r="C2274" t="s">
        <v>2018</v>
      </c>
      <c r="D2274" t="s">
        <v>2016</v>
      </c>
      <c r="E2274" t="s">
        <v>3981</v>
      </c>
      <c r="F2274" s="3">
        <v>5806392</v>
      </c>
      <c r="G2274" s="2">
        <f t="shared" si="70"/>
        <v>30</v>
      </c>
      <c r="H2274" s="2">
        <f t="shared" ca="1" si="71"/>
        <v>77</v>
      </c>
      <c r="I2274" s="4">
        <v>46043</v>
      </c>
      <c r="J2274" s="4">
        <v>46073</v>
      </c>
      <c r="K2274" t="s">
        <v>766</v>
      </c>
      <c r="L2274" t="s">
        <v>18</v>
      </c>
      <c r="M2274" t="s">
        <v>19</v>
      </c>
      <c r="N2274" t="s">
        <v>2019</v>
      </c>
      <c r="O2274">
        <v>30</v>
      </c>
    </row>
    <row r="2275" spans="1:15" hidden="1" x14ac:dyDescent="0.25">
      <c r="A2275" t="s">
        <v>2820</v>
      </c>
      <c r="B2275" t="s">
        <v>2972</v>
      </c>
      <c r="C2275" t="s">
        <v>2973</v>
      </c>
      <c r="D2275" t="s">
        <v>837</v>
      </c>
      <c r="E2275" t="s">
        <v>3982</v>
      </c>
      <c r="F2275" s="3">
        <v>203999</v>
      </c>
      <c r="G2275" s="2">
        <f t="shared" si="70"/>
        <v>30</v>
      </c>
      <c r="H2275" s="2">
        <f t="shared" ca="1" si="71"/>
        <v>77</v>
      </c>
      <c r="I2275" s="4">
        <v>46043</v>
      </c>
      <c r="J2275" s="4">
        <v>46073</v>
      </c>
      <c r="K2275" t="s">
        <v>839</v>
      </c>
      <c r="L2275" t="s">
        <v>18</v>
      </c>
      <c r="M2275" t="s">
        <v>19</v>
      </c>
      <c r="N2275" t="s">
        <v>2974</v>
      </c>
      <c r="O2275">
        <v>30</v>
      </c>
    </row>
    <row r="2276" spans="1:15" hidden="1" x14ac:dyDescent="0.25">
      <c r="A2276" t="s">
        <v>2820</v>
      </c>
      <c r="B2276" t="s">
        <v>3983</v>
      </c>
      <c r="C2276" t="s">
        <v>3984</v>
      </c>
      <c r="D2276" t="s">
        <v>2310</v>
      </c>
      <c r="E2276" t="s">
        <v>3985</v>
      </c>
      <c r="F2276" s="3">
        <v>2</v>
      </c>
      <c r="G2276" s="2">
        <f t="shared" si="70"/>
        <v>1</v>
      </c>
      <c r="H2276" s="2">
        <f t="shared" ca="1" si="71"/>
        <v>77</v>
      </c>
      <c r="I2276" s="4">
        <v>46043</v>
      </c>
      <c r="J2276" s="4">
        <v>46044</v>
      </c>
      <c r="K2276" t="s">
        <v>839</v>
      </c>
      <c r="L2276" t="s">
        <v>18</v>
      </c>
      <c r="M2276" t="s">
        <v>19</v>
      </c>
      <c r="N2276" t="s">
        <v>3986</v>
      </c>
      <c r="O2276">
        <v>30</v>
      </c>
    </row>
    <row r="2277" spans="1:15" hidden="1" x14ac:dyDescent="0.25">
      <c r="A2277" t="s">
        <v>2820</v>
      </c>
      <c r="B2277" t="s">
        <v>996</v>
      </c>
      <c r="C2277" t="s">
        <v>997</v>
      </c>
      <c r="D2277" t="s">
        <v>998</v>
      </c>
      <c r="E2277" t="s">
        <v>4027</v>
      </c>
      <c r="F2277" s="3">
        <v>2115000</v>
      </c>
      <c r="G2277" s="2">
        <f t="shared" si="70"/>
        <v>30</v>
      </c>
      <c r="H2277" s="2">
        <f t="shared" ca="1" si="71"/>
        <v>77</v>
      </c>
      <c r="I2277" s="4">
        <v>46043</v>
      </c>
      <c r="J2277" s="4">
        <v>46073</v>
      </c>
      <c r="K2277" t="s">
        <v>989</v>
      </c>
      <c r="L2277" t="s">
        <v>18</v>
      </c>
      <c r="M2277" t="s">
        <v>19</v>
      </c>
      <c r="N2277" t="s">
        <v>999</v>
      </c>
      <c r="O2277">
        <v>30</v>
      </c>
    </row>
    <row r="2278" spans="1:15" hidden="1" x14ac:dyDescent="0.25">
      <c r="A2278" t="s">
        <v>2820</v>
      </c>
      <c r="B2278" t="s">
        <v>992</v>
      </c>
      <c r="C2278" t="s">
        <v>993</v>
      </c>
      <c r="D2278" t="s">
        <v>994</v>
      </c>
      <c r="E2278" t="s">
        <v>4028</v>
      </c>
      <c r="F2278" s="3">
        <v>4240000</v>
      </c>
      <c r="G2278" s="2">
        <f t="shared" si="70"/>
        <v>30</v>
      </c>
      <c r="H2278" s="2">
        <f t="shared" ca="1" si="71"/>
        <v>77</v>
      </c>
      <c r="I2278" s="4">
        <v>46043</v>
      </c>
      <c r="J2278" s="4">
        <v>46073</v>
      </c>
      <c r="K2278" t="s">
        <v>989</v>
      </c>
      <c r="L2278" t="s">
        <v>18</v>
      </c>
      <c r="M2278" t="s">
        <v>19</v>
      </c>
      <c r="N2278" t="s">
        <v>995</v>
      </c>
      <c r="O2278">
        <v>30</v>
      </c>
    </row>
    <row r="2279" spans="1:15" hidden="1" x14ac:dyDescent="0.25">
      <c r="A2279" t="s">
        <v>2820</v>
      </c>
      <c r="B2279" t="s">
        <v>156</v>
      </c>
      <c r="C2279" t="s">
        <v>157</v>
      </c>
      <c r="D2279" t="s">
        <v>1289</v>
      </c>
      <c r="E2279" t="s">
        <v>4031</v>
      </c>
      <c r="F2279" s="3">
        <v>7153080</v>
      </c>
      <c r="G2279" s="2">
        <f t="shared" si="70"/>
        <v>30</v>
      </c>
      <c r="H2279" s="2">
        <f t="shared" ca="1" si="71"/>
        <v>77</v>
      </c>
      <c r="I2279" s="4">
        <v>46043</v>
      </c>
      <c r="J2279" s="4">
        <v>46073</v>
      </c>
      <c r="K2279" t="s">
        <v>1068</v>
      </c>
      <c r="L2279" t="s">
        <v>47</v>
      </c>
      <c r="M2279" t="s">
        <v>19</v>
      </c>
      <c r="N2279" t="s">
        <v>158</v>
      </c>
      <c r="O2279">
        <v>30</v>
      </c>
    </row>
    <row r="2280" spans="1:15" hidden="1" x14ac:dyDescent="0.25">
      <c r="A2280" t="s">
        <v>2820</v>
      </c>
      <c r="B2280" t="s">
        <v>156</v>
      </c>
      <c r="C2280" t="s">
        <v>157</v>
      </c>
      <c r="D2280" t="s">
        <v>1289</v>
      </c>
      <c r="E2280" t="s">
        <v>4032</v>
      </c>
      <c r="F2280" s="3">
        <v>506753</v>
      </c>
      <c r="G2280" s="2">
        <f t="shared" si="70"/>
        <v>30</v>
      </c>
      <c r="H2280" s="2">
        <f t="shared" ca="1" si="71"/>
        <v>77</v>
      </c>
      <c r="I2280" s="4">
        <v>46043</v>
      </c>
      <c r="J2280" s="4">
        <v>46073</v>
      </c>
      <c r="K2280" t="s">
        <v>1068</v>
      </c>
      <c r="L2280" t="s">
        <v>47</v>
      </c>
      <c r="M2280" t="s">
        <v>19</v>
      </c>
      <c r="N2280" t="s">
        <v>158</v>
      </c>
      <c r="O2280">
        <v>30</v>
      </c>
    </row>
    <row r="2281" spans="1:15" hidden="1" x14ac:dyDescent="0.25">
      <c r="A2281" t="s">
        <v>2820</v>
      </c>
      <c r="B2281" t="s">
        <v>156</v>
      </c>
      <c r="C2281" t="s">
        <v>157</v>
      </c>
      <c r="D2281" t="s">
        <v>1289</v>
      </c>
      <c r="E2281" t="s">
        <v>4033</v>
      </c>
      <c r="F2281" s="3">
        <v>6517371</v>
      </c>
      <c r="G2281" s="2">
        <f t="shared" si="70"/>
        <v>30</v>
      </c>
      <c r="H2281" s="2">
        <f t="shared" ca="1" si="71"/>
        <v>77</v>
      </c>
      <c r="I2281" s="4">
        <v>46043</v>
      </c>
      <c r="J2281" s="4">
        <v>46073</v>
      </c>
      <c r="K2281" t="s">
        <v>1068</v>
      </c>
      <c r="L2281" t="s">
        <v>47</v>
      </c>
      <c r="M2281" t="s">
        <v>19</v>
      </c>
      <c r="N2281" t="s">
        <v>158</v>
      </c>
      <c r="O2281">
        <v>30</v>
      </c>
    </row>
    <row r="2282" spans="1:15" hidden="1" x14ac:dyDescent="0.25">
      <c r="A2282" t="s">
        <v>2820</v>
      </c>
      <c r="B2282" t="s">
        <v>156</v>
      </c>
      <c r="C2282" t="s">
        <v>157</v>
      </c>
      <c r="D2282" t="s">
        <v>1289</v>
      </c>
      <c r="E2282" t="s">
        <v>4034</v>
      </c>
      <c r="F2282" s="3">
        <v>1561645</v>
      </c>
      <c r="G2282" s="2">
        <f t="shared" si="70"/>
        <v>30</v>
      </c>
      <c r="H2282" s="2">
        <f t="shared" ca="1" si="71"/>
        <v>77</v>
      </c>
      <c r="I2282" s="4">
        <v>46043</v>
      </c>
      <c r="J2282" s="4">
        <v>46073</v>
      </c>
      <c r="K2282" t="s">
        <v>1068</v>
      </c>
      <c r="L2282" t="s">
        <v>47</v>
      </c>
      <c r="M2282" t="s">
        <v>19</v>
      </c>
      <c r="N2282" t="s">
        <v>158</v>
      </c>
      <c r="O2282">
        <v>30</v>
      </c>
    </row>
    <row r="2283" spans="1:15" hidden="1" x14ac:dyDescent="0.25">
      <c r="A2283" t="s">
        <v>2820</v>
      </c>
      <c r="B2283" t="s">
        <v>1119</v>
      </c>
      <c r="C2283" t="s">
        <v>1120</v>
      </c>
      <c r="D2283" t="s">
        <v>1066</v>
      </c>
      <c r="E2283" t="s">
        <v>4035</v>
      </c>
      <c r="F2283" s="3">
        <v>847820</v>
      </c>
      <c r="G2283" s="2">
        <f t="shared" si="70"/>
        <v>30</v>
      </c>
      <c r="H2283" s="2">
        <f t="shared" ca="1" si="71"/>
        <v>77</v>
      </c>
      <c r="I2283" s="4">
        <v>46043</v>
      </c>
      <c r="J2283" s="4">
        <v>46073</v>
      </c>
      <c r="K2283" t="s">
        <v>1068</v>
      </c>
      <c r="L2283" t="s">
        <v>207</v>
      </c>
      <c r="M2283" t="s">
        <v>19</v>
      </c>
      <c r="N2283" t="s">
        <v>1121</v>
      </c>
      <c r="O2283">
        <v>30</v>
      </c>
    </row>
    <row r="2284" spans="1:15" hidden="1" x14ac:dyDescent="0.25">
      <c r="A2284" t="s">
        <v>2820</v>
      </c>
      <c r="B2284" t="s">
        <v>1964</v>
      </c>
      <c r="C2284" t="s">
        <v>1965</v>
      </c>
      <c r="D2284" t="s">
        <v>1066</v>
      </c>
      <c r="E2284" t="s">
        <v>4036</v>
      </c>
      <c r="F2284" s="3">
        <v>937804</v>
      </c>
      <c r="G2284" s="2">
        <f t="shared" si="70"/>
        <v>30</v>
      </c>
      <c r="H2284" s="2">
        <f t="shared" ca="1" si="71"/>
        <v>77</v>
      </c>
      <c r="I2284" s="4">
        <v>46043</v>
      </c>
      <c r="J2284" s="4">
        <v>46073</v>
      </c>
      <c r="K2284" t="s">
        <v>1068</v>
      </c>
      <c r="L2284" t="s">
        <v>207</v>
      </c>
      <c r="M2284" t="s">
        <v>19</v>
      </c>
      <c r="N2284" t="s">
        <v>1966</v>
      </c>
      <c r="O2284">
        <v>30</v>
      </c>
    </row>
    <row r="2285" spans="1:15" hidden="1" x14ac:dyDescent="0.25">
      <c r="A2285" t="s">
        <v>2820</v>
      </c>
      <c r="B2285" t="s">
        <v>1101</v>
      </c>
      <c r="C2285" t="s">
        <v>1102</v>
      </c>
      <c r="D2285" t="s">
        <v>1066</v>
      </c>
      <c r="E2285" t="s">
        <v>4037</v>
      </c>
      <c r="F2285" s="3">
        <v>1285995</v>
      </c>
      <c r="G2285" s="2">
        <f t="shared" si="70"/>
        <v>30</v>
      </c>
      <c r="H2285" s="2">
        <f t="shared" ca="1" si="71"/>
        <v>77</v>
      </c>
      <c r="I2285" s="4">
        <v>46043</v>
      </c>
      <c r="J2285" s="4">
        <v>46073</v>
      </c>
      <c r="K2285" t="s">
        <v>1068</v>
      </c>
      <c r="L2285" t="s">
        <v>207</v>
      </c>
      <c r="M2285" t="s">
        <v>19</v>
      </c>
      <c r="N2285" t="s">
        <v>1103</v>
      </c>
      <c r="O2285">
        <v>30</v>
      </c>
    </row>
    <row r="2286" spans="1:15" hidden="1" x14ac:dyDescent="0.25">
      <c r="A2286" t="s">
        <v>2820</v>
      </c>
      <c r="B2286" t="s">
        <v>1101</v>
      </c>
      <c r="C2286" t="s">
        <v>1102</v>
      </c>
      <c r="D2286" t="s">
        <v>1066</v>
      </c>
      <c r="E2286" t="s">
        <v>4038</v>
      </c>
      <c r="F2286" s="3">
        <v>19048</v>
      </c>
      <c r="G2286" s="2">
        <f t="shared" si="70"/>
        <v>30</v>
      </c>
      <c r="H2286" s="2">
        <f t="shared" ca="1" si="71"/>
        <v>77</v>
      </c>
      <c r="I2286" s="4">
        <v>46043</v>
      </c>
      <c r="J2286" s="4">
        <v>46073</v>
      </c>
      <c r="K2286" t="s">
        <v>1068</v>
      </c>
      <c r="L2286" t="s">
        <v>207</v>
      </c>
      <c r="M2286" t="s">
        <v>19</v>
      </c>
      <c r="N2286" t="s">
        <v>1103</v>
      </c>
      <c r="O2286">
        <v>30</v>
      </c>
    </row>
    <row r="2287" spans="1:15" hidden="1" x14ac:dyDescent="0.25">
      <c r="A2287" t="s">
        <v>2820</v>
      </c>
      <c r="B2287" t="s">
        <v>1112</v>
      </c>
      <c r="C2287" t="s">
        <v>1113</v>
      </c>
      <c r="D2287" t="s">
        <v>320</v>
      </c>
      <c r="E2287" t="s">
        <v>4039</v>
      </c>
      <c r="F2287" s="3">
        <v>743600</v>
      </c>
      <c r="G2287" s="2">
        <f t="shared" si="70"/>
        <v>30</v>
      </c>
      <c r="H2287" s="2">
        <f t="shared" ca="1" si="71"/>
        <v>77</v>
      </c>
      <c r="I2287" s="4">
        <v>46043</v>
      </c>
      <c r="J2287" s="4">
        <v>46073</v>
      </c>
      <c r="K2287" t="s">
        <v>1068</v>
      </c>
      <c r="L2287" t="s">
        <v>207</v>
      </c>
      <c r="M2287" t="s">
        <v>19</v>
      </c>
      <c r="N2287" t="s">
        <v>1114</v>
      </c>
      <c r="O2287">
        <v>30</v>
      </c>
    </row>
    <row r="2288" spans="1:15" hidden="1" x14ac:dyDescent="0.25">
      <c r="A2288" t="s">
        <v>2820</v>
      </c>
      <c r="B2288" t="s">
        <v>1112</v>
      </c>
      <c r="C2288" t="s">
        <v>1113</v>
      </c>
      <c r="D2288" t="s">
        <v>320</v>
      </c>
      <c r="E2288" t="s">
        <v>4040</v>
      </c>
      <c r="F2288" s="3">
        <v>5424000</v>
      </c>
      <c r="G2288" s="2">
        <f t="shared" si="70"/>
        <v>30</v>
      </c>
      <c r="H2288" s="2">
        <f t="shared" ca="1" si="71"/>
        <v>77</v>
      </c>
      <c r="I2288" s="4">
        <v>46043</v>
      </c>
      <c r="J2288" s="4">
        <v>46073</v>
      </c>
      <c r="K2288" t="s">
        <v>1068</v>
      </c>
      <c r="L2288" t="s">
        <v>207</v>
      </c>
      <c r="M2288" t="s">
        <v>19</v>
      </c>
      <c r="N2288" t="s">
        <v>1114</v>
      </c>
      <c r="O2288">
        <v>30</v>
      </c>
    </row>
    <row r="2289" spans="1:15" hidden="1" x14ac:dyDescent="0.25">
      <c r="A2289" t="s">
        <v>2820</v>
      </c>
      <c r="B2289" t="s">
        <v>1110</v>
      </c>
      <c r="C2289" t="s">
        <v>1111</v>
      </c>
      <c r="D2289" t="s">
        <v>320</v>
      </c>
      <c r="E2289" t="s">
        <v>4041</v>
      </c>
      <c r="F2289" s="3">
        <v>2659940</v>
      </c>
      <c r="G2289" s="2">
        <f t="shared" si="70"/>
        <v>30</v>
      </c>
      <c r="H2289" s="2">
        <f t="shared" ca="1" si="71"/>
        <v>77</v>
      </c>
      <c r="I2289" s="4">
        <v>46043</v>
      </c>
      <c r="J2289" s="4">
        <v>46073</v>
      </c>
      <c r="K2289" t="s">
        <v>1068</v>
      </c>
      <c r="L2289" t="s">
        <v>207</v>
      </c>
      <c r="M2289" t="s">
        <v>19</v>
      </c>
      <c r="N2289" t="s">
        <v>149</v>
      </c>
      <c r="O2289">
        <v>30</v>
      </c>
    </row>
    <row r="2290" spans="1:15" hidden="1" x14ac:dyDescent="0.25">
      <c r="A2290" t="s">
        <v>2820</v>
      </c>
      <c r="B2290" t="s">
        <v>1115</v>
      </c>
      <c r="C2290" t="s">
        <v>1116</v>
      </c>
      <c r="D2290" t="s">
        <v>320</v>
      </c>
      <c r="E2290" t="s">
        <v>4042</v>
      </c>
      <c r="F2290" s="3">
        <v>1924207</v>
      </c>
      <c r="G2290" s="2">
        <f t="shared" si="70"/>
        <v>30</v>
      </c>
      <c r="H2290" s="2">
        <f t="shared" ca="1" si="71"/>
        <v>77</v>
      </c>
      <c r="I2290" s="4">
        <v>46043</v>
      </c>
      <c r="J2290" s="4">
        <v>46073</v>
      </c>
      <c r="K2290" t="s">
        <v>1068</v>
      </c>
      <c r="L2290" t="s">
        <v>207</v>
      </c>
      <c r="M2290" t="s">
        <v>19</v>
      </c>
      <c r="N2290" t="s">
        <v>1117</v>
      </c>
      <c r="O2290">
        <v>30</v>
      </c>
    </row>
    <row r="2291" spans="1:15" hidden="1" x14ac:dyDescent="0.25">
      <c r="A2291" t="s">
        <v>2820</v>
      </c>
      <c r="B2291" t="s">
        <v>1095</v>
      </c>
      <c r="C2291" t="s">
        <v>1096</v>
      </c>
      <c r="D2291" t="s">
        <v>320</v>
      </c>
      <c r="E2291" t="s">
        <v>4043</v>
      </c>
      <c r="F2291" s="3">
        <v>1151398</v>
      </c>
      <c r="G2291" s="2">
        <f t="shared" si="70"/>
        <v>30</v>
      </c>
      <c r="H2291" s="2">
        <f t="shared" ca="1" si="71"/>
        <v>77</v>
      </c>
      <c r="I2291" s="4">
        <v>46043</v>
      </c>
      <c r="J2291" s="4">
        <v>46073</v>
      </c>
      <c r="K2291" t="s">
        <v>1068</v>
      </c>
      <c r="L2291" t="s">
        <v>207</v>
      </c>
      <c r="M2291" t="s">
        <v>19</v>
      </c>
      <c r="N2291" t="s">
        <v>1097</v>
      </c>
      <c r="O2291">
        <v>30</v>
      </c>
    </row>
    <row r="2292" spans="1:15" hidden="1" x14ac:dyDescent="0.25">
      <c r="A2292" t="s">
        <v>2820</v>
      </c>
      <c r="B2292" t="s">
        <v>1098</v>
      </c>
      <c r="C2292" t="s">
        <v>1099</v>
      </c>
      <c r="D2292" t="s">
        <v>1066</v>
      </c>
      <c r="E2292" t="s">
        <v>4044</v>
      </c>
      <c r="F2292" s="3">
        <v>945921</v>
      </c>
      <c r="G2292" s="2">
        <f t="shared" si="70"/>
        <v>15</v>
      </c>
      <c r="H2292" s="2">
        <f t="shared" ca="1" si="71"/>
        <v>77</v>
      </c>
      <c r="I2292" s="4">
        <v>46043</v>
      </c>
      <c r="J2292" s="4">
        <v>46058</v>
      </c>
      <c r="K2292" t="s">
        <v>1068</v>
      </c>
      <c r="L2292" t="s">
        <v>207</v>
      </c>
      <c r="M2292" t="s">
        <v>19</v>
      </c>
      <c r="N2292" t="s">
        <v>1100</v>
      </c>
      <c r="O2292">
        <v>30</v>
      </c>
    </row>
    <row r="2293" spans="1:15" hidden="1" x14ac:dyDescent="0.25">
      <c r="A2293" t="s">
        <v>2820</v>
      </c>
      <c r="B2293" t="s">
        <v>1199</v>
      </c>
      <c r="C2293" t="s">
        <v>1200</v>
      </c>
      <c r="D2293" t="s">
        <v>1201</v>
      </c>
      <c r="E2293" t="s">
        <v>4085</v>
      </c>
      <c r="F2293" s="3">
        <v>110400</v>
      </c>
      <c r="G2293" s="2">
        <f t="shared" si="70"/>
        <v>18</v>
      </c>
      <c r="H2293" s="2">
        <f t="shared" ca="1" si="71"/>
        <v>77</v>
      </c>
      <c r="I2293" s="4">
        <v>46043</v>
      </c>
      <c r="J2293" s="4">
        <v>46061</v>
      </c>
      <c r="K2293" t="s">
        <v>1202</v>
      </c>
      <c r="L2293" t="s">
        <v>207</v>
      </c>
      <c r="M2293" t="s">
        <v>19</v>
      </c>
      <c r="N2293" t="s">
        <v>1203</v>
      </c>
      <c r="O2293">
        <v>30</v>
      </c>
    </row>
    <row r="2294" spans="1:15" hidden="1" x14ac:dyDescent="0.25">
      <c r="A2294" t="s">
        <v>2820</v>
      </c>
      <c r="B2294" t="s">
        <v>156</v>
      </c>
      <c r="C2294" t="s">
        <v>157</v>
      </c>
      <c r="D2294" t="s">
        <v>1289</v>
      </c>
      <c r="E2294" t="s">
        <v>4115</v>
      </c>
      <c r="F2294" s="3">
        <v>4633146</v>
      </c>
      <c r="G2294" s="2">
        <f t="shared" si="70"/>
        <v>30</v>
      </c>
      <c r="H2294" s="2">
        <f t="shared" ca="1" si="71"/>
        <v>77</v>
      </c>
      <c r="I2294" s="4">
        <v>46043</v>
      </c>
      <c r="J2294" s="4">
        <v>46073</v>
      </c>
      <c r="K2294" t="s">
        <v>1470</v>
      </c>
      <c r="L2294" t="s">
        <v>981</v>
      </c>
      <c r="M2294" t="s">
        <v>19</v>
      </c>
      <c r="N2294" t="s">
        <v>158</v>
      </c>
      <c r="O2294">
        <v>30</v>
      </c>
    </row>
    <row r="2295" spans="1:15" hidden="1" x14ac:dyDescent="0.25">
      <c r="A2295" t="s">
        <v>2820</v>
      </c>
      <c r="B2295" t="s">
        <v>156</v>
      </c>
      <c r="C2295" t="s">
        <v>157</v>
      </c>
      <c r="D2295" t="s">
        <v>1289</v>
      </c>
      <c r="E2295" t="s">
        <v>4116</v>
      </c>
      <c r="F2295" s="3">
        <v>3458804</v>
      </c>
      <c r="G2295" s="2">
        <f t="shared" si="70"/>
        <v>30</v>
      </c>
      <c r="H2295" s="2">
        <f t="shared" ca="1" si="71"/>
        <v>77</v>
      </c>
      <c r="I2295" s="4">
        <v>46043</v>
      </c>
      <c r="J2295" s="4">
        <v>46073</v>
      </c>
      <c r="K2295" t="s">
        <v>1470</v>
      </c>
      <c r="L2295" t="s">
        <v>981</v>
      </c>
      <c r="M2295" t="s">
        <v>19</v>
      </c>
      <c r="N2295" t="s">
        <v>158</v>
      </c>
      <c r="O2295">
        <v>30</v>
      </c>
    </row>
    <row r="2296" spans="1:15" hidden="1" x14ac:dyDescent="0.25">
      <c r="A2296" t="s">
        <v>2820</v>
      </c>
      <c r="B2296" t="s">
        <v>1575</v>
      </c>
      <c r="C2296" t="s">
        <v>1576</v>
      </c>
      <c r="D2296" t="s">
        <v>1563</v>
      </c>
      <c r="E2296" t="s">
        <v>4120</v>
      </c>
      <c r="F2296" s="3">
        <v>3241608</v>
      </c>
      <c r="G2296" s="2">
        <f t="shared" si="70"/>
        <v>30</v>
      </c>
      <c r="H2296" s="2">
        <f t="shared" ca="1" si="71"/>
        <v>77</v>
      </c>
      <c r="I2296" s="4">
        <v>46043</v>
      </c>
      <c r="J2296" s="4">
        <v>46073</v>
      </c>
      <c r="K2296" t="s">
        <v>1564</v>
      </c>
      <c r="L2296" t="s">
        <v>984</v>
      </c>
      <c r="M2296" t="s">
        <v>19</v>
      </c>
      <c r="N2296" t="s">
        <v>1577</v>
      </c>
      <c r="O2296">
        <v>30</v>
      </c>
    </row>
    <row r="2297" spans="1:15" hidden="1" x14ac:dyDescent="0.25">
      <c r="A2297" t="s">
        <v>2820</v>
      </c>
      <c r="B2297" t="s">
        <v>1581</v>
      </c>
      <c r="C2297" t="s">
        <v>1582</v>
      </c>
      <c r="D2297" t="s">
        <v>1583</v>
      </c>
      <c r="E2297" t="s">
        <v>4121</v>
      </c>
      <c r="F2297" s="3">
        <v>710979</v>
      </c>
      <c r="G2297" s="2">
        <f t="shared" si="70"/>
        <v>30</v>
      </c>
      <c r="H2297" s="2">
        <f t="shared" ca="1" si="71"/>
        <v>77</v>
      </c>
      <c r="I2297" s="4">
        <v>46043</v>
      </c>
      <c r="J2297" s="4">
        <v>46073</v>
      </c>
      <c r="K2297" t="s">
        <v>1564</v>
      </c>
      <c r="L2297" t="s">
        <v>984</v>
      </c>
      <c r="M2297" t="s">
        <v>19</v>
      </c>
      <c r="N2297" t="s">
        <v>1584</v>
      </c>
      <c r="O2297">
        <v>1</v>
      </c>
    </row>
    <row r="2298" spans="1:15" hidden="1" x14ac:dyDescent="0.25">
      <c r="A2298" t="s">
        <v>2820</v>
      </c>
      <c r="B2298" t="s">
        <v>1569</v>
      </c>
      <c r="C2298" t="s">
        <v>1570</v>
      </c>
      <c r="D2298" t="s">
        <v>1563</v>
      </c>
      <c r="E2298" t="s">
        <v>4122</v>
      </c>
      <c r="F2298" s="3">
        <v>2319600</v>
      </c>
      <c r="G2298" s="2">
        <f t="shared" si="70"/>
        <v>30</v>
      </c>
      <c r="H2298" s="2">
        <f t="shared" ca="1" si="71"/>
        <v>77</v>
      </c>
      <c r="I2298" s="4">
        <v>46043</v>
      </c>
      <c r="J2298" s="4">
        <v>46073</v>
      </c>
      <c r="K2298" t="s">
        <v>1564</v>
      </c>
      <c r="L2298" t="s">
        <v>984</v>
      </c>
      <c r="M2298" t="s">
        <v>19</v>
      </c>
      <c r="N2298" t="s">
        <v>1571</v>
      </c>
      <c r="O2298">
        <v>30</v>
      </c>
    </row>
    <row r="2299" spans="1:15" hidden="1" x14ac:dyDescent="0.25">
      <c r="A2299" t="s">
        <v>2820</v>
      </c>
      <c r="B2299" t="s">
        <v>1569</v>
      </c>
      <c r="C2299" t="s">
        <v>1570</v>
      </c>
      <c r="D2299" t="s">
        <v>1563</v>
      </c>
      <c r="E2299" t="s">
        <v>4123</v>
      </c>
      <c r="F2299" s="3">
        <v>911117</v>
      </c>
      <c r="G2299" s="2">
        <f t="shared" si="70"/>
        <v>30</v>
      </c>
      <c r="H2299" s="2">
        <f t="shared" ca="1" si="71"/>
        <v>77</v>
      </c>
      <c r="I2299" s="4">
        <v>46043</v>
      </c>
      <c r="J2299" s="4">
        <v>46073</v>
      </c>
      <c r="K2299" t="s">
        <v>1564</v>
      </c>
      <c r="L2299" t="s">
        <v>984</v>
      </c>
      <c r="M2299" t="s">
        <v>19</v>
      </c>
      <c r="N2299" t="s">
        <v>1571</v>
      </c>
      <c r="O2299">
        <v>30</v>
      </c>
    </row>
    <row r="2300" spans="1:15" hidden="1" x14ac:dyDescent="0.25">
      <c r="A2300" t="s">
        <v>2820</v>
      </c>
      <c r="B2300" t="s">
        <v>1744</v>
      </c>
      <c r="C2300" t="s">
        <v>1745</v>
      </c>
      <c r="D2300" t="s">
        <v>1740</v>
      </c>
      <c r="E2300" t="s">
        <v>4141</v>
      </c>
      <c r="F2300" s="3">
        <v>3931832</v>
      </c>
      <c r="G2300" s="2">
        <f t="shared" si="70"/>
        <v>30</v>
      </c>
      <c r="H2300" s="2">
        <f t="shared" ca="1" si="71"/>
        <v>77</v>
      </c>
      <c r="I2300" s="4">
        <v>46043</v>
      </c>
      <c r="J2300" s="4">
        <v>46073</v>
      </c>
      <c r="K2300" t="s">
        <v>1738</v>
      </c>
      <c r="L2300" t="s">
        <v>981</v>
      </c>
      <c r="M2300" t="s">
        <v>19</v>
      </c>
      <c r="N2300" t="s">
        <v>1746</v>
      </c>
      <c r="O2300">
        <v>30</v>
      </c>
    </row>
    <row r="2301" spans="1:15" hidden="1" x14ac:dyDescent="0.25">
      <c r="A2301" t="s">
        <v>2820</v>
      </c>
      <c r="B2301" t="s">
        <v>3209</v>
      </c>
      <c r="C2301" t="s">
        <v>3210</v>
      </c>
      <c r="D2301" t="s">
        <v>1740</v>
      </c>
      <c r="E2301" t="s">
        <v>4142</v>
      </c>
      <c r="F2301" s="3">
        <v>1077697</v>
      </c>
      <c r="G2301" s="2">
        <f t="shared" si="70"/>
        <v>30</v>
      </c>
      <c r="H2301" s="2">
        <f t="shared" ca="1" si="71"/>
        <v>77</v>
      </c>
      <c r="I2301" s="4">
        <v>46043</v>
      </c>
      <c r="J2301" s="4">
        <v>46073</v>
      </c>
      <c r="K2301" t="s">
        <v>1738</v>
      </c>
      <c r="L2301" t="s">
        <v>981</v>
      </c>
      <c r="M2301" t="s">
        <v>19</v>
      </c>
      <c r="N2301" t="s">
        <v>3212</v>
      </c>
      <c r="O2301">
        <v>30</v>
      </c>
    </row>
    <row r="2302" spans="1:15" hidden="1" x14ac:dyDescent="0.25">
      <c r="A2302" t="s">
        <v>2820</v>
      </c>
      <c r="B2302" t="s">
        <v>1741</v>
      </c>
      <c r="C2302" t="s">
        <v>1742</v>
      </c>
      <c r="D2302" t="s">
        <v>1740</v>
      </c>
      <c r="E2302" t="s">
        <v>4143</v>
      </c>
      <c r="F2302" s="3">
        <v>1905000</v>
      </c>
      <c r="G2302" s="2">
        <f t="shared" si="70"/>
        <v>30</v>
      </c>
      <c r="H2302" s="2">
        <f t="shared" ca="1" si="71"/>
        <v>77</v>
      </c>
      <c r="I2302" s="4">
        <v>46043</v>
      </c>
      <c r="J2302" s="4">
        <v>46073</v>
      </c>
      <c r="K2302" t="s">
        <v>1738</v>
      </c>
      <c r="L2302" t="s">
        <v>981</v>
      </c>
      <c r="M2302" t="s">
        <v>19</v>
      </c>
      <c r="N2302" t="s">
        <v>1743</v>
      </c>
      <c r="O2302">
        <v>30</v>
      </c>
    </row>
    <row r="2303" spans="1:15" hidden="1" x14ac:dyDescent="0.25">
      <c r="A2303" t="s">
        <v>2820</v>
      </c>
      <c r="B2303" t="s">
        <v>1753</v>
      </c>
      <c r="C2303" t="s">
        <v>1754</v>
      </c>
      <c r="D2303" t="s">
        <v>1752</v>
      </c>
      <c r="E2303" t="s">
        <v>4144</v>
      </c>
      <c r="F2303" s="3">
        <v>676583</v>
      </c>
      <c r="G2303" s="2">
        <f t="shared" si="70"/>
        <v>30</v>
      </c>
      <c r="H2303" s="2">
        <f t="shared" ca="1" si="71"/>
        <v>77</v>
      </c>
      <c r="I2303" s="4">
        <v>46043</v>
      </c>
      <c r="J2303" s="4">
        <v>46073</v>
      </c>
      <c r="K2303" t="s">
        <v>1738</v>
      </c>
      <c r="L2303" t="s">
        <v>981</v>
      </c>
      <c r="M2303" t="s">
        <v>19</v>
      </c>
      <c r="N2303" t="s">
        <v>1755</v>
      </c>
      <c r="O2303">
        <v>30</v>
      </c>
    </row>
    <row r="2304" spans="1:15" hidden="1" x14ac:dyDescent="0.25">
      <c r="A2304" t="s">
        <v>2820</v>
      </c>
      <c r="B2304" t="s">
        <v>1741</v>
      </c>
      <c r="C2304" t="s">
        <v>1742</v>
      </c>
      <c r="D2304" t="s">
        <v>1740</v>
      </c>
      <c r="E2304" t="s">
        <v>4145</v>
      </c>
      <c r="F2304" s="3">
        <v>1545812</v>
      </c>
      <c r="G2304" s="2">
        <f t="shared" si="70"/>
        <v>30</v>
      </c>
      <c r="H2304" s="2">
        <f t="shared" ca="1" si="71"/>
        <v>77</v>
      </c>
      <c r="I2304" s="4">
        <v>46043</v>
      </c>
      <c r="J2304" s="4">
        <v>46073</v>
      </c>
      <c r="K2304" t="s">
        <v>1738</v>
      </c>
      <c r="L2304" t="s">
        <v>981</v>
      </c>
      <c r="M2304" t="s">
        <v>19</v>
      </c>
      <c r="N2304" t="s">
        <v>1743</v>
      </c>
      <c r="O2304">
        <v>30</v>
      </c>
    </row>
    <row r="2305" spans="1:15" hidden="1" x14ac:dyDescent="0.25">
      <c r="A2305" t="s">
        <v>2820</v>
      </c>
      <c r="B2305" t="s">
        <v>2514</v>
      </c>
      <c r="C2305" t="s">
        <v>2515</v>
      </c>
      <c r="D2305" t="s">
        <v>1752</v>
      </c>
      <c r="E2305" t="s">
        <v>4146</v>
      </c>
      <c r="F2305" s="3">
        <v>-800</v>
      </c>
      <c r="G2305" s="2">
        <f t="shared" si="70"/>
        <v>1</v>
      </c>
      <c r="H2305" s="2">
        <f t="shared" ca="1" si="71"/>
        <v>77</v>
      </c>
      <c r="I2305" s="4">
        <v>46043</v>
      </c>
      <c r="J2305" s="4">
        <v>46044</v>
      </c>
      <c r="K2305" t="s">
        <v>1747</v>
      </c>
      <c r="L2305" t="s">
        <v>981</v>
      </c>
      <c r="M2305" t="s">
        <v>19</v>
      </c>
      <c r="N2305" t="s">
        <v>2516</v>
      </c>
      <c r="O2305">
        <v>1</v>
      </c>
    </row>
    <row r="2306" spans="1:15" hidden="1" x14ac:dyDescent="0.25">
      <c r="A2306" t="s">
        <v>2820</v>
      </c>
      <c r="B2306" t="s">
        <v>1753</v>
      </c>
      <c r="C2306" t="s">
        <v>1754</v>
      </c>
      <c r="D2306" t="s">
        <v>1752</v>
      </c>
      <c r="E2306" t="s">
        <v>4147</v>
      </c>
      <c r="F2306" s="3">
        <v>268407</v>
      </c>
      <c r="G2306" s="2">
        <f t="shared" ref="G2306:G2369" si="72">+J2306-I2306</f>
        <v>30</v>
      </c>
      <c r="H2306" s="2">
        <f t="shared" ref="H2306:H2369" ca="1" si="73">+TODAY()-I2306</f>
        <v>77</v>
      </c>
      <c r="I2306" s="4">
        <v>46043</v>
      </c>
      <c r="J2306" s="4">
        <v>46073</v>
      </c>
      <c r="K2306" t="s">
        <v>1747</v>
      </c>
      <c r="L2306" t="s">
        <v>981</v>
      </c>
      <c r="M2306" t="s">
        <v>19</v>
      </c>
      <c r="N2306" t="s">
        <v>1755</v>
      </c>
      <c r="O2306">
        <v>30</v>
      </c>
    </row>
    <row r="2307" spans="1:15" hidden="1" x14ac:dyDescent="0.25">
      <c r="A2307" t="s">
        <v>2820</v>
      </c>
      <c r="B2307" t="s">
        <v>4149</v>
      </c>
      <c r="C2307" t="s">
        <v>4150</v>
      </c>
      <c r="D2307" t="s">
        <v>4148</v>
      </c>
      <c r="E2307" t="s">
        <v>4151</v>
      </c>
      <c r="F2307" s="3">
        <v>1707141</v>
      </c>
      <c r="G2307" s="2">
        <f t="shared" si="72"/>
        <v>30</v>
      </c>
      <c r="H2307" s="2">
        <f t="shared" ca="1" si="73"/>
        <v>77</v>
      </c>
      <c r="I2307" s="4">
        <v>46043</v>
      </c>
      <c r="J2307" s="4">
        <v>46073</v>
      </c>
      <c r="K2307" t="s">
        <v>1747</v>
      </c>
      <c r="L2307" t="s">
        <v>981</v>
      </c>
      <c r="M2307" t="s">
        <v>19</v>
      </c>
      <c r="N2307" t="s">
        <v>4152</v>
      </c>
      <c r="O2307">
        <v>30</v>
      </c>
    </row>
    <row r="2308" spans="1:15" hidden="1" x14ac:dyDescent="0.25">
      <c r="A2308" t="s">
        <v>2820</v>
      </c>
      <c r="B2308" t="s">
        <v>4153</v>
      </c>
      <c r="C2308" t="s">
        <v>4154</v>
      </c>
      <c r="D2308" t="s">
        <v>1842</v>
      </c>
      <c r="E2308" t="s">
        <v>4155</v>
      </c>
      <c r="F2308" s="3">
        <v>-2</v>
      </c>
      <c r="G2308" s="2">
        <f t="shared" si="72"/>
        <v>1</v>
      </c>
      <c r="H2308" s="2">
        <f t="shared" ca="1" si="73"/>
        <v>77</v>
      </c>
      <c r="I2308" s="4">
        <v>46043</v>
      </c>
      <c r="J2308" s="4">
        <v>46044</v>
      </c>
      <c r="K2308" t="s">
        <v>1843</v>
      </c>
      <c r="L2308" t="s">
        <v>981</v>
      </c>
      <c r="M2308" t="s">
        <v>19</v>
      </c>
      <c r="N2308" t="s">
        <v>4156</v>
      </c>
      <c r="O2308">
        <v>30</v>
      </c>
    </row>
    <row r="2309" spans="1:15" hidden="1" x14ac:dyDescent="0.25">
      <c r="A2309" t="s">
        <v>2820</v>
      </c>
      <c r="B2309" t="s">
        <v>1872</v>
      </c>
      <c r="C2309" t="s">
        <v>1873</v>
      </c>
      <c r="D2309" t="s">
        <v>1190</v>
      </c>
      <c r="E2309" t="s">
        <v>4158</v>
      </c>
      <c r="F2309" s="3">
        <v>669125</v>
      </c>
      <c r="G2309" s="2">
        <f t="shared" si="72"/>
        <v>30</v>
      </c>
      <c r="H2309" s="2">
        <f t="shared" ca="1" si="73"/>
        <v>77</v>
      </c>
      <c r="I2309" s="4">
        <v>46043</v>
      </c>
      <c r="J2309" s="4">
        <v>46073</v>
      </c>
      <c r="K2309" t="s">
        <v>1863</v>
      </c>
      <c r="L2309" t="s">
        <v>984</v>
      </c>
      <c r="M2309" t="s">
        <v>19</v>
      </c>
      <c r="N2309" t="s">
        <v>1874</v>
      </c>
      <c r="O2309">
        <v>1</v>
      </c>
    </row>
    <row r="2310" spans="1:15" hidden="1" x14ac:dyDescent="0.25">
      <c r="A2310" t="s">
        <v>2820</v>
      </c>
      <c r="B2310" t="s">
        <v>1872</v>
      </c>
      <c r="C2310" t="s">
        <v>1873</v>
      </c>
      <c r="D2310" t="s">
        <v>1190</v>
      </c>
      <c r="E2310" t="s">
        <v>4159</v>
      </c>
      <c r="F2310" s="3">
        <v>3909086</v>
      </c>
      <c r="G2310" s="2">
        <f t="shared" si="72"/>
        <v>30</v>
      </c>
      <c r="H2310" s="2">
        <f t="shared" ca="1" si="73"/>
        <v>77</v>
      </c>
      <c r="I2310" s="4">
        <v>46043</v>
      </c>
      <c r="J2310" s="4">
        <v>46073</v>
      </c>
      <c r="K2310" t="s">
        <v>1863</v>
      </c>
      <c r="L2310" t="s">
        <v>984</v>
      </c>
      <c r="M2310" t="s">
        <v>19</v>
      </c>
      <c r="N2310" t="s">
        <v>1874</v>
      </c>
      <c r="O2310">
        <v>1</v>
      </c>
    </row>
    <row r="2311" spans="1:15" hidden="1" x14ac:dyDescent="0.25">
      <c r="A2311" t="s">
        <v>2820</v>
      </c>
      <c r="B2311" t="s">
        <v>1872</v>
      </c>
      <c r="C2311" t="s">
        <v>1873</v>
      </c>
      <c r="D2311" t="s">
        <v>1190</v>
      </c>
      <c r="E2311" t="s">
        <v>4160</v>
      </c>
      <c r="F2311" s="3">
        <v>3840000</v>
      </c>
      <c r="G2311" s="2">
        <f t="shared" si="72"/>
        <v>30</v>
      </c>
      <c r="H2311" s="2">
        <f t="shared" ca="1" si="73"/>
        <v>77</v>
      </c>
      <c r="I2311" s="4">
        <v>46043</v>
      </c>
      <c r="J2311" s="4">
        <v>46073</v>
      </c>
      <c r="K2311" t="s">
        <v>1863</v>
      </c>
      <c r="L2311" t="s">
        <v>984</v>
      </c>
      <c r="M2311" t="s">
        <v>19</v>
      </c>
      <c r="N2311" t="s">
        <v>1874</v>
      </c>
      <c r="O2311">
        <v>1</v>
      </c>
    </row>
    <row r="2312" spans="1:15" hidden="1" x14ac:dyDescent="0.25">
      <c r="A2312" t="s">
        <v>2820</v>
      </c>
      <c r="B2312" t="s">
        <v>2007</v>
      </c>
      <c r="C2312" t="s">
        <v>2008</v>
      </c>
      <c r="D2312" t="s">
        <v>1583</v>
      </c>
      <c r="E2312" t="s">
        <v>4161</v>
      </c>
      <c r="F2312" s="3">
        <v>1439302</v>
      </c>
      <c r="G2312" s="2">
        <f t="shared" si="72"/>
        <v>30</v>
      </c>
      <c r="H2312" s="2">
        <f t="shared" ca="1" si="73"/>
        <v>77</v>
      </c>
      <c r="I2312" s="4">
        <v>46043</v>
      </c>
      <c r="J2312" s="4">
        <v>46073</v>
      </c>
      <c r="K2312" t="s">
        <v>1863</v>
      </c>
      <c r="L2312" t="s">
        <v>984</v>
      </c>
      <c r="M2312" t="s">
        <v>19</v>
      </c>
      <c r="N2312" t="s">
        <v>2009</v>
      </c>
      <c r="O2312">
        <v>30</v>
      </c>
    </row>
    <row r="2313" spans="1:15" hidden="1" x14ac:dyDescent="0.25">
      <c r="A2313" t="s">
        <v>2820</v>
      </c>
      <c r="B2313" t="s">
        <v>1188</v>
      </c>
      <c r="C2313" t="s">
        <v>1189</v>
      </c>
      <c r="D2313" t="s">
        <v>1190</v>
      </c>
      <c r="E2313" t="s">
        <v>4162</v>
      </c>
      <c r="F2313" s="3">
        <v>11246340</v>
      </c>
      <c r="G2313" s="2">
        <f t="shared" si="72"/>
        <v>30</v>
      </c>
      <c r="H2313" s="2">
        <f t="shared" ca="1" si="73"/>
        <v>77</v>
      </c>
      <c r="I2313" s="4">
        <v>46043</v>
      </c>
      <c r="J2313" s="4">
        <v>46073</v>
      </c>
      <c r="K2313" t="s">
        <v>1863</v>
      </c>
      <c r="L2313" t="s">
        <v>984</v>
      </c>
      <c r="M2313" t="s">
        <v>19</v>
      </c>
      <c r="N2313" t="s">
        <v>1191</v>
      </c>
      <c r="O2313">
        <v>30</v>
      </c>
    </row>
    <row r="2314" spans="1:15" hidden="1" x14ac:dyDescent="0.25">
      <c r="A2314" t="s">
        <v>2820</v>
      </c>
      <c r="B2314" t="s">
        <v>1900</v>
      </c>
      <c r="C2314" t="s">
        <v>1901</v>
      </c>
      <c r="D2314" t="s">
        <v>1891</v>
      </c>
      <c r="E2314" t="s">
        <v>4168</v>
      </c>
      <c r="F2314" s="3">
        <v>339686</v>
      </c>
      <c r="G2314" s="2">
        <f t="shared" si="72"/>
        <v>30</v>
      </c>
      <c r="H2314" s="2">
        <f t="shared" ca="1" si="73"/>
        <v>77</v>
      </c>
      <c r="I2314" s="4">
        <v>46043</v>
      </c>
      <c r="J2314" s="4">
        <v>46073</v>
      </c>
      <c r="K2314" t="s">
        <v>1892</v>
      </c>
      <c r="L2314" t="s">
        <v>981</v>
      </c>
      <c r="M2314" t="s">
        <v>19</v>
      </c>
      <c r="N2314" t="s">
        <v>1902</v>
      </c>
      <c r="O2314">
        <v>30</v>
      </c>
    </row>
    <row r="2315" spans="1:15" hidden="1" x14ac:dyDescent="0.25">
      <c r="A2315" t="s">
        <v>2820</v>
      </c>
      <c r="B2315" t="s">
        <v>4163</v>
      </c>
      <c r="C2315" t="s">
        <v>4164</v>
      </c>
      <c r="D2315" t="s">
        <v>4165</v>
      </c>
      <c r="E2315" t="s">
        <v>4166</v>
      </c>
      <c r="F2315" s="3">
        <v>1827943</v>
      </c>
      <c r="G2315" s="2">
        <f t="shared" si="72"/>
        <v>30</v>
      </c>
      <c r="H2315" s="2">
        <f t="shared" ca="1" si="73"/>
        <v>77</v>
      </c>
      <c r="I2315" s="4">
        <v>46043</v>
      </c>
      <c r="J2315" s="4">
        <v>46073</v>
      </c>
      <c r="K2315" t="s">
        <v>1892</v>
      </c>
      <c r="L2315" t="s">
        <v>981</v>
      </c>
      <c r="M2315" t="s">
        <v>19</v>
      </c>
      <c r="N2315" t="s">
        <v>4167</v>
      </c>
      <c r="O2315">
        <v>30</v>
      </c>
    </row>
    <row r="2316" spans="1:15" hidden="1" x14ac:dyDescent="0.25">
      <c r="A2316" t="s">
        <v>2820</v>
      </c>
      <c r="B2316" t="s">
        <v>1845</v>
      </c>
      <c r="C2316" t="s">
        <v>1846</v>
      </c>
      <c r="D2316" t="s">
        <v>1847</v>
      </c>
      <c r="E2316" t="s">
        <v>4169</v>
      </c>
      <c r="F2316" s="3">
        <v>1182425</v>
      </c>
      <c r="G2316" s="2">
        <f t="shared" si="72"/>
        <v>30</v>
      </c>
      <c r="H2316" s="2">
        <f t="shared" ca="1" si="73"/>
        <v>77</v>
      </c>
      <c r="I2316" s="4">
        <v>46043</v>
      </c>
      <c r="J2316" s="4">
        <v>46073</v>
      </c>
      <c r="K2316" t="s">
        <v>1892</v>
      </c>
      <c r="L2316" t="s">
        <v>981</v>
      </c>
      <c r="M2316" t="s">
        <v>19</v>
      </c>
      <c r="N2316" t="s">
        <v>1848</v>
      </c>
      <c r="O2316">
        <v>30</v>
      </c>
    </row>
    <row r="2317" spans="1:15" hidden="1" x14ac:dyDescent="0.25">
      <c r="A2317" t="s">
        <v>2820</v>
      </c>
      <c r="B2317" t="s">
        <v>2534</v>
      </c>
      <c r="C2317" t="s">
        <v>2535</v>
      </c>
      <c r="D2317" t="s">
        <v>1891</v>
      </c>
      <c r="E2317" t="s">
        <v>4170</v>
      </c>
      <c r="F2317" s="3">
        <v>261345</v>
      </c>
      <c r="G2317" s="2">
        <f t="shared" si="72"/>
        <v>30</v>
      </c>
      <c r="H2317" s="2">
        <f t="shared" ca="1" si="73"/>
        <v>77</v>
      </c>
      <c r="I2317" s="4">
        <v>46043</v>
      </c>
      <c r="J2317" s="4">
        <v>46073</v>
      </c>
      <c r="K2317" t="s">
        <v>1892</v>
      </c>
      <c r="L2317" t="s">
        <v>981</v>
      </c>
      <c r="M2317" t="s">
        <v>19</v>
      </c>
      <c r="N2317" t="s">
        <v>2537</v>
      </c>
      <c r="O2317">
        <v>30</v>
      </c>
    </row>
    <row r="2318" spans="1:15" hidden="1" x14ac:dyDescent="0.25">
      <c r="A2318" t="s">
        <v>2820</v>
      </c>
      <c r="B2318" t="s">
        <v>165</v>
      </c>
      <c r="C2318" t="s">
        <v>166</v>
      </c>
      <c r="D2318" t="s">
        <v>15</v>
      </c>
      <c r="E2318" t="s">
        <v>3864</v>
      </c>
      <c r="F2318" s="3">
        <v>424000</v>
      </c>
      <c r="G2318" s="2">
        <f t="shared" si="72"/>
        <v>10</v>
      </c>
      <c r="H2318" s="2">
        <f t="shared" ca="1" si="73"/>
        <v>76</v>
      </c>
      <c r="I2318" s="4">
        <v>46044</v>
      </c>
      <c r="J2318" s="4">
        <v>46054</v>
      </c>
      <c r="K2318" t="s">
        <v>17</v>
      </c>
      <c r="L2318" t="s">
        <v>32</v>
      </c>
      <c r="M2318" t="s">
        <v>19</v>
      </c>
      <c r="N2318" t="s">
        <v>167</v>
      </c>
      <c r="O2318">
        <v>30</v>
      </c>
    </row>
    <row r="2319" spans="1:15" hidden="1" x14ac:dyDescent="0.25">
      <c r="A2319" t="s">
        <v>2820</v>
      </c>
      <c r="B2319" t="s">
        <v>79</v>
      </c>
      <c r="C2319" t="s">
        <v>80</v>
      </c>
      <c r="D2319" t="s">
        <v>46</v>
      </c>
      <c r="E2319" t="s">
        <v>3923</v>
      </c>
      <c r="F2319" s="3">
        <v>1134000</v>
      </c>
      <c r="G2319" s="2">
        <f t="shared" si="72"/>
        <v>30</v>
      </c>
      <c r="H2319" s="2">
        <f t="shared" ca="1" si="73"/>
        <v>76</v>
      </c>
      <c r="I2319" s="4">
        <v>46044</v>
      </c>
      <c r="J2319" s="4">
        <v>46074</v>
      </c>
      <c r="K2319" t="s">
        <v>17</v>
      </c>
      <c r="L2319" t="s">
        <v>32</v>
      </c>
      <c r="M2319" t="s">
        <v>19</v>
      </c>
      <c r="N2319" t="s">
        <v>81</v>
      </c>
      <c r="O2319">
        <v>30</v>
      </c>
    </row>
    <row r="2320" spans="1:15" hidden="1" x14ac:dyDescent="0.25">
      <c r="A2320" t="s">
        <v>2820</v>
      </c>
      <c r="B2320" t="s">
        <v>79</v>
      </c>
      <c r="C2320" t="s">
        <v>80</v>
      </c>
      <c r="D2320" t="s">
        <v>46</v>
      </c>
      <c r="E2320" t="s">
        <v>3924</v>
      </c>
      <c r="F2320" s="3">
        <v>268100</v>
      </c>
      <c r="G2320" s="2">
        <f t="shared" si="72"/>
        <v>30</v>
      </c>
      <c r="H2320" s="2">
        <f t="shared" ca="1" si="73"/>
        <v>76</v>
      </c>
      <c r="I2320" s="4">
        <v>46044</v>
      </c>
      <c r="J2320" s="4">
        <v>46074</v>
      </c>
      <c r="K2320" t="s">
        <v>17</v>
      </c>
      <c r="L2320" t="s">
        <v>32</v>
      </c>
      <c r="M2320" t="s">
        <v>19</v>
      </c>
      <c r="N2320" t="s">
        <v>81</v>
      </c>
      <c r="O2320">
        <v>30</v>
      </c>
    </row>
    <row r="2321" spans="1:15" hidden="1" x14ac:dyDescent="0.25">
      <c r="A2321" t="s">
        <v>2820</v>
      </c>
      <c r="B2321" t="s">
        <v>139</v>
      </c>
      <c r="C2321" t="s">
        <v>140</v>
      </c>
      <c r="D2321" t="s">
        <v>46</v>
      </c>
      <c r="E2321" t="s">
        <v>3925</v>
      </c>
      <c r="F2321" s="3">
        <v>420000</v>
      </c>
      <c r="G2321" s="2">
        <f t="shared" si="72"/>
        <v>10</v>
      </c>
      <c r="H2321" s="2">
        <f t="shared" ca="1" si="73"/>
        <v>76</v>
      </c>
      <c r="I2321" s="4">
        <v>46044</v>
      </c>
      <c r="J2321" s="4">
        <v>46054</v>
      </c>
      <c r="K2321" t="s">
        <v>17</v>
      </c>
      <c r="L2321" t="s">
        <v>32</v>
      </c>
      <c r="M2321" t="s">
        <v>19</v>
      </c>
      <c r="N2321" t="s">
        <v>141</v>
      </c>
      <c r="O2321">
        <v>30</v>
      </c>
    </row>
    <row r="2322" spans="1:15" hidden="1" x14ac:dyDescent="0.25">
      <c r="A2322" t="s">
        <v>2820</v>
      </c>
      <c r="B2322" t="s">
        <v>55</v>
      </c>
      <c r="C2322" t="s">
        <v>56</v>
      </c>
      <c r="D2322" t="s">
        <v>46</v>
      </c>
      <c r="E2322" t="s">
        <v>3926</v>
      </c>
      <c r="F2322" s="3">
        <v>478819</v>
      </c>
      <c r="G2322" s="2">
        <f t="shared" si="72"/>
        <v>30</v>
      </c>
      <c r="H2322" s="2">
        <f t="shared" ca="1" si="73"/>
        <v>76</v>
      </c>
      <c r="I2322" s="4">
        <v>46044</v>
      </c>
      <c r="J2322" s="4">
        <v>46074</v>
      </c>
      <c r="K2322" t="s">
        <v>17</v>
      </c>
      <c r="L2322" t="s">
        <v>32</v>
      </c>
      <c r="M2322" t="s">
        <v>19</v>
      </c>
      <c r="N2322" t="s">
        <v>57</v>
      </c>
      <c r="O2322">
        <v>30</v>
      </c>
    </row>
    <row r="2323" spans="1:15" hidden="1" x14ac:dyDescent="0.25">
      <c r="A2323" t="s">
        <v>2820</v>
      </c>
      <c r="B2323" t="s">
        <v>168</v>
      </c>
      <c r="C2323" t="s">
        <v>169</v>
      </c>
      <c r="D2323" t="s">
        <v>15</v>
      </c>
      <c r="E2323" t="s">
        <v>3927</v>
      </c>
      <c r="F2323" s="3">
        <v>403280</v>
      </c>
      <c r="G2323" s="2">
        <f t="shared" si="72"/>
        <v>30</v>
      </c>
      <c r="H2323" s="2">
        <f t="shared" ca="1" si="73"/>
        <v>76</v>
      </c>
      <c r="I2323" s="4">
        <v>46044</v>
      </c>
      <c r="J2323" s="4">
        <v>46074</v>
      </c>
      <c r="K2323" t="s">
        <v>17</v>
      </c>
      <c r="L2323" t="s">
        <v>32</v>
      </c>
      <c r="M2323" t="s">
        <v>19</v>
      </c>
      <c r="N2323" t="s">
        <v>170</v>
      </c>
      <c r="O2323">
        <v>30</v>
      </c>
    </row>
    <row r="2324" spans="1:15" hidden="1" x14ac:dyDescent="0.25">
      <c r="A2324" t="s">
        <v>2820</v>
      </c>
      <c r="B2324" t="s">
        <v>168</v>
      </c>
      <c r="C2324" t="s">
        <v>169</v>
      </c>
      <c r="D2324" t="s">
        <v>15</v>
      </c>
      <c r="E2324" t="s">
        <v>3928</v>
      </c>
      <c r="F2324" s="3">
        <v>1338000</v>
      </c>
      <c r="G2324" s="2">
        <f t="shared" si="72"/>
        <v>30</v>
      </c>
      <c r="H2324" s="2">
        <f t="shared" ca="1" si="73"/>
        <v>76</v>
      </c>
      <c r="I2324" s="4">
        <v>46044</v>
      </c>
      <c r="J2324" s="4">
        <v>46074</v>
      </c>
      <c r="K2324" t="s">
        <v>17</v>
      </c>
      <c r="L2324" t="s">
        <v>32</v>
      </c>
      <c r="M2324" t="s">
        <v>19</v>
      </c>
      <c r="N2324" t="s">
        <v>170</v>
      </c>
      <c r="O2324">
        <v>30</v>
      </c>
    </row>
    <row r="2325" spans="1:15" hidden="1" x14ac:dyDescent="0.25">
      <c r="A2325" t="s">
        <v>2820</v>
      </c>
      <c r="B2325" t="s">
        <v>55</v>
      </c>
      <c r="C2325" t="s">
        <v>56</v>
      </c>
      <c r="D2325" t="s">
        <v>46</v>
      </c>
      <c r="E2325" t="s">
        <v>3929</v>
      </c>
      <c r="F2325" s="3">
        <v>629762</v>
      </c>
      <c r="G2325" s="2">
        <f t="shared" si="72"/>
        <v>30</v>
      </c>
      <c r="H2325" s="2">
        <f t="shared" ca="1" si="73"/>
        <v>76</v>
      </c>
      <c r="I2325" s="4">
        <v>46044</v>
      </c>
      <c r="J2325" s="4">
        <v>46074</v>
      </c>
      <c r="K2325" t="s">
        <v>17</v>
      </c>
      <c r="L2325" t="s">
        <v>32</v>
      </c>
      <c r="M2325" t="s">
        <v>19</v>
      </c>
      <c r="N2325" t="s">
        <v>57</v>
      </c>
      <c r="O2325">
        <v>30</v>
      </c>
    </row>
    <row r="2326" spans="1:15" hidden="1" x14ac:dyDescent="0.25">
      <c r="A2326" t="s">
        <v>2820</v>
      </c>
      <c r="B2326" t="s">
        <v>2563</v>
      </c>
      <c r="C2326" t="s">
        <v>2564</v>
      </c>
      <c r="D2326" t="s">
        <v>15</v>
      </c>
      <c r="E2326" t="s">
        <v>3930</v>
      </c>
      <c r="F2326" s="3">
        <v>411144</v>
      </c>
      <c r="G2326" s="2">
        <f t="shared" si="72"/>
        <v>30</v>
      </c>
      <c r="H2326" s="2">
        <f t="shared" ca="1" si="73"/>
        <v>76</v>
      </c>
      <c r="I2326" s="4">
        <v>46044</v>
      </c>
      <c r="J2326" s="4">
        <v>46074</v>
      </c>
      <c r="K2326" t="s">
        <v>17</v>
      </c>
      <c r="L2326" t="s">
        <v>32</v>
      </c>
      <c r="M2326" t="s">
        <v>19</v>
      </c>
      <c r="N2326" t="s">
        <v>2565</v>
      </c>
      <c r="O2326">
        <v>30</v>
      </c>
    </row>
    <row r="2327" spans="1:15" hidden="1" x14ac:dyDescent="0.25">
      <c r="A2327" t="s">
        <v>2820</v>
      </c>
      <c r="B2327" t="s">
        <v>2013</v>
      </c>
      <c r="C2327" t="s">
        <v>2014</v>
      </c>
      <c r="D2327" t="s">
        <v>15</v>
      </c>
      <c r="E2327" t="s">
        <v>3931</v>
      </c>
      <c r="F2327" s="3">
        <v>2100000</v>
      </c>
      <c r="G2327" s="2">
        <f t="shared" si="72"/>
        <v>10</v>
      </c>
      <c r="H2327" s="2">
        <f t="shared" ca="1" si="73"/>
        <v>76</v>
      </c>
      <c r="I2327" s="4">
        <v>46044</v>
      </c>
      <c r="J2327" s="4">
        <v>46054</v>
      </c>
      <c r="K2327" t="s">
        <v>17</v>
      </c>
      <c r="L2327" t="s">
        <v>32</v>
      </c>
      <c r="M2327" t="s">
        <v>19</v>
      </c>
      <c r="N2327" t="s">
        <v>2015</v>
      </c>
      <c r="O2327">
        <v>30</v>
      </c>
    </row>
    <row r="2328" spans="1:15" hidden="1" x14ac:dyDescent="0.25">
      <c r="A2328" t="s">
        <v>2820</v>
      </c>
      <c r="B2328" t="s">
        <v>2203</v>
      </c>
      <c r="C2328" t="s">
        <v>2204</v>
      </c>
      <c r="D2328" t="s">
        <v>15</v>
      </c>
      <c r="E2328" t="s">
        <v>3932</v>
      </c>
      <c r="F2328" s="3">
        <v>420000</v>
      </c>
      <c r="G2328" s="2">
        <f t="shared" si="72"/>
        <v>10</v>
      </c>
      <c r="H2328" s="2">
        <f t="shared" ca="1" si="73"/>
        <v>76</v>
      </c>
      <c r="I2328" s="4">
        <v>46044</v>
      </c>
      <c r="J2328" s="4">
        <v>46054</v>
      </c>
      <c r="K2328" t="s">
        <v>17</v>
      </c>
      <c r="L2328" t="s">
        <v>317</v>
      </c>
      <c r="M2328" t="s">
        <v>19</v>
      </c>
      <c r="N2328" t="s">
        <v>2205</v>
      </c>
      <c r="O2328">
        <v>30</v>
      </c>
    </row>
    <row r="2329" spans="1:15" hidden="1" x14ac:dyDescent="0.25">
      <c r="A2329" t="s">
        <v>2820</v>
      </c>
      <c r="B2329" t="s">
        <v>1905</v>
      </c>
      <c r="C2329" t="s">
        <v>2124</v>
      </c>
      <c r="D2329" t="s">
        <v>15</v>
      </c>
      <c r="E2329" t="s">
        <v>3933</v>
      </c>
      <c r="F2329" s="3">
        <v>211841</v>
      </c>
      <c r="G2329" s="2">
        <f t="shared" si="72"/>
        <v>15</v>
      </c>
      <c r="H2329" s="2">
        <f t="shared" ca="1" si="73"/>
        <v>76</v>
      </c>
      <c r="I2329" s="4">
        <v>46044</v>
      </c>
      <c r="J2329" s="4">
        <v>46059</v>
      </c>
      <c r="K2329" t="s">
        <v>17</v>
      </c>
      <c r="L2329" t="s">
        <v>317</v>
      </c>
      <c r="M2329" t="s">
        <v>19</v>
      </c>
      <c r="N2329" t="s">
        <v>1906</v>
      </c>
      <c r="O2329">
        <v>30</v>
      </c>
    </row>
    <row r="2330" spans="1:15" hidden="1" x14ac:dyDescent="0.25">
      <c r="A2330" t="s">
        <v>2820</v>
      </c>
      <c r="B2330" t="s">
        <v>104</v>
      </c>
      <c r="C2330" t="s">
        <v>105</v>
      </c>
      <c r="D2330" t="s">
        <v>46</v>
      </c>
      <c r="E2330" t="s">
        <v>3934</v>
      </c>
      <c r="F2330" s="3">
        <v>4330170</v>
      </c>
      <c r="G2330" s="2">
        <f t="shared" si="72"/>
        <v>30</v>
      </c>
      <c r="H2330" s="2">
        <f t="shared" ca="1" si="73"/>
        <v>76</v>
      </c>
      <c r="I2330" s="4">
        <v>46044</v>
      </c>
      <c r="J2330" s="4">
        <v>46074</v>
      </c>
      <c r="K2330" t="s">
        <v>17</v>
      </c>
      <c r="L2330" t="s">
        <v>32</v>
      </c>
      <c r="M2330" t="s">
        <v>19</v>
      </c>
      <c r="N2330" t="s">
        <v>106</v>
      </c>
      <c r="O2330">
        <v>30</v>
      </c>
    </row>
    <row r="2331" spans="1:15" hidden="1" x14ac:dyDescent="0.25">
      <c r="A2331" t="s">
        <v>2820</v>
      </c>
      <c r="B2331" t="s">
        <v>1427</v>
      </c>
      <c r="C2331" t="s">
        <v>1428</v>
      </c>
      <c r="D2331" t="s">
        <v>875</v>
      </c>
      <c r="E2331" t="s">
        <v>3935</v>
      </c>
      <c r="F2331" s="3">
        <v>2144047</v>
      </c>
      <c r="G2331" s="2">
        <f t="shared" si="72"/>
        <v>30</v>
      </c>
      <c r="H2331" s="2">
        <f t="shared" ca="1" si="73"/>
        <v>76</v>
      </c>
      <c r="I2331" s="4">
        <v>46044</v>
      </c>
      <c r="J2331" s="4">
        <v>46074</v>
      </c>
      <c r="K2331" t="s">
        <v>17</v>
      </c>
      <c r="L2331" t="s">
        <v>90</v>
      </c>
      <c r="M2331" t="s">
        <v>19</v>
      </c>
      <c r="N2331" t="s">
        <v>1429</v>
      </c>
      <c r="O2331">
        <v>30</v>
      </c>
    </row>
    <row r="2332" spans="1:15" hidden="1" x14ac:dyDescent="0.25">
      <c r="A2332" t="s">
        <v>2820</v>
      </c>
      <c r="B2332" t="s">
        <v>79</v>
      </c>
      <c r="C2332" t="s">
        <v>80</v>
      </c>
      <c r="D2332" t="s">
        <v>46</v>
      </c>
      <c r="E2332" t="s">
        <v>3936</v>
      </c>
      <c r="F2332" s="3">
        <v>820000</v>
      </c>
      <c r="G2332" s="2">
        <f t="shared" si="72"/>
        <v>30</v>
      </c>
      <c r="H2332" s="2">
        <f t="shared" ca="1" si="73"/>
        <v>76</v>
      </c>
      <c r="I2332" s="4">
        <v>46044</v>
      </c>
      <c r="J2332" s="4">
        <v>46074</v>
      </c>
      <c r="K2332" t="s">
        <v>17</v>
      </c>
      <c r="L2332" t="s">
        <v>32</v>
      </c>
      <c r="M2332" t="s">
        <v>19</v>
      </c>
      <c r="N2332" t="s">
        <v>81</v>
      </c>
      <c r="O2332">
        <v>30</v>
      </c>
    </row>
    <row r="2333" spans="1:15" hidden="1" x14ac:dyDescent="0.25">
      <c r="A2333" t="s">
        <v>2820</v>
      </c>
      <c r="B2333" t="s">
        <v>82</v>
      </c>
      <c r="C2333" t="s">
        <v>83</v>
      </c>
      <c r="D2333" t="s">
        <v>15</v>
      </c>
      <c r="E2333" t="s">
        <v>3937</v>
      </c>
      <c r="F2333" s="3">
        <v>2458247</v>
      </c>
      <c r="G2333" s="2">
        <f t="shared" si="72"/>
        <v>30</v>
      </c>
      <c r="H2333" s="2">
        <f t="shared" ca="1" si="73"/>
        <v>76</v>
      </c>
      <c r="I2333" s="4">
        <v>46044</v>
      </c>
      <c r="J2333" s="4">
        <v>46074</v>
      </c>
      <c r="K2333" t="s">
        <v>17</v>
      </c>
      <c r="L2333" t="s">
        <v>32</v>
      </c>
      <c r="M2333" t="s">
        <v>19</v>
      </c>
      <c r="N2333" t="s">
        <v>84</v>
      </c>
      <c r="O2333">
        <v>30</v>
      </c>
    </row>
    <row r="2334" spans="1:15" hidden="1" x14ac:dyDescent="0.25">
      <c r="A2334" t="s">
        <v>2820</v>
      </c>
      <c r="B2334" t="s">
        <v>52</v>
      </c>
      <c r="C2334" t="s">
        <v>53</v>
      </c>
      <c r="D2334" t="s">
        <v>15</v>
      </c>
      <c r="E2334" t="s">
        <v>3938</v>
      </c>
      <c r="F2334" s="3">
        <v>2100000</v>
      </c>
      <c r="G2334" s="2">
        <f t="shared" si="72"/>
        <v>10</v>
      </c>
      <c r="H2334" s="2">
        <f t="shared" ca="1" si="73"/>
        <v>76</v>
      </c>
      <c r="I2334" s="4">
        <v>46044</v>
      </c>
      <c r="J2334" s="4">
        <v>46054</v>
      </c>
      <c r="K2334" t="s">
        <v>17</v>
      </c>
      <c r="L2334" t="s">
        <v>32</v>
      </c>
      <c r="M2334" t="s">
        <v>19</v>
      </c>
      <c r="N2334" t="s">
        <v>54</v>
      </c>
      <c r="O2334">
        <v>30</v>
      </c>
    </row>
    <row r="2335" spans="1:15" hidden="1" x14ac:dyDescent="0.25">
      <c r="A2335" t="s">
        <v>2820</v>
      </c>
      <c r="B2335" t="s">
        <v>101</v>
      </c>
      <c r="C2335" t="s">
        <v>102</v>
      </c>
      <c r="D2335" t="s">
        <v>15</v>
      </c>
      <c r="E2335" t="s">
        <v>4184</v>
      </c>
      <c r="F2335" s="3">
        <v>2382478</v>
      </c>
      <c r="G2335" s="2">
        <f t="shared" si="72"/>
        <v>30</v>
      </c>
      <c r="H2335" s="2">
        <f t="shared" ca="1" si="73"/>
        <v>76</v>
      </c>
      <c r="I2335" s="4">
        <v>46044</v>
      </c>
      <c r="J2335" s="4">
        <v>46074</v>
      </c>
      <c r="K2335" t="s">
        <v>17</v>
      </c>
      <c r="L2335" t="s">
        <v>32</v>
      </c>
      <c r="M2335" t="s">
        <v>19</v>
      </c>
      <c r="N2335" t="s">
        <v>103</v>
      </c>
      <c r="O2335">
        <v>30</v>
      </c>
    </row>
    <row r="2336" spans="1:15" hidden="1" x14ac:dyDescent="0.25">
      <c r="A2336" t="s">
        <v>2820</v>
      </c>
      <c r="B2336" t="s">
        <v>2084</v>
      </c>
      <c r="C2336" t="s">
        <v>2085</v>
      </c>
      <c r="D2336" t="s">
        <v>15</v>
      </c>
      <c r="E2336" t="s">
        <v>4284</v>
      </c>
      <c r="F2336" s="3">
        <v>21000</v>
      </c>
      <c r="G2336" s="2">
        <f t="shared" si="72"/>
        <v>30</v>
      </c>
      <c r="H2336" s="2">
        <f t="shared" ca="1" si="73"/>
        <v>76</v>
      </c>
      <c r="I2336" s="4">
        <v>46044</v>
      </c>
      <c r="J2336" s="4">
        <v>46074</v>
      </c>
      <c r="K2336" t="s">
        <v>17</v>
      </c>
      <c r="L2336" t="s">
        <v>109</v>
      </c>
      <c r="M2336" t="s">
        <v>19</v>
      </c>
      <c r="N2336" t="s">
        <v>2086</v>
      </c>
      <c r="O2336">
        <v>30</v>
      </c>
    </row>
    <row r="2337" spans="1:15" hidden="1" x14ac:dyDescent="0.25">
      <c r="A2337" t="s">
        <v>2820</v>
      </c>
      <c r="B2337" t="s">
        <v>4285</v>
      </c>
      <c r="C2337" t="s">
        <v>4286</v>
      </c>
      <c r="D2337" t="s">
        <v>15</v>
      </c>
      <c r="E2337" t="s">
        <v>4287</v>
      </c>
      <c r="F2337" s="3">
        <v>367200</v>
      </c>
      <c r="G2337" s="2">
        <f t="shared" si="72"/>
        <v>30</v>
      </c>
      <c r="H2337" s="2">
        <f t="shared" ca="1" si="73"/>
        <v>76</v>
      </c>
      <c r="I2337" s="4">
        <v>46044</v>
      </c>
      <c r="J2337" s="4">
        <v>46074</v>
      </c>
      <c r="K2337" t="s">
        <v>17</v>
      </c>
      <c r="L2337" t="s">
        <v>109</v>
      </c>
      <c r="M2337" t="s">
        <v>19</v>
      </c>
      <c r="N2337" t="s">
        <v>4288</v>
      </c>
      <c r="O2337">
        <v>30</v>
      </c>
    </row>
    <row r="2338" spans="1:15" hidden="1" x14ac:dyDescent="0.25">
      <c r="A2338" t="s">
        <v>2820</v>
      </c>
      <c r="B2338" t="s">
        <v>648</v>
      </c>
      <c r="C2338" t="s">
        <v>649</v>
      </c>
      <c r="D2338" t="s">
        <v>336</v>
      </c>
      <c r="E2338" t="s">
        <v>3969</v>
      </c>
      <c r="F2338" s="3">
        <v>932552</v>
      </c>
      <c r="G2338" s="2">
        <f t="shared" si="72"/>
        <v>30</v>
      </c>
      <c r="H2338" s="2">
        <f t="shared" ca="1" si="73"/>
        <v>76</v>
      </c>
      <c r="I2338" s="4">
        <v>46044</v>
      </c>
      <c r="J2338" s="4">
        <v>46074</v>
      </c>
      <c r="K2338" t="s">
        <v>638</v>
      </c>
      <c r="L2338" t="s">
        <v>47</v>
      </c>
      <c r="M2338" t="s">
        <v>19</v>
      </c>
      <c r="N2338" t="s">
        <v>650</v>
      </c>
      <c r="O2338">
        <v>30</v>
      </c>
    </row>
    <row r="2339" spans="1:15" hidden="1" x14ac:dyDescent="0.25">
      <c r="A2339" t="s">
        <v>2820</v>
      </c>
      <c r="B2339" t="s">
        <v>205</v>
      </c>
      <c r="C2339" t="s">
        <v>206</v>
      </c>
      <c r="D2339" t="s">
        <v>15</v>
      </c>
      <c r="E2339" t="s">
        <v>3970</v>
      </c>
      <c r="F2339" s="3">
        <v>-4</v>
      </c>
      <c r="G2339" s="2">
        <f t="shared" si="72"/>
        <v>1</v>
      </c>
      <c r="H2339" s="2">
        <f t="shared" ca="1" si="73"/>
        <v>76</v>
      </c>
      <c r="I2339" s="4">
        <v>46044</v>
      </c>
      <c r="J2339" s="4">
        <v>46045</v>
      </c>
      <c r="K2339" t="s">
        <v>638</v>
      </c>
      <c r="L2339" t="s">
        <v>117</v>
      </c>
      <c r="M2339" t="s">
        <v>19</v>
      </c>
      <c r="N2339" t="s">
        <v>149</v>
      </c>
      <c r="O2339">
        <v>1</v>
      </c>
    </row>
    <row r="2340" spans="1:15" hidden="1" x14ac:dyDescent="0.25">
      <c r="A2340" t="s">
        <v>2820</v>
      </c>
      <c r="B2340" t="s">
        <v>657</v>
      </c>
      <c r="C2340" t="s">
        <v>658</v>
      </c>
      <c r="D2340" t="s">
        <v>336</v>
      </c>
      <c r="E2340" t="s">
        <v>3971</v>
      </c>
      <c r="F2340" s="3">
        <v>1061218</v>
      </c>
      <c r="G2340" s="2">
        <f t="shared" si="72"/>
        <v>30</v>
      </c>
      <c r="H2340" s="2">
        <f t="shared" ca="1" si="73"/>
        <v>76</v>
      </c>
      <c r="I2340" s="4">
        <v>46044</v>
      </c>
      <c r="J2340" s="4">
        <v>46074</v>
      </c>
      <c r="K2340" t="s">
        <v>638</v>
      </c>
      <c r="L2340" t="s">
        <v>18</v>
      </c>
      <c r="M2340" t="s">
        <v>19</v>
      </c>
      <c r="N2340" t="s">
        <v>659</v>
      </c>
      <c r="O2340">
        <v>30</v>
      </c>
    </row>
    <row r="2341" spans="1:15" hidden="1" x14ac:dyDescent="0.25">
      <c r="A2341" t="s">
        <v>2820</v>
      </c>
      <c r="B2341" t="s">
        <v>645</v>
      </c>
      <c r="C2341" t="s">
        <v>646</v>
      </c>
      <c r="D2341" t="s">
        <v>642</v>
      </c>
      <c r="E2341" t="s">
        <v>3972</v>
      </c>
      <c r="F2341" s="3">
        <v>750147</v>
      </c>
      <c r="G2341" s="2">
        <f t="shared" si="72"/>
        <v>30</v>
      </c>
      <c r="H2341" s="2">
        <f t="shared" ca="1" si="73"/>
        <v>76</v>
      </c>
      <c r="I2341" s="4">
        <v>46044</v>
      </c>
      <c r="J2341" s="4">
        <v>46074</v>
      </c>
      <c r="K2341" t="s">
        <v>638</v>
      </c>
      <c r="L2341" t="s">
        <v>18</v>
      </c>
      <c r="M2341" t="s">
        <v>19</v>
      </c>
      <c r="N2341" t="s">
        <v>647</v>
      </c>
      <c r="O2341">
        <v>30</v>
      </c>
    </row>
    <row r="2342" spans="1:15" hidden="1" x14ac:dyDescent="0.25">
      <c r="A2342" t="s">
        <v>2820</v>
      </c>
      <c r="B2342" t="s">
        <v>651</v>
      </c>
      <c r="C2342" t="s">
        <v>652</v>
      </c>
      <c r="D2342" t="s">
        <v>642</v>
      </c>
      <c r="E2342" t="s">
        <v>3973</v>
      </c>
      <c r="F2342" s="3">
        <v>1545215</v>
      </c>
      <c r="G2342" s="2">
        <f t="shared" si="72"/>
        <v>30</v>
      </c>
      <c r="H2342" s="2">
        <f t="shared" ca="1" si="73"/>
        <v>76</v>
      </c>
      <c r="I2342" s="4">
        <v>46044</v>
      </c>
      <c r="J2342" s="4">
        <v>46074</v>
      </c>
      <c r="K2342" t="s">
        <v>638</v>
      </c>
      <c r="L2342" t="s">
        <v>18</v>
      </c>
      <c r="M2342" t="s">
        <v>19</v>
      </c>
      <c r="N2342" t="s">
        <v>653</v>
      </c>
      <c r="O2342">
        <v>30</v>
      </c>
    </row>
    <row r="2343" spans="1:15" hidden="1" x14ac:dyDescent="0.25">
      <c r="A2343" t="s">
        <v>2820</v>
      </c>
      <c r="B2343" t="s">
        <v>660</v>
      </c>
      <c r="C2343" t="s">
        <v>661</v>
      </c>
      <c r="D2343" t="s">
        <v>336</v>
      </c>
      <c r="E2343" t="s">
        <v>3974</v>
      </c>
      <c r="F2343" s="3">
        <v>703536</v>
      </c>
      <c r="G2343" s="2">
        <f t="shared" si="72"/>
        <v>30</v>
      </c>
      <c r="H2343" s="2">
        <f t="shared" ca="1" si="73"/>
        <v>76</v>
      </c>
      <c r="I2343" s="4">
        <v>46044</v>
      </c>
      <c r="J2343" s="4">
        <v>46074</v>
      </c>
      <c r="K2343" t="s">
        <v>638</v>
      </c>
      <c r="L2343" t="s">
        <v>18</v>
      </c>
      <c r="M2343" t="s">
        <v>19</v>
      </c>
      <c r="N2343" t="s">
        <v>662</v>
      </c>
      <c r="O2343">
        <v>30</v>
      </c>
    </row>
    <row r="2344" spans="1:15" hidden="1" x14ac:dyDescent="0.25">
      <c r="A2344" t="s">
        <v>2820</v>
      </c>
      <c r="B2344" t="s">
        <v>1922</v>
      </c>
      <c r="C2344" t="s">
        <v>1923</v>
      </c>
      <c r="D2344" t="s">
        <v>336</v>
      </c>
      <c r="E2344" t="s">
        <v>3975</v>
      </c>
      <c r="F2344" s="3">
        <v>436729</v>
      </c>
      <c r="G2344" s="2">
        <f t="shared" si="72"/>
        <v>30</v>
      </c>
      <c r="H2344" s="2">
        <f t="shared" ca="1" si="73"/>
        <v>76</v>
      </c>
      <c r="I2344" s="4">
        <v>46044</v>
      </c>
      <c r="J2344" s="4">
        <v>46074</v>
      </c>
      <c r="K2344" t="s">
        <v>638</v>
      </c>
      <c r="L2344" t="s">
        <v>18</v>
      </c>
      <c r="M2344" t="s">
        <v>19</v>
      </c>
      <c r="N2344" t="s">
        <v>1924</v>
      </c>
      <c r="O2344">
        <v>30</v>
      </c>
    </row>
    <row r="2345" spans="1:15" hidden="1" x14ac:dyDescent="0.25">
      <c r="A2345" t="s">
        <v>2820</v>
      </c>
      <c r="B2345" t="s">
        <v>1922</v>
      </c>
      <c r="C2345" t="s">
        <v>1923</v>
      </c>
      <c r="D2345" t="s">
        <v>336</v>
      </c>
      <c r="E2345" t="s">
        <v>3976</v>
      </c>
      <c r="F2345" s="3">
        <v>1230000</v>
      </c>
      <c r="G2345" s="2">
        <f t="shared" si="72"/>
        <v>30</v>
      </c>
      <c r="H2345" s="2">
        <f t="shared" ca="1" si="73"/>
        <v>76</v>
      </c>
      <c r="I2345" s="4">
        <v>46044</v>
      </c>
      <c r="J2345" s="4">
        <v>46074</v>
      </c>
      <c r="K2345" t="s">
        <v>638</v>
      </c>
      <c r="L2345" t="s">
        <v>18</v>
      </c>
      <c r="M2345" t="s">
        <v>19</v>
      </c>
      <c r="N2345" t="s">
        <v>1924</v>
      </c>
      <c r="O2345">
        <v>30</v>
      </c>
    </row>
    <row r="2346" spans="1:15" hidden="1" x14ac:dyDescent="0.25">
      <c r="A2346" t="s">
        <v>2820</v>
      </c>
      <c r="B2346" t="s">
        <v>654</v>
      </c>
      <c r="C2346" t="s">
        <v>655</v>
      </c>
      <c r="D2346" t="s">
        <v>642</v>
      </c>
      <c r="E2346" t="s">
        <v>3977</v>
      </c>
      <c r="F2346" s="3">
        <v>968306</v>
      </c>
      <c r="G2346" s="2">
        <f t="shared" si="72"/>
        <v>30</v>
      </c>
      <c r="H2346" s="2">
        <f t="shared" ca="1" si="73"/>
        <v>76</v>
      </c>
      <c r="I2346" s="4">
        <v>46044</v>
      </c>
      <c r="J2346" s="4">
        <v>46074</v>
      </c>
      <c r="K2346" t="s">
        <v>638</v>
      </c>
      <c r="L2346" t="s">
        <v>18</v>
      </c>
      <c r="M2346" t="s">
        <v>19</v>
      </c>
      <c r="N2346" t="s">
        <v>656</v>
      </c>
      <c r="O2346">
        <v>30</v>
      </c>
    </row>
    <row r="2347" spans="1:15" hidden="1" x14ac:dyDescent="0.25">
      <c r="A2347" t="s">
        <v>2820</v>
      </c>
      <c r="B2347" t="s">
        <v>654</v>
      </c>
      <c r="C2347" t="s">
        <v>655</v>
      </c>
      <c r="D2347" t="s">
        <v>642</v>
      </c>
      <c r="E2347" t="s">
        <v>3978</v>
      </c>
      <c r="F2347" s="3">
        <v>653200</v>
      </c>
      <c r="G2347" s="2">
        <f t="shared" si="72"/>
        <v>30</v>
      </c>
      <c r="H2347" s="2">
        <f t="shared" ca="1" si="73"/>
        <v>76</v>
      </c>
      <c r="I2347" s="4">
        <v>46044</v>
      </c>
      <c r="J2347" s="4">
        <v>46074</v>
      </c>
      <c r="K2347" t="s">
        <v>638</v>
      </c>
      <c r="L2347" t="s">
        <v>18</v>
      </c>
      <c r="M2347" t="s">
        <v>19</v>
      </c>
      <c r="N2347" t="s">
        <v>656</v>
      </c>
      <c r="O2347">
        <v>30</v>
      </c>
    </row>
    <row r="2348" spans="1:15" hidden="1" x14ac:dyDescent="0.25">
      <c r="A2348" t="s">
        <v>2820</v>
      </c>
      <c r="B2348" t="s">
        <v>645</v>
      </c>
      <c r="C2348" t="s">
        <v>646</v>
      </c>
      <c r="D2348" t="s">
        <v>642</v>
      </c>
      <c r="E2348" t="s">
        <v>4171</v>
      </c>
      <c r="F2348" s="3">
        <v>463253</v>
      </c>
      <c r="G2348" s="2">
        <f t="shared" si="72"/>
        <v>30</v>
      </c>
      <c r="H2348" s="2">
        <f t="shared" ca="1" si="73"/>
        <v>76</v>
      </c>
      <c r="I2348" s="4">
        <v>46044</v>
      </c>
      <c r="J2348" s="4">
        <v>46074</v>
      </c>
      <c r="K2348" t="s">
        <v>638</v>
      </c>
      <c r="L2348" t="s">
        <v>47</v>
      </c>
      <c r="M2348" t="s">
        <v>19</v>
      </c>
      <c r="N2348" t="s">
        <v>647</v>
      </c>
      <c r="O2348">
        <v>30</v>
      </c>
    </row>
    <row r="2349" spans="1:15" hidden="1" x14ac:dyDescent="0.25">
      <c r="A2349" t="s">
        <v>2820</v>
      </c>
      <c r="B2349" t="s">
        <v>645</v>
      </c>
      <c r="C2349" t="s">
        <v>646</v>
      </c>
      <c r="D2349" t="s">
        <v>642</v>
      </c>
      <c r="E2349" t="s">
        <v>4172</v>
      </c>
      <c r="F2349" s="3">
        <v>100188</v>
      </c>
      <c r="G2349" s="2">
        <f t="shared" si="72"/>
        <v>30</v>
      </c>
      <c r="H2349" s="2">
        <f t="shared" ca="1" si="73"/>
        <v>76</v>
      </c>
      <c r="I2349" s="4">
        <v>46044</v>
      </c>
      <c r="J2349" s="4">
        <v>46074</v>
      </c>
      <c r="K2349" t="s">
        <v>638</v>
      </c>
      <c r="L2349" t="s">
        <v>47</v>
      </c>
      <c r="M2349" t="s">
        <v>19</v>
      </c>
      <c r="N2349" t="s">
        <v>647</v>
      </c>
      <c r="O2349">
        <v>30</v>
      </c>
    </row>
    <row r="2350" spans="1:15" hidden="1" x14ac:dyDescent="0.25">
      <c r="A2350" t="s">
        <v>2820</v>
      </c>
      <c r="B2350" t="s">
        <v>651</v>
      </c>
      <c r="C2350" t="s">
        <v>652</v>
      </c>
      <c r="D2350" t="s">
        <v>642</v>
      </c>
      <c r="E2350" t="s">
        <v>4177</v>
      </c>
      <c r="F2350" s="3">
        <v>135437</v>
      </c>
      <c r="G2350" s="2">
        <f t="shared" si="72"/>
        <v>30</v>
      </c>
      <c r="H2350" s="2">
        <f t="shared" ca="1" si="73"/>
        <v>76</v>
      </c>
      <c r="I2350" s="4">
        <v>46044</v>
      </c>
      <c r="J2350" s="4">
        <v>46074</v>
      </c>
      <c r="K2350" t="s">
        <v>638</v>
      </c>
      <c r="L2350" t="s">
        <v>18</v>
      </c>
      <c r="M2350" t="s">
        <v>19</v>
      </c>
      <c r="N2350" t="s">
        <v>653</v>
      </c>
      <c r="O2350">
        <v>30</v>
      </c>
    </row>
    <row r="2351" spans="1:15" hidden="1" x14ac:dyDescent="0.25">
      <c r="A2351" t="s">
        <v>2820</v>
      </c>
      <c r="B2351" t="s">
        <v>4339</v>
      </c>
      <c r="C2351" t="s">
        <v>4340</v>
      </c>
      <c r="D2351" t="s">
        <v>336</v>
      </c>
      <c r="E2351" t="s">
        <v>4341</v>
      </c>
      <c r="F2351" s="3">
        <v>688524</v>
      </c>
      <c r="G2351" s="2">
        <f t="shared" si="72"/>
        <v>15</v>
      </c>
      <c r="H2351" s="2">
        <f t="shared" ca="1" si="73"/>
        <v>76</v>
      </c>
      <c r="I2351" s="4">
        <v>46044</v>
      </c>
      <c r="J2351" s="4">
        <v>46059</v>
      </c>
      <c r="K2351" t="s">
        <v>638</v>
      </c>
      <c r="L2351" t="s">
        <v>317</v>
      </c>
      <c r="M2351" t="s">
        <v>19</v>
      </c>
      <c r="N2351" t="s">
        <v>4342</v>
      </c>
      <c r="O2351">
        <v>30</v>
      </c>
    </row>
    <row r="2352" spans="1:15" hidden="1" x14ac:dyDescent="0.25">
      <c r="A2352" t="s">
        <v>2820</v>
      </c>
      <c r="B2352" t="s">
        <v>4339</v>
      </c>
      <c r="C2352" t="s">
        <v>4340</v>
      </c>
      <c r="D2352" t="s">
        <v>336</v>
      </c>
      <c r="E2352" t="s">
        <v>4343</v>
      </c>
      <c r="F2352" s="3">
        <v>420000</v>
      </c>
      <c r="G2352" s="2">
        <f t="shared" si="72"/>
        <v>10</v>
      </c>
      <c r="H2352" s="2">
        <f t="shared" ca="1" si="73"/>
        <v>76</v>
      </c>
      <c r="I2352" s="4">
        <v>46044</v>
      </c>
      <c r="J2352" s="4">
        <v>46054</v>
      </c>
      <c r="K2352" t="s">
        <v>638</v>
      </c>
      <c r="L2352" t="s">
        <v>317</v>
      </c>
      <c r="M2352" t="s">
        <v>19</v>
      </c>
      <c r="N2352" t="s">
        <v>4342</v>
      </c>
      <c r="O2352">
        <v>30</v>
      </c>
    </row>
    <row r="2353" spans="1:15" hidden="1" x14ac:dyDescent="0.25">
      <c r="A2353" t="s">
        <v>2820</v>
      </c>
      <c r="B2353" t="s">
        <v>205</v>
      </c>
      <c r="C2353" t="s">
        <v>206</v>
      </c>
      <c r="D2353" t="s">
        <v>15</v>
      </c>
      <c r="E2353" t="s">
        <v>4344</v>
      </c>
      <c r="F2353" s="3">
        <v>194100</v>
      </c>
      <c r="G2353" s="2">
        <f t="shared" si="72"/>
        <v>1</v>
      </c>
      <c r="H2353" s="2">
        <f t="shared" ca="1" si="73"/>
        <v>76</v>
      </c>
      <c r="I2353" s="4">
        <v>46044</v>
      </c>
      <c r="J2353" s="4">
        <v>46045</v>
      </c>
      <c r="K2353" t="s">
        <v>638</v>
      </c>
      <c r="L2353" t="s">
        <v>317</v>
      </c>
      <c r="M2353" t="s">
        <v>19</v>
      </c>
      <c r="N2353" t="s">
        <v>149</v>
      </c>
      <c r="O2353">
        <v>1</v>
      </c>
    </row>
    <row r="2354" spans="1:15" hidden="1" x14ac:dyDescent="0.25">
      <c r="A2354" t="s">
        <v>2820</v>
      </c>
      <c r="B2354" t="s">
        <v>205</v>
      </c>
      <c r="C2354" t="s">
        <v>206</v>
      </c>
      <c r="D2354" t="s">
        <v>15</v>
      </c>
      <c r="E2354" t="s">
        <v>4345</v>
      </c>
      <c r="F2354" s="3">
        <v>85600</v>
      </c>
      <c r="G2354" s="2">
        <f t="shared" si="72"/>
        <v>1</v>
      </c>
      <c r="H2354" s="2">
        <f t="shared" ca="1" si="73"/>
        <v>76</v>
      </c>
      <c r="I2354" s="4">
        <v>46044</v>
      </c>
      <c r="J2354" s="4">
        <v>46045</v>
      </c>
      <c r="K2354" t="s">
        <v>638</v>
      </c>
      <c r="L2354" t="s">
        <v>317</v>
      </c>
      <c r="M2354" t="s">
        <v>19</v>
      </c>
      <c r="N2354" t="s">
        <v>149</v>
      </c>
      <c r="O2354">
        <v>1</v>
      </c>
    </row>
    <row r="2355" spans="1:15" hidden="1" x14ac:dyDescent="0.25">
      <c r="A2355" t="s">
        <v>2820</v>
      </c>
      <c r="B2355" t="s">
        <v>205</v>
      </c>
      <c r="C2355" t="s">
        <v>206</v>
      </c>
      <c r="D2355" t="s">
        <v>15</v>
      </c>
      <c r="E2355" t="s">
        <v>4346</v>
      </c>
      <c r="F2355" s="3">
        <v>85951</v>
      </c>
      <c r="G2355" s="2">
        <f t="shared" si="72"/>
        <v>1</v>
      </c>
      <c r="H2355" s="2">
        <f t="shared" ca="1" si="73"/>
        <v>76</v>
      </c>
      <c r="I2355" s="4">
        <v>46044</v>
      </c>
      <c r="J2355" s="4">
        <v>46045</v>
      </c>
      <c r="K2355" t="s">
        <v>638</v>
      </c>
      <c r="L2355" t="s">
        <v>317</v>
      </c>
      <c r="M2355" t="s">
        <v>19</v>
      </c>
      <c r="N2355" t="s">
        <v>149</v>
      </c>
      <c r="O2355">
        <v>1</v>
      </c>
    </row>
    <row r="2356" spans="1:15" hidden="1" x14ac:dyDescent="0.25">
      <c r="A2356" t="s">
        <v>2820</v>
      </c>
      <c r="B2356" t="s">
        <v>205</v>
      </c>
      <c r="C2356" t="s">
        <v>206</v>
      </c>
      <c r="D2356" t="s">
        <v>15</v>
      </c>
      <c r="E2356" t="s">
        <v>4347</v>
      </c>
      <c r="F2356" s="3">
        <v>391786</v>
      </c>
      <c r="G2356" s="2">
        <f t="shared" si="72"/>
        <v>1</v>
      </c>
      <c r="H2356" s="2">
        <f t="shared" ca="1" si="73"/>
        <v>76</v>
      </c>
      <c r="I2356" s="4">
        <v>46044</v>
      </c>
      <c r="J2356" s="4">
        <v>46045</v>
      </c>
      <c r="K2356" t="s">
        <v>638</v>
      </c>
      <c r="L2356" t="s">
        <v>317</v>
      </c>
      <c r="M2356" t="s">
        <v>19</v>
      </c>
      <c r="N2356" t="s">
        <v>149</v>
      </c>
      <c r="O2356">
        <v>1</v>
      </c>
    </row>
    <row r="2357" spans="1:15" hidden="1" x14ac:dyDescent="0.25">
      <c r="A2357" t="s">
        <v>2820</v>
      </c>
      <c r="B2357" t="s">
        <v>4348</v>
      </c>
      <c r="C2357" t="s">
        <v>4349</v>
      </c>
      <c r="D2357" t="s">
        <v>642</v>
      </c>
      <c r="E2357" t="s">
        <v>4350</v>
      </c>
      <c r="F2357" s="3">
        <v>420000</v>
      </c>
      <c r="G2357" s="2">
        <f t="shared" si="72"/>
        <v>1</v>
      </c>
      <c r="H2357" s="2">
        <f t="shared" ca="1" si="73"/>
        <v>76</v>
      </c>
      <c r="I2357" s="4">
        <v>46044</v>
      </c>
      <c r="J2357" s="4">
        <v>46045</v>
      </c>
      <c r="K2357" t="s">
        <v>638</v>
      </c>
      <c r="L2357" t="s">
        <v>317</v>
      </c>
      <c r="M2357" t="s">
        <v>19</v>
      </c>
      <c r="N2357" t="s">
        <v>4351</v>
      </c>
      <c r="O2357">
        <v>8</v>
      </c>
    </row>
    <row r="2358" spans="1:15" hidden="1" x14ac:dyDescent="0.25">
      <c r="A2358" t="s">
        <v>2820</v>
      </c>
      <c r="B2358" t="s">
        <v>4348</v>
      </c>
      <c r="C2358" t="s">
        <v>4349</v>
      </c>
      <c r="D2358" t="s">
        <v>642</v>
      </c>
      <c r="E2358" t="s">
        <v>4352</v>
      </c>
      <c r="F2358" s="3">
        <v>450596</v>
      </c>
      <c r="G2358" s="2">
        <f t="shared" si="72"/>
        <v>1</v>
      </c>
      <c r="H2358" s="2">
        <f t="shared" ca="1" si="73"/>
        <v>76</v>
      </c>
      <c r="I2358" s="4">
        <v>46044</v>
      </c>
      <c r="J2358" s="4">
        <v>46045</v>
      </c>
      <c r="K2358" t="s">
        <v>638</v>
      </c>
      <c r="L2358" t="s">
        <v>317</v>
      </c>
      <c r="M2358" t="s">
        <v>19</v>
      </c>
      <c r="N2358" t="s">
        <v>4351</v>
      </c>
      <c r="O2358">
        <v>8</v>
      </c>
    </row>
    <row r="2359" spans="1:15" hidden="1" x14ac:dyDescent="0.25">
      <c r="A2359" t="s">
        <v>2820</v>
      </c>
      <c r="B2359" t="s">
        <v>4348</v>
      </c>
      <c r="C2359" t="s">
        <v>4349</v>
      </c>
      <c r="D2359" t="s">
        <v>642</v>
      </c>
      <c r="E2359" t="s">
        <v>4353</v>
      </c>
      <c r="F2359" s="3">
        <v>129854</v>
      </c>
      <c r="G2359" s="2">
        <f t="shared" si="72"/>
        <v>1</v>
      </c>
      <c r="H2359" s="2">
        <f t="shared" ca="1" si="73"/>
        <v>76</v>
      </c>
      <c r="I2359" s="4">
        <v>46044</v>
      </c>
      <c r="J2359" s="4">
        <v>46045</v>
      </c>
      <c r="K2359" t="s">
        <v>638</v>
      </c>
      <c r="L2359" t="s">
        <v>317</v>
      </c>
      <c r="M2359" t="s">
        <v>19</v>
      </c>
      <c r="N2359" t="s">
        <v>4351</v>
      </c>
      <c r="O2359">
        <v>8</v>
      </c>
    </row>
    <row r="2360" spans="1:15" hidden="1" x14ac:dyDescent="0.25">
      <c r="A2360" t="s">
        <v>2820</v>
      </c>
      <c r="B2360" t="s">
        <v>4354</v>
      </c>
      <c r="C2360" t="s">
        <v>4355</v>
      </c>
      <c r="D2360" t="s">
        <v>336</v>
      </c>
      <c r="E2360" t="s">
        <v>4356</v>
      </c>
      <c r="F2360" s="3">
        <v>223162</v>
      </c>
      <c r="G2360" s="2">
        <f t="shared" si="72"/>
        <v>1</v>
      </c>
      <c r="H2360" s="2">
        <f t="shared" ca="1" si="73"/>
        <v>76</v>
      </c>
      <c r="I2360" s="4">
        <v>46044</v>
      </c>
      <c r="J2360" s="4">
        <v>46045</v>
      </c>
      <c r="K2360" t="s">
        <v>638</v>
      </c>
      <c r="L2360" t="s">
        <v>317</v>
      </c>
      <c r="M2360" t="s">
        <v>19</v>
      </c>
      <c r="N2360" t="s">
        <v>4357</v>
      </c>
      <c r="O2360">
        <v>30</v>
      </c>
    </row>
    <row r="2361" spans="1:15" hidden="1" x14ac:dyDescent="0.25">
      <c r="A2361" t="s">
        <v>2820</v>
      </c>
      <c r="B2361" t="s">
        <v>4358</v>
      </c>
      <c r="C2361" t="s">
        <v>4359</v>
      </c>
      <c r="D2361" t="s">
        <v>336</v>
      </c>
      <c r="E2361" t="s">
        <v>4360</v>
      </c>
      <c r="F2361" s="3">
        <v>246943</v>
      </c>
      <c r="G2361" s="2">
        <f t="shared" si="72"/>
        <v>1</v>
      </c>
      <c r="H2361" s="2">
        <f t="shared" ca="1" si="73"/>
        <v>76</v>
      </c>
      <c r="I2361" s="4">
        <v>46044</v>
      </c>
      <c r="J2361" s="4">
        <v>46045</v>
      </c>
      <c r="K2361" t="s">
        <v>638</v>
      </c>
      <c r="L2361" t="s">
        <v>317</v>
      </c>
      <c r="M2361" t="s">
        <v>19</v>
      </c>
      <c r="N2361" t="s">
        <v>4351</v>
      </c>
      <c r="O2361">
        <v>30</v>
      </c>
    </row>
    <row r="2362" spans="1:15" hidden="1" x14ac:dyDescent="0.25">
      <c r="A2362" t="s">
        <v>2820</v>
      </c>
      <c r="B2362" t="s">
        <v>4358</v>
      </c>
      <c r="C2362" t="s">
        <v>4359</v>
      </c>
      <c r="D2362" t="s">
        <v>336</v>
      </c>
      <c r="E2362" t="s">
        <v>4361</v>
      </c>
      <c r="F2362" s="3">
        <v>29150</v>
      </c>
      <c r="G2362" s="2">
        <f t="shared" si="72"/>
        <v>1</v>
      </c>
      <c r="H2362" s="2">
        <f t="shared" ca="1" si="73"/>
        <v>76</v>
      </c>
      <c r="I2362" s="4">
        <v>46044</v>
      </c>
      <c r="J2362" s="4">
        <v>46045</v>
      </c>
      <c r="K2362" t="s">
        <v>638</v>
      </c>
      <c r="L2362" t="s">
        <v>317</v>
      </c>
      <c r="M2362" t="s">
        <v>19</v>
      </c>
      <c r="N2362" t="s">
        <v>4351</v>
      </c>
      <c r="O2362">
        <v>30</v>
      </c>
    </row>
    <row r="2363" spans="1:15" hidden="1" x14ac:dyDescent="0.25">
      <c r="A2363" t="s">
        <v>2820</v>
      </c>
      <c r="B2363" t="s">
        <v>4362</v>
      </c>
      <c r="C2363" t="s">
        <v>4363</v>
      </c>
      <c r="D2363" t="s">
        <v>336</v>
      </c>
      <c r="E2363" t="s">
        <v>4364</v>
      </c>
      <c r="F2363" s="3">
        <v>70267</v>
      </c>
      <c r="G2363" s="2">
        <f t="shared" si="72"/>
        <v>1</v>
      </c>
      <c r="H2363" s="2">
        <f t="shared" ca="1" si="73"/>
        <v>76</v>
      </c>
      <c r="I2363" s="4">
        <v>46044</v>
      </c>
      <c r="J2363" s="4">
        <v>46045</v>
      </c>
      <c r="K2363" t="s">
        <v>638</v>
      </c>
      <c r="L2363" t="s">
        <v>317</v>
      </c>
      <c r="M2363" t="s">
        <v>19</v>
      </c>
      <c r="N2363" t="s">
        <v>4365</v>
      </c>
      <c r="O2363">
        <v>30</v>
      </c>
    </row>
    <row r="2364" spans="1:15" hidden="1" x14ac:dyDescent="0.25">
      <c r="A2364" t="s">
        <v>2820</v>
      </c>
      <c r="B2364" t="s">
        <v>4366</v>
      </c>
      <c r="C2364" t="s">
        <v>4367</v>
      </c>
      <c r="D2364" t="s">
        <v>336</v>
      </c>
      <c r="E2364" t="s">
        <v>4368</v>
      </c>
      <c r="F2364" s="3">
        <v>127921</v>
      </c>
      <c r="G2364" s="2">
        <f t="shared" si="72"/>
        <v>1</v>
      </c>
      <c r="H2364" s="2">
        <f t="shared" ca="1" si="73"/>
        <v>76</v>
      </c>
      <c r="I2364" s="4">
        <v>46044</v>
      </c>
      <c r="J2364" s="4">
        <v>46045</v>
      </c>
      <c r="K2364" t="s">
        <v>638</v>
      </c>
      <c r="L2364" t="s">
        <v>317</v>
      </c>
      <c r="M2364" t="s">
        <v>19</v>
      </c>
      <c r="N2364" t="s">
        <v>4369</v>
      </c>
      <c r="O2364">
        <v>30</v>
      </c>
    </row>
    <row r="2365" spans="1:15" hidden="1" x14ac:dyDescent="0.25">
      <c r="A2365" t="s">
        <v>2820</v>
      </c>
      <c r="B2365" t="s">
        <v>4366</v>
      </c>
      <c r="C2365" t="s">
        <v>4367</v>
      </c>
      <c r="D2365" t="s">
        <v>336</v>
      </c>
      <c r="E2365" t="s">
        <v>4370</v>
      </c>
      <c r="F2365" s="3">
        <v>45150</v>
      </c>
      <c r="G2365" s="2">
        <f t="shared" si="72"/>
        <v>1</v>
      </c>
      <c r="H2365" s="2">
        <f t="shared" ca="1" si="73"/>
        <v>76</v>
      </c>
      <c r="I2365" s="4">
        <v>46044</v>
      </c>
      <c r="J2365" s="4">
        <v>46045</v>
      </c>
      <c r="K2365" t="s">
        <v>638</v>
      </c>
      <c r="L2365" t="s">
        <v>317</v>
      </c>
      <c r="M2365" t="s">
        <v>19</v>
      </c>
      <c r="N2365" t="s">
        <v>4369</v>
      </c>
      <c r="O2365">
        <v>30</v>
      </c>
    </row>
    <row r="2366" spans="1:15" hidden="1" x14ac:dyDescent="0.25">
      <c r="A2366" t="s">
        <v>2820</v>
      </c>
      <c r="B2366" t="s">
        <v>4371</v>
      </c>
      <c r="C2366" t="s">
        <v>4372</v>
      </c>
      <c r="D2366" t="s">
        <v>336</v>
      </c>
      <c r="E2366" t="s">
        <v>4373</v>
      </c>
      <c r="F2366" s="3">
        <v>280318</v>
      </c>
      <c r="G2366" s="2">
        <f t="shared" si="72"/>
        <v>1</v>
      </c>
      <c r="H2366" s="2">
        <f t="shared" ca="1" si="73"/>
        <v>76</v>
      </c>
      <c r="I2366" s="4">
        <v>46044</v>
      </c>
      <c r="J2366" s="4">
        <v>46045</v>
      </c>
      <c r="K2366" t="s">
        <v>638</v>
      </c>
      <c r="L2366" t="s">
        <v>317</v>
      </c>
      <c r="M2366" t="s">
        <v>19</v>
      </c>
      <c r="N2366" t="s">
        <v>4374</v>
      </c>
      <c r="O2366">
        <v>30</v>
      </c>
    </row>
    <row r="2367" spans="1:15" hidden="1" x14ac:dyDescent="0.25">
      <c r="A2367" t="s">
        <v>2820</v>
      </c>
      <c r="B2367" t="s">
        <v>4371</v>
      </c>
      <c r="C2367" t="s">
        <v>4372</v>
      </c>
      <c r="D2367" t="s">
        <v>336</v>
      </c>
      <c r="E2367" t="s">
        <v>4375</v>
      </c>
      <c r="F2367" s="3">
        <v>223697</v>
      </c>
      <c r="G2367" s="2">
        <f t="shared" si="72"/>
        <v>1</v>
      </c>
      <c r="H2367" s="2">
        <f t="shared" ca="1" si="73"/>
        <v>76</v>
      </c>
      <c r="I2367" s="4">
        <v>46044</v>
      </c>
      <c r="J2367" s="4">
        <v>46045</v>
      </c>
      <c r="K2367" t="s">
        <v>638</v>
      </c>
      <c r="L2367" t="s">
        <v>317</v>
      </c>
      <c r="M2367" t="s">
        <v>19</v>
      </c>
      <c r="N2367" t="s">
        <v>4374</v>
      </c>
      <c r="O2367">
        <v>30</v>
      </c>
    </row>
    <row r="2368" spans="1:15" hidden="1" x14ac:dyDescent="0.25">
      <c r="A2368" t="s">
        <v>2820</v>
      </c>
      <c r="B2368" t="s">
        <v>4376</v>
      </c>
      <c r="C2368" t="s">
        <v>4377</v>
      </c>
      <c r="D2368" t="s">
        <v>336</v>
      </c>
      <c r="E2368" t="s">
        <v>4378</v>
      </c>
      <c r="F2368" s="3">
        <v>140559</v>
      </c>
      <c r="G2368" s="2">
        <f t="shared" si="72"/>
        <v>1</v>
      </c>
      <c r="H2368" s="2">
        <f t="shared" ca="1" si="73"/>
        <v>76</v>
      </c>
      <c r="I2368" s="4">
        <v>46044</v>
      </c>
      <c r="J2368" s="4">
        <v>46045</v>
      </c>
      <c r="K2368" t="s">
        <v>638</v>
      </c>
      <c r="L2368" t="s">
        <v>317</v>
      </c>
      <c r="M2368" t="s">
        <v>19</v>
      </c>
      <c r="N2368" t="s">
        <v>4379</v>
      </c>
      <c r="O2368">
        <v>1</v>
      </c>
    </row>
    <row r="2369" spans="1:15" hidden="1" x14ac:dyDescent="0.25">
      <c r="A2369" t="s">
        <v>2820</v>
      </c>
      <c r="B2369" t="s">
        <v>996</v>
      </c>
      <c r="C2369" t="s">
        <v>997</v>
      </c>
      <c r="D2369" t="s">
        <v>998</v>
      </c>
      <c r="E2369" t="s">
        <v>4173</v>
      </c>
      <c r="F2369" s="3">
        <v>352464</v>
      </c>
      <c r="G2369" s="2">
        <f t="shared" si="72"/>
        <v>30</v>
      </c>
      <c r="H2369" s="2">
        <f t="shared" ca="1" si="73"/>
        <v>76</v>
      </c>
      <c r="I2369" s="4">
        <v>46044</v>
      </c>
      <c r="J2369" s="4">
        <v>46074</v>
      </c>
      <c r="K2369" t="s">
        <v>989</v>
      </c>
      <c r="L2369" t="s">
        <v>18</v>
      </c>
      <c r="M2369" t="s">
        <v>19</v>
      </c>
      <c r="N2369" t="s">
        <v>999</v>
      </c>
      <c r="O2369">
        <v>30</v>
      </c>
    </row>
    <row r="2370" spans="1:15" hidden="1" x14ac:dyDescent="0.25">
      <c r="A2370" t="s">
        <v>2820</v>
      </c>
      <c r="B2370" t="s">
        <v>996</v>
      </c>
      <c r="C2370" t="s">
        <v>997</v>
      </c>
      <c r="D2370" t="s">
        <v>998</v>
      </c>
      <c r="E2370" t="s">
        <v>4174</v>
      </c>
      <c r="F2370" s="3">
        <v>2405924</v>
      </c>
      <c r="G2370" s="2">
        <f t="shared" ref="G2370:G2433" si="74">+J2370-I2370</f>
        <v>30</v>
      </c>
      <c r="H2370" s="2">
        <f t="shared" ref="H2370:H2433" ca="1" si="75">+TODAY()-I2370</f>
        <v>76</v>
      </c>
      <c r="I2370" s="4">
        <v>46044</v>
      </c>
      <c r="J2370" s="4">
        <v>46074</v>
      </c>
      <c r="K2370" t="s">
        <v>989</v>
      </c>
      <c r="L2370" t="s">
        <v>18</v>
      </c>
      <c r="M2370" t="s">
        <v>19</v>
      </c>
      <c r="N2370" t="s">
        <v>999</v>
      </c>
      <c r="O2370">
        <v>30</v>
      </c>
    </row>
    <row r="2371" spans="1:15" hidden="1" x14ac:dyDescent="0.25">
      <c r="A2371" t="s">
        <v>2820</v>
      </c>
      <c r="B2371" t="s">
        <v>996</v>
      </c>
      <c r="C2371" t="s">
        <v>997</v>
      </c>
      <c r="D2371" t="s">
        <v>998</v>
      </c>
      <c r="E2371" t="s">
        <v>4176</v>
      </c>
      <c r="F2371" s="3">
        <v>719947</v>
      </c>
      <c r="G2371" s="2">
        <f t="shared" si="74"/>
        <v>30</v>
      </c>
      <c r="H2371" s="2">
        <f t="shared" ca="1" si="75"/>
        <v>76</v>
      </c>
      <c r="I2371" s="4">
        <v>46044</v>
      </c>
      <c r="J2371" s="4">
        <v>46074</v>
      </c>
      <c r="K2371" t="s">
        <v>989</v>
      </c>
      <c r="L2371" t="s">
        <v>18</v>
      </c>
      <c r="M2371" t="s">
        <v>19</v>
      </c>
      <c r="N2371" t="s">
        <v>999</v>
      </c>
      <c r="O2371">
        <v>30</v>
      </c>
    </row>
    <row r="2372" spans="1:15" hidden="1" x14ac:dyDescent="0.25">
      <c r="A2372" t="s">
        <v>2820</v>
      </c>
      <c r="B2372" t="s">
        <v>2133</v>
      </c>
      <c r="C2372" t="s">
        <v>2134</v>
      </c>
      <c r="D2372" t="s">
        <v>994</v>
      </c>
      <c r="E2372" t="s">
        <v>4178</v>
      </c>
      <c r="F2372" s="3">
        <v>555698</v>
      </c>
      <c r="G2372" s="2">
        <f t="shared" si="74"/>
        <v>30</v>
      </c>
      <c r="H2372" s="2">
        <f t="shared" ca="1" si="75"/>
        <v>76</v>
      </c>
      <c r="I2372" s="4">
        <v>46044</v>
      </c>
      <c r="J2372" s="4">
        <v>46074</v>
      </c>
      <c r="K2372" t="s">
        <v>989</v>
      </c>
      <c r="L2372" t="s">
        <v>18</v>
      </c>
      <c r="M2372" t="s">
        <v>19</v>
      </c>
      <c r="N2372" t="s">
        <v>2135</v>
      </c>
      <c r="O2372">
        <v>30</v>
      </c>
    </row>
    <row r="2373" spans="1:15" hidden="1" x14ac:dyDescent="0.25">
      <c r="A2373" t="s">
        <v>2820</v>
      </c>
      <c r="B2373" t="s">
        <v>1000</v>
      </c>
      <c r="C2373" t="s">
        <v>1001</v>
      </c>
      <c r="D2373" t="s">
        <v>994</v>
      </c>
      <c r="E2373" t="s">
        <v>4179</v>
      </c>
      <c r="F2373" s="3">
        <v>918799</v>
      </c>
      <c r="G2373" s="2">
        <f t="shared" si="74"/>
        <v>30</v>
      </c>
      <c r="H2373" s="2">
        <f t="shared" ca="1" si="75"/>
        <v>76</v>
      </c>
      <c r="I2373" s="4">
        <v>46044</v>
      </c>
      <c r="J2373" s="4">
        <v>46074</v>
      </c>
      <c r="K2373" t="s">
        <v>989</v>
      </c>
      <c r="L2373" t="s">
        <v>18</v>
      </c>
      <c r="M2373" t="s">
        <v>19</v>
      </c>
      <c r="N2373" t="s">
        <v>1002</v>
      </c>
      <c r="O2373">
        <v>30</v>
      </c>
    </row>
    <row r="2374" spans="1:15" hidden="1" x14ac:dyDescent="0.25">
      <c r="A2374" t="s">
        <v>2820</v>
      </c>
      <c r="B2374" t="s">
        <v>4407</v>
      </c>
      <c r="C2374" t="s">
        <v>4408</v>
      </c>
      <c r="D2374" t="s">
        <v>998</v>
      </c>
      <c r="E2374" t="s">
        <v>4409</v>
      </c>
      <c r="F2374" s="3">
        <v>144164</v>
      </c>
      <c r="G2374" s="2">
        <f t="shared" si="74"/>
        <v>1</v>
      </c>
      <c r="H2374" s="2">
        <f t="shared" ca="1" si="75"/>
        <v>76</v>
      </c>
      <c r="I2374" s="4">
        <v>46044</v>
      </c>
      <c r="J2374" s="4">
        <v>46045</v>
      </c>
      <c r="K2374" t="s">
        <v>989</v>
      </c>
      <c r="L2374" t="s">
        <v>317</v>
      </c>
      <c r="M2374" t="s">
        <v>19</v>
      </c>
      <c r="N2374" t="s">
        <v>4410</v>
      </c>
      <c r="O2374">
        <v>1</v>
      </c>
    </row>
    <row r="2375" spans="1:15" hidden="1" x14ac:dyDescent="0.25">
      <c r="A2375" t="s">
        <v>2820</v>
      </c>
      <c r="B2375" t="s">
        <v>4411</v>
      </c>
      <c r="C2375" t="s">
        <v>4412</v>
      </c>
      <c r="D2375" t="s">
        <v>994</v>
      </c>
      <c r="E2375" t="s">
        <v>4413</v>
      </c>
      <c r="F2375" s="3">
        <v>135472</v>
      </c>
      <c r="G2375" s="2">
        <f t="shared" si="74"/>
        <v>1</v>
      </c>
      <c r="H2375" s="2">
        <f t="shared" ca="1" si="75"/>
        <v>76</v>
      </c>
      <c r="I2375" s="4">
        <v>46044</v>
      </c>
      <c r="J2375" s="4">
        <v>46045</v>
      </c>
      <c r="K2375" t="s">
        <v>989</v>
      </c>
      <c r="L2375" t="s">
        <v>317</v>
      </c>
      <c r="M2375" t="s">
        <v>19</v>
      </c>
      <c r="N2375" t="s">
        <v>4414</v>
      </c>
      <c r="O2375">
        <v>1</v>
      </c>
    </row>
    <row r="2376" spans="1:15" hidden="1" x14ac:dyDescent="0.25">
      <c r="A2376" t="s">
        <v>2820</v>
      </c>
      <c r="B2376" t="s">
        <v>4411</v>
      </c>
      <c r="C2376" t="s">
        <v>4412</v>
      </c>
      <c r="D2376" t="s">
        <v>994</v>
      </c>
      <c r="E2376" t="s">
        <v>4415</v>
      </c>
      <c r="F2376" s="3">
        <v>42800</v>
      </c>
      <c r="G2376" s="2">
        <f t="shared" si="74"/>
        <v>1</v>
      </c>
      <c r="H2376" s="2">
        <f t="shared" ca="1" si="75"/>
        <v>76</v>
      </c>
      <c r="I2376" s="4">
        <v>46044</v>
      </c>
      <c r="J2376" s="4">
        <v>46045</v>
      </c>
      <c r="K2376" t="s">
        <v>989</v>
      </c>
      <c r="L2376" t="s">
        <v>317</v>
      </c>
      <c r="M2376" t="s">
        <v>19</v>
      </c>
      <c r="N2376" t="s">
        <v>4414</v>
      </c>
      <c r="O2376">
        <v>1</v>
      </c>
    </row>
    <row r="2377" spans="1:15" hidden="1" x14ac:dyDescent="0.25">
      <c r="A2377" t="s">
        <v>2820</v>
      </c>
      <c r="B2377" t="s">
        <v>1057</v>
      </c>
      <c r="C2377" t="s">
        <v>1058</v>
      </c>
      <c r="D2377" t="s">
        <v>998</v>
      </c>
      <c r="E2377" t="s">
        <v>4416</v>
      </c>
      <c r="F2377" s="3">
        <v>214000</v>
      </c>
      <c r="G2377" s="2">
        <f t="shared" si="74"/>
        <v>10</v>
      </c>
      <c r="H2377" s="2">
        <f t="shared" ca="1" si="75"/>
        <v>76</v>
      </c>
      <c r="I2377" s="4">
        <v>46044</v>
      </c>
      <c r="J2377" s="4">
        <v>46054</v>
      </c>
      <c r="K2377" t="s">
        <v>989</v>
      </c>
      <c r="L2377" t="s">
        <v>317</v>
      </c>
      <c r="M2377" t="s">
        <v>19</v>
      </c>
      <c r="N2377" t="s">
        <v>1059</v>
      </c>
      <c r="O2377">
        <v>15</v>
      </c>
    </row>
    <row r="2378" spans="1:15" hidden="1" x14ac:dyDescent="0.25">
      <c r="A2378" t="s">
        <v>2820</v>
      </c>
      <c r="B2378" t="s">
        <v>1057</v>
      </c>
      <c r="C2378" t="s">
        <v>1058</v>
      </c>
      <c r="D2378" t="s">
        <v>998</v>
      </c>
      <c r="E2378" t="s">
        <v>4417</v>
      </c>
      <c r="F2378" s="3">
        <v>41500</v>
      </c>
      <c r="G2378" s="2">
        <f t="shared" si="74"/>
        <v>15</v>
      </c>
      <c r="H2378" s="2">
        <f t="shared" ca="1" si="75"/>
        <v>76</v>
      </c>
      <c r="I2378" s="4">
        <v>46044</v>
      </c>
      <c r="J2378" s="4">
        <v>46059</v>
      </c>
      <c r="K2378" t="s">
        <v>989</v>
      </c>
      <c r="L2378" t="s">
        <v>317</v>
      </c>
      <c r="M2378" t="s">
        <v>19</v>
      </c>
      <c r="N2378" t="s">
        <v>1059</v>
      </c>
      <c r="O2378">
        <v>15</v>
      </c>
    </row>
    <row r="2379" spans="1:15" hidden="1" x14ac:dyDescent="0.25">
      <c r="A2379" t="s">
        <v>2820</v>
      </c>
      <c r="B2379" t="s">
        <v>1057</v>
      </c>
      <c r="C2379" t="s">
        <v>1058</v>
      </c>
      <c r="D2379" t="s">
        <v>998</v>
      </c>
      <c r="E2379" t="s">
        <v>4418</v>
      </c>
      <c r="F2379" s="3">
        <v>516635</v>
      </c>
      <c r="G2379" s="2">
        <f t="shared" si="74"/>
        <v>15</v>
      </c>
      <c r="H2379" s="2">
        <f t="shared" ca="1" si="75"/>
        <v>76</v>
      </c>
      <c r="I2379" s="4">
        <v>46044</v>
      </c>
      <c r="J2379" s="4">
        <v>46059</v>
      </c>
      <c r="K2379" t="s">
        <v>989</v>
      </c>
      <c r="L2379" t="s">
        <v>317</v>
      </c>
      <c r="M2379" t="s">
        <v>19</v>
      </c>
      <c r="N2379" t="s">
        <v>1059</v>
      </c>
      <c r="O2379">
        <v>15</v>
      </c>
    </row>
    <row r="2380" spans="1:15" hidden="1" x14ac:dyDescent="0.25">
      <c r="A2380" t="s">
        <v>2820</v>
      </c>
      <c r="B2380" t="s">
        <v>4419</v>
      </c>
      <c r="C2380" t="s">
        <v>4420</v>
      </c>
      <c r="D2380" t="s">
        <v>998</v>
      </c>
      <c r="E2380" t="s">
        <v>4421</v>
      </c>
      <c r="F2380" s="3">
        <v>63259</v>
      </c>
      <c r="G2380" s="2">
        <f t="shared" si="74"/>
        <v>1</v>
      </c>
      <c r="H2380" s="2">
        <f t="shared" ca="1" si="75"/>
        <v>76</v>
      </c>
      <c r="I2380" s="4">
        <v>46044</v>
      </c>
      <c r="J2380" s="4">
        <v>46045</v>
      </c>
      <c r="K2380" t="s">
        <v>989</v>
      </c>
      <c r="L2380" t="s">
        <v>317</v>
      </c>
      <c r="M2380" t="s">
        <v>19</v>
      </c>
      <c r="N2380" t="s">
        <v>4422</v>
      </c>
      <c r="O2380">
        <v>1</v>
      </c>
    </row>
    <row r="2381" spans="1:15" hidden="1" x14ac:dyDescent="0.25">
      <c r="A2381" t="s">
        <v>2820</v>
      </c>
      <c r="B2381" t="s">
        <v>3547</v>
      </c>
      <c r="C2381" t="s">
        <v>3548</v>
      </c>
      <c r="D2381" t="s">
        <v>994</v>
      </c>
      <c r="E2381" t="s">
        <v>4423</v>
      </c>
      <c r="F2381" s="3">
        <v>332978</v>
      </c>
      <c r="G2381" s="2">
        <f t="shared" si="74"/>
        <v>1</v>
      </c>
      <c r="H2381" s="2">
        <f t="shared" ca="1" si="75"/>
        <v>76</v>
      </c>
      <c r="I2381" s="4">
        <v>46044</v>
      </c>
      <c r="J2381" s="4">
        <v>46045</v>
      </c>
      <c r="K2381" t="s">
        <v>989</v>
      </c>
      <c r="L2381" t="s">
        <v>317</v>
      </c>
      <c r="M2381" t="s">
        <v>19</v>
      </c>
      <c r="N2381" t="s">
        <v>3549</v>
      </c>
      <c r="O2381">
        <v>1</v>
      </c>
    </row>
    <row r="2382" spans="1:15" hidden="1" x14ac:dyDescent="0.25">
      <c r="A2382" t="s">
        <v>2820</v>
      </c>
      <c r="B2382" t="s">
        <v>3547</v>
      </c>
      <c r="C2382" t="s">
        <v>3548</v>
      </c>
      <c r="D2382" t="s">
        <v>994</v>
      </c>
      <c r="E2382" t="s">
        <v>4424</v>
      </c>
      <c r="F2382" s="3">
        <v>252000</v>
      </c>
      <c r="G2382" s="2">
        <f t="shared" si="74"/>
        <v>1</v>
      </c>
      <c r="H2382" s="2">
        <f t="shared" ca="1" si="75"/>
        <v>76</v>
      </c>
      <c r="I2382" s="4">
        <v>46044</v>
      </c>
      <c r="J2382" s="4">
        <v>46045</v>
      </c>
      <c r="K2382" t="s">
        <v>989</v>
      </c>
      <c r="L2382" t="s">
        <v>317</v>
      </c>
      <c r="M2382" t="s">
        <v>19</v>
      </c>
      <c r="N2382" t="s">
        <v>3549</v>
      </c>
      <c r="O2382">
        <v>1</v>
      </c>
    </row>
    <row r="2383" spans="1:15" hidden="1" x14ac:dyDescent="0.25">
      <c r="A2383" t="s">
        <v>2820</v>
      </c>
      <c r="B2383" t="s">
        <v>1135</v>
      </c>
      <c r="C2383" t="s">
        <v>1136</v>
      </c>
      <c r="D2383" t="s">
        <v>1066</v>
      </c>
      <c r="E2383" t="s">
        <v>4185</v>
      </c>
      <c r="F2383" s="3">
        <v>293269</v>
      </c>
      <c r="G2383" s="2">
        <f t="shared" si="74"/>
        <v>15</v>
      </c>
      <c r="H2383" s="2">
        <f t="shared" ca="1" si="75"/>
        <v>76</v>
      </c>
      <c r="I2383" s="4">
        <v>46044</v>
      </c>
      <c r="J2383" s="4">
        <v>46059</v>
      </c>
      <c r="K2383" t="s">
        <v>1068</v>
      </c>
      <c r="L2383" t="s">
        <v>321</v>
      </c>
      <c r="M2383" t="s">
        <v>19</v>
      </c>
      <c r="N2383" t="s">
        <v>1137</v>
      </c>
      <c r="O2383">
        <v>15</v>
      </c>
    </row>
    <row r="2384" spans="1:15" hidden="1" x14ac:dyDescent="0.25">
      <c r="A2384" t="s">
        <v>2820</v>
      </c>
      <c r="B2384" t="s">
        <v>1129</v>
      </c>
      <c r="C2384" t="s">
        <v>1130</v>
      </c>
      <c r="D2384" t="s">
        <v>1066</v>
      </c>
      <c r="E2384" t="s">
        <v>4437</v>
      </c>
      <c r="F2384" s="3">
        <v>403210</v>
      </c>
      <c r="G2384" s="2">
        <f t="shared" si="74"/>
        <v>15</v>
      </c>
      <c r="H2384" s="2">
        <f t="shared" ca="1" si="75"/>
        <v>76</v>
      </c>
      <c r="I2384" s="4">
        <v>46044</v>
      </c>
      <c r="J2384" s="4">
        <v>46059</v>
      </c>
      <c r="K2384" t="s">
        <v>1068</v>
      </c>
      <c r="L2384" t="s">
        <v>321</v>
      </c>
      <c r="M2384" t="s">
        <v>19</v>
      </c>
      <c r="N2384" t="s">
        <v>1131</v>
      </c>
      <c r="O2384">
        <v>15</v>
      </c>
    </row>
    <row r="2385" spans="1:15" hidden="1" x14ac:dyDescent="0.25">
      <c r="A2385" t="s">
        <v>2820</v>
      </c>
      <c r="B2385" t="s">
        <v>1161</v>
      </c>
      <c r="C2385" t="s">
        <v>1162</v>
      </c>
      <c r="D2385" t="s">
        <v>1118</v>
      </c>
      <c r="E2385" t="s">
        <v>4175</v>
      </c>
      <c r="F2385" s="3">
        <v>2120000</v>
      </c>
      <c r="G2385" s="2">
        <f t="shared" si="74"/>
        <v>30</v>
      </c>
      <c r="H2385" s="2">
        <f t="shared" ca="1" si="75"/>
        <v>76</v>
      </c>
      <c r="I2385" s="4">
        <v>46044</v>
      </c>
      <c r="J2385" s="4">
        <v>46074</v>
      </c>
      <c r="K2385" t="s">
        <v>1144</v>
      </c>
      <c r="L2385" t="s">
        <v>207</v>
      </c>
      <c r="M2385" t="s">
        <v>19</v>
      </c>
      <c r="N2385" t="s">
        <v>1163</v>
      </c>
      <c r="O2385">
        <v>30</v>
      </c>
    </row>
    <row r="2386" spans="1:15" hidden="1" x14ac:dyDescent="0.25">
      <c r="A2386" t="s">
        <v>2820</v>
      </c>
      <c r="B2386" t="s">
        <v>3081</v>
      </c>
      <c r="C2386" t="s">
        <v>3082</v>
      </c>
      <c r="D2386" t="s">
        <v>1209</v>
      </c>
      <c r="E2386" t="s">
        <v>4086</v>
      </c>
      <c r="F2386" s="3">
        <v>265795</v>
      </c>
      <c r="G2386" s="2">
        <f t="shared" si="74"/>
        <v>15</v>
      </c>
      <c r="H2386" s="2">
        <f t="shared" ca="1" si="75"/>
        <v>76</v>
      </c>
      <c r="I2386" s="4">
        <v>46044</v>
      </c>
      <c r="J2386" s="4">
        <v>46059</v>
      </c>
      <c r="K2386" t="s">
        <v>1202</v>
      </c>
      <c r="L2386" t="s">
        <v>321</v>
      </c>
      <c r="M2386" t="s">
        <v>19</v>
      </c>
      <c r="N2386" t="s">
        <v>149</v>
      </c>
      <c r="O2386">
        <v>30</v>
      </c>
    </row>
    <row r="2387" spans="1:15" hidden="1" x14ac:dyDescent="0.25">
      <c r="A2387" t="s">
        <v>2820</v>
      </c>
      <c r="B2387" t="s">
        <v>1211</v>
      </c>
      <c r="C2387" t="s">
        <v>1212</v>
      </c>
      <c r="D2387" t="s">
        <v>1209</v>
      </c>
      <c r="E2387" t="s">
        <v>4087</v>
      </c>
      <c r="F2387" s="3">
        <v>502504</v>
      </c>
      <c r="G2387" s="2">
        <f t="shared" si="74"/>
        <v>15</v>
      </c>
      <c r="H2387" s="2">
        <f t="shared" ca="1" si="75"/>
        <v>76</v>
      </c>
      <c r="I2387" s="4">
        <v>46044</v>
      </c>
      <c r="J2387" s="4">
        <v>46059</v>
      </c>
      <c r="K2387" t="s">
        <v>1202</v>
      </c>
      <c r="L2387" t="s">
        <v>321</v>
      </c>
      <c r="M2387" t="s">
        <v>19</v>
      </c>
      <c r="N2387" t="s">
        <v>1213</v>
      </c>
      <c r="O2387">
        <v>30</v>
      </c>
    </row>
    <row r="2388" spans="1:15" hidden="1" x14ac:dyDescent="0.25">
      <c r="A2388" t="s">
        <v>2820</v>
      </c>
      <c r="B2388" t="s">
        <v>1211</v>
      </c>
      <c r="C2388" t="s">
        <v>1212</v>
      </c>
      <c r="D2388" t="s">
        <v>1209</v>
      </c>
      <c r="E2388" t="s">
        <v>4088</v>
      </c>
      <c r="F2388" s="3">
        <v>649809</v>
      </c>
      <c r="G2388" s="2">
        <f t="shared" si="74"/>
        <v>30</v>
      </c>
      <c r="H2388" s="2">
        <f t="shared" ca="1" si="75"/>
        <v>76</v>
      </c>
      <c r="I2388" s="4">
        <v>46044</v>
      </c>
      <c r="J2388" s="4">
        <v>46074</v>
      </c>
      <c r="K2388" t="s">
        <v>1202</v>
      </c>
      <c r="L2388" t="s">
        <v>321</v>
      </c>
      <c r="M2388" t="s">
        <v>19</v>
      </c>
      <c r="N2388" t="s">
        <v>1213</v>
      </c>
      <c r="O2388">
        <v>30</v>
      </c>
    </row>
    <row r="2389" spans="1:15" hidden="1" x14ac:dyDescent="0.25">
      <c r="A2389" t="s">
        <v>2820</v>
      </c>
      <c r="B2389" t="s">
        <v>4180</v>
      </c>
      <c r="C2389" t="s">
        <v>4181</v>
      </c>
      <c r="D2389" t="s">
        <v>340</v>
      </c>
      <c r="E2389" t="s">
        <v>4182</v>
      </c>
      <c r="F2389" s="3">
        <v>3655775</v>
      </c>
      <c r="G2389" s="2">
        <f t="shared" si="74"/>
        <v>30</v>
      </c>
      <c r="H2389" s="2">
        <f t="shared" ca="1" si="75"/>
        <v>76</v>
      </c>
      <c r="I2389" s="4">
        <v>46044</v>
      </c>
      <c r="J2389" s="4">
        <v>46074</v>
      </c>
      <c r="K2389" t="s">
        <v>1233</v>
      </c>
      <c r="L2389" t="s">
        <v>18</v>
      </c>
      <c r="M2389" t="s">
        <v>19</v>
      </c>
      <c r="N2389" t="s">
        <v>4183</v>
      </c>
      <c r="O2389">
        <v>30</v>
      </c>
    </row>
    <row r="2390" spans="1:15" hidden="1" x14ac:dyDescent="0.25">
      <c r="A2390" t="s">
        <v>2820</v>
      </c>
      <c r="B2390" t="s">
        <v>205</v>
      </c>
      <c r="C2390" t="s">
        <v>206</v>
      </c>
      <c r="D2390" t="s">
        <v>15</v>
      </c>
      <c r="E2390" t="s">
        <v>4098</v>
      </c>
      <c r="F2390" s="3">
        <v>698864</v>
      </c>
      <c r="G2390" s="2">
        <f t="shared" si="74"/>
        <v>0</v>
      </c>
      <c r="H2390" s="2">
        <f t="shared" ca="1" si="75"/>
        <v>76</v>
      </c>
      <c r="I2390" s="4">
        <v>46044</v>
      </c>
      <c r="J2390" s="4">
        <v>46044</v>
      </c>
      <c r="K2390" t="s">
        <v>1403</v>
      </c>
      <c r="L2390" t="s">
        <v>90</v>
      </c>
      <c r="M2390" t="s">
        <v>19</v>
      </c>
      <c r="N2390" t="s">
        <v>149</v>
      </c>
      <c r="O2390">
        <v>1</v>
      </c>
    </row>
    <row r="2391" spans="1:15" hidden="1" x14ac:dyDescent="0.25">
      <c r="A2391" t="s">
        <v>2820</v>
      </c>
      <c r="B2391" t="s">
        <v>205</v>
      </c>
      <c r="C2391" t="s">
        <v>206</v>
      </c>
      <c r="D2391" t="s">
        <v>15</v>
      </c>
      <c r="E2391" t="s">
        <v>4099</v>
      </c>
      <c r="F2391" s="3">
        <v>468325</v>
      </c>
      <c r="G2391" s="2">
        <f t="shared" si="74"/>
        <v>1</v>
      </c>
      <c r="H2391" s="2">
        <f t="shared" ca="1" si="75"/>
        <v>76</v>
      </c>
      <c r="I2391" s="4">
        <v>46044</v>
      </c>
      <c r="J2391" s="4">
        <v>46045</v>
      </c>
      <c r="K2391" t="s">
        <v>1403</v>
      </c>
      <c r="L2391" t="s">
        <v>90</v>
      </c>
      <c r="M2391" t="s">
        <v>19</v>
      </c>
      <c r="N2391" t="s">
        <v>149</v>
      </c>
      <c r="O2391">
        <v>1</v>
      </c>
    </row>
    <row r="2392" spans="1:15" hidden="1" x14ac:dyDescent="0.25">
      <c r="A2392" t="s">
        <v>2820</v>
      </c>
      <c r="B2392" t="s">
        <v>205</v>
      </c>
      <c r="C2392" t="s">
        <v>206</v>
      </c>
      <c r="D2392" t="s">
        <v>15</v>
      </c>
      <c r="E2392" t="s">
        <v>4100</v>
      </c>
      <c r="F2392" s="3">
        <v>4200001</v>
      </c>
      <c r="G2392" s="2">
        <f t="shared" si="74"/>
        <v>1</v>
      </c>
      <c r="H2392" s="2">
        <f t="shared" ca="1" si="75"/>
        <v>76</v>
      </c>
      <c r="I2392" s="4">
        <v>46044</v>
      </c>
      <c r="J2392" s="4">
        <v>46045</v>
      </c>
      <c r="K2392" t="s">
        <v>1403</v>
      </c>
      <c r="L2392" t="s">
        <v>90</v>
      </c>
      <c r="M2392" t="s">
        <v>19</v>
      </c>
      <c r="N2392" t="s">
        <v>149</v>
      </c>
      <c r="O2392">
        <v>1</v>
      </c>
    </row>
    <row r="2393" spans="1:15" hidden="1" x14ac:dyDescent="0.25">
      <c r="A2393" t="s">
        <v>2820</v>
      </c>
      <c r="B2393" t="s">
        <v>205</v>
      </c>
      <c r="C2393" t="s">
        <v>206</v>
      </c>
      <c r="D2393" t="s">
        <v>15</v>
      </c>
      <c r="E2393" t="s">
        <v>4101</v>
      </c>
      <c r="F2393" s="3">
        <v>1618189</v>
      </c>
      <c r="G2393" s="2">
        <f t="shared" si="74"/>
        <v>1</v>
      </c>
      <c r="H2393" s="2">
        <f t="shared" ca="1" si="75"/>
        <v>76</v>
      </c>
      <c r="I2393" s="4">
        <v>46044</v>
      </c>
      <c r="J2393" s="4">
        <v>46045</v>
      </c>
      <c r="K2393" t="s">
        <v>1403</v>
      </c>
      <c r="L2393" t="s">
        <v>90</v>
      </c>
      <c r="M2393" t="s">
        <v>19</v>
      </c>
      <c r="N2393" t="s">
        <v>149</v>
      </c>
      <c r="O2393">
        <v>1</v>
      </c>
    </row>
    <row r="2394" spans="1:15" hidden="1" x14ac:dyDescent="0.25">
      <c r="A2394" t="s">
        <v>2820</v>
      </c>
      <c r="B2394" t="s">
        <v>205</v>
      </c>
      <c r="C2394" t="s">
        <v>206</v>
      </c>
      <c r="D2394" t="s">
        <v>15</v>
      </c>
      <c r="E2394" t="s">
        <v>4102</v>
      </c>
      <c r="F2394" s="3">
        <v>950023</v>
      </c>
      <c r="G2394" s="2">
        <f t="shared" si="74"/>
        <v>1</v>
      </c>
      <c r="H2394" s="2">
        <f t="shared" ca="1" si="75"/>
        <v>76</v>
      </c>
      <c r="I2394" s="4">
        <v>46044</v>
      </c>
      <c r="J2394" s="4">
        <v>46045</v>
      </c>
      <c r="K2394" t="s">
        <v>1403</v>
      </c>
      <c r="L2394" t="s">
        <v>90</v>
      </c>
      <c r="M2394" t="s">
        <v>19</v>
      </c>
      <c r="N2394" t="s">
        <v>149</v>
      </c>
      <c r="O2394">
        <v>1</v>
      </c>
    </row>
    <row r="2395" spans="1:15" hidden="1" x14ac:dyDescent="0.25">
      <c r="A2395" t="s">
        <v>2820</v>
      </c>
      <c r="B2395" t="s">
        <v>205</v>
      </c>
      <c r="C2395" t="s">
        <v>206</v>
      </c>
      <c r="D2395" t="s">
        <v>15</v>
      </c>
      <c r="E2395" t="s">
        <v>4103</v>
      </c>
      <c r="F2395" s="3">
        <v>967186</v>
      </c>
      <c r="G2395" s="2">
        <f t="shared" si="74"/>
        <v>1</v>
      </c>
      <c r="H2395" s="2">
        <f t="shared" ca="1" si="75"/>
        <v>76</v>
      </c>
      <c r="I2395" s="4">
        <v>46044</v>
      </c>
      <c r="J2395" s="4">
        <v>46045</v>
      </c>
      <c r="K2395" t="s">
        <v>1403</v>
      </c>
      <c r="L2395" t="s">
        <v>90</v>
      </c>
      <c r="M2395" t="s">
        <v>19</v>
      </c>
      <c r="N2395" t="s">
        <v>149</v>
      </c>
      <c r="O2395">
        <v>1</v>
      </c>
    </row>
    <row r="2396" spans="1:15" hidden="1" x14ac:dyDescent="0.25">
      <c r="A2396" t="s">
        <v>2820</v>
      </c>
      <c r="B2396" t="s">
        <v>2144</v>
      </c>
      <c r="C2396" t="s">
        <v>2145</v>
      </c>
      <c r="D2396" t="s">
        <v>1401</v>
      </c>
      <c r="E2396" t="s">
        <v>4104</v>
      </c>
      <c r="F2396" s="3">
        <v>1093199</v>
      </c>
      <c r="G2396" s="2">
        <f t="shared" si="74"/>
        <v>30</v>
      </c>
      <c r="H2396" s="2">
        <f t="shared" ca="1" si="75"/>
        <v>76</v>
      </c>
      <c r="I2396" s="4">
        <v>46044</v>
      </c>
      <c r="J2396" s="4">
        <v>46074</v>
      </c>
      <c r="K2396" t="s">
        <v>1403</v>
      </c>
      <c r="L2396" t="s">
        <v>90</v>
      </c>
      <c r="M2396" t="s">
        <v>19</v>
      </c>
      <c r="N2396" t="s">
        <v>2146</v>
      </c>
      <c r="O2396">
        <v>30</v>
      </c>
    </row>
    <row r="2397" spans="1:15" hidden="1" x14ac:dyDescent="0.25">
      <c r="A2397" t="s">
        <v>2820</v>
      </c>
      <c r="B2397" t="s">
        <v>2144</v>
      </c>
      <c r="C2397" t="s">
        <v>2145</v>
      </c>
      <c r="D2397" t="s">
        <v>1401</v>
      </c>
      <c r="E2397" t="s">
        <v>4105</v>
      </c>
      <c r="F2397" s="3">
        <v>3633622</v>
      </c>
      <c r="G2397" s="2">
        <f t="shared" si="74"/>
        <v>30</v>
      </c>
      <c r="H2397" s="2">
        <f t="shared" ca="1" si="75"/>
        <v>76</v>
      </c>
      <c r="I2397" s="4">
        <v>46044</v>
      </c>
      <c r="J2397" s="4">
        <v>46074</v>
      </c>
      <c r="K2397" t="s">
        <v>1403</v>
      </c>
      <c r="L2397" t="s">
        <v>90</v>
      </c>
      <c r="M2397" t="s">
        <v>19</v>
      </c>
      <c r="N2397" t="s">
        <v>2146</v>
      </c>
      <c r="O2397">
        <v>30</v>
      </c>
    </row>
    <row r="2398" spans="1:15" hidden="1" x14ac:dyDescent="0.25">
      <c r="A2398" t="s">
        <v>2820</v>
      </c>
      <c r="B2398" t="s">
        <v>1421</v>
      </c>
      <c r="C2398" t="s">
        <v>1422</v>
      </c>
      <c r="D2398" t="s">
        <v>1401</v>
      </c>
      <c r="E2398" t="s">
        <v>4106</v>
      </c>
      <c r="F2398" s="3">
        <v>752915</v>
      </c>
      <c r="G2398" s="2">
        <f t="shared" si="74"/>
        <v>30</v>
      </c>
      <c r="H2398" s="2">
        <f t="shared" ca="1" si="75"/>
        <v>76</v>
      </c>
      <c r="I2398" s="4">
        <v>46044</v>
      </c>
      <c r="J2398" s="4">
        <v>46074</v>
      </c>
      <c r="K2398" t="s">
        <v>1403</v>
      </c>
      <c r="L2398" t="s">
        <v>90</v>
      </c>
      <c r="M2398" t="s">
        <v>19</v>
      </c>
      <c r="N2398" t="s">
        <v>1423</v>
      </c>
      <c r="O2398">
        <v>30</v>
      </c>
    </row>
    <row r="2399" spans="1:15" hidden="1" x14ac:dyDescent="0.25">
      <c r="A2399" t="s">
        <v>2820</v>
      </c>
      <c r="B2399" t="s">
        <v>205</v>
      </c>
      <c r="C2399" t="s">
        <v>206</v>
      </c>
      <c r="D2399" t="s">
        <v>15</v>
      </c>
      <c r="E2399" t="s">
        <v>4107</v>
      </c>
      <c r="F2399" s="3">
        <v>661470</v>
      </c>
      <c r="G2399" s="2">
        <f t="shared" si="74"/>
        <v>1</v>
      </c>
      <c r="H2399" s="2">
        <f t="shared" ca="1" si="75"/>
        <v>76</v>
      </c>
      <c r="I2399" s="4">
        <v>46044</v>
      </c>
      <c r="J2399" s="4">
        <v>46045</v>
      </c>
      <c r="K2399" t="s">
        <v>1403</v>
      </c>
      <c r="L2399" t="s">
        <v>90</v>
      </c>
      <c r="M2399" t="s">
        <v>19</v>
      </c>
      <c r="N2399" t="s">
        <v>149</v>
      </c>
      <c r="O2399">
        <v>1</v>
      </c>
    </row>
    <row r="2400" spans="1:15" hidden="1" x14ac:dyDescent="0.25">
      <c r="A2400" t="s">
        <v>2820</v>
      </c>
      <c r="B2400" t="s">
        <v>1424</v>
      </c>
      <c r="C2400" t="s">
        <v>1425</v>
      </c>
      <c r="D2400" t="s">
        <v>875</v>
      </c>
      <c r="E2400" t="s">
        <v>4108</v>
      </c>
      <c r="F2400" s="3">
        <v>2286288</v>
      </c>
      <c r="G2400" s="2">
        <f t="shared" si="74"/>
        <v>30</v>
      </c>
      <c r="H2400" s="2">
        <f t="shared" ca="1" si="75"/>
        <v>76</v>
      </c>
      <c r="I2400" s="4">
        <v>46044</v>
      </c>
      <c r="J2400" s="4">
        <v>46074</v>
      </c>
      <c r="K2400" t="s">
        <v>1403</v>
      </c>
      <c r="L2400" t="s">
        <v>90</v>
      </c>
      <c r="M2400" t="s">
        <v>19</v>
      </c>
      <c r="N2400" t="s">
        <v>1426</v>
      </c>
      <c r="O2400">
        <v>30</v>
      </c>
    </row>
    <row r="2401" spans="1:15" hidden="1" x14ac:dyDescent="0.25">
      <c r="A2401" t="s">
        <v>2820</v>
      </c>
      <c r="B2401" t="s">
        <v>4109</v>
      </c>
      <c r="C2401" t="s">
        <v>4110</v>
      </c>
      <c r="D2401" t="s">
        <v>875</v>
      </c>
      <c r="E2401" t="s">
        <v>4111</v>
      </c>
      <c r="F2401" s="3">
        <v>399407</v>
      </c>
      <c r="G2401" s="2">
        <f t="shared" si="74"/>
        <v>1</v>
      </c>
      <c r="H2401" s="2">
        <f t="shared" ca="1" si="75"/>
        <v>76</v>
      </c>
      <c r="I2401" s="4">
        <v>46044</v>
      </c>
      <c r="J2401" s="4">
        <v>46045</v>
      </c>
      <c r="K2401" t="s">
        <v>1403</v>
      </c>
      <c r="L2401" t="s">
        <v>90</v>
      </c>
      <c r="M2401" t="s">
        <v>19</v>
      </c>
      <c r="N2401" t="s">
        <v>4112</v>
      </c>
      <c r="O2401">
        <v>1</v>
      </c>
    </row>
    <row r="2402" spans="1:15" hidden="1" x14ac:dyDescent="0.25">
      <c r="A2402" t="s">
        <v>2820</v>
      </c>
      <c r="B2402" t="s">
        <v>1409</v>
      </c>
      <c r="C2402" t="s">
        <v>1410</v>
      </c>
      <c r="D2402" t="s">
        <v>875</v>
      </c>
      <c r="E2402" t="s">
        <v>4113</v>
      </c>
      <c r="F2402" s="3">
        <v>1217755</v>
      </c>
      <c r="G2402" s="2">
        <f t="shared" si="74"/>
        <v>30</v>
      </c>
      <c r="H2402" s="2">
        <f t="shared" ca="1" si="75"/>
        <v>76</v>
      </c>
      <c r="I2402" s="4">
        <v>46044</v>
      </c>
      <c r="J2402" s="4">
        <v>46074</v>
      </c>
      <c r="K2402" t="s">
        <v>1403</v>
      </c>
      <c r="L2402" t="s">
        <v>90</v>
      </c>
      <c r="M2402" t="s">
        <v>19</v>
      </c>
      <c r="N2402" t="s">
        <v>1411</v>
      </c>
      <c r="O2402">
        <v>30</v>
      </c>
    </row>
    <row r="2403" spans="1:15" hidden="1" x14ac:dyDescent="0.25">
      <c r="A2403" t="s">
        <v>2820</v>
      </c>
      <c r="B2403" t="s">
        <v>1409</v>
      </c>
      <c r="C2403" t="s">
        <v>1410</v>
      </c>
      <c r="D2403" t="s">
        <v>875</v>
      </c>
      <c r="E2403" t="s">
        <v>4114</v>
      </c>
      <c r="F2403" s="3">
        <v>3406977</v>
      </c>
      <c r="G2403" s="2">
        <f t="shared" si="74"/>
        <v>30</v>
      </c>
      <c r="H2403" s="2">
        <f t="shared" ca="1" si="75"/>
        <v>76</v>
      </c>
      <c r="I2403" s="4">
        <v>46044</v>
      </c>
      <c r="J2403" s="4">
        <v>46074</v>
      </c>
      <c r="K2403" t="s">
        <v>1403</v>
      </c>
      <c r="L2403" t="s">
        <v>90</v>
      </c>
      <c r="M2403" t="s">
        <v>19</v>
      </c>
      <c r="N2403" t="s">
        <v>1411</v>
      </c>
      <c r="O2403">
        <v>30</v>
      </c>
    </row>
    <row r="2404" spans="1:15" hidden="1" x14ac:dyDescent="0.25">
      <c r="A2404" t="s">
        <v>2820</v>
      </c>
      <c r="B2404" t="s">
        <v>1951</v>
      </c>
      <c r="C2404" t="s">
        <v>1952</v>
      </c>
      <c r="D2404" t="s">
        <v>1947</v>
      </c>
      <c r="E2404" t="s">
        <v>4681</v>
      </c>
      <c r="F2404" s="3">
        <v>541962</v>
      </c>
      <c r="G2404" s="2">
        <f t="shared" si="74"/>
        <v>15</v>
      </c>
      <c r="H2404" s="2">
        <f t="shared" ca="1" si="75"/>
        <v>76</v>
      </c>
      <c r="I2404" s="4">
        <v>46044</v>
      </c>
      <c r="J2404" s="4">
        <v>46059</v>
      </c>
      <c r="K2404" t="s">
        <v>1734</v>
      </c>
      <c r="L2404" t="s">
        <v>312</v>
      </c>
      <c r="M2404" t="s">
        <v>19</v>
      </c>
      <c r="N2404" t="s">
        <v>1953</v>
      </c>
      <c r="O2404">
        <v>15</v>
      </c>
    </row>
    <row r="2405" spans="1:15" hidden="1" x14ac:dyDescent="0.25">
      <c r="A2405" t="s">
        <v>2820</v>
      </c>
      <c r="B2405" t="s">
        <v>1951</v>
      </c>
      <c r="C2405" t="s">
        <v>1952</v>
      </c>
      <c r="D2405" t="s">
        <v>1947</v>
      </c>
      <c r="E2405" t="s">
        <v>4682</v>
      </c>
      <c r="F2405" s="3">
        <v>116146</v>
      </c>
      <c r="G2405" s="2">
        <f t="shared" si="74"/>
        <v>15</v>
      </c>
      <c r="H2405" s="2">
        <f t="shared" ca="1" si="75"/>
        <v>76</v>
      </c>
      <c r="I2405" s="4">
        <v>46044</v>
      </c>
      <c r="J2405" s="4">
        <v>46059</v>
      </c>
      <c r="K2405" t="s">
        <v>1734</v>
      </c>
      <c r="L2405" t="s">
        <v>312</v>
      </c>
      <c r="M2405" t="s">
        <v>19</v>
      </c>
      <c r="N2405" t="s">
        <v>1953</v>
      </c>
      <c r="O2405">
        <v>15</v>
      </c>
    </row>
    <row r="2406" spans="1:15" hidden="1" x14ac:dyDescent="0.25">
      <c r="A2406" t="s">
        <v>2820</v>
      </c>
      <c r="B2406" t="s">
        <v>92</v>
      </c>
      <c r="C2406" t="s">
        <v>93</v>
      </c>
      <c r="D2406" t="s">
        <v>46</v>
      </c>
      <c r="E2406" t="s">
        <v>4186</v>
      </c>
      <c r="F2406" s="3">
        <v>566260</v>
      </c>
      <c r="G2406" s="2">
        <f t="shared" si="74"/>
        <v>30</v>
      </c>
      <c r="H2406" s="2">
        <f t="shared" ca="1" si="75"/>
        <v>75</v>
      </c>
      <c r="I2406" s="4">
        <v>46045</v>
      </c>
      <c r="J2406" s="4">
        <v>46075</v>
      </c>
      <c r="K2406" t="s">
        <v>17</v>
      </c>
      <c r="L2406" t="s">
        <v>32</v>
      </c>
      <c r="M2406" t="s">
        <v>19</v>
      </c>
      <c r="N2406" t="s">
        <v>94</v>
      </c>
      <c r="O2406">
        <v>0</v>
      </c>
    </row>
    <row r="2407" spans="1:15" hidden="1" x14ac:dyDescent="0.25">
      <c r="A2407" t="s">
        <v>2820</v>
      </c>
      <c r="B2407" t="s">
        <v>67</v>
      </c>
      <c r="C2407" t="s">
        <v>68</v>
      </c>
      <c r="D2407" t="s">
        <v>15</v>
      </c>
      <c r="E2407" t="s">
        <v>4187</v>
      </c>
      <c r="F2407" s="3">
        <v>2100000</v>
      </c>
      <c r="G2407" s="2">
        <f t="shared" si="74"/>
        <v>10</v>
      </c>
      <c r="H2407" s="2">
        <f t="shared" ca="1" si="75"/>
        <v>75</v>
      </c>
      <c r="I2407" s="4">
        <v>46045</v>
      </c>
      <c r="J2407" s="4">
        <v>46055</v>
      </c>
      <c r="K2407" t="s">
        <v>17</v>
      </c>
      <c r="L2407" t="s">
        <v>32</v>
      </c>
      <c r="M2407" t="s">
        <v>19</v>
      </c>
      <c r="N2407" t="s">
        <v>69</v>
      </c>
      <c r="O2407">
        <v>30</v>
      </c>
    </row>
    <row r="2408" spans="1:15" hidden="1" x14ac:dyDescent="0.25">
      <c r="A2408" t="s">
        <v>2820</v>
      </c>
      <c r="B2408" t="s">
        <v>67</v>
      </c>
      <c r="C2408" t="s">
        <v>68</v>
      </c>
      <c r="D2408" t="s">
        <v>15</v>
      </c>
      <c r="E2408" t="s">
        <v>4188</v>
      </c>
      <c r="F2408" s="3">
        <v>2718258</v>
      </c>
      <c r="G2408" s="2">
        <f t="shared" si="74"/>
        <v>30</v>
      </c>
      <c r="H2408" s="2">
        <f t="shared" ca="1" si="75"/>
        <v>75</v>
      </c>
      <c r="I2408" s="4">
        <v>46045</v>
      </c>
      <c r="J2408" s="4">
        <v>46075</v>
      </c>
      <c r="K2408" t="s">
        <v>17</v>
      </c>
      <c r="L2408" t="s">
        <v>32</v>
      </c>
      <c r="M2408" t="s">
        <v>19</v>
      </c>
      <c r="N2408" t="s">
        <v>69</v>
      </c>
      <c r="O2408">
        <v>30</v>
      </c>
    </row>
    <row r="2409" spans="1:15" hidden="1" x14ac:dyDescent="0.25">
      <c r="A2409" t="s">
        <v>2820</v>
      </c>
      <c r="B2409" t="s">
        <v>98</v>
      </c>
      <c r="C2409" t="s">
        <v>99</v>
      </c>
      <c r="D2409" t="s">
        <v>15</v>
      </c>
      <c r="E2409" t="s">
        <v>4189</v>
      </c>
      <c r="F2409" s="3">
        <v>1026355</v>
      </c>
      <c r="G2409" s="2">
        <f t="shared" si="74"/>
        <v>30</v>
      </c>
      <c r="H2409" s="2">
        <f t="shared" ca="1" si="75"/>
        <v>75</v>
      </c>
      <c r="I2409" s="4">
        <v>46045</v>
      </c>
      <c r="J2409" s="4">
        <v>46075</v>
      </c>
      <c r="K2409" t="s">
        <v>17</v>
      </c>
      <c r="L2409" t="s">
        <v>32</v>
      </c>
      <c r="M2409" t="s">
        <v>19</v>
      </c>
      <c r="N2409" t="s">
        <v>100</v>
      </c>
      <c r="O2409">
        <v>30</v>
      </c>
    </row>
    <row r="2410" spans="1:15" hidden="1" x14ac:dyDescent="0.25">
      <c r="A2410" t="s">
        <v>2820</v>
      </c>
      <c r="B2410" t="s">
        <v>98</v>
      </c>
      <c r="C2410" t="s">
        <v>99</v>
      </c>
      <c r="D2410" t="s">
        <v>15</v>
      </c>
      <c r="E2410" t="s">
        <v>4190</v>
      </c>
      <c r="F2410" s="3">
        <v>7007482</v>
      </c>
      <c r="G2410" s="2">
        <f t="shared" si="74"/>
        <v>30</v>
      </c>
      <c r="H2410" s="2">
        <f t="shared" ca="1" si="75"/>
        <v>75</v>
      </c>
      <c r="I2410" s="4">
        <v>46045</v>
      </c>
      <c r="J2410" s="4">
        <v>46075</v>
      </c>
      <c r="K2410" t="s">
        <v>17</v>
      </c>
      <c r="L2410" t="s">
        <v>32</v>
      </c>
      <c r="M2410" t="s">
        <v>19</v>
      </c>
      <c r="N2410" t="s">
        <v>100</v>
      </c>
      <c r="O2410">
        <v>30</v>
      </c>
    </row>
    <row r="2411" spans="1:15" hidden="1" x14ac:dyDescent="0.25">
      <c r="A2411" t="s">
        <v>2820</v>
      </c>
      <c r="B2411" t="s">
        <v>4191</v>
      </c>
      <c r="C2411" t="s">
        <v>4192</v>
      </c>
      <c r="D2411" t="s">
        <v>15</v>
      </c>
      <c r="E2411" t="s">
        <v>4193</v>
      </c>
      <c r="F2411" s="3">
        <v>630000</v>
      </c>
      <c r="G2411" s="2">
        <f t="shared" si="74"/>
        <v>10</v>
      </c>
      <c r="H2411" s="2">
        <f t="shared" ca="1" si="75"/>
        <v>75</v>
      </c>
      <c r="I2411" s="4">
        <v>46045</v>
      </c>
      <c r="J2411" s="4">
        <v>46055</v>
      </c>
      <c r="K2411" t="s">
        <v>17</v>
      </c>
      <c r="L2411" t="s">
        <v>32</v>
      </c>
      <c r="M2411" t="s">
        <v>19</v>
      </c>
      <c r="N2411" t="s">
        <v>4194</v>
      </c>
      <c r="O2411">
        <v>30</v>
      </c>
    </row>
    <row r="2412" spans="1:15" hidden="1" x14ac:dyDescent="0.25">
      <c r="A2412" t="s">
        <v>2820</v>
      </c>
      <c r="B2412" t="s">
        <v>180</v>
      </c>
      <c r="C2412" t="s">
        <v>181</v>
      </c>
      <c r="D2412" t="s">
        <v>46</v>
      </c>
      <c r="E2412" t="s">
        <v>4195</v>
      </c>
      <c r="F2412" s="3">
        <v>420000</v>
      </c>
      <c r="G2412" s="2">
        <f t="shared" si="74"/>
        <v>10</v>
      </c>
      <c r="H2412" s="2">
        <f t="shared" ca="1" si="75"/>
        <v>75</v>
      </c>
      <c r="I2412" s="4">
        <v>46045</v>
      </c>
      <c r="J2412" s="4">
        <v>46055</v>
      </c>
      <c r="K2412" t="s">
        <v>17</v>
      </c>
      <c r="L2412" t="s">
        <v>32</v>
      </c>
      <c r="M2412" t="s">
        <v>19</v>
      </c>
      <c r="N2412" t="s">
        <v>182</v>
      </c>
      <c r="O2412">
        <v>30</v>
      </c>
    </row>
    <row r="2413" spans="1:15" hidden="1" x14ac:dyDescent="0.25">
      <c r="A2413" t="s">
        <v>2820</v>
      </c>
      <c r="B2413" t="s">
        <v>49</v>
      </c>
      <c r="C2413" t="s">
        <v>50</v>
      </c>
      <c r="D2413" t="s">
        <v>15</v>
      </c>
      <c r="E2413" t="s">
        <v>4196</v>
      </c>
      <c r="F2413" s="3">
        <v>2100000</v>
      </c>
      <c r="G2413" s="2">
        <f t="shared" si="74"/>
        <v>10</v>
      </c>
      <c r="H2413" s="2">
        <f t="shared" ca="1" si="75"/>
        <v>75</v>
      </c>
      <c r="I2413" s="4">
        <v>46045</v>
      </c>
      <c r="J2413" s="4">
        <v>46055</v>
      </c>
      <c r="K2413" t="s">
        <v>17</v>
      </c>
      <c r="L2413" t="s">
        <v>32</v>
      </c>
      <c r="M2413" t="s">
        <v>19</v>
      </c>
      <c r="N2413" t="s">
        <v>51</v>
      </c>
      <c r="O2413">
        <v>30</v>
      </c>
    </row>
    <row r="2414" spans="1:15" hidden="1" x14ac:dyDescent="0.25">
      <c r="A2414" t="s">
        <v>2820</v>
      </c>
      <c r="B2414" t="s">
        <v>70</v>
      </c>
      <c r="C2414" t="s">
        <v>71</v>
      </c>
      <c r="D2414" t="s">
        <v>15</v>
      </c>
      <c r="E2414" t="s">
        <v>4197</v>
      </c>
      <c r="F2414" s="3">
        <v>243198</v>
      </c>
      <c r="G2414" s="2">
        <f t="shared" si="74"/>
        <v>30</v>
      </c>
      <c r="H2414" s="2">
        <f t="shared" ca="1" si="75"/>
        <v>75</v>
      </c>
      <c r="I2414" s="4">
        <v>46045</v>
      </c>
      <c r="J2414" s="4">
        <v>46075</v>
      </c>
      <c r="K2414" t="s">
        <v>17</v>
      </c>
      <c r="L2414" t="s">
        <v>117</v>
      </c>
      <c r="M2414" t="s">
        <v>19</v>
      </c>
      <c r="N2414" t="s">
        <v>72</v>
      </c>
      <c r="O2414">
        <v>30</v>
      </c>
    </row>
    <row r="2415" spans="1:15" hidden="1" x14ac:dyDescent="0.25">
      <c r="A2415" t="s">
        <v>2820</v>
      </c>
      <c r="B2415" t="s">
        <v>133</v>
      </c>
      <c r="C2415" t="s">
        <v>134</v>
      </c>
      <c r="D2415" t="s">
        <v>15</v>
      </c>
      <c r="E2415" t="s">
        <v>4198</v>
      </c>
      <c r="F2415" s="3">
        <v>347004</v>
      </c>
      <c r="G2415" s="2">
        <f t="shared" si="74"/>
        <v>30</v>
      </c>
      <c r="H2415" s="2">
        <f t="shared" ca="1" si="75"/>
        <v>75</v>
      </c>
      <c r="I2415" s="4">
        <v>46045</v>
      </c>
      <c r="J2415" s="4">
        <v>46075</v>
      </c>
      <c r="K2415" t="s">
        <v>17</v>
      </c>
      <c r="L2415" t="s">
        <v>32</v>
      </c>
      <c r="M2415" t="s">
        <v>19</v>
      </c>
      <c r="N2415" t="s">
        <v>135</v>
      </c>
      <c r="O2415">
        <v>30</v>
      </c>
    </row>
    <row r="2416" spans="1:15" hidden="1" x14ac:dyDescent="0.25">
      <c r="A2416" t="s">
        <v>2820</v>
      </c>
      <c r="B2416" t="s">
        <v>49</v>
      </c>
      <c r="C2416" t="s">
        <v>50</v>
      </c>
      <c r="D2416" t="s">
        <v>15</v>
      </c>
      <c r="E2416" t="s">
        <v>4199</v>
      </c>
      <c r="F2416" s="3">
        <v>694008</v>
      </c>
      <c r="G2416" s="2">
        <f t="shared" si="74"/>
        <v>30</v>
      </c>
      <c r="H2416" s="2">
        <f t="shared" ca="1" si="75"/>
        <v>75</v>
      </c>
      <c r="I2416" s="4">
        <v>46045</v>
      </c>
      <c r="J2416" s="4">
        <v>46075</v>
      </c>
      <c r="K2416" t="s">
        <v>17</v>
      </c>
      <c r="L2416" t="s">
        <v>32</v>
      </c>
      <c r="M2416" t="s">
        <v>19</v>
      </c>
      <c r="N2416" t="s">
        <v>51</v>
      </c>
      <c r="O2416">
        <v>30</v>
      </c>
    </row>
    <row r="2417" spans="1:15" hidden="1" x14ac:dyDescent="0.25">
      <c r="A2417" t="s">
        <v>2820</v>
      </c>
      <c r="B2417" t="s">
        <v>55</v>
      </c>
      <c r="C2417" t="s">
        <v>56</v>
      </c>
      <c r="D2417" t="s">
        <v>46</v>
      </c>
      <c r="E2417" t="s">
        <v>4200</v>
      </c>
      <c r="F2417" s="3">
        <v>278095</v>
      </c>
      <c r="G2417" s="2">
        <f t="shared" si="74"/>
        <v>30</v>
      </c>
      <c r="H2417" s="2">
        <f t="shared" ca="1" si="75"/>
        <v>75</v>
      </c>
      <c r="I2417" s="4">
        <v>46045</v>
      </c>
      <c r="J2417" s="4">
        <v>46075</v>
      </c>
      <c r="K2417" t="s">
        <v>17</v>
      </c>
      <c r="L2417" t="s">
        <v>32</v>
      </c>
      <c r="M2417" t="s">
        <v>19</v>
      </c>
      <c r="N2417" t="s">
        <v>57</v>
      </c>
      <c r="O2417">
        <v>30</v>
      </c>
    </row>
    <row r="2418" spans="1:15" hidden="1" x14ac:dyDescent="0.25">
      <c r="A2418" t="s">
        <v>2820</v>
      </c>
      <c r="B2418" t="s">
        <v>136</v>
      </c>
      <c r="C2418" t="s">
        <v>137</v>
      </c>
      <c r="D2418" t="s">
        <v>46</v>
      </c>
      <c r="E2418" t="s">
        <v>4201</v>
      </c>
      <c r="F2418" s="3">
        <v>375470</v>
      </c>
      <c r="G2418" s="2">
        <f t="shared" si="74"/>
        <v>30</v>
      </c>
      <c r="H2418" s="2">
        <f t="shared" ca="1" si="75"/>
        <v>75</v>
      </c>
      <c r="I2418" s="4">
        <v>46045</v>
      </c>
      <c r="J2418" s="4">
        <v>46075</v>
      </c>
      <c r="K2418" t="s">
        <v>17</v>
      </c>
      <c r="L2418" t="s">
        <v>109</v>
      </c>
      <c r="M2418" t="s">
        <v>19</v>
      </c>
      <c r="N2418" t="s">
        <v>138</v>
      </c>
      <c r="O2418">
        <v>30</v>
      </c>
    </row>
    <row r="2419" spans="1:15" hidden="1" x14ac:dyDescent="0.25">
      <c r="A2419" t="s">
        <v>2820</v>
      </c>
      <c r="B2419" t="s">
        <v>136</v>
      </c>
      <c r="C2419" t="s">
        <v>137</v>
      </c>
      <c r="D2419" t="s">
        <v>46</v>
      </c>
      <c r="E2419" t="s">
        <v>4202</v>
      </c>
      <c r="F2419" s="3">
        <v>597732</v>
      </c>
      <c r="G2419" s="2">
        <f t="shared" si="74"/>
        <v>30</v>
      </c>
      <c r="H2419" s="2">
        <f t="shared" ca="1" si="75"/>
        <v>75</v>
      </c>
      <c r="I2419" s="4">
        <v>46045</v>
      </c>
      <c r="J2419" s="4">
        <v>46075</v>
      </c>
      <c r="K2419" t="s">
        <v>17</v>
      </c>
      <c r="L2419" t="s">
        <v>109</v>
      </c>
      <c r="M2419" t="s">
        <v>19</v>
      </c>
      <c r="N2419" t="s">
        <v>138</v>
      </c>
      <c r="O2419">
        <v>30</v>
      </c>
    </row>
    <row r="2420" spans="1:15" hidden="1" x14ac:dyDescent="0.25">
      <c r="A2420" t="s">
        <v>2820</v>
      </c>
      <c r="B2420" t="s">
        <v>49</v>
      </c>
      <c r="C2420" t="s">
        <v>50</v>
      </c>
      <c r="D2420" t="s">
        <v>15</v>
      </c>
      <c r="E2420" t="s">
        <v>4203</v>
      </c>
      <c r="F2420" s="3">
        <v>247899</v>
      </c>
      <c r="G2420" s="2">
        <f t="shared" si="74"/>
        <v>30</v>
      </c>
      <c r="H2420" s="2">
        <f t="shared" ca="1" si="75"/>
        <v>75</v>
      </c>
      <c r="I2420" s="4">
        <v>46045</v>
      </c>
      <c r="J2420" s="4">
        <v>46075</v>
      </c>
      <c r="K2420" t="s">
        <v>17</v>
      </c>
      <c r="L2420" t="s">
        <v>32</v>
      </c>
      <c r="M2420" t="s">
        <v>19</v>
      </c>
      <c r="N2420" t="s">
        <v>51</v>
      </c>
      <c r="O2420">
        <v>30</v>
      </c>
    </row>
    <row r="2421" spans="1:15" hidden="1" x14ac:dyDescent="0.25">
      <c r="A2421" t="s">
        <v>2820</v>
      </c>
      <c r="B2421" t="s">
        <v>70</v>
      </c>
      <c r="C2421" t="s">
        <v>71</v>
      </c>
      <c r="D2421" t="s">
        <v>15</v>
      </c>
      <c r="E2421" t="s">
        <v>4204</v>
      </c>
      <c r="F2421" s="3">
        <v>2100000</v>
      </c>
      <c r="G2421" s="2">
        <f t="shared" si="74"/>
        <v>10</v>
      </c>
      <c r="H2421" s="2">
        <f t="shared" ca="1" si="75"/>
        <v>75</v>
      </c>
      <c r="I2421" s="4">
        <v>46045</v>
      </c>
      <c r="J2421" s="4">
        <v>46055</v>
      </c>
      <c r="K2421" t="s">
        <v>17</v>
      </c>
      <c r="L2421" t="s">
        <v>32</v>
      </c>
      <c r="M2421" t="s">
        <v>19</v>
      </c>
      <c r="N2421" t="s">
        <v>72</v>
      </c>
      <c r="O2421">
        <v>30</v>
      </c>
    </row>
    <row r="2422" spans="1:15" hidden="1" x14ac:dyDescent="0.25">
      <c r="A2422" t="s">
        <v>2820</v>
      </c>
      <c r="B2422" t="s">
        <v>3369</v>
      </c>
      <c r="C2422" t="s">
        <v>3370</v>
      </c>
      <c r="D2422" t="s">
        <v>15</v>
      </c>
      <c r="E2422" t="s">
        <v>4205</v>
      </c>
      <c r="F2422" s="3">
        <v>114600</v>
      </c>
      <c r="G2422" s="2">
        <f t="shared" si="74"/>
        <v>30</v>
      </c>
      <c r="H2422" s="2">
        <f t="shared" ca="1" si="75"/>
        <v>75</v>
      </c>
      <c r="I2422" s="4">
        <v>46045</v>
      </c>
      <c r="J2422" s="4">
        <v>46075</v>
      </c>
      <c r="K2422" t="s">
        <v>17</v>
      </c>
      <c r="L2422" t="s">
        <v>109</v>
      </c>
      <c r="M2422" t="s">
        <v>19</v>
      </c>
      <c r="N2422" t="s">
        <v>3372</v>
      </c>
      <c r="O2422">
        <v>30</v>
      </c>
    </row>
    <row r="2423" spans="1:15" hidden="1" x14ac:dyDescent="0.25">
      <c r="A2423" t="s">
        <v>2820</v>
      </c>
      <c r="B2423" t="s">
        <v>1948</v>
      </c>
      <c r="C2423" t="s">
        <v>1949</v>
      </c>
      <c r="D2423" t="s">
        <v>1401</v>
      </c>
      <c r="E2423" t="s">
        <v>4206</v>
      </c>
      <c r="F2423" s="3">
        <v>210005</v>
      </c>
      <c r="G2423" s="2">
        <f t="shared" si="74"/>
        <v>30</v>
      </c>
      <c r="H2423" s="2">
        <f t="shared" ca="1" si="75"/>
        <v>75</v>
      </c>
      <c r="I2423" s="4">
        <v>46045</v>
      </c>
      <c r="J2423" s="4">
        <v>46075</v>
      </c>
      <c r="K2423" t="s">
        <v>17</v>
      </c>
      <c r="L2423" t="s">
        <v>90</v>
      </c>
      <c r="M2423" t="s">
        <v>391</v>
      </c>
      <c r="N2423" t="s">
        <v>1950</v>
      </c>
      <c r="O2423">
        <v>30</v>
      </c>
    </row>
    <row r="2424" spans="1:15" hidden="1" x14ac:dyDescent="0.25">
      <c r="A2424" t="s">
        <v>2820</v>
      </c>
      <c r="B2424" t="s">
        <v>1452</v>
      </c>
      <c r="C2424" t="s">
        <v>1453</v>
      </c>
      <c r="D2424" t="s">
        <v>1401</v>
      </c>
      <c r="E2424" t="s">
        <v>4207</v>
      </c>
      <c r="F2424" s="3">
        <v>1123873</v>
      </c>
      <c r="G2424" s="2">
        <f t="shared" si="74"/>
        <v>30</v>
      </c>
      <c r="H2424" s="2">
        <f t="shared" ca="1" si="75"/>
        <v>75</v>
      </c>
      <c r="I2424" s="4">
        <v>46045</v>
      </c>
      <c r="J2424" s="4">
        <v>46075</v>
      </c>
      <c r="K2424" t="s">
        <v>17</v>
      </c>
      <c r="L2424" t="s">
        <v>90</v>
      </c>
      <c r="M2424" t="s">
        <v>19</v>
      </c>
      <c r="N2424" t="s">
        <v>1454</v>
      </c>
      <c r="O2424">
        <v>30</v>
      </c>
    </row>
    <row r="2425" spans="1:15" hidden="1" x14ac:dyDescent="0.25">
      <c r="A2425" t="s">
        <v>2820</v>
      </c>
      <c r="B2425" t="s">
        <v>1412</v>
      </c>
      <c r="C2425" t="s">
        <v>1413</v>
      </c>
      <c r="D2425" t="s">
        <v>1401</v>
      </c>
      <c r="E2425" t="s">
        <v>4208</v>
      </c>
      <c r="F2425" s="3">
        <v>220826</v>
      </c>
      <c r="G2425" s="2">
        <f t="shared" si="74"/>
        <v>30</v>
      </c>
      <c r="H2425" s="2">
        <f t="shared" ca="1" si="75"/>
        <v>75</v>
      </c>
      <c r="I2425" s="4">
        <v>46045</v>
      </c>
      <c r="J2425" s="4">
        <v>46075</v>
      </c>
      <c r="K2425" t="s">
        <v>17</v>
      </c>
      <c r="L2425" t="s">
        <v>90</v>
      </c>
      <c r="M2425" t="s">
        <v>19</v>
      </c>
      <c r="N2425" t="s">
        <v>1414</v>
      </c>
      <c r="O2425">
        <v>30</v>
      </c>
    </row>
    <row r="2426" spans="1:15" hidden="1" x14ac:dyDescent="0.25">
      <c r="A2426" t="s">
        <v>2820</v>
      </c>
      <c r="B2426" t="s">
        <v>4209</v>
      </c>
      <c r="C2426" t="s">
        <v>4210</v>
      </c>
      <c r="D2426" t="s">
        <v>46</v>
      </c>
      <c r="E2426" t="s">
        <v>4211</v>
      </c>
      <c r="F2426" s="3">
        <v>101000</v>
      </c>
      <c r="G2426" s="2">
        <f t="shared" si="74"/>
        <v>30</v>
      </c>
      <c r="H2426" s="2">
        <f t="shared" ca="1" si="75"/>
        <v>75</v>
      </c>
      <c r="I2426" s="4">
        <v>46045</v>
      </c>
      <c r="J2426" s="4">
        <v>46075</v>
      </c>
      <c r="K2426" t="s">
        <v>17</v>
      </c>
      <c r="L2426" t="s">
        <v>32</v>
      </c>
      <c r="M2426" t="s">
        <v>19</v>
      </c>
      <c r="N2426" t="s">
        <v>149</v>
      </c>
      <c r="O2426">
        <v>30</v>
      </c>
    </row>
    <row r="2427" spans="1:15" hidden="1" x14ac:dyDescent="0.25">
      <c r="A2427" t="s">
        <v>2820</v>
      </c>
      <c r="B2427" t="s">
        <v>2915</v>
      </c>
      <c r="C2427" t="s">
        <v>2916</v>
      </c>
      <c r="D2427" t="s">
        <v>15</v>
      </c>
      <c r="E2427" t="s">
        <v>4212</v>
      </c>
      <c r="F2427" s="3">
        <v>483290</v>
      </c>
      <c r="G2427" s="2">
        <f t="shared" si="74"/>
        <v>30</v>
      </c>
      <c r="H2427" s="2">
        <f t="shared" ca="1" si="75"/>
        <v>75</v>
      </c>
      <c r="I2427" s="4">
        <v>46045</v>
      </c>
      <c r="J2427" s="4">
        <v>46075</v>
      </c>
      <c r="K2427" t="s">
        <v>17</v>
      </c>
      <c r="L2427" t="s">
        <v>109</v>
      </c>
      <c r="M2427" t="s">
        <v>19</v>
      </c>
      <c r="N2427" t="s">
        <v>2917</v>
      </c>
      <c r="O2427">
        <v>30</v>
      </c>
    </row>
    <row r="2428" spans="1:15" hidden="1" x14ac:dyDescent="0.25">
      <c r="A2428" t="s">
        <v>2820</v>
      </c>
      <c r="B2428" t="s">
        <v>3365</v>
      </c>
      <c r="C2428" t="s">
        <v>3366</v>
      </c>
      <c r="D2428" t="s">
        <v>15</v>
      </c>
      <c r="E2428" t="s">
        <v>4213</v>
      </c>
      <c r="F2428" s="3">
        <v>7289647</v>
      </c>
      <c r="G2428" s="2">
        <f t="shared" si="74"/>
        <v>30</v>
      </c>
      <c r="H2428" s="2">
        <f t="shared" ca="1" si="75"/>
        <v>75</v>
      </c>
      <c r="I2428" s="4">
        <v>46045</v>
      </c>
      <c r="J2428" s="4">
        <v>46075</v>
      </c>
      <c r="K2428" t="s">
        <v>17</v>
      </c>
      <c r="L2428" t="s">
        <v>90</v>
      </c>
      <c r="M2428" t="s">
        <v>19</v>
      </c>
      <c r="N2428" t="s">
        <v>3368</v>
      </c>
      <c r="O2428">
        <v>1</v>
      </c>
    </row>
    <row r="2429" spans="1:15" hidden="1" x14ac:dyDescent="0.25">
      <c r="A2429" t="s">
        <v>2820</v>
      </c>
      <c r="B2429" t="s">
        <v>1412</v>
      </c>
      <c r="C2429" t="s">
        <v>1413</v>
      </c>
      <c r="D2429" t="s">
        <v>1401</v>
      </c>
      <c r="E2429" t="s">
        <v>4214</v>
      </c>
      <c r="F2429" s="3">
        <v>372554</v>
      </c>
      <c r="G2429" s="2">
        <f t="shared" si="74"/>
        <v>30</v>
      </c>
      <c r="H2429" s="2">
        <f t="shared" ca="1" si="75"/>
        <v>75</v>
      </c>
      <c r="I2429" s="4">
        <v>46045</v>
      </c>
      <c r="J2429" s="4">
        <v>46075</v>
      </c>
      <c r="K2429" t="s">
        <v>17</v>
      </c>
      <c r="L2429" t="s">
        <v>90</v>
      </c>
      <c r="M2429" t="s">
        <v>19</v>
      </c>
      <c r="N2429" t="s">
        <v>1414</v>
      </c>
      <c r="O2429">
        <v>30</v>
      </c>
    </row>
    <row r="2430" spans="1:15" hidden="1" x14ac:dyDescent="0.25">
      <c r="A2430" t="s">
        <v>2820</v>
      </c>
      <c r="B2430" t="s">
        <v>162</v>
      </c>
      <c r="C2430" t="s">
        <v>163</v>
      </c>
      <c r="D2430" t="s">
        <v>15</v>
      </c>
      <c r="E2430" t="s">
        <v>4289</v>
      </c>
      <c r="F2430" s="3">
        <v>284357</v>
      </c>
      <c r="G2430" s="2">
        <f t="shared" si="74"/>
        <v>30</v>
      </c>
      <c r="H2430" s="2">
        <f t="shared" ca="1" si="75"/>
        <v>75</v>
      </c>
      <c r="I2430" s="4">
        <v>46045</v>
      </c>
      <c r="J2430" s="4">
        <v>46075</v>
      </c>
      <c r="K2430" t="s">
        <v>17</v>
      </c>
      <c r="L2430" t="s">
        <v>32</v>
      </c>
      <c r="M2430" t="s">
        <v>19</v>
      </c>
      <c r="N2430" t="s">
        <v>164</v>
      </c>
      <c r="O2430">
        <v>30</v>
      </c>
    </row>
    <row r="2431" spans="1:15" hidden="1" x14ac:dyDescent="0.25">
      <c r="A2431" t="s">
        <v>2820</v>
      </c>
      <c r="B2431" t="s">
        <v>139</v>
      </c>
      <c r="C2431" t="s">
        <v>140</v>
      </c>
      <c r="D2431" t="s">
        <v>46</v>
      </c>
      <c r="E2431" t="s">
        <v>4290</v>
      </c>
      <c r="F2431" s="3">
        <v>190699</v>
      </c>
      <c r="G2431" s="2">
        <f t="shared" si="74"/>
        <v>30</v>
      </c>
      <c r="H2431" s="2">
        <f t="shared" ca="1" si="75"/>
        <v>75</v>
      </c>
      <c r="I2431" s="4">
        <v>46045</v>
      </c>
      <c r="J2431" s="4">
        <v>46075</v>
      </c>
      <c r="K2431" t="s">
        <v>17</v>
      </c>
      <c r="L2431" t="s">
        <v>32</v>
      </c>
      <c r="M2431" t="s">
        <v>19</v>
      </c>
      <c r="N2431" t="s">
        <v>141</v>
      </c>
      <c r="O2431">
        <v>30</v>
      </c>
    </row>
    <row r="2432" spans="1:15" hidden="1" x14ac:dyDescent="0.25">
      <c r="A2432" t="s">
        <v>2820</v>
      </c>
      <c r="B2432" t="s">
        <v>4291</v>
      </c>
      <c r="C2432" t="s">
        <v>4292</v>
      </c>
      <c r="D2432" t="s">
        <v>15</v>
      </c>
      <c r="E2432" t="s">
        <v>4293</v>
      </c>
      <c r="F2432" s="3">
        <v>371644</v>
      </c>
      <c r="G2432" s="2">
        <f t="shared" si="74"/>
        <v>30</v>
      </c>
      <c r="H2432" s="2">
        <f t="shared" ca="1" si="75"/>
        <v>75</v>
      </c>
      <c r="I2432" s="4">
        <v>46045</v>
      </c>
      <c r="J2432" s="4">
        <v>46075</v>
      </c>
      <c r="K2432" t="s">
        <v>17</v>
      </c>
      <c r="L2432" t="s">
        <v>18</v>
      </c>
      <c r="M2432" t="s">
        <v>19</v>
      </c>
      <c r="N2432" t="s">
        <v>4294</v>
      </c>
      <c r="O2432">
        <v>30</v>
      </c>
    </row>
    <row r="2433" spans="1:15" hidden="1" x14ac:dyDescent="0.25">
      <c r="A2433" t="s">
        <v>2820</v>
      </c>
      <c r="B2433" t="s">
        <v>2370</v>
      </c>
      <c r="C2433" t="s">
        <v>2371</v>
      </c>
      <c r="D2433" t="s">
        <v>46</v>
      </c>
      <c r="E2433" t="s">
        <v>4295</v>
      </c>
      <c r="F2433" s="3">
        <v>979870</v>
      </c>
      <c r="G2433" s="2">
        <f t="shared" si="74"/>
        <v>30</v>
      </c>
      <c r="H2433" s="2">
        <f t="shared" ca="1" si="75"/>
        <v>75</v>
      </c>
      <c r="I2433" s="4">
        <v>46045</v>
      </c>
      <c r="J2433" s="4">
        <v>46075</v>
      </c>
      <c r="K2433" t="s">
        <v>17</v>
      </c>
      <c r="L2433" t="s">
        <v>18</v>
      </c>
      <c r="M2433" t="s">
        <v>19</v>
      </c>
      <c r="N2433" t="s">
        <v>2372</v>
      </c>
      <c r="O2433">
        <v>30</v>
      </c>
    </row>
    <row r="2434" spans="1:15" hidden="1" x14ac:dyDescent="0.25">
      <c r="A2434" t="s">
        <v>2820</v>
      </c>
      <c r="B2434" t="s">
        <v>95</v>
      </c>
      <c r="C2434" t="s">
        <v>96</v>
      </c>
      <c r="D2434" t="s">
        <v>15</v>
      </c>
      <c r="E2434" t="s">
        <v>4296</v>
      </c>
      <c r="F2434" s="3">
        <v>3305532</v>
      </c>
      <c r="G2434" s="2">
        <f t="shared" ref="G2434:G2497" si="76">+J2434-I2434</f>
        <v>30</v>
      </c>
      <c r="H2434" s="2">
        <f t="shared" ref="H2434:H2497" ca="1" si="77">+TODAY()-I2434</f>
        <v>75</v>
      </c>
      <c r="I2434" s="4">
        <v>46045</v>
      </c>
      <c r="J2434" s="4">
        <v>46075</v>
      </c>
      <c r="K2434" t="s">
        <v>17</v>
      </c>
      <c r="L2434" t="s">
        <v>32</v>
      </c>
      <c r="M2434" t="s">
        <v>19</v>
      </c>
      <c r="N2434" t="s">
        <v>97</v>
      </c>
      <c r="O2434">
        <v>30</v>
      </c>
    </row>
    <row r="2435" spans="1:15" hidden="1" x14ac:dyDescent="0.25">
      <c r="A2435" t="s">
        <v>2820</v>
      </c>
      <c r="B2435" t="s">
        <v>95</v>
      </c>
      <c r="C2435" t="s">
        <v>96</v>
      </c>
      <c r="D2435" t="s">
        <v>15</v>
      </c>
      <c r="E2435" t="s">
        <v>4297</v>
      </c>
      <c r="F2435" s="3">
        <v>12255302</v>
      </c>
      <c r="G2435" s="2">
        <f t="shared" si="76"/>
        <v>30</v>
      </c>
      <c r="H2435" s="2">
        <f t="shared" ca="1" si="77"/>
        <v>75</v>
      </c>
      <c r="I2435" s="4">
        <v>46045</v>
      </c>
      <c r="J2435" s="4">
        <v>46075</v>
      </c>
      <c r="K2435" t="s">
        <v>17</v>
      </c>
      <c r="L2435" t="s">
        <v>32</v>
      </c>
      <c r="M2435" t="s">
        <v>19</v>
      </c>
      <c r="N2435" t="s">
        <v>97</v>
      </c>
      <c r="O2435">
        <v>30</v>
      </c>
    </row>
    <row r="2436" spans="1:15" hidden="1" x14ac:dyDescent="0.25">
      <c r="A2436" t="s">
        <v>2820</v>
      </c>
      <c r="B2436" t="s">
        <v>4401</v>
      </c>
      <c r="C2436" t="s">
        <v>4402</v>
      </c>
      <c r="D2436" t="s">
        <v>4403</v>
      </c>
      <c r="E2436" t="s">
        <v>4404</v>
      </c>
      <c r="F2436" s="3">
        <v>1722772</v>
      </c>
      <c r="G2436" s="2">
        <f t="shared" si="76"/>
        <v>30</v>
      </c>
      <c r="H2436" s="2">
        <f t="shared" ca="1" si="77"/>
        <v>75</v>
      </c>
      <c r="I2436" s="4">
        <v>46045</v>
      </c>
      <c r="J2436" s="4">
        <v>46075</v>
      </c>
      <c r="K2436" t="s">
        <v>980</v>
      </c>
      <c r="L2436" t="s">
        <v>984</v>
      </c>
      <c r="M2436" t="s">
        <v>19</v>
      </c>
      <c r="N2436" t="s">
        <v>4405</v>
      </c>
      <c r="O2436">
        <v>30</v>
      </c>
    </row>
    <row r="2437" spans="1:15" hidden="1" x14ac:dyDescent="0.25">
      <c r="A2437" t="s">
        <v>2820</v>
      </c>
      <c r="B2437" t="s">
        <v>4401</v>
      </c>
      <c r="C2437" t="s">
        <v>4402</v>
      </c>
      <c r="D2437" t="s">
        <v>4403</v>
      </c>
      <c r="E2437" t="s">
        <v>4406</v>
      </c>
      <c r="F2437" s="3">
        <v>251589</v>
      </c>
      <c r="G2437" s="2">
        <f t="shared" si="76"/>
        <v>30</v>
      </c>
      <c r="H2437" s="2">
        <f t="shared" ca="1" si="77"/>
        <v>75</v>
      </c>
      <c r="I2437" s="4">
        <v>46045</v>
      </c>
      <c r="J2437" s="4">
        <v>46075</v>
      </c>
      <c r="K2437" t="s">
        <v>980</v>
      </c>
      <c r="L2437" t="s">
        <v>984</v>
      </c>
      <c r="M2437" t="s">
        <v>19</v>
      </c>
      <c r="N2437" t="s">
        <v>4405</v>
      </c>
      <c r="O2437">
        <v>30</v>
      </c>
    </row>
    <row r="2438" spans="1:15" hidden="1" x14ac:dyDescent="0.25">
      <c r="A2438" t="s">
        <v>2820</v>
      </c>
      <c r="B2438" t="s">
        <v>2750</v>
      </c>
      <c r="C2438" t="s">
        <v>2751</v>
      </c>
      <c r="D2438" t="s">
        <v>1066</v>
      </c>
      <c r="E2438" t="s">
        <v>4438</v>
      </c>
      <c r="F2438" s="3">
        <v>879547</v>
      </c>
      <c r="G2438" s="2">
        <f t="shared" si="76"/>
        <v>8</v>
      </c>
      <c r="H2438" s="2">
        <f t="shared" ca="1" si="77"/>
        <v>75</v>
      </c>
      <c r="I2438" s="4">
        <v>46045</v>
      </c>
      <c r="J2438" s="4">
        <v>46053</v>
      </c>
      <c r="K2438" t="s">
        <v>1068</v>
      </c>
      <c r="L2438" t="s">
        <v>312</v>
      </c>
      <c r="M2438" t="s">
        <v>19</v>
      </c>
      <c r="N2438" t="s">
        <v>2752</v>
      </c>
      <c r="O2438">
        <v>8</v>
      </c>
    </row>
    <row r="2439" spans="1:15" hidden="1" x14ac:dyDescent="0.25">
      <c r="A2439" t="s">
        <v>2820</v>
      </c>
      <c r="B2439" t="s">
        <v>4454</v>
      </c>
      <c r="C2439" t="s">
        <v>4455</v>
      </c>
      <c r="D2439" t="s">
        <v>1118</v>
      </c>
      <c r="E2439" t="s">
        <v>4456</v>
      </c>
      <c r="F2439" s="3">
        <v>94623</v>
      </c>
      <c r="G2439" s="2">
        <f t="shared" si="76"/>
        <v>1</v>
      </c>
      <c r="H2439" s="2">
        <f t="shared" ca="1" si="77"/>
        <v>75</v>
      </c>
      <c r="I2439" s="4">
        <v>46045</v>
      </c>
      <c r="J2439" s="4">
        <v>46046</v>
      </c>
      <c r="K2439" t="s">
        <v>1144</v>
      </c>
      <c r="L2439" t="s">
        <v>321</v>
      </c>
      <c r="M2439" t="s">
        <v>19</v>
      </c>
      <c r="N2439" t="s">
        <v>4457</v>
      </c>
      <c r="O2439">
        <v>1</v>
      </c>
    </row>
    <row r="2440" spans="1:15" hidden="1" x14ac:dyDescent="0.25">
      <c r="A2440" t="s">
        <v>2820</v>
      </c>
      <c r="B2440" t="s">
        <v>4458</v>
      </c>
      <c r="C2440" t="s">
        <v>4459</v>
      </c>
      <c r="D2440" t="s">
        <v>1118</v>
      </c>
      <c r="E2440" t="s">
        <v>4460</v>
      </c>
      <c r="F2440" s="3">
        <v>49610</v>
      </c>
      <c r="G2440" s="2">
        <f t="shared" si="76"/>
        <v>1</v>
      </c>
      <c r="H2440" s="2">
        <f t="shared" ca="1" si="77"/>
        <v>75</v>
      </c>
      <c r="I2440" s="4">
        <v>46045</v>
      </c>
      <c r="J2440" s="4">
        <v>46046</v>
      </c>
      <c r="K2440" t="s">
        <v>1144</v>
      </c>
      <c r="L2440" t="s">
        <v>321</v>
      </c>
      <c r="M2440" t="s">
        <v>19</v>
      </c>
      <c r="N2440" t="s">
        <v>4461</v>
      </c>
      <c r="O2440">
        <v>30</v>
      </c>
    </row>
    <row r="2441" spans="1:15" hidden="1" x14ac:dyDescent="0.25">
      <c r="A2441" t="s">
        <v>2820</v>
      </c>
      <c r="B2441" t="s">
        <v>4458</v>
      </c>
      <c r="C2441" t="s">
        <v>4459</v>
      </c>
      <c r="D2441" t="s">
        <v>1118</v>
      </c>
      <c r="E2441" t="s">
        <v>4462</v>
      </c>
      <c r="F2441" s="3">
        <v>40504</v>
      </c>
      <c r="G2441" s="2">
        <f t="shared" si="76"/>
        <v>1</v>
      </c>
      <c r="H2441" s="2">
        <f t="shared" ca="1" si="77"/>
        <v>75</v>
      </c>
      <c r="I2441" s="4">
        <v>46045</v>
      </c>
      <c r="J2441" s="4">
        <v>46046</v>
      </c>
      <c r="K2441" t="s">
        <v>1144</v>
      </c>
      <c r="L2441" t="s">
        <v>321</v>
      </c>
      <c r="M2441" t="s">
        <v>19</v>
      </c>
      <c r="N2441" t="s">
        <v>4461</v>
      </c>
      <c r="O2441">
        <v>30</v>
      </c>
    </row>
    <row r="2442" spans="1:15" hidden="1" x14ac:dyDescent="0.25">
      <c r="A2442" t="s">
        <v>2820</v>
      </c>
      <c r="B2442" t="s">
        <v>4463</v>
      </c>
      <c r="C2442" t="s">
        <v>4464</v>
      </c>
      <c r="D2442" t="s">
        <v>1118</v>
      </c>
      <c r="E2442" t="s">
        <v>4465</v>
      </c>
      <c r="F2442" s="3">
        <v>54591</v>
      </c>
      <c r="G2442" s="2">
        <f t="shared" si="76"/>
        <v>1</v>
      </c>
      <c r="H2442" s="2">
        <f t="shared" ca="1" si="77"/>
        <v>75</v>
      </c>
      <c r="I2442" s="4">
        <v>46045</v>
      </c>
      <c r="J2442" s="4">
        <v>46046</v>
      </c>
      <c r="K2442" t="s">
        <v>1144</v>
      </c>
      <c r="L2442" t="s">
        <v>321</v>
      </c>
      <c r="M2442" t="s">
        <v>19</v>
      </c>
      <c r="N2442" t="s">
        <v>4466</v>
      </c>
      <c r="O2442">
        <v>1</v>
      </c>
    </row>
    <row r="2443" spans="1:15" hidden="1" x14ac:dyDescent="0.25">
      <c r="A2443" t="s">
        <v>2820</v>
      </c>
      <c r="B2443" t="s">
        <v>4467</v>
      </c>
      <c r="C2443" t="s">
        <v>4468</v>
      </c>
      <c r="D2443" t="s">
        <v>1138</v>
      </c>
      <c r="E2443" t="s">
        <v>4469</v>
      </c>
      <c r="F2443" s="3">
        <v>180643</v>
      </c>
      <c r="G2443" s="2">
        <f t="shared" si="76"/>
        <v>1</v>
      </c>
      <c r="H2443" s="2">
        <f t="shared" ca="1" si="77"/>
        <v>75</v>
      </c>
      <c r="I2443" s="4">
        <v>46045</v>
      </c>
      <c r="J2443" s="4">
        <v>46046</v>
      </c>
      <c r="K2443" t="s">
        <v>1144</v>
      </c>
      <c r="L2443" t="s">
        <v>321</v>
      </c>
      <c r="M2443" t="s">
        <v>19</v>
      </c>
      <c r="N2443" t="s">
        <v>4470</v>
      </c>
      <c r="O2443">
        <v>1</v>
      </c>
    </row>
    <row r="2444" spans="1:15" hidden="1" x14ac:dyDescent="0.25">
      <c r="A2444" t="s">
        <v>2820</v>
      </c>
      <c r="B2444" t="s">
        <v>4471</v>
      </c>
      <c r="C2444" t="s">
        <v>4472</v>
      </c>
      <c r="D2444" t="s">
        <v>1138</v>
      </c>
      <c r="E2444" t="s">
        <v>4473</v>
      </c>
      <c r="F2444" s="3">
        <v>100072</v>
      </c>
      <c r="G2444" s="2">
        <f t="shared" si="76"/>
        <v>1</v>
      </c>
      <c r="H2444" s="2">
        <f t="shared" ca="1" si="77"/>
        <v>75</v>
      </c>
      <c r="I2444" s="4">
        <v>46045</v>
      </c>
      <c r="J2444" s="4">
        <v>46046</v>
      </c>
      <c r="K2444" t="s">
        <v>1144</v>
      </c>
      <c r="L2444" t="s">
        <v>321</v>
      </c>
      <c r="M2444" t="s">
        <v>19</v>
      </c>
      <c r="N2444" t="s">
        <v>4474</v>
      </c>
      <c r="O2444">
        <v>0</v>
      </c>
    </row>
    <row r="2445" spans="1:15" hidden="1" x14ac:dyDescent="0.25">
      <c r="A2445" t="s">
        <v>2820</v>
      </c>
      <c r="B2445" t="s">
        <v>4475</v>
      </c>
      <c r="C2445" t="s">
        <v>4476</v>
      </c>
      <c r="D2445" t="s">
        <v>1118</v>
      </c>
      <c r="E2445" t="s">
        <v>4477</v>
      </c>
      <c r="F2445" s="3">
        <v>351671</v>
      </c>
      <c r="G2445" s="2">
        <f t="shared" si="76"/>
        <v>1</v>
      </c>
      <c r="H2445" s="2">
        <f t="shared" ca="1" si="77"/>
        <v>75</v>
      </c>
      <c r="I2445" s="4">
        <v>46045</v>
      </c>
      <c r="J2445" s="4">
        <v>46046</v>
      </c>
      <c r="K2445" t="s">
        <v>1144</v>
      </c>
      <c r="L2445" t="s">
        <v>321</v>
      </c>
      <c r="M2445" t="s">
        <v>19</v>
      </c>
      <c r="N2445" t="s">
        <v>4478</v>
      </c>
      <c r="O2445">
        <v>30</v>
      </c>
    </row>
    <row r="2446" spans="1:15" hidden="1" x14ac:dyDescent="0.25">
      <c r="A2446" t="s">
        <v>2820</v>
      </c>
      <c r="B2446" t="s">
        <v>4475</v>
      </c>
      <c r="C2446" t="s">
        <v>4476</v>
      </c>
      <c r="D2446" t="s">
        <v>1118</v>
      </c>
      <c r="E2446" t="s">
        <v>4479</v>
      </c>
      <c r="F2446" s="3">
        <v>68701</v>
      </c>
      <c r="G2446" s="2">
        <f t="shared" si="76"/>
        <v>1</v>
      </c>
      <c r="H2446" s="2">
        <f t="shared" ca="1" si="77"/>
        <v>75</v>
      </c>
      <c r="I2446" s="4">
        <v>46045</v>
      </c>
      <c r="J2446" s="4">
        <v>46046</v>
      </c>
      <c r="K2446" t="s">
        <v>1144</v>
      </c>
      <c r="L2446" t="s">
        <v>321</v>
      </c>
      <c r="M2446" t="s">
        <v>19</v>
      </c>
      <c r="N2446" t="s">
        <v>4478</v>
      </c>
      <c r="O2446">
        <v>30</v>
      </c>
    </row>
    <row r="2447" spans="1:15" hidden="1" x14ac:dyDescent="0.25">
      <c r="A2447" t="s">
        <v>2820</v>
      </c>
      <c r="B2447" t="s">
        <v>3598</v>
      </c>
      <c r="C2447" t="s">
        <v>3599</v>
      </c>
      <c r="D2447" t="s">
        <v>1138</v>
      </c>
      <c r="E2447" t="s">
        <v>4480</v>
      </c>
      <c r="F2447" s="3">
        <v>243616</v>
      </c>
      <c r="G2447" s="2">
        <f t="shared" si="76"/>
        <v>1</v>
      </c>
      <c r="H2447" s="2">
        <f t="shared" ca="1" si="77"/>
        <v>75</v>
      </c>
      <c r="I2447" s="4">
        <v>46045</v>
      </c>
      <c r="J2447" s="4">
        <v>46046</v>
      </c>
      <c r="K2447" t="s">
        <v>1144</v>
      </c>
      <c r="L2447" t="s">
        <v>321</v>
      </c>
      <c r="M2447" t="s">
        <v>19</v>
      </c>
      <c r="N2447" t="s">
        <v>3601</v>
      </c>
      <c r="O2447">
        <v>15</v>
      </c>
    </row>
    <row r="2448" spans="1:15" hidden="1" x14ac:dyDescent="0.25">
      <c r="A2448" t="s">
        <v>2820</v>
      </c>
      <c r="B2448" t="s">
        <v>4475</v>
      </c>
      <c r="C2448" t="s">
        <v>4476</v>
      </c>
      <c r="D2448" t="s">
        <v>1118</v>
      </c>
      <c r="E2448" t="s">
        <v>4481</v>
      </c>
      <c r="F2448" s="3">
        <v>23700</v>
      </c>
      <c r="G2448" s="2">
        <f t="shared" si="76"/>
        <v>1</v>
      </c>
      <c r="H2448" s="2">
        <f t="shared" ca="1" si="77"/>
        <v>75</v>
      </c>
      <c r="I2448" s="4">
        <v>46045</v>
      </c>
      <c r="J2448" s="4">
        <v>46046</v>
      </c>
      <c r="K2448" t="s">
        <v>1144</v>
      </c>
      <c r="L2448" t="s">
        <v>321</v>
      </c>
      <c r="M2448" t="s">
        <v>19</v>
      </c>
      <c r="N2448" t="s">
        <v>4478</v>
      </c>
      <c r="O2448">
        <v>30</v>
      </c>
    </row>
    <row r="2449" spans="1:15" hidden="1" x14ac:dyDescent="0.25">
      <c r="A2449" t="s">
        <v>2820</v>
      </c>
      <c r="B2449" t="s">
        <v>4482</v>
      </c>
      <c r="C2449" t="s">
        <v>4483</v>
      </c>
      <c r="D2449" t="s">
        <v>1118</v>
      </c>
      <c r="E2449" t="s">
        <v>4484</v>
      </c>
      <c r="F2449" s="3">
        <v>76601</v>
      </c>
      <c r="G2449" s="2">
        <f t="shared" si="76"/>
        <v>1</v>
      </c>
      <c r="H2449" s="2">
        <f t="shared" ca="1" si="77"/>
        <v>75</v>
      </c>
      <c r="I2449" s="4">
        <v>46045</v>
      </c>
      <c r="J2449" s="4">
        <v>46046</v>
      </c>
      <c r="K2449" t="s">
        <v>1144</v>
      </c>
      <c r="L2449" t="s">
        <v>321</v>
      </c>
      <c r="M2449" t="s">
        <v>19</v>
      </c>
      <c r="N2449" t="s">
        <v>4485</v>
      </c>
      <c r="O2449">
        <v>30</v>
      </c>
    </row>
    <row r="2450" spans="1:15" hidden="1" x14ac:dyDescent="0.25">
      <c r="A2450" t="s">
        <v>2820</v>
      </c>
      <c r="B2450" t="s">
        <v>4486</v>
      </c>
      <c r="C2450" t="s">
        <v>4487</v>
      </c>
      <c r="D2450" t="s">
        <v>1118</v>
      </c>
      <c r="E2450" t="s">
        <v>4488</v>
      </c>
      <c r="F2450" s="3">
        <v>123197</v>
      </c>
      <c r="G2450" s="2">
        <f t="shared" si="76"/>
        <v>1</v>
      </c>
      <c r="H2450" s="2">
        <f t="shared" ca="1" si="77"/>
        <v>75</v>
      </c>
      <c r="I2450" s="4">
        <v>46045</v>
      </c>
      <c r="J2450" s="4">
        <v>46046</v>
      </c>
      <c r="K2450" t="s">
        <v>1144</v>
      </c>
      <c r="L2450" t="s">
        <v>321</v>
      </c>
      <c r="M2450" t="s">
        <v>19</v>
      </c>
      <c r="N2450" t="s">
        <v>4489</v>
      </c>
      <c r="O2450">
        <v>30</v>
      </c>
    </row>
    <row r="2451" spans="1:15" hidden="1" x14ac:dyDescent="0.25">
      <c r="A2451" t="s">
        <v>2820</v>
      </c>
      <c r="B2451" t="s">
        <v>4490</v>
      </c>
      <c r="C2451" t="s">
        <v>4491</v>
      </c>
      <c r="D2451" t="s">
        <v>1138</v>
      </c>
      <c r="E2451" t="s">
        <v>4492</v>
      </c>
      <c r="F2451" s="3">
        <v>144279</v>
      </c>
      <c r="G2451" s="2">
        <f t="shared" si="76"/>
        <v>1</v>
      </c>
      <c r="H2451" s="2">
        <f t="shared" ca="1" si="77"/>
        <v>75</v>
      </c>
      <c r="I2451" s="4">
        <v>46045</v>
      </c>
      <c r="J2451" s="4">
        <v>46046</v>
      </c>
      <c r="K2451" t="s">
        <v>1144</v>
      </c>
      <c r="L2451" t="s">
        <v>321</v>
      </c>
      <c r="M2451" t="s">
        <v>19</v>
      </c>
      <c r="N2451" t="s">
        <v>4493</v>
      </c>
      <c r="O2451">
        <v>30</v>
      </c>
    </row>
    <row r="2452" spans="1:15" hidden="1" x14ac:dyDescent="0.25">
      <c r="A2452" t="s">
        <v>2820</v>
      </c>
      <c r="B2452" t="s">
        <v>4494</v>
      </c>
      <c r="C2452" t="s">
        <v>4495</v>
      </c>
      <c r="D2452" t="s">
        <v>1138</v>
      </c>
      <c r="E2452" t="s">
        <v>4496</v>
      </c>
      <c r="F2452" s="3">
        <v>667588</v>
      </c>
      <c r="G2452" s="2">
        <f t="shared" si="76"/>
        <v>8</v>
      </c>
      <c r="H2452" s="2">
        <f t="shared" ca="1" si="77"/>
        <v>75</v>
      </c>
      <c r="I2452" s="4">
        <v>46045</v>
      </c>
      <c r="J2452" s="4">
        <v>46053</v>
      </c>
      <c r="K2452" t="s">
        <v>1144</v>
      </c>
      <c r="L2452" t="s">
        <v>321</v>
      </c>
      <c r="M2452" t="s">
        <v>19</v>
      </c>
      <c r="N2452" t="s">
        <v>4497</v>
      </c>
      <c r="O2452">
        <v>8</v>
      </c>
    </row>
    <row r="2453" spans="1:15" hidden="1" x14ac:dyDescent="0.25">
      <c r="A2453" t="s">
        <v>2820</v>
      </c>
      <c r="B2453" t="s">
        <v>4498</v>
      </c>
      <c r="C2453" t="s">
        <v>4499</v>
      </c>
      <c r="D2453" t="s">
        <v>1118</v>
      </c>
      <c r="E2453" t="s">
        <v>4500</v>
      </c>
      <c r="F2453" s="3">
        <v>642012</v>
      </c>
      <c r="G2453" s="2">
        <f t="shared" si="76"/>
        <v>1</v>
      </c>
      <c r="H2453" s="2">
        <f t="shared" ca="1" si="77"/>
        <v>75</v>
      </c>
      <c r="I2453" s="4">
        <v>46045</v>
      </c>
      <c r="J2453" s="4">
        <v>46046</v>
      </c>
      <c r="K2453" t="s">
        <v>1144</v>
      </c>
      <c r="L2453" t="s">
        <v>321</v>
      </c>
      <c r="M2453" t="s">
        <v>19</v>
      </c>
      <c r="N2453" t="s">
        <v>4501</v>
      </c>
      <c r="O2453">
        <v>1</v>
      </c>
    </row>
    <row r="2454" spans="1:15" hidden="1" x14ac:dyDescent="0.25">
      <c r="A2454" t="s">
        <v>2820</v>
      </c>
      <c r="B2454" t="s">
        <v>4502</v>
      </c>
      <c r="C2454" t="s">
        <v>4503</v>
      </c>
      <c r="D2454" t="s">
        <v>1118</v>
      </c>
      <c r="E2454" t="s">
        <v>4504</v>
      </c>
      <c r="F2454" s="3">
        <v>63947</v>
      </c>
      <c r="G2454" s="2">
        <f t="shared" si="76"/>
        <v>1</v>
      </c>
      <c r="H2454" s="2">
        <f t="shared" ca="1" si="77"/>
        <v>75</v>
      </c>
      <c r="I2454" s="4">
        <v>46045</v>
      </c>
      <c r="J2454" s="4">
        <v>46046</v>
      </c>
      <c r="K2454" t="s">
        <v>1144</v>
      </c>
      <c r="L2454" t="s">
        <v>321</v>
      </c>
      <c r="M2454" t="s">
        <v>19</v>
      </c>
      <c r="N2454" t="s">
        <v>4505</v>
      </c>
      <c r="O2454">
        <v>1</v>
      </c>
    </row>
    <row r="2455" spans="1:15" hidden="1" x14ac:dyDescent="0.25">
      <c r="A2455" t="s">
        <v>2820</v>
      </c>
      <c r="B2455" t="s">
        <v>3594</v>
      </c>
      <c r="C2455" t="s">
        <v>3595</v>
      </c>
      <c r="D2455" t="s">
        <v>1118</v>
      </c>
      <c r="E2455" t="s">
        <v>4506</v>
      </c>
      <c r="F2455" s="3">
        <v>231838</v>
      </c>
      <c r="G2455" s="2">
        <f t="shared" si="76"/>
        <v>15</v>
      </c>
      <c r="H2455" s="2">
        <f t="shared" ca="1" si="77"/>
        <v>75</v>
      </c>
      <c r="I2455" s="4">
        <v>46045</v>
      </c>
      <c r="J2455" s="4">
        <v>46060</v>
      </c>
      <c r="K2455" t="s">
        <v>1144</v>
      </c>
      <c r="L2455" t="s">
        <v>321</v>
      </c>
      <c r="M2455" t="s">
        <v>19</v>
      </c>
      <c r="N2455" t="s">
        <v>3597</v>
      </c>
      <c r="O2455">
        <v>30</v>
      </c>
    </row>
    <row r="2456" spans="1:15" hidden="1" x14ac:dyDescent="0.25">
      <c r="A2456" t="s">
        <v>2820</v>
      </c>
      <c r="B2456" t="s">
        <v>3594</v>
      </c>
      <c r="C2456" t="s">
        <v>3595</v>
      </c>
      <c r="D2456" t="s">
        <v>1118</v>
      </c>
      <c r="E2456" t="s">
        <v>4507</v>
      </c>
      <c r="F2456" s="3">
        <v>85000</v>
      </c>
      <c r="G2456" s="2">
        <f t="shared" si="76"/>
        <v>1</v>
      </c>
      <c r="H2456" s="2">
        <f t="shared" ca="1" si="77"/>
        <v>75</v>
      </c>
      <c r="I2456" s="4">
        <v>46045</v>
      </c>
      <c r="J2456" s="4">
        <v>46046</v>
      </c>
      <c r="K2456" t="s">
        <v>1144</v>
      </c>
      <c r="L2456" t="s">
        <v>321</v>
      </c>
      <c r="M2456" t="s">
        <v>19</v>
      </c>
      <c r="N2456" t="s">
        <v>3597</v>
      </c>
      <c r="O2456">
        <v>30</v>
      </c>
    </row>
    <row r="2457" spans="1:15" hidden="1" x14ac:dyDescent="0.25">
      <c r="A2457" t="s">
        <v>2820</v>
      </c>
      <c r="B2457" t="s">
        <v>4508</v>
      </c>
      <c r="C2457" t="s">
        <v>4509</v>
      </c>
      <c r="D2457" t="s">
        <v>1118</v>
      </c>
      <c r="E2457" t="s">
        <v>4510</v>
      </c>
      <c r="F2457" s="3">
        <v>152000</v>
      </c>
      <c r="G2457" s="2">
        <f t="shared" si="76"/>
        <v>1</v>
      </c>
      <c r="H2457" s="2">
        <f t="shared" ca="1" si="77"/>
        <v>75</v>
      </c>
      <c r="I2457" s="4">
        <v>46045</v>
      </c>
      <c r="J2457" s="4">
        <v>46046</v>
      </c>
      <c r="K2457" t="s">
        <v>1144</v>
      </c>
      <c r="L2457" t="s">
        <v>321</v>
      </c>
      <c r="M2457" t="s">
        <v>19</v>
      </c>
      <c r="N2457" t="s">
        <v>4511</v>
      </c>
      <c r="O2457">
        <v>1</v>
      </c>
    </row>
    <row r="2458" spans="1:15" hidden="1" x14ac:dyDescent="0.25">
      <c r="A2458" t="s">
        <v>2820</v>
      </c>
      <c r="B2458" t="s">
        <v>4508</v>
      </c>
      <c r="C2458" t="s">
        <v>4509</v>
      </c>
      <c r="D2458" t="s">
        <v>1118</v>
      </c>
      <c r="E2458" t="s">
        <v>4512</v>
      </c>
      <c r="F2458" s="3">
        <v>121654</v>
      </c>
      <c r="G2458" s="2">
        <f t="shared" si="76"/>
        <v>1</v>
      </c>
      <c r="H2458" s="2">
        <f t="shared" ca="1" si="77"/>
        <v>75</v>
      </c>
      <c r="I2458" s="4">
        <v>46045</v>
      </c>
      <c r="J2458" s="4">
        <v>46046</v>
      </c>
      <c r="K2458" t="s">
        <v>1144</v>
      </c>
      <c r="L2458" t="s">
        <v>321</v>
      </c>
      <c r="M2458" t="s">
        <v>19</v>
      </c>
      <c r="N2458" t="s">
        <v>4511</v>
      </c>
      <c r="O2458">
        <v>1</v>
      </c>
    </row>
    <row r="2459" spans="1:15" hidden="1" x14ac:dyDescent="0.25">
      <c r="A2459" t="s">
        <v>2820</v>
      </c>
      <c r="B2459" t="s">
        <v>4532</v>
      </c>
      <c r="C2459" t="s">
        <v>4533</v>
      </c>
      <c r="D2459" t="s">
        <v>1118</v>
      </c>
      <c r="E2459" t="s">
        <v>4534</v>
      </c>
      <c r="F2459" s="3">
        <v>252078</v>
      </c>
      <c r="G2459" s="2">
        <f t="shared" si="76"/>
        <v>8</v>
      </c>
      <c r="H2459" s="2">
        <f t="shared" ca="1" si="77"/>
        <v>75</v>
      </c>
      <c r="I2459" s="4">
        <v>46045</v>
      </c>
      <c r="J2459" s="4">
        <v>46053</v>
      </c>
      <c r="K2459" t="s">
        <v>1202</v>
      </c>
      <c r="L2459" t="s">
        <v>321</v>
      </c>
      <c r="M2459" t="s">
        <v>19</v>
      </c>
      <c r="N2459" t="s">
        <v>4535</v>
      </c>
      <c r="O2459">
        <v>8</v>
      </c>
    </row>
    <row r="2460" spans="1:15" hidden="1" x14ac:dyDescent="0.25">
      <c r="A2460" t="s">
        <v>2820</v>
      </c>
      <c r="B2460" t="s">
        <v>4536</v>
      </c>
      <c r="C2460" t="s">
        <v>4537</v>
      </c>
      <c r="D2460" t="s">
        <v>4538</v>
      </c>
      <c r="E2460" t="s">
        <v>4539</v>
      </c>
      <c r="F2460" s="3">
        <v>2649200</v>
      </c>
      <c r="G2460" s="2">
        <f t="shared" si="76"/>
        <v>2</v>
      </c>
      <c r="H2460" s="2">
        <f t="shared" ca="1" si="77"/>
        <v>75</v>
      </c>
      <c r="I2460" s="4">
        <v>46045</v>
      </c>
      <c r="J2460" s="4">
        <v>46047</v>
      </c>
      <c r="K2460" t="s">
        <v>1233</v>
      </c>
      <c r="L2460" t="s">
        <v>109</v>
      </c>
      <c r="M2460" t="s">
        <v>19</v>
      </c>
      <c r="N2460" t="s">
        <v>4540</v>
      </c>
      <c r="O2460">
        <v>1</v>
      </c>
    </row>
    <row r="2461" spans="1:15" hidden="1" x14ac:dyDescent="0.25">
      <c r="A2461" t="s">
        <v>2820</v>
      </c>
      <c r="B2461" t="s">
        <v>4180</v>
      </c>
      <c r="C2461" t="s">
        <v>4181</v>
      </c>
      <c r="D2461" t="s">
        <v>340</v>
      </c>
      <c r="E2461" t="s">
        <v>4541</v>
      </c>
      <c r="F2461" s="3">
        <v>210749</v>
      </c>
      <c r="G2461" s="2">
        <f t="shared" si="76"/>
        <v>30</v>
      </c>
      <c r="H2461" s="2">
        <f t="shared" ca="1" si="77"/>
        <v>75</v>
      </c>
      <c r="I2461" s="4">
        <v>46045</v>
      </c>
      <c r="J2461" s="4">
        <v>46075</v>
      </c>
      <c r="K2461" t="s">
        <v>1233</v>
      </c>
      <c r="L2461" t="s">
        <v>18</v>
      </c>
      <c r="M2461" t="s">
        <v>19</v>
      </c>
      <c r="N2461" t="s">
        <v>4183</v>
      </c>
      <c r="O2461">
        <v>30</v>
      </c>
    </row>
    <row r="2462" spans="1:15" hidden="1" x14ac:dyDescent="0.25">
      <c r="A2462" t="s">
        <v>2820</v>
      </c>
      <c r="B2462" t="s">
        <v>4180</v>
      </c>
      <c r="C2462" t="s">
        <v>4181</v>
      </c>
      <c r="D2462" t="s">
        <v>340</v>
      </c>
      <c r="E2462" t="s">
        <v>4542</v>
      </c>
      <c r="F2462" s="3">
        <v>2100000</v>
      </c>
      <c r="G2462" s="2">
        <f t="shared" si="76"/>
        <v>30</v>
      </c>
      <c r="H2462" s="2">
        <f t="shared" ca="1" si="77"/>
        <v>75</v>
      </c>
      <c r="I2462" s="4">
        <v>46045</v>
      </c>
      <c r="J2462" s="4">
        <v>46075</v>
      </c>
      <c r="K2462" t="s">
        <v>1233</v>
      </c>
      <c r="L2462" t="s">
        <v>18</v>
      </c>
      <c r="M2462" t="s">
        <v>19</v>
      </c>
      <c r="N2462" t="s">
        <v>4183</v>
      </c>
      <c r="O2462">
        <v>30</v>
      </c>
    </row>
    <row r="2463" spans="1:15" hidden="1" x14ac:dyDescent="0.25">
      <c r="A2463" t="s">
        <v>2820</v>
      </c>
      <c r="B2463" t="s">
        <v>4613</v>
      </c>
      <c r="C2463" t="s">
        <v>4614</v>
      </c>
      <c r="D2463" t="s">
        <v>1401</v>
      </c>
      <c r="E2463" t="s">
        <v>4615</v>
      </c>
      <c r="F2463" s="3">
        <v>348146</v>
      </c>
      <c r="G2463" s="2">
        <f t="shared" si="76"/>
        <v>1</v>
      </c>
      <c r="H2463" s="2">
        <f t="shared" ca="1" si="77"/>
        <v>75</v>
      </c>
      <c r="I2463" s="4">
        <v>46045</v>
      </c>
      <c r="J2463" s="4">
        <v>46046</v>
      </c>
      <c r="K2463" t="s">
        <v>1403</v>
      </c>
      <c r="L2463" t="s">
        <v>90</v>
      </c>
      <c r="M2463" t="s">
        <v>19</v>
      </c>
      <c r="N2463" t="s">
        <v>4616</v>
      </c>
      <c r="O2463">
        <v>1</v>
      </c>
    </row>
    <row r="2464" spans="1:15" hidden="1" x14ac:dyDescent="0.25">
      <c r="A2464" t="s">
        <v>2820</v>
      </c>
      <c r="B2464" t="s">
        <v>1433</v>
      </c>
      <c r="C2464" t="s">
        <v>1434</v>
      </c>
      <c r="D2464" t="s">
        <v>875</v>
      </c>
      <c r="E2464" t="s">
        <v>4617</v>
      </c>
      <c r="F2464" s="3">
        <v>2948776</v>
      </c>
      <c r="G2464" s="2">
        <f t="shared" si="76"/>
        <v>30</v>
      </c>
      <c r="H2464" s="2">
        <f t="shared" ca="1" si="77"/>
        <v>75</v>
      </c>
      <c r="I2464" s="4">
        <v>46045</v>
      </c>
      <c r="J2464" s="4">
        <v>46075</v>
      </c>
      <c r="K2464" t="s">
        <v>1403</v>
      </c>
      <c r="L2464" t="s">
        <v>90</v>
      </c>
      <c r="M2464" t="s">
        <v>19</v>
      </c>
      <c r="N2464" t="s">
        <v>1435</v>
      </c>
      <c r="O2464">
        <v>30</v>
      </c>
    </row>
    <row r="2465" spans="1:15" hidden="1" x14ac:dyDescent="0.25">
      <c r="A2465" t="s">
        <v>2820</v>
      </c>
      <c r="B2465" t="s">
        <v>1415</v>
      </c>
      <c r="C2465" t="s">
        <v>1416</v>
      </c>
      <c r="D2465" t="s">
        <v>875</v>
      </c>
      <c r="E2465" t="s">
        <v>4618</v>
      </c>
      <c r="F2465" s="3">
        <v>2158423</v>
      </c>
      <c r="G2465" s="2">
        <f t="shared" si="76"/>
        <v>30</v>
      </c>
      <c r="H2465" s="2">
        <f t="shared" ca="1" si="77"/>
        <v>75</v>
      </c>
      <c r="I2465" s="4">
        <v>46045</v>
      </c>
      <c r="J2465" s="4">
        <v>46075</v>
      </c>
      <c r="K2465" t="s">
        <v>1403</v>
      </c>
      <c r="L2465" t="s">
        <v>90</v>
      </c>
      <c r="M2465" t="s">
        <v>19</v>
      </c>
      <c r="N2465" t="s">
        <v>1417</v>
      </c>
      <c r="O2465">
        <v>30</v>
      </c>
    </row>
    <row r="2466" spans="1:15" hidden="1" x14ac:dyDescent="0.25">
      <c r="A2466" t="s">
        <v>2820</v>
      </c>
      <c r="B2466" t="s">
        <v>4619</v>
      </c>
      <c r="C2466" t="s">
        <v>4620</v>
      </c>
      <c r="D2466" t="s">
        <v>1401</v>
      </c>
      <c r="E2466" t="s">
        <v>4621</v>
      </c>
      <c r="F2466" s="3">
        <v>1082389</v>
      </c>
      <c r="G2466" s="2">
        <f t="shared" si="76"/>
        <v>1</v>
      </c>
      <c r="H2466" s="2">
        <f t="shared" ca="1" si="77"/>
        <v>75</v>
      </c>
      <c r="I2466" s="4">
        <v>46045</v>
      </c>
      <c r="J2466" s="4">
        <v>46046</v>
      </c>
      <c r="K2466" t="s">
        <v>1403</v>
      </c>
      <c r="L2466" t="s">
        <v>90</v>
      </c>
      <c r="M2466" t="s">
        <v>19</v>
      </c>
      <c r="N2466" t="s">
        <v>4622</v>
      </c>
      <c r="O2466">
        <v>1</v>
      </c>
    </row>
    <row r="2467" spans="1:15" hidden="1" x14ac:dyDescent="0.25">
      <c r="A2467" t="s">
        <v>2820</v>
      </c>
      <c r="B2467" t="s">
        <v>4623</v>
      </c>
      <c r="C2467" t="s">
        <v>4624</v>
      </c>
      <c r="D2467" t="s">
        <v>1401</v>
      </c>
      <c r="E2467" t="s">
        <v>4625</v>
      </c>
      <c r="F2467" s="3">
        <v>389790</v>
      </c>
      <c r="G2467" s="2">
        <f t="shared" si="76"/>
        <v>1</v>
      </c>
      <c r="H2467" s="2">
        <f t="shared" ca="1" si="77"/>
        <v>75</v>
      </c>
      <c r="I2467" s="4">
        <v>46045</v>
      </c>
      <c r="J2467" s="4">
        <v>46046</v>
      </c>
      <c r="K2467" t="s">
        <v>1403</v>
      </c>
      <c r="L2467" t="s">
        <v>90</v>
      </c>
      <c r="M2467" t="s">
        <v>19</v>
      </c>
      <c r="N2467" t="s">
        <v>4626</v>
      </c>
      <c r="O2467">
        <v>30</v>
      </c>
    </row>
    <row r="2468" spans="1:15" hidden="1" x14ac:dyDescent="0.25">
      <c r="A2468" t="s">
        <v>2820</v>
      </c>
      <c r="B2468" t="s">
        <v>1418</v>
      </c>
      <c r="C2468" t="s">
        <v>1419</v>
      </c>
      <c r="D2468" t="s">
        <v>1401</v>
      </c>
      <c r="E2468" t="s">
        <v>4627</v>
      </c>
      <c r="F2468" s="3">
        <v>1186460</v>
      </c>
      <c r="G2468" s="2">
        <f t="shared" si="76"/>
        <v>30</v>
      </c>
      <c r="H2468" s="2">
        <f t="shared" ca="1" si="77"/>
        <v>75</v>
      </c>
      <c r="I2468" s="4">
        <v>46045</v>
      </c>
      <c r="J2468" s="4">
        <v>46075</v>
      </c>
      <c r="K2468" t="s">
        <v>1403</v>
      </c>
      <c r="L2468" t="s">
        <v>90</v>
      </c>
      <c r="M2468" t="s">
        <v>19</v>
      </c>
      <c r="N2468" t="s">
        <v>1420</v>
      </c>
      <c r="O2468">
        <v>30</v>
      </c>
    </row>
    <row r="2469" spans="1:15" hidden="1" x14ac:dyDescent="0.25">
      <c r="A2469" t="s">
        <v>2820</v>
      </c>
      <c r="B2469" t="s">
        <v>1452</v>
      </c>
      <c r="C2469" t="s">
        <v>1453</v>
      </c>
      <c r="D2469" t="s">
        <v>1401</v>
      </c>
      <c r="E2469" t="s">
        <v>4628</v>
      </c>
      <c r="F2469" s="3">
        <v>140000</v>
      </c>
      <c r="G2469" s="2">
        <f t="shared" si="76"/>
        <v>1</v>
      </c>
      <c r="H2469" s="2">
        <f t="shared" ca="1" si="77"/>
        <v>75</v>
      </c>
      <c r="I2469" s="4">
        <v>46045</v>
      </c>
      <c r="J2469" s="4">
        <v>46046</v>
      </c>
      <c r="K2469" t="s">
        <v>1403</v>
      </c>
      <c r="L2469" t="s">
        <v>90</v>
      </c>
      <c r="M2469" t="s">
        <v>19</v>
      </c>
      <c r="N2469" t="s">
        <v>1454</v>
      </c>
      <c r="O2469">
        <v>30</v>
      </c>
    </row>
    <row r="2470" spans="1:15" hidden="1" x14ac:dyDescent="0.25">
      <c r="A2470" t="s">
        <v>2820</v>
      </c>
      <c r="B2470" t="s">
        <v>1948</v>
      </c>
      <c r="C2470" t="s">
        <v>1949</v>
      </c>
      <c r="D2470" t="s">
        <v>1401</v>
      </c>
      <c r="E2470" t="s">
        <v>4629</v>
      </c>
      <c r="F2470" s="3">
        <v>5081387</v>
      </c>
      <c r="G2470" s="2">
        <f t="shared" si="76"/>
        <v>30</v>
      </c>
      <c r="H2470" s="2">
        <f t="shared" ca="1" si="77"/>
        <v>75</v>
      </c>
      <c r="I2470" s="4">
        <v>46045</v>
      </c>
      <c r="J2470" s="4">
        <v>46075</v>
      </c>
      <c r="K2470" t="s">
        <v>1403</v>
      </c>
      <c r="L2470" t="s">
        <v>90</v>
      </c>
      <c r="M2470" t="s">
        <v>391</v>
      </c>
      <c r="N2470" t="s">
        <v>1950</v>
      </c>
      <c r="O2470">
        <v>30</v>
      </c>
    </row>
    <row r="2471" spans="1:15" hidden="1" x14ac:dyDescent="0.25">
      <c r="A2471" t="s">
        <v>2820</v>
      </c>
      <c r="B2471" t="s">
        <v>1430</v>
      </c>
      <c r="C2471" t="s">
        <v>1431</v>
      </c>
      <c r="D2471" t="s">
        <v>875</v>
      </c>
      <c r="E2471" t="s">
        <v>4630</v>
      </c>
      <c r="F2471" s="3">
        <v>793582</v>
      </c>
      <c r="G2471" s="2">
        <f t="shared" si="76"/>
        <v>30</v>
      </c>
      <c r="H2471" s="2">
        <f t="shared" ca="1" si="77"/>
        <v>75</v>
      </c>
      <c r="I2471" s="4">
        <v>46045</v>
      </c>
      <c r="J2471" s="4">
        <v>46075</v>
      </c>
      <c r="K2471" t="s">
        <v>1403</v>
      </c>
      <c r="L2471" t="s">
        <v>90</v>
      </c>
      <c r="M2471" t="s">
        <v>19</v>
      </c>
      <c r="N2471" t="s">
        <v>1432</v>
      </c>
      <c r="O2471">
        <v>30</v>
      </c>
    </row>
    <row r="2472" spans="1:15" hidden="1" x14ac:dyDescent="0.25">
      <c r="A2472" t="s">
        <v>2820</v>
      </c>
      <c r="B2472" t="s">
        <v>1436</v>
      </c>
      <c r="C2472" t="s">
        <v>1437</v>
      </c>
      <c r="D2472" t="s">
        <v>1438</v>
      </c>
      <c r="E2472" t="s">
        <v>4631</v>
      </c>
      <c r="F2472" s="3">
        <v>2573397</v>
      </c>
      <c r="G2472" s="2">
        <f t="shared" si="76"/>
        <v>30</v>
      </c>
      <c r="H2472" s="2">
        <f t="shared" ca="1" si="77"/>
        <v>75</v>
      </c>
      <c r="I2472" s="4">
        <v>46045</v>
      </c>
      <c r="J2472" s="4">
        <v>46075</v>
      </c>
      <c r="K2472" t="s">
        <v>1403</v>
      </c>
      <c r="L2472" t="s">
        <v>90</v>
      </c>
      <c r="M2472" t="s">
        <v>19</v>
      </c>
      <c r="N2472" t="s">
        <v>1439</v>
      </c>
      <c r="O2472">
        <v>30</v>
      </c>
    </row>
    <row r="2473" spans="1:15" hidden="1" x14ac:dyDescent="0.25">
      <c r="A2473" t="s">
        <v>2820</v>
      </c>
      <c r="B2473" t="s">
        <v>2077</v>
      </c>
      <c r="C2473" t="s">
        <v>2078</v>
      </c>
      <c r="D2473" t="s">
        <v>1465</v>
      </c>
      <c r="E2473" t="s">
        <v>4632</v>
      </c>
      <c r="F2473" s="3">
        <v>405561</v>
      </c>
      <c r="G2473" s="2">
        <f t="shared" si="76"/>
        <v>30</v>
      </c>
      <c r="H2473" s="2">
        <f t="shared" ca="1" si="77"/>
        <v>75</v>
      </c>
      <c r="I2473" s="4">
        <v>46045</v>
      </c>
      <c r="J2473" s="4">
        <v>46075</v>
      </c>
      <c r="K2473" t="s">
        <v>1466</v>
      </c>
      <c r="L2473" t="s">
        <v>981</v>
      </c>
      <c r="M2473" t="s">
        <v>19</v>
      </c>
      <c r="N2473" t="s">
        <v>2079</v>
      </c>
      <c r="O2473">
        <v>30</v>
      </c>
    </row>
    <row r="2474" spans="1:15" hidden="1" x14ac:dyDescent="0.25">
      <c r="A2474" t="s">
        <v>2820</v>
      </c>
      <c r="B2474" t="s">
        <v>156</v>
      </c>
      <c r="C2474" t="s">
        <v>157</v>
      </c>
      <c r="D2474" t="s">
        <v>1289</v>
      </c>
      <c r="E2474" t="s">
        <v>4633</v>
      </c>
      <c r="F2474" s="3">
        <v>2814898</v>
      </c>
      <c r="G2474" s="2">
        <f t="shared" si="76"/>
        <v>30</v>
      </c>
      <c r="H2474" s="2">
        <f t="shared" ca="1" si="77"/>
        <v>75</v>
      </c>
      <c r="I2474" s="4">
        <v>46045</v>
      </c>
      <c r="J2474" s="4">
        <v>46075</v>
      </c>
      <c r="K2474" t="s">
        <v>1466</v>
      </c>
      <c r="L2474" t="s">
        <v>981</v>
      </c>
      <c r="M2474" t="s">
        <v>19</v>
      </c>
      <c r="N2474" t="s">
        <v>158</v>
      </c>
      <c r="O2474">
        <v>30</v>
      </c>
    </row>
    <row r="2475" spans="1:15" hidden="1" x14ac:dyDescent="0.25">
      <c r="A2475" t="s">
        <v>2820</v>
      </c>
      <c r="B2475" t="s">
        <v>4634</v>
      </c>
      <c r="C2475" t="s">
        <v>4635</v>
      </c>
      <c r="D2475" t="s">
        <v>1465</v>
      </c>
      <c r="E2475" t="s">
        <v>4636</v>
      </c>
      <c r="F2475" s="3">
        <v>319991</v>
      </c>
      <c r="G2475" s="2">
        <f t="shared" si="76"/>
        <v>30</v>
      </c>
      <c r="H2475" s="2">
        <f t="shared" ca="1" si="77"/>
        <v>75</v>
      </c>
      <c r="I2475" s="4">
        <v>46045</v>
      </c>
      <c r="J2475" s="4">
        <v>46075</v>
      </c>
      <c r="K2475" t="s">
        <v>1466</v>
      </c>
      <c r="L2475" t="s">
        <v>981</v>
      </c>
      <c r="M2475" t="s">
        <v>19</v>
      </c>
      <c r="N2475" t="s">
        <v>4637</v>
      </c>
      <c r="O2475">
        <v>30</v>
      </c>
    </row>
    <row r="2476" spans="1:15" hidden="1" x14ac:dyDescent="0.25">
      <c r="A2476" t="s">
        <v>2820</v>
      </c>
      <c r="B2476" t="s">
        <v>4634</v>
      </c>
      <c r="C2476" t="s">
        <v>4635</v>
      </c>
      <c r="D2476" t="s">
        <v>1465</v>
      </c>
      <c r="E2476" t="s">
        <v>4638</v>
      </c>
      <c r="F2476" s="3">
        <v>633575</v>
      </c>
      <c r="G2476" s="2">
        <f t="shared" si="76"/>
        <v>30</v>
      </c>
      <c r="H2476" s="2">
        <f t="shared" ca="1" si="77"/>
        <v>75</v>
      </c>
      <c r="I2476" s="4">
        <v>46045</v>
      </c>
      <c r="J2476" s="4">
        <v>46075</v>
      </c>
      <c r="K2476" t="s">
        <v>1466</v>
      </c>
      <c r="L2476" t="s">
        <v>981</v>
      </c>
      <c r="M2476" t="s">
        <v>19</v>
      </c>
      <c r="N2476" t="s">
        <v>4637</v>
      </c>
      <c r="O2476">
        <v>30</v>
      </c>
    </row>
    <row r="2477" spans="1:15" hidden="1" x14ac:dyDescent="0.25">
      <c r="A2477" t="s">
        <v>2820</v>
      </c>
      <c r="B2477" t="s">
        <v>2048</v>
      </c>
      <c r="C2477" t="s">
        <v>2049</v>
      </c>
      <c r="D2477" t="s">
        <v>2050</v>
      </c>
      <c r="E2477" t="s">
        <v>4639</v>
      </c>
      <c r="F2477" s="3">
        <v>4404263</v>
      </c>
      <c r="G2477" s="2">
        <f t="shared" si="76"/>
        <v>30</v>
      </c>
      <c r="H2477" s="2">
        <f t="shared" ca="1" si="77"/>
        <v>75</v>
      </c>
      <c r="I2477" s="4">
        <v>46045</v>
      </c>
      <c r="J2477" s="4">
        <v>46075</v>
      </c>
      <c r="K2477" t="s">
        <v>2051</v>
      </c>
      <c r="L2477" t="s">
        <v>981</v>
      </c>
      <c r="M2477" t="s">
        <v>19</v>
      </c>
      <c r="N2477" t="s">
        <v>2052</v>
      </c>
      <c r="O2477">
        <v>30</v>
      </c>
    </row>
    <row r="2478" spans="1:15" hidden="1" x14ac:dyDescent="0.25">
      <c r="A2478" t="s">
        <v>2820</v>
      </c>
      <c r="B2478" t="s">
        <v>2362</v>
      </c>
      <c r="C2478" t="s">
        <v>2363</v>
      </c>
      <c r="D2478" t="s">
        <v>1465</v>
      </c>
      <c r="E2478" t="s">
        <v>4640</v>
      </c>
      <c r="F2478" s="3">
        <v>1098119</v>
      </c>
      <c r="G2478" s="2">
        <f t="shared" si="76"/>
        <v>30</v>
      </c>
      <c r="H2478" s="2">
        <f t="shared" ca="1" si="77"/>
        <v>75</v>
      </c>
      <c r="I2478" s="4">
        <v>46045</v>
      </c>
      <c r="J2478" s="4">
        <v>46075</v>
      </c>
      <c r="K2478" t="s">
        <v>1500</v>
      </c>
      <c r="L2478" t="s">
        <v>981</v>
      </c>
      <c r="M2478" t="s">
        <v>19</v>
      </c>
      <c r="N2478" t="s">
        <v>2365</v>
      </c>
      <c r="O2478">
        <v>30</v>
      </c>
    </row>
    <row r="2479" spans="1:15" hidden="1" x14ac:dyDescent="0.25">
      <c r="A2479" t="s">
        <v>2820</v>
      </c>
      <c r="B2479" t="s">
        <v>4641</v>
      </c>
      <c r="C2479" t="s">
        <v>4642</v>
      </c>
      <c r="D2479" t="s">
        <v>1514</v>
      </c>
      <c r="E2479" t="s">
        <v>4643</v>
      </c>
      <c r="F2479" s="3">
        <v>2001621</v>
      </c>
      <c r="G2479" s="2">
        <f t="shared" si="76"/>
        <v>30</v>
      </c>
      <c r="H2479" s="2">
        <f t="shared" ca="1" si="77"/>
        <v>75</v>
      </c>
      <c r="I2479" s="4">
        <v>46045</v>
      </c>
      <c r="J2479" s="4">
        <v>46075</v>
      </c>
      <c r="K2479" t="s">
        <v>1515</v>
      </c>
      <c r="L2479" t="s">
        <v>984</v>
      </c>
      <c r="M2479" t="s">
        <v>19</v>
      </c>
      <c r="N2479" t="s">
        <v>4644</v>
      </c>
      <c r="O2479">
        <v>30</v>
      </c>
    </row>
    <row r="2480" spans="1:15" hidden="1" x14ac:dyDescent="0.25">
      <c r="A2480" t="s">
        <v>2820</v>
      </c>
      <c r="B2480" t="s">
        <v>1516</v>
      </c>
      <c r="C2480" t="s">
        <v>1517</v>
      </c>
      <c r="D2480" t="s">
        <v>1514</v>
      </c>
      <c r="E2480" t="s">
        <v>4645</v>
      </c>
      <c r="F2480" s="3">
        <v>591503</v>
      </c>
      <c r="G2480" s="2">
        <f t="shared" si="76"/>
        <v>30</v>
      </c>
      <c r="H2480" s="2">
        <f t="shared" ca="1" si="77"/>
        <v>75</v>
      </c>
      <c r="I2480" s="4">
        <v>46045</v>
      </c>
      <c r="J2480" s="4">
        <v>46075</v>
      </c>
      <c r="K2480" t="s">
        <v>1515</v>
      </c>
      <c r="L2480" t="s">
        <v>984</v>
      </c>
      <c r="M2480" t="s">
        <v>19</v>
      </c>
      <c r="N2480" t="s">
        <v>1518</v>
      </c>
      <c r="O2480">
        <v>1</v>
      </c>
    </row>
    <row r="2481" spans="1:15" hidden="1" x14ac:dyDescent="0.25">
      <c r="A2481" t="s">
        <v>2820</v>
      </c>
      <c r="B2481" t="s">
        <v>1516</v>
      </c>
      <c r="C2481" t="s">
        <v>1517</v>
      </c>
      <c r="D2481" t="s">
        <v>1514</v>
      </c>
      <c r="E2481" t="s">
        <v>4646</v>
      </c>
      <c r="F2481" s="3">
        <v>2178465</v>
      </c>
      <c r="G2481" s="2">
        <f t="shared" si="76"/>
        <v>30</v>
      </c>
      <c r="H2481" s="2">
        <f t="shared" ca="1" si="77"/>
        <v>75</v>
      </c>
      <c r="I2481" s="4">
        <v>46045</v>
      </c>
      <c r="J2481" s="4">
        <v>46075</v>
      </c>
      <c r="K2481" t="s">
        <v>1515</v>
      </c>
      <c r="L2481" t="s">
        <v>984</v>
      </c>
      <c r="M2481" t="s">
        <v>19</v>
      </c>
      <c r="N2481" t="s">
        <v>1518</v>
      </c>
      <c r="O2481">
        <v>1</v>
      </c>
    </row>
    <row r="2482" spans="1:15" hidden="1" x14ac:dyDescent="0.25">
      <c r="A2482" t="s">
        <v>2820</v>
      </c>
      <c r="B2482" t="s">
        <v>1516</v>
      </c>
      <c r="C2482" t="s">
        <v>1517</v>
      </c>
      <c r="D2482" t="s">
        <v>1514</v>
      </c>
      <c r="E2482" t="s">
        <v>4647</v>
      </c>
      <c r="F2482" s="3">
        <v>3439259</v>
      </c>
      <c r="G2482" s="2">
        <f t="shared" si="76"/>
        <v>30</v>
      </c>
      <c r="H2482" s="2">
        <f t="shared" ca="1" si="77"/>
        <v>75</v>
      </c>
      <c r="I2482" s="4">
        <v>46045</v>
      </c>
      <c r="J2482" s="4">
        <v>46075</v>
      </c>
      <c r="K2482" t="s">
        <v>1515</v>
      </c>
      <c r="L2482" t="s">
        <v>984</v>
      </c>
      <c r="M2482" t="s">
        <v>19</v>
      </c>
      <c r="N2482" t="s">
        <v>1518</v>
      </c>
      <c r="O2482">
        <v>1</v>
      </c>
    </row>
    <row r="2483" spans="1:15" hidden="1" x14ac:dyDescent="0.25">
      <c r="A2483" t="s">
        <v>2820</v>
      </c>
      <c r="B2483" t="s">
        <v>4648</v>
      </c>
      <c r="C2483" t="s">
        <v>4649</v>
      </c>
      <c r="D2483" t="s">
        <v>1514</v>
      </c>
      <c r="E2483" t="s">
        <v>4650</v>
      </c>
      <c r="F2483" s="3">
        <v>1408291</v>
      </c>
      <c r="G2483" s="2">
        <f t="shared" si="76"/>
        <v>30</v>
      </c>
      <c r="H2483" s="2">
        <f t="shared" ca="1" si="77"/>
        <v>75</v>
      </c>
      <c r="I2483" s="4">
        <v>46045</v>
      </c>
      <c r="J2483" s="4">
        <v>46075</v>
      </c>
      <c r="K2483" t="s">
        <v>1515</v>
      </c>
      <c r="L2483" t="s">
        <v>984</v>
      </c>
      <c r="M2483" t="s">
        <v>19</v>
      </c>
      <c r="N2483" t="s">
        <v>4651</v>
      </c>
      <c r="O2483">
        <v>30</v>
      </c>
    </row>
    <row r="2484" spans="1:15" hidden="1" x14ac:dyDescent="0.25">
      <c r="A2484" t="s">
        <v>2820</v>
      </c>
      <c r="B2484" t="s">
        <v>1519</v>
      </c>
      <c r="C2484" t="s">
        <v>1520</v>
      </c>
      <c r="D2484" t="s">
        <v>1514</v>
      </c>
      <c r="E2484" t="s">
        <v>4652</v>
      </c>
      <c r="F2484" s="3">
        <v>132004</v>
      </c>
      <c r="G2484" s="2">
        <f t="shared" si="76"/>
        <v>30</v>
      </c>
      <c r="H2484" s="2">
        <f t="shared" ca="1" si="77"/>
        <v>75</v>
      </c>
      <c r="I2484" s="4">
        <v>46045</v>
      </c>
      <c r="J2484" s="4">
        <v>46075</v>
      </c>
      <c r="K2484" t="s">
        <v>1515</v>
      </c>
      <c r="L2484" t="s">
        <v>984</v>
      </c>
      <c r="M2484" t="s">
        <v>19</v>
      </c>
      <c r="N2484" t="s">
        <v>1521</v>
      </c>
      <c r="O2484">
        <v>30</v>
      </c>
    </row>
    <row r="2485" spans="1:15" hidden="1" x14ac:dyDescent="0.25">
      <c r="A2485" t="s">
        <v>2820</v>
      </c>
      <c r="B2485" t="s">
        <v>1519</v>
      </c>
      <c r="C2485" t="s">
        <v>1520</v>
      </c>
      <c r="D2485" t="s">
        <v>1514</v>
      </c>
      <c r="E2485" t="s">
        <v>4653</v>
      </c>
      <c r="F2485" s="3">
        <v>778155</v>
      </c>
      <c r="G2485" s="2">
        <f t="shared" si="76"/>
        <v>30</v>
      </c>
      <c r="H2485" s="2">
        <f t="shared" ca="1" si="77"/>
        <v>75</v>
      </c>
      <c r="I2485" s="4">
        <v>46045</v>
      </c>
      <c r="J2485" s="4">
        <v>46075</v>
      </c>
      <c r="K2485" t="s">
        <v>1515</v>
      </c>
      <c r="L2485" t="s">
        <v>984</v>
      </c>
      <c r="M2485" t="s">
        <v>19</v>
      </c>
      <c r="N2485" t="s">
        <v>1521</v>
      </c>
      <c r="O2485">
        <v>30</v>
      </c>
    </row>
    <row r="2486" spans="1:15" hidden="1" x14ac:dyDescent="0.25">
      <c r="A2486" t="s">
        <v>2820</v>
      </c>
      <c r="B2486" t="s">
        <v>1616</v>
      </c>
      <c r="C2486" t="s">
        <v>1617</v>
      </c>
      <c r="D2486" t="s">
        <v>1593</v>
      </c>
      <c r="E2486" t="s">
        <v>4675</v>
      </c>
      <c r="F2486" s="3">
        <v>6310162</v>
      </c>
      <c r="G2486" s="2">
        <f t="shared" si="76"/>
        <v>30</v>
      </c>
      <c r="H2486" s="2">
        <f t="shared" ca="1" si="77"/>
        <v>75</v>
      </c>
      <c r="I2486" s="4">
        <v>46045</v>
      </c>
      <c r="J2486" s="4">
        <v>46075</v>
      </c>
      <c r="K2486" t="s">
        <v>1589</v>
      </c>
      <c r="L2486" t="s">
        <v>984</v>
      </c>
      <c r="M2486" t="s">
        <v>19</v>
      </c>
      <c r="N2486" t="s">
        <v>1618</v>
      </c>
      <c r="O2486">
        <v>30</v>
      </c>
    </row>
    <row r="2487" spans="1:15" hidden="1" x14ac:dyDescent="0.25">
      <c r="A2487" t="s">
        <v>2820</v>
      </c>
      <c r="B2487" t="s">
        <v>1616</v>
      </c>
      <c r="C2487" t="s">
        <v>1617</v>
      </c>
      <c r="D2487" t="s">
        <v>1593</v>
      </c>
      <c r="E2487" t="s">
        <v>4676</v>
      </c>
      <c r="F2487" s="3">
        <v>1183384</v>
      </c>
      <c r="G2487" s="2">
        <f t="shared" si="76"/>
        <v>30</v>
      </c>
      <c r="H2487" s="2">
        <f t="shared" ca="1" si="77"/>
        <v>75</v>
      </c>
      <c r="I2487" s="4">
        <v>46045</v>
      </c>
      <c r="J2487" s="4">
        <v>46075</v>
      </c>
      <c r="K2487" t="s">
        <v>1589</v>
      </c>
      <c r="L2487" t="s">
        <v>984</v>
      </c>
      <c r="M2487" t="s">
        <v>19</v>
      </c>
      <c r="N2487" t="s">
        <v>1618</v>
      </c>
      <c r="O2487">
        <v>30</v>
      </c>
    </row>
    <row r="2488" spans="1:15" hidden="1" x14ac:dyDescent="0.25">
      <c r="A2488" t="s">
        <v>2820</v>
      </c>
      <c r="B2488" t="s">
        <v>1661</v>
      </c>
      <c r="C2488" t="s">
        <v>1662</v>
      </c>
      <c r="D2488" t="s">
        <v>1587</v>
      </c>
      <c r="E2488" t="s">
        <v>4677</v>
      </c>
      <c r="F2488" s="3">
        <v>9844403</v>
      </c>
      <c r="G2488" s="2">
        <f t="shared" si="76"/>
        <v>1</v>
      </c>
      <c r="H2488" s="2">
        <f t="shared" ca="1" si="77"/>
        <v>75</v>
      </c>
      <c r="I2488" s="4">
        <v>46045</v>
      </c>
      <c r="J2488" s="4">
        <v>46046</v>
      </c>
      <c r="K2488" t="s">
        <v>1589</v>
      </c>
      <c r="L2488" t="s">
        <v>984</v>
      </c>
      <c r="M2488" t="s">
        <v>19</v>
      </c>
      <c r="N2488" t="s">
        <v>1663</v>
      </c>
      <c r="O2488">
        <v>1</v>
      </c>
    </row>
    <row r="2489" spans="1:15" hidden="1" x14ac:dyDescent="0.25">
      <c r="A2489" t="s">
        <v>2820</v>
      </c>
      <c r="B2489" t="s">
        <v>1661</v>
      </c>
      <c r="C2489" t="s">
        <v>1662</v>
      </c>
      <c r="D2489" t="s">
        <v>1587</v>
      </c>
      <c r="E2489" t="s">
        <v>4678</v>
      </c>
      <c r="F2489" s="3">
        <v>396109</v>
      </c>
      <c r="G2489" s="2">
        <f t="shared" si="76"/>
        <v>1</v>
      </c>
      <c r="H2489" s="2">
        <f t="shared" ca="1" si="77"/>
        <v>75</v>
      </c>
      <c r="I2489" s="4">
        <v>46045</v>
      </c>
      <c r="J2489" s="4">
        <v>46046</v>
      </c>
      <c r="K2489" t="s">
        <v>1589</v>
      </c>
      <c r="L2489" t="s">
        <v>984</v>
      </c>
      <c r="M2489" t="s">
        <v>19</v>
      </c>
      <c r="N2489" t="s">
        <v>1663</v>
      </c>
      <c r="O2489">
        <v>1</v>
      </c>
    </row>
    <row r="2490" spans="1:15" hidden="1" x14ac:dyDescent="0.25">
      <c r="A2490" t="s">
        <v>2820</v>
      </c>
      <c r="B2490" t="s">
        <v>1673</v>
      </c>
      <c r="C2490" t="s">
        <v>1674</v>
      </c>
      <c r="D2490" t="s">
        <v>1587</v>
      </c>
      <c r="E2490" t="s">
        <v>4679</v>
      </c>
      <c r="F2490" s="3">
        <v>258000</v>
      </c>
      <c r="G2490" s="2">
        <f t="shared" si="76"/>
        <v>30</v>
      </c>
      <c r="H2490" s="2">
        <f t="shared" ca="1" si="77"/>
        <v>75</v>
      </c>
      <c r="I2490" s="4">
        <v>46045</v>
      </c>
      <c r="J2490" s="4">
        <v>46075</v>
      </c>
      <c r="K2490" t="s">
        <v>1589</v>
      </c>
      <c r="L2490" t="s">
        <v>984</v>
      </c>
      <c r="M2490" t="s">
        <v>19</v>
      </c>
      <c r="N2490" t="s">
        <v>1675</v>
      </c>
      <c r="O2490">
        <v>30</v>
      </c>
    </row>
    <row r="2491" spans="1:15" hidden="1" x14ac:dyDescent="0.25">
      <c r="A2491" t="s">
        <v>2820</v>
      </c>
      <c r="B2491" t="s">
        <v>205</v>
      </c>
      <c r="C2491" t="s">
        <v>206</v>
      </c>
      <c r="D2491" t="s">
        <v>15</v>
      </c>
      <c r="E2491" t="s">
        <v>4680</v>
      </c>
      <c r="F2491" s="3">
        <v>336200</v>
      </c>
      <c r="G2491" s="2">
        <f t="shared" si="76"/>
        <v>1</v>
      </c>
      <c r="H2491" s="2">
        <f t="shared" ca="1" si="77"/>
        <v>75</v>
      </c>
      <c r="I2491" s="4">
        <v>46045</v>
      </c>
      <c r="J2491" s="4">
        <v>46046</v>
      </c>
      <c r="K2491" t="s">
        <v>1589</v>
      </c>
      <c r="L2491" t="s">
        <v>984</v>
      </c>
      <c r="M2491" t="s">
        <v>19</v>
      </c>
      <c r="N2491" t="s">
        <v>149</v>
      </c>
      <c r="O2491">
        <v>1</v>
      </c>
    </row>
    <row r="2492" spans="1:15" hidden="1" x14ac:dyDescent="0.25">
      <c r="A2492" t="s">
        <v>2820</v>
      </c>
      <c r="B2492" t="s">
        <v>1760</v>
      </c>
      <c r="C2492" t="s">
        <v>1761</v>
      </c>
      <c r="D2492" t="s">
        <v>1762</v>
      </c>
      <c r="E2492" t="s">
        <v>4683</v>
      </c>
      <c r="F2492" s="3">
        <v>314426</v>
      </c>
      <c r="G2492" s="2">
        <f t="shared" si="76"/>
        <v>30</v>
      </c>
      <c r="H2492" s="2">
        <f t="shared" ca="1" si="77"/>
        <v>75</v>
      </c>
      <c r="I2492" s="4">
        <v>46045</v>
      </c>
      <c r="J2492" s="4">
        <v>46075</v>
      </c>
      <c r="K2492" t="s">
        <v>1758</v>
      </c>
      <c r="L2492" t="s">
        <v>32</v>
      </c>
      <c r="M2492" t="s">
        <v>19</v>
      </c>
      <c r="N2492" t="s">
        <v>1763</v>
      </c>
      <c r="O2492">
        <v>30</v>
      </c>
    </row>
    <row r="2493" spans="1:15" hidden="1" x14ac:dyDescent="0.25">
      <c r="A2493" t="s">
        <v>2820</v>
      </c>
      <c r="B2493" t="s">
        <v>1760</v>
      </c>
      <c r="C2493" t="s">
        <v>1761</v>
      </c>
      <c r="D2493" t="s">
        <v>1762</v>
      </c>
      <c r="E2493" t="s">
        <v>4684</v>
      </c>
      <c r="F2493" s="3">
        <v>630000</v>
      </c>
      <c r="G2493" s="2">
        <f t="shared" si="76"/>
        <v>10</v>
      </c>
      <c r="H2493" s="2">
        <f t="shared" ca="1" si="77"/>
        <v>75</v>
      </c>
      <c r="I2493" s="4">
        <v>46045</v>
      </c>
      <c r="J2493" s="4">
        <v>46055</v>
      </c>
      <c r="K2493" t="s">
        <v>1758</v>
      </c>
      <c r="L2493" t="s">
        <v>32</v>
      </c>
      <c r="M2493" t="s">
        <v>19</v>
      </c>
      <c r="N2493" t="s">
        <v>1763</v>
      </c>
      <c r="O2493">
        <v>30</v>
      </c>
    </row>
    <row r="2494" spans="1:15" hidden="1" x14ac:dyDescent="0.25">
      <c r="A2494" t="s">
        <v>2820</v>
      </c>
      <c r="B2494" t="s">
        <v>1756</v>
      </c>
      <c r="C2494" t="s">
        <v>1757</v>
      </c>
      <c r="D2494" t="s">
        <v>331</v>
      </c>
      <c r="E2494" t="s">
        <v>4685</v>
      </c>
      <c r="F2494" s="3">
        <v>840000</v>
      </c>
      <c r="G2494" s="2">
        <f t="shared" si="76"/>
        <v>10</v>
      </c>
      <c r="H2494" s="2">
        <f t="shared" ca="1" si="77"/>
        <v>75</v>
      </c>
      <c r="I2494" s="4">
        <v>46045</v>
      </c>
      <c r="J2494" s="4">
        <v>46055</v>
      </c>
      <c r="K2494" t="s">
        <v>1758</v>
      </c>
      <c r="L2494" t="s">
        <v>32</v>
      </c>
      <c r="M2494" t="s">
        <v>19</v>
      </c>
      <c r="N2494" t="s">
        <v>1759</v>
      </c>
      <c r="O2494">
        <v>30</v>
      </c>
    </row>
    <row r="2495" spans="1:15" hidden="1" x14ac:dyDescent="0.25">
      <c r="A2495" t="s">
        <v>2820</v>
      </c>
      <c r="B2495" t="s">
        <v>1756</v>
      </c>
      <c r="C2495" t="s">
        <v>1757</v>
      </c>
      <c r="D2495" t="s">
        <v>331</v>
      </c>
      <c r="E2495" t="s">
        <v>4686</v>
      </c>
      <c r="F2495" s="3">
        <v>165598</v>
      </c>
      <c r="G2495" s="2">
        <f t="shared" si="76"/>
        <v>30</v>
      </c>
      <c r="H2495" s="2">
        <f t="shared" ca="1" si="77"/>
        <v>75</v>
      </c>
      <c r="I2495" s="4">
        <v>46045</v>
      </c>
      <c r="J2495" s="4">
        <v>46075</v>
      </c>
      <c r="K2495" t="s">
        <v>1758</v>
      </c>
      <c r="L2495" t="s">
        <v>32</v>
      </c>
      <c r="M2495" t="s">
        <v>19</v>
      </c>
      <c r="N2495" t="s">
        <v>1759</v>
      </c>
      <c r="O2495">
        <v>30</v>
      </c>
    </row>
    <row r="2496" spans="1:15" hidden="1" x14ac:dyDescent="0.25">
      <c r="A2496" t="s">
        <v>2820</v>
      </c>
      <c r="B2496" t="s">
        <v>1764</v>
      </c>
      <c r="C2496" t="s">
        <v>1765</v>
      </c>
      <c r="D2496" t="s">
        <v>331</v>
      </c>
      <c r="E2496" t="s">
        <v>4690</v>
      </c>
      <c r="F2496" s="3">
        <v>2100000</v>
      </c>
      <c r="G2496" s="2">
        <f t="shared" si="76"/>
        <v>10</v>
      </c>
      <c r="H2496" s="2">
        <f t="shared" ca="1" si="77"/>
        <v>75</v>
      </c>
      <c r="I2496" s="4">
        <v>46045</v>
      </c>
      <c r="J2496" s="4">
        <v>46055</v>
      </c>
      <c r="K2496" t="s">
        <v>1758</v>
      </c>
      <c r="L2496" t="s">
        <v>32</v>
      </c>
      <c r="M2496" t="s">
        <v>19</v>
      </c>
      <c r="N2496" t="s">
        <v>1766</v>
      </c>
      <c r="O2496">
        <v>30</v>
      </c>
    </row>
    <row r="2497" spans="1:15" hidden="1" x14ac:dyDescent="0.25">
      <c r="A2497" t="s">
        <v>2820</v>
      </c>
      <c r="B2497" t="s">
        <v>1767</v>
      </c>
      <c r="C2497" t="s">
        <v>1768</v>
      </c>
      <c r="D2497" t="s">
        <v>331</v>
      </c>
      <c r="E2497" t="s">
        <v>4691</v>
      </c>
      <c r="F2497" s="3">
        <v>3548049</v>
      </c>
      <c r="G2497" s="2">
        <f t="shared" si="76"/>
        <v>30</v>
      </c>
      <c r="H2497" s="2">
        <f t="shared" ca="1" si="77"/>
        <v>75</v>
      </c>
      <c r="I2497" s="4">
        <v>46045</v>
      </c>
      <c r="J2497" s="4">
        <v>46075</v>
      </c>
      <c r="K2497" t="s">
        <v>1758</v>
      </c>
      <c r="L2497" t="s">
        <v>32</v>
      </c>
      <c r="M2497" t="s">
        <v>19</v>
      </c>
      <c r="N2497" t="s">
        <v>1769</v>
      </c>
      <c r="O2497">
        <v>30</v>
      </c>
    </row>
    <row r="2498" spans="1:15" hidden="1" x14ac:dyDescent="0.25">
      <c r="A2498" t="s">
        <v>2820</v>
      </c>
      <c r="B2498" t="s">
        <v>4713</v>
      </c>
      <c r="C2498" t="s">
        <v>4714</v>
      </c>
      <c r="D2498" t="s">
        <v>1289</v>
      </c>
      <c r="E2498" t="s">
        <v>4715</v>
      </c>
      <c r="F2498" s="3">
        <v>633575</v>
      </c>
      <c r="G2498" s="2">
        <f t="shared" ref="G2498:G2561" si="78">+J2498-I2498</f>
        <v>1</v>
      </c>
      <c r="H2498" s="2">
        <f t="shared" ref="H2498:H2561" ca="1" si="79">+TODAY()-I2498</f>
        <v>75</v>
      </c>
      <c r="I2498" s="4">
        <v>46045</v>
      </c>
      <c r="J2498" s="4">
        <v>46046</v>
      </c>
      <c r="K2498" t="s">
        <v>1843</v>
      </c>
      <c r="L2498" t="s">
        <v>981</v>
      </c>
      <c r="M2498" t="s">
        <v>19</v>
      </c>
      <c r="N2498" t="s">
        <v>4716</v>
      </c>
      <c r="O2498">
        <v>30</v>
      </c>
    </row>
    <row r="2499" spans="1:15" hidden="1" x14ac:dyDescent="0.25">
      <c r="A2499" t="s">
        <v>2820</v>
      </c>
      <c r="B2499" t="s">
        <v>1188</v>
      </c>
      <c r="C2499" t="s">
        <v>1189</v>
      </c>
      <c r="D2499" t="s">
        <v>1190</v>
      </c>
      <c r="E2499" t="s">
        <v>4718</v>
      </c>
      <c r="F2499" s="3">
        <v>7800030</v>
      </c>
      <c r="G2499" s="2">
        <f t="shared" si="78"/>
        <v>30</v>
      </c>
      <c r="H2499" s="2">
        <f t="shared" ca="1" si="79"/>
        <v>75</v>
      </c>
      <c r="I2499" s="4">
        <v>46045</v>
      </c>
      <c r="J2499" s="4">
        <v>46075</v>
      </c>
      <c r="K2499" t="s">
        <v>1863</v>
      </c>
      <c r="L2499" t="s">
        <v>984</v>
      </c>
      <c r="M2499" t="s">
        <v>19</v>
      </c>
      <c r="N2499" t="s">
        <v>1191</v>
      </c>
      <c r="O2499">
        <v>30</v>
      </c>
    </row>
    <row r="2500" spans="1:15" hidden="1" x14ac:dyDescent="0.25">
      <c r="A2500" t="s">
        <v>2820</v>
      </c>
      <c r="B2500" t="s">
        <v>1845</v>
      </c>
      <c r="C2500" t="s">
        <v>1846</v>
      </c>
      <c r="D2500" t="s">
        <v>1847</v>
      </c>
      <c r="E2500" t="s">
        <v>4719</v>
      </c>
      <c r="F2500" s="3">
        <v>7589050</v>
      </c>
      <c r="G2500" s="2">
        <f t="shared" si="78"/>
        <v>30</v>
      </c>
      <c r="H2500" s="2">
        <f t="shared" ca="1" si="79"/>
        <v>75</v>
      </c>
      <c r="I2500" s="4">
        <v>46045</v>
      </c>
      <c r="J2500" s="4">
        <v>46075</v>
      </c>
      <c r="K2500" t="s">
        <v>1875</v>
      </c>
      <c r="L2500" t="s">
        <v>981</v>
      </c>
      <c r="M2500" t="s">
        <v>19</v>
      </c>
      <c r="N2500" t="s">
        <v>1848</v>
      </c>
      <c r="O2500">
        <v>30</v>
      </c>
    </row>
    <row r="2501" spans="1:15" hidden="1" x14ac:dyDescent="0.25">
      <c r="A2501" t="s">
        <v>2820</v>
      </c>
      <c r="B2501" t="s">
        <v>1845</v>
      </c>
      <c r="C2501" t="s">
        <v>1846</v>
      </c>
      <c r="D2501" t="s">
        <v>1847</v>
      </c>
      <c r="E2501" t="s">
        <v>4720</v>
      </c>
      <c r="F2501" s="3">
        <v>2059042</v>
      </c>
      <c r="G2501" s="2">
        <f t="shared" si="78"/>
        <v>30</v>
      </c>
      <c r="H2501" s="2">
        <f t="shared" ca="1" si="79"/>
        <v>75</v>
      </c>
      <c r="I2501" s="4">
        <v>46045</v>
      </c>
      <c r="J2501" s="4">
        <v>46075</v>
      </c>
      <c r="K2501" t="s">
        <v>1875</v>
      </c>
      <c r="L2501" t="s">
        <v>981</v>
      </c>
      <c r="M2501" t="s">
        <v>19</v>
      </c>
      <c r="N2501" t="s">
        <v>1848</v>
      </c>
      <c r="O2501">
        <v>30</v>
      </c>
    </row>
    <row r="2502" spans="1:15" hidden="1" x14ac:dyDescent="0.25">
      <c r="A2502" t="s">
        <v>2820</v>
      </c>
      <c r="B2502" t="s">
        <v>1876</v>
      </c>
      <c r="C2502" t="s">
        <v>1877</v>
      </c>
      <c r="D2502" t="s">
        <v>1878</v>
      </c>
      <c r="E2502" t="s">
        <v>4725</v>
      </c>
      <c r="F2502" s="3">
        <v>2850000</v>
      </c>
      <c r="G2502" s="2">
        <f t="shared" si="78"/>
        <v>30</v>
      </c>
      <c r="H2502" s="2">
        <f t="shared" ca="1" si="79"/>
        <v>75</v>
      </c>
      <c r="I2502" s="4">
        <v>46045</v>
      </c>
      <c r="J2502" s="4">
        <v>46075</v>
      </c>
      <c r="K2502" t="s">
        <v>1879</v>
      </c>
      <c r="L2502" t="s">
        <v>984</v>
      </c>
      <c r="M2502" t="s">
        <v>19</v>
      </c>
      <c r="N2502" t="s">
        <v>1880</v>
      </c>
      <c r="O2502">
        <v>30</v>
      </c>
    </row>
    <row r="2503" spans="1:15" hidden="1" x14ac:dyDescent="0.25">
      <c r="A2503" t="s">
        <v>2820</v>
      </c>
      <c r="B2503" t="s">
        <v>1881</v>
      </c>
      <c r="C2503" t="s">
        <v>1882</v>
      </c>
      <c r="D2503" t="s">
        <v>1883</v>
      </c>
      <c r="E2503" t="s">
        <v>4726</v>
      </c>
      <c r="F2503" s="3">
        <v>816001</v>
      </c>
      <c r="G2503" s="2">
        <f t="shared" si="78"/>
        <v>30</v>
      </c>
      <c r="H2503" s="2">
        <f t="shared" ca="1" si="79"/>
        <v>75</v>
      </c>
      <c r="I2503" s="4">
        <v>46045</v>
      </c>
      <c r="J2503" s="4">
        <v>46075</v>
      </c>
      <c r="K2503" t="s">
        <v>1884</v>
      </c>
      <c r="L2503" t="s">
        <v>984</v>
      </c>
      <c r="M2503" t="s">
        <v>19</v>
      </c>
      <c r="N2503" t="s">
        <v>1885</v>
      </c>
      <c r="O2503">
        <v>30</v>
      </c>
    </row>
    <row r="2504" spans="1:15" hidden="1" x14ac:dyDescent="0.25">
      <c r="A2504" t="s">
        <v>2820</v>
      </c>
      <c r="B2504" t="s">
        <v>2421</v>
      </c>
      <c r="C2504" t="s">
        <v>2422</v>
      </c>
      <c r="D2504" t="s">
        <v>15</v>
      </c>
      <c r="E2504" t="s">
        <v>4216</v>
      </c>
      <c r="F2504" s="3">
        <v>1050000</v>
      </c>
      <c r="G2504" s="2">
        <f t="shared" si="78"/>
        <v>10</v>
      </c>
      <c r="H2504" s="2">
        <f t="shared" ca="1" si="79"/>
        <v>74</v>
      </c>
      <c r="I2504" s="4">
        <v>46046</v>
      </c>
      <c r="J2504" s="4">
        <v>46056</v>
      </c>
      <c r="K2504" t="s">
        <v>17</v>
      </c>
      <c r="L2504" t="s">
        <v>32</v>
      </c>
      <c r="M2504" t="s">
        <v>19</v>
      </c>
      <c r="N2504" t="s">
        <v>2423</v>
      </c>
      <c r="O2504">
        <v>30</v>
      </c>
    </row>
    <row r="2505" spans="1:15" hidden="1" x14ac:dyDescent="0.25">
      <c r="A2505" t="s">
        <v>2820</v>
      </c>
      <c r="B2505" t="s">
        <v>101</v>
      </c>
      <c r="C2505" t="s">
        <v>102</v>
      </c>
      <c r="D2505" t="s">
        <v>15</v>
      </c>
      <c r="E2505" t="s">
        <v>4217</v>
      </c>
      <c r="F2505" s="3">
        <v>1147198</v>
      </c>
      <c r="G2505" s="2">
        <f t="shared" si="78"/>
        <v>30</v>
      </c>
      <c r="H2505" s="2">
        <f t="shared" ca="1" si="79"/>
        <v>74</v>
      </c>
      <c r="I2505" s="4">
        <v>46046</v>
      </c>
      <c r="J2505" s="4">
        <v>46076</v>
      </c>
      <c r="K2505" t="s">
        <v>17</v>
      </c>
      <c r="L2505" t="s">
        <v>32</v>
      </c>
      <c r="M2505" t="s">
        <v>19</v>
      </c>
      <c r="N2505" t="s">
        <v>103</v>
      </c>
      <c r="O2505">
        <v>30</v>
      </c>
    </row>
    <row r="2506" spans="1:15" hidden="1" x14ac:dyDescent="0.25">
      <c r="A2506" t="s">
        <v>2820</v>
      </c>
      <c r="B2506" t="s">
        <v>101</v>
      </c>
      <c r="C2506" t="s">
        <v>102</v>
      </c>
      <c r="D2506" t="s">
        <v>15</v>
      </c>
      <c r="E2506" t="s">
        <v>4218</v>
      </c>
      <c r="F2506" s="3">
        <v>1643914</v>
      </c>
      <c r="G2506" s="2">
        <f t="shared" si="78"/>
        <v>30</v>
      </c>
      <c r="H2506" s="2">
        <f t="shared" ca="1" si="79"/>
        <v>74</v>
      </c>
      <c r="I2506" s="4">
        <v>46046</v>
      </c>
      <c r="J2506" s="4">
        <v>46076</v>
      </c>
      <c r="K2506" t="s">
        <v>17</v>
      </c>
      <c r="L2506" t="s">
        <v>32</v>
      </c>
      <c r="M2506" t="s">
        <v>19</v>
      </c>
      <c r="N2506" t="s">
        <v>103</v>
      </c>
      <c r="O2506">
        <v>30</v>
      </c>
    </row>
    <row r="2507" spans="1:15" hidden="1" x14ac:dyDescent="0.25">
      <c r="A2507" t="s">
        <v>2820</v>
      </c>
      <c r="B2507" t="s">
        <v>101</v>
      </c>
      <c r="C2507" t="s">
        <v>102</v>
      </c>
      <c r="D2507" t="s">
        <v>15</v>
      </c>
      <c r="E2507" t="s">
        <v>4219</v>
      </c>
      <c r="F2507" s="3">
        <v>4200000</v>
      </c>
      <c r="G2507" s="2">
        <f t="shared" si="78"/>
        <v>10</v>
      </c>
      <c r="H2507" s="2">
        <f t="shared" ca="1" si="79"/>
        <v>74</v>
      </c>
      <c r="I2507" s="4">
        <v>46046</v>
      </c>
      <c r="J2507" s="4">
        <v>46056</v>
      </c>
      <c r="K2507" t="s">
        <v>17</v>
      </c>
      <c r="L2507" t="s">
        <v>32</v>
      </c>
      <c r="M2507" t="s">
        <v>19</v>
      </c>
      <c r="N2507" t="s">
        <v>103</v>
      </c>
      <c r="O2507">
        <v>30</v>
      </c>
    </row>
    <row r="2508" spans="1:15" hidden="1" x14ac:dyDescent="0.25">
      <c r="A2508" t="s">
        <v>2820</v>
      </c>
      <c r="B2508" t="s">
        <v>101</v>
      </c>
      <c r="C2508" t="s">
        <v>102</v>
      </c>
      <c r="D2508" t="s">
        <v>15</v>
      </c>
      <c r="E2508" t="s">
        <v>4220</v>
      </c>
      <c r="F2508" s="3">
        <v>655200</v>
      </c>
      <c r="G2508" s="2">
        <f t="shared" si="78"/>
        <v>10</v>
      </c>
      <c r="H2508" s="2">
        <f t="shared" ca="1" si="79"/>
        <v>74</v>
      </c>
      <c r="I2508" s="4">
        <v>46046</v>
      </c>
      <c r="J2508" s="4">
        <v>46056</v>
      </c>
      <c r="K2508" t="s">
        <v>17</v>
      </c>
      <c r="L2508" t="s">
        <v>32</v>
      </c>
      <c r="M2508" t="s">
        <v>19</v>
      </c>
      <c r="N2508" t="s">
        <v>103</v>
      </c>
      <c r="O2508">
        <v>30</v>
      </c>
    </row>
    <row r="2509" spans="1:15" hidden="1" x14ac:dyDescent="0.25">
      <c r="A2509" t="s">
        <v>2820</v>
      </c>
      <c r="B2509" t="s">
        <v>171</v>
      </c>
      <c r="C2509" t="s">
        <v>172</v>
      </c>
      <c r="D2509" t="s">
        <v>15</v>
      </c>
      <c r="E2509" t="s">
        <v>4221</v>
      </c>
      <c r="F2509" s="3">
        <v>863501</v>
      </c>
      <c r="G2509" s="2">
        <f t="shared" si="78"/>
        <v>30</v>
      </c>
      <c r="H2509" s="2">
        <f t="shared" ca="1" si="79"/>
        <v>74</v>
      </c>
      <c r="I2509" s="4">
        <v>46046</v>
      </c>
      <c r="J2509" s="4">
        <v>46076</v>
      </c>
      <c r="K2509" t="s">
        <v>17</v>
      </c>
      <c r="L2509" t="s">
        <v>18</v>
      </c>
      <c r="M2509" t="s">
        <v>19</v>
      </c>
      <c r="N2509" t="s">
        <v>173</v>
      </c>
      <c r="O2509">
        <v>30</v>
      </c>
    </row>
    <row r="2510" spans="1:15" hidden="1" x14ac:dyDescent="0.25">
      <c r="A2510" t="s">
        <v>2820</v>
      </c>
      <c r="B2510" t="s">
        <v>76</v>
      </c>
      <c r="C2510" t="s">
        <v>77</v>
      </c>
      <c r="D2510" t="s">
        <v>46</v>
      </c>
      <c r="E2510" t="s">
        <v>4222</v>
      </c>
      <c r="F2510" s="3">
        <v>1632948</v>
      </c>
      <c r="G2510" s="2">
        <f t="shared" si="78"/>
        <v>30</v>
      </c>
      <c r="H2510" s="2">
        <f t="shared" ca="1" si="79"/>
        <v>74</v>
      </c>
      <c r="I2510" s="4">
        <v>46046</v>
      </c>
      <c r="J2510" s="4">
        <v>46076</v>
      </c>
      <c r="K2510" t="s">
        <v>17</v>
      </c>
      <c r="L2510" t="s">
        <v>32</v>
      </c>
      <c r="M2510" t="s">
        <v>19</v>
      </c>
      <c r="N2510" t="s">
        <v>78</v>
      </c>
      <c r="O2510">
        <v>30</v>
      </c>
    </row>
    <row r="2511" spans="1:15" hidden="1" x14ac:dyDescent="0.25">
      <c r="A2511" t="s">
        <v>2820</v>
      </c>
      <c r="B2511" t="s">
        <v>2170</v>
      </c>
      <c r="C2511" t="s">
        <v>2171</v>
      </c>
      <c r="D2511" t="s">
        <v>15</v>
      </c>
      <c r="E2511" t="s">
        <v>4223</v>
      </c>
      <c r="F2511" s="3">
        <v>357034</v>
      </c>
      <c r="G2511" s="2">
        <f t="shared" si="78"/>
        <v>1</v>
      </c>
      <c r="H2511" s="2">
        <f t="shared" ca="1" si="79"/>
        <v>74</v>
      </c>
      <c r="I2511" s="4">
        <v>46046</v>
      </c>
      <c r="J2511" s="4">
        <v>46047</v>
      </c>
      <c r="K2511" t="s">
        <v>17</v>
      </c>
      <c r="L2511" t="s">
        <v>32</v>
      </c>
      <c r="M2511" t="s">
        <v>19</v>
      </c>
      <c r="N2511" t="s">
        <v>2172</v>
      </c>
      <c r="O2511">
        <v>30</v>
      </c>
    </row>
    <row r="2512" spans="1:15" hidden="1" x14ac:dyDescent="0.25">
      <c r="A2512" t="s">
        <v>2820</v>
      </c>
      <c r="B2512" t="s">
        <v>76</v>
      </c>
      <c r="C2512" t="s">
        <v>77</v>
      </c>
      <c r="D2512" t="s">
        <v>46</v>
      </c>
      <c r="E2512" t="s">
        <v>4224</v>
      </c>
      <c r="F2512" s="3">
        <v>184812</v>
      </c>
      <c r="G2512" s="2">
        <f t="shared" si="78"/>
        <v>30</v>
      </c>
      <c r="H2512" s="2">
        <f t="shared" ca="1" si="79"/>
        <v>74</v>
      </c>
      <c r="I2512" s="4">
        <v>46046</v>
      </c>
      <c r="J2512" s="4">
        <v>46076</v>
      </c>
      <c r="K2512" t="s">
        <v>17</v>
      </c>
      <c r="L2512" t="s">
        <v>32</v>
      </c>
      <c r="M2512" t="s">
        <v>19</v>
      </c>
      <c r="N2512" t="s">
        <v>78</v>
      </c>
      <c r="O2512">
        <v>30</v>
      </c>
    </row>
    <row r="2513" spans="1:15" hidden="1" x14ac:dyDescent="0.25">
      <c r="A2513" t="s">
        <v>2820</v>
      </c>
      <c r="B2513" t="s">
        <v>4225</v>
      </c>
      <c r="C2513" t="s">
        <v>4226</v>
      </c>
      <c r="D2513" t="s">
        <v>15</v>
      </c>
      <c r="E2513" t="s">
        <v>4227</v>
      </c>
      <c r="F2513" s="3">
        <v>186942</v>
      </c>
      <c r="G2513" s="2">
        <f t="shared" si="78"/>
        <v>1</v>
      </c>
      <c r="H2513" s="2">
        <f t="shared" ca="1" si="79"/>
        <v>74</v>
      </c>
      <c r="I2513" s="4">
        <v>46046</v>
      </c>
      <c r="J2513" s="4">
        <v>46047</v>
      </c>
      <c r="K2513" t="s">
        <v>17</v>
      </c>
      <c r="L2513" t="s">
        <v>312</v>
      </c>
      <c r="M2513" t="s">
        <v>19</v>
      </c>
      <c r="N2513" t="s">
        <v>4228</v>
      </c>
      <c r="O2513">
        <v>1</v>
      </c>
    </row>
    <row r="2514" spans="1:15" hidden="1" x14ac:dyDescent="0.25">
      <c r="A2514" t="s">
        <v>2820</v>
      </c>
      <c r="B2514" t="s">
        <v>4225</v>
      </c>
      <c r="C2514" t="s">
        <v>4226</v>
      </c>
      <c r="D2514" t="s">
        <v>15</v>
      </c>
      <c r="E2514" t="s">
        <v>4229</v>
      </c>
      <c r="F2514" s="3">
        <v>137878</v>
      </c>
      <c r="G2514" s="2">
        <f t="shared" si="78"/>
        <v>1</v>
      </c>
      <c r="H2514" s="2">
        <f t="shared" ca="1" si="79"/>
        <v>74</v>
      </c>
      <c r="I2514" s="4">
        <v>46046</v>
      </c>
      <c r="J2514" s="4">
        <v>46047</v>
      </c>
      <c r="K2514" t="s">
        <v>17</v>
      </c>
      <c r="L2514" t="s">
        <v>312</v>
      </c>
      <c r="M2514" t="s">
        <v>19</v>
      </c>
      <c r="N2514" t="s">
        <v>4228</v>
      </c>
      <c r="O2514">
        <v>1</v>
      </c>
    </row>
    <row r="2515" spans="1:15" hidden="1" x14ac:dyDescent="0.25">
      <c r="A2515" t="s">
        <v>2820</v>
      </c>
      <c r="B2515" t="s">
        <v>4230</v>
      </c>
      <c r="C2515" t="s">
        <v>4231</v>
      </c>
      <c r="D2515" t="s">
        <v>46</v>
      </c>
      <c r="E2515" t="s">
        <v>4232</v>
      </c>
      <c r="F2515" s="3">
        <v>124507</v>
      </c>
      <c r="G2515" s="2">
        <f t="shared" si="78"/>
        <v>1</v>
      </c>
      <c r="H2515" s="2">
        <f t="shared" ca="1" si="79"/>
        <v>74</v>
      </c>
      <c r="I2515" s="4">
        <v>46046</v>
      </c>
      <c r="J2515" s="4">
        <v>46047</v>
      </c>
      <c r="K2515" t="s">
        <v>17</v>
      </c>
      <c r="L2515" t="s">
        <v>312</v>
      </c>
      <c r="M2515" t="s">
        <v>19</v>
      </c>
      <c r="N2515" t="s">
        <v>4233</v>
      </c>
      <c r="O2515">
        <v>25</v>
      </c>
    </row>
    <row r="2516" spans="1:15" hidden="1" x14ac:dyDescent="0.25">
      <c r="A2516" t="s">
        <v>2820</v>
      </c>
      <c r="B2516" t="s">
        <v>1954</v>
      </c>
      <c r="C2516" t="s">
        <v>1955</v>
      </c>
      <c r="D2516" t="s">
        <v>46</v>
      </c>
      <c r="E2516" t="s">
        <v>4234</v>
      </c>
      <c r="F2516" s="3">
        <v>240899</v>
      </c>
      <c r="G2516" s="2">
        <f t="shared" si="78"/>
        <v>15</v>
      </c>
      <c r="H2516" s="2">
        <f t="shared" ca="1" si="79"/>
        <v>74</v>
      </c>
      <c r="I2516" s="4">
        <v>46046</v>
      </c>
      <c r="J2516" s="4">
        <v>46061</v>
      </c>
      <c r="K2516" t="s">
        <v>17</v>
      </c>
      <c r="L2516" t="s">
        <v>312</v>
      </c>
      <c r="M2516" t="s">
        <v>19</v>
      </c>
      <c r="N2516" t="s">
        <v>1956</v>
      </c>
      <c r="O2516">
        <v>30</v>
      </c>
    </row>
    <row r="2517" spans="1:15" hidden="1" x14ac:dyDescent="0.25">
      <c r="A2517" t="s">
        <v>2820</v>
      </c>
      <c r="B2517" t="s">
        <v>4235</v>
      </c>
      <c r="C2517" t="s">
        <v>4236</v>
      </c>
      <c r="D2517" t="s">
        <v>46</v>
      </c>
      <c r="E2517" t="s">
        <v>4237</v>
      </c>
      <c r="F2517" s="3">
        <v>180790</v>
      </c>
      <c r="G2517" s="2">
        <f t="shared" si="78"/>
        <v>1</v>
      </c>
      <c r="H2517" s="2">
        <f t="shared" ca="1" si="79"/>
        <v>74</v>
      </c>
      <c r="I2517" s="4">
        <v>46046</v>
      </c>
      <c r="J2517" s="4">
        <v>46047</v>
      </c>
      <c r="K2517" t="s">
        <v>17</v>
      </c>
      <c r="L2517" t="s">
        <v>312</v>
      </c>
      <c r="M2517" t="s">
        <v>19</v>
      </c>
      <c r="N2517" t="s">
        <v>4238</v>
      </c>
      <c r="O2517">
        <v>8</v>
      </c>
    </row>
    <row r="2518" spans="1:15" hidden="1" x14ac:dyDescent="0.25">
      <c r="A2518" t="s">
        <v>2820</v>
      </c>
      <c r="B2518" t="s">
        <v>323</v>
      </c>
      <c r="C2518" t="s">
        <v>324</v>
      </c>
      <c r="D2518" t="s">
        <v>15</v>
      </c>
      <c r="E2518" t="s">
        <v>4239</v>
      </c>
      <c r="F2518" s="3">
        <v>48419</v>
      </c>
      <c r="G2518" s="2">
        <f t="shared" si="78"/>
        <v>1</v>
      </c>
      <c r="H2518" s="2">
        <f t="shared" ca="1" si="79"/>
        <v>74</v>
      </c>
      <c r="I2518" s="4">
        <v>46046</v>
      </c>
      <c r="J2518" s="4">
        <v>46047</v>
      </c>
      <c r="K2518" t="s">
        <v>17</v>
      </c>
      <c r="L2518" t="s">
        <v>312</v>
      </c>
      <c r="M2518" t="s">
        <v>19</v>
      </c>
      <c r="N2518" t="s">
        <v>325</v>
      </c>
      <c r="O2518">
        <v>15</v>
      </c>
    </row>
    <row r="2519" spans="1:15" hidden="1" x14ac:dyDescent="0.25">
      <c r="A2519" t="s">
        <v>2820</v>
      </c>
      <c r="B2519" t="s">
        <v>2591</v>
      </c>
      <c r="C2519" t="s">
        <v>2592</v>
      </c>
      <c r="D2519" t="s">
        <v>15</v>
      </c>
      <c r="E2519" t="s">
        <v>4240</v>
      </c>
      <c r="F2519" s="3">
        <v>382020</v>
      </c>
      <c r="G2519" s="2">
        <f t="shared" si="78"/>
        <v>8</v>
      </c>
      <c r="H2519" s="2">
        <f t="shared" ca="1" si="79"/>
        <v>74</v>
      </c>
      <c r="I2519" s="4">
        <v>46046</v>
      </c>
      <c r="J2519" s="4">
        <v>46054</v>
      </c>
      <c r="K2519" t="s">
        <v>17</v>
      </c>
      <c r="L2519" t="s">
        <v>312</v>
      </c>
      <c r="M2519" t="s">
        <v>19</v>
      </c>
      <c r="N2519" t="s">
        <v>2593</v>
      </c>
      <c r="O2519">
        <v>1</v>
      </c>
    </row>
    <row r="2520" spans="1:15" hidden="1" x14ac:dyDescent="0.25">
      <c r="A2520" t="s">
        <v>2820</v>
      </c>
      <c r="B2520" t="s">
        <v>2591</v>
      </c>
      <c r="C2520" t="s">
        <v>2592</v>
      </c>
      <c r="D2520" t="s">
        <v>15</v>
      </c>
      <c r="E2520" t="s">
        <v>4241</v>
      </c>
      <c r="F2520" s="3">
        <v>42969</v>
      </c>
      <c r="G2520" s="2">
        <f t="shared" si="78"/>
        <v>8</v>
      </c>
      <c r="H2520" s="2">
        <f t="shared" ca="1" si="79"/>
        <v>74</v>
      </c>
      <c r="I2520" s="4">
        <v>46046</v>
      </c>
      <c r="J2520" s="4">
        <v>46054</v>
      </c>
      <c r="K2520" t="s">
        <v>17</v>
      </c>
      <c r="L2520" t="s">
        <v>312</v>
      </c>
      <c r="M2520" t="s">
        <v>19</v>
      </c>
      <c r="N2520" t="s">
        <v>2593</v>
      </c>
      <c r="O2520">
        <v>1</v>
      </c>
    </row>
    <row r="2521" spans="1:15" hidden="1" x14ac:dyDescent="0.25">
      <c r="A2521" t="s">
        <v>2820</v>
      </c>
      <c r="B2521" t="s">
        <v>314</v>
      </c>
      <c r="C2521" t="s">
        <v>315</v>
      </c>
      <c r="D2521" t="s">
        <v>15</v>
      </c>
      <c r="E2521" t="s">
        <v>4242</v>
      </c>
      <c r="F2521" s="3">
        <v>256000</v>
      </c>
      <c r="G2521" s="2">
        <f t="shared" si="78"/>
        <v>30</v>
      </c>
      <c r="H2521" s="2">
        <f t="shared" ca="1" si="79"/>
        <v>74</v>
      </c>
      <c r="I2521" s="4">
        <v>46046</v>
      </c>
      <c r="J2521" s="4">
        <v>46076</v>
      </c>
      <c r="K2521" t="s">
        <v>17</v>
      </c>
      <c r="L2521" t="s">
        <v>312</v>
      </c>
      <c r="M2521" t="s">
        <v>19</v>
      </c>
      <c r="N2521" t="s">
        <v>316</v>
      </c>
      <c r="O2521">
        <v>30</v>
      </c>
    </row>
    <row r="2522" spans="1:15" hidden="1" x14ac:dyDescent="0.25">
      <c r="A2522" t="s">
        <v>2820</v>
      </c>
      <c r="B2522" t="s">
        <v>4243</v>
      </c>
      <c r="C2522" t="s">
        <v>4244</v>
      </c>
      <c r="D2522" t="s">
        <v>15</v>
      </c>
      <c r="E2522" t="s">
        <v>4245</v>
      </c>
      <c r="F2522" s="3">
        <v>210000</v>
      </c>
      <c r="G2522" s="2">
        <f t="shared" si="78"/>
        <v>1</v>
      </c>
      <c r="H2522" s="2">
        <f t="shared" ca="1" si="79"/>
        <v>74</v>
      </c>
      <c r="I2522" s="4">
        <v>46046</v>
      </c>
      <c r="J2522" s="4">
        <v>46047</v>
      </c>
      <c r="K2522" t="s">
        <v>17</v>
      </c>
      <c r="L2522" t="s">
        <v>312</v>
      </c>
      <c r="M2522" t="s">
        <v>19</v>
      </c>
      <c r="N2522" t="s">
        <v>4246</v>
      </c>
      <c r="O2522">
        <v>30</v>
      </c>
    </row>
    <row r="2523" spans="1:15" hidden="1" x14ac:dyDescent="0.25">
      <c r="A2523" t="s">
        <v>2820</v>
      </c>
      <c r="B2523" t="s">
        <v>205</v>
      </c>
      <c r="C2523" t="s">
        <v>206</v>
      </c>
      <c r="D2523" t="s">
        <v>15</v>
      </c>
      <c r="E2523" t="s">
        <v>4247</v>
      </c>
      <c r="F2523" s="3">
        <v>436500</v>
      </c>
      <c r="G2523" s="2">
        <f t="shared" si="78"/>
        <v>1</v>
      </c>
      <c r="H2523" s="2">
        <f t="shared" ca="1" si="79"/>
        <v>74</v>
      </c>
      <c r="I2523" s="4">
        <v>46046</v>
      </c>
      <c r="J2523" s="4">
        <v>46047</v>
      </c>
      <c r="K2523" t="s">
        <v>17</v>
      </c>
      <c r="L2523" t="s">
        <v>312</v>
      </c>
      <c r="M2523" t="s">
        <v>19</v>
      </c>
      <c r="N2523" t="s">
        <v>149</v>
      </c>
      <c r="O2523">
        <v>1</v>
      </c>
    </row>
    <row r="2524" spans="1:15" hidden="1" x14ac:dyDescent="0.25">
      <c r="A2524" t="s">
        <v>2820</v>
      </c>
      <c r="B2524" t="s">
        <v>2034</v>
      </c>
      <c r="C2524" t="s">
        <v>2035</v>
      </c>
      <c r="D2524" t="s">
        <v>15</v>
      </c>
      <c r="E2524" t="s">
        <v>4248</v>
      </c>
      <c r="F2524" s="3">
        <v>420000</v>
      </c>
      <c r="G2524" s="2">
        <f t="shared" si="78"/>
        <v>8</v>
      </c>
      <c r="H2524" s="2">
        <f t="shared" ca="1" si="79"/>
        <v>74</v>
      </c>
      <c r="I2524" s="4">
        <v>46046</v>
      </c>
      <c r="J2524" s="4">
        <v>46054</v>
      </c>
      <c r="K2524" t="s">
        <v>17</v>
      </c>
      <c r="L2524" t="s">
        <v>317</v>
      </c>
      <c r="M2524" t="s">
        <v>19</v>
      </c>
      <c r="N2524" t="s">
        <v>2036</v>
      </c>
      <c r="O2524">
        <v>8</v>
      </c>
    </row>
    <row r="2525" spans="1:15" hidden="1" x14ac:dyDescent="0.25">
      <c r="A2525" t="s">
        <v>2820</v>
      </c>
      <c r="B2525" t="s">
        <v>205</v>
      </c>
      <c r="C2525" t="s">
        <v>206</v>
      </c>
      <c r="D2525" t="s">
        <v>15</v>
      </c>
      <c r="E2525" t="s">
        <v>4249</v>
      </c>
      <c r="F2525" s="3">
        <v>1524350</v>
      </c>
      <c r="G2525" s="2">
        <f t="shared" si="78"/>
        <v>1</v>
      </c>
      <c r="H2525" s="2">
        <f t="shared" ca="1" si="79"/>
        <v>74</v>
      </c>
      <c r="I2525" s="4">
        <v>46046</v>
      </c>
      <c r="J2525" s="4">
        <v>46047</v>
      </c>
      <c r="K2525" t="s">
        <v>17</v>
      </c>
      <c r="L2525" t="s">
        <v>317</v>
      </c>
      <c r="M2525" t="s">
        <v>19</v>
      </c>
      <c r="N2525" t="s">
        <v>149</v>
      </c>
      <c r="O2525">
        <v>1</v>
      </c>
    </row>
    <row r="2526" spans="1:15" hidden="1" x14ac:dyDescent="0.25">
      <c r="A2526" t="s">
        <v>2820</v>
      </c>
      <c r="B2526" t="s">
        <v>104</v>
      </c>
      <c r="C2526" t="s">
        <v>105</v>
      </c>
      <c r="D2526" t="s">
        <v>46</v>
      </c>
      <c r="E2526" t="s">
        <v>4250</v>
      </c>
      <c r="F2526" s="3">
        <v>1123100</v>
      </c>
      <c r="G2526" s="2">
        <f t="shared" si="78"/>
        <v>30</v>
      </c>
      <c r="H2526" s="2">
        <f t="shared" ca="1" si="79"/>
        <v>74</v>
      </c>
      <c r="I2526" s="4">
        <v>46046</v>
      </c>
      <c r="J2526" s="4">
        <v>46076</v>
      </c>
      <c r="K2526" t="s">
        <v>17</v>
      </c>
      <c r="L2526" t="s">
        <v>32</v>
      </c>
      <c r="M2526" t="s">
        <v>19</v>
      </c>
      <c r="N2526" t="s">
        <v>106</v>
      </c>
      <c r="O2526">
        <v>30</v>
      </c>
    </row>
    <row r="2527" spans="1:15" hidden="1" x14ac:dyDescent="0.25">
      <c r="A2527" t="s">
        <v>2820</v>
      </c>
      <c r="B2527" t="s">
        <v>76</v>
      </c>
      <c r="C2527" t="s">
        <v>77</v>
      </c>
      <c r="D2527" t="s">
        <v>46</v>
      </c>
      <c r="E2527" t="s">
        <v>4251</v>
      </c>
      <c r="F2527" s="3">
        <v>57576</v>
      </c>
      <c r="G2527" s="2">
        <f t="shared" si="78"/>
        <v>30</v>
      </c>
      <c r="H2527" s="2">
        <f t="shared" ca="1" si="79"/>
        <v>74</v>
      </c>
      <c r="I2527" s="4">
        <v>46046</v>
      </c>
      <c r="J2527" s="4">
        <v>46076</v>
      </c>
      <c r="K2527" t="s">
        <v>17</v>
      </c>
      <c r="L2527" t="s">
        <v>32</v>
      </c>
      <c r="M2527" t="s">
        <v>19</v>
      </c>
      <c r="N2527" t="s">
        <v>78</v>
      </c>
      <c r="O2527">
        <v>30</v>
      </c>
    </row>
    <row r="2528" spans="1:15" hidden="1" x14ac:dyDescent="0.25">
      <c r="A2528" t="s">
        <v>2820</v>
      </c>
      <c r="B2528" t="s">
        <v>4298</v>
      </c>
      <c r="C2528" t="s">
        <v>4299</v>
      </c>
      <c r="D2528" t="s">
        <v>331</v>
      </c>
      <c r="E2528" t="s">
        <v>4300</v>
      </c>
      <c r="F2528" s="3">
        <v>85849</v>
      </c>
      <c r="G2528" s="2">
        <f t="shared" si="78"/>
        <v>1</v>
      </c>
      <c r="H2528" s="2">
        <f t="shared" ca="1" si="79"/>
        <v>74</v>
      </c>
      <c r="I2528" s="4">
        <v>46046</v>
      </c>
      <c r="J2528" s="4">
        <v>46047</v>
      </c>
      <c r="K2528" t="s">
        <v>17</v>
      </c>
      <c r="L2528" t="s">
        <v>317</v>
      </c>
      <c r="M2528" t="s">
        <v>19</v>
      </c>
      <c r="N2528" t="s">
        <v>4301</v>
      </c>
      <c r="O2528">
        <v>1</v>
      </c>
    </row>
    <row r="2529" spans="1:15" hidden="1" x14ac:dyDescent="0.25">
      <c r="A2529" t="s">
        <v>2820</v>
      </c>
      <c r="B2529" t="s">
        <v>4298</v>
      </c>
      <c r="C2529" t="s">
        <v>4299</v>
      </c>
      <c r="D2529" t="s">
        <v>331</v>
      </c>
      <c r="E2529" t="s">
        <v>4302</v>
      </c>
      <c r="F2529" s="3">
        <v>630000</v>
      </c>
      <c r="G2529" s="2">
        <f t="shared" si="78"/>
        <v>1</v>
      </c>
      <c r="H2529" s="2">
        <f t="shared" ca="1" si="79"/>
        <v>74</v>
      </c>
      <c r="I2529" s="4">
        <v>46046</v>
      </c>
      <c r="J2529" s="4">
        <v>46047</v>
      </c>
      <c r="K2529" t="s">
        <v>17</v>
      </c>
      <c r="L2529" t="s">
        <v>317</v>
      </c>
      <c r="M2529" t="s">
        <v>19</v>
      </c>
      <c r="N2529" t="s">
        <v>4301</v>
      </c>
      <c r="O2529">
        <v>1</v>
      </c>
    </row>
    <row r="2530" spans="1:15" hidden="1" x14ac:dyDescent="0.25">
      <c r="A2530" t="s">
        <v>2820</v>
      </c>
      <c r="B2530" t="s">
        <v>4380</v>
      </c>
      <c r="C2530" t="s">
        <v>4381</v>
      </c>
      <c r="D2530" t="s">
        <v>336</v>
      </c>
      <c r="E2530" t="s">
        <v>4382</v>
      </c>
      <c r="F2530" s="3">
        <v>155123</v>
      </c>
      <c r="G2530" s="2">
        <f t="shared" si="78"/>
        <v>1</v>
      </c>
      <c r="H2530" s="2">
        <f t="shared" ca="1" si="79"/>
        <v>74</v>
      </c>
      <c r="I2530" s="4">
        <v>46046</v>
      </c>
      <c r="J2530" s="4">
        <v>46047</v>
      </c>
      <c r="K2530" t="s">
        <v>638</v>
      </c>
      <c r="L2530" t="s">
        <v>317</v>
      </c>
      <c r="M2530" t="s">
        <v>19</v>
      </c>
      <c r="N2530" t="s">
        <v>4383</v>
      </c>
      <c r="O2530">
        <v>1</v>
      </c>
    </row>
    <row r="2531" spans="1:15" hidden="1" x14ac:dyDescent="0.25">
      <c r="A2531" t="s">
        <v>2820</v>
      </c>
      <c r="B2531" t="s">
        <v>4384</v>
      </c>
      <c r="C2531" t="s">
        <v>4385</v>
      </c>
      <c r="D2531" t="s">
        <v>336</v>
      </c>
      <c r="E2531" t="s">
        <v>4386</v>
      </c>
      <c r="F2531" s="3">
        <v>65430</v>
      </c>
      <c r="G2531" s="2">
        <f t="shared" si="78"/>
        <v>1</v>
      </c>
      <c r="H2531" s="2">
        <f t="shared" ca="1" si="79"/>
        <v>74</v>
      </c>
      <c r="I2531" s="4">
        <v>46046</v>
      </c>
      <c r="J2531" s="4">
        <v>46047</v>
      </c>
      <c r="K2531" t="s">
        <v>638</v>
      </c>
      <c r="L2531" t="s">
        <v>317</v>
      </c>
      <c r="M2531" t="s">
        <v>19</v>
      </c>
      <c r="N2531" t="s">
        <v>4387</v>
      </c>
      <c r="O2531">
        <v>1</v>
      </c>
    </row>
    <row r="2532" spans="1:15" hidden="1" x14ac:dyDescent="0.25">
      <c r="A2532" t="s">
        <v>2820</v>
      </c>
      <c r="B2532" t="s">
        <v>4388</v>
      </c>
      <c r="C2532" t="s">
        <v>4389</v>
      </c>
      <c r="D2532" t="s">
        <v>336</v>
      </c>
      <c r="E2532" t="s">
        <v>4390</v>
      </c>
      <c r="F2532" s="3">
        <v>80099</v>
      </c>
      <c r="G2532" s="2">
        <f t="shared" si="78"/>
        <v>1</v>
      </c>
      <c r="H2532" s="2">
        <f t="shared" ca="1" si="79"/>
        <v>74</v>
      </c>
      <c r="I2532" s="4">
        <v>46046</v>
      </c>
      <c r="J2532" s="4">
        <v>46047</v>
      </c>
      <c r="K2532" t="s">
        <v>638</v>
      </c>
      <c r="L2532" t="s">
        <v>317</v>
      </c>
      <c r="M2532" t="s">
        <v>19</v>
      </c>
      <c r="N2532" t="s">
        <v>4391</v>
      </c>
      <c r="O2532">
        <v>1</v>
      </c>
    </row>
    <row r="2533" spans="1:15" hidden="1" x14ac:dyDescent="0.25">
      <c r="A2533" t="s">
        <v>2820</v>
      </c>
      <c r="B2533" t="s">
        <v>205</v>
      </c>
      <c r="C2533" t="s">
        <v>206</v>
      </c>
      <c r="D2533" t="s">
        <v>15</v>
      </c>
      <c r="E2533" t="s">
        <v>4392</v>
      </c>
      <c r="F2533" s="3">
        <v>42800</v>
      </c>
      <c r="G2533" s="2">
        <f t="shared" si="78"/>
        <v>1</v>
      </c>
      <c r="H2533" s="2">
        <f t="shared" ca="1" si="79"/>
        <v>74</v>
      </c>
      <c r="I2533" s="4">
        <v>46046</v>
      </c>
      <c r="J2533" s="4">
        <v>46047</v>
      </c>
      <c r="K2533" t="s">
        <v>638</v>
      </c>
      <c r="L2533" t="s">
        <v>317</v>
      </c>
      <c r="M2533" t="s">
        <v>19</v>
      </c>
      <c r="N2533" t="s">
        <v>149</v>
      </c>
      <c r="O2533">
        <v>1</v>
      </c>
    </row>
    <row r="2534" spans="1:15" hidden="1" x14ac:dyDescent="0.25">
      <c r="A2534" t="s">
        <v>2820</v>
      </c>
      <c r="B2534" t="s">
        <v>205</v>
      </c>
      <c r="C2534" t="s">
        <v>206</v>
      </c>
      <c r="D2534" t="s">
        <v>15</v>
      </c>
      <c r="E2534" t="s">
        <v>4393</v>
      </c>
      <c r="F2534" s="3">
        <v>67481</v>
      </c>
      <c r="G2534" s="2">
        <f t="shared" si="78"/>
        <v>1</v>
      </c>
      <c r="H2534" s="2">
        <f t="shared" ca="1" si="79"/>
        <v>74</v>
      </c>
      <c r="I2534" s="4">
        <v>46046</v>
      </c>
      <c r="J2534" s="4">
        <v>46047</v>
      </c>
      <c r="K2534" t="s">
        <v>638</v>
      </c>
      <c r="L2534" t="s">
        <v>317</v>
      </c>
      <c r="M2534" t="s">
        <v>19</v>
      </c>
      <c r="N2534" t="s">
        <v>149</v>
      </c>
      <c r="O2534">
        <v>1</v>
      </c>
    </row>
    <row r="2535" spans="1:15" hidden="1" x14ac:dyDescent="0.25">
      <c r="A2535" t="s">
        <v>2820</v>
      </c>
      <c r="B2535" t="s">
        <v>4396</v>
      </c>
      <c r="C2535" t="s">
        <v>4397</v>
      </c>
      <c r="D2535" t="s">
        <v>916</v>
      </c>
      <c r="E2535" t="s">
        <v>4398</v>
      </c>
      <c r="F2535" s="3">
        <v>1249928</v>
      </c>
      <c r="G2535" s="2">
        <f t="shared" si="78"/>
        <v>30</v>
      </c>
      <c r="H2535" s="2">
        <f t="shared" ca="1" si="79"/>
        <v>74</v>
      </c>
      <c r="I2535" s="4">
        <v>46046</v>
      </c>
      <c r="J2535" s="4">
        <v>46076</v>
      </c>
      <c r="K2535" t="s">
        <v>918</v>
      </c>
      <c r="L2535" t="s">
        <v>312</v>
      </c>
      <c r="M2535" t="s">
        <v>19</v>
      </c>
      <c r="N2535" t="s">
        <v>4399</v>
      </c>
      <c r="O2535">
        <v>30</v>
      </c>
    </row>
    <row r="2536" spans="1:15" hidden="1" x14ac:dyDescent="0.25">
      <c r="A2536" t="s">
        <v>2820</v>
      </c>
      <c r="B2536" t="s">
        <v>4428</v>
      </c>
      <c r="C2536" t="s">
        <v>4429</v>
      </c>
      <c r="D2536" t="s">
        <v>994</v>
      </c>
      <c r="E2536" t="s">
        <v>4430</v>
      </c>
      <c r="F2536" s="3">
        <v>42800</v>
      </c>
      <c r="G2536" s="2">
        <f t="shared" si="78"/>
        <v>1</v>
      </c>
      <c r="H2536" s="2">
        <f t="shared" ca="1" si="79"/>
        <v>74</v>
      </c>
      <c r="I2536" s="4">
        <v>46046</v>
      </c>
      <c r="J2536" s="4">
        <v>46047</v>
      </c>
      <c r="K2536" t="s">
        <v>989</v>
      </c>
      <c r="L2536" t="s">
        <v>317</v>
      </c>
      <c r="M2536" t="s">
        <v>19</v>
      </c>
      <c r="N2536" t="s">
        <v>4431</v>
      </c>
      <c r="O2536">
        <v>30</v>
      </c>
    </row>
    <row r="2537" spans="1:15" hidden="1" x14ac:dyDescent="0.25">
      <c r="A2537" t="s">
        <v>2820</v>
      </c>
      <c r="B2537" t="s">
        <v>4425</v>
      </c>
      <c r="C2537" t="s">
        <v>4426</v>
      </c>
      <c r="D2537" t="s">
        <v>994</v>
      </c>
      <c r="E2537" t="s">
        <v>4432</v>
      </c>
      <c r="F2537" s="3">
        <v>85600</v>
      </c>
      <c r="G2537" s="2">
        <f t="shared" si="78"/>
        <v>1</v>
      </c>
      <c r="H2537" s="2">
        <f t="shared" ca="1" si="79"/>
        <v>74</v>
      </c>
      <c r="I2537" s="4">
        <v>46046</v>
      </c>
      <c r="J2537" s="4">
        <v>46047</v>
      </c>
      <c r="K2537" t="s">
        <v>989</v>
      </c>
      <c r="L2537" t="s">
        <v>317</v>
      </c>
      <c r="M2537" t="s">
        <v>19</v>
      </c>
      <c r="N2537" t="s">
        <v>4427</v>
      </c>
      <c r="O2537">
        <v>1</v>
      </c>
    </row>
    <row r="2538" spans="1:15" hidden="1" x14ac:dyDescent="0.25">
      <c r="A2538" t="s">
        <v>2820</v>
      </c>
      <c r="B2538" t="s">
        <v>4425</v>
      </c>
      <c r="C2538" t="s">
        <v>4426</v>
      </c>
      <c r="D2538" t="s">
        <v>994</v>
      </c>
      <c r="E2538" t="s">
        <v>4433</v>
      </c>
      <c r="F2538" s="3">
        <v>53721</v>
      </c>
      <c r="G2538" s="2">
        <f t="shared" si="78"/>
        <v>1</v>
      </c>
      <c r="H2538" s="2">
        <f t="shared" ca="1" si="79"/>
        <v>74</v>
      </c>
      <c r="I2538" s="4">
        <v>46046</v>
      </c>
      <c r="J2538" s="4">
        <v>46047</v>
      </c>
      <c r="K2538" t="s">
        <v>989</v>
      </c>
      <c r="L2538" t="s">
        <v>317</v>
      </c>
      <c r="M2538" t="s">
        <v>19</v>
      </c>
      <c r="N2538" t="s">
        <v>4427</v>
      </c>
      <c r="O2538">
        <v>1</v>
      </c>
    </row>
    <row r="2539" spans="1:15" hidden="1" x14ac:dyDescent="0.25">
      <c r="A2539" t="s">
        <v>2820</v>
      </c>
      <c r="B2539" t="s">
        <v>1060</v>
      </c>
      <c r="C2539" t="s">
        <v>1061</v>
      </c>
      <c r="D2539" t="s">
        <v>994</v>
      </c>
      <c r="E2539" t="s">
        <v>4434</v>
      </c>
      <c r="F2539" s="3">
        <v>440389</v>
      </c>
      <c r="G2539" s="2">
        <f t="shared" si="78"/>
        <v>15</v>
      </c>
      <c r="H2539" s="2">
        <f t="shared" ca="1" si="79"/>
        <v>74</v>
      </c>
      <c r="I2539" s="4">
        <v>46046</v>
      </c>
      <c r="J2539" s="4">
        <v>46061</v>
      </c>
      <c r="K2539" t="s">
        <v>989</v>
      </c>
      <c r="L2539" t="s">
        <v>317</v>
      </c>
      <c r="M2539" t="s">
        <v>19</v>
      </c>
      <c r="N2539" t="s">
        <v>1062</v>
      </c>
      <c r="O2539">
        <v>30</v>
      </c>
    </row>
    <row r="2540" spans="1:15" hidden="1" x14ac:dyDescent="0.25">
      <c r="A2540" t="s">
        <v>2820</v>
      </c>
      <c r="B2540" t="s">
        <v>205</v>
      </c>
      <c r="C2540" t="s">
        <v>206</v>
      </c>
      <c r="D2540" t="s">
        <v>15</v>
      </c>
      <c r="E2540" t="s">
        <v>4435</v>
      </c>
      <c r="F2540" s="3">
        <v>88049</v>
      </c>
      <c r="G2540" s="2">
        <f t="shared" si="78"/>
        <v>1</v>
      </c>
      <c r="H2540" s="2">
        <f t="shared" ca="1" si="79"/>
        <v>74</v>
      </c>
      <c r="I2540" s="4">
        <v>46046</v>
      </c>
      <c r="J2540" s="4">
        <v>46047</v>
      </c>
      <c r="K2540" t="s">
        <v>989</v>
      </c>
      <c r="L2540" t="s">
        <v>317</v>
      </c>
      <c r="M2540" t="s">
        <v>19</v>
      </c>
      <c r="N2540" t="s">
        <v>149</v>
      </c>
      <c r="O2540">
        <v>1</v>
      </c>
    </row>
    <row r="2541" spans="1:15" hidden="1" x14ac:dyDescent="0.25">
      <c r="A2541" t="s">
        <v>2820</v>
      </c>
      <c r="B2541" t="s">
        <v>1107</v>
      </c>
      <c r="C2541" t="s">
        <v>1108</v>
      </c>
      <c r="D2541" t="s">
        <v>320</v>
      </c>
      <c r="E2541" t="s">
        <v>4436</v>
      </c>
      <c r="F2541" s="3">
        <v>16141541</v>
      </c>
      <c r="G2541" s="2">
        <f t="shared" si="78"/>
        <v>30</v>
      </c>
      <c r="H2541" s="2">
        <f t="shared" ca="1" si="79"/>
        <v>74</v>
      </c>
      <c r="I2541" s="4">
        <v>46046</v>
      </c>
      <c r="J2541" s="4">
        <v>46076</v>
      </c>
      <c r="K2541" t="s">
        <v>1068</v>
      </c>
      <c r="L2541" t="s">
        <v>207</v>
      </c>
      <c r="M2541" t="s">
        <v>19</v>
      </c>
      <c r="N2541" t="s">
        <v>1109</v>
      </c>
      <c r="O2541">
        <v>30</v>
      </c>
    </row>
    <row r="2542" spans="1:15" hidden="1" x14ac:dyDescent="0.25">
      <c r="A2542" t="s">
        <v>2820</v>
      </c>
      <c r="B2542" t="s">
        <v>3570</v>
      </c>
      <c r="C2542" t="s">
        <v>3571</v>
      </c>
      <c r="D2542" t="s">
        <v>320</v>
      </c>
      <c r="E2542" t="s">
        <v>4439</v>
      </c>
      <c r="F2542" s="3">
        <v>128769</v>
      </c>
      <c r="G2542" s="2">
        <f t="shared" si="78"/>
        <v>8</v>
      </c>
      <c r="H2542" s="2">
        <f t="shared" ca="1" si="79"/>
        <v>74</v>
      </c>
      <c r="I2542" s="4">
        <v>46046</v>
      </c>
      <c r="J2542" s="4">
        <v>46054</v>
      </c>
      <c r="K2542" t="s">
        <v>1068</v>
      </c>
      <c r="L2542" t="s">
        <v>321</v>
      </c>
      <c r="M2542" t="s">
        <v>19</v>
      </c>
      <c r="N2542" t="s">
        <v>3572</v>
      </c>
      <c r="O2542">
        <v>8</v>
      </c>
    </row>
    <row r="2543" spans="1:15" hidden="1" x14ac:dyDescent="0.25">
      <c r="A2543" t="s">
        <v>2820</v>
      </c>
      <c r="B2543" t="s">
        <v>318</v>
      </c>
      <c r="C2543" t="s">
        <v>319</v>
      </c>
      <c r="D2543" t="s">
        <v>320</v>
      </c>
      <c r="E2543" t="s">
        <v>4440</v>
      </c>
      <c r="F2543" s="3">
        <v>442927</v>
      </c>
      <c r="G2543" s="2">
        <f t="shared" si="78"/>
        <v>15</v>
      </c>
      <c r="H2543" s="2">
        <f t="shared" ca="1" si="79"/>
        <v>74</v>
      </c>
      <c r="I2543" s="4">
        <v>46046</v>
      </c>
      <c r="J2543" s="4">
        <v>46061</v>
      </c>
      <c r="K2543" t="s">
        <v>1068</v>
      </c>
      <c r="L2543" t="s">
        <v>321</v>
      </c>
      <c r="M2543" t="s">
        <v>19</v>
      </c>
      <c r="N2543" t="s">
        <v>322</v>
      </c>
      <c r="O2543">
        <v>15</v>
      </c>
    </row>
    <row r="2544" spans="1:15" hidden="1" x14ac:dyDescent="0.25">
      <c r="A2544" t="s">
        <v>2820</v>
      </c>
      <c r="B2544" t="s">
        <v>2137</v>
      </c>
      <c r="C2544" t="s">
        <v>2138</v>
      </c>
      <c r="D2544" t="s">
        <v>1118</v>
      </c>
      <c r="E2544" t="s">
        <v>4513</v>
      </c>
      <c r="F2544" s="3">
        <v>135948</v>
      </c>
      <c r="G2544" s="2">
        <f t="shared" si="78"/>
        <v>15</v>
      </c>
      <c r="H2544" s="2">
        <f t="shared" ca="1" si="79"/>
        <v>74</v>
      </c>
      <c r="I2544" s="4">
        <v>46046</v>
      </c>
      <c r="J2544" s="4">
        <v>46061</v>
      </c>
      <c r="K2544" t="s">
        <v>1144</v>
      </c>
      <c r="L2544" t="s">
        <v>321</v>
      </c>
      <c r="M2544" t="s">
        <v>19</v>
      </c>
      <c r="N2544" t="s">
        <v>2139</v>
      </c>
      <c r="O2544">
        <v>30</v>
      </c>
    </row>
    <row r="2545" spans="1:15" hidden="1" x14ac:dyDescent="0.25">
      <c r="A2545" t="s">
        <v>2820</v>
      </c>
      <c r="B2545" t="s">
        <v>4514</v>
      </c>
      <c r="C2545" t="s">
        <v>4515</v>
      </c>
      <c r="D2545" t="s">
        <v>1138</v>
      </c>
      <c r="E2545" t="s">
        <v>4516</v>
      </c>
      <c r="F2545" s="3">
        <v>41278</v>
      </c>
      <c r="G2545" s="2">
        <f t="shared" si="78"/>
        <v>1</v>
      </c>
      <c r="H2545" s="2">
        <f t="shared" ca="1" si="79"/>
        <v>74</v>
      </c>
      <c r="I2545" s="4">
        <v>46046</v>
      </c>
      <c r="J2545" s="4">
        <v>46047</v>
      </c>
      <c r="K2545" t="s">
        <v>1144</v>
      </c>
      <c r="L2545" t="s">
        <v>321</v>
      </c>
      <c r="M2545" t="s">
        <v>19</v>
      </c>
      <c r="N2545" t="s">
        <v>4517</v>
      </c>
      <c r="O2545">
        <v>0</v>
      </c>
    </row>
    <row r="2546" spans="1:15" hidden="1" x14ac:dyDescent="0.25">
      <c r="A2546" t="s">
        <v>2820</v>
      </c>
      <c r="B2546" t="s">
        <v>4514</v>
      </c>
      <c r="C2546" t="s">
        <v>4515</v>
      </c>
      <c r="D2546" t="s">
        <v>1138</v>
      </c>
      <c r="E2546" t="s">
        <v>4518</v>
      </c>
      <c r="F2546" s="3">
        <v>45500</v>
      </c>
      <c r="G2546" s="2">
        <f t="shared" si="78"/>
        <v>1</v>
      </c>
      <c r="H2546" s="2">
        <f t="shared" ca="1" si="79"/>
        <v>74</v>
      </c>
      <c r="I2546" s="4">
        <v>46046</v>
      </c>
      <c r="J2546" s="4">
        <v>46047</v>
      </c>
      <c r="K2546" t="s">
        <v>1144</v>
      </c>
      <c r="L2546" t="s">
        <v>321</v>
      </c>
      <c r="M2546" t="s">
        <v>19</v>
      </c>
      <c r="N2546" t="s">
        <v>4517</v>
      </c>
      <c r="O2546">
        <v>0</v>
      </c>
    </row>
    <row r="2547" spans="1:15" hidden="1" x14ac:dyDescent="0.25">
      <c r="A2547" t="s">
        <v>2820</v>
      </c>
      <c r="B2547" t="s">
        <v>4519</v>
      </c>
      <c r="C2547" t="s">
        <v>4520</v>
      </c>
      <c r="D2547" t="s">
        <v>1118</v>
      </c>
      <c r="E2547" t="s">
        <v>4521</v>
      </c>
      <c r="F2547" s="3">
        <v>53329</v>
      </c>
      <c r="G2547" s="2">
        <f t="shared" si="78"/>
        <v>1</v>
      </c>
      <c r="H2547" s="2">
        <f t="shared" ca="1" si="79"/>
        <v>74</v>
      </c>
      <c r="I2547" s="4">
        <v>46046</v>
      </c>
      <c r="J2547" s="4">
        <v>46047</v>
      </c>
      <c r="K2547" t="s">
        <v>1144</v>
      </c>
      <c r="L2547" t="s">
        <v>321</v>
      </c>
      <c r="M2547" t="s">
        <v>19</v>
      </c>
      <c r="N2547" t="s">
        <v>4522</v>
      </c>
      <c r="O2547">
        <v>30</v>
      </c>
    </row>
    <row r="2548" spans="1:15" hidden="1" x14ac:dyDescent="0.25">
      <c r="A2548" t="s">
        <v>2820</v>
      </c>
      <c r="B2548" t="s">
        <v>1176</v>
      </c>
      <c r="C2548" t="s">
        <v>1177</v>
      </c>
      <c r="D2548" t="s">
        <v>1138</v>
      </c>
      <c r="E2548" t="s">
        <v>4523</v>
      </c>
      <c r="F2548" s="3">
        <v>139436</v>
      </c>
      <c r="G2548" s="2">
        <f t="shared" si="78"/>
        <v>15</v>
      </c>
      <c r="H2548" s="2">
        <f t="shared" ca="1" si="79"/>
        <v>74</v>
      </c>
      <c r="I2548" s="4">
        <v>46046</v>
      </c>
      <c r="J2548" s="4">
        <v>46061</v>
      </c>
      <c r="K2548" t="s">
        <v>1144</v>
      </c>
      <c r="L2548" t="s">
        <v>321</v>
      </c>
      <c r="M2548" t="s">
        <v>19</v>
      </c>
      <c r="N2548" t="s">
        <v>1178</v>
      </c>
      <c r="O2548">
        <v>15</v>
      </c>
    </row>
    <row r="2549" spans="1:15" hidden="1" x14ac:dyDescent="0.25">
      <c r="A2549" t="s">
        <v>2820</v>
      </c>
      <c r="B2549" t="s">
        <v>4524</v>
      </c>
      <c r="C2549" t="s">
        <v>4525</v>
      </c>
      <c r="D2549" t="s">
        <v>1138</v>
      </c>
      <c r="E2549" t="s">
        <v>4526</v>
      </c>
      <c r="F2549" s="3">
        <v>45581</v>
      </c>
      <c r="G2549" s="2">
        <f t="shared" si="78"/>
        <v>1</v>
      </c>
      <c r="H2549" s="2">
        <f t="shared" ca="1" si="79"/>
        <v>74</v>
      </c>
      <c r="I2549" s="4">
        <v>46046</v>
      </c>
      <c r="J2549" s="4">
        <v>46047</v>
      </c>
      <c r="K2549" t="s">
        <v>1144</v>
      </c>
      <c r="L2549" t="s">
        <v>321</v>
      </c>
      <c r="M2549" t="s">
        <v>19</v>
      </c>
      <c r="N2549" t="s">
        <v>4527</v>
      </c>
      <c r="O2549">
        <v>30</v>
      </c>
    </row>
    <row r="2550" spans="1:15" hidden="1" x14ac:dyDescent="0.25">
      <c r="A2550" t="s">
        <v>2820</v>
      </c>
      <c r="B2550" t="s">
        <v>4528</v>
      </c>
      <c r="C2550" t="s">
        <v>4529</v>
      </c>
      <c r="D2550" t="s">
        <v>1118</v>
      </c>
      <c r="E2550" t="s">
        <v>4530</v>
      </c>
      <c r="F2550" s="3">
        <v>56270</v>
      </c>
      <c r="G2550" s="2">
        <f t="shared" si="78"/>
        <v>1</v>
      </c>
      <c r="H2550" s="2">
        <f t="shared" ca="1" si="79"/>
        <v>74</v>
      </c>
      <c r="I2550" s="4">
        <v>46046</v>
      </c>
      <c r="J2550" s="4">
        <v>46047</v>
      </c>
      <c r="K2550" t="s">
        <v>1144</v>
      </c>
      <c r="L2550" t="s">
        <v>321</v>
      </c>
      <c r="M2550" t="s">
        <v>19</v>
      </c>
      <c r="N2550" t="s">
        <v>4531</v>
      </c>
      <c r="O2550">
        <v>30</v>
      </c>
    </row>
    <row r="2551" spans="1:15" hidden="1" x14ac:dyDescent="0.25">
      <c r="A2551" t="s">
        <v>2820</v>
      </c>
      <c r="B2551" t="s">
        <v>4543</v>
      </c>
      <c r="C2551" t="s">
        <v>4544</v>
      </c>
      <c r="D2551" t="s">
        <v>340</v>
      </c>
      <c r="E2551" t="s">
        <v>4545</v>
      </c>
      <c r="F2551" s="3">
        <v>225510</v>
      </c>
      <c r="G2551" s="2">
        <f t="shared" si="78"/>
        <v>1</v>
      </c>
      <c r="H2551" s="2">
        <f t="shared" ca="1" si="79"/>
        <v>74</v>
      </c>
      <c r="I2551" s="4">
        <v>46046</v>
      </c>
      <c r="J2551" s="4">
        <v>46047</v>
      </c>
      <c r="K2551" t="s">
        <v>1233</v>
      </c>
      <c r="L2551" t="s">
        <v>317</v>
      </c>
      <c r="M2551" t="s">
        <v>19</v>
      </c>
      <c r="N2551" t="s">
        <v>4546</v>
      </c>
      <c r="O2551">
        <v>0</v>
      </c>
    </row>
    <row r="2552" spans="1:15" hidden="1" x14ac:dyDescent="0.25">
      <c r="A2552" t="s">
        <v>2820</v>
      </c>
      <c r="B2552" t="s">
        <v>4547</v>
      </c>
      <c r="C2552" t="s">
        <v>4548</v>
      </c>
      <c r="D2552" t="s">
        <v>340</v>
      </c>
      <c r="E2552" t="s">
        <v>4549</v>
      </c>
      <c r="F2552" s="3">
        <v>120366</v>
      </c>
      <c r="G2552" s="2">
        <f t="shared" si="78"/>
        <v>1</v>
      </c>
      <c r="H2552" s="2">
        <f t="shared" ca="1" si="79"/>
        <v>74</v>
      </c>
      <c r="I2552" s="4">
        <v>46046</v>
      </c>
      <c r="J2552" s="4">
        <v>46047</v>
      </c>
      <c r="K2552" t="s">
        <v>1233</v>
      </c>
      <c r="L2552" t="s">
        <v>317</v>
      </c>
      <c r="M2552" t="s">
        <v>19</v>
      </c>
      <c r="N2552" t="s">
        <v>4550</v>
      </c>
      <c r="O2552">
        <v>30</v>
      </c>
    </row>
    <row r="2553" spans="1:15" hidden="1" x14ac:dyDescent="0.25">
      <c r="A2553" t="s">
        <v>2820</v>
      </c>
      <c r="B2553" t="s">
        <v>4547</v>
      </c>
      <c r="C2553" t="s">
        <v>4548</v>
      </c>
      <c r="D2553" t="s">
        <v>340</v>
      </c>
      <c r="E2553" t="s">
        <v>4551</v>
      </c>
      <c r="F2553" s="3">
        <v>41500</v>
      </c>
      <c r="G2553" s="2">
        <f t="shared" si="78"/>
        <v>1</v>
      </c>
      <c r="H2553" s="2">
        <f t="shared" ca="1" si="79"/>
        <v>74</v>
      </c>
      <c r="I2553" s="4">
        <v>46046</v>
      </c>
      <c r="J2553" s="4">
        <v>46047</v>
      </c>
      <c r="K2553" t="s">
        <v>1233</v>
      </c>
      <c r="L2553" t="s">
        <v>317</v>
      </c>
      <c r="M2553" t="s">
        <v>19</v>
      </c>
      <c r="N2553" t="s">
        <v>4550</v>
      </c>
      <c r="O2553">
        <v>30</v>
      </c>
    </row>
    <row r="2554" spans="1:15" hidden="1" x14ac:dyDescent="0.25">
      <c r="A2554" t="s">
        <v>2820</v>
      </c>
      <c r="B2554" t="s">
        <v>4547</v>
      </c>
      <c r="C2554" t="s">
        <v>4548</v>
      </c>
      <c r="D2554" t="s">
        <v>340</v>
      </c>
      <c r="E2554" t="s">
        <v>4552</v>
      </c>
      <c r="F2554" s="3">
        <v>85600</v>
      </c>
      <c r="G2554" s="2">
        <f t="shared" si="78"/>
        <v>1</v>
      </c>
      <c r="H2554" s="2">
        <f t="shared" ca="1" si="79"/>
        <v>74</v>
      </c>
      <c r="I2554" s="4">
        <v>46046</v>
      </c>
      <c r="J2554" s="4">
        <v>46047</v>
      </c>
      <c r="K2554" t="s">
        <v>1233</v>
      </c>
      <c r="L2554" t="s">
        <v>317</v>
      </c>
      <c r="M2554" t="s">
        <v>19</v>
      </c>
      <c r="N2554" t="s">
        <v>4550</v>
      </c>
      <c r="O2554">
        <v>30</v>
      </c>
    </row>
    <row r="2555" spans="1:15" hidden="1" x14ac:dyDescent="0.25">
      <c r="A2555" t="s">
        <v>2820</v>
      </c>
      <c r="B2555" t="s">
        <v>3626</v>
      </c>
      <c r="C2555" t="s">
        <v>3627</v>
      </c>
      <c r="D2555" t="s">
        <v>340</v>
      </c>
      <c r="E2555" t="s">
        <v>4553</v>
      </c>
      <c r="F2555" s="3">
        <v>114600</v>
      </c>
      <c r="G2555" s="2">
        <f t="shared" si="78"/>
        <v>1</v>
      </c>
      <c r="H2555" s="2">
        <f t="shared" ca="1" si="79"/>
        <v>74</v>
      </c>
      <c r="I2555" s="4">
        <v>46046</v>
      </c>
      <c r="J2555" s="4">
        <v>46047</v>
      </c>
      <c r="K2555" t="s">
        <v>1233</v>
      </c>
      <c r="L2555" t="s">
        <v>317</v>
      </c>
      <c r="M2555" t="s">
        <v>19</v>
      </c>
      <c r="N2555" t="s">
        <v>3628</v>
      </c>
      <c r="O2555">
        <v>30</v>
      </c>
    </row>
    <row r="2556" spans="1:15" hidden="1" x14ac:dyDescent="0.25">
      <c r="A2556" t="s">
        <v>2820</v>
      </c>
      <c r="B2556" t="s">
        <v>3626</v>
      </c>
      <c r="C2556" t="s">
        <v>3627</v>
      </c>
      <c r="D2556" t="s">
        <v>340</v>
      </c>
      <c r="E2556" t="s">
        <v>4554</v>
      </c>
      <c r="F2556" s="3">
        <v>74322</v>
      </c>
      <c r="G2556" s="2">
        <f t="shared" si="78"/>
        <v>1</v>
      </c>
      <c r="H2556" s="2">
        <f t="shared" ca="1" si="79"/>
        <v>74</v>
      </c>
      <c r="I2556" s="4">
        <v>46046</v>
      </c>
      <c r="J2556" s="4">
        <v>46047</v>
      </c>
      <c r="K2556" t="s">
        <v>1233</v>
      </c>
      <c r="L2556" t="s">
        <v>317</v>
      </c>
      <c r="M2556" t="s">
        <v>19</v>
      </c>
      <c r="N2556" t="s">
        <v>3628</v>
      </c>
      <c r="O2556">
        <v>30</v>
      </c>
    </row>
    <row r="2557" spans="1:15" hidden="1" x14ac:dyDescent="0.25">
      <c r="A2557" t="s">
        <v>2820</v>
      </c>
      <c r="B2557" t="s">
        <v>4555</v>
      </c>
      <c r="C2557" t="s">
        <v>4556</v>
      </c>
      <c r="D2557" t="s">
        <v>340</v>
      </c>
      <c r="E2557" t="s">
        <v>4557</v>
      </c>
      <c r="F2557" s="3">
        <v>316197</v>
      </c>
      <c r="G2557" s="2">
        <f t="shared" si="78"/>
        <v>1</v>
      </c>
      <c r="H2557" s="2">
        <f t="shared" ca="1" si="79"/>
        <v>74</v>
      </c>
      <c r="I2557" s="4">
        <v>46046</v>
      </c>
      <c r="J2557" s="4">
        <v>46047</v>
      </c>
      <c r="K2557" t="s">
        <v>1233</v>
      </c>
      <c r="L2557" t="s">
        <v>317</v>
      </c>
      <c r="M2557" t="s">
        <v>19</v>
      </c>
      <c r="N2557" t="s">
        <v>4558</v>
      </c>
      <c r="O2557">
        <v>1</v>
      </c>
    </row>
    <row r="2558" spans="1:15" hidden="1" x14ac:dyDescent="0.25">
      <c r="A2558" t="s">
        <v>2820</v>
      </c>
      <c r="B2558" t="s">
        <v>4559</v>
      </c>
      <c r="C2558" t="s">
        <v>4560</v>
      </c>
      <c r="D2558" t="s">
        <v>4561</v>
      </c>
      <c r="E2558" t="s">
        <v>4562</v>
      </c>
      <c r="F2558" s="3">
        <v>175843</v>
      </c>
      <c r="G2558" s="2">
        <f t="shared" si="78"/>
        <v>1</v>
      </c>
      <c r="H2558" s="2">
        <f t="shared" ca="1" si="79"/>
        <v>74</v>
      </c>
      <c r="I2558" s="4">
        <v>46046</v>
      </c>
      <c r="J2558" s="4">
        <v>46047</v>
      </c>
      <c r="K2558" t="s">
        <v>1233</v>
      </c>
      <c r="L2558" t="s">
        <v>317</v>
      </c>
      <c r="M2558" t="s">
        <v>19</v>
      </c>
      <c r="N2558" t="s">
        <v>4563</v>
      </c>
      <c r="O2558">
        <v>30</v>
      </c>
    </row>
    <row r="2559" spans="1:15" hidden="1" x14ac:dyDescent="0.25">
      <c r="A2559" t="s">
        <v>2820</v>
      </c>
      <c r="B2559" t="s">
        <v>4564</v>
      </c>
      <c r="C2559" t="s">
        <v>4565</v>
      </c>
      <c r="D2559" t="s">
        <v>4561</v>
      </c>
      <c r="E2559" t="s">
        <v>4566</v>
      </c>
      <c r="F2559" s="3">
        <v>100951</v>
      </c>
      <c r="G2559" s="2">
        <f t="shared" si="78"/>
        <v>1</v>
      </c>
      <c r="H2559" s="2">
        <f t="shared" ca="1" si="79"/>
        <v>74</v>
      </c>
      <c r="I2559" s="4">
        <v>46046</v>
      </c>
      <c r="J2559" s="4">
        <v>46047</v>
      </c>
      <c r="K2559" t="s">
        <v>1233</v>
      </c>
      <c r="L2559" t="s">
        <v>317</v>
      </c>
      <c r="M2559" t="s">
        <v>19</v>
      </c>
      <c r="N2559" t="s">
        <v>4567</v>
      </c>
      <c r="O2559">
        <v>1</v>
      </c>
    </row>
    <row r="2560" spans="1:15" hidden="1" x14ac:dyDescent="0.25">
      <c r="A2560" t="s">
        <v>2820</v>
      </c>
      <c r="B2560" t="s">
        <v>4568</v>
      </c>
      <c r="C2560" t="s">
        <v>4569</v>
      </c>
      <c r="D2560" t="s">
        <v>340</v>
      </c>
      <c r="E2560" t="s">
        <v>4570</v>
      </c>
      <c r="F2560" s="3">
        <v>63432</v>
      </c>
      <c r="G2560" s="2">
        <f t="shared" si="78"/>
        <v>1</v>
      </c>
      <c r="H2560" s="2">
        <f t="shared" ca="1" si="79"/>
        <v>74</v>
      </c>
      <c r="I2560" s="4">
        <v>46046</v>
      </c>
      <c r="J2560" s="4">
        <v>46047</v>
      </c>
      <c r="K2560" t="s">
        <v>1233</v>
      </c>
      <c r="L2560" t="s">
        <v>317</v>
      </c>
      <c r="M2560" t="s">
        <v>19</v>
      </c>
      <c r="N2560" t="s">
        <v>4571</v>
      </c>
      <c r="O2560">
        <v>0</v>
      </c>
    </row>
    <row r="2561" spans="1:15" hidden="1" x14ac:dyDescent="0.25">
      <c r="A2561" t="s">
        <v>2820</v>
      </c>
      <c r="B2561" t="s">
        <v>4572</v>
      </c>
      <c r="C2561" t="s">
        <v>4573</v>
      </c>
      <c r="D2561" t="s">
        <v>340</v>
      </c>
      <c r="E2561" t="s">
        <v>4574</v>
      </c>
      <c r="F2561" s="3">
        <v>148450</v>
      </c>
      <c r="G2561" s="2">
        <f t="shared" si="78"/>
        <v>1</v>
      </c>
      <c r="H2561" s="2">
        <f t="shared" ca="1" si="79"/>
        <v>74</v>
      </c>
      <c r="I2561" s="4">
        <v>46046</v>
      </c>
      <c r="J2561" s="4">
        <v>46047</v>
      </c>
      <c r="K2561" t="s">
        <v>1233</v>
      </c>
      <c r="L2561" t="s">
        <v>317</v>
      </c>
      <c r="M2561" t="s">
        <v>19</v>
      </c>
      <c r="N2561" t="s">
        <v>4575</v>
      </c>
      <c r="O2561">
        <v>1</v>
      </c>
    </row>
    <row r="2562" spans="1:15" hidden="1" x14ac:dyDescent="0.25">
      <c r="A2562" t="s">
        <v>2820</v>
      </c>
      <c r="B2562" t="s">
        <v>4576</v>
      </c>
      <c r="C2562" t="s">
        <v>4577</v>
      </c>
      <c r="D2562" t="s">
        <v>340</v>
      </c>
      <c r="E2562" t="s">
        <v>4578</v>
      </c>
      <c r="F2562" s="3">
        <v>438621</v>
      </c>
      <c r="G2562" s="2">
        <f t="shared" ref="G2562:G2625" si="80">+J2562-I2562</f>
        <v>30</v>
      </c>
      <c r="H2562" s="2">
        <f t="shared" ref="H2562:H2625" ca="1" si="81">+TODAY()-I2562</f>
        <v>74</v>
      </c>
      <c r="I2562" s="4">
        <v>46046</v>
      </c>
      <c r="J2562" s="4">
        <v>46076</v>
      </c>
      <c r="K2562" t="s">
        <v>1233</v>
      </c>
      <c r="L2562" t="s">
        <v>317</v>
      </c>
      <c r="M2562" t="s">
        <v>19</v>
      </c>
      <c r="N2562" t="s">
        <v>4579</v>
      </c>
      <c r="O2562">
        <v>30</v>
      </c>
    </row>
    <row r="2563" spans="1:15" hidden="1" x14ac:dyDescent="0.25">
      <c r="A2563" t="s">
        <v>2820</v>
      </c>
      <c r="B2563" t="s">
        <v>4576</v>
      </c>
      <c r="C2563" t="s">
        <v>4577</v>
      </c>
      <c r="D2563" t="s">
        <v>340</v>
      </c>
      <c r="E2563" t="s">
        <v>4580</v>
      </c>
      <c r="F2563" s="3">
        <v>191220</v>
      </c>
      <c r="G2563" s="2">
        <f t="shared" si="80"/>
        <v>1</v>
      </c>
      <c r="H2563" s="2">
        <f t="shared" ca="1" si="81"/>
        <v>74</v>
      </c>
      <c r="I2563" s="4">
        <v>46046</v>
      </c>
      <c r="J2563" s="4">
        <v>46047</v>
      </c>
      <c r="K2563" t="s">
        <v>1233</v>
      </c>
      <c r="L2563" t="s">
        <v>317</v>
      </c>
      <c r="M2563" t="s">
        <v>19</v>
      </c>
      <c r="N2563" t="s">
        <v>4579</v>
      </c>
      <c r="O2563">
        <v>30</v>
      </c>
    </row>
    <row r="2564" spans="1:15" hidden="1" x14ac:dyDescent="0.25">
      <c r="A2564" t="s">
        <v>2820</v>
      </c>
      <c r="B2564" t="s">
        <v>205</v>
      </c>
      <c r="C2564" t="s">
        <v>206</v>
      </c>
      <c r="D2564" t="s">
        <v>15</v>
      </c>
      <c r="E2564" t="s">
        <v>4581</v>
      </c>
      <c r="F2564" s="3">
        <v>230053</v>
      </c>
      <c r="G2564" s="2">
        <f t="shared" si="80"/>
        <v>1</v>
      </c>
      <c r="H2564" s="2">
        <f t="shared" ca="1" si="81"/>
        <v>74</v>
      </c>
      <c r="I2564" s="4">
        <v>46046</v>
      </c>
      <c r="J2564" s="4">
        <v>46047</v>
      </c>
      <c r="K2564" t="s">
        <v>1233</v>
      </c>
      <c r="L2564" t="s">
        <v>317</v>
      </c>
      <c r="M2564" t="s">
        <v>19</v>
      </c>
      <c r="N2564" t="s">
        <v>149</v>
      </c>
      <c r="O2564">
        <v>1</v>
      </c>
    </row>
    <row r="2565" spans="1:15" hidden="1" x14ac:dyDescent="0.25">
      <c r="A2565" t="s">
        <v>2820</v>
      </c>
      <c r="B2565" t="s">
        <v>205</v>
      </c>
      <c r="C2565" t="s">
        <v>206</v>
      </c>
      <c r="D2565" t="s">
        <v>15</v>
      </c>
      <c r="E2565" t="s">
        <v>4582</v>
      </c>
      <c r="F2565" s="3">
        <v>79723</v>
      </c>
      <c r="G2565" s="2">
        <f t="shared" si="80"/>
        <v>1</v>
      </c>
      <c r="H2565" s="2">
        <f t="shared" ca="1" si="81"/>
        <v>74</v>
      </c>
      <c r="I2565" s="4">
        <v>46046</v>
      </c>
      <c r="J2565" s="4">
        <v>46047</v>
      </c>
      <c r="K2565" t="s">
        <v>1233</v>
      </c>
      <c r="L2565" t="s">
        <v>317</v>
      </c>
      <c r="M2565" t="s">
        <v>19</v>
      </c>
      <c r="N2565" t="s">
        <v>149</v>
      </c>
      <c r="O2565">
        <v>1</v>
      </c>
    </row>
    <row r="2566" spans="1:15" hidden="1" x14ac:dyDescent="0.25">
      <c r="A2566" t="s">
        <v>2820</v>
      </c>
      <c r="B2566" t="s">
        <v>4583</v>
      </c>
      <c r="C2566" t="s">
        <v>4584</v>
      </c>
      <c r="D2566" t="s">
        <v>340</v>
      </c>
      <c r="E2566" t="s">
        <v>4585</v>
      </c>
      <c r="F2566" s="3">
        <v>155654</v>
      </c>
      <c r="G2566" s="2">
        <f t="shared" si="80"/>
        <v>1</v>
      </c>
      <c r="H2566" s="2">
        <f t="shared" ca="1" si="81"/>
        <v>74</v>
      </c>
      <c r="I2566" s="4">
        <v>46046</v>
      </c>
      <c r="J2566" s="4">
        <v>46047</v>
      </c>
      <c r="K2566" t="s">
        <v>1233</v>
      </c>
      <c r="L2566" t="s">
        <v>317</v>
      </c>
      <c r="M2566" t="s">
        <v>19</v>
      </c>
      <c r="N2566" t="s">
        <v>4586</v>
      </c>
      <c r="O2566">
        <v>1</v>
      </c>
    </row>
    <row r="2567" spans="1:15" hidden="1" x14ac:dyDescent="0.25">
      <c r="A2567" t="s">
        <v>2820</v>
      </c>
      <c r="B2567" t="s">
        <v>4587</v>
      </c>
      <c r="C2567" t="s">
        <v>4588</v>
      </c>
      <c r="D2567" t="s">
        <v>340</v>
      </c>
      <c r="E2567" t="s">
        <v>4589</v>
      </c>
      <c r="F2567" s="3">
        <v>344404</v>
      </c>
      <c r="G2567" s="2">
        <f t="shared" si="80"/>
        <v>1</v>
      </c>
      <c r="H2567" s="2">
        <f t="shared" ca="1" si="81"/>
        <v>74</v>
      </c>
      <c r="I2567" s="4">
        <v>46046</v>
      </c>
      <c r="J2567" s="4">
        <v>46047</v>
      </c>
      <c r="K2567" t="s">
        <v>1233</v>
      </c>
      <c r="L2567" t="s">
        <v>317</v>
      </c>
      <c r="M2567" t="s">
        <v>19</v>
      </c>
      <c r="N2567" t="s">
        <v>4590</v>
      </c>
      <c r="O2567">
        <v>1</v>
      </c>
    </row>
    <row r="2568" spans="1:15" hidden="1" x14ac:dyDescent="0.25">
      <c r="A2568" t="s">
        <v>2820</v>
      </c>
      <c r="B2568" t="s">
        <v>1244</v>
      </c>
      <c r="C2568" t="s">
        <v>1245</v>
      </c>
      <c r="D2568" t="s">
        <v>1242</v>
      </c>
      <c r="E2568" t="s">
        <v>4591</v>
      </c>
      <c r="F2568" s="3">
        <v>916699</v>
      </c>
      <c r="G2568" s="2">
        <f t="shared" si="80"/>
        <v>30</v>
      </c>
      <c r="H2568" s="2">
        <f t="shared" ca="1" si="81"/>
        <v>74</v>
      </c>
      <c r="I2568" s="4">
        <v>46046</v>
      </c>
      <c r="J2568" s="4">
        <v>46076</v>
      </c>
      <c r="K2568" t="s">
        <v>1243</v>
      </c>
      <c r="L2568" t="s">
        <v>207</v>
      </c>
      <c r="M2568" t="s">
        <v>19</v>
      </c>
      <c r="N2568" t="s">
        <v>1246</v>
      </c>
      <c r="O2568">
        <v>30</v>
      </c>
    </row>
    <row r="2569" spans="1:15" hidden="1" x14ac:dyDescent="0.25">
      <c r="A2569" t="s">
        <v>2820</v>
      </c>
      <c r="B2569" t="s">
        <v>1925</v>
      </c>
      <c r="C2569" t="s">
        <v>1926</v>
      </c>
      <c r="D2569" t="s">
        <v>1242</v>
      </c>
      <c r="E2569" t="s">
        <v>4592</v>
      </c>
      <c r="F2569" s="3">
        <v>850000</v>
      </c>
      <c r="G2569" s="2">
        <f t="shared" si="80"/>
        <v>30</v>
      </c>
      <c r="H2569" s="2">
        <f t="shared" ca="1" si="81"/>
        <v>74</v>
      </c>
      <c r="I2569" s="4">
        <v>46046</v>
      </c>
      <c r="J2569" s="4">
        <v>46076</v>
      </c>
      <c r="K2569" t="s">
        <v>1243</v>
      </c>
      <c r="L2569" t="s">
        <v>207</v>
      </c>
      <c r="M2569" t="s">
        <v>19</v>
      </c>
      <c r="N2569" t="s">
        <v>1927</v>
      </c>
      <c r="O2569">
        <v>30</v>
      </c>
    </row>
    <row r="2570" spans="1:15" hidden="1" x14ac:dyDescent="0.25">
      <c r="A2570" t="s">
        <v>2820</v>
      </c>
      <c r="B2570" t="s">
        <v>1254</v>
      </c>
      <c r="C2570" t="s">
        <v>1255</v>
      </c>
      <c r="D2570" t="s">
        <v>1250</v>
      </c>
      <c r="E2570" t="s">
        <v>4593</v>
      </c>
      <c r="F2570" s="3">
        <v>302451</v>
      </c>
      <c r="G2570" s="2">
        <f t="shared" si="80"/>
        <v>15</v>
      </c>
      <c r="H2570" s="2">
        <f t="shared" ca="1" si="81"/>
        <v>74</v>
      </c>
      <c r="I2570" s="4">
        <v>46046</v>
      </c>
      <c r="J2570" s="4">
        <v>46061</v>
      </c>
      <c r="K2570" t="s">
        <v>1243</v>
      </c>
      <c r="L2570" t="s">
        <v>207</v>
      </c>
      <c r="M2570" t="s">
        <v>19</v>
      </c>
      <c r="N2570" t="s">
        <v>1256</v>
      </c>
      <c r="O2570">
        <v>15</v>
      </c>
    </row>
    <row r="2571" spans="1:15" hidden="1" x14ac:dyDescent="0.25">
      <c r="A2571" t="s">
        <v>2820</v>
      </c>
      <c r="B2571" t="s">
        <v>4594</v>
      </c>
      <c r="C2571" t="s">
        <v>4595</v>
      </c>
      <c r="D2571" t="s">
        <v>1250</v>
      </c>
      <c r="E2571" t="s">
        <v>4596</v>
      </c>
      <c r="F2571" s="3">
        <v>840000</v>
      </c>
      <c r="G2571" s="2">
        <f t="shared" si="80"/>
        <v>8</v>
      </c>
      <c r="H2571" s="2">
        <f t="shared" ca="1" si="81"/>
        <v>74</v>
      </c>
      <c r="I2571" s="4">
        <v>46046</v>
      </c>
      <c r="J2571" s="4">
        <v>46054</v>
      </c>
      <c r="K2571" t="s">
        <v>1243</v>
      </c>
      <c r="L2571" t="s">
        <v>207</v>
      </c>
      <c r="M2571" t="s">
        <v>19</v>
      </c>
      <c r="N2571" t="s">
        <v>4597</v>
      </c>
      <c r="O2571">
        <v>15</v>
      </c>
    </row>
    <row r="2572" spans="1:15" hidden="1" x14ac:dyDescent="0.25">
      <c r="A2572" t="s">
        <v>2820</v>
      </c>
      <c r="B2572" t="s">
        <v>3632</v>
      </c>
      <c r="C2572" t="s">
        <v>3633</v>
      </c>
      <c r="D2572" t="s">
        <v>1250</v>
      </c>
      <c r="E2572" t="s">
        <v>4598</v>
      </c>
      <c r="F2572" s="3">
        <v>495587</v>
      </c>
      <c r="G2572" s="2">
        <f t="shared" si="80"/>
        <v>1</v>
      </c>
      <c r="H2572" s="2">
        <f t="shared" ca="1" si="81"/>
        <v>74</v>
      </c>
      <c r="I2572" s="4">
        <v>46046</v>
      </c>
      <c r="J2572" s="4">
        <v>46047</v>
      </c>
      <c r="K2572" t="s">
        <v>1243</v>
      </c>
      <c r="L2572" t="s">
        <v>207</v>
      </c>
      <c r="M2572" t="s">
        <v>19</v>
      </c>
      <c r="N2572" t="s">
        <v>3634</v>
      </c>
      <c r="O2572">
        <v>1</v>
      </c>
    </row>
    <row r="2573" spans="1:15" hidden="1" x14ac:dyDescent="0.25">
      <c r="A2573" t="s">
        <v>2820</v>
      </c>
      <c r="B2573" t="s">
        <v>1247</v>
      </c>
      <c r="C2573" t="s">
        <v>1248</v>
      </c>
      <c r="D2573" t="s">
        <v>1242</v>
      </c>
      <c r="E2573" t="s">
        <v>4599</v>
      </c>
      <c r="F2573" s="3">
        <v>100000</v>
      </c>
      <c r="G2573" s="2">
        <f t="shared" si="80"/>
        <v>30</v>
      </c>
      <c r="H2573" s="2">
        <f t="shared" ca="1" si="81"/>
        <v>74</v>
      </c>
      <c r="I2573" s="4">
        <v>46046</v>
      </c>
      <c r="J2573" s="4">
        <v>46076</v>
      </c>
      <c r="K2573" t="s">
        <v>1243</v>
      </c>
      <c r="L2573" t="s">
        <v>207</v>
      </c>
      <c r="M2573" t="s">
        <v>19</v>
      </c>
      <c r="N2573" t="s">
        <v>1249</v>
      </c>
      <c r="O2573">
        <v>30</v>
      </c>
    </row>
    <row r="2574" spans="1:15" hidden="1" x14ac:dyDescent="0.25">
      <c r="A2574" t="s">
        <v>2820</v>
      </c>
      <c r="B2574" t="s">
        <v>4601</v>
      </c>
      <c r="C2574" t="s">
        <v>4602</v>
      </c>
      <c r="D2574" t="s">
        <v>4603</v>
      </c>
      <c r="E2574" t="s">
        <v>4604</v>
      </c>
      <c r="F2574" s="3">
        <v>420000</v>
      </c>
      <c r="G2574" s="2">
        <f t="shared" si="80"/>
        <v>1</v>
      </c>
      <c r="H2574" s="2">
        <f t="shared" ca="1" si="81"/>
        <v>74</v>
      </c>
      <c r="I2574" s="4">
        <v>46046</v>
      </c>
      <c r="J2574" s="4">
        <v>46047</v>
      </c>
      <c r="K2574" t="s">
        <v>4605</v>
      </c>
      <c r="L2574" t="s">
        <v>317</v>
      </c>
      <c r="M2574" t="s">
        <v>19</v>
      </c>
      <c r="N2574" t="s">
        <v>4606</v>
      </c>
      <c r="O2574">
        <v>30</v>
      </c>
    </row>
    <row r="2575" spans="1:15" hidden="1" x14ac:dyDescent="0.25">
      <c r="A2575" t="s">
        <v>2820</v>
      </c>
      <c r="B2575" t="s">
        <v>4601</v>
      </c>
      <c r="C2575" t="s">
        <v>4602</v>
      </c>
      <c r="D2575" t="s">
        <v>4603</v>
      </c>
      <c r="E2575" t="s">
        <v>4607</v>
      </c>
      <c r="F2575" s="3">
        <v>83000</v>
      </c>
      <c r="G2575" s="2">
        <f t="shared" si="80"/>
        <v>1</v>
      </c>
      <c r="H2575" s="2">
        <f t="shared" ca="1" si="81"/>
        <v>74</v>
      </c>
      <c r="I2575" s="4">
        <v>46046</v>
      </c>
      <c r="J2575" s="4">
        <v>46047</v>
      </c>
      <c r="K2575" t="s">
        <v>4605</v>
      </c>
      <c r="L2575" t="s">
        <v>317</v>
      </c>
      <c r="M2575" t="s">
        <v>19</v>
      </c>
      <c r="N2575" t="s">
        <v>4606</v>
      </c>
      <c r="O2575">
        <v>30</v>
      </c>
    </row>
    <row r="2576" spans="1:15" hidden="1" x14ac:dyDescent="0.25">
      <c r="A2576" t="s">
        <v>2820</v>
      </c>
      <c r="B2576" t="s">
        <v>205</v>
      </c>
      <c r="C2576" t="s">
        <v>206</v>
      </c>
      <c r="D2576" t="s">
        <v>15</v>
      </c>
      <c r="E2576" t="s">
        <v>4608</v>
      </c>
      <c r="F2576" s="3">
        <v>127361</v>
      </c>
      <c r="G2576" s="2">
        <f t="shared" si="80"/>
        <v>1</v>
      </c>
      <c r="H2576" s="2">
        <f t="shared" ca="1" si="81"/>
        <v>74</v>
      </c>
      <c r="I2576" s="4">
        <v>46046</v>
      </c>
      <c r="J2576" s="4">
        <v>46047</v>
      </c>
      <c r="K2576" t="s">
        <v>4605</v>
      </c>
      <c r="L2576" t="s">
        <v>317</v>
      </c>
      <c r="M2576" t="s">
        <v>19</v>
      </c>
      <c r="N2576" t="s">
        <v>149</v>
      </c>
      <c r="O2576">
        <v>1</v>
      </c>
    </row>
    <row r="2577" spans="1:15" hidden="1" x14ac:dyDescent="0.25">
      <c r="A2577" t="s">
        <v>2820</v>
      </c>
      <c r="B2577" t="s">
        <v>1297</v>
      </c>
      <c r="C2577" t="s">
        <v>1298</v>
      </c>
      <c r="D2577" t="s">
        <v>1299</v>
      </c>
      <c r="E2577" t="s">
        <v>4609</v>
      </c>
      <c r="F2577" s="3">
        <v>26840</v>
      </c>
      <c r="G2577" s="2">
        <f t="shared" si="80"/>
        <v>19</v>
      </c>
      <c r="H2577" s="2">
        <f t="shared" ca="1" si="81"/>
        <v>74</v>
      </c>
      <c r="I2577" s="4">
        <v>46046</v>
      </c>
      <c r="J2577" s="4">
        <v>46065</v>
      </c>
      <c r="K2577" t="s">
        <v>1300</v>
      </c>
      <c r="L2577" t="s">
        <v>90</v>
      </c>
      <c r="M2577" t="s">
        <v>19</v>
      </c>
      <c r="N2577" t="s">
        <v>1301</v>
      </c>
      <c r="O2577">
        <v>30</v>
      </c>
    </row>
    <row r="2578" spans="1:15" hidden="1" x14ac:dyDescent="0.25">
      <c r="A2578" t="s">
        <v>2820</v>
      </c>
      <c r="B2578" t="s">
        <v>380</v>
      </c>
      <c r="C2578" t="s">
        <v>381</v>
      </c>
      <c r="D2578" t="s">
        <v>382</v>
      </c>
      <c r="E2578" t="s">
        <v>4610</v>
      </c>
      <c r="F2578" s="3">
        <v>5055000</v>
      </c>
      <c r="G2578" s="2">
        <f t="shared" si="80"/>
        <v>30</v>
      </c>
      <c r="H2578" s="2">
        <f t="shared" ca="1" si="81"/>
        <v>74</v>
      </c>
      <c r="I2578" s="4">
        <v>46046</v>
      </c>
      <c r="J2578" s="4">
        <v>46076</v>
      </c>
      <c r="K2578" t="s">
        <v>1325</v>
      </c>
      <c r="L2578" t="s">
        <v>90</v>
      </c>
      <c r="M2578" t="s">
        <v>19</v>
      </c>
      <c r="N2578" t="s">
        <v>383</v>
      </c>
      <c r="O2578">
        <v>30</v>
      </c>
    </row>
    <row r="2579" spans="1:15" hidden="1" x14ac:dyDescent="0.25">
      <c r="A2579" t="s">
        <v>2820</v>
      </c>
      <c r="B2579" t="s">
        <v>1364</v>
      </c>
      <c r="C2579" t="s">
        <v>1365</v>
      </c>
      <c r="D2579" t="s">
        <v>1323</v>
      </c>
      <c r="E2579" t="s">
        <v>4611</v>
      </c>
      <c r="F2579" s="3">
        <v>9348000</v>
      </c>
      <c r="G2579" s="2">
        <f t="shared" si="80"/>
        <v>30</v>
      </c>
      <c r="H2579" s="2">
        <f t="shared" ca="1" si="81"/>
        <v>74</v>
      </c>
      <c r="I2579" s="4">
        <v>46046</v>
      </c>
      <c r="J2579" s="4">
        <v>46076</v>
      </c>
      <c r="K2579" t="s">
        <v>1325</v>
      </c>
      <c r="L2579" t="s">
        <v>90</v>
      </c>
      <c r="M2579" t="s">
        <v>19</v>
      </c>
      <c r="N2579" t="s">
        <v>1366</v>
      </c>
      <c r="O2579">
        <v>30</v>
      </c>
    </row>
    <row r="2580" spans="1:15" hidden="1" x14ac:dyDescent="0.25">
      <c r="A2580" t="s">
        <v>2820</v>
      </c>
      <c r="B2580" t="s">
        <v>1357</v>
      </c>
      <c r="C2580" t="s">
        <v>1358</v>
      </c>
      <c r="D2580" t="s">
        <v>1359</v>
      </c>
      <c r="E2580" t="s">
        <v>4612</v>
      </c>
      <c r="F2580" s="3">
        <v>4928400</v>
      </c>
      <c r="G2580" s="2">
        <f t="shared" si="80"/>
        <v>30</v>
      </c>
      <c r="H2580" s="2">
        <f t="shared" ca="1" si="81"/>
        <v>74</v>
      </c>
      <c r="I2580" s="4">
        <v>46046</v>
      </c>
      <c r="J2580" s="4">
        <v>46076</v>
      </c>
      <c r="K2580" t="s">
        <v>1325</v>
      </c>
      <c r="L2580" t="s">
        <v>90</v>
      </c>
      <c r="M2580" t="s">
        <v>19</v>
      </c>
      <c r="N2580" t="s">
        <v>1360</v>
      </c>
      <c r="O2580">
        <v>30</v>
      </c>
    </row>
    <row r="2581" spans="1:15" hidden="1" x14ac:dyDescent="0.25">
      <c r="A2581" t="s">
        <v>2820</v>
      </c>
      <c r="B2581" t="s">
        <v>1770</v>
      </c>
      <c r="C2581" t="s">
        <v>1771</v>
      </c>
      <c r="D2581" t="s">
        <v>331</v>
      </c>
      <c r="E2581" t="s">
        <v>4692</v>
      </c>
      <c r="F2581" s="3">
        <v>219174</v>
      </c>
      <c r="G2581" s="2">
        <f t="shared" si="80"/>
        <v>15</v>
      </c>
      <c r="H2581" s="2">
        <f t="shared" ca="1" si="81"/>
        <v>74</v>
      </c>
      <c r="I2581" s="4">
        <v>46046</v>
      </c>
      <c r="J2581" s="4">
        <v>46061</v>
      </c>
      <c r="K2581" t="s">
        <v>1758</v>
      </c>
      <c r="L2581" t="s">
        <v>317</v>
      </c>
      <c r="M2581" t="s">
        <v>19</v>
      </c>
      <c r="N2581" t="s">
        <v>1772</v>
      </c>
      <c r="O2581">
        <v>30</v>
      </c>
    </row>
    <row r="2582" spans="1:15" hidden="1" x14ac:dyDescent="0.25">
      <c r="A2582" t="s">
        <v>2820</v>
      </c>
      <c r="B2582" t="s">
        <v>4693</v>
      </c>
      <c r="C2582" t="s">
        <v>4694</v>
      </c>
      <c r="D2582" t="s">
        <v>331</v>
      </c>
      <c r="E2582" t="s">
        <v>4695</v>
      </c>
      <c r="F2582" s="3">
        <v>213999</v>
      </c>
      <c r="G2582" s="2">
        <f t="shared" si="80"/>
        <v>1</v>
      </c>
      <c r="H2582" s="2">
        <f t="shared" ca="1" si="81"/>
        <v>74</v>
      </c>
      <c r="I2582" s="4">
        <v>46046</v>
      </c>
      <c r="J2582" s="4">
        <v>46047</v>
      </c>
      <c r="K2582" t="s">
        <v>1758</v>
      </c>
      <c r="L2582" t="s">
        <v>317</v>
      </c>
      <c r="M2582" t="s">
        <v>19</v>
      </c>
      <c r="N2582" t="s">
        <v>4696</v>
      </c>
      <c r="O2582">
        <v>30</v>
      </c>
    </row>
    <row r="2583" spans="1:15" hidden="1" x14ac:dyDescent="0.25">
      <c r="A2583" t="s">
        <v>2820</v>
      </c>
      <c r="B2583" t="s">
        <v>4697</v>
      </c>
      <c r="C2583" t="s">
        <v>4698</v>
      </c>
      <c r="D2583" t="s">
        <v>331</v>
      </c>
      <c r="E2583" t="s">
        <v>4699</v>
      </c>
      <c r="F2583" s="3">
        <v>32249</v>
      </c>
      <c r="G2583" s="2">
        <f t="shared" si="80"/>
        <v>1</v>
      </c>
      <c r="H2583" s="2">
        <f t="shared" ca="1" si="81"/>
        <v>74</v>
      </c>
      <c r="I2583" s="4">
        <v>46046</v>
      </c>
      <c r="J2583" s="4">
        <v>46047</v>
      </c>
      <c r="K2583" t="s">
        <v>1758</v>
      </c>
      <c r="L2583" t="s">
        <v>317</v>
      </c>
      <c r="M2583" t="s">
        <v>19</v>
      </c>
      <c r="N2583" t="s">
        <v>4700</v>
      </c>
      <c r="O2583">
        <v>1</v>
      </c>
    </row>
    <row r="2584" spans="1:15" hidden="1" x14ac:dyDescent="0.25">
      <c r="A2584" t="s">
        <v>2820</v>
      </c>
      <c r="B2584" t="s">
        <v>4697</v>
      </c>
      <c r="C2584" t="s">
        <v>4698</v>
      </c>
      <c r="D2584" t="s">
        <v>331</v>
      </c>
      <c r="E2584" t="s">
        <v>4701</v>
      </c>
      <c r="F2584" s="3">
        <v>42800</v>
      </c>
      <c r="G2584" s="2">
        <f t="shared" si="80"/>
        <v>1</v>
      </c>
      <c r="H2584" s="2">
        <f t="shared" ca="1" si="81"/>
        <v>74</v>
      </c>
      <c r="I2584" s="4">
        <v>46046</v>
      </c>
      <c r="J2584" s="4">
        <v>46047</v>
      </c>
      <c r="K2584" t="s">
        <v>1758</v>
      </c>
      <c r="L2584" t="s">
        <v>317</v>
      </c>
      <c r="M2584" t="s">
        <v>19</v>
      </c>
      <c r="N2584" t="s">
        <v>4700</v>
      </c>
      <c r="O2584">
        <v>1</v>
      </c>
    </row>
    <row r="2585" spans="1:15" hidden="1" x14ac:dyDescent="0.25">
      <c r="A2585" t="s">
        <v>2820</v>
      </c>
      <c r="B2585" t="s">
        <v>4702</v>
      </c>
      <c r="C2585" t="s">
        <v>4703</v>
      </c>
      <c r="D2585" t="s">
        <v>331</v>
      </c>
      <c r="E2585" t="s">
        <v>4704</v>
      </c>
      <c r="F2585" s="3">
        <v>128400</v>
      </c>
      <c r="G2585" s="2">
        <f t="shared" si="80"/>
        <v>1</v>
      </c>
      <c r="H2585" s="2">
        <f t="shared" ca="1" si="81"/>
        <v>74</v>
      </c>
      <c r="I2585" s="4">
        <v>46046</v>
      </c>
      <c r="J2585" s="4">
        <v>46047</v>
      </c>
      <c r="K2585" t="s">
        <v>1758</v>
      </c>
      <c r="L2585" t="s">
        <v>317</v>
      </c>
      <c r="M2585" t="s">
        <v>19</v>
      </c>
      <c r="N2585" t="s">
        <v>4705</v>
      </c>
      <c r="O2585">
        <v>1</v>
      </c>
    </row>
    <row r="2586" spans="1:15" hidden="1" x14ac:dyDescent="0.25">
      <c r="A2586" t="s">
        <v>2820</v>
      </c>
      <c r="B2586" t="s">
        <v>4706</v>
      </c>
      <c r="C2586" t="s">
        <v>4707</v>
      </c>
      <c r="D2586" t="s">
        <v>331</v>
      </c>
      <c r="E2586" t="s">
        <v>4708</v>
      </c>
      <c r="F2586" s="3">
        <v>420000</v>
      </c>
      <c r="G2586" s="2">
        <f t="shared" si="80"/>
        <v>1</v>
      </c>
      <c r="H2586" s="2">
        <f t="shared" ca="1" si="81"/>
        <v>74</v>
      </c>
      <c r="I2586" s="4">
        <v>46046</v>
      </c>
      <c r="J2586" s="4">
        <v>46047</v>
      </c>
      <c r="K2586" t="s">
        <v>1758</v>
      </c>
      <c r="L2586" t="s">
        <v>317</v>
      </c>
      <c r="M2586" t="s">
        <v>19</v>
      </c>
      <c r="N2586" t="s">
        <v>4709</v>
      </c>
      <c r="O2586">
        <v>1</v>
      </c>
    </row>
    <row r="2587" spans="1:15" hidden="1" x14ac:dyDescent="0.25">
      <c r="A2587" t="s">
        <v>2820</v>
      </c>
      <c r="B2587" t="s">
        <v>4706</v>
      </c>
      <c r="C2587" t="s">
        <v>4707</v>
      </c>
      <c r="D2587" t="s">
        <v>331</v>
      </c>
      <c r="E2587" t="s">
        <v>4710</v>
      </c>
      <c r="F2587" s="3">
        <v>187003</v>
      </c>
      <c r="G2587" s="2">
        <f t="shared" si="80"/>
        <v>1</v>
      </c>
      <c r="H2587" s="2">
        <f t="shared" ca="1" si="81"/>
        <v>74</v>
      </c>
      <c r="I2587" s="4">
        <v>46046</v>
      </c>
      <c r="J2587" s="4">
        <v>46047</v>
      </c>
      <c r="K2587" t="s">
        <v>1758</v>
      </c>
      <c r="L2587" t="s">
        <v>317</v>
      </c>
      <c r="M2587" t="s">
        <v>19</v>
      </c>
      <c r="N2587" t="s">
        <v>4709</v>
      </c>
      <c r="O2587">
        <v>1</v>
      </c>
    </row>
    <row r="2588" spans="1:15" hidden="1" x14ac:dyDescent="0.25">
      <c r="A2588" t="s">
        <v>2820</v>
      </c>
      <c r="B2588" t="s">
        <v>4687</v>
      </c>
      <c r="C2588" t="s">
        <v>4688</v>
      </c>
      <c r="D2588" t="s">
        <v>1762</v>
      </c>
      <c r="E2588" t="s">
        <v>4711</v>
      </c>
      <c r="F2588" s="3">
        <v>123001</v>
      </c>
      <c r="G2588" s="2">
        <f t="shared" si="80"/>
        <v>1</v>
      </c>
      <c r="H2588" s="2">
        <f t="shared" ca="1" si="81"/>
        <v>74</v>
      </c>
      <c r="I2588" s="4">
        <v>46046</v>
      </c>
      <c r="J2588" s="4">
        <v>46047</v>
      </c>
      <c r="K2588" t="s">
        <v>1758</v>
      </c>
      <c r="L2588" t="s">
        <v>317</v>
      </c>
      <c r="M2588" t="s">
        <v>19</v>
      </c>
      <c r="N2588" t="s">
        <v>4689</v>
      </c>
      <c r="O2588">
        <v>1</v>
      </c>
    </row>
    <row r="2589" spans="1:15" hidden="1" x14ac:dyDescent="0.25">
      <c r="A2589" t="s">
        <v>2820</v>
      </c>
      <c r="B2589" t="s">
        <v>329</v>
      </c>
      <c r="C2589" t="s">
        <v>330</v>
      </c>
      <c r="D2589" t="s">
        <v>331</v>
      </c>
      <c r="E2589" t="s">
        <v>4712</v>
      </c>
      <c r="F2589" s="3">
        <v>616087</v>
      </c>
      <c r="G2589" s="2">
        <f t="shared" si="80"/>
        <v>15</v>
      </c>
      <c r="H2589" s="2">
        <f t="shared" ca="1" si="81"/>
        <v>74</v>
      </c>
      <c r="I2589" s="4">
        <v>46046</v>
      </c>
      <c r="J2589" s="4">
        <v>46061</v>
      </c>
      <c r="K2589" t="s">
        <v>1758</v>
      </c>
      <c r="L2589" t="s">
        <v>317</v>
      </c>
      <c r="M2589" t="s">
        <v>19</v>
      </c>
      <c r="N2589" t="s">
        <v>332</v>
      </c>
      <c r="O2589">
        <v>15</v>
      </c>
    </row>
    <row r="2590" spans="1:15" hidden="1" x14ac:dyDescent="0.25">
      <c r="A2590" t="s">
        <v>2820</v>
      </c>
      <c r="B2590" t="s">
        <v>1845</v>
      </c>
      <c r="C2590" t="s">
        <v>1846</v>
      </c>
      <c r="D2590" t="s">
        <v>1847</v>
      </c>
      <c r="E2590" t="s">
        <v>4717</v>
      </c>
      <c r="F2590" s="3">
        <v>4077334</v>
      </c>
      <c r="G2590" s="2">
        <f t="shared" si="80"/>
        <v>30</v>
      </c>
      <c r="H2590" s="2">
        <f t="shared" ca="1" si="81"/>
        <v>74</v>
      </c>
      <c r="I2590" s="4">
        <v>46046</v>
      </c>
      <c r="J2590" s="4">
        <v>46076</v>
      </c>
      <c r="K2590" t="s">
        <v>1859</v>
      </c>
      <c r="L2590" t="s">
        <v>981</v>
      </c>
      <c r="M2590" t="s">
        <v>19</v>
      </c>
      <c r="N2590" t="s">
        <v>1848</v>
      </c>
      <c r="O2590">
        <v>30</v>
      </c>
    </row>
    <row r="2591" spans="1:15" hidden="1" x14ac:dyDescent="0.25">
      <c r="A2591" t="s">
        <v>2820</v>
      </c>
      <c r="B2591" t="s">
        <v>1845</v>
      </c>
      <c r="C2591" t="s">
        <v>1846</v>
      </c>
      <c r="D2591" t="s">
        <v>1847</v>
      </c>
      <c r="E2591" t="s">
        <v>4721</v>
      </c>
      <c r="F2591" s="3">
        <v>3345381</v>
      </c>
      <c r="G2591" s="2">
        <f t="shared" si="80"/>
        <v>30</v>
      </c>
      <c r="H2591" s="2">
        <f t="shared" ca="1" si="81"/>
        <v>74</v>
      </c>
      <c r="I2591" s="4">
        <v>46046</v>
      </c>
      <c r="J2591" s="4">
        <v>46076</v>
      </c>
      <c r="K2591" t="s">
        <v>1875</v>
      </c>
      <c r="L2591" t="s">
        <v>981</v>
      </c>
      <c r="M2591" t="s">
        <v>19</v>
      </c>
      <c r="N2591" t="s">
        <v>1848</v>
      </c>
      <c r="O2591">
        <v>30</v>
      </c>
    </row>
    <row r="2592" spans="1:15" hidden="1" x14ac:dyDescent="0.25">
      <c r="A2592" t="s">
        <v>2820</v>
      </c>
      <c r="B2592" t="s">
        <v>1845</v>
      </c>
      <c r="C2592" t="s">
        <v>1846</v>
      </c>
      <c r="D2592" t="s">
        <v>1847</v>
      </c>
      <c r="E2592" t="s">
        <v>4722</v>
      </c>
      <c r="F2592" s="3">
        <v>6533118</v>
      </c>
      <c r="G2592" s="2">
        <f t="shared" si="80"/>
        <v>30</v>
      </c>
      <c r="H2592" s="2">
        <f t="shared" ca="1" si="81"/>
        <v>74</v>
      </c>
      <c r="I2592" s="4">
        <v>46046</v>
      </c>
      <c r="J2592" s="4">
        <v>46076</v>
      </c>
      <c r="K2592" t="s">
        <v>1875</v>
      </c>
      <c r="L2592" t="s">
        <v>981</v>
      </c>
      <c r="M2592" t="s">
        <v>19</v>
      </c>
      <c r="N2592" t="s">
        <v>1848</v>
      </c>
      <c r="O2592">
        <v>30</v>
      </c>
    </row>
    <row r="2593" spans="1:15" hidden="1" x14ac:dyDescent="0.25">
      <c r="A2593" t="s">
        <v>2820</v>
      </c>
      <c r="B2593" t="s">
        <v>1845</v>
      </c>
      <c r="C2593" t="s">
        <v>1846</v>
      </c>
      <c r="D2593" t="s">
        <v>1847</v>
      </c>
      <c r="E2593" t="s">
        <v>4723</v>
      </c>
      <c r="F2593" s="3">
        <v>2587381</v>
      </c>
      <c r="G2593" s="2">
        <f t="shared" si="80"/>
        <v>30</v>
      </c>
      <c r="H2593" s="2">
        <f t="shared" ca="1" si="81"/>
        <v>74</v>
      </c>
      <c r="I2593" s="4">
        <v>46046</v>
      </c>
      <c r="J2593" s="4">
        <v>46076</v>
      </c>
      <c r="K2593" t="s">
        <v>1875</v>
      </c>
      <c r="L2593" t="s">
        <v>981</v>
      </c>
      <c r="M2593" t="s">
        <v>19</v>
      </c>
      <c r="N2593" t="s">
        <v>1848</v>
      </c>
      <c r="O2593">
        <v>30</v>
      </c>
    </row>
    <row r="2594" spans="1:15" hidden="1" x14ac:dyDescent="0.25">
      <c r="A2594" t="s">
        <v>2820</v>
      </c>
      <c r="B2594" t="s">
        <v>1845</v>
      </c>
      <c r="C2594" t="s">
        <v>1846</v>
      </c>
      <c r="D2594" t="s">
        <v>1847</v>
      </c>
      <c r="E2594" t="s">
        <v>4724</v>
      </c>
      <c r="F2594" s="3">
        <v>345774</v>
      </c>
      <c r="G2594" s="2">
        <f t="shared" si="80"/>
        <v>30</v>
      </c>
      <c r="H2594" s="2">
        <f t="shared" ca="1" si="81"/>
        <v>74</v>
      </c>
      <c r="I2594" s="4">
        <v>46046</v>
      </c>
      <c r="J2594" s="4">
        <v>46076</v>
      </c>
      <c r="K2594" t="s">
        <v>1875</v>
      </c>
      <c r="L2594" t="s">
        <v>981</v>
      </c>
      <c r="M2594" t="s">
        <v>19</v>
      </c>
      <c r="N2594" t="s">
        <v>1848</v>
      </c>
      <c r="O2594">
        <v>30</v>
      </c>
    </row>
    <row r="2595" spans="1:15" hidden="1" x14ac:dyDescent="0.25">
      <c r="A2595" t="s">
        <v>2820</v>
      </c>
      <c r="B2595" t="s">
        <v>82</v>
      </c>
      <c r="C2595" t="s">
        <v>83</v>
      </c>
      <c r="D2595" t="s">
        <v>15</v>
      </c>
      <c r="E2595" t="s">
        <v>4252</v>
      </c>
      <c r="F2595" s="3">
        <v>1249193</v>
      </c>
      <c r="G2595" s="2">
        <f t="shared" si="80"/>
        <v>30</v>
      </c>
      <c r="H2595" s="2">
        <f t="shared" ca="1" si="81"/>
        <v>72</v>
      </c>
      <c r="I2595" s="4">
        <v>46048</v>
      </c>
      <c r="J2595" s="4">
        <v>46078</v>
      </c>
      <c r="K2595" t="s">
        <v>17</v>
      </c>
      <c r="L2595" t="s">
        <v>32</v>
      </c>
      <c r="M2595" t="s">
        <v>19</v>
      </c>
      <c r="N2595" t="s">
        <v>84</v>
      </c>
      <c r="O2595">
        <v>30</v>
      </c>
    </row>
    <row r="2596" spans="1:15" hidden="1" x14ac:dyDescent="0.25">
      <c r="A2596" t="s">
        <v>2820</v>
      </c>
      <c r="B2596" t="s">
        <v>82</v>
      </c>
      <c r="C2596" t="s">
        <v>83</v>
      </c>
      <c r="D2596" t="s">
        <v>15</v>
      </c>
      <c r="E2596" t="s">
        <v>4253</v>
      </c>
      <c r="F2596" s="3">
        <v>1873790</v>
      </c>
      <c r="G2596" s="2">
        <f t="shared" si="80"/>
        <v>30</v>
      </c>
      <c r="H2596" s="2">
        <f t="shared" ca="1" si="81"/>
        <v>72</v>
      </c>
      <c r="I2596" s="4">
        <v>46048</v>
      </c>
      <c r="J2596" s="4">
        <v>46078</v>
      </c>
      <c r="K2596" t="s">
        <v>17</v>
      </c>
      <c r="L2596" t="s">
        <v>32</v>
      </c>
      <c r="M2596" t="s">
        <v>19</v>
      </c>
      <c r="N2596" t="s">
        <v>84</v>
      </c>
      <c r="O2596">
        <v>30</v>
      </c>
    </row>
    <row r="2597" spans="1:15" hidden="1" x14ac:dyDescent="0.25">
      <c r="A2597" t="s">
        <v>2820</v>
      </c>
      <c r="B2597" t="s">
        <v>76</v>
      </c>
      <c r="C2597" t="s">
        <v>77</v>
      </c>
      <c r="D2597" t="s">
        <v>46</v>
      </c>
      <c r="E2597" t="s">
        <v>4254</v>
      </c>
      <c r="F2597" s="3">
        <v>15840000</v>
      </c>
      <c r="G2597" s="2">
        <f t="shared" si="80"/>
        <v>30</v>
      </c>
      <c r="H2597" s="2">
        <f t="shared" ca="1" si="81"/>
        <v>72</v>
      </c>
      <c r="I2597" s="4">
        <v>46048</v>
      </c>
      <c r="J2597" s="4">
        <v>46078</v>
      </c>
      <c r="K2597" t="s">
        <v>17</v>
      </c>
      <c r="L2597" t="s">
        <v>32</v>
      </c>
      <c r="M2597" t="s">
        <v>19</v>
      </c>
      <c r="N2597" t="s">
        <v>78</v>
      </c>
      <c r="O2597">
        <v>30</v>
      </c>
    </row>
    <row r="2598" spans="1:15" hidden="1" x14ac:dyDescent="0.25">
      <c r="A2598" t="s">
        <v>2820</v>
      </c>
      <c r="B2598" t="s">
        <v>201</v>
      </c>
      <c r="C2598" t="s">
        <v>202</v>
      </c>
      <c r="D2598" t="s">
        <v>15</v>
      </c>
      <c r="E2598" t="s">
        <v>4255</v>
      </c>
      <c r="F2598" s="3">
        <v>355173</v>
      </c>
      <c r="G2598" s="2">
        <f t="shared" si="80"/>
        <v>1</v>
      </c>
      <c r="H2598" s="2">
        <f t="shared" ca="1" si="81"/>
        <v>72</v>
      </c>
      <c r="I2598" s="4">
        <v>46048</v>
      </c>
      <c r="J2598" s="4">
        <v>46049</v>
      </c>
      <c r="K2598" t="s">
        <v>17</v>
      </c>
      <c r="L2598" t="s">
        <v>18</v>
      </c>
      <c r="M2598" t="s">
        <v>19</v>
      </c>
      <c r="N2598" t="s">
        <v>203</v>
      </c>
      <c r="O2598">
        <v>30</v>
      </c>
    </row>
    <row r="2599" spans="1:15" hidden="1" x14ac:dyDescent="0.25">
      <c r="A2599" t="s">
        <v>2820</v>
      </c>
      <c r="B2599" t="s">
        <v>201</v>
      </c>
      <c r="C2599" t="s">
        <v>202</v>
      </c>
      <c r="D2599" t="s">
        <v>15</v>
      </c>
      <c r="E2599" t="s">
        <v>4256</v>
      </c>
      <c r="F2599" s="3">
        <v>3910004</v>
      </c>
      <c r="G2599" s="2">
        <f t="shared" si="80"/>
        <v>1</v>
      </c>
      <c r="H2599" s="2">
        <f t="shared" ca="1" si="81"/>
        <v>72</v>
      </c>
      <c r="I2599" s="4">
        <v>46048</v>
      </c>
      <c r="J2599" s="4">
        <v>46049</v>
      </c>
      <c r="K2599" t="s">
        <v>17</v>
      </c>
      <c r="L2599" t="s">
        <v>18</v>
      </c>
      <c r="M2599" t="s">
        <v>19</v>
      </c>
      <c r="N2599" t="s">
        <v>203</v>
      </c>
      <c r="O2599">
        <v>30</v>
      </c>
    </row>
    <row r="2600" spans="1:15" hidden="1" x14ac:dyDescent="0.25">
      <c r="A2600" t="s">
        <v>2820</v>
      </c>
      <c r="B2600" t="s">
        <v>4257</v>
      </c>
      <c r="C2600" t="s">
        <v>4258</v>
      </c>
      <c r="D2600" t="s">
        <v>46</v>
      </c>
      <c r="E2600" t="s">
        <v>4259</v>
      </c>
      <c r="F2600" s="3">
        <v>434380</v>
      </c>
      <c r="G2600" s="2">
        <f t="shared" si="80"/>
        <v>30</v>
      </c>
      <c r="H2600" s="2">
        <f t="shared" ca="1" si="81"/>
        <v>72</v>
      </c>
      <c r="I2600" s="4">
        <v>46048</v>
      </c>
      <c r="J2600" s="4">
        <v>46078</v>
      </c>
      <c r="K2600" t="s">
        <v>17</v>
      </c>
      <c r="L2600" t="s">
        <v>109</v>
      </c>
      <c r="M2600" t="s">
        <v>19</v>
      </c>
      <c r="N2600" t="s">
        <v>4260</v>
      </c>
      <c r="O2600">
        <v>30</v>
      </c>
    </row>
    <row r="2601" spans="1:15" hidden="1" x14ac:dyDescent="0.25">
      <c r="A2601" t="s">
        <v>2820</v>
      </c>
      <c r="B2601" t="s">
        <v>3273</v>
      </c>
      <c r="C2601" t="s">
        <v>3274</v>
      </c>
      <c r="D2601" t="s">
        <v>46</v>
      </c>
      <c r="E2601" t="s">
        <v>4261</v>
      </c>
      <c r="F2601" s="3">
        <v>4137000</v>
      </c>
      <c r="G2601" s="2">
        <f t="shared" si="80"/>
        <v>10</v>
      </c>
      <c r="H2601" s="2">
        <f t="shared" ca="1" si="81"/>
        <v>72</v>
      </c>
      <c r="I2601" s="4">
        <v>46048</v>
      </c>
      <c r="J2601" s="4">
        <v>46058</v>
      </c>
      <c r="K2601" t="s">
        <v>17</v>
      </c>
      <c r="L2601" t="s">
        <v>32</v>
      </c>
      <c r="M2601" t="s">
        <v>19</v>
      </c>
      <c r="N2601" t="s">
        <v>3275</v>
      </c>
      <c r="O2601">
        <v>30</v>
      </c>
    </row>
    <row r="2602" spans="1:15" hidden="1" x14ac:dyDescent="0.25">
      <c r="A2602" t="s">
        <v>2820</v>
      </c>
      <c r="B2602" t="s">
        <v>4257</v>
      </c>
      <c r="C2602" t="s">
        <v>4258</v>
      </c>
      <c r="D2602" t="s">
        <v>46</v>
      </c>
      <c r="E2602" t="s">
        <v>4262</v>
      </c>
      <c r="F2602" s="3">
        <v>35500</v>
      </c>
      <c r="G2602" s="2">
        <f t="shared" si="80"/>
        <v>30</v>
      </c>
      <c r="H2602" s="2">
        <f t="shared" ca="1" si="81"/>
        <v>72</v>
      </c>
      <c r="I2602" s="4">
        <v>46048</v>
      </c>
      <c r="J2602" s="4">
        <v>46078</v>
      </c>
      <c r="K2602" t="s">
        <v>17</v>
      </c>
      <c r="L2602" t="s">
        <v>109</v>
      </c>
      <c r="M2602" t="s">
        <v>19</v>
      </c>
      <c r="N2602" t="s">
        <v>4260</v>
      </c>
      <c r="O2602">
        <v>30</v>
      </c>
    </row>
    <row r="2603" spans="1:15" hidden="1" x14ac:dyDescent="0.25">
      <c r="A2603" t="s">
        <v>2820</v>
      </c>
      <c r="B2603" t="s">
        <v>3273</v>
      </c>
      <c r="C2603" t="s">
        <v>3274</v>
      </c>
      <c r="D2603" t="s">
        <v>46</v>
      </c>
      <c r="E2603" t="s">
        <v>4263</v>
      </c>
      <c r="F2603" s="3">
        <v>723267</v>
      </c>
      <c r="G2603" s="2">
        <f t="shared" si="80"/>
        <v>10</v>
      </c>
      <c r="H2603" s="2">
        <f t="shared" ca="1" si="81"/>
        <v>72</v>
      </c>
      <c r="I2603" s="4">
        <v>46048</v>
      </c>
      <c r="J2603" s="4">
        <v>46058</v>
      </c>
      <c r="K2603" t="s">
        <v>17</v>
      </c>
      <c r="L2603" t="s">
        <v>32</v>
      </c>
      <c r="M2603" t="s">
        <v>19</v>
      </c>
      <c r="N2603" t="s">
        <v>3275</v>
      </c>
      <c r="O2603">
        <v>30</v>
      </c>
    </row>
    <row r="2604" spans="1:15" hidden="1" x14ac:dyDescent="0.25">
      <c r="A2604" t="s">
        <v>2820</v>
      </c>
      <c r="B2604" t="s">
        <v>205</v>
      </c>
      <c r="C2604" t="s">
        <v>206</v>
      </c>
      <c r="D2604" t="s">
        <v>15</v>
      </c>
      <c r="E2604" t="s">
        <v>4264</v>
      </c>
      <c r="F2604" s="3">
        <v>70000</v>
      </c>
      <c r="G2604" s="2">
        <f t="shared" si="80"/>
        <v>1</v>
      </c>
      <c r="H2604" s="2">
        <f t="shared" ca="1" si="81"/>
        <v>72</v>
      </c>
      <c r="I2604" s="4">
        <v>46048</v>
      </c>
      <c r="J2604" s="4">
        <v>46049</v>
      </c>
      <c r="K2604" t="s">
        <v>17</v>
      </c>
      <c r="L2604" t="s">
        <v>109</v>
      </c>
      <c r="M2604" t="s">
        <v>19</v>
      </c>
      <c r="N2604" t="s">
        <v>149</v>
      </c>
      <c r="O2604">
        <v>1</v>
      </c>
    </row>
    <row r="2605" spans="1:15" hidden="1" x14ac:dyDescent="0.25">
      <c r="A2605" t="s">
        <v>2820</v>
      </c>
      <c r="B2605" t="s">
        <v>205</v>
      </c>
      <c r="C2605" t="s">
        <v>206</v>
      </c>
      <c r="D2605" t="s">
        <v>15</v>
      </c>
      <c r="E2605" t="s">
        <v>4265</v>
      </c>
      <c r="F2605" s="3">
        <v>42500</v>
      </c>
      <c r="G2605" s="2">
        <f t="shared" si="80"/>
        <v>1</v>
      </c>
      <c r="H2605" s="2">
        <f t="shared" ca="1" si="81"/>
        <v>72</v>
      </c>
      <c r="I2605" s="4">
        <v>46048</v>
      </c>
      <c r="J2605" s="4">
        <v>46049</v>
      </c>
      <c r="K2605" t="s">
        <v>17</v>
      </c>
      <c r="L2605" t="s">
        <v>109</v>
      </c>
      <c r="M2605" t="s">
        <v>19</v>
      </c>
      <c r="N2605" t="s">
        <v>149</v>
      </c>
      <c r="O2605">
        <v>1</v>
      </c>
    </row>
    <row r="2606" spans="1:15" hidden="1" x14ac:dyDescent="0.25">
      <c r="A2606" t="s">
        <v>2820</v>
      </c>
      <c r="B2606" t="s">
        <v>195</v>
      </c>
      <c r="C2606" t="s">
        <v>196</v>
      </c>
      <c r="D2606" t="s">
        <v>15</v>
      </c>
      <c r="E2606" t="s">
        <v>4266</v>
      </c>
      <c r="F2606" s="3">
        <v>233884</v>
      </c>
      <c r="G2606" s="2">
        <f t="shared" si="80"/>
        <v>1</v>
      </c>
      <c r="H2606" s="2">
        <f t="shared" ca="1" si="81"/>
        <v>72</v>
      </c>
      <c r="I2606" s="4">
        <v>46048</v>
      </c>
      <c r="J2606" s="4">
        <v>46049</v>
      </c>
      <c r="K2606" t="s">
        <v>17</v>
      </c>
      <c r="L2606" t="s">
        <v>32</v>
      </c>
      <c r="M2606" t="s">
        <v>19</v>
      </c>
      <c r="N2606" t="s">
        <v>197</v>
      </c>
      <c r="O2606">
        <v>30</v>
      </c>
    </row>
    <row r="2607" spans="1:15" hidden="1" x14ac:dyDescent="0.25">
      <c r="A2607" t="s">
        <v>2820</v>
      </c>
      <c r="B2607" t="s">
        <v>150</v>
      </c>
      <c r="C2607" t="s">
        <v>151</v>
      </c>
      <c r="D2607" t="s">
        <v>46</v>
      </c>
      <c r="E2607" t="s">
        <v>4267</v>
      </c>
      <c r="F2607" s="3">
        <v>671197</v>
      </c>
      <c r="G2607" s="2">
        <f t="shared" si="80"/>
        <v>30</v>
      </c>
      <c r="H2607" s="2">
        <f t="shared" ca="1" si="81"/>
        <v>72</v>
      </c>
      <c r="I2607" s="4">
        <v>46048</v>
      </c>
      <c r="J2607" s="4">
        <v>46078</v>
      </c>
      <c r="K2607" t="s">
        <v>17</v>
      </c>
      <c r="L2607" t="s">
        <v>32</v>
      </c>
      <c r="M2607" t="s">
        <v>19</v>
      </c>
      <c r="N2607" t="s">
        <v>152</v>
      </c>
      <c r="O2607">
        <v>30</v>
      </c>
    </row>
    <row r="2608" spans="1:15" hidden="1" x14ac:dyDescent="0.25">
      <c r="A2608" t="s">
        <v>2820</v>
      </c>
      <c r="B2608" t="s">
        <v>150</v>
      </c>
      <c r="C2608" t="s">
        <v>151</v>
      </c>
      <c r="D2608" t="s">
        <v>46</v>
      </c>
      <c r="E2608" t="s">
        <v>4268</v>
      </c>
      <c r="F2608" s="3">
        <v>1004000</v>
      </c>
      <c r="G2608" s="2">
        <f t="shared" si="80"/>
        <v>10</v>
      </c>
      <c r="H2608" s="2">
        <f t="shared" ca="1" si="81"/>
        <v>72</v>
      </c>
      <c r="I2608" s="4">
        <v>46048</v>
      </c>
      <c r="J2608" s="4">
        <v>46058</v>
      </c>
      <c r="K2608" t="s">
        <v>17</v>
      </c>
      <c r="L2608" t="s">
        <v>32</v>
      </c>
      <c r="M2608" t="s">
        <v>19</v>
      </c>
      <c r="N2608" t="s">
        <v>152</v>
      </c>
      <c r="O2608">
        <v>30</v>
      </c>
    </row>
    <row r="2609" spans="1:15" hidden="1" x14ac:dyDescent="0.25">
      <c r="A2609" t="s">
        <v>2820</v>
      </c>
      <c r="B2609" t="s">
        <v>205</v>
      </c>
      <c r="C2609" t="s">
        <v>206</v>
      </c>
      <c r="D2609" t="s">
        <v>15</v>
      </c>
      <c r="E2609" t="s">
        <v>4269</v>
      </c>
      <c r="F2609" s="3">
        <v>288000</v>
      </c>
      <c r="G2609" s="2">
        <f t="shared" si="80"/>
        <v>1</v>
      </c>
      <c r="H2609" s="2">
        <f t="shared" ca="1" si="81"/>
        <v>72</v>
      </c>
      <c r="I2609" s="4">
        <v>46048</v>
      </c>
      <c r="J2609" s="4">
        <v>46049</v>
      </c>
      <c r="K2609" t="s">
        <v>17</v>
      </c>
      <c r="L2609" t="s">
        <v>109</v>
      </c>
      <c r="M2609" t="s">
        <v>19</v>
      </c>
      <c r="N2609" t="s">
        <v>149</v>
      </c>
      <c r="O2609">
        <v>1</v>
      </c>
    </row>
    <row r="2610" spans="1:15" hidden="1" x14ac:dyDescent="0.25">
      <c r="A2610" t="s">
        <v>2820</v>
      </c>
      <c r="B2610" t="s">
        <v>98</v>
      </c>
      <c r="C2610" t="s">
        <v>99</v>
      </c>
      <c r="D2610" t="s">
        <v>15</v>
      </c>
      <c r="E2610" t="s">
        <v>4270</v>
      </c>
      <c r="F2610" s="3">
        <v>140000</v>
      </c>
      <c r="G2610" s="2">
        <f t="shared" si="80"/>
        <v>1</v>
      </c>
      <c r="H2610" s="2">
        <f t="shared" ca="1" si="81"/>
        <v>72</v>
      </c>
      <c r="I2610" s="4">
        <v>46048</v>
      </c>
      <c r="J2610" s="4">
        <v>46049</v>
      </c>
      <c r="K2610" t="s">
        <v>17</v>
      </c>
      <c r="L2610" t="s">
        <v>32</v>
      </c>
      <c r="M2610" t="s">
        <v>19</v>
      </c>
      <c r="N2610" t="s">
        <v>100</v>
      </c>
      <c r="O2610">
        <v>30</v>
      </c>
    </row>
    <row r="2611" spans="1:15" hidden="1" x14ac:dyDescent="0.25">
      <c r="A2611" t="s">
        <v>2820</v>
      </c>
      <c r="B2611" t="s">
        <v>192</v>
      </c>
      <c r="C2611" t="s">
        <v>193</v>
      </c>
      <c r="D2611" t="s">
        <v>15</v>
      </c>
      <c r="E2611" t="s">
        <v>4271</v>
      </c>
      <c r="F2611" s="3">
        <v>420000</v>
      </c>
      <c r="G2611" s="2">
        <f t="shared" si="80"/>
        <v>10</v>
      </c>
      <c r="H2611" s="2">
        <f t="shared" ca="1" si="81"/>
        <v>72</v>
      </c>
      <c r="I2611" s="4">
        <v>46048</v>
      </c>
      <c r="J2611" s="4">
        <v>46058</v>
      </c>
      <c r="K2611" t="s">
        <v>17</v>
      </c>
      <c r="L2611" t="s">
        <v>32</v>
      </c>
      <c r="M2611" t="s">
        <v>19</v>
      </c>
      <c r="N2611" t="s">
        <v>194</v>
      </c>
      <c r="O2611">
        <v>30</v>
      </c>
    </row>
    <row r="2612" spans="1:15" hidden="1" x14ac:dyDescent="0.25">
      <c r="A2612" t="s">
        <v>2820</v>
      </c>
      <c r="B2612" t="s">
        <v>143</v>
      </c>
      <c r="C2612" t="s">
        <v>144</v>
      </c>
      <c r="D2612" t="s">
        <v>15</v>
      </c>
      <c r="E2612" t="s">
        <v>4272</v>
      </c>
      <c r="F2612" s="3">
        <v>1805000</v>
      </c>
      <c r="G2612" s="2">
        <f t="shared" si="80"/>
        <v>10</v>
      </c>
      <c r="H2612" s="2">
        <f t="shared" ca="1" si="81"/>
        <v>72</v>
      </c>
      <c r="I2612" s="4">
        <v>46048</v>
      </c>
      <c r="J2612" s="4">
        <v>46058</v>
      </c>
      <c r="K2612" t="s">
        <v>17</v>
      </c>
      <c r="L2612" t="s">
        <v>32</v>
      </c>
      <c r="M2612" t="s">
        <v>19</v>
      </c>
      <c r="N2612" t="s">
        <v>145</v>
      </c>
      <c r="O2612">
        <v>30</v>
      </c>
    </row>
    <row r="2613" spans="1:15" hidden="1" x14ac:dyDescent="0.25">
      <c r="A2613" t="s">
        <v>2820</v>
      </c>
      <c r="B2613" t="s">
        <v>143</v>
      </c>
      <c r="C2613" t="s">
        <v>144</v>
      </c>
      <c r="D2613" t="s">
        <v>15</v>
      </c>
      <c r="E2613" t="s">
        <v>4273</v>
      </c>
      <c r="F2613" s="3">
        <v>441093</v>
      </c>
      <c r="G2613" s="2">
        <f t="shared" si="80"/>
        <v>30</v>
      </c>
      <c r="H2613" s="2">
        <f t="shared" ca="1" si="81"/>
        <v>72</v>
      </c>
      <c r="I2613" s="4">
        <v>46048</v>
      </c>
      <c r="J2613" s="4">
        <v>46078</v>
      </c>
      <c r="K2613" t="s">
        <v>17</v>
      </c>
      <c r="L2613" t="s">
        <v>32</v>
      </c>
      <c r="M2613" t="s">
        <v>19</v>
      </c>
      <c r="N2613" t="s">
        <v>145</v>
      </c>
      <c r="O2613">
        <v>30</v>
      </c>
    </row>
    <row r="2614" spans="1:15" hidden="1" x14ac:dyDescent="0.25">
      <c r="A2614" t="s">
        <v>2820</v>
      </c>
      <c r="B2614" t="s">
        <v>205</v>
      </c>
      <c r="C2614" t="s">
        <v>206</v>
      </c>
      <c r="D2614" t="s">
        <v>15</v>
      </c>
      <c r="E2614" t="s">
        <v>4274</v>
      </c>
      <c r="F2614" s="3">
        <v>7000</v>
      </c>
      <c r="G2614" s="2">
        <f t="shared" si="80"/>
        <v>1</v>
      </c>
      <c r="H2614" s="2">
        <f t="shared" ca="1" si="81"/>
        <v>72</v>
      </c>
      <c r="I2614" s="4">
        <v>46048</v>
      </c>
      <c r="J2614" s="4">
        <v>46049</v>
      </c>
      <c r="K2614" t="s">
        <v>17</v>
      </c>
      <c r="L2614" t="s">
        <v>28</v>
      </c>
      <c r="M2614" t="s">
        <v>19</v>
      </c>
      <c r="N2614" t="s">
        <v>149</v>
      </c>
      <c r="O2614">
        <v>1</v>
      </c>
    </row>
    <row r="2615" spans="1:15" hidden="1" x14ac:dyDescent="0.25">
      <c r="A2615" t="s">
        <v>2820</v>
      </c>
      <c r="B2615" t="s">
        <v>205</v>
      </c>
      <c r="C2615" t="s">
        <v>206</v>
      </c>
      <c r="D2615" t="s">
        <v>15</v>
      </c>
      <c r="E2615" t="s">
        <v>4275</v>
      </c>
      <c r="F2615" s="3">
        <v>23200</v>
      </c>
      <c r="G2615" s="2">
        <f t="shared" si="80"/>
        <v>1</v>
      </c>
      <c r="H2615" s="2">
        <f t="shared" ca="1" si="81"/>
        <v>72</v>
      </c>
      <c r="I2615" s="4">
        <v>46048</v>
      </c>
      <c r="J2615" s="4">
        <v>46049</v>
      </c>
      <c r="K2615" t="s">
        <v>17</v>
      </c>
      <c r="L2615" t="s">
        <v>109</v>
      </c>
      <c r="M2615" t="s">
        <v>19</v>
      </c>
      <c r="N2615" t="s">
        <v>149</v>
      </c>
      <c r="O2615">
        <v>1</v>
      </c>
    </row>
    <row r="2616" spans="1:15" hidden="1" x14ac:dyDescent="0.25">
      <c r="A2616" t="s">
        <v>2820</v>
      </c>
      <c r="B2616" t="s">
        <v>205</v>
      </c>
      <c r="C2616" t="s">
        <v>206</v>
      </c>
      <c r="D2616" t="s">
        <v>15</v>
      </c>
      <c r="E2616" t="s">
        <v>4276</v>
      </c>
      <c r="F2616" s="3">
        <v>4200</v>
      </c>
      <c r="G2616" s="2">
        <f t="shared" si="80"/>
        <v>1</v>
      </c>
      <c r="H2616" s="2">
        <f t="shared" ca="1" si="81"/>
        <v>72</v>
      </c>
      <c r="I2616" s="4">
        <v>46048</v>
      </c>
      <c r="J2616" s="4">
        <v>46049</v>
      </c>
      <c r="K2616" t="s">
        <v>17</v>
      </c>
      <c r="L2616" t="s">
        <v>109</v>
      </c>
      <c r="M2616" t="s">
        <v>19</v>
      </c>
      <c r="N2616" t="s">
        <v>149</v>
      </c>
      <c r="O2616">
        <v>1</v>
      </c>
    </row>
    <row r="2617" spans="1:15" hidden="1" x14ac:dyDescent="0.25">
      <c r="A2617" t="s">
        <v>2820</v>
      </c>
      <c r="B2617" t="s">
        <v>205</v>
      </c>
      <c r="C2617" t="s">
        <v>206</v>
      </c>
      <c r="D2617" t="s">
        <v>15</v>
      </c>
      <c r="E2617" t="s">
        <v>4277</v>
      </c>
      <c r="F2617" s="3">
        <v>112000</v>
      </c>
      <c r="G2617" s="2">
        <f t="shared" si="80"/>
        <v>1</v>
      </c>
      <c r="H2617" s="2">
        <f t="shared" ca="1" si="81"/>
        <v>72</v>
      </c>
      <c r="I2617" s="4">
        <v>46048</v>
      </c>
      <c r="J2617" s="4">
        <v>46049</v>
      </c>
      <c r="K2617" t="s">
        <v>17</v>
      </c>
      <c r="L2617" t="s">
        <v>109</v>
      </c>
      <c r="M2617" t="s">
        <v>19</v>
      </c>
      <c r="N2617" t="s">
        <v>149</v>
      </c>
      <c r="O2617">
        <v>1</v>
      </c>
    </row>
    <row r="2618" spans="1:15" hidden="1" x14ac:dyDescent="0.25">
      <c r="A2618" t="s">
        <v>2820</v>
      </c>
      <c r="B2618" t="s">
        <v>4278</v>
      </c>
      <c r="C2618" t="s">
        <v>4279</v>
      </c>
      <c r="D2618" t="s">
        <v>46</v>
      </c>
      <c r="E2618" t="s">
        <v>4280</v>
      </c>
      <c r="F2618" s="3">
        <v>35400</v>
      </c>
      <c r="G2618" s="2">
        <f t="shared" si="80"/>
        <v>1</v>
      </c>
      <c r="H2618" s="2">
        <f t="shared" ca="1" si="81"/>
        <v>72</v>
      </c>
      <c r="I2618" s="4">
        <v>46048</v>
      </c>
      <c r="J2618" s="4">
        <v>46049</v>
      </c>
      <c r="K2618" t="s">
        <v>17</v>
      </c>
      <c r="L2618" t="s">
        <v>28</v>
      </c>
      <c r="M2618" t="s">
        <v>19</v>
      </c>
      <c r="N2618" t="s">
        <v>4281</v>
      </c>
      <c r="O2618">
        <v>30</v>
      </c>
    </row>
    <row r="2619" spans="1:15" hidden="1" x14ac:dyDescent="0.25">
      <c r="A2619" t="s">
        <v>2820</v>
      </c>
      <c r="B2619" t="s">
        <v>4278</v>
      </c>
      <c r="C2619" t="s">
        <v>4279</v>
      </c>
      <c r="D2619" t="s">
        <v>46</v>
      </c>
      <c r="E2619" t="s">
        <v>4282</v>
      </c>
      <c r="F2619" s="3">
        <v>35400</v>
      </c>
      <c r="G2619" s="2">
        <f t="shared" si="80"/>
        <v>1</v>
      </c>
      <c r="H2619" s="2">
        <f t="shared" ca="1" si="81"/>
        <v>72</v>
      </c>
      <c r="I2619" s="4">
        <v>46048</v>
      </c>
      <c r="J2619" s="4">
        <v>46049</v>
      </c>
      <c r="K2619" t="s">
        <v>17</v>
      </c>
      <c r="L2619" t="s">
        <v>28</v>
      </c>
      <c r="M2619" t="s">
        <v>19</v>
      </c>
      <c r="N2619" t="s">
        <v>4281</v>
      </c>
      <c r="O2619">
        <v>30</v>
      </c>
    </row>
    <row r="2620" spans="1:15" hidden="1" x14ac:dyDescent="0.25">
      <c r="A2620" t="s">
        <v>2820</v>
      </c>
      <c r="B2620" t="s">
        <v>4278</v>
      </c>
      <c r="C2620" t="s">
        <v>4279</v>
      </c>
      <c r="D2620" t="s">
        <v>46</v>
      </c>
      <c r="E2620" t="s">
        <v>4283</v>
      </c>
      <c r="F2620" s="3">
        <v>2430</v>
      </c>
      <c r="G2620" s="2">
        <f t="shared" si="80"/>
        <v>1</v>
      </c>
      <c r="H2620" s="2">
        <f t="shared" ca="1" si="81"/>
        <v>72</v>
      </c>
      <c r="I2620" s="4">
        <v>46048</v>
      </c>
      <c r="J2620" s="4">
        <v>46049</v>
      </c>
      <c r="K2620" t="s">
        <v>17</v>
      </c>
      <c r="L2620" t="s">
        <v>28</v>
      </c>
      <c r="M2620" t="s">
        <v>19</v>
      </c>
      <c r="N2620" t="s">
        <v>4281</v>
      </c>
      <c r="O2620">
        <v>30</v>
      </c>
    </row>
    <row r="2621" spans="1:15" hidden="1" x14ac:dyDescent="0.25">
      <c r="A2621" t="s">
        <v>2820</v>
      </c>
      <c r="B2621" t="s">
        <v>4303</v>
      </c>
      <c r="C2621" t="s">
        <v>4304</v>
      </c>
      <c r="D2621" t="s">
        <v>46</v>
      </c>
      <c r="E2621" t="s">
        <v>4305</v>
      </c>
      <c r="F2621" s="3">
        <v>60218</v>
      </c>
      <c r="G2621" s="2">
        <f t="shared" si="80"/>
        <v>1</v>
      </c>
      <c r="H2621" s="2">
        <f t="shared" ca="1" si="81"/>
        <v>72</v>
      </c>
      <c r="I2621" s="4">
        <v>46048</v>
      </c>
      <c r="J2621" s="4">
        <v>46049</v>
      </c>
      <c r="K2621" t="s">
        <v>17</v>
      </c>
      <c r="L2621" t="s">
        <v>312</v>
      </c>
      <c r="M2621" t="s">
        <v>19</v>
      </c>
      <c r="N2621" t="s">
        <v>4306</v>
      </c>
      <c r="O2621">
        <v>30</v>
      </c>
    </row>
    <row r="2622" spans="1:15" hidden="1" x14ac:dyDescent="0.25">
      <c r="A2622" t="s">
        <v>2820</v>
      </c>
      <c r="B2622" t="s">
        <v>205</v>
      </c>
      <c r="C2622" t="s">
        <v>206</v>
      </c>
      <c r="D2622" t="s">
        <v>15</v>
      </c>
      <c r="E2622" t="s">
        <v>4307</v>
      </c>
      <c r="F2622" s="3">
        <v>80200</v>
      </c>
      <c r="G2622" s="2">
        <f t="shared" si="80"/>
        <v>1</v>
      </c>
      <c r="H2622" s="2">
        <f t="shared" ca="1" si="81"/>
        <v>72</v>
      </c>
      <c r="I2622" s="4">
        <v>46048</v>
      </c>
      <c r="J2622" s="4">
        <v>46049</v>
      </c>
      <c r="K2622" t="s">
        <v>17</v>
      </c>
      <c r="L2622" t="s">
        <v>312</v>
      </c>
      <c r="M2622" t="s">
        <v>19</v>
      </c>
      <c r="N2622" t="s">
        <v>149</v>
      </c>
      <c r="O2622">
        <v>1</v>
      </c>
    </row>
    <row r="2623" spans="1:15" hidden="1" x14ac:dyDescent="0.25">
      <c r="A2623" t="s">
        <v>2820</v>
      </c>
      <c r="B2623" t="s">
        <v>4308</v>
      </c>
      <c r="C2623" t="s">
        <v>4309</v>
      </c>
      <c r="D2623" t="s">
        <v>46</v>
      </c>
      <c r="E2623" t="s">
        <v>4310</v>
      </c>
      <c r="F2623" s="3">
        <v>101731</v>
      </c>
      <c r="G2623" s="2">
        <f t="shared" si="80"/>
        <v>1</v>
      </c>
      <c r="H2623" s="2">
        <f t="shared" ca="1" si="81"/>
        <v>72</v>
      </c>
      <c r="I2623" s="4">
        <v>46048</v>
      </c>
      <c r="J2623" s="4">
        <v>46049</v>
      </c>
      <c r="K2623" t="s">
        <v>17</v>
      </c>
      <c r="L2623" t="s">
        <v>312</v>
      </c>
      <c r="M2623" t="s">
        <v>19</v>
      </c>
      <c r="N2623" t="s">
        <v>4311</v>
      </c>
      <c r="O2623">
        <v>1</v>
      </c>
    </row>
    <row r="2624" spans="1:15" hidden="1" x14ac:dyDescent="0.25">
      <c r="A2624" t="s">
        <v>2820</v>
      </c>
      <c r="B2624" t="s">
        <v>205</v>
      </c>
      <c r="C2624" t="s">
        <v>206</v>
      </c>
      <c r="D2624" t="s">
        <v>15</v>
      </c>
      <c r="E2624" t="s">
        <v>4312</v>
      </c>
      <c r="F2624" s="3">
        <v>101300</v>
      </c>
      <c r="G2624" s="2">
        <f t="shared" si="80"/>
        <v>1</v>
      </c>
      <c r="H2624" s="2">
        <f t="shared" ca="1" si="81"/>
        <v>72</v>
      </c>
      <c r="I2624" s="4">
        <v>46048</v>
      </c>
      <c r="J2624" s="4">
        <v>46049</v>
      </c>
      <c r="K2624" t="s">
        <v>17</v>
      </c>
      <c r="L2624" t="s">
        <v>312</v>
      </c>
      <c r="M2624" t="s">
        <v>19</v>
      </c>
      <c r="N2624" t="s">
        <v>149</v>
      </c>
      <c r="O2624">
        <v>1</v>
      </c>
    </row>
    <row r="2625" spans="1:15" hidden="1" x14ac:dyDescent="0.25">
      <c r="A2625" t="s">
        <v>2820</v>
      </c>
      <c r="B2625" t="s">
        <v>205</v>
      </c>
      <c r="C2625" t="s">
        <v>206</v>
      </c>
      <c r="D2625" t="s">
        <v>15</v>
      </c>
      <c r="E2625" t="s">
        <v>4313</v>
      </c>
      <c r="F2625" s="3">
        <v>93769</v>
      </c>
      <c r="G2625" s="2">
        <f t="shared" si="80"/>
        <v>1</v>
      </c>
      <c r="H2625" s="2">
        <f t="shared" ca="1" si="81"/>
        <v>72</v>
      </c>
      <c r="I2625" s="4">
        <v>46048</v>
      </c>
      <c r="J2625" s="4">
        <v>46049</v>
      </c>
      <c r="K2625" t="s">
        <v>17</v>
      </c>
      <c r="L2625" t="s">
        <v>312</v>
      </c>
      <c r="M2625" t="s">
        <v>19</v>
      </c>
      <c r="N2625" t="s">
        <v>149</v>
      </c>
      <c r="O2625">
        <v>1</v>
      </c>
    </row>
    <row r="2626" spans="1:15" hidden="1" x14ac:dyDescent="0.25">
      <c r="A2626" t="s">
        <v>2820</v>
      </c>
      <c r="B2626" t="s">
        <v>4314</v>
      </c>
      <c r="C2626" t="s">
        <v>4315</v>
      </c>
      <c r="D2626" t="s">
        <v>15</v>
      </c>
      <c r="E2626" t="s">
        <v>4316</v>
      </c>
      <c r="F2626" s="3">
        <v>29400</v>
      </c>
      <c r="G2626" s="2">
        <f t="shared" ref="G2626:G2689" si="82">+J2626-I2626</f>
        <v>1</v>
      </c>
      <c r="H2626" s="2">
        <f t="shared" ref="H2626:H2689" ca="1" si="83">+TODAY()-I2626</f>
        <v>72</v>
      </c>
      <c r="I2626" s="4">
        <v>46048</v>
      </c>
      <c r="J2626" s="4">
        <v>46049</v>
      </c>
      <c r="K2626" t="s">
        <v>17</v>
      </c>
      <c r="L2626" t="s">
        <v>312</v>
      </c>
      <c r="M2626" t="s">
        <v>19</v>
      </c>
      <c r="N2626" t="s">
        <v>4317</v>
      </c>
      <c r="O2626">
        <v>1</v>
      </c>
    </row>
    <row r="2627" spans="1:15" hidden="1" x14ac:dyDescent="0.25">
      <c r="A2627" t="s">
        <v>2820</v>
      </c>
      <c r="B2627" t="s">
        <v>4314</v>
      </c>
      <c r="C2627" t="s">
        <v>4315</v>
      </c>
      <c r="D2627" t="s">
        <v>15</v>
      </c>
      <c r="E2627" t="s">
        <v>4318</v>
      </c>
      <c r="F2627" s="3">
        <v>42800</v>
      </c>
      <c r="G2627" s="2">
        <f t="shared" si="82"/>
        <v>1</v>
      </c>
      <c r="H2627" s="2">
        <f t="shared" ca="1" si="83"/>
        <v>72</v>
      </c>
      <c r="I2627" s="4">
        <v>46048</v>
      </c>
      <c r="J2627" s="4">
        <v>46049</v>
      </c>
      <c r="K2627" t="s">
        <v>17</v>
      </c>
      <c r="L2627" t="s">
        <v>312</v>
      </c>
      <c r="M2627" t="s">
        <v>19</v>
      </c>
      <c r="N2627" t="s">
        <v>4317</v>
      </c>
      <c r="O2627">
        <v>1</v>
      </c>
    </row>
    <row r="2628" spans="1:15" hidden="1" x14ac:dyDescent="0.25">
      <c r="A2628" t="s">
        <v>2820</v>
      </c>
      <c r="B2628" t="s">
        <v>205</v>
      </c>
      <c r="C2628" t="s">
        <v>206</v>
      </c>
      <c r="D2628" t="s">
        <v>15</v>
      </c>
      <c r="E2628" t="s">
        <v>4319</v>
      </c>
      <c r="F2628" s="3">
        <v>123097</v>
      </c>
      <c r="G2628" s="2">
        <f t="shared" si="82"/>
        <v>1</v>
      </c>
      <c r="H2628" s="2">
        <f t="shared" ca="1" si="83"/>
        <v>72</v>
      </c>
      <c r="I2628" s="4">
        <v>46048</v>
      </c>
      <c r="J2628" s="4">
        <v>46049</v>
      </c>
      <c r="K2628" t="s">
        <v>17</v>
      </c>
      <c r="L2628" t="s">
        <v>312</v>
      </c>
      <c r="M2628" t="s">
        <v>19</v>
      </c>
      <c r="N2628" t="s">
        <v>149</v>
      </c>
      <c r="O2628">
        <v>1</v>
      </c>
    </row>
    <row r="2629" spans="1:15" hidden="1" x14ac:dyDescent="0.25">
      <c r="A2629" t="s">
        <v>2820</v>
      </c>
      <c r="B2629" t="s">
        <v>205</v>
      </c>
      <c r="C2629" t="s">
        <v>206</v>
      </c>
      <c r="D2629" t="s">
        <v>15</v>
      </c>
      <c r="E2629" t="s">
        <v>4320</v>
      </c>
      <c r="F2629" s="3">
        <v>29399</v>
      </c>
      <c r="G2629" s="2">
        <f t="shared" si="82"/>
        <v>1</v>
      </c>
      <c r="H2629" s="2">
        <f t="shared" ca="1" si="83"/>
        <v>72</v>
      </c>
      <c r="I2629" s="4">
        <v>46048</v>
      </c>
      <c r="J2629" s="4">
        <v>46049</v>
      </c>
      <c r="K2629" t="s">
        <v>17</v>
      </c>
      <c r="L2629" t="s">
        <v>312</v>
      </c>
      <c r="M2629" t="s">
        <v>19</v>
      </c>
      <c r="N2629" t="s">
        <v>149</v>
      </c>
      <c r="O2629">
        <v>1</v>
      </c>
    </row>
    <row r="2630" spans="1:15" hidden="1" x14ac:dyDescent="0.25">
      <c r="A2630" t="s">
        <v>2820</v>
      </c>
      <c r="B2630" t="s">
        <v>4321</v>
      </c>
      <c r="C2630" t="s">
        <v>4322</v>
      </c>
      <c r="D2630" t="s">
        <v>15</v>
      </c>
      <c r="E2630" t="s">
        <v>4323</v>
      </c>
      <c r="F2630" s="3">
        <v>420000</v>
      </c>
      <c r="G2630" s="2">
        <f t="shared" si="82"/>
        <v>1</v>
      </c>
      <c r="H2630" s="2">
        <f t="shared" ca="1" si="83"/>
        <v>72</v>
      </c>
      <c r="I2630" s="4">
        <v>46048</v>
      </c>
      <c r="J2630" s="4">
        <v>46049</v>
      </c>
      <c r="K2630" t="s">
        <v>17</v>
      </c>
      <c r="L2630" t="s">
        <v>312</v>
      </c>
      <c r="M2630" t="s">
        <v>19</v>
      </c>
      <c r="N2630" t="s">
        <v>4324</v>
      </c>
      <c r="O2630">
        <v>1</v>
      </c>
    </row>
    <row r="2631" spans="1:15" hidden="1" x14ac:dyDescent="0.25">
      <c r="A2631" t="s">
        <v>2820</v>
      </c>
      <c r="B2631" t="s">
        <v>2087</v>
      </c>
      <c r="C2631" t="s">
        <v>2088</v>
      </c>
      <c r="D2631" t="s">
        <v>15</v>
      </c>
      <c r="E2631" t="s">
        <v>4325</v>
      </c>
      <c r="F2631" s="3">
        <v>420000</v>
      </c>
      <c r="G2631" s="2">
        <f t="shared" si="82"/>
        <v>10</v>
      </c>
      <c r="H2631" s="2">
        <f t="shared" ca="1" si="83"/>
        <v>72</v>
      </c>
      <c r="I2631" s="4">
        <v>46048</v>
      </c>
      <c r="J2631" s="4">
        <v>46058</v>
      </c>
      <c r="K2631" t="s">
        <v>17</v>
      </c>
      <c r="L2631" t="s">
        <v>312</v>
      </c>
      <c r="M2631" t="s">
        <v>19</v>
      </c>
      <c r="N2631" t="s">
        <v>2089</v>
      </c>
      <c r="O2631">
        <v>30</v>
      </c>
    </row>
    <row r="2632" spans="1:15" hidden="1" x14ac:dyDescent="0.25">
      <c r="A2632" t="s">
        <v>2820</v>
      </c>
      <c r="B2632" t="s">
        <v>3392</v>
      </c>
      <c r="C2632" t="s">
        <v>3393</v>
      </c>
      <c r="D2632" t="s">
        <v>15</v>
      </c>
      <c r="E2632" t="s">
        <v>4326</v>
      </c>
      <c r="F2632" s="3">
        <v>680400</v>
      </c>
      <c r="G2632" s="2">
        <f t="shared" si="82"/>
        <v>13</v>
      </c>
      <c r="H2632" s="2">
        <f t="shared" ca="1" si="83"/>
        <v>72</v>
      </c>
      <c r="I2632" s="4">
        <v>46048</v>
      </c>
      <c r="J2632" s="4">
        <v>46061</v>
      </c>
      <c r="K2632" t="s">
        <v>17</v>
      </c>
      <c r="L2632" t="s">
        <v>317</v>
      </c>
      <c r="M2632" t="s">
        <v>19</v>
      </c>
      <c r="N2632" t="s">
        <v>3394</v>
      </c>
      <c r="O2632">
        <v>30</v>
      </c>
    </row>
    <row r="2633" spans="1:15" hidden="1" x14ac:dyDescent="0.25">
      <c r="A2633" t="s">
        <v>2820</v>
      </c>
      <c r="B2633" t="s">
        <v>67</v>
      </c>
      <c r="C2633" t="s">
        <v>68</v>
      </c>
      <c r="D2633" t="s">
        <v>15</v>
      </c>
      <c r="E2633" t="s">
        <v>4327</v>
      </c>
      <c r="F2633" s="3">
        <v>840000</v>
      </c>
      <c r="G2633" s="2">
        <f t="shared" si="82"/>
        <v>10</v>
      </c>
      <c r="H2633" s="2">
        <f t="shared" ca="1" si="83"/>
        <v>72</v>
      </c>
      <c r="I2633" s="4">
        <v>46048</v>
      </c>
      <c r="J2633" s="4">
        <v>46058</v>
      </c>
      <c r="K2633" t="s">
        <v>17</v>
      </c>
      <c r="L2633" t="s">
        <v>32</v>
      </c>
      <c r="M2633" t="s">
        <v>19</v>
      </c>
      <c r="N2633" t="s">
        <v>69</v>
      </c>
      <c r="O2633">
        <v>30</v>
      </c>
    </row>
    <row r="2634" spans="1:15" hidden="1" x14ac:dyDescent="0.25">
      <c r="A2634" t="s">
        <v>2820</v>
      </c>
      <c r="B2634" t="s">
        <v>205</v>
      </c>
      <c r="C2634" t="s">
        <v>206</v>
      </c>
      <c r="D2634" t="s">
        <v>15</v>
      </c>
      <c r="E2634" t="s">
        <v>4328</v>
      </c>
      <c r="F2634" s="3">
        <v>483000</v>
      </c>
      <c r="G2634" s="2">
        <f t="shared" si="82"/>
        <v>1</v>
      </c>
      <c r="H2634" s="2">
        <f t="shared" ca="1" si="83"/>
        <v>72</v>
      </c>
      <c r="I2634" s="4">
        <v>46048</v>
      </c>
      <c r="J2634" s="4">
        <v>46049</v>
      </c>
      <c r="K2634" t="s">
        <v>17</v>
      </c>
      <c r="L2634" t="s">
        <v>28</v>
      </c>
      <c r="M2634" t="s">
        <v>19</v>
      </c>
      <c r="N2634" t="s">
        <v>149</v>
      </c>
      <c r="O2634">
        <v>1</v>
      </c>
    </row>
    <row r="2635" spans="1:15" hidden="1" x14ac:dyDescent="0.25">
      <c r="A2635" t="s">
        <v>2820</v>
      </c>
      <c r="B2635" t="s">
        <v>82</v>
      </c>
      <c r="C2635" t="s">
        <v>83</v>
      </c>
      <c r="D2635" t="s">
        <v>15</v>
      </c>
      <c r="E2635" t="s">
        <v>4329</v>
      </c>
      <c r="F2635" s="3">
        <v>4137000</v>
      </c>
      <c r="G2635" s="2">
        <f t="shared" si="82"/>
        <v>30</v>
      </c>
      <c r="H2635" s="2">
        <f t="shared" ca="1" si="83"/>
        <v>72</v>
      </c>
      <c r="I2635" s="4">
        <v>46048</v>
      </c>
      <c r="J2635" s="4">
        <v>46078</v>
      </c>
      <c r="K2635" t="s">
        <v>17</v>
      </c>
      <c r="L2635" t="s">
        <v>32</v>
      </c>
      <c r="M2635" t="s">
        <v>19</v>
      </c>
      <c r="N2635" t="s">
        <v>84</v>
      </c>
      <c r="O2635">
        <v>30</v>
      </c>
    </row>
    <row r="2636" spans="1:15" hidden="1" x14ac:dyDescent="0.25">
      <c r="A2636" t="s">
        <v>2820</v>
      </c>
      <c r="B2636" t="s">
        <v>1149</v>
      </c>
      <c r="C2636" t="s">
        <v>1150</v>
      </c>
      <c r="D2636" t="s">
        <v>1118</v>
      </c>
      <c r="E2636" t="s">
        <v>4441</v>
      </c>
      <c r="F2636" s="3">
        <v>1012156</v>
      </c>
      <c r="G2636" s="2">
        <f t="shared" si="82"/>
        <v>30</v>
      </c>
      <c r="H2636" s="2">
        <f t="shared" ca="1" si="83"/>
        <v>72</v>
      </c>
      <c r="I2636" s="4">
        <v>46048</v>
      </c>
      <c r="J2636" s="4">
        <v>46078</v>
      </c>
      <c r="K2636" t="s">
        <v>1144</v>
      </c>
      <c r="L2636" t="s">
        <v>207</v>
      </c>
      <c r="M2636" t="s">
        <v>19</v>
      </c>
      <c r="N2636" t="s">
        <v>1151</v>
      </c>
      <c r="O2636">
        <v>30</v>
      </c>
    </row>
    <row r="2637" spans="1:15" hidden="1" x14ac:dyDescent="0.25">
      <c r="A2637" t="s">
        <v>2820</v>
      </c>
      <c r="B2637" t="s">
        <v>1155</v>
      </c>
      <c r="C2637" t="s">
        <v>1156</v>
      </c>
      <c r="D2637" t="s">
        <v>1118</v>
      </c>
      <c r="E2637" t="s">
        <v>4442</v>
      </c>
      <c r="F2637" s="3">
        <v>817830</v>
      </c>
      <c r="G2637" s="2">
        <f t="shared" si="82"/>
        <v>30</v>
      </c>
      <c r="H2637" s="2">
        <f t="shared" ca="1" si="83"/>
        <v>72</v>
      </c>
      <c r="I2637" s="4">
        <v>46048</v>
      </c>
      <c r="J2637" s="4">
        <v>46078</v>
      </c>
      <c r="K2637" t="s">
        <v>1144</v>
      </c>
      <c r="L2637" t="s">
        <v>207</v>
      </c>
      <c r="M2637" t="s">
        <v>19</v>
      </c>
      <c r="N2637" t="s">
        <v>1157</v>
      </c>
      <c r="O2637">
        <v>30</v>
      </c>
    </row>
    <row r="2638" spans="1:15" hidden="1" x14ac:dyDescent="0.25">
      <c r="A2638" t="s">
        <v>2820</v>
      </c>
      <c r="B2638" t="s">
        <v>1155</v>
      </c>
      <c r="C2638" t="s">
        <v>1156</v>
      </c>
      <c r="D2638" t="s">
        <v>1118</v>
      </c>
      <c r="E2638" t="s">
        <v>4443</v>
      </c>
      <c r="F2638" s="3">
        <v>5452811</v>
      </c>
      <c r="G2638" s="2">
        <f t="shared" si="82"/>
        <v>30</v>
      </c>
      <c r="H2638" s="2">
        <f t="shared" ca="1" si="83"/>
        <v>72</v>
      </c>
      <c r="I2638" s="4">
        <v>46048</v>
      </c>
      <c r="J2638" s="4">
        <v>46078</v>
      </c>
      <c r="K2638" t="s">
        <v>1144</v>
      </c>
      <c r="L2638" t="s">
        <v>207</v>
      </c>
      <c r="M2638" t="s">
        <v>19</v>
      </c>
      <c r="N2638" t="s">
        <v>1157</v>
      </c>
      <c r="O2638">
        <v>30</v>
      </c>
    </row>
    <row r="2639" spans="1:15" hidden="1" x14ac:dyDescent="0.25">
      <c r="A2639" t="s">
        <v>2820</v>
      </c>
      <c r="B2639" t="s">
        <v>205</v>
      </c>
      <c r="C2639" t="s">
        <v>206</v>
      </c>
      <c r="D2639" t="s">
        <v>15</v>
      </c>
      <c r="E2639" t="s">
        <v>4444</v>
      </c>
      <c r="F2639" s="3">
        <v>3883153</v>
      </c>
      <c r="G2639" s="2">
        <f t="shared" si="82"/>
        <v>1</v>
      </c>
      <c r="H2639" s="2">
        <f t="shared" ca="1" si="83"/>
        <v>72</v>
      </c>
      <c r="I2639" s="4">
        <v>46048</v>
      </c>
      <c r="J2639" s="4">
        <v>46049</v>
      </c>
      <c r="K2639" t="s">
        <v>1144</v>
      </c>
      <c r="L2639" t="s">
        <v>207</v>
      </c>
      <c r="M2639" t="s">
        <v>19</v>
      </c>
      <c r="N2639" t="s">
        <v>149</v>
      </c>
      <c r="O2639">
        <v>1</v>
      </c>
    </row>
    <row r="2640" spans="1:15" hidden="1" x14ac:dyDescent="0.25">
      <c r="A2640" t="s">
        <v>2820</v>
      </c>
      <c r="B2640" t="s">
        <v>205</v>
      </c>
      <c r="C2640" t="s">
        <v>206</v>
      </c>
      <c r="D2640" t="s">
        <v>15</v>
      </c>
      <c r="E2640" t="s">
        <v>4445</v>
      </c>
      <c r="F2640" s="3">
        <v>4835562</v>
      </c>
      <c r="G2640" s="2">
        <f t="shared" si="82"/>
        <v>1</v>
      </c>
      <c r="H2640" s="2">
        <f t="shared" ca="1" si="83"/>
        <v>72</v>
      </c>
      <c r="I2640" s="4">
        <v>46048</v>
      </c>
      <c r="J2640" s="4">
        <v>46049</v>
      </c>
      <c r="K2640" t="s">
        <v>1144</v>
      </c>
      <c r="L2640" t="s">
        <v>207</v>
      </c>
      <c r="M2640" t="s">
        <v>19</v>
      </c>
      <c r="N2640" t="s">
        <v>149</v>
      </c>
      <c r="O2640">
        <v>1</v>
      </c>
    </row>
    <row r="2641" spans="1:15" hidden="1" x14ac:dyDescent="0.25">
      <c r="A2641" t="s">
        <v>2820</v>
      </c>
      <c r="B2641" t="s">
        <v>205</v>
      </c>
      <c r="C2641" t="s">
        <v>206</v>
      </c>
      <c r="D2641" t="s">
        <v>15</v>
      </c>
      <c r="E2641" t="s">
        <v>4446</v>
      </c>
      <c r="F2641" s="3">
        <v>3038822</v>
      </c>
      <c r="G2641" s="2">
        <f t="shared" si="82"/>
        <v>1</v>
      </c>
      <c r="H2641" s="2">
        <f t="shared" ca="1" si="83"/>
        <v>72</v>
      </c>
      <c r="I2641" s="4">
        <v>46048</v>
      </c>
      <c r="J2641" s="4">
        <v>46049</v>
      </c>
      <c r="K2641" t="s">
        <v>1144</v>
      </c>
      <c r="L2641" t="s">
        <v>207</v>
      </c>
      <c r="M2641" t="s">
        <v>19</v>
      </c>
      <c r="N2641" t="s">
        <v>149</v>
      </c>
      <c r="O2641">
        <v>1</v>
      </c>
    </row>
    <row r="2642" spans="1:15" hidden="1" x14ac:dyDescent="0.25">
      <c r="A2642" t="s">
        <v>2820</v>
      </c>
      <c r="B2642" t="s">
        <v>1142</v>
      </c>
      <c r="C2642" t="s">
        <v>1143</v>
      </c>
      <c r="D2642" t="s">
        <v>1118</v>
      </c>
      <c r="E2642" t="s">
        <v>4447</v>
      </c>
      <c r="F2642" s="3">
        <v>4934040</v>
      </c>
      <c r="G2642" s="2">
        <f t="shared" si="82"/>
        <v>30</v>
      </c>
      <c r="H2642" s="2">
        <f t="shared" ca="1" si="83"/>
        <v>72</v>
      </c>
      <c r="I2642" s="4">
        <v>46048</v>
      </c>
      <c r="J2642" s="4">
        <v>46078</v>
      </c>
      <c r="K2642" t="s">
        <v>1144</v>
      </c>
      <c r="L2642" t="s">
        <v>207</v>
      </c>
      <c r="M2642" t="s">
        <v>19</v>
      </c>
      <c r="N2642" t="s">
        <v>1145</v>
      </c>
      <c r="O2642">
        <v>30</v>
      </c>
    </row>
    <row r="2643" spans="1:15" hidden="1" x14ac:dyDescent="0.25">
      <c r="A2643" t="s">
        <v>2820</v>
      </c>
      <c r="B2643" t="s">
        <v>1161</v>
      </c>
      <c r="C2643" t="s">
        <v>1162</v>
      </c>
      <c r="D2643" t="s">
        <v>1118</v>
      </c>
      <c r="E2643" t="s">
        <v>4448</v>
      </c>
      <c r="F2643" s="3">
        <v>2820046</v>
      </c>
      <c r="G2643" s="2">
        <f t="shared" si="82"/>
        <v>30</v>
      </c>
      <c r="H2643" s="2">
        <f t="shared" ca="1" si="83"/>
        <v>72</v>
      </c>
      <c r="I2643" s="4">
        <v>46048</v>
      </c>
      <c r="J2643" s="4">
        <v>46078</v>
      </c>
      <c r="K2643" t="s">
        <v>1144</v>
      </c>
      <c r="L2643" t="s">
        <v>207</v>
      </c>
      <c r="M2643" t="s">
        <v>19</v>
      </c>
      <c r="N2643" t="s">
        <v>1163</v>
      </c>
      <c r="O2643">
        <v>30</v>
      </c>
    </row>
    <row r="2644" spans="1:15" hidden="1" x14ac:dyDescent="0.25">
      <c r="A2644" t="s">
        <v>2820</v>
      </c>
      <c r="B2644" t="s">
        <v>1146</v>
      </c>
      <c r="C2644" t="s">
        <v>1147</v>
      </c>
      <c r="D2644" t="s">
        <v>1118</v>
      </c>
      <c r="E2644" t="s">
        <v>4449</v>
      </c>
      <c r="F2644" s="3">
        <v>1555962</v>
      </c>
      <c r="G2644" s="2">
        <f t="shared" si="82"/>
        <v>30</v>
      </c>
      <c r="H2644" s="2">
        <f t="shared" ca="1" si="83"/>
        <v>72</v>
      </c>
      <c r="I2644" s="4">
        <v>46048</v>
      </c>
      <c r="J2644" s="4">
        <v>46078</v>
      </c>
      <c r="K2644" t="s">
        <v>1144</v>
      </c>
      <c r="L2644" t="s">
        <v>207</v>
      </c>
      <c r="M2644" t="s">
        <v>19</v>
      </c>
      <c r="N2644" t="s">
        <v>1148</v>
      </c>
      <c r="O2644">
        <v>30</v>
      </c>
    </row>
    <row r="2645" spans="1:15" hidden="1" x14ac:dyDescent="0.25">
      <c r="A2645" t="s">
        <v>2820</v>
      </c>
      <c r="B2645" t="s">
        <v>1146</v>
      </c>
      <c r="C2645" t="s">
        <v>1147</v>
      </c>
      <c r="D2645" t="s">
        <v>1118</v>
      </c>
      <c r="E2645" t="s">
        <v>4450</v>
      </c>
      <c r="F2645" s="3">
        <v>1785199</v>
      </c>
      <c r="G2645" s="2">
        <f t="shared" si="82"/>
        <v>30</v>
      </c>
      <c r="H2645" s="2">
        <f t="shared" ca="1" si="83"/>
        <v>72</v>
      </c>
      <c r="I2645" s="4">
        <v>46048</v>
      </c>
      <c r="J2645" s="4">
        <v>46078</v>
      </c>
      <c r="K2645" t="s">
        <v>1144</v>
      </c>
      <c r="L2645" t="s">
        <v>207</v>
      </c>
      <c r="M2645" t="s">
        <v>19</v>
      </c>
      <c r="N2645" t="s">
        <v>1148</v>
      </c>
      <c r="O2645">
        <v>30</v>
      </c>
    </row>
    <row r="2646" spans="1:15" hidden="1" x14ac:dyDescent="0.25">
      <c r="A2646" t="s">
        <v>2820</v>
      </c>
      <c r="B2646" t="s">
        <v>1152</v>
      </c>
      <c r="C2646" t="s">
        <v>1153</v>
      </c>
      <c r="D2646" t="s">
        <v>1118</v>
      </c>
      <c r="E2646" t="s">
        <v>4451</v>
      </c>
      <c r="F2646" s="3">
        <v>1312017</v>
      </c>
      <c r="G2646" s="2">
        <f t="shared" si="82"/>
        <v>30</v>
      </c>
      <c r="H2646" s="2">
        <f t="shared" ca="1" si="83"/>
        <v>72</v>
      </c>
      <c r="I2646" s="4">
        <v>46048</v>
      </c>
      <c r="J2646" s="4">
        <v>46078</v>
      </c>
      <c r="K2646" t="s">
        <v>1144</v>
      </c>
      <c r="L2646" t="s">
        <v>207</v>
      </c>
      <c r="M2646" t="s">
        <v>19</v>
      </c>
      <c r="N2646" t="s">
        <v>1154</v>
      </c>
      <c r="O2646">
        <v>30</v>
      </c>
    </row>
    <row r="2647" spans="1:15" hidden="1" x14ac:dyDescent="0.25">
      <c r="A2647" t="s">
        <v>2820</v>
      </c>
      <c r="B2647" t="s">
        <v>1158</v>
      </c>
      <c r="C2647" t="s">
        <v>1159</v>
      </c>
      <c r="D2647" t="s">
        <v>1118</v>
      </c>
      <c r="E2647" t="s">
        <v>4452</v>
      </c>
      <c r="F2647" s="3">
        <v>1242178</v>
      </c>
      <c r="G2647" s="2">
        <f t="shared" si="82"/>
        <v>30</v>
      </c>
      <c r="H2647" s="2">
        <f t="shared" ca="1" si="83"/>
        <v>72</v>
      </c>
      <c r="I2647" s="4">
        <v>46048</v>
      </c>
      <c r="J2647" s="4">
        <v>46078</v>
      </c>
      <c r="K2647" t="s">
        <v>1144</v>
      </c>
      <c r="L2647" t="s">
        <v>207</v>
      </c>
      <c r="M2647" t="s">
        <v>19</v>
      </c>
      <c r="N2647" t="s">
        <v>1160</v>
      </c>
      <c r="O2647">
        <v>30</v>
      </c>
    </row>
    <row r="2648" spans="1:15" hidden="1" x14ac:dyDescent="0.25">
      <c r="A2648" t="s">
        <v>2820</v>
      </c>
      <c r="B2648" t="s">
        <v>205</v>
      </c>
      <c r="C2648" t="s">
        <v>206</v>
      </c>
      <c r="D2648" t="s">
        <v>15</v>
      </c>
      <c r="E2648" t="s">
        <v>4453</v>
      </c>
      <c r="F2648" s="3">
        <v>3213996</v>
      </c>
      <c r="G2648" s="2">
        <f t="shared" si="82"/>
        <v>1</v>
      </c>
      <c r="H2648" s="2">
        <f t="shared" ca="1" si="83"/>
        <v>72</v>
      </c>
      <c r="I2648" s="4">
        <v>46048</v>
      </c>
      <c r="J2648" s="4">
        <v>46049</v>
      </c>
      <c r="K2648" t="s">
        <v>1144</v>
      </c>
      <c r="L2648" t="s">
        <v>207</v>
      </c>
      <c r="M2648" t="s">
        <v>19</v>
      </c>
      <c r="N2648" t="s">
        <v>149</v>
      </c>
      <c r="O2648">
        <v>1</v>
      </c>
    </row>
    <row r="2649" spans="1:15" hidden="1" x14ac:dyDescent="0.25">
      <c r="A2649" t="s">
        <v>2820</v>
      </c>
      <c r="B2649" t="s">
        <v>2252</v>
      </c>
      <c r="C2649" t="s">
        <v>2253</v>
      </c>
      <c r="D2649" t="s">
        <v>1242</v>
      </c>
      <c r="E2649" t="s">
        <v>4600</v>
      </c>
      <c r="F2649" s="3">
        <v>1850000</v>
      </c>
      <c r="G2649" s="2">
        <f t="shared" si="82"/>
        <v>8</v>
      </c>
      <c r="H2649" s="2">
        <f t="shared" ca="1" si="83"/>
        <v>72</v>
      </c>
      <c r="I2649" s="4">
        <v>46048</v>
      </c>
      <c r="J2649" s="4">
        <v>46056</v>
      </c>
      <c r="K2649" t="s">
        <v>1243</v>
      </c>
      <c r="L2649" t="s">
        <v>207</v>
      </c>
      <c r="M2649" t="s">
        <v>19</v>
      </c>
      <c r="N2649" t="s">
        <v>2254</v>
      </c>
      <c r="O2649">
        <v>25</v>
      </c>
    </row>
    <row r="2650" spans="1:15" hidden="1" x14ac:dyDescent="0.25">
      <c r="A2650" t="s">
        <v>2820</v>
      </c>
      <c r="B2650" t="s">
        <v>1637</v>
      </c>
      <c r="C2650" t="s">
        <v>1638</v>
      </c>
      <c r="D2650" t="s">
        <v>1593</v>
      </c>
      <c r="E2650" t="s">
        <v>4654</v>
      </c>
      <c r="F2650" s="3">
        <v>4970401</v>
      </c>
      <c r="G2650" s="2">
        <f t="shared" si="82"/>
        <v>30</v>
      </c>
      <c r="H2650" s="2">
        <f t="shared" ca="1" si="83"/>
        <v>72</v>
      </c>
      <c r="I2650" s="4">
        <v>46048</v>
      </c>
      <c r="J2650" s="4">
        <v>46078</v>
      </c>
      <c r="K2650" t="s">
        <v>1589</v>
      </c>
      <c r="L2650" t="s">
        <v>984</v>
      </c>
      <c r="M2650" t="s">
        <v>19</v>
      </c>
      <c r="N2650" t="s">
        <v>1639</v>
      </c>
      <c r="O2650">
        <v>30</v>
      </c>
    </row>
    <row r="2651" spans="1:15" hidden="1" x14ac:dyDescent="0.25">
      <c r="A2651" t="s">
        <v>2820</v>
      </c>
      <c r="B2651" t="s">
        <v>1637</v>
      </c>
      <c r="C2651" t="s">
        <v>1638</v>
      </c>
      <c r="D2651" t="s">
        <v>1593</v>
      </c>
      <c r="E2651" t="s">
        <v>4655</v>
      </c>
      <c r="F2651" s="3">
        <v>1329485</v>
      </c>
      <c r="G2651" s="2">
        <f t="shared" si="82"/>
        <v>30</v>
      </c>
      <c r="H2651" s="2">
        <f t="shared" ca="1" si="83"/>
        <v>72</v>
      </c>
      <c r="I2651" s="4">
        <v>46048</v>
      </c>
      <c r="J2651" s="4">
        <v>46078</v>
      </c>
      <c r="K2651" t="s">
        <v>1589</v>
      </c>
      <c r="L2651" t="s">
        <v>984</v>
      </c>
      <c r="M2651" t="s">
        <v>19</v>
      </c>
      <c r="N2651" t="s">
        <v>1639</v>
      </c>
      <c r="O2651">
        <v>30</v>
      </c>
    </row>
    <row r="2652" spans="1:15" hidden="1" x14ac:dyDescent="0.25">
      <c r="A2652" t="s">
        <v>2820</v>
      </c>
      <c r="B2652" t="s">
        <v>1613</v>
      </c>
      <c r="C2652" t="s">
        <v>1614</v>
      </c>
      <c r="D2652" t="s">
        <v>1593</v>
      </c>
      <c r="E2652" t="s">
        <v>4656</v>
      </c>
      <c r="F2652" s="3">
        <v>2850000</v>
      </c>
      <c r="G2652" s="2">
        <f t="shared" si="82"/>
        <v>30</v>
      </c>
      <c r="H2652" s="2">
        <f t="shared" ca="1" si="83"/>
        <v>72</v>
      </c>
      <c r="I2652" s="4">
        <v>46048</v>
      </c>
      <c r="J2652" s="4">
        <v>46078</v>
      </c>
      <c r="K2652" t="s">
        <v>1589</v>
      </c>
      <c r="L2652" t="s">
        <v>984</v>
      </c>
      <c r="M2652" t="s">
        <v>19</v>
      </c>
      <c r="N2652" t="s">
        <v>1615</v>
      </c>
      <c r="O2652">
        <v>30</v>
      </c>
    </row>
    <row r="2653" spans="1:15" hidden="1" x14ac:dyDescent="0.25">
      <c r="A2653" t="s">
        <v>2820</v>
      </c>
      <c r="B2653" t="s">
        <v>1682</v>
      </c>
      <c r="C2653" t="s">
        <v>1683</v>
      </c>
      <c r="D2653" t="s">
        <v>1684</v>
      </c>
      <c r="E2653" t="s">
        <v>4657</v>
      </c>
      <c r="F2653" s="3">
        <v>481301</v>
      </c>
      <c r="G2653" s="2">
        <f t="shared" si="82"/>
        <v>30</v>
      </c>
      <c r="H2653" s="2">
        <f t="shared" ca="1" si="83"/>
        <v>72</v>
      </c>
      <c r="I2653" s="4">
        <v>46048</v>
      </c>
      <c r="J2653" s="4">
        <v>46078</v>
      </c>
      <c r="K2653" t="s">
        <v>1589</v>
      </c>
      <c r="L2653" t="s">
        <v>984</v>
      </c>
      <c r="M2653" t="s">
        <v>19</v>
      </c>
      <c r="N2653" t="s">
        <v>1685</v>
      </c>
      <c r="O2653">
        <v>30</v>
      </c>
    </row>
    <row r="2654" spans="1:15" hidden="1" x14ac:dyDescent="0.25">
      <c r="A2654" t="s">
        <v>2820</v>
      </c>
      <c r="B2654" t="s">
        <v>1643</v>
      </c>
      <c r="C2654" t="s">
        <v>1644</v>
      </c>
      <c r="D2654" t="s">
        <v>1587</v>
      </c>
      <c r="E2654" t="s">
        <v>4658</v>
      </c>
      <c r="F2654" s="3">
        <v>342598</v>
      </c>
      <c r="G2654" s="2">
        <f t="shared" si="82"/>
        <v>30</v>
      </c>
      <c r="H2654" s="2">
        <f t="shared" ca="1" si="83"/>
        <v>72</v>
      </c>
      <c r="I2654" s="4">
        <v>46048</v>
      </c>
      <c r="J2654" s="4">
        <v>46078</v>
      </c>
      <c r="K2654" t="s">
        <v>1589</v>
      </c>
      <c r="L2654" t="s">
        <v>984</v>
      </c>
      <c r="M2654" t="s">
        <v>19</v>
      </c>
      <c r="N2654" t="s">
        <v>1645</v>
      </c>
      <c r="O2654">
        <v>30</v>
      </c>
    </row>
    <row r="2655" spans="1:15" hidden="1" x14ac:dyDescent="0.25">
      <c r="A2655" t="s">
        <v>2820</v>
      </c>
      <c r="B2655" t="s">
        <v>1604</v>
      </c>
      <c r="C2655" t="s">
        <v>1605</v>
      </c>
      <c r="D2655" t="s">
        <v>1587</v>
      </c>
      <c r="E2655" t="s">
        <v>4659</v>
      </c>
      <c r="F2655" s="3">
        <v>3266001</v>
      </c>
      <c r="G2655" s="2">
        <f t="shared" si="82"/>
        <v>30</v>
      </c>
      <c r="H2655" s="2">
        <f t="shared" ca="1" si="83"/>
        <v>72</v>
      </c>
      <c r="I2655" s="4">
        <v>46048</v>
      </c>
      <c r="J2655" s="4">
        <v>46078</v>
      </c>
      <c r="K2655" t="s">
        <v>1589</v>
      </c>
      <c r="L2655" t="s">
        <v>984</v>
      </c>
      <c r="M2655" t="s">
        <v>19</v>
      </c>
      <c r="N2655" t="s">
        <v>1606</v>
      </c>
      <c r="O2655">
        <v>30</v>
      </c>
    </row>
    <row r="2656" spans="1:15" hidden="1" x14ac:dyDescent="0.25">
      <c r="A2656" t="s">
        <v>2820</v>
      </c>
      <c r="B2656" t="s">
        <v>1604</v>
      </c>
      <c r="C2656" t="s">
        <v>1605</v>
      </c>
      <c r="D2656" t="s">
        <v>1587</v>
      </c>
      <c r="E2656" t="s">
        <v>4660</v>
      </c>
      <c r="F2656" s="3">
        <v>978936</v>
      </c>
      <c r="G2656" s="2">
        <f t="shared" si="82"/>
        <v>30</v>
      </c>
      <c r="H2656" s="2">
        <f t="shared" ca="1" si="83"/>
        <v>72</v>
      </c>
      <c r="I2656" s="4">
        <v>46048</v>
      </c>
      <c r="J2656" s="4">
        <v>46078</v>
      </c>
      <c r="K2656" t="s">
        <v>1589</v>
      </c>
      <c r="L2656" t="s">
        <v>984</v>
      </c>
      <c r="M2656" t="s">
        <v>19</v>
      </c>
      <c r="N2656" t="s">
        <v>1606</v>
      </c>
      <c r="O2656">
        <v>30</v>
      </c>
    </row>
    <row r="2657" spans="1:15" hidden="1" x14ac:dyDescent="0.25">
      <c r="A2657" t="s">
        <v>2820</v>
      </c>
      <c r="B2657" t="s">
        <v>1670</v>
      </c>
      <c r="C2657" t="s">
        <v>1671</v>
      </c>
      <c r="D2657" t="s">
        <v>1587</v>
      </c>
      <c r="E2657" t="s">
        <v>4661</v>
      </c>
      <c r="F2657" s="3">
        <v>536012</v>
      </c>
      <c r="G2657" s="2">
        <f t="shared" si="82"/>
        <v>30</v>
      </c>
      <c r="H2657" s="2">
        <f t="shared" ca="1" si="83"/>
        <v>72</v>
      </c>
      <c r="I2657" s="4">
        <v>46048</v>
      </c>
      <c r="J2657" s="4">
        <v>46078</v>
      </c>
      <c r="K2657" t="s">
        <v>1589</v>
      </c>
      <c r="L2657" t="s">
        <v>984</v>
      </c>
      <c r="M2657" t="s">
        <v>19</v>
      </c>
      <c r="N2657" t="s">
        <v>1672</v>
      </c>
      <c r="O2657">
        <v>30</v>
      </c>
    </row>
    <row r="2658" spans="1:15" hidden="1" x14ac:dyDescent="0.25">
      <c r="A2658" t="s">
        <v>2820</v>
      </c>
      <c r="B2658" t="s">
        <v>1601</v>
      </c>
      <c r="C2658" t="s">
        <v>1602</v>
      </c>
      <c r="D2658" t="s">
        <v>1593</v>
      </c>
      <c r="E2658" t="s">
        <v>4662</v>
      </c>
      <c r="F2658" s="3">
        <v>2024084</v>
      </c>
      <c r="G2658" s="2">
        <f t="shared" si="82"/>
        <v>30</v>
      </c>
      <c r="H2658" s="2">
        <f t="shared" ca="1" si="83"/>
        <v>72</v>
      </c>
      <c r="I2658" s="4">
        <v>46048</v>
      </c>
      <c r="J2658" s="4">
        <v>46078</v>
      </c>
      <c r="K2658" t="s">
        <v>1589</v>
      </c>
      <c r="L2658" t="s">
        <v>984</v>
      </c>
      <c r="M2658" t="s">
        <v>19</v>
      </c>
      <c r="N2658" t="s">
        <v>1603</v>
      </c>
      <c r="O2658">
        <v>30</v>
      </c>
    </row>
    <row r="2659" spans="1:15" hidden="1" x14ac:dyDescent="0.25">
      <c r="A2659" t="s">
        <v>2820</v>
      </c>
      <c r="B2659" t="s">
        <v>1591</v>
      </c>
      <c r="C2659" t="s">
        <v>1592</v>
      </c>
      <c r="D2659" t="s">
        <v>1593</v>
      </c>
      <c r="E2659" t="s">
        <v>4663</v>
      </c>
      <c r="F2659" s="3">
        <v>4240002</v>
      </c>
      <c r="G2659" s="2">
        <f t="shared" si="82"/>
        <v>30</v>
      </c>
      <c r="H2659" s="2">
        <f t="shared" ca="1" si="83"/>
        <v>72</v>
      </c>
      <c r="I2659" s="4">
        <v>46048</v>
      </c>
      <c r="J2659" s="4">
        <v>46078</v>
      </c>
      <c r="K2659" t="s">
        <v>1589</v>
      </c>
      <c r="L2659" t="s">
        <v>984</v>
      </c>
      <c r="M2659" t="s">
        <v>19</v>
      </c>
      <c r="N2659" t="s">
        <v>1594</v>
      </c>
      <c r="O2659">
        <v>30</v>
      </c>
    </row>
    <row r="2660" spans="1:15" hidden="1" x14ac:dyDescent="0.25">
      <c r="A2660" t="s">
        <v>2820</v>
      </c>
      <c r="B2660" t="s">
        <v>1591</v>
      </c>
      <c r="C2660" t="s">
        <v>1592</v>
      </c>
      <c r="D2660" t="s">
        <v>1593</v>
      </c>
      <c r="E2660" t="s">
        <v>4664</v>
      </c>
      <c r="F2660" s="3">
        <v>4810602</v>
      </c>
      <c r="G2660" s="2">
        <f t="shared" si="82"/>
        <v>30</v>
      </c>
      <c r="H2660" s="2">
        <f t="shared" ca="1" si="83"/>
        <v>72</v>
      </c>
      <c r="I2660" s="4">
        <v>46048</v>
      </c>
      <c r="J2660" s="4">
        <v>46078</v>
      </c>
      <c r="K2660" t="s">
        <v>1589</v>
      </c>
      <c r="L2660" t="s">
        <v>984</v>
      </c>
      <c r="M2660" t="s">
        <v>19</v>
      </c>
      <c r="N2660" t="s">
        <v>1594</v>
      </c>
      <c r="O2660">
        <v>30</v>
      </c>
    </row>
    <row r="2661" spans="1:15" hidden="1" x14ac:dyDescent="0.25">
      <c r="A2661" t="s">
        <v>2820</v>
      </c>
      <c r="B2661" t="s">
        <v>1591</v>
      </c>
      <c r="C2661" t="s">
        <v>1592</v>
      </c>
      <c r="D2661" t="s">
        <v>1593</v>
      </c>
      <c r="E2661" t="s">
        <v>4665</v>
      </c>
      <c r="F2661" s="3">
        <v>3066238</v>
      </c>
      <c r="G2661" s="2">
        <f t="shared" si="82"/>
        <v>30</v>
      </c>
      <c r="H2661" s="2">
        <f t="shared" ca="1" si="83"/>
        <v>72</v>
      </c>
      <c r="I2661" s="4">
        <v>46048</v>
      </c>
      <c r="J2661" s="4">
        <v>46078</v>
      </c>
      <c r="K2661" t="s">
        <v>1589</v>
      </c>
      <c r="L2661" t="s">
        <v>984</v>
      </c>
      <c r="M2661" t="s">
        <v>19</v>
      </c>
      <c r="N2661" t="s">
        <v>1594</v>
      </c>
      <c r="O2661">
        <v>30</v>
      </c>
    </row>
    <row r="2662" spans="1:15" hidden="1" x14ac:dyDescent="0.25">
      <c r="A2662" t="s">
        <v>2820</v>
      </c>
      <c r="B2662" t="s">
        <v>1591</v>
      </c>
      <c r="C2662" t="s">
        <v>1592</v>
      </c>
      <c r="D2662" t="s">
        <v>1593</v>
      </c>
      <c r="E2662" t="s">
        <v>4666</v>
      </c>
      <c r="F2662" s="3">
        <v>2271675</v>
      </c>
      <c r="G2662" s="2">
        <f t="shared" si="82"/>
        <v>30</v>
      </c>
      <c r="H2662" s="2">
        <f t="shared" ca="1" si="83"/>
        <v>72</v>
      </c>
      <c r="I2662" s="4">
        <v>46048</v>
      </c>
      <c r="J2662" s="4">
        <v>46078</v>
      </c>
      <c r="K2662" t="s">
        <v>1589</v>
      </c>
      <c r="L2662" t="s">
        <v>984</v>
      </c>
      <c r="M2662" t="s">
        <v>19</v>
      </c>
      <c r="N2662" t="s">
        <v>1594</v>
      </c>
      <c r="O2662">
        <v>30</v>
      </c>
    </row>
    <row r="2663" spans="1:15" hidden="1" x14ac:dyDescent="0.25">
      <c r="A2663" t="s">
        <v>2820</v>
      </c>
      <c r="B2663" t="s">
        <v>1619</v>
      </c>
      <c r="C2663" t="s">
        <v>1620</v>
      </c>
      <c r="D2663" t="s">
        <v>1593</v>
      </c>
      <c r="E2663" t="s">
        <v>4667</v>
      </c>
      <c r="F2663" s="3">
        <v>505633</v>
      </c>
      <c r="G2663" s="2">
        <f t="shared" si="82"/>
        <v>30</v>
      </c>
      <c r="H2663" s="2">
        <f t="shared" ca="1" si="83"/>
        <v>72</v>
      </c>
      <c r="I2663" s="4">
        <v>46048</v>
      </c>
      <c r="J2663" s="4">
        <v>46078</v>
      </c>
      <c r="K2663" t="s">
        <v>1589</v>
      </c>
      <c r="L2663" t="s">
        <v>984</v>
      </c>
      <c r="M2663" t="s">
        <v>19</v>
      </c>
      <c r="N2663" t="s">
        <v>1621</v>
      </c>
      <c r="O2663">
        <v>30</v>
      </c>
    </row>
    <row r="2664" spans="1:15" hidden="1" x14ac:dyDescent="0.25">
      <c r="A2664" t="s">
        <v>2820</v>
      </c>
      <c r="B2664" t="s">
        <v>1667</v>
      </c>
      <c r="C2664" t="s">
        <v>1668</v>
      </c>
      <c r="D2664" t="s">
        <v>1587</v>
      </c>
      <c r="E2664" t="s">
        <v>4668</v>
      </c>
      <c r="F2664" s="3">
        <v>864600</v>
      </c>
      <c r="G2664" s="2">
        <f t="shared" si="82"/>
        <v>30</v>
      </c>
      <c r="H2664" s="2">
        <f t="shared" ca="1" si="83"/>
        <v>72</v>
      </c>
      <c r="I2664" s="4">
        <v>46048</v>
      </c>
      <c r="J2664" s="4">
        <v>46078</v>
      </c>
      <c r="K2664" t="s">
        <v>1589</v>
      </c>
      <c r="L2664" t="s">
        <v>984</v>
      </c>
      <c r="M2664" t="s">
        <v>19</v>
      </c>
      <c r="N2664" t="s">
        <v>1669</v>
      </c>
      <c r="O2664">
        <v>30</v>
      </c>
    </row>
    <row r="2665" spans="1:15" hidden="1" x14ac:dyDescent="0.25">
      <c r="A2665" t="s">
        <v>2820</v>
      </c>
      <c r="B2665" t="s">
        <v>1667</v>
      </c>
      <c r="C2665" t="s">
        <v>1668</v>
      </c>
      <c r="D2665" t="s">
        <v>1587</v>
      </c>
      <c r="E2665" t="s">
        <v>4669</v>
      </c>
      <c r="F2665" s="3">
        <v>378801</v>
      </c>
      <c r="G2665" s="2">
        <f t="shared" si="82"/>
        <v>30</v>
      </c>
      <c r="H2665" s="2">
        <f t="shared" ca="1" si="83"/>
        <v>72</v>
      </c>
      <c r="I2665" s="4">
        <v>46048</v>
      </c>
      <c r="J2665" s="4">
        <v>46078</v>
      </c>
      <c r="K2665" t="s">
        <v>1589</v>
      </c>
      <c r="L2665" t="s">
        <v>984</v>
      </c>
      <c r="M2665" t="s">
        <v>19</v>
      </c>
      <c r="N2665" t="s">
        <v>1669</v>
      </c>
      <c r="O2665">
        <v>30</v>
      </c>
    </row>
    <row r="2666" spans="1:15" hidden="1" x14ac:dyDescent="0.25">
      <c r="A2666" t="s">
        <v>2820</v>
      </c>
      <c r="B2666" t="s">
        <v>1679</v>
      </c>
      <c r="C2666" t="s">
        <v>1680</v>
      </c>
      <c r="D2666" t="s">
        <v>1593</v>
      </c>
      <c r="E2666" t="s">
        <v>4670</v>
      </c>
      <c r="F2666" s="3">
        <v>972000</v>
      </c>
      <c r="G2666" s="2">
        <f t="shared" si="82"/>
        <v>30</v>
      </c>
      <c r="H2666" s="2">
        <f t="shared" ca="1" si="83"/>
        <v>72</v>
      </c>
      <c r="I2666" s="4">
        <v>46048</v>
      </c>
      <c r="J2666" s="4">
        <v>46078</v>
      </c>
      <c r="K2666" t="s">
        <v>1589</v>
      </c>
      <c r="L2666" t="s">
        <v>984</v>
      </c>
      <c r="M2666" t="s">
        <v>19</v>
      </c>
      <c r="N2666" t="s">
        <v>1681</v>
      </c>
      <c r="O2666">
        <v>30</v>
      </c>
    </row>
    <row r="2667" spans="1:15" hidden="1" x14ac:dyDescent="0.25">
      <c r="A2667" t="s">
        <v>2820</v>
      </c>
      <c r="B2667" t="s">
        <v>1622</v>
      </c>
      <c r="C2667" t="s">
        <v>1623</v>
      </c>
      <c r="D2667" t="s">
        <v>1587</v>
      </c>
      <c r="E2667" t="s">
        <v>4671</v>
      </c>
      <c r="F2667" s="3">
        <v>1024896</v>
      </c>
      <c r="G2667" s="2">
        <f t="shared" si="82"/>
        <v>30</v>
      </c>
      <c r="H2667" s="2">
        <f t="shared" ca="1" si="83"/>
        <v>72</v>
      </c>
      <c r="I2667" s="4">
        <v>46048</v>
      </c>
      <c r="J2667" s="4">
        <v>46078</v>
      </c>
      <c r="K2667" t="s">
        <v>1589</v>
      </c>
      <c r="L2667" t="s">
        <v>984</v>
      </c>
      <c r="M2667" t="s">
        <v>19</v>
      </c>
      <c r="N2667" t="s">
        <v>1624</v>
      </c>
      <c r="O2667">
        <v>1</v>
      </c>
    </row>
    <row r="2668" spans="1:15" hidden="1" x14ac:dyDescent="0.25">
      <c r="A2668" t="s">
        <v>2820</v>
      </c>
      <c r="B2668" t="s">
        <v>1622</v>
      </c>
      <c r="C2668" t="s">
        <v>1623</v>
      </c>
      <c r="D2668" t="s">
        <v>1587</v>
      </c>
      <c r="E2668" t="s">
        <v>4672</v>
      </c>
      <c r="F2668" s="3">
        <v>405010</v>
      </c>
      <c r="G2668" s="2">
        <f t="shared" si="82"/>
        <v>30</v>
      </c>
      <c r="H2668" s="2">
        <f t="shared" ca="1" si="83"/>
        <v>72</v>
      </c>
      <c r="I2668" s="4">
        <v>46048</v>
      </c>
      <c r="J2668" s="4">
        <v>46078</v>
      </c>
      <c r="K2668" t="s">
        <v>1589</v>
      </c>
      <c r="L2668" t="s">
        <v>984</v>
      </c>
      <c r="M2668" t="s">
        <v>19</v>
      </c>
      <c r="N2668" t="s">
        <v>1624</v>
      </c>
      <c r="O2668">
        <v>1</v>
      </c>
    </row>
    <row r="2669" spans="1:15" hidden="1" x14ac:dyDescent="0.25">
      <c r="A2669" t="s">
        <v>2820</v>
      </c>
      <c r="B2669" t="s">
        <v>1640</v>
      </c>
      <c r="C2669" t="s">
        <v>1641</v>
      </c>
      <c r="D2669" t="s">
        <v>1587</v>
      </c>
      <c r="E2669" t="s">
        <v>4673</v>
      </c>
      <c r="F2669" s="3">
        <v>1074400</v>
      </c>
      <c r="G2669" s="2">
        <f t="shared" si="82"/>
        <v>30</v>
      </c>
      <c r="H2669" s="2">
        <f t="shared" ca="1" si="83"/>
        <v>72</v>
      </c>
      <c r="I2669" s="4">
        <v>46048</v>
      </c>
      <c r="J2669" s="4">
        <v>46078</v>
      </c>
      <c r="K2669" t="s">
        <v>1589</v>
      </c>
      <c r="L2669" t="s">
        <v>984</v>
      </c>
      <c r="M2669" t="s">
        <v>391</v>
      </c>
      <c r="N2669" t="s">
        <v>1642</v>
      </c>
      <c r="O2669">
        <v>30</v>
      </c>
    </row>
    <row r="2670" spans="1:15" hidden="1" x14ac:dyDescent="0.25">
      <c r="A2670" t="s">
        <v>2820</v>
      </c>
      <c r="B2670" t="s">
        <v>1640</v>
      </c>
      <c r="C2670" t="s">
        <v>1641</v>
      </c>
      <c r="D2670" t="s">
        <v>1587</v>
      </c>
      <c r="E2670" t="s">
        <v>4674</v>
      </c>
      <c r="F2670" s="3">
        <v>263399</v>
      </c>
      <c r="G2670" s="2">
        <f t="shared" si="82"/>
        <v>30</v>
      </c>
      <c r="H2670" s="2">
        <f t="shared" ca="1" si="83"/>
        <v>72</v>
      </c>
      <c r="I2670" s="4">
        <v>46048</v>
      </c>
      <c r="J2670" s="4">
        <v>46078</v>
      </c>
      <c r="K2670" t="s">
        <v>1589</v>
      </c>
      <c r="L2670" t="s">
        <v>984</v>
      </c>
      <c r="M2670" t="s">
        <v>391</v>
      </c>
      <c r="N2670" t="s">
        <v>1642</v>
      </c>
      <c r="O2670">
        <v>30</v>
      </c>
    </row>
    <row r="2671" spans="1:15" hidden="1" x14ac:dyDescent="0.25">
      <c r="A2671" t="s">
        <v>2820</v>
      </c>
      <c r="B2671" t="s">
        <v>104</v>
      </c>
      <c r="C2671" t="s">
        <v>105</v>
      </c>
      <c r="D2671" t="s">
        <v>46</v>
      </c>
      <c r="E2671" t="s">
        <v>4727</v>
      </c>
      <c r="F2671" s="3">
        <v>2035837</v>
      </c>
      <c r="G2671" s="2">
        <f t="shared" si="82"/>
        <v>30</v>
      </c>
      <c r="H2671" s="2">
        <f t="shared" ca="1" si="83"/>
        <v>71</v>
      </c>
      <c r="I2671" s="4">
        <v>46049</v>
      </c>
      <c r="J2671" s="4">
        <v>46079</v>
      </c>
      <c r="K2671" t="s">
        <v>17</v>
      </c>
      <c r="L2671" t="s">
        <v>32</v>
      </c>
      <c r="M2671" t="s">
        <v>19</v>
      </c>
      <c r="N2671" t="s">
        <v>106</v>
      </c>
      <c r="O2671">
        <v>30</v>
      </c>
    </row>
    <row r="2672" spans="1:15" hidden="1" x14ac:dyDescent="0.25">
      <c r="A2672" t="s">
        <v>2820</v>
      </c>
      <c r="B2672" t="s">
        <v>44</v>
      </c>
      <c r="C2672" t="s">
        <v>45</v>
      </c>
      <c r="D2672" t="s">
        <v>46</v>
      </c>
      <c r="E2672" t="s">
        <v>4728</v>
      </c>
      <c r="F2672" s="3">
        <v>1251357</v>
      </c>
      <c r="G2672" s="2">
        <f t="shared" si="82"/>
        <v>30</v>
      </c>
      <c r="H2672" s="2">
        <f t="shared" ca="1" si="83"/>
        <v>71</v>
      </c>
      <c r="I2672" s="4">
        <v>46049</v>
      </c>
      <c r="J2672" s="4">
        <v>46079</v>
      </c>
      <c r="K2672" t="s">
        <v>17</v>
      </c>
      <c r="L2672" t="s">
        <v>32</v>
      </c>
      <c r="M2672" t="s">
        <v>19</v>
      </c>
      <c r="N2672" t="s">
        <v>48</v>
      </c>
      <c r="O2672">
        <v>30</v>
      </c>
    </row>
    <row r="2673" spans="1:15" hidden="1" x14ac:dyDescent="0.25">
      <c r="A2673" t="s">
        <v>2820</v>
      </c>
      <c r="B2673" t="s">
        <v>44</v>
      </c>
      <c r="C2673" t="s">
        <v>45</v>
      </c>
      <c r="D2673" t="s">
        <v>46</v>
      </c>
      <c r="E2673" t="s">
        <v>4729</v>
      </c>
      <c r="F2673" s="3">
        <v>1373522</v>
      </c>
      <c r="G2673" s="2">
        <f t="shared" si="82"/>
        <v>30</v>
      </c>
      <c r="H2673" s="2">
        <f t="shared" ca="1" si="83"/>
        <v>71</v>
      </c>
      <c r="I2673" s="4">
        <v>46049</v>
      </c>
      <c r="J2673" s="4">
        <v>46079</v>
      </c>
      <c r="K2673" t="s">
        <v>17</v>
      </c>
      <c r="L2673" t="s">
        <v>32</v>
      </c>
      <c r="M2673" t="s">
        <v>19</v>
      </c>
      <c r="N2673" t="s">
        <v>48</v>
      </c>
      <c r="O2673">
        <v>30</v>
      </c>
    </row>
    <row r="2674" spans="1:15" hidden="1" x14ac:dyDescent="0.25">
      <c r="A2674" t="s">
        <v>2820</v>
      </c>
      <c r="B2674" t="s">
        <v>44</v>
      </c>
      <c r="C2674" t="s">
        <v>45</v>
      </c>
      <c r="D2674" t="s">
        <v>46</v>
      </c>
      <c r="E2674" t="s">
        <v>4730</v>
      </c>
      <c r="F2674" s="3">
        <v>840000</v>
      </c>
      <c r="G2674" s="2">
        <f t="shared" si="82"/>
        <v>10</v>
      </c>
      <c r="H2674" s="2">
        <f t="shared" ca="1" si="83"/>
        <v>71</v>
      </c>
      <c r="I2674" s="4">
        <v>46049</v>
      </c>
      <c r="J2674" s="4">
        <v>46059</v>
      </c>
      <c r="K2674" t="s">
        <v>17</v>
      </c>
      <c r="L2674" t="s">
        <v>32</v>
      </c>
      <c r="M2674" t="s">
        <v>19</v>
      </c>
      <c r="N2674" t="s">
        <v>48</v>
      </c>
      <c r="O2674">
        <v>30</v>
      </c>
    </row>
    <row r="2675" spans="1:15" hidden="1" x14ac:dyDescent="0.25">
      <c r="A2675" t="s">
        <v>2820</v>
      </c>
      <c r="B2675" t="s">
        <v>183</v>
      </c>
      <c r="C2675" t="s">
        <v>184</v>
      </c>
      <c r="D2675" t="s">
        <v>15</v>
      </c>
      <c r="E2675" t="s">
        <v>4731</v>
      </c>
      <c r="F2675" s="3">
        <v>322000</v>
      </c>
      <c r="G2675" s="2">
        <f t="shared" si="82"/>
        <v>30</v>
      </c>
      <c r="H2675" s="2">
        <f t="shared" ca="1" si="83"/>
        <v>71</v>
      </c>
      <c r="I2675" s="4">
        <v>46049</v>
      </c>
      <c r="J2675" s="4">
        <v>46079</v>
      </c>
      <c r="K2675" t="s">
        <v>17</v>
      </c>
      <c r="L2675" t="s">
        <v>32</v>
      </c>
      <c r="M2675" t="s">
        <v>19</v>
      </c>
      <c r="N2675" t="s">
        <v>185</v>
      </c>
      <c r="O2675">
        <v>30</v>
      </c>
    </row>
    <row r="2676" spans="1:15" hidden="1" x14ac:dyDescent="0.25">
      <c r="A2676" t="s">
        <v>2820</v>
      </c>
      <c r="B2676" t="s">
        <v>52</v>
      </c>
      <c r="C2676" t="s">
        <v>53</v>
      </c>
      <c r="D2676" t="s">
        <v>15</v>
      </c>
      <c r="E2676" t="s">
        <v>4732</v>
      </c>
      <c r="F2676" s="3">
        <v>845560</v>
      </c>
      <c r="G2676" s="2">
        <f t="shared" si="82"/>
        <v>30</v>
      </c>
      <c r="H2676" s="2">
        <f t="shared" ca="1" si="83"/>
        <v>71</v>
      </c>
      <c r="I2676" s="4">
        <v>46049</v>
      </c>
      <c r="J2676" s="4">
        <v>46079</v>
      </c>
      <c r="K2676" t="s">
        <v>17</v>
      </c>
      <c r="L2676" t="s">
        <v>32</v>
      </c>
      <c r="M2676" t="s">
        <v>19</v>
      </c>
      <c r="N2676" t="s">
        <v>54</v>
      </c>
      <c r="O2676">
        <v>30</v>
      </c>
    </row>
    <row r="2677" spans="1:15" hidden="1" x14ac:dyDescent="0.25">
      <c r="A2677" t="s">
        <v>2820</v>
      </c>
      <c r="B2677" t="s">
        <v>162</v>
      </c>
      <c r="C2677" t="s">
        <v>163</v>
      </c>
      <c r="D2677" t="s">
        <v>15</v>
      </c>
      <c r="E2677" t="s">
        <v>4740</v>
      </c>
      <c r="F2677" s="3">
        <v>1002800</v>
      </c>
      <c r="G2677" s="2">
        <f t="shared" si="82"/>
        <v>10</v>
      </c>
      <c r="H2677" s="2">
        <f t="shared" ca="1" si="83"/>
        <v>71</v>
      </c>
      <c r="I2677" s="4">
        <v>46049</v>
      </c>
      <c r="J2677" s="4">
        <v>46059</v>
      </c>
      <c r="K2677" t="s">
        <v>17</v>
      </c>
      <c r="L2677" t="s">
        <v>32</v>
      </c>
      <c r="M2677" t="s">
        <v>19</v>
      </c>
      <c r="N2677" t="s">
        <v>164</v>
      </c>
      <c r="O2677">
        <v>30</v>
      </c>
    </row>
    <row r="2678" spans="1:15" hidden="1" x14ac:dyDescent="0.25">
      <c r="A2678" t="s">
        <v>2820</v>
      </c>
      <c r="B2678" t="s">
        <v>2170</v>
      </c>
      <c r="C2678" t="s">
        <v>2171</v>
      </c>
      <c r="D2678" t="s">
        <v>15</v>
      </c>
      <c r="E2678" t="s">
        <v>4741</v>
      </c>
      <c r="F2678" s="3">
        <v>138902</v>
      </c>
      <c r="G2678" s="2">
        <f t="shared" si="82"/>
        <v>1</v>
      </c>
      <c r="H2678" s="2">
        <f t="shared" ca="1" si="83"/>
        <v>71</v>
      </c>
      <c r="I2678" s="4">
        <v>46049</v>
      </c>
      <c r="J2678" s="4">
        <v>46050</v>
      </c>
      <c r="K2678" t="s">
        <v>17</v>
      </c>
      <c r="L2678" t="s">
        <v>32</v>
      </c>
      <c r="M2678" t="s">
        <v>19</v>
      </c>
      <c r="N2678" t="s">
        <v>2172</v>
      </c>
      <c r="O2678">
        <v>30</v>
      </c>
    </row>
    <row r="2679" spans="1:15" hidden="1" x14ac:dyDescent="0.25">
      <c r="A2679" t="s">
        <v>2820</v>
      </c>
      <c r="B2679" t="s">
        <v>162</v>
      </c>
      <c r="C2679" t="s">
        <v>163</v>
      </c>
      <c r="D2679" t="s">
        <v>15</v>
      </c>
      <c r="E2679" t="s">
        <v>4742</v>
      </c>
      <c r="F2679" s="3">
        <v>96000</v>
      </c>
      <c r="G2679" s="2">
        <f t="shared" si="82"/>
        <v>30</v>
      </c>
      <c r="H2679" s="2">
        <f t="shared" ca="1" si="83"/>
        <v>71</v>
      </c>
      <c r="I2679" s="4">
        <v>46049</v>
      </c>
      <c r="J2679" s="4">
        <v>46079</v>
      </c>
      <c r="K2679" t="s">
        <v>17</v>
      </c>
      <c r="L2679" t="s">
        <v>32</v>
      </c>
      <c r="M2679" t="s">
        <v>19</v>
      </c>
      <c r="N2679" t="s">
        <v>164</v>
      </c>
      <c r="O2679">
        <v>30</v>
      </c>
    </row>
    <row r="2680" spans="1:15" hidden="1" x14ac:dyDescent="0.25">
      <c r="A2680" t="s">
        <v>2820</v>
      </c>
      <c r="B2680" t="s">
        <v>4743</v>
      </c>
      <c r="C2680" t="s">
        <v>4744</v>
      </c>
      <c r="D2680" t="s">
        <v>4215</v>
      </c>
      <c r="E2680" t="s">
        <v>4745</v>
      </c>
      <c r="F2680" s="3">
        <v>162750</v>
      </c>
      <c r="G2680" s="2">
        <f t="shared" si="82"/>
        <v>1</v>
      </c>
      <c r="H2680" s="2">
        <f t="shared" ca="1" si="83"/>
        <v>71</v>
      </c>
      <c r="I2680" s="4">
        <v>46049</v>
      </c>
      <c r="J2680" s="4">
        <v>46050</v>
      </c>
      <c r="K2680" t="s">
        <v>17</v>
      </c>
      <c r="L2680" t="s">
        <v>28</v>
      </c>
      <c r="M2680" t="s">
        <v>19</v>
      </c>
      <c r="N2680" t="s">
        <v>4746</v>
      </c>
      <c r="O2680">
        <v>30</v>
      </c>
    </row>
    <row r="2681" spans="1:15" hidden="1" x14ac:dyDescent="0.25">
      <c r="A2681" t="s">
        <v>2820</v>
      </c>
      <c r="B2681" t="s">
        <v>4209</v>
      </c>
      <c r="C2681" t="s">
        <v>4210</v>
      </c>
      <c r="D2681" t="s">
        <v>46</v>
      </c>
      <c r="E2681" t="s">
        <v>4852</v>
      </c>
      <c r="F2681" s="3">
        <v>1257025</v>
      </c>
      <c r="G2681" s="2">
        <f t="shared" si="82"/>
        <v>30</v>
      </c>
      <c r="H2681" s="2">
        <f t="shared" ca="1" si="83"/>
        <v>71</v>
      </c>
      <c r="I2681" s="4">
        <v>46049</v>
      </c>
      <c r="J2681" s="4">
        <v>46079</v>
      </c>
      <c r="K2681" t="s">
        <v>17</v>
      </c>
      <c r="L2681" t="s">
        <v>32</v>
      </c>
      <c r="M2681" t="s">
        <v>19</v>
      </c>
      <c r="N2681" t="s">
        <v>149</v>
      </c>
      <c r="O2681">
        <v>30</v>
      </c>
    </row>
    <row r="2682" spans="1:15" hidden="1" x14ac:dyDescent="0.25">
      <c r="A2682" t="s">
        <v>2820</v>
      </c>
      <c r="B2682" t="s">
        <v>205</v>
      </c>
      <c r="C2682" t="s">
        <v>206</v>
      </c>
      <c r="D2682" t="s">
        <v>15</v>
      </c>
      <c r="E2682" t="s">
        <v>4853</v>
      </c>
      <c r="F2682" s="3">
        <v>1500</v>
      </c>
      <c r="G2682" s="2">
        <f t="shared" si="82"/>
        <v>1</v>
      </c>
      <c r="H2682" s="2">
        <f t="shared" ca="1" si="83"/>
        <v>71</v>
      </c>
      <c r="I2682" s="4">
        <v>46049</v>
      </c>
      <c r="J2682" s="4">
        <v>46050</v>
      </c>
      <c r="K2682" t="s">
        <v>17</v>
      </c>
      <c r="L2682" t="s">
        <v>109</v>
      </c>
      <c r="M2682" t="s">
        <v>19</v>
      </c>
      <c r="N2682" t="s">
        <v>149</v>
      </c>
      <c r="O2682">
        <v>1</v>
      </c>
    </row>
    <row r="2683" spans="1:15" hidden="1" x14ac:dyDescent="0.25">
      <c r="A2683" t="s">
        <v>2820</v>
      </c>
      <c r="B2683" t="s">
        <v>205</v>
      </c>
      <c r="C2683" t="s">
        <v>206</v>
      </c>
      <c r="D2683" t="s">
        <v>15</v>
      </c>
      <c r="E2683" t="s">
        <v>4854</v>
      </c>
      <c r="F2683" s="3">
        <v>14000</v>
      </c>
      <c r="G2683" s="2">
        <f t="shared" si="82"/>
        <v>1</v>
      </c>
      <c r="H2683" s="2">
        <f t="shared" ca="1" si="83"/>
        <v>71</v>
      </c>
      <c r="I2683" s="4">
        <v>46049</v>
      </c>
      <c r="J2683" s="4">
        <v>46050</v>
      </c>
      <c r="K2683" t="s">
        <v>17</v>
      </c>
      <c r="L2683" t="s">
        <v>109</v>
      </c>
      <c r="M2683" t="s">
        <v>19</v>
      </c>
      <c r="N2683" t="s">
        <v>149</v>
      </c>
      <c r="O2683">
        <v>1</v>
      </c>
    </row>
    <row r="2684" spans="1:15" hidden="1" x14ac:dyDescent="0.25">
      <c r="A2684" t="s">
        <v>2820</v>
      </c>
      <c r="B2684" t="s">
        <v>205</v>
      </c>
      <c r="C2684" t="s">
        <v>206</v>
      </c>
      <c r="D2684" t="s">
        <v>15</v>
      </c>
      <c r="E2684" t="s">
        <v>4855</v>
      </c>
      <c r="F2684" s="3">
        <v>298320</v>
      </c>
      <c r="G2684" s="2">
        <f t="shared" si="82"/>
        <v>1</v>
      </c>
      <c r="H2684" s="2">
        <f t="shared" ca="1" si="83"/>
        <v>71</v>
      </c>
      <c r="I2684" s="4">
        <v>46049</v>
      </c>
      <c r="J2684" s="4">
        <v>46050</v>
      </c>
      <c r="K2684" t="s">
        <v>17</v>
      </c>
      <c r="L2684" t="s">
        <v>109</v>
      </c>
      <c r="M2684" t="s">
        <v>19</v>
      </c>
      <c r="N2684" t="s">
        <v>149</v>
      </c>
      <c r="O2684">
        <v>1</v>
      </c>
    </row>
    <row r="2685" spans="1:15" hidden="1" x14ac:dyDescent="0.25">
      <c r="A2685" t="s">
        <v>2820</v>
      </c>
      <c r="B2685" t="s">
        <v>205</v>
      </c>
      <c r="C2685" t="s">
        <v>206</v>
      </c>
      <c r="D2685" t="s">
        <v>15</v>
      </c>
      <c r="E2685" t="s">
        <v>4856</v>
      </c>
      <c r="F2685" s="3">
        <v>7500</v>
      </c>
      <c r="G2685" s="2">
        <f t="shared" si="82"/>
        <v>1</v>
      </c>
      <c r="H2685" s="2">
        <f t="shared" ca="1" si="83"/>
        <v>71</v>
      </c>
      <c r="I2685" s="4">
        <v>46049</v>
      </c>
      <c r="J2685" s="4">
        <v>46050</v>
      </c>
      <c r="K2685" t="s">
        <v>17</v>
      </c>
      <c r="L2685" t="s">
        <v>109</v>
      </c>
      <c r="M2685" t="s">
        <v>19</v>
      </c>
      <c r="N2685" t="s">
        <v>149</v>
      </c>
      <c r="O2685">
        <v>1</v>
      </c>
    </row>
    <row r="2686" spans="1:15" hidden="1" x14ac:dyDescent="0.25">
      <c r="A2686" t="s">
        <v>2820</v>
      </c>
      <c r="B2686" t="s">
        <v>121</v>
      </c>
      <c r="C2686" t="s">
        <v>122</v>
      </c>
      <c r="D2686" t="s">
        <v>15</v>
      </c>
      <c r="E2686" t="s">
        <v>4857</v>
      </c>
      <c r="F2686" s="3">
        <v>4200000</v>
      </c>
      <c r="G2686" s="2">
        <f t="shared" si="82"/>
        <v>10</v>
      </c>
      <c r="H2686" s="2">
        <f t="shared" ca="1" si="83"/>
        <v>71</v>
      </c>
      <c r="I2686" s="4">
        <v>46049</v>
      </c>
      <c r="J2686" s="4">
        <v>46059</v>
      </c>
      <c r="K2686" t="s">
        <v>17</v>
      </c>
      <c r="L2686" t="s">
        <v>32</v>
      </c>
      <c r="M2686" t="s">
        <v>19</v>
      </c>
      <c r="N2686" t="s">
        <v>123</v>
      </c>
      <c r="O2686">
        <v>30</v>
      </c>
    </row>
    <row r="2687" spans="1:15" hidden="1" x14ac:dyDescent="0.25">
      <c r="A2687" t="s">
        <v>2820</v>
      </c>
      <c r="B2687" t="s">
        <v>3665</v>
      </c>
      <c r="C2687" t="s">
        <v>3666</v>
      </c>
      <c r="D2687" t="s">
        <v>1323</v>
      </c>
      <c r="E2687" t="s">
        <v>4858</v>
      </c>
      <c r="F2687" s="3">
        <v>10361083</v>
      </c>
      <c r="G2687" s="2">
        <f t="shared" si="82"/>
        <v>30</v>
      </c>
      <c r="H2687" s="2">
        <f t="shared" ca="1" si="83"/>
        <v>71</v>
      </c>
      <c r="I2687" s="4">
        <v>46049</v>
      </c>
      <c r="J2687" s="4">
        <v>46079</v>
      </c>
      <c r="K2687" t="s">
        <v>17</v>
      </c>
      <c r="L2687" t="s">
        <v>90</v>
      </c>
      <c r="M2687" t="s">
        <v>19</v>
      </c>
      <c r="N2687" t="s">
        <v>3668</v>
      </c>
      <c r="O2687">
        <v>30</v>
      </c>
    </row>
    <row r="2688" spans="1:15" hidden="1" x14ac:dyDescent="0.25">
      <c r="A2688" t="s">
        <v>2820</v>
      </c>
      <c r="B2688" t="s">
        <v>205</v>
      </c>
      <c r="C2688" t="s">
        <v>206</v>
      </c>
      <c r="D2688" t="s">
        <v>15</v>
      </c>
      <c r="E2688" t="s">
        <v>4859</v>
      </c>
      <c r="F2688" s="3">
        <v>599274</v>
      </c>
      <c r="G2688" s="2">
        <f t="shared" si="82"/>
        <v>1</v>
      </c>
      <c r="H2688" s="2">
        <f t="shared" ca="1" si="83"/>
        <v>71</v>
      </c>
      <c r="I2688" s="4">
        <v>46049</v>
      </c>
      <c r="J2688" s="4">
        <v>46050</v>
      </c>
      <c r="K2688" t="s">
        <v>17</v>
      </c>
      <c r="L2688" t="s">
        <v>207</v>
      </c>
      <c r="M2688" t="s">
        <v>19</v>
      </c>
      <c r="N2688" t="s">
        <v>149</v>
      </c>
      <c r="O2688">
        <v>1</v>
      </c>
    </row>
    <row r="2689" spans="1:15" hidden="1" x14ac:dyDescent="0.25">
      <c r="A2689" t="s">
        <v>2820</v>
      </c>
      <c r="B2689" t="s">
        <v>2060</v>
      </c>
      <c r="C2689" t="s">
        <v>2061</v>
      </c>
      <c r="D2689" t="s">
        <v>46</v>
      </c>
      <c r="E2689" t="s">
        <v>4330</v>
      </c>
      <c r="F2689" s="3">
        <v>982160</v>
      </c>
      <c r="G2689" s="2">
        <f t="shared" si="82"/>
        <v>15</v>
      </c>
      <c r="H2689" s="2">
        <f t="shared" ca="1" si="83"/>
        <v>71</v>
      </c>
      <c r="I2689" s="4">
        <v>46049</v>
      </c>
      <c r="J2689" s="4">
        <v>46064</v>
      </c>
      <c r="K2689" t="s">
        <v>17</v>
      </c>
      <c r="L2689" t="s">
        <v>317</v>
      </c>
      <c r="M2689" t="s">
        <v>19</v>
      </c>
      <c r="N2689" t="s">
        <v>2062</v>
      </c>
      <c r="O2689">
        <v>15</v>
      </c>
    </row>
    <row r="2690" spans="1:15" hidden="1" x14ac:dyDescent="0.25">
      <c r="A2690" t="s">
        <v>2820</v>
      </c>
      <c r="B2690" t="s">
        <v>2060</v>
      </c>
      <c r="C2690" t="s">
        <v>2061</v>
      </c>
      <c r="D2690" t="s">
        <v>46</v>
      </c>
      <c r="E2690" t="s">
        <v>4331</v>
      </c>
      <c r="F2690" s="3">
        <v>1583553</v>
      </c>
      <c r="G2690" s="2">
        <f t="shared" ref="G2690:G2753" si="84">+J2690-I2690</f>
        <v>15</v>
      </c>
      <c r="H2690" s="2">
        <f t="shared" ref="H2690:H2753" ca="1" si="85">+TODAY()-I2690</f>
        <v>71</v>
      </c>
      <c r="I2690" s="4">
        <v>46049</v>
      </c>
      <c r="J2690" s="4">
        <v>46064</v>
      </c>
      <c r="K2690" t="s">
        <v>17</v>
      </c>
      <c r="L2690" t="s">
        <v>317</v>
      </c>
      <c r="M2690" t="s">
        <v>19</v>
      </c>
      <c r="N2690" t="s">
        <v>2062</v>
      </c>
      <c r="O2690">
        <v>15</v>
      </c>
    </row>
    <row r="2691" spans="1:15" hidden="1" x14ac:dyDescent="0.25">
      <c r="A2691" t="s">
        <v>2820</v>
      </c>
      <c r="B2691" t="s">
        <v>2730</v>
      </c>
      <c r="C2691" t="s">
        <v>2731</v>
      </c>
      <c r="D2691" t="s">
        <v>46</v>
      </c>
      <c r="E2691" t="s">
        <v>4332</v>
      </c>
      <c r="F2691" s="3">
        <v>128400</v>
      </c>
      <c r="G2691" s="2">
        <f t="shared" si="84"/>
        <v>1</v>
      </c>
      <c r="H2691" s="2">
        <f t="shared" ca="1" si="85"/>
        <v>71</v>
      </c>
      <c r="I2691" s="4">
        <v>46049</v>
      </c>
      <c r="J2691" s="4">
        <v>46050</v>
      </c>
      <c r="K2691" t="s">
        <v>17</v>
      </c>
      <c r="L2691" t="s">
        <v>317</v>
      </c>
      <c r="M2691" t="s">
        <v>19</v>
      </c>
      <c r="N2691" t="s">
        <v>2732</v>
      </c>
      <c r="O2691">
        <v>1</v>
      </c>
    </row>
    <row r="2692" spans="1:15" hidden="1" x14ac:dyDescent="0.25">
      <c r="A2692" t="s">
        <v>2820</v>
      </c>
      <c r="B2692" t="s">
        <v>2730</v>
      </c>
      <c r="C2692" t="s">
        <v>2731</v>
      </c>
      <c r="D2692" t="s">
        <v>46</v>
      </c>
      <c r="E2692" t="s">
        <v>4333</v>
      </c>
      <c r="F2692" s="3">
        <v>88430</v>
      </c>
      <c r="G2692" s="2">
        <f t="shared" si="84"/>
        <v>1</v>
      </c>
      <c r="H2692" s="2">
        <f t="shared" ca="1" si="85"/>
        <v>71</v>
      </c>
      <c r="I2692" s="4">
        <v>46049</v>
      </c>
      <c r="J2692" s="4">
        <v>46050</v>
      </c>
      <c r="K2692" t="s">
        <v>17</v>
      </c>
      <c r="L2692" t="s">
        <v>317</v>
      </c>
      <c r="M2692" t="s">
        <v>19</v>
      </c>
      <c r="N2692" t="s">
        <v>2732</v>
      </c>
      <c r="O2692">
        <v>1</v>
      </c>
    </row>
    <row r="2693" spans="1:15" hidden="1" x14ac:dyDescent="0.25">
      <c r="A2693" t="s">
        <v>2820</v>
      </c>
      <c r="B2693" t="s">
        <v>2730</v>
      </c>
      <c r="C2693" t="s">
        <v>2731</v>
      </c>
      <c r="D2693" t="s">
        <v>46</v>
      </c>
      <c r="E2693" t="s">
        <v>4334</v>
      </c>
      <c r="F2693" s="3">
        <v>12124</v>
      </c>
      <c r="G2693" s="2">
        <f t="shared" si="84"/>
        <v>1</v>
      </c>
      <c r="H2693" s="2">
        <f t="shared" ca="1" si="85"/>
        <v>71</v>
      </c>
      <c r="I2693" s="4">
        <v>46049</v>
      </c>
      <c r="J2693" s="4">
        <v>46050</v>
      </c>
      <c r="K2693" t="s">
        <v>17</v>
      </c>
      <c r="L2693" t="s">
        <v>317</v>
      </c>
      <c r="M2693" t="s">
        <v>19</v>
      </c>
      <c r="N2693" t="s">
        <v>2732</v>
      </c>
      <c r="O2693">
        <v>1</v>
      </c>
    </row>
    <row r="2694" spans="1:15" hidden="1" x14ac:dyDescent="0.25">
      <c r="A2694" t="s">
        <v>2820</v>
      </c>
      <c r="B2694" t="s">
        <v>205</v>
      </c>
      <c r="C2694" t="s">
        <v>206</v>
      </c>
      <c r="D2694" t="s">
        <v>15</v>
      </c>
      <c r="E2694" t="s">
        <v>4335</v>
      </c>
      <c r="F2694" s="3">
        <v>391399</v>
      </c>
      <c r="G2694" s="2">
        <f t="shared" si="84"/>
        <v>1</v>
      </c>
      <c r="H2694" s="2">
        <f t="shared" ca="1" si="85"/>
        <v>71</v>
      </c>
      <c r="I2694" s="4">
        <v>46049</v>
      </c>
      <c r="J2694" s="4">
        <v>46050</v>
      </c>
      <c r="K2694" t="s">
        <v>17</v>
      </c>
      <c r="L2694" t="s">
        <v>317</v>
      </c>
      <c r="M2694" t="s">
        <v>19</v>
      </c>
      <c r="N2694" t="s">
        <v>149</v>
      </c>
      <c r="O2694">
        <v>1</v>
      </c>
    </row>
    <row r="2695" spans="1:15" hidden="1" x14ac:dyDescent="0.25">
      <c r="A2695" t="s">
        <v>2820</v>
      </c>
      <c r="B2695" t="s">
        <v>3441</v>
      </c>
      <c r="C2695" t="s">
        <v>3442</v>
      </c>
      <c r="D2695" t="s">
        <v>46</v>
      </c>
      <c r="E2695" t="s">
        <v>4336</v>
      </c>
      <c r="F2695" s="3">
        <v>375399</v>
      </c>
      <c r="G2695" s="2">
        <f t="shared" si="84"/>
        <v>15</v>
      </c>
      <c r="H2695" s="2">
        <f t="shared" ca="1" si="85"/>
        <v>71</v>
      </c>
      <c r="I2695" s="4">
        <v>46049</v>
      </c>
      <c r="J2695" s="4">
        <v>46064</v>
      </c>
      <c r="K2695" t="s">
        <v>17</v>
      </c>
      <c r="L2695" t="s">
        <v>317</v>
      </c>
      <c r="M2695" t="s">
        <v>19</v>
      </c>
      <c r="N2695" t="s">
        <v>3444</v>
      </c>
      <c r="O2695">
        <v>15</v>
      </c>
    </row>
    <row r="2696" spans="1:15" hidden="1" x14ac:dyDescent="0.25">
      <c r="A2696" t="s">
        <v>2820</v>
      </c>
      <c r="B2696" t="s">
        <v>3947</v>
      </c>
      <c r="C2696" t="s">
        <v>3948</v>
      </c>
      <c r="D2696" t="s">
        <v>15</v>
      </c>
      <c r="E2696" t="s">
        <v>4337</v>
      </c>
      <c r="F2696" s="3">
        <v>44401</v>
      </c>
      <c r="G2696" s="2">
        <f t="shared" si="84"/>
        <v>1</v>
      </c>
      <c r="H2696" s="2">
        <f t="shared" ca="1" si="85"/>
        <v>71</v>
      </c>
      <c r="I2696" s="4">
        <v>46049</v>
      </c>
      <c r="J2696" s="4">
        <v>46050</v>
      </c>
      <c r="K2696" t="s">
        <v>17</v>
      </c>
      <c r="L2696" t="s">
        <v>317</v>
      </c>
      <c r="M2696" t="s">
        <v>19</v>
      </c>
      <c r="N2696" t="s">
        <v>3950</v>
      </c>
      <c r="O2696">
        <v>15</v>
      </c>
    </row>
    <row r="2697" spans="1:15" hidden="1" x14ac:dyDescent="0.25">
      <c r="A2697" t="s">
        <v>2820</v>
      </c>
      <c r="B2697" t="s">
        <v>2105</v>
      </c>
      <c r="C2697" t="s">
        <v>2106</v>
      </c>
      <c r="D2697" t="s">
        <v>46</v>
      </c>
      <c r="E2697" t="s">
        <v>4338</v>
      </c>
      <c r="F2697" s="3">
        <v>361290</v>
      </c>
      <c r="G2697" s="2">
        <f t="shared" si="84"/>
        <v>15</v>
      </c>
      <c r="H2697" s="2">
        <f t="shared" ca="1" si="85"/>
        <v>71</v>
      </c>
      <c r="I2697" s="4">
        <v>46049</v>
      </c>
      <c r="J2697" s="4">
        <v>46064</v>
      </c>
      <c r="K2697" t="s">
        <v>17</v>
      </c>
      <c r="L2697" t="s">
        <v>317</v>
      </c>
      <c r="M2697" t="s">
        <v>19</v>
      </c>
      <c r="N2697" t="s">
        <v>2107</v>
      </c>
      <c r="O2697">
        <v>15</v>
      </c>
    </row>
    <row r="2698" spans="1:15" hidden="1" x14ac:dyDescent="0.25">
      <c r="A2698" t="s">
        <v>2820</v>
      </c>
      <c r="B2698" t="s">
        <v>205</v>
      </c>
      <c r="C2698" t="s">
        <v>206</v>
      </c>
      <c r="D2698" t="s">
        <v>15</v>
      </c>
      <c r="E2698" t="s">
        <v>4733</v>
      </c>
      <c r="F2698" s="3">
        <v>59301</v>
      </c>
      <c r="G2698" s="2">
        <f t="shared" si="84"/>
        <v>1</v>
      </c>
      <c r="H2698" s="2">
        <f t="shared" ca="1" si="85"/>
        <v>71</v>
      </c>
      <c r="I2698" s="4">
        <v>46049</v>
      </c>
      <c r="J2698" s="4">
        <v>46050</v>
      </c>
      <c r="K2698" t="s">
        <v>17</v>
      </c>
      <c r="L2698" t="s">
        <v>312</v>
      </c>
      <c r="M2698" t="s">
        <v>19</v>
      </c>
      <c r="N2698" t="s">
        <v>149</v>
      </c>
      <c r="O2698">
        <v>1</v>
      </c>
    </row>
    <row r="2699" spans="1:15" hidden="1" x14ac:dyDescent="0.25">
      <c r="A2699" t="s">
        <v>2820</v>
      </c>
      <c r="B2699" t="s">
        <v>4734</v>
      </c>
      <c r="C2699" t="s">
        <v>4735</v>
      </c>
      <c r="D2699" t="s">
        <v>15</v>
      </c>
      <c r="E2699" t="s">
        <v>4736</v>
      </c>
      <c r="F2699" s="3">
        <v>420000</v>
      </c>
      <c r="G2699" s="2">
        <f t="shared" si="84"/>
        <v>1</v>
      </c>
      <c r="H2699" s="2">
        <f t="shared" ca="1" si="85"/>
        <v>71</v>
      </c>
      <c r="I2699" s="4">
        <v>46049</v>
      </c>
      <c r="J2699" s="4">
        <v>46050</v>
      </c>
      <c r="K2699" t="s">
        <v>17</v>
      </c>
      <c r="L2699" t="s">
        <v>312</v>
      </c>
      <c r="M2699" t="s">
        <v>19</v>
      </c>
      <c r="N2699" t="s">
        <v>4737</v>
      </c>
      <c r="O2699">
        <v>1</v>
      </c>
    </row>
    <row r="2700" spans="1:15" hidden="1" x14ac:dyDescent="0.25">
      <c r="A2700" t="s">
        <v>2820</v>
      </c>
      <c r="B2700" t="s">
        <v>4747</v>
      </c>
      <c r="C2700" t="s">
        <v>4748</v>
      </c>
      <c r="D2700" t="s">
        <v>46</v>
      </c>
      <c r="E2700" t="s">
        <v>4749</v>
      </c>
      <c r="F2700" s="3">
        <v>89699</v>
      </c>
      <c r="G2700" s="2">
        <f t="shared" si="84"/>
        <v>1</v>
      </c>
      <c r="H2700" s="2">
        <f t="shared" ca="1" si="85"/>
        <v>71</v>
      </c>
      <c r="I2700" s="4">
        <v>46049</v>
      </c>
      <c r="J2700" s="4">
        <v>46050</v>
      </c>
      <c r="K2700" t="s">
        <v>17</v>
      </c>
      <c r="L2700" t="s">
        <v>317</v>
      </c>
      <c r="M2700" t="s">
        <v>19</v>
      </c>
      <c r="N2700" t="s">
        <v>4750</v>
      </c>
      <c r="O2700">
        <v>30</v>
      </c>
    </row>
    <row r="2701" spans="1:15" hidden="1" x14ac:dyDescent="0.25">
      <c r="A2701" t="s">
        <v>2820</v>
      </c>
      <c r="B2701" t="s">
        <v>4751</v>
      </c>
      <c r="C2701" t="s">
        <v>4752</v>
      </c>
      <c r="D2701" t="s">
        <v>15</v>
      </c>
      <c r="E2701" t="s">
        <v>4753</v>
      </c>
      <c r="F2701" s="3">
        <v>329616</v>
      </c>
      <c r="G2701" s="2">
        <f t="shared" si="84"/>
        <v>1</v>
      </c>
      <c r="H2701" s="2">
        <f t="shared" ca="1" si="85"/>
        <v>71</v>
      </c>
      <c r="I2701" s="4">
        <v>46049</v>
      </c>
      <c r="J2701" s="4">
        <v>46050</v>
      </c>
      <c r="K2701" t="s">
        <v>17</v>
      </c>
      <c r="L2701" t="s">
        <v>317</v>
      </c>
      <c r="M2701" t="s">
        <v>19</v>
      </c>
      <c r="N2701" t="s">
        <v>4754</v>
      </c>
      <c r="O2701">
        <v>1</v>
      </c>
    </row>
    <row r="2702" spans="1:15" hidden="1" x14ac:dyDescent="0.25">
      <c r="A2702" t="s">
        <v>2820</v>
      </c>
      <c r="B2702" t="s">
        <v>4755</v>
      </c>
      <c r="C2702" t="s">
        <v>4756</v>
      </c>
      <c r="D2702" t="s">
        <v>46</v>
      </c>
      <c r="E2702" t="s">
        <v>4757</v>
      </c>
      <c r="F2702" s="3">
        <v>95579</v>
      </c>
      <c r="G2702" s="2">
        <f t="shared" si="84"/>
        <v>1</v>
      </c>
      <c r="H2702" s="2">
        <f t="shared" ca="1" si="85"/>
        <v>71</v>
      </c>
      <c r="I2702" s="4">
        <v>46049</v>
      </c>
      <c r="J2702" s="4">
        <v>46050</v>
      </c>
      <c r="K2702" t="s">
        <v>17</v>
      </c>
      <c r="L2702" t="s">
        <v>317</v>
      </c>
      <c r="M2702" t="s">
        <v>19</v>
      </c>
      <c r="N2702" t="s">
        <v>4758</v>
      </c>
      <c r="O2702">
        <v>1</v>
      </c>
    </row>
    <row r="2703" spans="1:15" hidden="1" x14ac:dyDescent="0.25">
      <c r="A2703" t="s">
        <v>2820</v>
      </c>
      <c r="B2703" t="s">
        <v>4209</v>
      </c>
      <c r="C2703" t="s">
        <v>4210</v>
      </c>
      <c r="D2703" t="s">
        <v>46</v>
      </c>
      <c r="E2703" t="s">
        <v>4759</v>
      </c>
      <c r="F2703" s="3">
        <v>2690386</v>
      </c>
      <c r="G2703" s="2">
        <f t="shared" si="84"/>
        <v>30</v>
      </c>
      <c r="H2703" s="2">
        <f t="shared" ca="1" si="85"/>
        <v>71</v>
      </c>
      <c r="I2703" s="4">
        <v>46049</v>
      </c>
      <c r="J2703" s="4">
        <v>46079</v>
      </c>
      <c r="K2703" t="s">
        <v>17</v>
      </c>
      <c r="L2703" t="s">
        <v>32</v>
      </c>
      <c r="M2703" t="s">
        <v>19</v>
      </c>
      <c r="N2703" t="s">
        <v>149</v>
      </c>
      <c r="O2703">
        <v>30</v>
      </c>
    </row>
    <row r="2704" spans="1:15" hidden="1" x14ac:dyDescent="0.25">
      <c r="A2704" t="s">
        <v>2820</v>
      </c>
      <c r="B2704" t="s">
        <v>4062</v>
      </c>
      <c r="C2704" t="s">
        <v>4063</v>
      </c>
      <c r="D2704" t="s">
        <v>320</v>
      </c>
      <c r="E2704" t="s">
        <v>4760</v>
      </c>
      <c r="F2704" s="3">
        <v>77589</v>
      </c>
      <c r="G2704" s="2">
        <f t="shared" si="84"/>
        <v>1</v>
      </c>
      <c r="H2704" s="2">
        <f t="shared" ca="1" si="85"/>
        <v>71</v>
      </c>
      <c r="I2704" s="4">
        <v>46049</v>
      </c>
      <c r="J2704" s="4">
        <v>46050</v>
      </c>
      <c r="K2704" t="s">
        <v>17</v>
      </c>
      <c r="L2704" t="s">
        <v>321</v>
      </c>
      <c r="M2704" t="s">
        <v>19</v>
      </c>
      <c r="N2704" t="s">
        <v>4064</v>
      </c>
      <c r="O2704">
        <v>30</v>
      </c>
    </row>
    <row r="2705" spans="1:15" hidden="1" x14ac:dyDescent="0.25">
      <c r="A2705" t="s">
        <v>2820</v>
      </c>
      <c r="B2705" t="s">
        <v>2556</v>
      </c>
      <c r="C2705" t="s">
        <v>2557</v>
      </c>
      <c r="D2705" t="s">
        <v>15</v>
      </c>
      <c r="E2705" t="s">
        <v>4761</v>
      </c>
      <c r="F2705" s="3">
        <v>254872</v>
      </c>
      <c r="G2705" s="2">
        <f t="shared" si="84"/>
        <v>30</v>
      </c>
      <c r="H2705" s="2">
        <f t="shared" ca="1" si="85"/>
        <v>71</v>
      </c>
      <c r="I2705" s="4">
        <v>46049</v>
      </c>
      <c r="J2705" s="4">
        <v>46079</v>
      </c>
      <c r="K2705" t="s">
        <v>17</v>
      </c>
      <c r="L2705" t="s">
        <v>109</v>
      </c>
      <c r="M2705" t="s">
        <v>19</v>
      </c>
      <c r="N2705" t="s">
        <v>20</v>
      </c>
      <c r="O2705">
        <v>30</v>
      </c>
    </row>
    <row r="2706" spans="1:15" hidden="1" x14ac:dyDescent="0.25">
      <c r="A2706" t="s">
        <v>2820</v>
      </c>
      <c r="B2706" t="s">
        <v>4860</v>
      </c>
      <c r="C2706" t="s">
        <v>4861</v>
      </c>
      <c r="D2706" t="s">
        <v>15</v>
      </c>
      <c r="E2706" t="s">
        <v>4862</v>
      </c>
      <c r="F2706" s="3">
        <v>169800</v>
      </c>
      <c r="G2706" s="2">
        <f t="shared" si="84"/>
        <v>1</v>
      </c>
      <c r="H2706" s="2">
        <f t="shared" ca="1" si="85"/>
        <v>71</v>
      </c>
      <c r="I2706" s="4">
        <v>46049</v>
      </c>
      <c r="J2706" s="4">
        <v>46050</v>
      </c>
      <c r="K2706" t="s">
        <v>17</v>
      </c>
      <c r="L2706" t="s">
        <v>109</v>
      </c>
      <c r="M2706" t="s">
        <v>19</v>
      </c>
      <c r="N2706" t="s">
        <v>4863</v>
      </c>
      <c r="O2706">
        <v>30</v>
      </c>
    </row>
    <row r="2707" spans="1:15" hidden="1" x14ac:dyDescent="0.25">
      <c r="A2707" t="s">
        <v>2820</v>
      </c>
      <c r="B2707" t="s">
        <v>4864</v>
      </c>
      <c r="C2707" t="s">
        <v>4865</v>
      </c>
      <c r="D2707" t="s">
        <v>320</v>
      </c>
      <c r="E2707" t="s">
        <v>4866</v>
      </c>
      <c r="F2707" s="3">
        <v>70181</v>
      </c>
      <c r="G2707" s="2">
        <f t="shared" si="84"/>
        <v>1</v>
      </c>
      <c r="H2707" s="2">
        <f t="shared" ca="1" si="85"/>
        <v>71</v>
      </c>
      <c r="I2707" s="4">
        <v>46049</v>
      </c>
      <c r="J2707" s="4">
        <v>46050</v>
      </c>
      <c r="K2707" t="s">
        <v>17</v>
      </c>
      <c r="L2707" t="s">
        <v>321</v>
      </c>
      <c r="M2707" t="s">
        <v>19</v>
      </c>
      <c r="N2707" t="s">
        <v>4867</v>
      </c>
      <c r="O2707">
        <v>30</v>
      </c>
    </row>
    <row r="2708" spans="1:15" hidden="1" x14ac:dyDescent="0.25">
      <c r="A2708" t="s">
        <v>2820</v>
      </c>
      <c r="B2708" t="s">
        <v>2438</v>
      </c>
      <c r="C2708" t="s">
        <v>2439</v>
      </c>
      <c r="D2708" t="s">
        <v>347</v>
      </c>
      <c r="E2708" t="s">
        <v>4762</v>
      </c>
      <c r="F2708" s="3">
        <v>2406000</v>
      </c>
      <c r="G2708" s="2">
        <f t="shared" si="84"/>
        <v>30</v>
      </c>
      <c r="H2708" s="2">
        <f t="shared" ca="1" si="85"/>
        <v>71</v>
      </c>
      <c r="I2708" s="4">
        <v>46049</v>
      </c>
      <c r="J2708" s="4">
        <v>46079</v>
      </c>
      <c r="K2708" t="s">
        <v>343</v>
      </c>
      <c r="L2708" t="s">
        <v>18</v>
      </c>
      <c r="M2708" t="s">
        <v>391</v>
      </c>
      <c r="N2708" t="s">
        <v>2440</v>
      </c>
      <c r="O2708">
        <v>30</v>
      </c>
    </row>
    <row r="2709" spans="1:15" hidden="1" x14ac:dyDescent="0.25">
      <c r="A2709" t="s">
        <v>2820</v>
      </c>
      <c r="B2709" t="s">
        <v>2438</v>
      </c>
      <c r="C2709" t="s">
        <v>2439</v>
      </c>
      <c r="D2709" t="s">
        <v>347</v>
      </c>
      <c r="E2709" t="s">
        <v>4763</v>
      </c>
      <c r="F2709" s="3">
        <v>1395390</v>
      </c>
      <c r="G2709" s="2">
        <f t="shared" si="84"/>
        <v>30</v>
      </c>
      <c r="H2709" s="2">
        <f t="shared" ca="1" si="85"/>
        <v>71</v>
      </c>
      <c r="I2709" s="4">
        <v>46049</v>
      </c>
      <c r="J2709" s="4">
        <v>46079</v>
      </c>
      <c r="K2709" t="s">
        <v>343</v>
      </c>
      <c r="L2709" t="s">
        <v>18</v>
      </c>
      <c r="M2709" t="s">
        <v>391</v>
      </c>
      <c r="N2709" t="s">
        <v>2440</v>
      </c>
      <c r="O2709">
        <v>30</v>
      </c>
    </row>
    <row r="2710" spans="1:15" hidden="1" x14ac:dyDescent="0.25">
      <c r="A2710" t="s">
        <v>2820</v>
      </c>
      <c r="B2710" t="s">
        <v>4764</v>
      </c>
      <c r="C2710" t="s">
        <v>4765</v>
      </c>
      <c r="D2710" t="s">
        <v>347</v>
      </c>
      <c r="E2710" t="s">
        <v>4766</v>
      </c>
      <c r="F2710" s="3">
        <v>185182</v>
      </c>
      <c r="G2710" s="2">
        <f t="shared" si="84"/>
        <v>1</v>
      </c>
      <c r="H2710" s="2">
        <f t="shared" ca="1" si="85"/>
        <v>71</v>
      </c>
      <c r="I2710" s="4">
        <v>46049</v>
      </c>
      <c r="J2710" s="4">
        <v>46050</v>
      </c>
      <c r="K2710" t="s">
        <v>343</v>
      </c>
      <c r="L2710" t="s">
        <v>18</v>
      </c>
      <c r="M2710" t="s">
        <v>19</v>
      </c>
      <c r="N2710" t="s">
        <v>4767</v>
      </c>
      <c r="O2710">
        <v>1</v>
      </c>
    </row>
    <row r="2711" spans="1:15" hidden="1" x14ac:dyDescent="0.25">
      <c r="A2711" t="s">
        <v>2820</v>
      </c>
      <c r="B2711" t="s">
        <v>373</v>
      </c>
      <c r="C2711" t="s">
        <v>374</v>
      </c>
      <c r="D2711" t="s">
        <v>204</v>
      </c>
      <c r="E2711" t="s">
        <v>4768</v>
      </c>
      <c r="F2711" s="3">
        <v>558713</v>
      </c>
      <c r="G2711" s="2">
        <f t="shared" si="84"/>
        <v>30</v>
      </c>
      <c r="H2711" s="2">
        <f t="shared" ca="1" si="85"/>
        <v>71</v>
      </c>
      <c r="I2711" s="4">
        <v>46049</v>
      </c>
      <c r="J2711" s="4">
        <v>46079</v>
      </c>
      <c r="K2711" t="s">
        <v>343</v>
      </c>
      <c r="L2711" t="s">
        <v>18</v>
      </c>
      <c r="M2711" t="s">
        <v>19</v>
      </c>
      <c r="N2711" t="s">
        <v>375</v>
      </c>
      <c r="O2711">
        <v>30</v>
      </c>
    </row>
    <row r="2712" spans="1:15" hidden="1" x14ac:dyDescent="0.25">
      <c r="A2712" t="s">
        <v>2820</v>
      </c>
      <c r="B2712" t="s">
        <v>4769</v>
      </c>
      <c r="C2712" t="s">
        <v>4770</v>
      </c>
      <c r="D2712" t="s">
        <v>347</v>
      </c>
      <c r="E2712" t="s">
        <v>4771</v>
      </c>
      <c r="F2712" s="3">
        <v>811147</v>
      </c>
      <c r="G2712" s="2">
        <f t="shared" si="84"/>
        <v>1</v>
      </c>
      <c r="H2712" s="2">
        <f t="shared" ca="1" si="85"/>
        <v>71</v>
      </c>
      <c r="I2712" s="4">
        <v>46049</v>
      </c>
      <c r="J2712" s="4">
        <v>46050</v>
      </c>
      <c r="K2712" t="s">
        <v>343</v>
      </c>
      <c r="L2712" t="s">
        <v>18</v>
      </c>
      <c r="M2712" t="s">
        <v>19</v>
      </c>
      <c r="N2712" t="s">
        <v>4772</v>
      </c>
      <c r="O2712">
        <v>1</v>
      </c>
    </row>
    <row r="2713" spans="1:15" hidden="1" x14ac:dyDescent="0.25">
      <c r="A2713" t="s">
        <v>2820</v>
      </c>
      <c r="B2713" t="s">
        <v>1960</v>
      </c>
      <c r="C2713" t="s">
        <v>1961</v>
      </c>
      <c r="D2713" t="s">
        <v>1962</v>
      </c>
      <c r="E2713" t="s">
        <v>4773</v>
      </c>
      <c r="F2713" s="3">
        <v>523629</v>
      </c>
      <c r="G2713" s="2">
        <f t="shared" si="84"/>
        <v>30</v>
      </c>
      <c r="H2713" s="2">
        <f t="shared" ca="1" si="85"/>
        <v>71</v>
      </c>
      <c r="I2713" s="4">
        <v>46049</v>
      </c>
      <c r="J2713" s="4">
        <v>46079</v>
      </c>
      <c r="K2713" t="s">
        <v>343</v>
      </c>
      <c r="L2713" t="s">
        <v>18</v>
      </c>
      <c r="M2713" t="s">
        <v>19</v>
      </c>
      <c r="N2713" t="s">
        <v>1963</v>
      </c>
      <c r="O2713">
        <v>30</v>
      </c>
    </row>
    <row r="2714" spans="1:15" hidden="1" x14ac:dyDescent="0.25">
      <c r="A2714" t="s">
        <v>2820</v>
      </c>
      <c r="B2714" t="s">
        <v>4774</v>
      </c>
      <c r="C2714" t="s">
        <v>4775</v>
      </c>
      <c r="D2714" t="s">
        <v>1962</v>
      </c>
      <c r="E2714" t="s">
        <v>4776</v>
      </c>
      <c r="F2714" s="3">
        <v>904610</v>
      </c>
      <c r="G2714" s="2">
        <f t="shared" si="84"/>
        <v>30</v>
      </c>
      <c r="H2714" s="2">
        <f t="shared" ca="1" si="85"/>
        <v>71</v>
      </c>
      <c r="I2714" s="4">
        <v>46049</v>
      </c>
      <c r="J2714" s="4">
        <v>46079</v>
      </c>
      <c r="K2714" t="s">
        <v>343</v>
      </c>
      <c r="L2714" t="s">
        <v>18</v>
      </c>
      <c r="M2714" t="s">
        <v>19</v>
      </c>
      <c r="N2714" t="s">
        <v>4777</v>
      </c>
      <c r="O2714">
        <v>30</v>
      </c>
    </row>
    <row r="2715" spans="1:15" hidden="1" x14ac:dyDescent="0.25">
      <c r="A2715" t="s">
        <v>2820</v>
      </c>
      <c r="B2715" t="s">
        <v>364</v>
      </c>
      <c r="C2715" t="s">
        <v>365</v>
      </c>
      <c r="D2715" t="s">
        <v>347</v>
      </c>
      <c r="E2715" t="s">
        <v>4778</v>
      </c>
      <c r="F2715" s="3">
        <v>1098513</v>
      </c>
      <c r="G2715" s="2">
        <f t="shared" si="84"/>
        <v>30</v>
      </c>
      <c r="H2715" s="2">
        <f t="shared" ca="1" si="85"/>
        <v>71</v>
      </c>
      <c r="I2715" s="4">
        <v>46049</v>
      </c>
      <c r="J2715" s="4">
        <v>46079</v>
      </c>
      <c r="K2715" t="s">
        <v>343</v>
      </c>
      <c r="L2715" t="s">
        <v>18</v>
      </c>
      <c r="M2715" t="s">
        <v>19</v>
      </c>
      <c r="N2715" t="s">
        <v>366</v>
      </c>
      <c r="O2715">
        <v>30</v>
      </c>
    </row>
    <row r="2716" spans="1:15" hidden="1" x14ac:dyDescent="0.25">
      <c r="A2716" t="s">
        <v>2820</v>
      </c>
      <c r="B2716" t="s">
        <v>4779</v>
      </c>
      <c r="C2716" t="s">
        <v>4780</v>
      </c>
      <c r="D2716" t="s">
        <v>347</v>
      </c>
      <c r="E2716" t="s">
        <v>4781</v>
      </c>
      <c r="F2716" s="3">
        <v>138459</v>
      </c>
      <c r="G2716" s="2">
        <f t="shared" si="84"/>
        <v>1</v>
      </c>
      <c r="H2716" s="2">
        <f t="shared" ca="1" si="85"/>
        <v>71</v>
      </c>
      <c r="I2716" s="4">
        <v>46049</v>
      </c>
      <c r="J2716" s="4">
        <v>46050</v>
      </c>
      <c r="K2716" t="s">
        <v>343</v>
      </c>
      <c r="L2716" t="s">
        <v>18</v>
      </c>
      <c r="M2716" t="s">
        <v>19</v>
      </c>
      <c r="N2716" t="s">
        <v>149</v>
      </c>
      <c r="O2716">
        <v>1</v>
      </c>
    </row>
    <row r="2717" spans="1:15" hidden="1" x14ac:dyDescent="0.25">
      <c r="A2717" t="s">
        <v>2820</v>
      </c>
      <c r="B2717" t="s">
        <v>205</v>
      </c>
      <c r="C2717" t="s">
        <v>206</v>
      </c>
      <c r="D2717" t="s">
        <v>15</v>
      </c>
      <c r="E2717" t="s">
        <v>4868</v>
      </c>
      <c r="F2717" s="3">
        <v>863451</v>
      </c>
      <c r="G2717" s="2">
        <f t="shared" si="84"/>
        <v>1</v>
      </c>
      <c r="H2717" s="2">
        <f t="shared" ca="1" si="85"/>
        <v>71</v>
      </c>
      <c r="I2717" s="4">
        <v>46049</v>
      </c>
      <c r="J2717" s="4">
        <v>46050</v>
      </c>
      <c r="K2717" t="s">
        <v>343</v>
      </c>
      <c r="L2717" t="s">
        <v>47</v>
      </c>
      <c r="M2717" t="s">
        <v>19</v>
      </c>
      <c r="N2717" t="s">
        <v>149</v>
      </c>
      <c r="O2717">
        <v>1</v>
      </c>
    </row>
    <row r="2718" spans="1:15" hidden="1" x14ac:dyDescent="0.25">
      <c r="A2718" t="s">
        <v>2820</v>
      </c>
      <c r="B2718" t="s">
        <v>205</v>
      </c>
      <c r="C2718" t="s">
        <v>206</v>
      </c>
      <c r="D2718" t="s">
        <v>15</v>
      </c>
      <c r="E2718" t="s">
        <v>4869</v>
      </c>
      <c r="F2718" s="3">
        <v>895721</v>
      </c>
      <c r="G2718" s="2">
        <f t="shared" si="84"/>
        <v>1</v>
      </c>
      <c r="H2718" s="2">
        <f t="shared" ca="1" si="85"/>
        <v>71</v>
      </c>
      <c r="I2718" s="4">
        <v>46049</v>
      </c>
      <c r="J2718" s="4">
        <v>46050</v>
      </c>
      <c r="K2718" t="s">
        <v>343</v>
      </c>
      <c r="L2718" t="s">
        <v>47</v>
      </c>
      <c r="M2718" t="s">
        <v>19</v>
      </c>
      <c r="N2718" t="s">
        <v>149</v>
      </c>
      <c r="O2718">
        <v>1</v>
      </c>
    </row>
    <row r="2719" spans="1:15" hidden="1" x14ac:dyDescent="0.25">
      <c r="A2719" t="s">
        <v>2820</v>
      </c>
      <c r="B2719" t="s">
        <v>4870</v>
      </c>
      <c r="C2719" t="s">
        <v>4871</v>
      </c>
      <c r="D2719" t="s">
        <v>204</v>
      </c>
      <c r="E2719" t="s">
        <v>4872</v>
      </c>
      <c r="F2719" s="3">
        <v>1829804</v>
      </c>
      <c r="G2719" s="2">
        <f t="shared" si="84"/>
        <v>1</v>
      </c>
      <c r="H2719" s="2">
        <f t="shared" ca="1" si="85"/>
        <v>71</v>
      </c>
      <c r="I2719" s="4">
        <v>46049</v>
      </c>
      <c r="J2719" s="4">
        <v>46050</v>
      </c>
      <c r="K2719" t="s">
        <v>343</v>
      </c>
      <c r="L2719" t="s">
        <v>47</v>
      </c>
      <c r="M2719" t="s">
        <v>19</v>
      </c>
      <c r="N2719" t="s">
        <v>4873</v>
      </c>
      <c r="O2719">
        <v>30</v>
      </c>
    </row>
    <row r="2720" spans="1:15" hidden="1" x14ac:dyDescent="0.25">
      <c r="A2720" t="s">
        <v>2820</v>
      </c>
      <c r="B2720" t="s">
        <v>1907</v>
      </c>
      <c r="C2720" t="s">
        <v>1908</v>
      </c>
      <c r="D2720" t="s">
        <v>204</v>
      </c>
      <c r="E2720" t="s">
        <v>4874</v>
      </c>
      <c r="F2720" s="3">
        <v>180000</v>
      </c>
      <c r="G2720" s="2">
        <f t="shared" si="84"/>
        <v>30</v>
      </c>
      <c r="H2720" s="2">
        <f t="shared" ca="1" si="85"/>
        <v>71</v>
      </c>
      <c r="I2720" s="4">
        <v>46049</v>
      </c>
      <c r="J2720" s="4">
        <v>46079</v>
      </c>
      <c r="K2720" t="s">
        <v>343</v>
      </c>
      <c r="L2720" t="s">
        <v>47</v>
      </c>
      <c r="M2720" t="s">
        <v>19</v>
      </c>
      <c r="N2720" t="s">
        <v>1909</v>
      </c>
      <c r="O2720">
        <v>30</v>
      </c>
    </row>
    <row r="2721" spans="1:15" hidden="1" x14ac:dyDescent="0.25">
      <c r="A2721" t="s">
        <v>2820</v>
      </c>
      <c r="B2721" t="s">
        <v>1907</v>
      </c>
      <c r="C2721" t="s">
        <v>1908</v>
      </c>
      <c r="D2721" t="s">
        <v>204</v>
      </c>
      <c r="E2721" t="s">
        <v>4875</v>
      </c>
      <c r="F2721" s="3">
        <v>395617</v>
      </c>
      <c r="G2721" s="2">
        <f t="shared" si="84"/>
        <v>30</v>
      </c>
      <c r="H2721" s="2">
        <f t="shared" ca="1" si="85"/>
        <v>71</v>
      </c>
      <c r="I2721" s="4">
        <v>46049</v>
      </c>
      <c r="J2721" s="4">
        <v>46079</v>
      </c>
      <c r="K2721" t="s">
        <v>343</v>
      </c>
      <c r="L2721" t="s">
        <v>47</v>
      </c>
      <c r="M2721" t="s">
        <v>19</v>
      </c>
      <c r="N2721" t="s">
        <v>1909</v>
      </c>
      <c r="O2721">
        <v>30</v>
      </c>
    </row>
    <row r="2722" spans="1:15" hidden="1" x14ac:dyDescent="0.25">
      <c r="A2722" t="s">
        <v>2820</v>
      </c>
      <c r="B2722" t="s">
        <v>2313</v>
      </c>
      <c r="C2722" t="s">
        <v>2314</v>
      </c>
      <c r="D2722" t="s">
        <v>875</v>
      </c>
      <c r="E2722" t="s">
        <v>4394</v>
      </c>
      <c r="F2722" s="3">
        <v>5934600</v>
      </c>
      <c r="G2722" s="2">
        <f t="shared" si="84"/>
        <v>30</v>
      </c>
      <c r="H2722" s="2">
        <f t="shared" ca="1" si="85"/>
        <v>71</v>
      </c>
      <c r="I2722" s="4">
        <v>46049</v>
      </c>
      <c r="J2722" s="4">
        <v>46079</v>
      </c>
      <c r="K2722" t="s">
        <v>845</v>
      </c>
      <c r="L2722" t="s">
        <v>109</v>
      </c>
      <c r="M2722" t="s">
        <v>19</v>
      </c>
      <c r="N2722" t="s">
        <v>2316</v>
      </c>
      <c r="O2722">
        <v>30</v>
      </c>
    </row>
    <row r="2723" spans="1:15" hidden="1" x14ac:dyDescent="0.25">
      <c r="A2723" t="s">
        <v>2820</v>
      </c>
      <c r="B2723" t="s">
        <v>2313</v>
      </c>
      <c r="C2723" t="s">
        <v>2314</v>
      </c>
      <c r="D2723" t="s">
        <v>875</v>
      </c>
      <c r="E2723" t="s">
        <v>4395</v>
      </c>
      <c r="F2723" s="3">
        <v>4078190</v>
      </c>
      <c r="G2723" s="2">
        <f t="shared" si="84"/>
        <v>30</v>
      </c>
      <c r="H2723" s="2">
        <f t="shared" ca="1" si="85"/>
        <v>71</v>
      </c>
      <c r="I2723" s="4">
        <v>46049</v>
      </c>
      <c r="J2723" s="4">
        <v>46079</v>
      </c>
      <c r="K2723" t="s">
        <v>845</v>
      </c>
      <c r="L2723" t="s">
        <v>109</v>
      </c>
      <c r="M2723" t="s">
        <v>19</v>
      </c>
      <c r="N2723" t="s">
        <v>2316</v>
      </c>
      <c r="O2723">
        <v>30</v>
      </c>
    </row>
    <row r="2724" spans="1:15" hidden="1" x14ac:dyDescent="0.25">
      <c r="A2724" t="s">
        <v>2820</v>
      </c>
      <c r="B2724" t="s">
        <v>4004</v>
      </c>
      <c r="C2724" t="s">
        <v>4005</v>
      </c>
      <c r="D2724" t="s">
        <v>916</v>
      </c>
      <c r="E2724" t="s">
        <v>4782</v>
      </c>
      <c r="F2724" s="3">
        <v>126130</v>
      </c>
      <c r="G2724" s="2">
        <f t="shared" si="84"/>
        <v>1</v>
      </c>
      <c r="H2724" s="2">
        <f t="shared" ca="1" si="85"/>
        <v>71</v>
      </c>
      <c r="I2724" s="4">
        <v>46049</v>
      </c>
      <c r="J2724" s="4">
        <v>46050</v>
      </c>
      <c r="K2724" t="s">
        <v>918</v>
      </c>
      <c r="L2724" t="s">
        <v>312</v>
      </c>
      <c r="M2724" t="s">
        <v>19</v>
      </c>
      <c r="N2724" t="s">
        <v>4006</v>
      </c>
      <c r="O2724">
        <v>30</v>
      </c>
    </row>
    <row r="2725" spans="1:15" hidden="1" x14ac:dyDescent="0.25">
      <c r="A2725" t="s">
        <v>2820</v>
      </c>
      <c r="B2725" t="s">
        <v>205</v>
      </c>
      <c r="C2725" t="s">
        <v>206</v>
      </c>
      <c r="D2725" t="s">
        <v>15</v>
      </c>
      <c r="E2725" t="s">
        <v>4783</v>
      </c>
      <c r="F2725" s="3">
        <v>72921</v>
      </c>
      <c r="G2725" s="2">
        <f t="shared" si="84"/>
        <v>1</v>
      </c>
      <c r="H2725" s="2">
        <f t="shared" ca="1" si="85"/>
        <v>71</v>
      </c>
      <c r="I2725" s="4">
        <v>46049</v>
      </c>
      <c r="J2725" s="4">
        <v>46050</v>
      </c>
      <c r="K2725" t="s">
        <v>918</v>
      </c>
      <c r="L2725" t="s">
        <v>312</v>
      </c>
      <c r="M2725" t="s">
        <v>19</v>
      </c>
      <c r="N2725" t="s">
        <v>149</v>
      </c>
      <c r="O2725">
        <v>1</v>
      </c>
    </row>
    <row r="2726" spans="1:15" hidden="1" x14ac:dyDescent="0.25">
      <c r="A2726" t="s">
        <v>2820</v>
      </c>
      <c r="B2726" t="s">
        <v>1910</v>
      </c>
      <c r="C2726" t="s">
        <v>1911</v>
      </c>
      <c r="D2726" t="s">
        <v>916</v>
      </c>
      <c r="E2726" t="s">
        <v>4784</v>
      </c>
      <c r="F2726" s="3">
        <v>428000</v>
      </c>
      <c r="G2726" s="2">
        <f t="shared" si="84"/>
        <v>30</v>
      </c>
      <c r="H2726" s="2">
        <f t="shared" ca="1" si="85"/>
        <v>71</v>
      </c>
      <c r="I2726" s="4">
        <v>46049</v>
      </c>
      <c r="J2726" s="4">
        <v>46079</v>
      </c>
      <c r="K2726" t="s">
        <v>918</v>
      </c>
      <c r="L2726" t="s">
        <v>312</v>
      </c>
      <c r="M2726" t="s">
        <v>19</v>
      </c>
      <c r="N2726" t="s">
        <v>1912</v>
      </c>
      <c r="O2726">
        <v>30</v>
      </c>
    </row>
    <row r="2727" spans="1:15" hidden="1" x14ac:dyDescent="0.25">
      <c r="A2727" t="s">
        <v>2820</v>
      </c>
      <c r="B2727" t="s">
        <v>4020</v>
      </c>
      <c r="C2727" t="s">
        <v>4021</v>
      </c>
      <c r="D2727" t="s">
        <v>916</v>
      </c>
      <c r="E2727" t="s">
        <v>4785</v>
      </c>
      <c r="F2727" s="3">
        <v>101996</v>
      </c>
      <c r="G2727" s="2">
        <f t="shared" si="84"/>
        <v>1</v>
      </c>
      <c r="H2727" s="2">
        <f t="shared" ca="1" si="85"/>
        <v>71</v>
      </c>
      <c r="I2727" s="4">
        <v>46049</v>
      </c>
      <c r="J2727" s="4">
        <v>46050</v>
      </c>
      <c r="K2727" t="s">
        <v>918</v>
      </c>
      <c r="L2727" t="s">
        <v>312</v>
      </c>
      <c r="M2727" t="s">
        <v>19</v>
      </c>
      <c r="N2727" t="s">
        <v>4022</v>
      </c>
      <c r="O2727">
        <v>30</v>
      </c>
    </row>
    <row r="2728" spans="1:15" hidden="1" x14ac:dyDescent="0.25">
      <c r="A2728" t="s">
        <v>2820</v>
      </c>
      <c r="B2728" t="s">
        <v>958</v>
      </c>
      <c r="C2728" t="s">
        <v>959</v>
      </c>
      <c r="D2728" t="s">
        <v>916</v>
      </c>
      <c r="E2728" t="s">
        <v>4786</v>
      </c>
      <c r="F2728" s="3">
        <v>876954</v>
      </c>
      <c r="G2728" s="2">
        <f t="shared" si="84"/>
        <v>30</v>
      </c>
      <c r="H2728" s="2">
        <f t="shared" ca="1" si="85"/>
        <v>71</v>
      </c>
      <c r="I2728" s="4">
        <v>46049</v>
      </c>
      <c r="J2728" s="4">
        <v>46079</v>
      </c>
      <c r="K2728" t="s">
        <v>918</v>
      </c>
      <c r="L2728" t="s">
        <v>312</v>
      </c>
      <c r="M2728" t="s">
        <v>19</v>
      </c>
      <c r="N2728" t="s">
        <v>960</v>
      </c>
      <c r="O2728">
        <v>30</v>
      </c>
    </row>
    <row r="2729" spans="1:15" hidden="1" x14ac:dyDescent="0.25">
      <c r="A2729" t="s">
        <v>2820</v>
      </c>
      <c r="B2729" t="s">
        <v>958</v>
      </c>
      <c r="C2729" t="s">
        <v>959</v>
      </c>
      <c r="D2729" t="s">
        <v>916</v>
      </c>
      <c r="E2729" t="s">
        <v>4787</v>
      </c>
      <c r="F2729" s="3">
        <v>288050</v>
      </c>
      <c r="G2729" s="2">
        <f t="shared" si="84"/>
        <v>15</v>
      </c>
      <c r="H2729" s="2">
        <f t="shared" ca="1" si="85"/>
        <v>71</v>
      </c>
      <c r="I2729" s="4">
        <v>46049</v>
      </c>
      <c r="J2729" s="4">
        <v>46064</v>
      </c>
      <c r="K2729" t="s">
        <v>918</v>
      </c>
      <c r="L2729" t="s">
        <v>312</v>
      </c>
      <c r="M2729" t="s">
        <v>19</v>
      </c>
      <c r="N2729" t="s">
        <v>960</v>
      </c>
      <c r="O2729">
        <v>30</v>
      </c>
    </row>
    <row r="2730" spans="1:15" hidden="1" x14ac:dyDescent="0.25">
      <c r="A2730" t="s">
        <v>2820</v>
      </c>
      <c r="B2730" t="s">
        <v>952</v>
      </c>
      <c r="C2730" t="s">
        <v>953</v>
      </c>
      <c r="D2730" t="s">
        <v>930</v>
      </c>
      <c r="E2730" t="s">
        <v>4788</v>
      </c>
      <c r="F2730" s="3">
        <v>421587</v>
      </c>
      <c r="G2730" s="2">
        <f t="shared" si="84"/>
        <v>30</v>
      </c>
      <c r="H2730" s="2">
        <f t="shared" ca="1" si="85"/>
        <v>71</v>
      </c>
      <c r="I2730" s="4">
        <v>46049</v>
      </c>
      <c r="J2730" s="4">
        <v>46079</v>
      </c>
      <c r="K2730" t="s">
        <v>918</v>
      </c>
      <c r="L2730" t="s">
        <v>312</v>
      </c>
      <c r="M2730" t="s">
        <v>19</v>
      </c>
      <c r="N2730" t="s">
        <v>954</v>
      </c>
      <c r="O2730">
        <v>30</v>
      </c>
    </row>
    <row r="2731" spans="1:15" hidden="1" x14ac:dyDescent="0.25">
      <c r="A2731" t="s">
        <v>2820</v>
      </c>
      <c r="B2731" t="s">
        <v>4009</v>
      </c>
      <c r="C2731" t="s">
        <v>4010</v>
      </c>
      <c r="D2731" t="s">
        <v>916</v>
      </c>
      <c r="E2731" t="s">
        <v>4789</v>
      </c>
      <c r="F2731" s="3">
        <v>264347</v>
      </c>
      <c r="G2731" s="2">
        <f t="shared" si="84"/>
        <v>1</v>
      </c>
      <c r="H2731" s="2">
        <f t="shared" ca="1" si="85"/>
        <v>71</v>
      </c>
      <c r="I2731" s="4">
        <v>46049</v>
      </c>
      <c r="J2731" s="4">
        <v>46050</v>
      </c>
      <c r="K2731" t="s">
        <v>918</v>
      </c>
      <c r="L2731" t="s">
        <v>312</v>
      </c>
      <c r="M2731" t="s">
        <v>19</v>
      </c>
      <c r="N2731" t="s">
        <v>4007</v>
      </c>
      <c r="O2731">
        <v>1</v>
      </c>
    </row>
    <row r="2732" spans="1:15" hidden="1" x14ac:dyDescent="0.25">
      <c r="A2732" t="s">
        <v>2820</v>
      </c>
      <c r="B2732" t="s">
        <v>205</v>
      </c>
      <c r="C2732" t="s">
        <v>206</v>
      </c>
      <c r="D2732" t="s">
        <v>15</v>
      </c>
      <c r="E2732" t="s">
        <v>4790</v>
      </c>
      <c r="F2732" s="3">
        <v>1018503</v>
      </c>
      <c r="G2732" s="2">
        <f t="shared" si="84"/>
        <v>1</v>
      </c>
      <c r="H2732" s="2">
        <f t="shared" ca="1" si="85"/>
        <v>71</v>
      </c>
      <c r="I2732" s="4">
        <v>46049</v>
      </c>
      <c r="J2732" s="4">
        <v>46050</v>
      </c>
      <c r="K2732" t="s">
        <v>918</v>
      </c>
      <c r="L2732" t="s">
        <v>312</v>
      </c>
      <c r="M2732" t="s">
        <v>19</v>
      </c>
      <c r="N2732" t="s">
        <v>149</v>
      </c>
      <c r="O2732">
        <v>1</v>
      </c>
    </row>
    <row r="2733" spans="1:15" hidden="1" x14ac:dyDescent="0.25">
      <c r="A2733" t="s">
        <v>2820</v>
      </c>
      <c r="B2733" t="s">
        <v>205</v>
      </c>
      <c r="C2733" t="s">
        <v>206</v>
      </c>
      <c r="D2733" t="s">
        <v>15</v>
      </c>
      <c r="E2733" t="s">
        <v>4791</v>
      </c>
      <c r="F2733" s="3">
        <v>154594</v>
      </c>
      <c r="G2733" s="2">
        <f t="shared" si="84"/>
        <v>1</v>
      </c>
      <c r="H2733" s="2">
        <f t="shared" ca="1" si="85"/>
        <v>71</v>
      </c>
      <c r="I2733" s="4">
        <v>46049</v>
      </c>
      <c r="J2733" s="4">
        <v>46050</v>
      </c>
      <c r="K2733" t="s">
        <v>918</v>
      </c>
      <c r="L2733" t="s">
        <v>312</v>
      </c>
      <c r="M2733" t="s">
        <v>19</v>
      </c>
      <c r="N2733" t="s">
        <v>149</v>
      </c>
      <c r="O2733">
        <v>1</v>
      </c>
    </row>
    <row r="2734" spans="1:15" hidden="1" x14ac:dyDescent="0.25">
      <c r="A2734" t="s">
        <v>2820</v>
      </c>
      <c r="B2734" t="s">
        <v>3994</v>
      </c>
      <c r="C2734" t="s">
        <v>3995</v>
      </c>
      <c r="D2734" t="s">
        <v>916</v>
      </c>
      <c r="E2734" t="s">
        <v>4792</v>
      </c>
      <c r="F2734" s="3">
        <v>135852</v>
      </c>
      <c r="G2734" s="2">
        <f t="shared" si="84"/>
        <v>1</v>
      </c>
      <c r="H2734" s="2">
        <f t="shared" ca="1" si="85"/>
        <v>71</v>
      </c>
      <c r="I2734" s="4">
        <v>46049</v>
      </c>
      <c r="J2734" s="4">
        <v>46050</v>
      </c>
      <c r="K2734" t="s">
        <v>918</v>
      </c>
      <c r="L2734" t="s">
        <v>312</v>
      </c>
      <c r="M2734" t="s">
        <v>19</v>
      </c>
      <c r="N2734" t="s">
        <v>3996</v>
      </c>
      <c r="O2734">
        <v>1</v>
      </c>
    </row>
    <row r="2735" spans="1:15" hidden="1" x14ac:dyDescent="0.25">
      <c r="A2735" t="s">
        <v>2820</v>
      </c>
      <c r="B2735" t="s">
        <v>946</v>
      </c>
      <c r="C2735" t="s">
        <v>947</v>
      </c>
      <c r="D2735" t="s">
        <v>916</v>
      </c>
      <c r="E2735" t="s">
        <v>4793</v>
      </c>
      <c r="F2735" s="3">
        <v>199731</v>
      </c>
      <c r="G2735" s="2">
        <f t="shared" si="84"/>
        <v>15</v>
      </c>
      <c r="H2735" s="2">
        <f t="shared" ca="1" si="85"/>
        <v>71</v>
      </c>
      <c r="I2735" s="4">
        <v>46049</v>
      </c>
      <c r="J2735" s="4">
        <v>46064</v>
      </c>
      <c r="K2735" t="s">
        <v>918</v>
      </c>
      <c r="L2735" t="s">
        <v>312</v>
      </c>
      <c r="M2735" t="s">
        <v>19</v>
      </c>
      <c r="N2735" t="s">
        <v>948</v>
      </c>
      <c r="O2735">
        <v>30</v>
      </c>
    </row>
    <row r="2736" spans="1:15" hidden="1" x14ac:dyDescent="0.25">
      <c r="A2736" t="s">
        <v>2820</v>
      </c>
      <c r="B2736" t="s">
        <v>946</v>
      </c>
      <c r="C2736" t="s">
        <v>947</v>
      </c>
      <c r="D2736" t="s">
        <v>916</v>
      </c>
      <c r="E2736" t="s">
        <v>4794</v>
      </c>
      <c r="F2736" s="3">
        <v>123923</v>
      </c>
      <c r="G2736" s="2">
        <f t="shared" si="84"/>
        <v>15</v>
      </c>
      <c r="H2736" s="2">
        <f t="shared" ca="1" si="85"/>
        <v>71</v>
      </c>
      <c r="I2736" s="4">
        <v>46049</v>
      </c>
      <c r="J2736" s="4">
        <v>46064</v>
      </c>
      <c r="K2736" t="s">
        <v>918</v>
      </c>
      <c r="L2736" t="s">
        <v>312</v>
      </c>
      <c r="M2736" t="s">
        <v>19</v>
      </c>
      <c r="N2736" t="s">
        <v>948</v>
      </c>
      <c r="O2736">
        <v>30</v>
      </c>
    </row>
    <row r="2737" spans="1:15" hidden="1" x14ac:dyDescent="0.25">
      <c r="A2737" t="s">
        <v>2820</v>
      </c>
      <c r="B2737" t="s">
        <v>205</v>
      </c>
      <c r="C2737" t="s">
        <v>206</v>
      </c>
      <c r="D2737" t="s">
        <v>15</v>
      </c>
      <c r="E2737" t="s">
        <v>4795</v>
      </c>
      <c r="F2737" s="3">
        <v>62140</v>
      </c>
      <c r="G2737" s="2">
        <f t="shared" si="84"/>
        <v>1</v>
      </c>
      <c r="H2737" s="2">
        <f t="shared" ca="1" si="85"/>
        <v>71</v>
      </c>
      <c r="I2737" s="4">
        <v>46049</v>
      </c>
      <c r="J2737" s="4">
        <v>46050</v>
      </c>
      <c r="K2737" t="s">
        <v>918</v>
      </c>
      <c r="L2737" t="s">
        <v>312</v>
      </c>
      <c r="M2737" t="s">
        <v>19</v>
      </c>
      <c r="N2737" t="s">
        <v>149</v>
      </c>
      <c r="O2737">
        <v>1</v>
      </c>
    </row>
    <row r="2738" spans="1:15" hidden="1" x14ac:dyDescent="0.25">
      <c r="A2738" t="s">
        <v>2820</v>
      </c>
      <c r="B2738" t="s">
        <v>205</v>
      </c>
      <c r="C2738" t="s">
        <v>206</v>
      </c>
      <c r="D2738" t="s">
        <v>15</v>
      </c>
      <c r="E2738" t="s">
        <v>4796</v>
      </c>
      <c r="F2738" s="3">
        <v>103600</v>
      </c>
      <c r="G2738" s="2">
        <f t="shared" si="84"/>
        <v>1</v>
      </c>
      <c r="H2738" s="2">
        <f t="shared" ca="1" si="85"/>
        <v>71</v>
      </c>
      <c r="I2738" s="4">
        <v>46049</v>
      </c>
      <c r="J2738" s="4">
        <v>46050</v>
      </c>
      <c r="K2738" t="s">
        <v>918</v>
      </c>
      <c r="L2738" t="s">
        <v>312</v>
      </c>
      <c r="M2738" t="s">
        <v>19</v>
      </c>
      <c r="N2738" t="s">
        <v>149</v>
      </c>
      <c r="O2738">
        <v>1</v>
      </c>
    </row>
    <row r="2739" spans="1:15" hidden="1" x14ac:dyDescent="0.25">
      <c r="A2739" t="s">
        <v>2820</v>
      </c>
      <c r="B2739" t="s">
        <v>205</v>
      </c>
      <c r="C2739" t="s">
        <v>206</v>
      </c>
      <c r="D2739" t="s">
        <v>15</v>
      </c>
      <c r="E2739" t="s">
        <v>4797</v>
      </c>
      <c r="F2739" s="3">
        <v>106200</v>
      </c>
      <c r="G2739" s="2">
        <f t="shared" si="84"/>
        <v>1</v>
      </c>
      <c r="H2739" s="2">
        <f t="shared" ca="1" si="85"/>
        <v>71</v>
      </c>
      <c r="I2739" s="4">
        <v>46049</v>
      </c>
      <c r="J2739" s="4">
        <v>46050</v>
      </c>
      <c r="K2739" t="s">
        <v>918</v>
      </c>
      <c r="L2739" t="s">
        <v>312</v>
      </c>
      <c r="M2739" t="s">
        <v>19</v>
      </c>
      <c r="N2739" t="s">
        <v>149</v>
      </c>
      <c r="O2739">
        <v>1</v>
      </c>
    </row>
    <row r="2740" spans="1:15" hidden="1" x14ac:dyDescent="0.25">
      <c r="A2740" t="s">
        <v>2820</v>
      </c>
      <c r="B2740" t="s">
        <v>205</v>
      </c>
      <c r="C2740" t="s">
        <v>206</v>
      </c>
      <c r="D2740" t="s">
        <v>15</v>
      </c>
      <c r="E2740" t="s">
        <v>4798</v>
      </c>
      <c r="F2740" s="3">
        <v>37411</v>
      </c>
      <c r="G2740" s="2">
        <f t="shared" si="84"/>
        <v>1</v>
      </c>
      <c r="H2740" s="2">
        <f t="shared" ca="1" si="85"/>
        <v>71</v>
      </c>
      <c r="I2740" s="4">
        <v>46049</v>
      </c>
      <c r="J2740" s="4">
        <v>46050</v>
      </c>
      <c r="K2740" t="s">
        <v>918</v>
      </c>
      <c r="L2740" t="s">
        <v>312</v>
      </c>
      <c r="M2740" t="s">
        <v>19</v>
      </c>
      <c r="N2740" t="s">
        <v>149</v>
      </c>
      <c r="O2740">
        <v>1</v>
      </c>
    </row>
    <row r="2741" spans="1:15" hidden="1" x14ac:dyDescent="0.25">
      <c r="A2741" t="s">
        <v>2820</v>
      </c>
      <c r="B2741" t="s">
        <v>931</v>
      </c>
      <c r="C2741" t="s">
        <v>932</v>
      </c>
      <c r="D2741" t="s">
        <v>916</v>
      </c>
      <c r="E2741" t="s">
        <v>4799</v>
      </c>
      <c r="F2741" s="3">
        <v>447072</v>
      </c>
      <c r="G2741" s="2">
        <f t="shared" si="84"/>
        <v>30</v>
      </c>
      <c r="H2741" s="2">
        <f t="shared" ca="1" si="85"/>
        <v>71</v>
      </c>
      <c r="I2741" s="4">
        <v>46049</v>
      </c>
      <c r="J2741" s="4">
        <v>46079</v>
      </c>
      <c r="K2741" t="s">
        <v>918</v>
      </c>
      <c r="L2741" t="s">
        <v>312</v>
      </c>
      <c r="M2741" t="s">
        <v>19</v>
      </c>
      <c r="N2741" t="s">
        <v>933</v>
      </c>
      <c r="O2741">
        <v>30</v>
      </c>
    </row>
    <row r="2742" spans="1:15" hidden="1" x14ac:dyDescent="0.25">
      <c r="A2742" t="s">
        <v>2820</v>
      </c>
      <c r="B2742" t="s">
        <v>961</v>
      </c>
      <c r="C2742" t="s">
        <v>962</v>
      </c>
      <c r="D2742" t="s">
        <v>916</v>
      </c>
      <c r="E2742" t="s">
        <v>4800</v>
      </c>
      <c r="F2742" s="3">
        <v>596898</v>
      </c>
      <c r="G2742" s="2">
        <f t="shared" si="84"/>
        <v>30</v>
      </c>
      <c r="H2742" s="2">
        <f t="shared" ca="1" si="85"/>
        <v>71</v>
      </c>
      <c r="I2742" s="4">
        <v>46049</v>
      </c>
      <c r="J2742" s="4">
        <v>46079</v>
      </c>
      <c r="K2742" t="s">
        <v>918</v>
      </c>
      <c r="L2742" t="s">
        <v>312</v>
      </c>
      <c r="M2742" t="s">
        <v>19</v>
      </c>
      <c r="N2742" t="s">
        <v>963</v>
      </c>
      <c r="O2742">
        <v>30</v>
      </c>
    </row>
    <row r="2743" spans="1:15" hidden="1" x14ac:dyDescent="0.25">
      <c r="A2743" t="s">
        <v>2820</v>
      </c>
      <c r="B2743" t="s">
        <v>961</v>
      </c>
      <c r="C2743" t="s">
        <v>962</v>
      </c>
      <c r="D2743" t="s">
        <v>916</v>
      </c>
      <c r="E2743" t="s">
        <v>4801</v>
      </c>
      <c r="F2743" s="3">
        <v>345695</v>
      </c>
      <c r="G2743" s="2">
        <f t="shared" si="84"/>
        <v>15</v>
      </c>
      <c r="H2743" s="2">
        <f t="shared" ca="1" si="85"/>
        <v>71</v>
      </c>
      <c r="I2743" s="4">
        <v>46049</v>
      </c>
      <c r="J2743" s="4">
        <v>46064</v>
      </c>
      <c r="K2743" t="s">
        <v>918</v>
      </c>
      <c r="L2743" t="s">
        <v>312</v>
      </c>
      <c r="M2743" t="s">
        <v>19</v>
      </c>
      <c r="N2743" t="s">
        <v>963</v>
      </c>
      <c r="O2743">
        <v>30</v>
      </c>
    </row>
    <row r="2744" spans="1:15" hidden="1" x14ac:dyDescent="0.25">
      <c r="A2744" t="s">
        <v>2820</v>
      </c>
      <c r="B2744" t="s">
        <v>4802</v>
      </c>
      <c r="C2744" t="s">
        <v>4803</v>
      </c>
      <c r="D2744" t="s">
        <v>916</v>
      </c>
      <c r="E2744" t="s">
        <v>4804</v>
      </c>
      <c r="F2744" s="3">
        <v>144221</v>
      </c>
      <c r="G2744" s="2">
        <f t="shared" si="84"/>
        <v>1</v>
      </c>
      <c r="H2744" s="2">
        <f t="shared" ca="1" si="85"/>
        <v>71</v>
      </c>
      <c r="I2744" s="4">
        <v>46049</v>
      </c>
      <c r="J2744" s="4">
        <v>46050</v>
      </c>
      <c r="K2744" t="s">
        <v>918</v>
      </c>
      <c r="L2744" t="s">
        <v>312</v>
      </c>
      <c r="M2744" t="s">
        <v>19</v>
      </c>
      <c r="N2744" t="s">
        <v>4805</v>
      </c>
      <c r="O2744">
        <v>1</v>
      </c>
    </row>
    <row r="2745" spans="1:15" hidden="1" x14ac:dyDescent="0.25">
      <c r="A2745" t="s">
        <v>2820</v>
      </c>
      <c r="B2745" t="s">
        <v>4802</v>
      </c>
      <c r="C2745" t="s">
        <v>4803</v>
      </c>
      <c r="D2745" t="s">
        <v>916</v>
      </c>
      <c r="E2745" t="s">
        <v>4806</v>
      </c>
      <c r="F2745" s="3">
        <v>85600</v>
      </c>
      <c r="G2745" s="2">
        <f t="shared" si="84"/>
        <v>1</v>
      </c>
      <c r="H2745" s="2">
        <f t="shared" ca="1" si="85"/>
        <v>71</v>
      </c>
      <c r="I2745" s="4">
        <v>46049</v>
      </c>
      <c r="J2745" s="4">
        <v>46050</v>
      </c>
      <c r="K2745" t="s">
        <v>918</v>
      </c>
      <c r="L2745" t="s">
        <v>312</v>
      </c>
      <c r="M2745" t="s">
        <v>19</v>
      </c>
      <c r="N2745" t="s">
        <v>4805</v>
      </c>
      <c r="O2745">
        <v>1</v>
      </c>
    </row>
    <row r="2746" spans="1:15" hidden="1" x14ac:dyDescent="0.25">
      <c r="A2746" t="s">
        <v>2820</v>
      </c>
      <c r="B2746" t="s">
        <v>3990</v>
      </c>
      <c r="C2746" t="s">
        <v>3991</v>
      </c>
      <c r="D2746" t="s">
        <v>916</v>
      </c>
      <c r="E2746" t="s">
        <v>4807</v>
      </c>
      <c r="F2746" s="3">
        <v>115150</v>
      </c>
      <c r="G2746" s="2">
        <f t="shared" si="84"/>
        <v>1</v>
      </c>
      <c r="H2746" s="2">
        <f t="shared" ca="1" si="85"/>
        <v>71</v>
      </c>
      <c r="I2746" s="4">
        <v>46049</v>
      </c>
      <c r="J2746" s="4">
        <v>46050</v>
      </c>
      <c r="K2746" t="s">
        <v>918</v>
      </c>
      <c r="L2746" t="s">
        <v>312</v>
      </c>
      <c r="M2746" t="s">
        <v>19</v>
      </c>
      <c r="N2746" t="s">
        <v>3992</v>
      </c>
      <c r="O2746">
        <v>30</v>
      </c>
    </row>
    <row r="2747" spans="1:15" hidden="1" x14ac:dyDescent="0.25">
      <c r="A2747" t="s">
        <v>2820</v>
      </c>
      <c r="B2747" t="s">
        <v>205</v>
      </c>
      <c r="C2747" t="s">
        <v>206</v>
      </c>
      <c r="D2747" t="s">
        <v>15</v>
      </c>
      <c r="E2747" t="s">
        <v>4808</v>
      </c>
      <c r="F2747" s="3">
        <v>129000</v>
      </c>
      <c r="G2747" s="2">
        <f t="shared" si="84"/>
        <v>1</v>
      </c>
      <c r="H2747" s="2">
        <f t="shared" ca="1" si="85"/>
        <v>71</v>
      </c>
      <c r="I2747" s="4">
        <v>46049</v>
      </c>
      <c r="J2747" s="4">
        <v>46050</v>
      </c>
      <c r="K2747" t="s">
        <v>918</v>
      </c>
      <c r="L2747" t="s">
        <v>312</v>
      </c>
      <c r="M2747" t="s">
        <v>19</v>
      </c>
      <c r="N2747" t="s">
        <v>149</v>
      </c>
      <c r="O2747">
        <v>1</v>
      </c>
    </row>
    <row r="2748" spans="1:15" hidden="1" x14ac:dyDescent="0.25">
      <c r="A2748" t="s">
        <v>2820</v>
      </c>
      <c r="B2748" t="s">
        <v>964</v>
      </c>
      <c r="C2748" t="s">
        <v>965</v>
      </c>
      <c r="D2748" t="s">
        <v>916</v>
      </c>
      <c r="E2748" t="s">
        <v>4809</v>
      </c>
      <c r="F2748" s="3">
        <v>124796</v>
      </c>
      <c r="G2748" s="2">
        <f t="shared" si="84"/>
        <v>15</v>
      </c>
      <c r="H2748" s="2">
        <f t="shared" ca="1" si="85"/>
        <v>71</v>
      </c>
      <c r="I2748" s="4">
        <v>46049</v>
      </c>
      <c r="J2748" s="4">
        <v>46064</v>
      </c>
      <c r="K2748" t="s">
        <v>918</v>
      </c>
      <c r="L2748" t="s">
        <v>312</v>
      </c>
      <c r="M2748" t="s">
        <v>19</v>
      </c>
      <c r="N2748" t="s">
        <v>966</v>
      </c>
      <c r="O2748">
        <v>30</v>
      </c>
    </row>
    <row r="2749" spans="1:15" hidden="1" x14ac:dyDescent="0.25">
      <c r="A2749" t="s">
        <v>2820</v>
      </c>
      <c r="B2749" t="s">
        <v>964</v>
      </c>
      <c r="C2749" t="s">
        <v>965</v>
      </c>
      <c r="D2749" t="s">
        <v>916</v>
      </c>
      <c r="E2749" t="s">
        <v>4810</v>
      </c>
      <c r="F2749" s="3">
        <v>58187</v>
      </c>
      <c r="G2749" s="2">
        <f t="shared" si="84"/>
        <v>15</v>
      </c>
      <c r="H2749" s="2">
        <f t="shared" ca="1" si="85"/>
        <v>71</v>
      </c>
      <c r="I2749" s="4">
        <v>46049</v>
      </c>
      <c r="J2749" s="4">
        <v>46064</v>
      </c>
      <c r="K2749" t="s">
        <v>918</v>
      </c>
      <c r="L2749" t="s">
        <v>312</v>
      </c>
      <c r="M2749" t="s">
        <v>19</v>
      </c>
      <c r="N2749" t="s">
        <v>966</v>
      </c>
      <c r="O2749">
        <v>30</v>
      </c>
    </row>
    <row r="2750" spans="1:15" hidden="1" x14ac:dyDescent="0.25">
      <c r="A2750" t="s">
        <v>2820</v>
      </c>
      <c r="B2750" t="s">
        <v>3998</v>
      </c>
      <c r="C2750" t="s">
        <v>3999</v>
      </c>
      <c r="D2750" t="s">
        <v>916</v>
      </c>
      <c r="E2750" t="s">
        <v>4811</v>
      </c>
      <c r="F2750" s="3">
        <v>194002</v>
      </c>
      <c r="G2750" s="2">
        <f t="shared" si="84"/>
        <v>1</v>
      </c>
      <c r="H2750" s="2">
        <f t="shared" ca="1" si="85"/>
        <v>71</v>
      </c>
      <c r="I2750" s="4">
        <v>46049</v>
      </c>
      <c r="J2750" s="4">
        <v>46050</v>
      </c>
      <c r="K2750" t="s">
        <v>918</v>
      </c>
      <c r="L2750" t="s">
        <v>312</v>
      </c>
      <c r="M2750" t="s">
        <v>19</v>
      </c>
      <c r="N2750" t="s">
        <v>4001</v>
      </c>
      <c r="O2750">
        <v>1</v>
      </c>
    </row>
    <row r="2751" spans="1:15" hidden="1" x14ac:dyDescent="0.25">
      <c r="A2751" t="s">
        <v>2820</v>
      </c>
      <c r="B2751" t="s">
        <v>3998</v>
      </c>
      <c r="C2751" t="s">
        <v>3999</v>
      </c>
      <c r="D2751" t="s">
        <v>916</v>
      </c>
      <c r="E2751" t="s">
        <v>4812</v>
      </c>
      <c r="F2751" s="3">
        <v>42811</v>
      </c>
      <c r="G2751" s="2">
        <f t="shared" si="84"/>
        <v>1</v>
      </c>
      <c r="H2751" s="2">
        <f t="shared" ca="1" si="85"/>
        <v>71</v>
      </c>
      <c r="I2751" s="4">
        <v>46049</v>
      </c>
      <c r="J2751" s="4">
        <v>46050</v>
      </c>
      <c r="K2751" t="s">
        <v>918</v>
      </c>
      <c r="L2751" t="s">
        <v>312</v>
      </c>
      <c r="M2751" t="s">
        <v>19</v>
      </c>
      <c r="N2751" t="s">
        <v>4001</v>
      </c>
      <c r="O2751">
        <v>1</v>
      </c>
    </row>
    <row r="2752" spans="1:15" hidden="1" x14ac:dyDescent="0.25">
      <c r="A2752" t="s">
        <v>2820</v>
      </c>
      <c r="B2752" t="s">
        <v>205</v>
      </c>
      <c r="C2752" t="s">
        <v>206</v>
      </c>
      <c r="D2752" t="s">
        <v>15</v>
      </c>
      <c r="E2752" t="s">
        <v>4813</v>
      </c>
      <c r="F2752" s="3">
        <v>163251</v>
      </c>
      <c r="G2752" s="2">
        <f t="shared" si="84"/>
        <v>1</v>
      </c>
      <c r="H2752" s="2">
        <f t="shared" ca="1" si="85"/>
        <v>71</v>
      </c>
      <c r="I2752" s="4">
        <v>46049</v>
      </c>
      <c r="J2752" s="4">
        <v>46050</v>
      </c>
      <c r="K2752" t="s">
        <v>918</v>
      </c>
      <c r="L2752" t="s">
        <v>312</v>
      </c>
      <c r="M2752" t="s">
        <v>19</v>
      </c>
      <c r="N2752" t="s">
        <v>149</v>
      </c>
      <c r="O2752">
        <v>1</v>
      </c>
    </row>
    <row r="2753" spans="1:15" hidden="1" x14ac:dyDescent="0.25">
      <c r="A2753" t="s">
        <v>2820</v>
      </c>
      <c r="B2753" t="s">
        <v>970</v>
      </c>
      <c r="C2753" t="s">
        <v>971</v>
      </c>
      <c r="D2753" t="s">
        <v>916</v>
      </c>
      <c r="E2753" t="s">
        <v>4814</v>
      </c>
      <c r="F2753" s="3">
        <v>590239</v>
      </c>
      <c r="G2753" s="2">
        <f t="shared" si="84"/>
        <v>30</v>
      </c>
      <c r="H2753" s="2">
        <f t="shared" ca="1" si="85"/>
        <v>71</v>
      </c>
      <c r="I2753" s="4">
        <v>46049</v>
      </c>
      <c r="J2753" s="4">
        <v>46079</v>
      </c>
      <c r="K2753" t="s">
        <v>918</v>
      </c>
      <c r="L2753" t="s">
        <v>312</v>
      </c>
      <c r="M2753" t="s">
        <v>19</v>
      </c>
      <c r="N2753" t="s">
        <v>972</v>
      </c>
      <c r="O2753">
        <v>30</v>
      </c>
    </row>
    <row r="2754" spans="1:15" hidden="1" x14ac:dyDescent="0.25">
      <c r="A2754" t="s">
        <v>2820</v>
      </c>
      <c r="B2754" t="s">
        <v>4815</v>
      </c>
      <c r="C2754" t="s">
        <v>4816</v>
      </c>
      <c r="D2754" t="s">
        <v>916</v>
      </c>
      <c r="E2754" t="s">
        <v>4817</v>
      </c>
      <c r="F2754" s="3">
        <v>98111</v>
      </c>
      <c r="G2754" s="2">
        <f t="shared" ref="G2754:G2822" si="86">+J2754-I2754</f>
        <v>1</v>
      </c>
      <c r="H2754" s="2">
        <f t="shared" ref="H2754:H2817" ca="1" si="87">+TODAY()-I2754</f>
        <v>71</v>
      </c>
      <c r="I2754" s="4">
        <v>46049</v>
      </c>
      <c r="J2754" s="4">
        <v>46050</v>
      </c>
      <c r="K2754" t="s">
        <v>918</v>
      </c>
      <c r="L2754" t="s">
        <v>312</v>
      </c>
      <c r="M2754" t="s">
        <v>19</v>
      </c>
      <c r="N2754" t="s">
        <v>4818</v>
      </c>
      <c r="O2754">
        <v>30</v>
      </c>
    </row>
    <row r="2755" spans="1:15" hidden="1" x14ac:dyDescent="0.25">
      <c r="A2755" t="s">
        <v>2820</v>
      </c>
      <c r="B2755" t="s">
        <v>949</v>
      </c>
      <c r="C2755" t="s">
        <v>950</v>
      </c>
      <c r="D2755" t="s">
        <v>916</v>
      </c>
      <c r="E2755" t="s">
        <v>4819</v>
      </c>
      <c r="F2755" s="3">
        <v>229896</v>
      </c>
      <c r="G2755" s="2">
        <f t="shared" si="86"/>
        <v>15</v>
      </c>
      <c r="H2755" s="2">
        <f t="shared" ca="1" si="87"/>
        <v>71</v>
      </c>
      <c r="I2755" s="4">
        <v>46049</v>
      </c>
      <c r="J2755" s="4">
        <v>46064</v>
      </c>
      <c r="K2755" t="s">
        <v>918</v>
      </c>
      <c r="L2755" t="s">
        <v>312</v>
      </c>
      <c r="M2755" t="s">
        <v>19</v>
      </c>
      <c r="N2755" t="s">
        <v>951</v>
      </c>
      <c r="O2755">
        <v>30</v>
      </c>
    </row>
    <row r="2756" spans="1:15" hidden="1" x14ac:dyDescent="0.25">
      <c r="A2756" t="s">
        <v>2820</v>
      </c>
      <c r="B2756" t="s">
        <v>2297</v>
      </c>
      <c r="C2756" t="s">
        <v>2298</v>
      </c>
      <c r="D2756" t="s">
        <v>916</v>
      </c>
      <c r="E2756" t="s">
        <v>4876</v>
      </c>
      <c r="F2756" s="3">
        <v>159872</v>
      </c>
      <c r="G2756" s="2">
        <f t="shared" si="86"/>
        <v>8</v>
      </c>
      <c r="H2756" s="2">
        <f t="shared" ca="1" si="87"/>
        <v>71</v>
      </c>
      <c r="I2756" s="4">
        <v>46049</v>
      </c>
      <c r="J2756" s="4">
        <v>46057</v>
      </c>
      <c r="K2756" t="s">
        <v>918</v>
      </c>
      <c r="L2756" t="s">
        <v>312</v>
      </c>
      <c r="M2756" t="s">
        <v>19</v>
      </c>
      <c r="N2756" t="s">
        <v>2299</v>
      </c>
      <c r="O2756">
        <v>15</v>
      </c>
    </row>
    <row r="2757" spans="1:15" hidden="1" x14ac:dyDescent="0.25">
      <c r="A2757" t="s">
        <v>2820</v>
      </c>
      <c r="B2757" t="s">
        <v>4877</v>
      </c>
      <c r="C2757" t="s">
        <v>4878</v>
      </c>
      <c r="D2757" t="s">
        <v>916</v>
      </c>
      <c r="E2757" t="s">
        <v>4879</v>
      </c>
      <c r="F2757" s="3">
        <v>91852</v>
      </c>
      <c r="G2757" s="2">
        <f t="shared" si="86"/>
        <v>1</v>
      </c>
      <c r="H2757" s="2">
        <f t="shared" ca="1" si="87"/>
        <v>71</v>
      </c>
      <c r="I2757" s="4">
        <v>46049</v>
      </c>
      <c r="J2757" s="4">
        <v>46050</v>
      </c>
      <c r="K2757" t="s">
        <v>918</v>
      </c>
      <c r="L2757" t="s">
        <v>312</v>
      </c>
      <c r="M2757" t="s">
        <v>19</v>
      </c>
      <c r="N2757" t="s">
        <v>4880</v>
      </c>
      <c r="O2757">
        <v>1</v>
      </c>
    </row>
    <row r="2758" spans="1:15" hidden="1" x14ac:dyDescent="0.25">
      <c r="A2758" t="s">
        <v>2820</v>
      </c>
      <c r="B2758" t="s">
        <v>934</v>
      </c>
      <c r="C2758" t="s">
        <v>935</v>
      </c>
      <c r="D2758" t="s">
        <v>930</v>
      </c>
      <c r="E2758" t="s">
        <v>4881</v>
      </c>
      <c r="F2758" s="3">
        <v>529105</v>
      </c>
      <c r="G2758" s="2">
        <f t="shared" si="86"/>
        <v>30</v>
      </c>
      <c r="H2758" s="2">
        <f t="shared" ca="1" si="87"/>
        <v>71</v>
      </c>
      <c r="I2758" s="4">
        <v>46049</v>
      </c>
      <c r="J2758" s="4">
        <v>46079</v>
      </c>
      <c r="K2758" t="s">
        <v>918</v>
      </c>
      <c r="L2758" t="s">
        <v>312</v>
      </c>
      <c r="M2758" t="s">
        <v>19</v>
      </c>
      <c r="N2758" t="s">
        <v>936</v>
      </c>
      <c r="O2758">
        <v>30</v>
      </c>
    </row>
    <row r="2759" spans="1:15" hidden="1" x14ac:dyDescent="0.25">
      <c r="A2759" t="s">
        <v>2820</v>
      </c>
      <c r="B2759" t="s">
        <v>4882</v>
      </c>
      <c r="C2759" t="s">
        <v>4883</v>
      </c>
      <c r="D2759" t="s">
        <v>916</v>
      </c>
      <c r="E2759" t="s">
        <v>4884</v>
      </c>
      <c r="F2759" s="3">
        <v>76401</v>
      </c>
      <c r="G2759" s="2">
        <f t="shared" si="86"/>
        <v>1</v>
      </c>
      <c r="H2759" s="2">
        <f t="shared" ca="1" si="87"/>
        <v>71</v>
      </c>
      <c r="I2759" s="4">
        <v>46049</v>
      </c>
      <c r="J2759" s="4">
        <v>46050</v>
      </c>
      <c r="K2759" t="s">
        <v>918</v>
      </c>
      <c r="L2759" t="s">
        <v>312</v>
      </c>
      <c r="M2759" t="s">
        <v>19</v>
      </c>
      <c r="N2759" t="s">
        <v>4885</v>
      </c>
      <c r="O2759">
        <v>1</v>
      </c>
    </row>
    <row r="2760" spans="1:15" hidden="1" x14ac:dyDescent="0.25">
      <c r="A2760" t="s">
        <v>2820</v>
      </c>
      <c r="B2760" t="s">
        <v>4396</v>
      </c>
      <c r="C2760" t="s">
        <v>4397</v>
      </c>
      <c r="D2760" t="s">
        <v>916</v>
      </c>
      <c r="E2760" t="s">
        <v>4886</v>
      </c>
      <c r="F2760" s="3">
        <v>630000</v>
      </c>
      <c r="G2760" s="2">
        <f t="shared" si="86"/>
        <v>8</v>
      </c>
      <c r="H2760" s="2">
        <f t="shared" ca="1" si="87"/>
        <v>71</v>
      </c>
      <c r="I2760" s="4">
        <v>46049</v>
      </c>
      <c r="J2760" s="4">
        <v>46057</v>
      </c>
      <c r="K2760" t="s">
        <v>918</v>
      </c>
      <c r="L2760" t="s">
        <v>312</v>
      </c>
      <c r="M2760" t="s">
        <v>19</v>
      </c>
      <c r="N2760" t="s">
        <v>4399</v>
      </c>
      <c r="O2760">
        <v>30</v>
      </c>
    </row>
    <row r="2761" spans="1:15" hidden="1" x14ac:dyDescent="0.25">
      <c r="A2761" t="s">
        <v>2820</v>
      </c>
      <c r="B2761" t="s">
        <v>3533</v>
      </c>
      <c r="C2761" t="s">
        <v>3534</v>
      </c>
      <c r="D2761" t="s">
        <v>930</v>
      </c>
      <c r="E2761" t="s">
        <v>4887</v>
      </c>
      <c r="F2761" s="3">
        <v>47500</v>
      </c>
      <c r="G2761" s="2">
        <f t="shared" si="86"/>
        <v>1</v>
      </c>
      <c r="H2761" s="2">
        <f t="shared" ca="1" si="87"/>
        <v>71</v>
      </c>
      <c r="I2761" s="4">
        <v>46049</v>
      </c>
      <c r="J2761" s="4">
        <v>46050</v>
      </c>
      <c r="K2761" t="s">
        <v>918</v>
      </c>
      <c r="L2761" t="s">
        <v>312</v>
      </c>
      <c r="M2761" t="s">
        <v>19</v>
      </c>
      <c r="N2761" t="s">
        <v>3536</v>
      </c>
      <c r="O2761">
        <v>30</v>
      </c>
    </row>
    <row r="2762" spans="1:15" hidden="1" x14ac:dyDescent="0.25">
      <c r="A2762" t="s">
        <v>2820</v>
      </c>
      <c r="B2762" t="s">
        <v>955</v>
      </c>
      <c r="C2762" t="s">
        <v>956</v>
      </c>
      <c r="D2762" t="s">
        <v>916</v>
      </c>
      <c r="E2762" t="s">
        <v>4888</v>
      </c>
      <c r="F2762" s="3">
        <v>355641</v>
      </c>
      <c r="G2762" s="2">
        <f t="shared" si="86"/>
        <v>30</v>
      </c>
      <c r="H2762" s="2">
        <f t="shared" ca="1" si="87"/>
        <v>71</v>
      </c>
      <c r="I2762" s="4">
        <v>46049</v>
      </c>
      <c r="J2762" s="4">
        <v>46079</v>
      </c>
      <c r="K2762" t="s">
        <v>918</v>
      </c>
      <c r="L2762" t="s">
        <v>312</v>
      </c>
      <c r="M2762" t="s">
        <v>19</v>
      </c>
      <c r="N2762" t="s">
        <v>957</v>
      </c>
      <c r="O2762">
        <v>30</v>
      </c>
    </row>
    <row r="2763" spans="1:15" hidden="1" x14ac:dyDescent="0.25">
      <c r="A2763" t="s">
        <v>2820</v>
      </c>
      <c r="B2763" t="s">
        <v>4889</v>
      </c>
      <c r="C2763" t="s">
        <v>4890</v>
      </c>
      <c r="D2763" t="s">
        <v>916</v>
      </c>
      <c r="E2763" t="s">
        <v>4891</v>
      </c>
      <c r="F2763" s="3">
        <v>226598</v>
      </c>
      <c r="G2763" s="2">
        <f t="shared" si="86"/>
        <v>1</v>
      </c>
      <c r="H2763" s="2">
        <f t="shared" ca="1" si="87"/>
        <v>71</v>
      </c>
      <c r="I2763" s="4">
        <v>46049</v>
      </c>
      <c r="J2763" s="4">
        <v>46050</v>
      </c>
      <c r="K2763" t="s">
        <v>918</v>
      </c>
      <c r="L2763" t="s">
        <v>312</v>
      </c>
      <c r="M2763" t="s">
        <v>19</v>
      </c>
      <c r="N2763" t="s">
        <v>4892</v>
      </c>
      <c r="O2763">
        <v>1</v>
      </c>
    </row>
    <row r="2764" spans="1:15" hidden="1" x14ac:dyDescent="0.25">
      <c r="A2764" t="s">
        <v>2820</v>
      </c>
      <c r="B2764" t="s">
        <v>4893</v>
      </c>
      <c r="C2764" t="s">
        <v>4894</v>
      </c>
      <c r="D2764" t="s">
        <v>916</v>
      </c>
      <c r="E2764" t="s">
        <v>4895</v>
      </c>
      <c r="F2764" s="3">
        <v>128400</v>
      </c>
      <c r="G2764" s="2">
        <f t="shared" si="86"/>
        <v>1</v>
      </c>
      <c r="H2764" s="2">
        <f t="shared" ca="1" si="87"/>
        <v>71</v>
      </c>
      <c r="I2764" s="4">
        <v>46049</v>
      </c>
      <c r="J2764" s="4">
        <v>46050</v>
      </c>
      <c r="K2764" t="s">
        <v>918</v>
      </c>
      <c r="L2764" t="s">
        <v>312</v>
      </c>
      <c r="M2764" t="s">
        <v>19</v>
      </c>
      <c r="N2764" t="s">
        <v>4896</v>
      </c>
      <c r="O2764">
        <v>1</v>
      </c>
    </row>
    <row r="2765" spans="1:15" hidden="1" x14ac:dyDescent="0.25">
      <c r="A2765" t="s">
        <v>2820</v>
      </c>
      <c r="B2765" t="s">
        <v>205</v>
      </c>
      <c r="C2765" t="s">
        <v>206</v>
      </c>
      <c r="D2765" t="s">
        <v>15</v>
      </c>
      <c r="E2765" t="s">
        <v>4897</v>
      </c>
      <c r="F2765" s="3">
        <v>2557865</v>
      </c>
      <c r="G2765" s="2">
        <f t="shared" si="86"/>
        <v>1</v>
      </c>
      <c r="H2765" s="2">
        <f t="shared" ca="1" si="87"/>
        <v>71</v>
      </c>
      <c r="I2765" s="4">
        <v>46049</v>
      </c>
      <c r="J2765" s="4">
        <v>46050</v>
      </c>
      <c r="K2765" t="s">
        <v>918</v>
      </c>
      <c r="L2765" t="s">
        <v>312</v>
      </c>
      <c r="M2765" t="s">
        <v>19</v>
      </c>
      <c r="N2765" t="s">
        <v>149</v>
      </c>
      <c r="O2765">
        <v>1</v>
      </c>
    </row>
    <row r="2766" spans="1:15" hidden="1" x14ac:dyDescent="0.25">
      <c r="A2766" t="s">
        <v>2820</v>
      </c>
      <c r="B2766" t="s">
        <v>1932</v>
      </c>
      <c r="C2766" t="s">
        <v>1933</v>
      </c>
      <c r="D2766" t="s">
        <v>916</v>
      </c>
      <c r="E2766" t="s">
        <v>4898</v>
      </c>
      <c r="F2766" s="3">
        <v>379160</v>
      </c>
      <c r="G2766" s="2">
        <f t="shared" si="86"/>
        <v>15</v>
      </c>
      <c r="H2766" s="2">
        <f t="shared" ca="1" si="87"/>
        <v>71</v>
      </c>
      <c r="I2766" s="4">
        <v>46049</v>
      </c>
      <c r="J2766" s="4">
        <v>46064</v>
      </c>
      <c r="K2766" t="s">
        <v>918</v>
      </c>
      <c r="L2766" t="s">
        <v>312</v>
      </c>
      <c r="M2766" t="s">
        <v>19</v>
      </c>
      <c r="N2766" t="s">
        <v>1934</v>
      </c>
      <c r="O2766">
        <v>30</v>
      </c>
    </row>
    <row r="2767" spans="1:15" hidden="1" x14ac:dyDescent="0.25">
      <c r="A2767" t="s">
        <v>2820</v>
      </c>
      <c r="B2767" t="s">
        <v>205</v>
      </c>
      <c r="C2767" t="s">
        <v>206</v>
      </c>
      <c r="D2767" t="s">
        <v>15</v>
      </c>
      <c r="E2767" t="s">
        <v>4899</v>
      </c>
      <c r="F2767" s="3">
        <v>344272</v>
      </c>
      <c r="G2767" s="2">
        <f t="shared" si="86"/>
        <v>1</v>
      </c>
      <c r="H2767" s="2">
        <f t="shared" ca="1" si="87"/>
        <v>71</v>
      </c>
      <c r="I2767" s="4">
        <v>46049</v>
      </c>
      <c r="J2767" s="4">
        <v>46050</v>
      </c>
      <c r="K2767" t="s">
        <v>918</v>
      </c>
      <c r="L2767" t="s">
        <v>312</v>
      </c>
      <c r="M2767" t="s">
        <v>19</v>
      </c>
      <c r="N2767" t="s">
        <v>149</v>
      </c>
      <c r="O2767">
        <v>1</v>
      </c>
    </row>
    <row r="2768" spans="1:15" hidden="1" x14ac:dyDescent="0.25">
      <c r="A2768" t="s">
        <v>2820</v>
      </c>
      <c r="B2768" t="s">
        <v>4900</v>
      </c>
      <c r="C2768" t="s">
        <v>4901</v>
      </c>
      <c r="D2768" t="s">
        <v>930</v>
      </c>
      <c r="E2768" t="s">
        <v>4902</v>
      </c>
      <c r="F2768" s="3">
        <v>493804</v>
      </c>
      <c r="G2768" s="2">
        <f t="shared" si="86"/>
        <v>1</v>
      </c>
      <c r="H2768" s="2">
        <f t="shared" ca="1" si="87"/>
        <v>71</v>
      </c>
      <c r="I2768" s="4">
        <v>46049</v>
      </c>
      <c r="J2768" s="4">
        <v>46050</v>
      </c>
      <c r="K2768" t="s">
        <v>918</v>
      </c>
      <c r="L2768" t="s">
        <v>312</v>
      </c>
      <c r="M2768" t="s">
        <v>19</v>
      </c>
      <c r="N2768" t="s">
        <v>4903</v>
      </c>
      <c r="O2768">
        <v>1</v>
      </c>
    </row>
    <row r="2769" spans="1:15" hidden="1" x14ac:dyDescent="0.25">
      <c r="A2769" t="s">
        <v>2820</v>
      </c>
      <c r="B2769" t="s">
        <v>937</v>
      </c>
      <c r="C2769" t="s">
        <v>938</v>
      </c>
      <c r="D2769" t="s">
        <v>930</v>
      </c>
      <c r="E2769" t="s">
        <v>4904</v>
      </c>
      <c r="F2769" s="3">
        <v>815102</v>
      </c>
      <c r="G2769" s="2">
        <f t="shared" si="86"/>
        <v>30</v>
      </c>
      <c r="H2769" s="2">
        <f t="shared" ca="1" si="87"/>
        <v>71</v>
      </c>
      <c r="I2769" s="4">
        <v>46049</v>
      </c>
      <c r="J2769" s="4">
        <v>46079</v>
      </c>
      <c r="K2769" t="s">
        <v>918</v>
      </c>
      <c r="L2769" t="s">
        <v>312</v>
      </c>
      <c r="M2769" t="s">
        <v>19</v>
      </c>
      <c r="N2769" t="s">
        <v>939</v>
      </c>
      <c r="O2769">
        <v>30</v>
      </c>
    </row>
    <row r="2770" spans="1:15" hidden="1" x14ac:dyDescent="0.25">
      <c r="A2770" t="s">
        <v>2820</v>
      </c>
      <c r="B2770" t="s">
        <v>937</v>
      </c>
      <c r="C2770" t="s">
        <v>938</v>
      </c>
      <c r="D2770" t="s">
        <v>930</v>
      </c>
      <c r="E2770" t="s">
        <v>4905</v>
      </c>
      <c r="F2770" s="3">
        <v>764000</v>
      </c>
      <c r="G2770" s="2">
        <f t="shared" si="86"/>
        <v>1</v>
      </c>
      <c r="H2770" s="2">
        <f t="shared" ca="1" si="87"/>
        <v>71</v>
      </c>
      <c r="I2770" s="4">
        <v>46049</v>
      </c>
      <c r="J2770" s="4">
        <v>46050</v>
      </c>
      <c r="K2770" t="s">
        <v>918</v>
      </c>
      <c r="L2770" t="s">
        <v>312</v>
      </c>
      <c r="M2770" t="s">
        <v>19</v>
      </c>
      <c r="N2770" t="s">
        <v>939</v>
      </c>
      <c r="O2770">
        <v>30</v>
      </c>
    </row>
    <row r="2771" spans="1:15" hidden="1" x14ac:dyDescent="0.25">
      <c r="A2771" t="s">
        <v>2820</v>
      </c>
      <c r="B2771" t="s">
        <v>205</v>
      </c>
      <c r="C2771" t="s">
        <v>206</v>
      </c>
      <c r="D2771" t="s">
        <v>15</v>
      </c>
      <c r="E2771" t="s">
        <v>4906</v>
      </c>
      <c r="F2771" s="3">
        <v>2427600</v>
      </c>
      <c r="G2771" s="2">
        <f t="shared" si="86"/>
        <v>1</v>
      </c>
      <c r="H2771" s="2">
        <f t="shared" ca="1" si="87"/>
        <v>71</v>
      </c>
      <c r="I2771" s="4">
        <v>46049</v>
      </c>
      <c r="J2771" s="4">
        <v>46050</v>
      </c>
      <c r="K2771" t="s">
        <v>918</v>
      </c>
      <c r="L2771" t="s">
        <v>312</v>
      </c>
      <c r="M2771" t="s">
        <v>19</v>
      </c>
      <c r="N2771" t="s">
        <v>149</v>
      </c>
      <c r="O2771">
        <v>1</v>
      </c>
    </row>
    <row r="2772" spans="1:15" hidden="1" x14ac:dyDescent="0.25">
      <c r="A2772" t="s">
        <v>2820</v>
      </c>
      <c r="B2772" t="s">
        <v>205</v>
      </c>
      <c r="C2772" t="s">
        <v>206</v>
      </c>
      <c r="D2772" t="s">
        <v>15</v>
      </c>
      <c r="E2772" t="s">
        <v>4907</v>
      </c>
      <c r="F2772" s="3">
        <v>1975831</v>
      </c>
      <c r="G2772" s="2">
        <f t="shared" si="86"/>
        <v>1</v>
      </c>
      <c r="H2772" s="2">
        <f t="shared" ca="1" si="87"/>
        <v>71</v>
      </c>
      <c r="I2772" s="4">
        <v>46049</v>
      </c>
      <c r="J2772" s="4">
        <v>46050</v>
      </c>
      <c r="K2772" t="s">
        <v>918</v>
      </c>
      <c r="L2772" t="s">
        <v>312</v>
      </c>
      <c r="M2772" t="s">
        <v>19</v>
      </c>
      <c r="N2772" t="s">
        <v>149</v>
      </c>
      <c r="O2772">
        <v>1</v>
      </c>
    </row>
    <row r="2773" spans="1:15" hidden="1" x14ac:dyDescent="0.25">
      <c r="A2773" t="s">
        <v>2820</v>
      </c>
      <c r="B2773" t="s">
        <v>967</v>
      </c>
      <c r="C2773" t="s">
        <v>968</v>
      </c>
      <c r="D2773" t="s">
        <v>930</v>
      </c>
      <c r="E2773" t="s">
        <v>4908</v>
      </c>
      <c r="F2773" s="3">
        <v>1110683</v>
      </c>
      <c r="G2773" s="2">
        <f t="shared" si="86"/>
        <v>30</v>
      </c>
      <c r="H2773" s="2">
        <f t="shared" ca="1" si="87"/>
        <v>71</v>
      </c>
      <c r="I2773" s="4">
        <v>46049</v>
      </c>
      <c r="J2773" s="4">
        <v>46079</v>
      </c>
      <c r="K2773" t="s">
        <v>918</v>
      </c>
      <c r="L2773" t="s">
        <v>312</v>
      </c>
      <c r="M2773" t="s">
        <v>19</v>
      </c>
      <c r="N2773" t="s">
        <v>969</v>
      </c>
      <c r="O2773">
        <v>30</v>
      </c>
    </row>
    <row r="2774" spans="1:15" hidden="1" x14ac:dyDescent="0.25">
      <c r="A2774" t="s">
        <v>2820</v>
      </c>
      <c r="B2774" t="s">
        <v>4909</v>
      </c>
      <c r="C2774" t="s">
        <v>4910</v>
      </c>
      <c r="D2774" t="s">
        <v>916</v>
      </c>
      <c r="E2774" t="s">
        <v>4911</v>
      </c>
      <c r="F2774" s="3">
        <v>46801</v>
      </c>
      <c r="G2774" s="2">
        <f t="shared" si="86"/>
        <v>1</v>
      </c>
      <c r="H2774" s="2">
        <f t="shared" ca="1" si="87"/>
        <v>71</v>
      </c>
      <c r="I2774" s="4">
        <v>46049</v>
      </c>
      <c r="J2774" s="4">
        <v>46050</v>
      </c>
      <c r="K2774" t="s">
        <v>918</v>
      </c>
      <c r="L2774" t="s">
        <v>312</v>
      </c>
      <c r="M2774" t="s">
        <v>19</v>
      </c>
      <c r="N2774" t="s">
        <v>4912</v>
      </c>
      <c r="O2774">
        <v>1</v>
      </c>
    </row>
    <row r="2775" spans="1:15" hidden="1" x14ac:dyDescent="0.25">
      <c r="A2775" t="s">
        <v>2820</v>
      </c>
      <c r="B2775" t="s">
        <v>4909</v>
      </c>
      <c r="C2775" t="s">
        <v>4910</v>
      </c>
      <c r="D2775" t="s">
        <v>916</v>
      </c>
      <c r="E2775" t="s">
        <v>4913</v>
      </c>
      <c r="F2775" s="3">
        <v>42800</v>
      </c>
      <c r="G2775" s="2">
        <f t="shared" si="86"/>
        <v>1</v>
      </c>
      <c r="H2775" s="2">
        <f t="shared" ca="1" si="87"/>
        <v>71</v>
      </c>
      <c r="I2775" s="4">
        <v>46049</v>
      </c>
      <c r="J2775" s="4">
        <v>46050</v>
      </c>
      <c r="K2775" t="s">
        <v>918</v>
      </c>
      <c r="L2775" t="s">
        <v>312</v>
      </c>
      <c r="M2775" t="s">
        <v>19</v>
      </c>
      <c r="N2775" t="s">
        <v>4912</v>
      </c>
      <c r="O2775">
        <v>1</v>
      </c>
    </row>
    <row r="2776" spans="1:15" hidden="1" x14ac:dyDescent="0.25">
      <c r="A2776" t="s">
        <v>2820</v>
      </c>
      <c r="B2776" t="s">
        <v>940</v>
      </c>
      <c r="C2776" t="s">
        <v>941</v>
      </c>
      <c r="D2776" t="s">
        <v>930</v>
      </c>
      <c r="E2776" t="s">
        <v>4914</v>
      </c>
      <c r="F2776" s="3">
        <v>535227</v>
      </c>
      <c r="G2776" s="2">
        <f t="shared" si="86"/>
        <v>30</v>
      </c>
      <c r="H2776" s="2">
        <f t="shared" ca="1" si="87"/>
        <v>71</v>
      </c>
      <c r="I2776" s="4">
        <v>46049</v>
      </c>
      <c r="J2776" s="4">
        <v>46079</v>
      </c>
      <c r="K2776" t="s">
        <v>918</v>
      </c>
      <c r="L2776" t="s">
        <v>312</v>
      </c>
      <c r="M2776" t="s">
        <v>19</v>
      </c>
      <c r="N2776" t="s">
        <v>942</v>
      </c>
      <c r="O2776">
        <v>30</v>
      </c>
    </row>
    <row r="2777" spans="1:15" hidden="1" x14ac:dyDescent="0.25">
      <c r="A2777" t="s">
        <v>2820</v>
      </c>
      <c r="B2777" t="s">
        <v>4915</v>
      </c>
      <c r="C2777" t="s">
        <v>4916</v>
      </c>
      <c r="D2777" t="s">
        <v>320</v>
      </c>
      <c r="E2777" t="s">
        <v>4917</v>
      </c>
      <c r="F2777" s="3">
        <v>100999</v>
      </c>
      <c r="G2777" s="2">
        <f t="shared" si="86"/>
        <v>1</v>
      </c>
      <c r="H2777" s="2">
        <f t="shared" ca="1" si="87"/>
        <v>71</v>
      </c>
      <c r="I2777" s="4">
        <v>46049</v>
      </c>
      <c r="J2777" s="4">
        <v>46050</v>
      </c>
      <c r="K2777" t="s">
        <v>1063</v>
      </c>
      <c r="L2777" t="s">
        <v>321</v>
      </c>
      <c r="M2777" t="s">
        <v>19</v>
      </c>
      <c r="N2777" t="s">
        <v>4918</v>
      </c>
      <c r="O2777">
        <v>1</v>
      </c>
    </row>
    <row r="2778" spans="1:15" hidden="1" x14ac:dyDescent="0.25">
      <c r="A2778" t="s">
        <v>2820</v>
      </c>
      <c r="B2778" t="s">
        <v>205</v>
      </c>
      <c r="C2778" t="s">
        <v>206</v>
      </c>
      <c r="D2778" t="s">
        <v>15</v>
      </c>
      <c r="E2778" t="s">
        <v>4919</v>
      </c>
      <c r="F2778" s="3">
        <v>1276407</v>
      </c>
      <c r="G2778" s="2">
        <f t="shared" si="86"/>
        <v>1</v>
      </c>
      <c r="H2778" s="2">
        <f t="shared" ca="1" si="87"/>
        <v>71</v>
      </c>
      <c r="I2778" s="4">
        <v>46049</v>
      </c>
      <c r="J2778" s="4">
        <v>46050</v>
      </c>
      <c r="K2778" t="s">
        <v>1068</v>
      </c>
      <c r="L2778" t="s">
        <v>321</v>
      </c>
      <c r="M2778" t="s">
        <v>19</v>
      </c>
      <c r="N2778" t="s">
        <v>149</v>
      </c>
      <c r="O2778">
        <v>1</v>
      </c>
    </row>
    <row r="2779" spans="1:15" hidden="1" x14ac:dyDescent="0.25">
      <c r="A2779" t="s">
        <v>2820</v>
      </c>
      <c r="B2779" t="s">
        <v>205</v>
      </c>
      <c r="C2779" t="s">
        <v>206</v>
      </c>
      <c r="D2779" t="s">
        <v>15</v>
      </c>
      <c r="E2779" t="s">
        <v>4820</v>
      </c>
      <c r="F2779" s="3">
        <v>85000</v>
      </c>
      <c r="G2779" s="2">
        <f t="shared" si="86"/>
        <v>1</v>
      </c>
      <c r="H2779" s="2">
        <f t="shared" ca="1" si="87"/>
        <v>71</v>
      </c>
      <c r="I2779" s="4">
        <v>46049</v>
      </c>
      <c r="J2779" s="4">
        <v>46050</v>
      </c>
      <c r="K2779" t="s">
        <v>1068</v>
      </c>
      <c r="L2779" t="s">
        <v>321</v>
      </c>
      <c r="M2779" t="s">
        <v>19</v>
      </c>
      <c r="N2779" t="s">
        <v>149</v>
      </c>
      <c r="O2779">
        <v>1</v>
      </c>
    </row>
    <row r="2780" spans="1:15" hidden="1" x14ac:dyDescent="0.25">
      <c r="A2780" t="s">
        <v>2820</v>
      </c>
      <c r="B2780" t="s">
        <v>205</v>
      </c>
      <c r="C2780" t="s">
        <v>206</v>
      </c>
      <c r="D2780" t="s">
        <v>15</v>
      </c>
      <c r="E2780" t="s">
        <v>4821</v>
      </c>
      <c r="F2780" s="3">
        <v>20850</v>
      </c>
      <c r="G2780" s="2">
        <f t="shared" si="86"/>
        <v>1</v>
      </c>
      <c r="H2780" s="2">
        <f t="shared" ca="1" si="87"/>
        <v>71</v>
      </c>
      <c r="I2780" s="4">
        <v>46049</v>
      </c>
      <c r="J2780" s="4">
        <v>46050</v>
      </c>
      <c r="K2780" t="s">
        <v>1068</v>
      </c>
      <c r="L2780" t="s">
        <v>321</v>
      </c>
      <c r="M2780" t="s">
        <v>19</v>
      </c>
      <c r="N2780" t="s">
        <v>149</v>
      </c>
      <c r="O2780">
        <v>1</v>
      </c>
    </row>
    <row r="2781" spans="1:15" hidden="1" x14ac:dyDescent="0.25">
      <c r="A2781" t="s">
        <v>2820</v>
      </c>
      <c r="B2781" t="s">
        <v>4822</v>
      </c>
      <c r="C2781" t="s">
        <v>4823</v>
      </c>
      <c r="D2781" t="s">
        <v>1066</v>
      </c>
      <c r="E2781" t="s">
        <v>4824</v>
      </c>
      <c r="F2781" s="3">
        <v>48999</v>
      </c>
      <c r="G2781" s="2">
        <f t="shared" si="86"/>
        <v>1</v>
      </c>
      <c r="H2781" s="2">
        <f t="shared" ca="1" si="87"/>
        <v>71</v>
      </c>
      <c r="I2781" s="4">
        <v>46049</v>
      </c>
      <c r="J2781" s="4">
        <v>46050</v>
      </c>
      <c r="K2781" t="s">
        <v>1068</v>
      </c>
      <c r="L2781" t="s">
        <v>321</v>
      </c>
      <c r="M2781" t="s">
        <v>19</v>
      </c>
      <c r="N2781" t="s">
        <v>4825</v>
      </c>
      <c r="O2781">
        <v>1</v>
      </c>
    </row>
    <row r="2782" spans="1:15" hidden="1" x14ac:dyDescent="0.25">
      <c r="A2782" t="s">
        <v>2820</v>
      </c>
      <c r="B2782" t="s">
        <v>4045</v>
      </c>
      <c r="C2782" t="s">
        <v>4046</v>
      </c>
      <c r="D2782" t="s">
        <v>1066</v>
      </c>
      <c r="E2782" t="s">
        <v>4826</v>
      </c>
      <c r="F2782" s="3">
        <v>126695</v>
      </c>
      <c r="G2782" s="2">
        <f t="shared" si="86"/>
        <v>1</v>
      </c>
      <c r="H2782" s="2">
        <f t="shared" ca="1" si="87"/>
        <v>71</v>
      </c>
      <c r="I2782" s="4">
        <v>46049</v>
      </c>
      <c r="J2782" s="4">
        <v>46050</v>
      </c>
      <c r="K2782" t="s">
        <v>1068</v>
      </c>
      <c r="L2782" t="s">
        <v>321</v>
      </c>
      <c r="M2782" t="s">
        <v>19</v>
      </c>
      <c r="N2782" t="s">
        <v>4047</v>
      </c>
      <c r="O2782">
        <v>1</v>
      </c>
    </row>
    <row r="2783" spans="1:15" hidden="1" x14ac:dyDescent="0.25">
      <c r="A2783" t="s">
        <v>2820</v>
      </c>
      <c r="B2783" t="s">
        <v>4827</v>
      </c>
      <c r="C2783" t="s">
        <v>4828</v>
      </c>
      <c r="D2783" t="s">
        <v>320</v>
      </c>
      <c r="E2783" t="s">
        <v>4829</v>
      </c>
      <c r="F2783" s="3">
        <v>130241</v>
      </c>
      <c r="G2783" s="2">
        <f t="shared" si="86"/>
        <v>1</v>
      </c>
      <c r="H2783" s="2">
        <f t="shared" ca="1" si="87"/>
        <v>71</v>
      </c>
      <c r="I2783" s="4">
        <v>46049</v>
      </c>
      <c r="J2783" s="4">
        <v>46050</v>
      </c>
      <c r="K2783" t="s">
        <v>1068</v>
      </c>
      <c r="L2783" t="s">
        <v>321</v>
      </c>
      <c r="M2783" t="s">
        <v>19</v>
      </c>
      <c r="N2783" t="s">
        <v>4830</v>
      </c>
      <c r="O2783">
        <v>30</v>
      </c>
    </row>
    <row r="2784" spans="1:15" hidden="1" x14ac:dyDescent="0.25">
      <c r="A2784" t="s">
        <v>2820</v>
      </c>
      <c r="B2784" t="s">
        <v>205</v>
      </c>
      <c r="C2784" t="s">
        <v>206</v>
      </c>
      <c r="D2784" t="s">
        <v>15</v>
      </c>
      <c r="E2784" t="s">
        <v>4831</v>
      </c>
      <c r="F2784" s="3">
        <v>587091</v>
      </c>
      <c r="G2784" s="2">
        <f t="shared" si="86"/>
        <v>1</v>
      </c>
      <c r="H2784" s="2">
        <f t="shared" ca="1" si="87"/>
        <v>71</v>
      </c>
      <c r="I2784" s="4">
        <v>46049</v>
      </c>
      <c r="J2784" s="4">
        <v>46050</v>
      </c>
      <c r="K2784" t="s">
        <v>1068</v>
      </c>
      <c r="L2784" t="s">
        <v>321</v>
      </c>
      <c r="M2784" t="s">
        <v>19</v>
      </c>
      <c r="N2784" t="s">
        <v>149</v>
      </c>
      <c r="O2784">
        <v>1</v>
      </c>
    </row>
    <row r="2785" spans="1:15" hidden="1" x14ac:dyDescent="0.25">
      <c r="A2785" t="s">
        <v>2820</v>
      </c>
      <c r="B2785" t="s">
        <v>4048</v>
      </c>
      <c r="C2785" t="s">
        <v>4049</v>
      </c>
      <c r="D2785" t="s">
        <v>1066</v>
      </c>
      <c r="E2785" t="s">
        <v>4832</v>
      </c>
      <c r="F2785" s="3">
        <v>55800</v>
      </c>
      <c r="G2785" s="2">
        <f t="shared" si="86"/>
        <v>1</v>
      </c>
      <c r="H2785" s="2">
        <f t="shared" ca="1" si="87"/>
        <v>71</v>
      </c>
      <c r="I2785" s="4">
        <v>46049</v>
      </c>
      <c r="J2785" s="4">
        <v>46050</v>
      </c>
      <c r="K2785" t="s">
        <v>1068</v>
      </c>
      <c r="L2785" t="s">
        <v>321</v>
      </c>
      <c r="M2785" t="s">
        <v>19</v>
      </c>
      <c r="N2785" t="s">
        <v>4050</v>
      </c>
      <c r="O2785">
        <v>30</v>
      </c>
    </row>
    <row r="2786" spans="1:15" hidden="1" x14ac:dyDescent="0.25">
      <c r="A2786" t="s">
        <v>2820</v>
      </c>
      <c r="B2786" t="s">
        <v>4051</v>
      </c>
      <c r="C2786" t="s">
        <v>4052</v>
      </c>
      <c r="D2786" t="s">
        <v>320</v>
      </c>
      <c r="E2786" t="s">
        <v>4833</v>
      </c>
      <c r="F2786" s="3">
        <v>68780</v>
      </c>
      <c r="G2786" s="2">
        <f t="shared" si="86"/>
        <v>1</v>
      </c>
      <c r="H2786" s="2">
        <f t="shared" ca="1" si="87"/>
        <v>71</v>
      </c>
      <c r="I2786" s="4">
        <v>46049</v>
      </c>
      <c r="J2786" s="4">
        <v>46050</v>
      </c>
      <c r="K2786" t="s">
        <v>1068</v>
      </c>
      <c r="L2786" t="s">
        <v>321</v>
      </c>
      <c r="M2786" t="s">
        <v>19</v>
      </c>
      <c r="N2786" t="s">
        <v>4053</v>
      </c>
      <c r="O2786">
        <v>1</v>
      </c>
    </row>
    <row r="2787" spans="1:15" hidden="1" x14ac:dyDescent="0.25">
      <c r="A2787" t="s">
        <v>2820</v>
      </c>
      <c r="B2787" t="s">
        <v>4054</v>
      </c>
      <c r="C2787" t="s">
        <v>4055</v>
      </c>
      <c r="D2787" t="s">
        <v>1066</v>
      </c>
      <c r="E2787" t="s">
        <v>4834</v>
      </c>
      <c r="F2787" s="3">
        <v>63251</v>
      </c>
      <c r="G2787" s="2">
        <f t="shared" si="86"/>
        <v>1</v>
      </c>
      <c r="H2787" s="2">
        <f t="shared" ca="1" si="87"/>
        <v>71</v>
      </c>
      <c r="I2787" s="4">
        <v>46049</v>
      </c>
      <c r="J2787" s="4">
        <v>46050</v>
      </c>
      <c r="K2787" t="s">
        <v>1068</v>
      </c>
      <c r="L2787" t="s">
        <v>321</v>
      </c>
      <c r="M2787" t="s">
        <v>19</v>
      </c>
      <c r="N2787" t="s">
        <v>4056</v>
      </c>
      <c r="O2787">
        <v>30</v>
      </c>
    </row>
    <row r="2788" spans="1:15" hidden="1" x14ac:dyDescent="0.25">
      <c r="A2788" t="s">
        <v>2820</v>
      </c>
      <c r="B2788" t="s">
        <v>4835</v>
      </c>
      <c r="C2788" t="s">
        <v>4836</v>
      </c>
      <c r="D2788" t="s">
        <v>1066</v>
      </c>
      <c r="E2788" t="s">
        <v>4837</v>
      </c>
      <c r="F2788" s="3">
        <v>139578</v>
      </c>
      <c r="G2788" s="2">
        <f t="shared" si="86"/>
        <v>1</v>
      </c>
      <c r="H2788" s="2">
        <f t="shared" ca="1" si="87"/>
        <v>71</v>
      </c>
      <c r="I2788" s="4">
        <v>46049</v>
      </c>
      <c r="J2788" s="4">
        <v>46050</v>
      </c>
      <c r="K2788" t="s">
        <v>1068</v>
      </c>
      <c r="L2788" t="s">
        <v>321</v>
      </c>
      <c r="M2788" t="s">
        <v>19</v>
      </c>
      <c r="N2788" t="s">
        <v>4838</v>
      </c>
      <c r="O2788">
        <v>1</v>
      </c>
    </row>
    <row r="2789" spans="1:15" hidden="1" x14ac:dyDescent="0.25">
      <c r="A2789" t="s">
        <v>2820</v>
      </c>
      <c r="B2789" t="s">
        <v>4059</v>
      </c>
      <c r="C2789" t="s">
        <v>4060</v>
      </c>
      <c r="D2789" t="s">
        <v>320</v>
      </c>
      <c r="E2789" t="s">
        <v>4839</v>
      </c>
      <c r="F2789" s="3">
        <v>52218</v>
      </c>
      <c r="G2789" s="2">
        <f t="shared" si="86"/>
        <v>1</v>
      </c>
      <c r="H2789" s="2">
        <f t="shared" ca="1" si="87"/>
        <v>71</v>
      </c>
      <c r="I2789" s="4">
        <v>46049</v>
      </c>
      <c r="J2789" s="4">
        <v>46050</v>
      </c>
      <c r="K2789" t="s">
        <v>1068</v>
      </c>
      <c r="L2789" t="s">
        <v>321</v>
      </c>
      <c r="M2789" t="s">
        <v>19</v>
      </c>
      <c r="N2789" t="s">
        <v>4061</v>
      </c>
      <c r="O2789">
        <v>1</v>
      </c>
    </row>
    <row r="2790" spans="1:15" hidden="1" x14ac:dyDescent="0.25">
      <c r="A2790" t="s">
        <v>2820</v>
      </c>
      <c r="B2790" t="s">
        <v>4057</v>
      </c>
      <c r="C2790" t="s">
        <v>4058</v>
      </c>
      <c r="D2790" t="s">
        <v>320</v>
      </c>
      <c r="E2790" t="s">
        <v>4840</v>
      </c>
      <c r="F2790" s="3">
        <v>42961</v>
      </c>
      <c r="G2790" s="2">
        <f t="shared" si="86"/>
        <v>1</v>
      </c>
      <c r="H2790" s="2">
        <f t="shared" ca="1" si="87"/>
        <v>71</v>
      </c>
      <c r="I2790" s="4">
        <v>46049</v>
      </c>
      <c r="J2790" s="4">
        <v>46050</v>
      </c>
      <c r="K2790" t="s">
        <v>1068</v>
      </c>
      <c r="L2790" t="s">
        <v>321</v>
      </c>
      <c r="M2790" t="s">
        <v>19</v>
      </c>
      <c r="N2790" t="s">
        <v>149</v>
      </c>
      <c r="O2790">
        <v>1</v>
      </c>
    </row>
    <row r="2791" spans="1:15" hidden="1" x14ac:dyDescent="0.25">
      <c r="A2791" t="s">
        <v>2820</v>
      </c>
      <c r="B2791" t="s">
        <v>205</v>
      </c>
      <c r="C2791" t="s">
        <v>206</v>
      </c>
      <c r="D2791" t="s">
        <v>15</v>
      </c>
      <c r="E2791" t="s">
        <v>4841</v>
      </c>
      <c r="F2791" s="3">
        <v>51908</v>
      </c>
      <c r="G2791" s="2">
        <f t="shared" si="86"/>
        <v>1</v>
      </c>
      <c r="H2791" s="2">
        <f t="shared" ca="1" si="87"/>
        <v>71</v>
      </c>
      <c r="I2791" s="4">
        <v>46049</v>
      </c>
      <c r="J2791" s="4">
        <v>46050</v>
      </c>
      <c r="K2791" t="s">
        <v>1068</v>
      </c>
      <c r="L2791" t="s">
        <v>321</v>
      </c>
      <c r="M2791" t="s">
        <v>19</v>
      </c>
      <c r="N2791" t="s">
        <v>149</v>
      </c>
      <c r="O2791">
        <v>1</v>
      </c>
    </row>
    <row r="2792" spans="1:15" hidden="1" x14ac:dyDescent="0.25">
      <c r="A2792" t="s">
        <v>2820</v>
      </c>
      <c r="B2792" t="s">
        <v>205</v>
      </c>
      <c r="C2792" t="s">
        <v>206</v>
      </c>
      <c r="D2792" t="s">
        <v>15</v>
      </c>
      <c r="E2792" t="s">
        <v>4842</v>
      </c>
      <c r="F2792" s="3">
        <v>54958</v>
      </c>
      <c r="G2792" s="2">
        <f t="shared" si="86"/>
        <v>1</v>
      </c>
      <c r="H2792" s="2">
        <f t="shared" ca="1" si="87"/>
        <v>71</v>
      </c>
      <c r="I2792" s="4">
        <v>46049</v>
      </c>
      <c r="J2792" s="4">
        <v>46050</v>
      </c>
      <c r="K2792" t="s">
        <v>1068</v>
      </c>
      <c r="L2792" t="s">
        <v>321</v>
      </c>
      <c r="M2792" t="s">
        <v>19</v>
      </c>
      <c r="N2792" t="s">
        <v>149</v>
      </c>
      <c r="O2792">
        <v>1</v>
      </c>
    </row>
    <row r="2793" spans="1:15" hidden="1" x14ac:dyDescent="0.25">
      <c r="A2793" t="s">
        <v>2820</v>
      </c>
      <c r="B2793" t="s">
        <v>205</v>
      </c>
      <c r="C2793" t="s">
        <v>206</v>
      </c>
      <c r="D2793" t="s">
        <v>15</v>
      </c>
      <c r="E2793" t="s">
        <v>4843</v>
      </c>
      <c r="F2793" s="3">
        <v>132728</v>
      </c>
      <c r="G2793" s="2">
        <f t="shared" si="86"/>
        <v>1</v>
      </c>
      <c r="H2793" s="2">
        <f t="shared" ca="1" si="87"/>
        <v>71</v>
      </c>
      <c r="I2793" s="4">
        <v>46049</v>
      </c>
      <c r="J2793" s="4">
        <v>46050</v>
      </c>
      <c r="K2793" t="s">
        <v>1068</v>
      </c>
      <c r="L2793" t="s">
        <v>321</v>
      </c>
      <c r="M2793" t="s">
        <v>19</v>
      </c>
      <c r="N2793" t="s">
        <v>149</v>
      </c>
      <c r="O2793">
        <v>1</v>
      </c>
    </row>
    <row r="2794" spans="1:15" hidden="1" x14ac:dyDescent="0.25">
      <c r="A2794" t="s">
        <v>2820</v>
      </c>
      <c r="B2794" t="s">
        <v>4844</v>
      </c>
      <c r="C2794" t="s">
        <v>4845</v>
      </c>
      <c r="D2794" t="s">
        <v>1066</v>
      </c>
      <c r="E2794" t="s">
        <v>4846</v>
      </c>
      <c r="F2794" s="3">
        <v>182704</v>
      </c>
      <c r="G2794" s="2">
        <f t="shared" si="86"/>
        <v>1</v>
      </c>
      <c r="H2794" s="2">
        <f t="shared" ca="1" si="87"/>
        <v>71</v>
      </c>
      <c r="I2794" s="4">
        <v>46049</v>
      </c>
      <c r="J2794" s="4">
        <v>46050</v>
      </c>
      <c r="K2794" t="s">
        <v>1068</v>
      </c>
      <c r="L2794" t="s">
        <v>321</v>
      </c>
      <c r="M2794" t="s">
        <v>19</v>
      </c>
      <c r="N2794" t="s">
        <v>4847</v>
      </c>
      <c r="O2794">
        <v>1</v>
      </c>
    </row>
    <row r="2795" spans="1:15" hidden="1" x14ac:dyDescent="0.25">
      <c r="A2795" t="s">
        <v>2820</v>
      </c>
      <c r="B2795" t="s">
        <v>4920</v>
      </c>
      <c r="C2795" t="s">
        <v>4921</v>
      </c>
      <c r="D2795" t="s">
        <v>320</v>
      </c>
      <c r="E2795" t="s">
        <v>4922</v>
      </c>
      <c r="F2795" s="3">
        <v>77459</v>
      </c>
      <c r="G2795" s="2">
        <f t="shared" si="86"/>
        <v>1</v>
      </c>
      <c r="H2795" s="2">
        <f t="shared" ca="1" si="87"/>
        <v>71</v>
      </c>
      <c r="I2795" s="4">
        <v>46049</v>
      </c>
      <c r="J2795" s="4">
        <v>46050</v>
      </c>
      <c r="K2795" t="s">
        <v>1068</v>
      </c>
      <c r="L2795" t="s">
        <v>321</v>
      </c>
      <c r="M2795" t="s">
        <v>19</v>
      </c>
      <c r="N2795" t="s">
        <v>4923</v>
      </c>
      <c r="O2795">
        <v>1</v>
      </c>
    </row>
    <row r="2796" spans="1:15" hidden="1" x14ac:dyDescent="0.25">
      <c r="A2796" t="s">
        <v>2820</v>
      </c>
      <c r="B2796" t="s">
        <v>205</v>
      </c>
      <c r="C2796" t="s">
        <v>206</v>
      </c>
      <c r="D2796" t="s">
        <v>15</v>
      </c>
      <c r="E2796" t="s">
        <v>4924</v>
      </c>
      <c r="F2796" s="3">
        <v>135354</v>
      </c>
      <c r="G2796" s="2">
        <f t="shared" si="86"/>
        <v>1</v>
      </c>
      <c r="H2796" s="2">
        <f t="shared" ca="1" si="87"/>
        <v>71</v>
      </c>
      <c r="I2796" s="4">
        <v>46049</v>
      </c>
      <c r="J2796" s="4">
        <v>46050</v>
      </c>
      <c r="K2796" t="s">
        <v>1068</v>
      </c>
      <c r="L2796" t="s">
        <v>321</v>
      </c>
      <c r="M2796" t="s">
        <v>19</v>
      </c>
      <c r="N2796" t="s">
        <v>149</v>
      </c>
      <c r="O2796">
        <v>1</v>
      </c>
    </row>
    <row r="2797" spans="1:15" hidden="1" x14ac:dyDescent="0.25">
      <c r="A2797" t="s">
        <v>2820</v>
      </c>
      <c r="B2797" t="s">
        <v>4925</v>
      </c>
      <c r="C2797" t="s">
        <v>4926</v>
      </c>
      <c r="D2797" t="s">
        <v>1066</v>
      </c>
      <c r="E2797" t="s">
        <v>4927</v>
      </c>
      <c r="F2797" s="3">
        <v>112369</v>
      </c>
      <c r="G2797" s="2">
        <f t="shared" si="86"/>
        <v>1</v>
      </c>
      <c r="H2797" s="2">
        <f t="shared" ca="1" si="87"/>
        <v>71</v>
      </c>
      <c r="I2797" s="4">
        <v>46049</v>
      </c>
      <c r="J2797" s="4">
        <v>46050</v>
      </c>
      <c r="K2797" t="s">
        <v>1068</v>
      </c>
      <c r="L2797" t="s">
        <v>321</v>
      </c>
      <c r="M2797" t="s">
        <v>19</v>
      </c>
      <c r="N2797" t="s">
        <v>4928</v>
      </c>
      <c r="O2797">
        <v>30</v>
      </c>
    </row>
    <row r="2798" spans="1:15" hidden="1" x14ac:dyDescent="0.25">
      <c r="A2798" t="s">
        <v>2820</v>
      </c>
      <c r="B2798" t="s">
        <v>205</v>
      </c>
      <c r="C2798" t="s">
        <v>206</v>
      </c>
      <c r="D2798" t="s">
        <v>15</v>
      </c>
      <c r="E2798" t="s">
        <v>4929</v>
      </c>
      <c r="F2798" s="3">
        <v>122315</v>
      </c>
      <c r="G2798" s="2">
        <f t="shared" si="86"/>
        <v>1</v>
      </c>
      <c r="H2798" s="2">
        <f t="shared" ca="1" si="87"/>
        <v>71</v>
      </c>
      <c r="I2798" s="4">
        <v>46049</v>
      </c>
      <c r="J2798" s="4">
        <v>46050</v>
      </c>
      <c r="K2798" t="s">
        <v>1068</v>
      </c>
      <c r="L2798" t="s">
        <v>321</v>
      </c>
      <c r="M2798" t="s">
        <v>19</v>
      </c>
      <c r="N2798" t="s">
        <v>149</v>
      </c>
      <c r="O2798">
        <v>1</v>
      </c>
    </row>
    <row r="2799" spans="1:15" hidden="1" x14ac:dyDescent="0.25">
      <c r="A2799" t="s">
        <v>2820</v>
      </c>
      <c r="B2799" t="s">
        <v>4930</v>
      </c>
      <c r="C2799" t="s">
        <v>4931</v>
      </c>
      <c r="D2799" t="s">
        <v>1066</v>
      </c>
      <c r="E2799" t="s">
        <v>4932</v>
      </c>
      <c r="F2799" s="3">
        <v>68941</v>
      </c>
      <c r="G2799" s="2">
        <f t="shared" si="86"/>
        <v>1</v>
      </c>
      <c r="H2799" s="2">
        <f t="shared" ca="1" si="87"/>
        <v>71</v>
      </c>
      <c r="I2799" s="4">
        <v>46049</v>
      </c>
      <c r="J2799" s="4">
        <v>46050</v>
      </c>
      <c r="K2799" t="s">
        <v>1068</v>
      </c>
      <c r="L2799" t="s">
        <v>321</v>
      </c>
      <c r="M2799" t="s">
        <v>19</v>
      </c>
      <c r="N2799" t="s">
        <v>4933</v>
      </c>
      <c r="O2799">
        <v>30</v>
      </c>
    </row>
    <row r="2800" spans="1:15" hidden="1" x14ac:dyDescent="0.25">
      <c r="A2800" t="s">
        <v>2820</v>
      </c>
      <c r="B2800" t="s">
        <v>4934</v>
      </c>
      <c r="C2800" t="s">
        <v>4935</v>
      </c>
      <c r="D2800" t="s">
        <v>320</v>
      </c>
      <c r="E2800" t="s">
        <v>4936</v>
      </c>
      <c r="F2800" s="3">
        <v>85000</v>
      </c>
      <c r="G2800" s="2">
        <f t="shared" si="86"/>
        <v>1</v>
      </c>
      <c r="H2800" s="2">
        <f t="shared" ca="1" si="87"/>
        <v>71</v>
      </c>
      <c r="I2800" s="4">
        <v>46049</v>
      </c>
      <c r="J2800" s="4">
        <v>46050</v>
      </c>
      <c r="K2800" t="s">
        <v>1068</v>
      </c>
      <c r="L2800" t="s">
        <v>321</v>
      </c>
      <c r="M2800" t="s">
        <v>19</v>
      </c>
      <c r="N2800" t="s">
        <v>4937</v>
      </c>
      <c r="O2800">
        <v>1</v>
      </c>
    </row>
    <row r="2801" spans="1:15" hidden="1" x14ac:dyDescent="0.25">
      <c r="A2801" t="s">
        <v>2820</v>
      </c>
      <c r="B2801" t="s">
        <v>4934</v>
      </c>
      <c r="C2801" t="s">
        <v>4935</v>
      </c>
      <c r="D2801" t="s">
        <v>320</v>
      </c>
      <c r="E2801" t="s">
        <v>4938</v>
      </c>
      <c r="F2801" s="3">
        <v>122667</v>
      </c>
      <c r="G2801" s="2">
        <f t="shared" si="86"/>
        <v>1</v>
      </c>
      <c r="H2801" s="2">
        <f t="shared" ca="1" si="87"/>
        <v>71</v>
      </c>
      <c r="I2801" s="4">
        <v>46049</v>
      </c>
      <c r="J2801" s="4">
        <v>46050</v>
      </c>
      <c r="K2801" t="s">
        <v>1068</v>
      </c>
      <c r="L2801" t="s">
        <v>321</v>
      </c>
      <c r="M2801" t="s">
        <v>19</v>
      </c>
      <c r="N2801" t="s">
        <v>4937</v>
      </c>
      <c r="O2801">
        <v>1</v>
      </c>
    </row>
    <row r="2802" spans="1:15" hidden="1" x14ac:dyDescent="0.25">
      <c r="A2802" t="s">
        <v>2820</v>
      </c>
      <c r="B2802" t="s">
        <v>4939</v>
      </c>
      <c r="C2802" t="s">
        <v>4940</v>
      </c>
      <c r="D2802" t="s">
        <v>1066</v>
      </c>
      <c r="E2802" t="s">
        <v>4941</v>
      </c>
      <c r="F2802" s="3">
        <v>34301</v>
      </c>
      <c r="G2802" s="2">
        <f t="shared" si="86"/>
        <v>1</v>
      </c>
      <c r="H2802" s="2">
        <f t="shared" ca="1" si="87"/>
        <v>71</v>
      </c>
      <c r="I2802" s="4">
        <v>46049</v>
      </c>
      <c r="J2802" s="4">
        <v>46050</v>
      </c>
      <c r="K2802" t="s">
        <v>1068</v>
      </c>
      <c r="L2802" t="s">
        <v>321</v>
      </c>
      <c r="M2802" t="s">
        <v>19</v>
      </c>
      <c r="N2802" t="s">
        <v>4942</v>
      </c>
      <c r="O2802">
        <v>1</v>
      </c>
    </row>
    <row r="2803" spans="1:15" hidden="1" x14ac:dyDescent="0.25">
      <c r="A2803" t="s">
        <v>2820</v>
      </c>
      <c r="B2803" t="s">
        <v>4943</v>
      </c>
      <c r="C2803" t="s">
        <v>4944</v>
      </c>
      <c r="D2803" t="s">
        <v>320</v>
      </c>
      <c r="E2803" t="s">
        <v>4945</v>
      </c>
      <c r="F2803" s="3">
        <v>51230</v>
      </c>
      <c r="G2803" s="2">
        <f t="shared" si="86"/>
        <v>1</v>
      </c>
      <c r="H2803" s="2">
        <f t="shared" ca="1" si="87"/>
        <v>71</v>
      </c>
      <c r="I2803" s="4">
        <v>46049</v>
      </c>
      <c r="J2803" s="4">
        <v>46050</v>
      </c>
      <c r="K2803" t="s">
        <v>1068</v>
      </c>
      <c r="L2803" t="s">
        <v>321</v>
      </c>
      <c r="M2803" t="s">
        <v>19</v>
      </c>
      <c r="N2803" t="s">
        <v>4946</v>
      </c>
      <c r="O2803">
        <v>1</v>
      </c>
    </row>
    <row r="2804" spans="1:15" hidden="1" x14ac:dyDescent="0.25">
      <c r="A2804" t="s">
        <v>2820</v>
      </c>
      <c r="B2804" t="s">
        <v>4947</v>
      </c>
      <c r="C2804" t="s">
        <v>4948</v>
      </c>
      <c r="D2804" t="s">
        <v>320</v>
      </c>
      <c r="E2804" t="s">
        <v>4949</v>
      </c>
      <c r="F2804" s="3">
        <v>40879</v>
      </c>
      <c r="G2804" s="2">
        <f t="shared" si="86"/>
        <v>1</v>
      </c>
      <c r="H2804" s="2">
        <f t="shared" ca="1" si="87"/>
        <v>71</v>
      </c>
      <c r="I2804" s="4">
        <v>46049</v>
      </c>
      <c r="J2804" s="4">
        <v>46050</v>
      </c>
      <c r="K2804" t="s">
        <v>1068</v>
      </c>
      <c r="L2804" t="s">
        <v>321</v>
      </c>
      <c r="M2804" t="s">
        <v>19</v>
      </c>
      <c r="N2804" t="s">
        <v>4950</v>
      </c>
      <c r="O2804">
        <v>30</v>
      </c>
    </row>
    <row r="2805" spans="1:15" hidden="1" x14ac:dyDescent="0.25">
      <c r="A2805" t="s">
        <v>2820</v>
      </c>
      <c r="B2805" t="s">
        <v>4951</v>
      </c>
      <c r="C2805" t="s">
        <v>4952</v>
      </c>
      <c r="D2805" t="s">
        <v>1066</v>
      </c>
      <c r="E2805" t="s">
        <v>4953</v>
      </c>
      <c r="F2805" s="3">
        <v>78051</v>
      </c>
      <c r="G2805" s="2">
        <f t="shared" si="86"/>
        <v>1</v>
      </c>
      <c r="H2805" s="2">
        <f t="shared" ca="1" si="87"/>
        <v>71</v>
      </c>
      <c r="I2805" s="4">
        <v>46049</v>
      </c>
      <c r="J2805" s="4">
        <v>46050</v>
      </c>
      <c r="K2805" t="s">
        <v>1068</v>
      </c>
      <c r="L2805" t="s">
        <v>321</v>
      </c>
      <c r="M2805" t="s">
        <v>19</v>
      </c>
      <c r="N2805" t="s">
        <v>4954</v>
      </c>
      <c r="O2805">
        <v>1</v>
      </c>
    </row>
    <row r="2806" spans="1:15" hidden="1" x14ac:dyDescent="0.25">
      <c r="A2806" t="s">
        <v>2820</v>
      </c>
      <c r="B2806" t="s">
        <v>380</v>
      </c>
      <c r="C2806" t="s">
        <v>381</v>
      </c>
      <c r="D2806" t="s">
        <v>382</v>
      </c>
      <c r="E2806" t="s">
        <v>4848</v>
      </c>
      <c r="F2806" s="3">
        <v>4670386</v>
      </c>
      <c r="G2806" s="2">
        <f t="shared" si="86"/>
        <v>30</v>
      </c>
      <c r="H2806" s="2">
        <f t="shared" ca="1" si="87"/>
        <v>71</v>
      </c>
      <c r="I2806" s="4">
        <v>46049</v>
      </c>
      <c r="J2806" s="4">
        <v>46079</v>
      </c>
      <c r="K2806" t="s">
        <v>1325</v>
      </c>
      <c r="L2806" t="s">
        <v>90</v>
      </c>
      <c r="M2806" t="s">
        <v>19</v>
      </c>
      <c r="N2806" t="s">
        <v>383</v>
      </c>
      <c r="O2806">
        <v>30</v>
      </c>
    </row>
    <row r="2807" spans="1:15" hidden="1" x14ac:dyDescent="0.25">
      <c r="A2807" t="s">
        <v>2820</v>
      </c>
      <c r="B2807" t="s">
        <v>1364</v>
      </c>
      <c r="C2807" t="s">
        <v>1365</v>
      </c>
      <c r="D2807" t="s">
        <v>1323</v>
      </c>
      <c r="E2807" t="s">
        <v>4849</v>
      </c>
      <c r="F2807" s="3">
        <v>14507479</v>
      </c>
      <c r="G2807" s="2">
        <f t="shared" si="86"/>
        <v>30</v>
      </c>
      <c r="H2807" s="2">
        <f t="shared" ca="1" si="87"/>
        <v>71</v>
      </c>
      <c r="I2807" s="4">
        <v>46049</v>
      </c>
      <c r="J2807" s="4">
        <v>46079</v>
      </c>
      <c r="K2807" t="s">
        <v>1325</v>
      </c>
      <c r="L2807" t="s">
        <v>90</v>
      </c>
      <c r="M2807" t="s">
        <v>19</v>
      </c>
      <c r="N2807" t="s">
        <v>1366</v>
      </c>
      <c r="O2807">
        <v>30</v>
      </c>
    </row>
    <row r="2808" spans="1:15" hidden="1" x14ac:dyDescent="0.25">
      <c r="A2808" t="s">
        <v>2820</v>
      </c>
      <c r="B2808" t="s">
        <v>205</v>
      </c>
      <c r="C2808" t="s">
        <v>206</v>
      </c>
      <c r="D2808" t="s">
        <v>15</v>
      </c>
      <c r="E2808" t="s">
        <v>4850</v>
      </c>
      <c r="F2808" s="3">
        <v>2389464</v>
      </c>
      <c r="G2808" s="2">
        <f t="shared" si="86"/>
        <v>1</v>
      </c>
      <c r="H2808" s="2">
        <f t="shared" ca="1" si="87"/>
        <v>71</v>
      </c>
      <c r="I2808" s="4">
        <v>46049</v>
      </c>
      <c r="J2808" s="4">
        <v>46050</v>
      </c>
      <c r="K2808" t="s">
        <v>1325</v>
      </c>
      <c r="L2808" t="s">
        <v>90</v>
      </c>
      <c r="M2808" t="s">
        <v>19</v>
      </c>
      <c r="N2808" t="s">
        <v>149</v>
      </c>
      <c r="O2808">
        <v>1</v>
      </c>
    </row>
    <row r="2809" spans="1:15" hidden="1" x14ac:dyDescent="0.25">
      <c r="A2809" t="s">
        <v>2820</v>
      </c>
      <c r="B2809" t="s">
        <v>1357</v>
      </c>
      <c r="C2809" t="s">
        <v>1358</v>
      </c>
      <c r="D2809" t="s">
        <v>1359</v>
      </c>
      <c r="E2809" t="s">
        <v>4851</v>
      </c>
      <c r="F2809" s="3">
        <v>871197</v>
      </c>
      <c r="G2809" s="2">
        <f t="shared" si="86"/>
        <v>30</v>
      </c>
      <c r="H2809" s="2">
        <f t="shared" ca="1" si="87"/>
        <v>71</v>
      </c>
      <c r="I2809" s="4">
        <v>46049</v>
      </c>
      <c r="J2809" s="4">
        <v>46079</v>
      </c>
      <c r="K2809" t="s">
        <v>1325</v>
      </c>
      <c r="L2809" t="s">
        <v>90</v>
      </c>
      <c r="M2809" t="s">
        <v>19</v>
      </c>
      <c r="N2809" t="s">
        <v>1360</v>
      </c>
      <c r="O2809">
        <v>30</v>
      </c>
    </row>
    <row r="2810" spans="1:15" hidden="1" x14ac:dyDescent="0.25">
      <c r="A2810" t="s">
        <v>2820</v>
      </c>
      <c r="B2810" t="s">
        <v>1345</v>
      </c>
      <c r="C2810" t="s">
        <v>1346</v>
      </c>
      <c r="D2810" t="s">
        <v>382</v>
      </c>
      <c r="E2810" t="s">
        <v>4955</v>
      </c>
      <c r="F2810" s="3">
        <v>3981000</v>
      </c>
      <c r="G2810" s="2">
        <f t="shared" si="86"/>
        <v>30</v>
      </c>
      <c r="H2810" s="2">
        <f t="shared" ca="1" si="87"/>
        <v>71</v>
      </c>
      <c r="I2810" s="4">
        <v>46049</v>
      </c>
      <c r="J2810" s="4">
        <v>46079</v>
      </c>
      <c r="K2810" t="s">
        <v>1325</v>
      </c>
      <c r="L2810" t="s">
        <v>90</v>
      </c>
      <c r="M2810" t="s">
        <v>19</v>
      </c>
      <c r="N2810" t="s">
        <v>1347</v>
      </c>
      <c r="O2810">
        <v>30</v>
      </c>
    </row>
    <row r="2811" spans="1:15" hidden="1" x14ac:dyDescent="0.25">
      <c r="A2811" t="s">
        <v>2820</v>
      </c>
      <c r="B2811" t="s">
        <v>205</v>
      </c>
      <c r="C2811" t="s">
        <v>206</v>
      </c>
      <c r="D2811" t="s">
        <v>15</v>
      </c>
      <c r="E2811" t="s">
        <v>4956</v>
      </c>
      <c r="F2811" s="3">
        <v>548945</v>
      </c>
      <c r="G2811" s="2">
        <f t="shared" si="86"/>
        <v>1</v>
      </c>
      <c r="H2811" s="2">
        <f t="shared" ca="1" si="87"/>
        <v>71</v>
      </c>
      <c r="I2811" s="4">
        <v>46049</v>
      </c>
      <c r="J2811" s="4">
        <v>46050</v>
      </c>
      <c r="K2811" t="s">
        <v>1325</v>
      </c>
      <c r="L2811" t="s">
        <v>90</v>
      </c>
      <c r="M2811" t="s">
        <v>19</v>
      </c>
      <c r="N2811" t="s">
        <v>149</v>
      </c>
      <c r="O2811">
        <v>1</v>
      </c>
    </row>
    <row r="2812" spans="1:15" hidden="1" x14ac:dyDescent="0.25">
      <c r="A2812" t="s">
        <v>2820</v>
      </c>
      <c r="B2812" t="s">
        <v>4957</v>
      </c>
      <c r="C2812" t="s">
        <v>4958</v>
      </c>
      <c r="D2812" t="s">
        <v>1323</v>
      </c>
      <c r="E2812" t="s">
        <v>4959</v>
      </c>
      <c r="F2812" s="3">
        <v>1900288</v>
      </c>
      <c r="G2812" s="2">
        <f t="shared" si="86"/>
        <v>1</v>
      </c>
      <c r="H2812" s="2">
        <f t="shared" ca="1" si="87"/>
        <v>71</v>
      </c>
      <c r="I2812" s="4">
        <v>46049</v>
      </c>
      <c r="J2812" s="4">
        <v>46050</v>
      </c>
      <c r="K2812" t="s">
        <v>1325</v>
      </c>
      <c r="L2812" t="s">
        <v>90</v>
      </c>
      <c r="M2812" t="s">
        <v>19</v>
      </c>
      <c r="N2812" t="s">
        <v>4960</v>
      </c>
      <c r="O2812">
        <v>1</v>
      </c>
    </row>
    <row r="2813" spans="1:15" hidden="1" x14ac:dyDescent="0.25">
      <c r="A2813" t="s">
        <v>2820</v>
      </c>
      <c r="B2813" t="s">
        <v>205</v>
      </c>
      <c r="C2813" t="s">
        <v>206</v>
      </c>
      <c r="D2813" t="s">
        <v>15</v>
      </c>
      <c r="E2813" t="s">
        <v>4961</v>
      </c>
      <c r="F2813" s="3">
        <v>2999154</v>
      </c>
      <c r="G2813" s="2">
        <f t="shared" si="86"/>
        <v>1</v>
      </c>
      <c r="H2813" s="2">
        <f t="shared" ca="1" si="87"/>
        <v>71</v>
      </c>
      <c r="I2813" s="4">
        <v>46049</v>
      </c>
      <c r="J2813" s="4">
        <v>46050</v>
      </c>
      <c r="K2813" t="s">
        <v>1325</v>
      </c>
      <c r="L2813" t="s">
        <v>90</v>
      </c>
      <c r="M2813" t="s">
        <v>19</v>
      </c>
      <c r="N2813" t="s">
        <v>149</v>
      </c>
      <c r="O2813">
        <v>1</v>
      </c>
    </row>
    <row r="2814" spans="1:15" hidden="1" x14ac:dyDescent="0.25">
      <c r="A2814" t="s">
        <v>2820</v>
      </c>
      <c r="B2814" t="s">
        <v>205</v>
      </c>
      <c r="C2814" t="s">
        <v>206</v>
      </c>
      <c r="D2814" t="s">
        <v>15</v>
      </c>
      <c r="E2814" t="s">
        <v>4962</v>
      </c>
      <c r="F2814" s="3">
        <v>2143290</v>
      </c>
      <c r="G2814" s="2">
        <f t="shared" si="86"/>
        <v>1</v>
      </c>
      <c r="H2814" s="2">
        <f t="shared" ca="1" si="87"/>
        <v>71</v>
      </c>
      <c r="I2814" s="4">
        <v>46049</v>
      </c>
      <c r="J2814" s="4">
        <v>46050</v>
      </c>
      <c r="K2814" t="s">
        <v>1325</v>
      </c>
      <c r="L2814" t="s">
        <v>90</v>
      </c>
      <c r="M2814" t="s">
        <v>19</v>
      </c>
      <c r="N2814" t="s">
        <v>149</v>
      </c>
      <c r="O2814">
        <v>1</v>
      </c>
    </row>
    <row r="2815" spans="1:15" hidden="1" x14ac:dyDescent="0.25">
      <c r="A2815" t="s">
        <v>2820</v>
      </c>
      <c r="B2815" t="s">
        <v>1348</v>
      </c>
      <c r="C2815" t="s">
        <v>1349</v>
      </c>
      <c r="D2815" t="s">
        <v>382</v>
      </c>
      <c r="E2815" t="s">
        <v>4963</v>
      </c>
      <c r="F2815" s="3">
        <v>928757</v>
      </c>
      <c r="G2815" s="2">
        <f t="shared" si="86"/>
        <v>30</v>
      </c>
      <c r="H2815" s="2">
        <f t="shared" ca="1" si="87"/>
        <v>71</v>
      </c>
      <c r="I2815" s="4">
        <v>46049</v>
      </c>
      <c r="J2815" s="4">
        <v>46079</v>
      </c>
      <c r="K2815" t="s">
        <v>1325</v>
      </c>
      <c r="L2815" t="s">
        <v>90</v>
      </c>
      <c r="M2815" t="s">
        <v>19</v>
      </c>
      <c r="N2815" t="s">
        <v>1350</v>
      </c>
      <c r="O2815">
        <v>30</v>
      </c>
    </row>
    <row r="2816" spans="1:15" hidden="1" x14ac:dyDescent="0.25">
      <c r="A2816" t="s">
        <v>2820</v>
      </c>
      <c r="B2816" t="s">
        <v>1348</v>
      </c>
      <c r="C2816" t="s">
        <v>1349</v>
      </c>
      <c r="D2816" t="s">
        <v>382</v>
      </c>
      <c r="E2816" t="s">
        <v>4964</v>
      </c>
      <c r="F2816" s="3">
        <v>580615</v>
      </c>
      <c r="G2816" s="2">
        <f t="shared" si="86"/>
        <v>30</v>
      </c>
      <c r="H2816" s="2">
        <f t="shared" ca="1" si="87"/>
        <v>71</v>
      </c>
      <c r="I2816" s="4">
        <v>46049</v>
      </c>
      <c r="J2816" s="4">
        <v>46079</v>
      </c>
      <c r="K2816" t="s">
        <v>1325</v>
      </c>
      <c r="L2816" t="s">
        <v>90</v>
      </c>
      <c r="M2816" t="s">
        <v>19</v>
      </c>
      <c r="N2816" t="s">
        <v>1350</v>
      </c>
      <c r="O2816">
        <v>30</v>
      </c>
    </row>
    <row r="2817" spans="1:15" hidden="1" x14ac:dyDescent="0.25">
      <c r="A2817" t="s">
        <v>2820</v>
      </c>
      <c r="B2817" t="s">
        <v>1357</v>
      </c>
      <c r="C2817" t="s">
        <v>1358</v>
      </c>
      <c r="D2817" t="s">
        <v>1359</v>
      </c>
      <c r="E2817" t="s">
        <v>4965</v>
      </c>
      <c r="F2817" s="3">
        <v>486006</v>
      </c>
      <c r="G2817" s="2">
        <f t="shared" si="86"/>
        <v>30</v>
      </c>
      <c r="H2817" s="2">
        <f t="shared" ca="1" si="87"/>
        <v>71</v>
      </c>
      <c r="I2817" s="4">
        <v>46049</v>
      </c>
      <c r="J2817" s="4">
        <v>46079</v>
      </c>
      <c r="K2817" t="s">
        <v>1325</v>
      </c>
      <c r="L2817" t="s">
        <v>90</v>
      </c>
      <c r="M2817" t="s">
        <v>19</v>
      </c>
      <c r="N2817" t="s">
        <v>1360</v>
      </c>
      <c r="O2817">
        <v>30</v>
      </c>
    </row>
    <row r="2818" spans="1:15" hidden="1" x14ac:dyDescent="0.25">
      <c r="A2818" t="s">
        <v>2820</v>
      </c>
      <c r="B2818" t="s">
        <v>1345</v>
      </c>
      <c r="C2818" t="s">
        <v>1346</v>
      </c>
      <c r="D2818" t="s">
        <v>382</v>
      </c>
      <c r="E2818" t="s">
        <v>4966</v>
      </c>
      <c r="F2818" s="3">
        <v>1869966</v>
      </c>
      <c r="G2818" s="2">
        <f t="shared" si="86"/>
        <v>30</v>
      </c>
      <c r="H2818" s="2">
        <f ca="1">+TODAY()-I2818</f>
        <v>71</v>
      </c>
      <c r="I2818" s="4">
        <v>46049</v>
      </c>
      <c r="J2818" s="4">
        <v>46079</v>
      </c>
      <c r="K2818" t="s">
        <v>1325</v>
      </c>
      <c r="L2818" t="s">
        <v>90</v>
      </c>
      <c r="M2818" t="s">
        <v>19</v>
      </c>
      <c r="N2818" t="s">
        <v>1347</v>
      </c>
      <c r="O2818">
        <v>30</v>
      </c>
    </row>
    <row r="2819" spans="1:15" hidden="1" x14ac:dyDescent="0.25">
      <c r="A2819" t="s">
        <v>2820</v>
      </c>
      <c r="B2819" t="s">
        <v>205</v>
      </c>
      <c r="C2819" t="s">
        <v>206</v>
      </c>
      <c r="D2819" t="s">
        <v>15</v>
      </c>
      <c r="E2819" t="s">
        <v>4967</v>
      </c>
      <c r="F2819" s="3">
        <v>2177445</v>
      </c>
      <c r="G2819" s="2">
        <f t="shared" si="86"/>
        <v>1</v>
      </c>
      <c r="H2819" s="2">
        <f ca="1">+TODAY()-I2819</f>
        <v>71</v>
      </c>
      <c r="I2819" s="4">
        <v>46049</v>
      </c>
      <c r="J2819" s="4">
        <v>46050</v>
      </c>
      <c r="K2819" t="s">
        <v>1325</v>
      </c>
      <c r="L2819" t="s">
        <v>90</v>
      </c>
      <c r="M2819" t="s">
        <v>19</v>
      </c>
      <c r="N2819" t="s">
        <v>149</v>
      </c>
      <c r="O2819">
        <v>1</v>
      </c>
    </row>
    <row r="2820" spans="1:15" hidden="1" x14ac:dyDescent="0.25">
      <c r="A2820" t="s">
        <v>2820</v>
      </c>
      <c r="B2820" t="s">
        <v>2313</v>
      </c>
      <c r="C2820" t="s">
        <v>2314</v>
      </c>
      <c r="D2820" t="s">
        <v>875</v>
      </c>
      <c r="E2820" t="s">
        <v>4738</v>
      </c>
      <c r="F2820" s="3">
        <v>5065200</v>
      </c>
      <c r="G2820" s="2">
        <f t="shared" si="86"/>
        <v>30</v>
      </c>
      <c r="H2820" s="2">
        <f ca="1">+TODAY()-I2820</f>
        <v>71</v>
      </c>
      <c r="I2820" s="4">
        <v>46049</v>
      </c>
      <c r="J2820" s="4">
        <v>46079</v>
      </c>
      <c r="K2820" t="s">
        <v>1403</v>
      </c>
      <c r="L2820" t="s">
        <v>109</v>
      </c>
      <c r="M2820" t="s">
        <v>19</v>
      </c>
      <c r="N2820" t="s">
        <v>2316</v>
      </c>
      <c r="O2820">
        <v>30</v>
      </c>
    </row>
    <row r="2821" spans="1:15" hidden="1" x14ac:dyDescent="0.25">
      <c r="A2821" t="s">
        <v>2820</v>
      </c>
      <c r="B2821" t="s">
        <v>2313</v>
      </c>
      <c r="C2821" t="s">
        <v>2314</v>
      </c>
      <c r="D2821" t="s">
        <v>875</v>
      </c>
      <c r="E2821" t="s">
        <v>4739</v>
      </c>
      <c r="F2821" s="3">
        <v>3387793</v>
      </c>
      <c r="G2821" s="2">
        <f t="shared" si="86"/>
        <v>30</v>
      </c>
      <c r="H2821" s="2">
        <f ca="1">+TODAY()-I2821</f>
        <v>71</v>
      </c>
      <c r="I2821" s="4">
        <v>46049</v>
      </c>
      <c r="J2821" s="4">
        <v>46079</v>
      </c>
      <c r="K2821" t="s">
        <v>1403</v>
      </c>
      <c r="L2821" t="s">
        <v>109</v>
      </c>
      <c r="M2821" t="s">
        <v>19</v>
      </c>
      <c r="N2821" t="s">
        <v>2316</v>
      </c>
      <c r="O2821">
        <v>30</v>
      </c>
    </row>
    <row r="2822" spans="1:15" hidden="1" x14ac:dyDescent="0.25">
      <c r="A2822" t="s">
        <v>2820</v>
      </c>
      <c r="B2822" t="s">
        <v>205</v>
      </c>
      <c r="C2822" t="s">
        <v>206</v>
      </c>
      <c r="D2822" t="s">
        <v>15</v>
      </c>
      <c r="E2822" t="s">
        <v>4968</v>
      </c>
      <c r="F2822" s="3">
        <v>403210</v>
      </c>
      <c r="G2822" s="2">
        <f t="shared" si="86"/>
        <v>1</v>
      </c>
      <c r="H2822" s="2">
        <f ca="1">+TODAY()-I2822</f>
        <v>71</v>
      </c>
      <c r="I2822" s="4">
        <v>46049</v>
      </c>
      <c r="J2822" s="4">
        <v>46050</v>
      </c>
      <c r="K2822" t="s">
        <v>1403</v>
      </c>
      <c r="L2822" t="s">
        <v>90</v>
      </c>
      <c r="M2822" t="s">
        <v>19</v>
      </c>
      <c r="N2822" t="s">
        <v>149</v>
      </c>
      <c r="O2822">
        <v>1</v>
      </c>
    </row>
    <row r="2823" spans="1:15" x14ac:dyDescent="0.25">
      <c r="F2823" s="3">
        <f>SUBTOTAL(109,F2:F2822)</f>
        <v>10592001</v>
      </c>
      <c r="G2823" s="2"/>
      <c r="H2823" s="2"/>
      <c r="I2823" s="1"/>
      <c r="J2823" s="1"/>
    </row>
    <row r="2824" spans="1:15" x14ac:dyDescent="0.25">
      <c r="G2824" s="2"/>
      <c r="H2824" s="2"/>
    </row>
    <row r="2825" spans="1:15" x14ac:dyDescent="0.25">
      <c r="G2825" s="2"/>
      <c r="H2825" s="2"/>
    </row>
    <row r="2826" spans="1:15" x14ac:dyDescent="0.25">
      <c r="G2826" s="2"/>
      <c r="H2826" s="2"/>
    </row>
    <row r="2827" spans="1:15" x14ac:dyDescent="0.25">
      <c r="G2827" s="2"/>
      <c r="H2827" s="2"/>
    </row>
    <row r="2828" spans="1:15" x14ac:dyDescent="0.25">
      <c r="G2828" s="2"/>
      <c r="H2828" s="2"/>
    </row>
    <row r="2829" spans="1:15" x14ac:dyDescent="0.25">
      <c r="G2829" s="2"/>
      <c r="H2829" s="2"/>
    </row>
    <row r="2830" spans="1:15" x14ac:dyDescent="0.25">
      <c r="G2830" s="2"/>
      <c r="H2830" s="2"/>
    </row>
    <row r="2831" spans="1:15" x14ac:dyDescent="0.25">
      <c r="G2831" s="2"/>
      <c r="H2831" s="2"/>
    </row>
    <row r="2832" spans="1:15" x14ac:dyDescent="0.25">
      <c r="G2832" s="2"/>
      <c r="H2832" s="2"/>
    </row>
    <row r="2833" spans="6:8" x14ac:dyDescent="0.25">
      <c r="G2833" s="2"/>
      <c r="H2833" s="2"/>
    </row>
    <row r="2834" spans="6:8" x14ac:dyDescent="0.25">
      <c r="F2834" s="3"/>
      <c r="G2834" s="2"/>
      <c r="H2834" s="2"/>
    </row>
    <row r="2835" spans="6:8" x14ac:dyDescent="0.25">
      <c r="G2835" s="2"/>
      <c r="H2835" s="2"/>
    </row>
    <row r="2836" spans="6:8" x14ac:dyDescent="0.25">
      <c r="G2836" s="2"/>
      <c r="H2836" s="2"/>
    </row>
    <row r="2837" spans="6:8" x14ac:dyDescent="0.25">
      <c r="G2837" s="2"/>
      <c r="H2837" s="2"/>
    </row>
    <row r="2838" spans="6:8" x14ac:dyDescent="0.25">
      <c r="G2838" s="2"/>
      <c r="H2838" s="2"/>
    </row>
    <row r="2839" spans="6:8" x14ac:dyDescent="0.25">
      <c r="G2839" s="2"/>
      <c r="H2839" s="2"/>
    </row>
    <row r="2840" spans="6:8" x14ac:dyDescent="0.25">
      <c r="G2840" s="2"/>
      <c r="H2840" s="2"/>
    </row>
    <row r="2841" spans="6:8" x14ac:dyDescent="0.25">
      <c r="G2841" s="2"/>
      <c r="H2841" s="2"/>
    </row>
    <row r="2842" spans="6:8" x14ac:dyDescent="0.25">
      <c r="G2842" s="2"/>
      <c r="H2842" s="2"/>
    </row>
    <row r="2843" spans="6:8" x14ac:dyDescent="0.25">
      <c r="G2843" s="2"/>
      <c r="H2843" s="2"/>
    </row>
    <row r="2844" spans="6:8" x14ac:dyDescent="0.25">
      <c r="G2844" s="2"/>
      <c r="H2844" s="2"/>
    </row>
    <row r="2845" spans="6:8" x14ac:dyDescent="0.25">
      <c r="G2845" s="2"/>
      <c r="H2845" s="2"/>
    </row>
    <row r="2846" spans="6:8" x14ac:dyDescent="0.25">
      <c r="G2846" s="2"/>
      <c r="H2846" s="2"/>
    </row>
    <row r="2847" spans="6:8" x14ac:dyDescent="0.25">
      <c r="G2847" s="2"/>
      <c r="H2847" s="2"/>
    </row>
    <row r="2848" spans="6:8" x14ac:dyDescent="0.25">
      <c r="G2848" s="2"/>
      <c r="H2848" s="2"/>
    </row>
    <row r="2849" spans="7:8" x14ac:dyDescent="0.25">
      <c r="G2849" s="2"/>
      <c r="H2849" s="2"/>
    </row>
    <row r="2850" spans="7:8" x14ac:dyDescent="0.25">
      <c r="G2850" s="2"/>
      <c r="H2850" s="2"/>
    </row>
    <row r="2851" spans="7:8" x14ac:dyDescent="0.25">
      <c r="G2851" s="2"/>
      <c r="H2851" s="2"/>
    </row>
    <row r="2852" spans="7:8" x14ac:dyDescent="0.25">
      <c r="G2852" s="2"/>
      <c r="H2852" s="2"/>
    </row>
    <row r="2853" spans="7:8" x14ac:dyDescent="0.25">
      <c r="G2853" s="2"/>
      <c r="H2853" s="2"/>
    </row>
    <row r="2854" spans="7:8" x14ac:dyDescent="0.25">
      <c r="G2854" s="2"/>
      <c r="H2854" s="2"/>
    </row>
    <row r="2855" spans="7:8" x14ac:dyDescent="0.25">
      <c r="G2855" s="2"/>
      <c r="H2855" s="2"/>
    </row>
    <row r="2856" spans="7:8" x14ac:dyDescent="0.25">
      <c r="G2856" s="2"/>
      <c r="H2856" s="2"/>
    </row>
    <row r="2857" spans="7:8" x14ac:dyDescent="0.25">
      <c r="G2857" s="2"/>
      <c r="H2857" s="2"/>
    </row>
    <row r="2858" spans="7:8" x14ac:dyDescent="0.25">
      <c r="G2858" s="2"/>
      <c r="H2858" s="2"/>
    </row>
    <row r="2859" spans="7:8" x14ac:dyDescent="0.25">
      <c r="G2859" s="2"/>
      <c r="H2859" s="2"/>
    </row>
    <row r="2860" spans="7:8" x14ac:dyDescent="0.25">
      <c r="G2860" s="2"/>
      <c r="H2860" s="2"/>
    </row>
    <row r="2861" spans="7:8" x14ac:dyDescent="0.25">
      <c r="G2861" s="2"/>
      <c r="H2861" s="2"/>
    </row>
  </sheetData>
  <pageMargins left="0.7" right="0.7" top="0.75" bottom="0.75" header="0.3" footer="0.3"/>
  <pageSetup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C372B2-B8A1-4330-B7E2-547469871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Hoja2</vt:lpstr>
      <vt:lpstr>carteraharold201701 (2)</vt:lpstr>
      <vt:lpstr>Hoja3</vt:lpstr>
      <vt:lpstr>carteraharold201701</vt:lpstr>
      <vt:lpstr>Hoja1</vt:lpstr>
      <vt:lpstr>carteraharold201701!DatosExternos_1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Distrileco ventas</dc:creator>
  <cp:lastModifiedBy>Distrileco ventas</cp:lastModifiedBy>
  <cp:lastPrinted>2026-03-12T16:44:54Z</cp:lastPrinted>
  <dcterms:created xsi:type="dcterms:W3CDTF">2025-07-22T19:19:26Z</dcterms:created>
  <dcterms:modified xsi:type="dcterms:W3CDTF">2026-04-08T13:03:23Z</dcterms:modified>
</cp:coreProperties>
</file>