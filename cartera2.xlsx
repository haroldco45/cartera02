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entas.DISTRILEC\Desktop\informes\"/>
    </mc:Choice>
  </mc:AlternateContent>
  <xr:revisionPtr revIDLastSave="0" documentId="13_ncr:40001_{FE9D61D4-3375-4833-9E53-39CC30E5C1E8}" xr6:coauthVersionLast="47" xr6:coauthVersionMax="47" xr10:uidLastSave="{00000000-0000-0000-0000-000000000000}"/>
  <bookViews>
    <workbookView xWindow="-120" yWindow="-120" windowWidth="29040" windowHeight="15840"/>
  </bookViews>
  <sheets>
    <sheet name="cartera02" sheetId="2" r:id="rId1"/>
    <sheet name="Hoja1" sheetId="1" r:id="rId2"/>
  </sheets>
  <definedNames>
    <definedName name="DatosExternos_1" localSheetId="0" hidden="1">'cartera02'!$A$1:$I$435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</calcChain>
</file>

<file path=xl/connections.xml><?xml version="1.0" encoding="utf-8"?>
<connections xmlns="http://schemas.openxmlformats.org/spreadsheetml/2006/main">
  <connection id="1" keepAlive="1" name="Consulta - cartera02" description="Conexión a la consulta 'cartera02' en el libro." type="5" refreshedVersion="8" background="1" saveData="1">
    <dbPr connection="Provider=Microsoft.Mashup.OleDb.1;Data Source=$Workbook$;Location=cartera02;Extended Properties=&quot;&quot;" command="SELECT * FROM [cartera02]"/>
  </connection>
</connections>
</file>

<file path=xl/sharedStrings.xml><?xml version="1.0" encoding="utf-8"?>
<sst xmlns="http://schemas.openxmlformats.org/spreadsheetml/2006/main" count="2614" uniqueCount="646">
  <si>
    <t>nit_a</t>
  </si>
  <si>
    <t>razon_social</t>
  </si>
  <si>
    <t>ciudad</t>
  </si>
  <si>
    <t>numero</t>
  </si>
  <si>
    <t>ttotal</t>
  </si>
  <si>
    <t>fecha</t>
  </si>
  <si>
    <t>vencimiento</t>
  </si>
  <si>
    <t>vendedor</t>
  </si>
  <si>
    <t>telefonos</t>
  </si>
  <si>
    <t xml:space="preserve">1003810605          </t>
  </si>
  <si>
    <t xml:space="preserve">ZAPATA CHACON LUNA                                          </t>
  </si>
  <si>
    <t xml:space="preserve">CAUCASIA                      </t>
  </si>
  <si>
    <t xml:space="preserve">FEDC158413  </t>
  </si>
  <si>
    <t xml:space="preserve">02  </t>
  </si>
  <si>
    <t xml:space="preserve">3218007944                    </t>
  </si>
  <si>
    <t xml:space="preserve">FEDC158414  </t>
  </si>
  <si>
    <t xml:space="preserve">FEDC160171  </t>
  </si>
  <si>
    <t xml:space="preserve">FEDC160172  </t>
  </si>
  <si>
    <t xml:space="preserve">FEDC160173  </t>
  </si>
  <si>
    <t xml:space="preserve">FEDC160178  </t>
  </si>
  <si>
    <t xml:space="preserve">FEVM45423   </t>
  </si>
  <si>
    <t xml:space="preserve">1007123293          </t>
  </si>
  <si>
    <t xml:space="preserve">QUINTERO NARANJO KELLY JOHANA                               </t>
  </si>
  <si>
    <t xml:space="preserve">FEDC160906  </t>
  </si>
  <si>
    <t xml:space="preserve">3215615966 - 3116312773       </t>
  </si>
  <si>
    <t xml:space="preserve">FEDC162541  </t>
  </si>
  <si>
    <t xml:space="preserve">1007444837          </t>
  </si>
  <si>
    <t xml:space="preserve">RUIZ ORTIZ KAROL LICETH                                     </t>
  </si>
  <si>
    <t xml:space="preserve">FEDC162516  </t>
  </si>
  <si>
    <t xml:space="preserve">3117408701     </t>
  </si>
  <si>
    <t xml:space="preserve">FEDC162517  </t>
  </si>
  <si>
    <t xml:space="preserve">FEDC162665  </t>
  </si>
  <si>
    <t xml:space="preserve">1007652832          </t>
  </si>
  <si>
    <t xml:space="preserve">CIRO DUQUE JUAN DAVID                                       </t>
  </si>
  <si>
    <t xml:space="preserve">FEDC159481  </t>
  </si>
  <si>
    <t xml:space="preserve">3003097106 -3013682585        </t>
  </si>
  <si>
    <t xml:space="preserve">FEDC159599  </t>
  </si>
  <si>
    <t xml:space="preserve">FEDC159961  </t>
  </si>
  <si>
    <t xml:space="preserve">FEDC160064  </t>
  </si>
  <si>
    <t xml:space="preserve">FEDC160698  </t>
  </si>
  <si>
    <t xml:space="preserve">FEDC160699  </t>
  </si>
  <si>
    <t xml:space="preserve">FEDC161307  </t>
  </si>
  <si>
    <t xml:space="preserve">FEDC161308  </t>
  </si>
  <si>
    <t xml:space="preserve">FEDC161341  </t>
  </si>
  <si>
    <t xml:space="preserve">FEDC161618  </t>
  </si>
  <si>
    <t xml:space="preserve">FEDC161660  </t>
  </si>
  <si>
    <t xml:space="preserve">FEDC161661  </t>
  </si>
  <si>
    <t xml:space="preserve">FEDC161893  </t>
  </si>
  <si>
    <t xml:space="preserve">FEDC162447  </t>
  </si>
  <si>
    <t xml:space="preserve">FEDC162519  </t>
  </si>
  <si>
    <t xml:space="preserve">FEDC162540  </t>
  </si>
  <si>
    <t xml:space="preserve">1020426651          </t>
  </si>
  <si>
    <t xml:space="preserve">OSORNO BERRIO WILLIAM ANDRES                                </t>
  </si>
  <si>
    <t xml:space="preserve">FEDC160162  </t>
  </si>
  <si>
    <t xml:space="preserve">3148351567                    </t>
  </si>
  <si>
    <t xml:space="preserve">FEDC160237  </t>
  </si>
  <si>
    <t xml:space="preserve">FEDC160772  </t>
  </si>
  <si>
    <t xml:space="preserve">FEDC161360  </t>
  </si>
  <si>
    <t xml:space="preserve">FEDC162282  </t>
  </si>
  <si>
    <t xml:space="preserve">1038112989          </t>
  </si>
  <si>
    <t xml:space="preserve">ZULUAGA GOMEZ JESUS ALIVER                                  </t>
  </si>
  <si>
    <t>CAUCASIA</t>
  </si>
  <si>
    <t xml:space="preserve">FEDC161314  </t>
  </si>
  <si>
    <t xml:space="preserve">3135912628     </t>
  </si>
  <si>
    <t xml:space="preserve">FEDC161315  </t>
  </si>
  <si>
    <t xml:space="preserve">FEDC161985  </t>
  </si>
  <si>
    <t xml:space="preserve">FEDC161986  </t>
  </si>
  <si>
    <t xml:space="preserve">FEDC161987  </t>
  </si>
  <si>
    <t xml:space="preserve">FEDC162544  </t>
  </si>
  <si>
    <t xml:space="preserve">FEDC162598  </t>
  </si>
  <si>
    <t xml:space="preserve">1038118947          </t>
  </si>
  <si>
    <t xml:space="preserve">TAFUR AYALA LEYDIS YULIETH                                  </t>
  </si>
  <si>
    <t xml:space="preserve">FEDC162582  </t>
  </si>
  <si>
    <t xml:space="preserve">3205542146                    </t>
  </si>
  <si>
    <t xml:space="preserve">FEDC162600  </t>
  </si>
  <si>
    <t xml:space="preserve">FEDC162680  </t>
  </si>
  <si>
    <t xml:space="preserve">FEDC162694  </t>
  </si>
  <si>
    <t xml:space="preserve">1038129599          </t>
  </si>
  <si>
    <t xml:space="preserve">NAVARRO OSCAR EDUARDO                                       </t>
  </si>
  <si>
    <t xml:space="preserve">FEDC160701  </t>
  </si>
  <si>
    <t xml:space="preserve">3208613025                    </t>
  </si>
  <si>
    <t xml:space="preserve">FEDC160702  </t>
  </si>
  <si>
    <t xml:space="preserve">FEDC160786  </t>
  </si>
  <si>
    <t xml:space="preserve">FEDC161663  </t>
  </si>
  <si>
    <t xml:space="preserve">FEDC162446  </t>
  </si>
  <si>
    <t xml:space="preserve">FEDC162451  </t>
  </si>
  <si>
    <t xml:space="preserve">FEDC162583  </t>
  </si>
  <si>
    <t xml:space="preserve">FEDC162763  </t>
  </si>
  <si>
    <t xml:space="preserve">FEDC162764  </t>
  </si>
  <si>
    <t xml:space="preserve">1038132717-8        </t>
  </si>
  <si>
    <t xml:space="preserve">CASTAÑEDA VERGARA JUAN CARLOS                               </t>
  </si>
  <si>
    <t xml:space="preserve">FEDC161922  </t>
  </si>
  <si>
    <t xml:space="preserve">3104258530                    </t>
  </si>
  <si>
    <t xml:space="preserve">FEDC162772  </t>
  </si>
  <si>
    <t xml:space="preserve">1038138066          </t>
  </si>
  <si>
    <t xml:space="preserve">ZULUAGA ZULUAGA KEVIN ESTEBAN                               </t>
  </si>
  <si>
    <t xml:space="preserve">FEDC159609  </t>
  </si>
  <si>
    <t xml:space="preserve">3114279212     </t>
  </si>
  <si>
    <t xml:space="preserve">FEDC161375  </t>
  </si>
  <si>
    <t xml:space="preserve">FEDC161376  </t>
  </si>
  <si>
    <t xml:space="preserve">FEDC161890  </t>
  </si>
  <si>
    <t xml:space="preserve">FEDC162751  </t>
  </si>
  <si>
    <t xml:space="preserve">FEDC162752  </t>
  </si>
  <si>
    <t xml:space="preserve">1038138797          </t>
  </si>
  <si>
    <t xml:space="preserve">ZULUAGA ZULUAGA MARIA FERNANDA                              </t>
  </si>
  <si>
    <t xml:space="preserve">FEDC159596  </t>
  </si>
  <si>
    <t xml:space="preserve">3223117873                    </t>
  </si>
  <si>
    <t xml:space="preserve">FEDC159597  </t>
  </si>
  <si>
    <t xml:space="preserve">FEDC159758  </t>
  </si>
  <si>
    <t xml:space="preserve">FEDC159759  </t>
  </si>
  <si>
    <t xml:space="preserve">FEDC159966  </t>
  </si>
  <si>
    <t xml:space="preserve">FEDC160062  </t>
  </si>
  <si>
    <t xml:space="preserve">FEDC160063  </t>
  </si>
  <si>
    <t xml:space="preserve">FEDC160454  </t>
  </si>
  <si>
    <t xml:space="preserve">FEDC160554  </t>
  </si>
  <si>
    <t xml:space="preserve">FEDC160784  </t>
  </si>
  <si>
    <t xml:space="preserve">FEDC161188  </t>
  </si>
  <si>
    <t xml:space="preserve">FEDC161371  </t>
  </si>
  <si>
    <t xml:space="preserve">FEDC161626  </t>
  </si>
  <si>
    <t xml:space="preserve">FEDC161627  </t>
  </si>
  <si>
    <t xml:space="preserve">FEDC161665  </t>
  </si>
  <si>
    <t xml:space="preserve">FEDC161666  </t>
  </si>
  <si>
    <t xml:space="preserve">FEDC161793  </t>
  </si>
  <si>
    <t xml:space="preserve">FEDC162068  </t>
  </si>
  <si>
    <t xml:space="preserve">FEDC162077  </t>
  </si>
  <si>
    <t xml:space="preserve">FEDC162140  </t>
  </si>
  <si>
    <t xml:space="preserve">FEDC162420  </t>
  </si>
  <si>
    <t xml:space="preserve">FEDC162427  </t>
  </si>
  <si>
    <t xml:space="preserve">FEDC162607  </t>
  </si>
  <si>
    <t xml:space="preserve">FEDC162668  </t>
  </si>
  <si>
    <t xml:space="preserve">FEDC162669  </t>
  </si>
  <si>
    <t xml:space="preserve">1042767045          </t>
  </si>
  <si>
    <t xml:space="preserve">QUINONES SANCHEZ CARLOS ANDRES                              </t>
  </si>
  <si>
    <t xml:space="preserve">FEDC159853  </t>
  </si>
  <si>
    <t xml:space="preserve">312769089                     </t>
  </si>
  <si>
    <t xml:space="preserve">FEDC160443  </t>
  </si>
  <si>
    <t xml:space="preserve">FEDC160444  </t>
  </si>
  <si>
    <t xml:space="preserve">FEDC161488  </t>
  </si>
  <si>
    <t xml:space="preserve">FEDC161489  </t>
  </si>
  <si>
    <t xml:space="preserve">FEDC162769  </t>
  </si>
  <si>
    <t xml:space="preserve">FEDC162770  </t>
  </si>
  <si>
    <t xml:space="preserve">1045019242          </t>
  </si>
  <si>
    <t xml:space="preserve">NARANJO SALAZAR ROSA INES                                   </t>
  </si>
  <si>
    <t xml:space="preserve">FEDC160236  </t>
  </si>
  <si>
    <t xml:space="preserve">3148839755     </t>
  </si>
  <si>
    <t xml:space="preserve">FEDC161363  </t>
  </si>
  <si>
    <t xml:space="preserve">FEDC162265  </t>
  </si>
  <si>
    <t xml:space="preserve">FEDC162266  </t>
  </si>
  <si>
    <t xml:space="preserve">FEDC162709  </t>
  </si>
  <si>
    <t xml:space="preserve">FEDC162775  </t>
  </si>
  <si>
    <t xml:space="preserve">1062677001          </t>
  </si>
  <si>
    <t xml:space="preserve">IBAÑEZ IBARRA SANDRA MARCELA                                </t>
  </si>
  <si>
    <t xml:space="preserve">FEDC161111  </t>
  </si>
  <si>
    <t xml:space="preserve">3215061247-3116732900         </t>
  </si>
  <si>
    <t xml:space="preserve">FEDC161112  </t>
  </si>
  <si>
    <t xml:space="preserve">FEDC161113  </t>
  </si>
  <si>
    <t xml:space="preserve">FEDC161794  </t>
  </si>
  <si>
    <t xml:space="preserve">FEDC162164  </t>
  </si>
  <si>
    <t xml:space="preserve">FEDC162741  </t>
  </si>
  <si>
    <t xml:space="preserve">1066509289          </t>
  </si>
  <si>
    <t xml:space="preserve">GARAVITO MARQUEZ OLGA PATRICIA                              </t>
  </si>
  <si>
    <t xml:space="preserve">FEDC160442  </t>
  </si>
  <si>
    <t xml:space="preserve">3116136936                    </t>
  </si>
  <si>
    <t xml:space="preserve">FEDC162421  </t>
  </si>
  <si>
    <t xml:space="preserve">FEDC162452  </t>
  </si>
  <si>
    <t xml:space="preserve">10994881            </t>
  </si>
  <si>
    <t xml:space="preserve">ALVARADO MEDRANO GUSTAVO MANUEL                             </t>
  </si>
  <si>
    <t xml:space="preserve">FEDC160226  </t>
  </si>
  <si>
    <t xml:space="preserve">3107082544     </t>
  </si>
  <si>
    <t xml:space="preserve">FEDC160227  </t>
  </si>
  <si>
    <t xml:space="preserve">FEDC162141  </t>
  </si>
  <si>
    <t xml:space="preserve">FEDC162513  </t>
  </si>
  <si>
    <t xml:space="preserve">1103102647          </t>
  </si>
  <si>
    <t xml:space="preserve">ZULUAGA ZULUAGA GENY PATRICIA                               </t>
  </si>
  <si>
    <t xml:space="preserve">FEDC159964  </t>
  </si>
  <si>
    <t xml:space="preserve">3216981456                    </t>
  </si>
  <si>
    <t xml:space="preserve">FEDC161715  </t>
  </si>
  <si>
    <t xml:space="preserve">FEDC162139  </t>
  </si>
  <si>
    <t xml:space="preserve">FEDC162267  </t>
  </si>
  <si>
    <t xml:space="preserve">FEDC162510  </t>
  </si>
  <si>
    <t xml:space="preserve">FEDC162710  </t>
  </si>
  <si>
    <t xml:space="preserve">FEDC162728  </t>
  </si>
  <si>
    <t xml:space="preserve">1126123103          </t>
  </si>
  <si>
    <t xml:space="preserve">BELLO MENDOZA MARIA ALEJANDRA                               </t>
  </si>
  <si>
    <t xml:space="preserve">FEDC161792  </t>
  </si>
  <si>
    <t xml:space="preserve">3224409249     </t>
  </si>
  <si>
    <t xml:space="preserve">FEDC161889  </t>
  </si>
  <si>
    <t xml:space="preserve">FEDC162407  </t>
  </si>
  <si>
    <t xml:space="preserve">FEDC162711  </t>
  </si>
  <si>
    <t xml:space="preserve">1127958438          </t>
  </si>
  <si>
    <t xml:space="preserve">GOMEZ GALEANO DANIELA FERNANDA                              </t>
  </si>
  <si>
    <t xml:space="preserve">FEDC159347  </t>
  </si>
  <si>
    <t xml:space="preserve">3204475005                    </t>
  </si>
  <si>
    <t xml:space="preserve">FEDC159608  </t>
  </si>
  <si>
    <t xml:space="preserve">FEDC159957  </t>
  </si>
  <si>
    <t xml:space="preserve">FEDC160589  </t>
  </si>
  <si>
    <t xml:space="preserve">FEDC160771  </t>
  </si>
  <si>
    <t xml:space="preserve">FEDC161198  </t>
  </si>
  <si>
    <t xml:space="preserve">FEDC161311  </t>
  </si>
  <si>
    <t xml:space="preserve">FEDC161622  </t>
  </si>
  <si>
    <t xml:space="preserve">FEDC161766  </t>
  </si>
  <si>
    <t xml:space="preserve">FEDC161791  </t>
  </si>
  <si>
    <t xml:space="preserve">FEDC161894  </t>
  </si>
  <si>
    <t xml:space="preserve">FEDC162268  </t>
  </si>
  <si>
    <t xml:space="preserve">FEDC162412  </t>
  </si>
  <si>
    <t xml:space="preserve">FEDC162671  </t>
  </si>
  <si>
    <t xml:space="preserve">FEDC162749  </t>
  </si>
  <si>
    <t xml:space="preserve">1152190835          </t>
  </si>
  <si>
    <t xml:space="preserve">MENESES BEDOYA SAUDITH                                      </t>
  </si>
  <si>
    <t xml:space="preserve">FEDC160163  </t>
  </si>
  <si>
    <t xml:space="preserve">3146318692                    </t>
  </si>
  <si>
    <t xml:space="preserve">1233345840          </t>
  </si>
  <si>
    <t xml:space="preserve">QUINTERO NARANJO PAULA ANDREA                               </t>
  </si>
  <si>
    <t xml:space="preserve">FEDC160161  </t>
  </si>
  <si>
    <t xml:space="preserve">3172967714 -3232010208        </t>
  </si>
  <si>
    <t xml:space="preserve">FEDC160794  </t>
  </si>
  <si>
    <t xml:space="preserve">FEDC161370  </t>
  </si>
  <si>
    <t xml:space="preserve">FEDC162271  </t>
  </si>
  <si>
    <t xml:space="preserve">FEDC162272  </t>
  </si>
  <si>
    <t xml:space="preserve">FEDC162571  </t>
  </si>
  <si>
    <t xml:space="preserve">15030463            </t>
  </si>
  <si>
    <t xml:space="preserve">ZULUAGA QUINCHIA NELSON                                     </t>
  </si>
  <si>
    <t xml:space="preserve">FEDC159606  </t>
  </si>
  <si>
    <t xml:space="preserve">3185068224     </t>
  </si>
  <si>
    <t xml:space="preserve">FEDC159620  </t>
  </si>
  <si>
    <t xml:space="preserve">FEDC159662  </t>
  </si>
  <si>
    <t xml:space="preserve">FEDC160058  </t>
  </si>
  <si>
    <t xml:space="preserve">FEDC160145  </t>
  </si>
  <si>
    <t xml:space="preserve">FEDC160146  </t>
  </si>
  <si>
    <t xml:space="preserve">FEDC160344  </t>
  </si>
  <si>
    <t xml:space="preserve">FEDC160345  </t>
  </si>
  <si>
    <t xml:space="preserve">FEDC160461  </t>
  </si>
  <si>
    <t xml:space="preserve">FEDC160551  </t>
  </si>
  <si>
    <t xml:space="preserve">FEDC160688  </t>
  </si>
  <si>
    <t xml:space="preserve">FEDC160770  </t>
  </si>
  <si>
    <t xml:space="preserve">FEDC160783  </t>
  </si>
  <si>
    <t xml:space="preserve">FEDC160891  </t>
  </si>
  <si>
    <t xml:space="preserve">FEDC160913  </t>
  </si>
  <si>
    <t xml:space="preserve">FEDC161146  </t>
  </si>
  <si>
    <t xml:space="preserve">FEDC161270  </t>
  </si>
  <si>
    <t xml:space="preserve">FEDC161305  </t>
  </si>
  <si>
    <t xml:space="preserve">FEDC161306  </t>
  </si>
  <si>
    <t xml:space="preserve">FEDC161356  </t>
  </si>
  <si>
    <t xml:space="preserve">FEDC161358  </t>
  </si>
  <si>
    <t xml:space="preserve">FEDC161359  </t>
  </si>
  <si>
    <t xml:space="preserve">FEDC161367  </t>
  </si>
  <si>
    <t xml:space="preserve">FEDC161378  </t>
  </si>
  <si>
    <t xml:space="preserve">FEDC161429  </t>
  </si>
  <si>
    <t xml:space="preserve">FEDC161452  </t>
  </si>
  <si>
    <t xml:space="preserve">FEDC161510  </t>
  </si>
  <si>
    <t xml:space="preserve">FEDC161577  </t>
  </si>
  <si>
    <t xml:space="preserve">FEDC161617  </t>
  </si>
  <si>
    <t xml:space="preserve">FEDC161769  </t>
  </si>
  <si>
    <t xml:space="preserve">FEDC161976  </t>
  </si>
  <si>
    <t xml:space="preserve">FEDC162150  </t>
  </si>
  <si>
    <t xml:space="preserve">FEDC162151  </t>
  </si>
  <si>
    <t xml:space="preserve">FEDC162241  </t>
  </si>
  <si>
    <t xml:space="preserve">FEDC162270  </t>
  </si>
  <si>
    <t xml:space="preserve">FEDC162408  </t>
  </si>
  <si>
    <t xml:space="preserve">FEDC162429  </t>
  </si>
  <si>
    <t xml:space="preserve">FEDC162511  </t>
  </si>
  <si>
    <t xml:space="preserve">FEDC162514  </t>
  </si>
  <si>
    <t xml:space="preserve">FEDC162599  </t>
  </si>
  <si>
    <t xml:space="preserve">FEDC162626  </t>
  </si>
  <si>
    <t xml:space="preserve">FEDC162664  </t>
  </si>
  <si>
    <t xml:space="preserve">FEDC162742  </t>
  </si>
  <si>
    <t xml:space="preserve">FEDC162743  </t>
  </si>
  <si>
    <t xml:space="preserve">FEDC162745  </t>
  </si>
  <si>
    <t xml:space="preserve">15047058            </t>
  </si>
  <si>
    <t xml:space="preserve">ZULUAGA QUINCHIA GUSTAVO DE JESUS                           </t>
  </si>
  <si>
    <t xml:space="preserve">FEDC159488  </t>
  </si>
  <si>
    <t xml:space="preserve">3226993920     </t>
  </si>
  <si>
    <t xml:space="preserve">FEDC160169  </t>
  </si>
  <si>
    <t xml:space="preserve">FEDC160170  </t>
  </si>
  <si>
    <t xml:space="preserve">FEDC160179  </t>
  </si>
  <si>
    <t xml:space="preserve">FEDC160326  </t>
  </si>
  <si>
    <t xml:space="preserve">FEDC160331  </t>
  </si>
  <si>
    <t xml:space="preserve">FEDC160366  </t>
  </si>
  <si>
    <t xml:space="preserve">FEDC160485  </t>
  </si>
  <si>
    <t xml:space="preserve">FEDC160778  </t>
  </si>
  <si>
    <t xml:space="preserve">FEDC161044  </t>
  </si>
  <si>
    <t xml:space="preserve">FEDC161230  </t>
  </si>
  <si>
    <t xml:space="preserve">FEDC161333  </t>
  </si>
  <si>
    <t xml:space="preserve">FEDC161373  </t>
  </si>
  <si>
    <t xml:space="preserve">FEDC161374  </t>
  </si>
  <si>
    <t xml:space="preserve">FEDC161431  </t>
  </si>
  <si>
    <t xml:space="preserve">FEDC161667  </t>
  </si>
  <si>
    <t xml:space="preserve">FEDC161668  </t>
  </si>
  <si>
    <t xml:space="preserve">FEDC161764  </t>
  </si>
  <si>
    <t xml:space="preserve">FEDC161765  </t>
  </si>
  <si>
    <t xml:space="preserve">FEDC161783  </t>
  </si>
  <si>
    <t xml:space="preserve">FEDC161970  </t>
  </si>
  <si>
    <t xml:space="preserve">FEDC161972  </t>
  </si>
  <si>
    <t xml:space="preserve">FEDC161983  </t>
  </si>
  <si>
    <t xml:space="preserve">FEDC162134  </t>
  </si>
  <si>
    <t xml:space="preserve">FEDC162148  </t>
  </si>
  <si>
    <t xml:space="preserve">FEDC162149  </t>
  </si>
  <si>
    <t xml:space="preserve">FEDC162163  </t>
  </si>
  <si>
    <t xml:space="preserve">FEDC162409  </t>
  </si>
  <si>
    <t xml:space="preserve">FEDC162428  </t>
  </si>
  <si>
    <t xml:space="preserve">FEDC162454  </t>
  </si>
  <si>
    <t xml:space="preserve">FEDC162504  </t>
  </si>
  <si>
    <t xml:space="preserve">FEDC162505  </t>
  </si>
  <si>
    <t xml:space="preserve">FEDC162508  </t>
  </si>
  <si>
    <t xml:space="preserve">FEDC162509  </t>
  </si>
  <si>
    <t xml:space="preserve">FEDC162521  </t>
  </si>
  <si>
    <t xml:space="preserve">FEDC162522  </t>
  </si>
  <si>
    <t xml:space="preserve">FEVM46972   </t>
  </si>
  <si>
    <t xml:space="preserve">15304190            </t>
  </si>
  <si>
    <t xml:space="preserve">MARTINEZ ATEHORTUA CARLOS IVAN                              </t>
  </si>
  <si>
    <t xml:space="preserve">FEDC161625  </t>
  </si>
  <si>
    <t/>
  </si>
  <si>
    <t xml:space="preserve">15305762            </t>
  </si>
  <si>
    <t xml:space="preserve">BEDOYA ACOSTA ANIBAL                                        </t>
  </si>
  <si>
    <t xml:space="preserve">FEDC160689  </t>
  </si>
  <si>
    <t xml:space="preserve">3148337839 -3147738185        </t>
  </si>
  <si>
    <t xml:space="preserve">FEDC160779  </t>
  </si>
  <si>
    <t xml:space="preserve">FEDC160901  </t>
  </si>
  <si>
    <t xml:space="preserve">FEDC162667  </t>
  </si>
  <si>
    <t xml:space="preserve">15355742-5          </t>
  </si>
  <si>
    <t xml:space="preserve">GUZMAN BETANCURT CARLOS ALVARO                              </t>
  </si>
  <si>
    <t xml:space="preserve">FEDC162448  </t>
  </si>
  <si>
    <t xml:space="preserve">3127587149     </t>
  </si>
  <si>
    <t xml:space="preserve">26880684            </t>
  </si>
  <si>
    <t xml:space="preserve">MAESTRE ESCORCIA NERY LUZ                                   </t>
  </si>
  <si>
    <t xml:space="preserve">FEDC161357  </t>
  </si>
  <si>
    <t xml:space="preserve">3135884368                    </t>
  </si>
  <si>
    <t xml:space="preserve">FEDC162280  </t>
  </si>
  <si>
    <t xml:space="preserve">32624344            </t>
  </si>
  <si>
    <t xml:space="preserve">BOHORQUEZ RICARDO DEYANIRA ISABEL                           </t>
  </si>
  <si>
    <t xml:space="preserve">FEDC161895  </t>
  </si>
  <si>
    <t xml:space="preserve">33105051916                   </t>
  </si>
  <si>
    <t xml:space="preserve">FEDC162603  </t>
  </si>
  <si>
    <t xml:space="preserve">3443977             </t>
  </si>
  <si>
    <t xml:space="preserve">BOHORQUEZ RUDInO JORGE ELIECER                              </t>
  </si>
  <si>
    <t xml:space="preserve">FEDC159474  </t>
  </si>
  <si>
    <t>8394641</t>
  </si>
  <si>
    <t xml:space="preserve">FEDC159595  </t>
  </si>
  <si>
    <t xml:space="preserve">FEDC159607  </t>
  </si>
  <si>
    <t xml:space="preserve">FEDC160238  </t>
  </si>
  <si>
    <t xml:space="preserve">FEDC160242  </t>
  </si>
  <si>
    <t xml:space="preserve">FEDC160585  </t>
  </si>
  <si>
    <t xml:space="preserve">FEDC160793  </t>
  </si>
  <si>
    <t xml:space="preserve">FEDC160977  </t>
  </si>
  <si>
    <t xml:space="preserve">FEDC161353  </t>
  </si>
  <si>
    <t xml:space="preserve">FEDC161493  </t>
  </si>
  <si>
    <t xml:space="preserve">FEDC161982  </t>
  </si>
  <si>
    <t xml:space="preserve">FEDC162773  </t>
  </si>
  <si>
    <t xml:space="preserve">3909678             </t>
  </si>
  <si>
    <t xml:space="preserve">PAYAREZ BARROSO MANUEL FRANCISCO                            </t>
  </si>
  <si>
    <t xml:space="preserve">FEDC161302  </t>
  </si>
  <si>
    <t>3113205121</t>
  </si>
  <si>
    <t xml:space="preserve">FEDC161303  </t>
  </si>
  <si>
    <t xml:space="preserve">FEDC162595  </t>
  </si>
  <si>
    <t xml:space="preserve">FEDC162596  </t>
  </si>
  <si>
    <t xml:space="preserve">FEDC162597  </t>
  </si>
  <si>
    <t xml:space="preserve">39266435            </t>
  </si>
  <si>
    <t xml:space="preserve">RAMIREZ JULIA ESTER                                         </t>
  </si>
  <si>
    <t xml:space="preserve">FEDC161908  </t>
  </si>
  <si>
    <t xml:space="preserve">39270593            </t>
  </si>
  <si>
    <t xml:space="preserve">GOMEZ BETANCURT DORA SOFIA                                  </t>
  </si>
  <si>
    <t xml:space="preserve">FEDC161205  </t>
  </si>
  <si>
    <t xml:space="preserve">3137303548     </t>
  </si>
  <si>
    <t xml:space="preserve">39271861            </t>
  </si>
  <si>
    <t xml:space="preserve">MARQUEZ PIÑERES MARTA SOFIA                                 </t>
  </si>
  <si>
    <t xml:space="preserve">FEDC159856  </t>
  </si>
  <si>
    <t xml:space="preserve">3113595761                    </t>
  </si>
  <si>
    <t xml:space="preserve">39272097            </t>
  </si>
  <si>
    <t xml:space="preserve">VILLADIEGO PASTRANA DORA ISABEL                             </t>
  </si>
  <si>
    <t xml:space="preserve">FEDC161297  </t>
  </si>
  <si>
    <t xml:space="preserve">3206719948                    </t>
  </si>
  <si>
    <t xml:space="preserve">FEDC161803  </t>
  </si>
  <si>
    <t xml:space="preserve">39275007-3          </t>
  </si>
  <si>
    <t xml:space="preserve">ARENAS GOMEZ LUZ ESTELA                                     </t>
  </si>
  <si>
    <t xml:space="preserve">FEDC160453  </t>
  </si>
  <si>
    <t>8398640</t>
  </si>
  <si>
    <t xml:space="preserve">39279638            </t>
  </si>
  <si>
    <t xml:space="preserve">PEREZ MARTINEZ ADRIANA MARIA                                </t>
  </si>
  <si>
    <t xml:space="preserve">FEDC162135  </t>
  </si>
  <si>
    <t xml:space="preserve">3105913666                    </t>
  </si>
  <si>
    <t xml:space="preserve">FEDC162584  </t>
  </si>
  <si>
    <t xml:space="preserve">39280551            </t>
  </si>
  <si>
    <t xml:space="preserve">FRANCO HERAZO CARMEN ALICIA                                 </t>
  </si>
  <si>
    <t xml:space="preserve">FEDC160681  </t>
  </si>
  <si>
    <t xml:space="preserve">3206794488-8390155            </t>
  </si>
  <si>
    <t xml:space="preserve">FEDC161651  </t>
  </si>
  <si>
    <t xml:space="preserve">FEDC162422  </t>
  </si>
  <si>
    <t xml:space="preserve">FEDC162423  </t>
  </si>
  <si>
    <t xml:space="preserve">39281354            </t>
  </si>
  <si>
    <t xml:space="preserve">PALACIO PORTILLO YESENIA ROSA                               </t>
  </si>
  <si>
    <t xml:space="preserve">FEDC160915  </t>
  </si>
  <si>
    <t>3113938272 -3105352049Mauricio</t>
  </si>
  <si>
    <t xml:space="preserve">FEDC162542  </t>
  </si>
  <si>
    <t xml:space="preserve">FEDC162604  </t>
  </si>
  <si>
    <t xml:space="preserve">39282246            </t>
  </si>
  <si>
    <t xml:space="preserve">GUERRA GARCIA KATHYA KARIME                                 </t>
  </si>
  <si>
    <t xml:space="preserve">FEDC162666  </t>
  </si>
  <si>
    <t xml:space="preserve">3104982829                    </t>
  </si>
  <si>
    <t xml:space="preserve">39283083            </t>
  </si>
  <si>
    <t xml:space="preserve">SANCHEZ  MUnETON SOL CIELO                                  </t>
  </si>
  <si>
    <t xml:space="preserve">FEDC161623  </t>
  </si>
  <si>
    <t xml:space="preserve">3148477868-3113235407         </t>
  </si>
  <si>
    <t xml:space="preserve">FEDC162410  </t>
  </si>
  <si>
    <t xml:space="preserve">FEDC162411  </t>
  </si>
  <si>
    <t xml:space="preserve">43403646            </t>
  </si>
  <si>
    <t xml:space="preserve">ZULUAGA GOMEZ MARIA GLADIS                                  </t>
  </si>
  <si>
    <t xml:space="preserve">FEDC159972  </t>
  </si>
  <si>
    <t xml:space="preserve">3016755296                    </t>
  </si>
  <si>
    <t xml:space="preserve">FEDC160336  </t>
  </si>
  <si>
    <t xml:space="preserve">FEDC160774  </t>
  </si>
  <si>
    <t xml:space="preserve">FEDC160904  </t>
  </si>
  <si>
    <t xml:space="preserve">FEDC161310  </t>
  </si>
  <si>
    <t xml:space="preserve">FEDC161620  </t>
  </si>
  <si>
    <t xml:space="preserve">FEDC161621  </t>
  </si>
  <si>
    <t xml:space="preserve">FEDC161716  </t>
  </si>
  <si>
    <t xml:space="preserve">FEDC161965  </t>
  </si>
  <si>
    <t xml:space="preserve">FEDC162424  </t>
  </si>
  <si>
    <t xml:space="preserve">FEDC162455  </t>
  </si>
  <si>
    <t xml:space="preserve">43404968            </t>
  </si>
  <si>
    <t xml:space="preserve">ZULUAGA GOMEZ LUZ MARY                                      </t>
  </si>
  <si>
    <t xml:space="preserve">FEDC161115  </t>
  </si>
  <si>
    <t xml:space="preserve">3215411779                    </t>
  </si>
  <si>
    <t xml:space="preserve">FEDC162153  </t>
  </si>
  <si>
    <t xml:space="preserve">FEDC162430  </t>
  </si>
  <si>
    <t xml:space="preserve">43786215            </t>
  </si>
  <si>
    <t xml:space="preserve">NARANJO SALAZAR MARIA JESUS                                 </t>
  </si>
  <si>
    <t xml:space="preserve">FEDC161494  </t>
  </si>
  <si>
    <t xml:space="preserve">3183468239     </t>
  </si>
  <si>
    <t xml:space="preserve">FEDC162414  </t>
  </si>
  <si>
    <t xml:space="preserve">4524081             </t>
  </si>
  <si>
    <t xml:space="preserve">QUINTERO ZULUAGA ARGEMIRO                                   </t>
  </si>
  <si>
    <t xml:space="preserve">FEDC161795  </t>
  </si>
  <si>
    <t xml:space="preserve">3214475985                    </t>
  </si>
  <si>
    <t xml:space="preserve">FEDC162472  </t>
  </si>
  <si>
    <t xml:space="preserve">52866315            </t>
  </si>
  <si>
    <t xml:space="preserve">MIELES PADILLA DENIS NALLIREIS                              </t>
  </si>
  <si>
    <t xml:space="preserve">FEDC162283  </t>
  </si>
  <si>
    <t xml:space="preserve">3116371907                    </t>
  </si>
  <si>
    <t xml:space="preserve">FEDC162286  </t>
  </si>
  <si>
    <t xml:space="preserve">700413634           </t>
  </si>
  <si>
    <t xml:space="preserve">PERNIA PERNIA DAYNIRET KEIMAR                               </t>
  </si>
  <si>
    <t xml:space="preserve">FEDC162417  </t>
  </si>
  <si>
    <t xml:space="preserve">3234897680                    </t>
  </si>
  <si>
    <t xml:space="preserve">FEDC162771  </t>
  </si>
  <si>
    <t xml:space="preserve">70383501            </t>
  </si>
  <si>
    <t xml:space="preserve">CIRO BONILLA NORVAIRO DE JESUS                              </t>
  </si>
  <si>
    <t xml:space="preserve">FEDC159754  </t>
  </si>
  <si>
    <t xml:space="preserve">3145052021                    </t>
  </si>
  <si>
    <t xml:space="preserve">FEDC159755  </t>
  </si>
  <si>
    <t xml:space="preserve">FEDC161354  </t>
  </si>
  <si>
    <t xml:space="preserve">FEDC161355  </t>
  </si>
  <si>
    <t xml:space="preserve">FEDC162425  </t>
  </si>
  <si>
    <t xml:space="preserve">FEDC162426  </t>
  </si>
  <si>
    <t xml:space="preserve">70692127            </t>
  </si>
  <si>
    <t xml:space="preserve">ZULUAGA QUINCHIA JESUS HERNAN                               </t>
  </si>
  <si>
    <t xml:space="preserve">FEDC159484  </t>
  </si>
  <si>
    <t xml:space="preserve">3007388755 Andres -3148623512 </t>
  </si>
  <si>
    <t xml:space="preserve">FEDC160338  </t>
  </si>
  <si>
    <t xml:space="preserve">FEDC160339  </t>
  </si>
  <si>
    <t xml:space="preserve">FEDC160680  </t>
  </si>
  <si>
    <t xml:space="preserve">FEDC160685  </t>
  </si>
  <si>
    <t xml:space="preserve">FEDC161365  </t>
  </si>
  <si>
    <t xml:space="preserve">FEDC162137  </t>
  </si>
  <si>
    <t xml:space="preserve">FEDC162138  </t>
  </si>
  <si>
    <t xml:space="preserve">70693392            </t>
  </si>
  <si>
    <t xml:space="preserve">NARANJO SALAZAR JAVIER ANTONIO                              </t>
  </si>
  <si>
    <t xml:space="preserve">FEDC160693  </t>
  </si>
  <si>
    <t xml:space="preserve">3233203149                    </t>
  </si>
  <si>
    <t xml:space="preserve">FEDC161027  </t>
  </si>
  <si>
    <t xml:space="preserve">FEDC161619  </t>
  </si>
  <si>
    <t xml:space="preserve">FEDC161968  </t>
  </si>
  <si>
    <t xml:space="preserve">FEDC161984  </t>
  </si>
  <si>
    <t xml:space="preserve">FEDC162416  </t>
  </si>
  <si>
    <t xml:space="preserve">FEDC162518  </t>
  </si>
  <si>
    <t xml:space="preserve">70698723            </t>
  </si>
  <si>
    <t xml:space="preserve">ATEHORTUA GALLEGO JUAN ANDRES                               </t>
  </si>
  <si>
    <t xml:space="preserve">FEDC160232  </t>
  </si>
  <si>
    <t xml:space="preserve">3204914146                    </t>
  </si>
  <si>
    <t xml:space="preserve">FEDC160448  </t>
  </si>
  <si>
    <t xml:space="preserve">FEDC160449  </t>
  </si>
  <si>
    <t xml:space="preserve">FEDC160912  </t>
  </si>
  <si>
    <t xml:space="preserve">FEDC161891  </t>
  </si>
  <si>
    <t xml:space="preserve">FEDC162165  </t>
  </si>
  <si>
    <t xml:space="preserve">FEDC162531  </t>
  </si>
  <si>
    <t xml:space="preserve">70852289            </t>
  </si>
  <si>
    <t xml:space="preserve">GRAJALES GRAJALES LUIS ARCADIO                              </t>
  </si>
  <si>
    <t xml:space="preserve">FEDC161963  </t>
  </si>
  <si>
    <t xml:space="preserve">8397282                       </t>
  </si>
  <si>
    <t xml:space="preserve">FEVM48269   </t>
  </si>
  <si>
    <t xml:space="preserve">70855301            </t>
  </si>
  <si>
    <t xml:space="preserve">GRAJALES GRAJALES ROBERTO ADRIAN                            </t>
  </si>
  <si>
    <t xml:space="preserve">FEDC160341  </t>
  </si>
  <si>
    <t xml:space="preserve">3113739727     </t>
  </si>
  <si>
    <t xml:space="preserve">FEDC162453  </t>
  </si>
  <si>
    <t xml:space="preserve">FEVM48259   </t>
  </si>
  <si>
    <t xml:space="preserve">77070027            </t>
  </si>
  <si>
    <t xml:space="preserve">ECHEVERRY CORREA LUIS OVIDIO                                </t>
  </si>
  <si>
    <t xml:space="preserve">FEDC160545  </t>
  </si>
  <si>
    <t xml:space="preserve">8380120        </t>
  </si>
  <si>
    <t xml:space="preserve">FEDC162572  </t>
  </si>
  <si>
    <t xml:space="preserve">78115569            </t>
  </si>
  <si>
    <t xml:space="preserve">GOMEZ PUERTA RICHAR                                         </t>
  </si>
  <si>
    <t xml:space="preserve">FEDC162264  </t>
  </si>
  <si>
    <t>3122062860</t>
  </si>
  <si>
    <t xml:space="preserve">78302691            </t>
  </si>
  <si>
    <t xml:space="preserve">FLOREZ ROJAS EFREN                                          </t>
  </si>
  <si>
    <t xml:space="preserve">FEDC135864  </t>
  </si>
  <si>
    <t xml:space="preserve">3127672025                    </t>
  </si>
  <si>
    <t xml:space="preserve">FEDC137258  </t>
  </si>
  <si>
    <t xml:space="preserve">78703962            </t>
  </si>
  <si>
    <t xml:space="preserve">REYES SIERRA EDINSON ANTONIO                                </t>
  </si>
  <si>
    <t xml:space="preserve">FEDC160156  </t>
  </si>
  <si>
    <t xml:space="preserve">3105410896                    </t>
  </si>
  <si>
    <t xml:space="preserve">FEDC160587  </t>
  </si>
  <si>
    <t xml:space="preserve">FEDC160790  </t>
  </si>
  <si>
    <t xml:space="preserve">FEDC160902  </t>
  </si>
  <si>
    <t xml:space="preserve">FEDC161662  </t>
  </si>
  <si>
    <t xml:space="preserve">FEDC162279  </t>
  </si>
  <si>
    <t xml:space="preserve">FEDC162512  </t>
  </si>
  <si>
    <t xml:space="preserve">FEDC162682  </t>
  </si>
  <si>
    <t xml:space="preserve">FEDC162774  </t>
  </si>
  <si>
    <t xml:space="preserve">8056705             </t>
  </si>
  <si>
    <t xml:space="preserve">MARTINEZ CORDERO JORGE JAIMEN                               </t>
  </si>
  <si>
    <t xml:space="preserve">FEDC162284  </t>
  </si>
  <si>
    <t>3218012784</t>
  </si>
  <si>
    <t xml:space="preserve">FEDC162285  </t>
  </si>
  <si>
    <t xml:space="preserve">FEDC162606  </t>
  </si>
  <si>
    <t xml:space="preserve">FEDC162608  </t>
  </si>
  <si>
    <t xml:space="preserve">FEDC162672  </t>
  </si>
  <si>
    <t xml:space="preserve">811001810-6         </t>
  </si>
  <si>
    <t xml:space="preserve">COOPERATIVA MULTIALTIVA DE MADRES COMUNITARIAS              </t>
  </si>
  <si>
    <t xml:space="preserve">FEDC161239  </t>
  </si>
  <si>
    <t xml:space="preserve">FEDC161571  </t>
  </si>
  <si>
    <t xml:space="preserve">FEDC161578  </t>
  </si>
  <si>
    <t xml:space="preserve">FEDC161587  </t>
  </si>
  <si>
    <t xml:space="preserve">FEDC161798  </t>
  </si>
  <si>
    <t xml:space="preserve">FEDC162055  </t>
  </si>
  <si>
    <t xml:space="preserve">FEDC162056  </t>
  </si>
  <si>
    <t xml:space="preserve">FEDC162229  </t>
  </si>
  <si>
    <t xml:space="preserve">FEDC162230  </t>
  </si>
  <si>
    <t xml:space="preserve">FEDC162679  </t>
  </si>
  <si>
    <t xml:space="preserve">FEDC162692  </t>
  </si>
  <si>
    <t xml:space="preserve">8373571             </t>
  </si>
  <si>
    <t xml:space="preserve">MERCADO ARROYO JUAN BAUTISTA                                </t>
  </si>
  <si>
    <t xml:space="preserve">FEDC160451  </t>
  </si>
  <si>
    <t xml:space="preserve">3192555227-3113812119         </t>
  </si>
  <si>
    <t xml:space="preserve">FEDC160900  </t>
  </si>
  <si>
    <t xml:space="preserve">8374032             </t>
  </si>
  <si>
    <t xml:space="preserve">PEREZ CONTRERAS OSCAR                                       </t>
  </si>
  <si>
    <t xml:space="preserve">FEDC160347  </t>
  </si>
  <si>
    <t xml:space="preserve">3145644503-323243142          </t>
  </si>
  <si>
    <t xml:space="preserve">FEDC160552  </t>
  </si>
  <si>
    <t xml:space="preserve">FEDC160553  </t>
  </si>
  <si>
    <t xml:space="preserve">FEDC160777  </t>
  </si>
  <si>
    <t xml:space="preserve">FEDC160788  </t>
  </si>
  <si>
    <t xml:space="preserve">FEDC160791  </t>
  </si>
  <si>
    <t xml:space="preserve">FEDC160903  </t>
  </si>
  <si>
    <t xml:space="preserve">FEDC160975  </t>
  </si>
  <si>
    <t xml:space="preserve">FEDC160978  </t>
  </si>
  <si>
    <t xml:space="preserve">FEDC161018  </t>
  </si>
  <si>
    <t xml:space="preserve">FEDC161019  </t>
  </si>
  <si>
    <t xml:space="preserve">FEDC161121  </t>
  </si>
  <si>
    <t xml:space="preserve">FEDC161312  </t>
  </si>
  <si>
    <t xml:space="preserve">FEDC161767  </t>
  </si>
  <si>
    <t xml:space="preserve">FEDC161768  </t>
  </si>
  <si>
    <t xml:space="preserve">FEDC161804  </t>
  </si>
  <si>
    <t xml:space="preserve">FEDC161961  </t>
  </si>
  <si>
    <t xml:space="preserve">FEDC162670  </t>
  </si>
  <si>
    <t xml:space="preserve">901725680           </t>
  </si>
  <si>
    <t xml:space="preserve">PLASTICOS SANTUARIO S.A.S                                   </t>
  </si>
  <si>
    <t xml:space="preserve">FEDC159757  </t>
  </si>
  <si>
    <t xml:space="preserve">8392261                       </t>
  </si>
  <si>
    <t xml:space="preserve">FEDC160445  </t>
  </si>
  <si>
    <t xml:space="preserve">FEDC160549  </t>
  </si>
  <si>
    <t xml:space="preserve">FEDC160550  </t>
  </si>
  <si>
    <t xml:space="preserve">FEDC162729  </t>
  </si>
  <si>
    <t xml:space="preserve">FEDC162730  </t>
  </si>
  <si>
    <t xml:space="preserve">FEDC162744  </t>
  </si>
  <si>
    <t xml:space="preserve">901997622           </t>
  </si>
  <si>
    <t xml:space="preserve">DISTRICERAMICAS CAUCASIA SAS                                </t>
  </si>
  <si>
    <t xml:space="preserve">FEDC160233  </t>
  </si>
  <si>
    <t xml:space="preserve">3206198078                    </t>
  </si>
  <si>
    <t xml:space="preserve">FEDC161301  </t>
  </si>
  <si>
    <t xml:space="preserve">FEDC162776  </t>
  </si>
  <si>
    <t xml:space="preserve">91521121            </t>
  </si>
  <si>
    <t xml:space="preserve">ZULUAGA ZULUAGA WILLIAM DAVID                               </t>
  </si>
  <si>
    <t xml:space="preserve">FEDC159412  </t>
  </si>
  <si>
    <t xml:space="preserve">3206429252                    </t>
  </si>
  <si>
    <t xml:space="preserve">FEDC159507  </t>
  </si>
  <si>
    <t xml:space="preserve">FEDC160082  </t>
  </si>
  <si>
    <t xml:space="preserve">FEDC160217  </t>
  </si>
  <si>
    <t xml:space="preserve">FEDC160782  </t>
  </si>
  <si>
    <t xml:space="preserve">FEDC160792  </t>
  </si>
  <si>
    <t xml:space="preserve">FEDC160907  </t>
  </si>
  <si>
    <t xml:space="preserve">FEDC161021  </t>
  </si>
  <si>
    <t xml:space="preserve">FEDC161022  </t>
  </si>
  <si>
    <t xml:space="preserve">FEDC161366  </t>
  </si>
  <si>
    <t xml:space="preserve">FEDC161943  </t>
  </si>
  <si>
    <t xml:space="preserve">FEDC161944  </t>
  </si>
  <si>
    <t xml:space="preserve">FEDC161964  </t>
  </si>
  <si>
    <t xml:space="preserve">FEDC162086  </t>
  </si>
  <si>
    <t xml:space="preserve">FEDC162473  </t>
  </si>
  <si>
    <t xml:space="preserve">FEDC162731  </t>
  </si>
  <si>
    <t xml:space="preserve">9313721             </t>
  </si>
  <si>
    <t xml:space="preserve">VILLADIEGO PEREZ JOSE BLAS                                  </t>
  </si>
  <si>
    <t xml:space="preserve">FEDC159476  </t>
  </si>
  <si>
    <t>8380408</t>
  </si>
  <si>
    <t xml:space="preserve">FEDC160547  </t>
  </si>
  <si>
    <t xml:space="preserve">FEDC161117  </t>
  </si>
  <si>
    <t xml:space="preserve">FEDC161487  </t>
  </si>
  <si>
    <t xml:space="preserve">FEDC162732  </t>
  </si>
  <si>
    <t xml:space="preserve">FEDC162733  </t>
  </si>
  <si>
    <t xml:space="preserve">FEDC162750  </t>
  </si>
  <si>
    <t xml:space="preserve">FEVM48262   </t>
  </si>
  <si>
    <t xml:space="preserve">98651531            </t>
  </si>
  <si>
    <t xml:space="preserve">POSSO ARIAS GABRIEL EDUARDO                                 </t>
  </si>
  <si>
    <t xml:space="preserve">FEDC160588  </t>
  </si>
  <si>
    <t>3115674271</t>
  </si>
  <si>
    <t xml:space="preserve">FEDC161190  </t>
  </si>
  <si>
    <t xml:space="preserve">FEDC161199  </t>
  </si>
  <si>
    <t xml:space="preserve">FEDC161327  </t>
  </si>
  <si>
    <t xml:space="preserve">FEDC161962  </t>
  </si>
  <si>
    <t xml:space="preserve">FEDC162415  </t>
  </si>
  <si>
    <t xml:space="preserve">FEDC162753  </t>
  </si>
  <si>
    <t xml:space="preserve">98654169            </t>
  </si>
  <si>
    <t xml:space="preserve">PAGUENA JIMENEZ HERNAN ALFONSO                              </t>
  </si>
  <si>
    <t xml:space="preserve">FEDC160229  </t>
  </si>
  <si>
    <t xml:space="preserve">3113235407                    </t>
  </si>
  <si>
    <t xml:space="preserve">FEDC160230  </t>
  </si>
  <si>
    <t xml:space="preserve">FEDC160781  </t>
  </si>
  <si>
    <t xml:space="preserve">FEDC161732  </t>
  </si>
  <si>
    <t xml:space="preserve">FEDC162418  </t>
  </si>
  <si>
    <t xml:space="preserve">FEDC162419  </t>
  </si>
  <si>
    <t xml:space="preserve">FEDC162450  </t>
  </si>
  <si>
    <t xml:space="preserve">FEDC162529  </t>
  </si>
  <si>
    <t xml:space="preserve">FEDC162601  </t>
  </si>
  <si>
    <t xml:space="preserve">FEDC162602  </t>
  </si>
  <si>
    <t xml:space="preserve">98654842            </t>
  </si>
  <si>
    <t xml:space="preserve">PEREZ CONTRERAS CARLOS MARIO                                </t>
  </si>
  <si>
    <t xml:space="preserve">FEDC160333  </t>
  </si>
  <si>
    <t xml:space="preserve">3209042070                    </t>
  </si>
  <si>
    <t xml:space="preserve">FEDC161377  </t>
  </si>
  <si>
    <t xml:space="preserve">FEDC161379  </t>
  </si>
  <si>
    <t xml:space="preserve">FEDC162573  </t>
  </si>
  <si>
    <t>Columna1</t>
  </si>
  <si>
    <t xml:space="preserve">FEVM48331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</si>
</sst>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2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8">
    <dxf>
      <numFmt numFmtId="1" formatCode="0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DatosExternos_1" connectionId="1" autoFormatId="16" applyNumberFormats="0" applyBorderFormats="0" applyFontFormats="0" applyPatternFormats="0" applyAlignmentFormats="0" applyWidthHeightFormats="0">
  <queryTableRefresh nextId="16" unboundColumnsRight="1">
    <queryTableFields count="10">
      <queryTableField id="2" name="nit_a" tableColumnId="2"/>
      <queryTableField id="3" name="razon_social" tableColumnId="3"/>
      <queryTableField id="4" name="ciudad" tableColumnId="4"/>
      <queryTableField id="5" name="numero" tableColumnId="5"/>
      <queryTableField id="6" name="ttotal" tableColumnId="6"/>
      <queryTableField id="7" name="fecha" tableColumnId="7"/>
      <queryTableField id="8" name="vencimiento" tableColumnId="8"/>
      <queryTableField id="12" name="telefonos" tableColumnId="12"/>
      <queryTableField id="14" name="vendedor" tableColumnId="14"/>
      <queryTableField id="15" dataBound="0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id="1" name="cartera02" displayName="cartera02" ref="A1:J436" tableType="queryTable" totalsRowCount="1">
  <tableColumns count="10">
    <tableColumn id="2" uniqueName="2" name="nit_a" queryTableFieldId="2" dataDxfId="17" totalsRowDxfId="8"/>
    <tableColumn id="3" uniqueName="3" name="razon_social" queryTableFieldId="3" dataDxfId="16" totalsRowDxfId="7"/>
    <tableColumn id="4" uniqueName="4" name="ciudad" queryTableFieldId="4" dataDxfId="15" totalsRowDxfId="6"/>
    <tableColumn id="5" uniqueName="5" name="numero" queryTableFieldId="5" dataDxfId="14" totalsRowDxfId="5"/>
    <tableColumn id="6" uniqueName="6" name="ttotal" queryTableFieldId="6"/>
    <tableColumn id="7" uniqueName="7" name="fecha" queryTableFieldId="7" dataDxfId="13" totalsRowDxfId="4"/>
    <tableColumn id="8" uniqueName="8" name="vencimiento" queryTableFieldId="8" dataDxfId="12" totalsRowDxfId="3"/>
    <tableColumn id="12" uniqueName="12" name="telefonos" queryTableFieldId="12" dataDxfId="11" totalsRowDxfId="2"/>
    <tableColumn id="14" uniqueName="14" name="vendedor" queryTableFieldId="14" dataDxfId="10" totalsRowDxfId="1"/>
    <tableColumn id="15" uniqueName="15" name="Columna1" queryTableFieldId="15" dataDxfId="9" totalsRowDxfId="0">
      <calculatedColumnFormula>+TODAY()-cartera02[[#This Row],[fecha]]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436"/>
  <sheetViews>
    <sheetView tabSelected="1" topLeftCell="A401" workbookViewId="0">
      <selection activeCell="E436" sqref="E436"/>
    </sheetView>
  </sheetViews>
  <sheetFormatPr baseColWidth="10" defaultRowHeight="15" x14ac:dyDescent="0.25"/>
  <cols>
    <col min="1" max="1" width="16.28515625" bestFit="1" customWidth="1"/>
    <col min="2" max="2" width="58" bestFit="1" customWidth="1"/>
    <col min="3" max="3" width="19.5703125" bestFit="1" customWidth="1"/>
    <col min="4" max="4" width="12.28515625" bestFit="1" customWidth="1"/>
    <col min="5" max="5" width="10" bestFit="1" customWidth="1"/>
    <col min="6" max="7" width="15.7109375" bestFit="1" customWidth="1"/>
    <col min="8" max="8" width="30.28515625" bestFit="1" customWidth="1"/>
    <col min="9" max="9" width="9.5703125" bestFit="1" customWidth="1"/>
    <col min="10" max="10" width="9.85546875" bestFit="1" customWidth="1"/>
    <col min="11" max="13" width="13" bestFit="1" customWidth="1"/>
    <col min="14" max="14" width="15.285156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</v>
      </c>
      <c r="I1" t="s">
        <v>7</v>
      </c>
      <c r="J1" t="s">
        <v>644</v>
      </c>
    </row>
    <row r="2" spans="1:10" x14ac:dyDescent="0.25">
      <c r="A2" s="1" t="s">
        <v>9</v>
      </c>
      <c r="B2" s="1" t="s">
        <v>10</v>
      </c>
      <c r="C2" s="1" t="s">
        <v>11</v>
      </c>
      <c r="D2" s="1" t="s">
        <v>12</v>
      </c>
      <c r="E2">
        <v>1271547</v>
      </c>
      <c r="F2" s="2">
        <v>46050</v>
      </c>
      <c r="G2" s="2">
        <v>46080</v>
      </c>
      <c r="H2" s="1" t="s">
        <v>14</v>
      </c>
      <c r="I2" s="1" t="s">
        <v>13</v>
      </c>
      <c r="J2" s="3">
        <f ca="1">+TODAY()-cartera02[[#This Row],[fecha]]</f>
        <v>50</v>
      </c>
    </row>
    <row r="3" spans="1:10" x14ac:dyDescent="0.25">
      <c r="A3" s="1" t="s">
        <v>9</v>
      </c>
      <c r="B3" s="1" t="s">
        <v>10</v>
      </c>
      <c r="C3" s="1" t="s">
        <v>11</v>
      </c>
      <c r="D3" s="1" t="s">
        <v>15</v>
      </c>
      <c r="E3">
        <v>12870544</v>
      </c>
      <c r="F3" s="2">
        <v>46050</v>
      </c>
      <c r="G3" s="2">
        <v>46080</v>
      </c>
      <c r="H3" s="1" t="s">
        <v>14</v>
      </c>
      <c r="I3" s="1" t="s">
        <v>13</v>
      </c>
      <c r="J3" s="3">
        <f ca="1">+TODAY()-cartera02[[#This Row],[fecha]]</f>
        <v>50</v>
      </c>
    </row>
    <row r="4" spans="1:10" x14ac:dyDescent="0.25">
      <c r="A4" s="1" t="s">
        <v>9</v>
      </c>
      <c r="B4" s="1" t="s">
        <v>10</v>
      </c>
      <c r="C4" s="1" t="s">
        <v>11</v>
      </c>
      <c r="D4" s="1" t="s">
        <v>16</v>
      </c>
      <c r="E4">
        <v>4240000</v>
      </c>
      <c r="F4" s="2">
        <v>46070</v>
      </c>
      <c r="G4" s="2">
        <v>46100</v>
      </c>
      <c r="H4" s="1" t="s">
        <v>14</v>
      </c>
      <c r="I4" s="1" t="s">
        <v>13</v>
      </c>
      <c r="J4" s="3">
        <f ca="1">+TODAY()-cartera02[[#This Row],[fecha]]</f>
        <v>30</v>
      </c>
    </row>
    <row r="5" spans="1:10" x14ac:dyDescent="0.25">
      <c r="A5" s="1" t="s">
        <v>9</v>
      </c>
      <c r="B5" s="1" t="s">
        <v>10</v>
      </c>
      <c r="C5" s="1" t="s">
        <v>11</v>
      </c>
      <c r="D5" s="1" t="s">
        <v>17</v>
      </c>
      <c r="E5">
        <v>1566697</v>
      </c>
      <c r="F5" s="2">
        <v>46070</v>
      </c>
      <c r="G5" s="2">
        <v>46100</v>
      </c>
      <c r="H5" s="1" t="s">
        <v>14</v>
      </c>
      <c r="I5" s="1" t="s">
        <v>13</v>
      </c>
      <c r="J5" s="3">
        <f ca="1">+TODAY()-cartera02[[#This Row],[fecha]]</f>
        <v>30</v>
      </c>
    </row>
    <row r="6" spans="1:10" x14ac:dyDescent="0.25">
      <c r="A6" s="1" t="s">
        <v>9</v>
      </c>
      <c r="B6" s="1" t="s">
        <v>10</v>
      </c>
      <c r="C6" s="1" t="s">
        <v>11</v>
      </c>
      <c r="D6" s="1" t="s">
        <v>18</v>
      </c>
      <c r="E6">
        <v>12462069</v>
      </c>
      <c r="F6" s="2">
        <v>46070</v>
      </c>
      <c r="G6" s="2">
        <v>46100</v>
      </c>
      <c r="H6" s="1" t="s">
        <v>14</v>
      </c>
      <c r="I6" s="1" t="s">
        <v>13</v>
      </c>
      <c r="J6" s="3">
        <f ca="1">+TODAY()-cartera02[[#This Row],[fecha]]</f>
        <v>30</v>
      </c>
    </row>
    <row r="7" spans="1:10" x14ac:dyDescent="0.25">
      <c r="A7" s="1" t="s">
        <v>9</v>
      </c>
      <c r="B7" s="1" t="s">
        <v>10</v>
      </c>
      <c r="C7" s="1" t="s">
        <v>11</v>
      </c>
      <c r="D7" s="1" t="s">
        <v>19</v>
      </c>
      <c r="E7">
        <v>1876215</v>
      </c>
      <c r="F7" s="2">
        <v>46070</v>
      </c>
      <c r="G7" s="2">
        <v>46100</v>
      </c>
      <c r="H7" s="1" t="s">
        <v>14</v>
      </c>
      <c r="I7" s="1" t="s">
        <v>13</v>
      </c>
      <c r="J7" s="3">
        <f ca="1">+TODAY()-cartera02[[#This Row],[fecha]]</f>
        <v>30</v>
      </c>
    </row>
    <row r="8" spans="1:10" x14ac:dyDescent="0.25">
      <c r="A8" s="1" t="s">
        <v>9</v>
      </c>
      <c r="B8" s="1" t="s">
        <v>10</v>
      </c>
      <c r="C8" s="1" t="s">
        <v>11</v>
      </c>
      <c r="D8" s="1" t="s">
        <v>20</v>
      </c>
      <c r="E8">
        <v>6255302</v>
      </c>
      <c r="F8" s="2">
        <v>46045</v>
      </c>
      <c r="G8" s="2">
        <v>46075</v>
      </c>
      <c r="H8" s="1" t="s">
        <v>14</v>
      </c>
      <c r="I8" s="1" t="s">
        <v>13</v>
      </c>
      <c r="J8" s="3">
        <f ca="1">+TODAY()-cartera02[[#This Row],[fecha]]</f>
        <v>55</v>
      </c>
    </row>
    <row r="9" spans="1:10" x14ac:dyDescent="0.25">
      <c r="A9" s="1" t="s">
        <v>21</v>
      </c>
      <c r="B9" s="1" t="s">
        <v>22</v>
      </c>
      <c r="C9" s="1" t="s">
        <v>11</v>
      </c>
      <c r="D9" s="1" t="s">
        <v>23</v>
      </c>
      <c r="E9">
        <v>1042688</v>
      </c>
      <c r="F9" s="2">
        <v>46079</v>
      </c>
      <c r="G9" s="2">
        <v>46109</v>
      </c>
      <c r="H9" s="1" t="s">
        <v>24</v>
      </c>
      <c r="I9" s="1" t="s">
        <v>13</v>
      </c>
      <c r="J9" s="3">
        <f ca="1">+TODAY()-cartera02[[#This Row],[fecha]]</f>
        <v>21</v>
      </c>
    </row>
    <row r="10" spans="1:10" x14ac:dyDescent="0.25">
      <c r="A10" s="1" t="s">
        <v>21</v>
      </c>
      <c r="B10" s="1" t="s">
        <v>22</v>
      </c>
      <c r="C10" s="1" t="s">
        <v>11</v>
      </c>
      <c r="D10" s="1" t="s">
        <v>25</v>
      </c>
      <c r="E10">
        <v>1260000</v>
      </c>
      <c r="F10" s="2">
        <v>46097</v>
      </c>
      <c r="G10" s="2">
        <v>46107</v>
      </c>
      <c r="H10" s="1" t="s">
        <v>24</v>
      </c>
      <c r="I10" s="1" t="s">
        <v>13</v>
      </c>
      <c r="J10" s="3">
        <f ca="1">+TODAY()-cartera02[[#This Row],[fecha]]</f>
        <v>3</v>
      </c>
    </row>
    <row r="11" spans="1:10" x14ac:dyDescent="0.25">
      <c r="A11" s="1" t="s">
        <v>26</v>
      </c>
      <c r="B11" s="1" t="s">
        <v>27</v>
      </c>
      <c r="C11" s="1" t="s">
        <v>11</v>
      </c>
      <c r="D11" s="1" t="s">
        <v>28</v>
      </c>
      <c r="E11">
        <v>4200000</v>
      </c>
      <c r="F11" s="2">
        <v>46097</v>
      </c>
      <c r="G11" s="2">
        <v>46107</v>
      </c>
      <c r="H11" s="1" t="s">
        <v>29</v>
      </c>
      <c r="I11" s="1" t="s">
        <v>13</v>
      </c>
      <c r="J11" s="3">
        <f ca="1">+TODAY()-cartera02[[#This Row],[fecha]]</f>
        <v>3</v>
      </c>
    </row>
    <row r="12" spans="1:10" x14ac:dyDescent="0.25">
      <c r="A12" s="1" t="s">
        <v>26</v>
      </c>
      <c r="B12" s="1" t="s">
        <v>27</v>
      </c>
      <c r="C12" s="1" t="s">
        <v>11</v>
      </c>
      <c r="D12" s="1" t="s">
        <v>30</v>
      </c>
      <c r="E12">
        <v>88000</v>
      </c>
      <c r="F12" s="2">
        <v>46097</v>
      </c>
      <c r="G12" s="2">
        <v>46127</v>
      </c>
      <c r="H12" s="1" t="s">
        <v>29</v>
      </c>
      <c r="I12" s="1" t="s">
        <v>13</v>
      </c>
      <c r="J12" s="3">
        <f ca="1">+TODAY()-cartera02[[#This Row],[fecha]]</f>
        <v>3</v>
      </c>
    </row>
    <row r="13" spans="1:10" x14ac:dyDescent="0.25">
      <c r="A13" s="1" t="s">
        <v>26</v>
      </c>
      <c r="B13" s="1" t="s">
        <v>27</v>
      </c>
      <c r="C13" s="1" t="s">
        <v>11</v>
      </c>
      <c r="D13" s="1" t="s">
        <v>31</v>
      </c>
      <c r="E13">
        <v>343200</v>
      </c>
      <c r="F13" s="2">
        <v>46098</v>
      </c>
      <c r="G13" s="2">
        <v>46128</v>
      </c>
      <c r="H13" s="1" t="s">
        <v>29</v>
      </c>
      <c r="I13" s="1" t="s">
        <v>13</v>
      </c>
      <c r="J13" s="3">
        <f ca="1">+TODAY()-cartera02[[#This Row],[fecha]]</f>
        <v>2</v>
      </c>
    </row>
    <row r="14" spans="1:10" x14ac:dyDescent="0.25">
      <c r="A14" s="1" t="s">
        <v>32</v>
      </c>
      <c r="B14" s="1" t="s">
        <v>33</v>
      </c>
      <c r="C14" s="1" t="s">
        <v>11</v>
      </c>
      <c r="D14" s="1" t="s">
        <v>34</v>
      </c>
      <c r="E14">
        <v>393622</v>
      </c>
      <c r="F14" s="2">
        <v>46063</v>
      </c>
      <c r="G14" s="2">
        <v>46093</v>
      </c>
      <c r="H14" s="1" t="s">
        <v>35</v>
      </c>
      <c r="I14" s="1" t="s">
        <v>13</v>
      </c>
      <c r="J14" s="3">
        <f ca="1">+TODAY()-cartera02[[#This Row],[fecha]]</f>
        <v>37</v>
      </c>
    </row>
    <row r="15" spans="1:10" x14ac:dyDescent="0.25">
      <c r="A15" s="1" t="s">
        <v>32</v>
      </c>
      <c r="B15" s="1" t="s">
        <v>33</v>
      </c>
      <c r="C15" s="1" t="s">
        <v>11</v>
      </c>
      <c r="D15" s="1" t="s">
        <v>36</v>
      </c>
      <c r="E15">
        <v>1527588</v>
      </c>
      <c r="F15" s="2">
        <v>46064</v>
      </c>
      <c r="G15" s="2">
        <v>46094</v>
      </c>
      <c r="H15" s="1" t="s">
        <v>35</v>
      </c>
      <c r="I15" s="1" t="s">
        <v>13</v>
      </c>
      <c r="J15" s="3">
        <f ca="1">+TODAY()-cartera02[[#This Row],[fecha]]</f>
        <v>36</v>
      </c>
    </row>
    <row r="16" spans="1:10" x14ac:dyDescent="0.25">
      <c r="A16" s="1" t="s">
        <v>32</v>
      </c>
      <c r="B16" s="1" t="s">
        <v>33</v>
      </c>
      <c r="C16" s="1" t="s">
        <v>11</v>
      </c>
      <c r="D16" s="1" t="s">
        <v>37</v>
      </c>
      <c r="E16">
        <v>1866005</v>
      </c>
      <c r="F16" s="2">
        <v>46067</v>
      </c>
      <c r="G16" s="2">
        <v>46097</v>
      </c>
      <c r="H16" s="1" t="s">
        <v>35</v>
      </c>
      <c r="I16" s="1" t="s">
        <v>13</v>
      </c>
      <c r="J16" s="3">
        <f ca="1">+TODAY()-cartera02[[#This Row],[fecha]]</f>
        <v>33</v>
      </c>
    </row>
    <row r="17" spans="1:10" x14ac:dyDescent="0.25">
      <c r="A17" s="1" t="s">
        <v>32</v>
      </c>
      <c r="B17" s="1" t="s">
        <v>33</v>
      </c>
      <c r="C17" s="1" t="s">
        <v>11</v>
      </c>
      <c r="D17" s="1" t="s">
        <v>38</v>
      </c>
      <c r="E17">
        <v>470440</v>
      </c>
      <c r="F17" s="2">
        <v>46069</v>
      </c>
      <c r="G17" s="2">
        <v>46099</v>
      </c>
      <c r="H17" s="1" t="s">
        <v>35</v>
      </c>
      <c r="I17" s="1" t="s">
        <v>13</v>
      </c>
      <c r="J17" s="3">
        <f ca="1">+TODAY()-cartera02[[#This Row],[fecha]]</f>
        <v>31</v>
      </c>
    </row>
    <row r="18" spans="1:10" x14ac:dyDescent="0.25">
      <c r="A18" s="1" t="s">
        <v>32</v>
      </c>
      <c r="B18" s="1" t="s">
        <v>33</v>
      </c>
      <c r="C18" s="1" t="s">
        <v>11</v>
      </c>
      <c r="D18" s="1" t="s">
        <v>39</v>
      </c>
      <c r="E18">
        <v>145521</v>
      </c>
      <c r="F18" s="2">
        <v>46077</v>
      </c>
      <c r="G18" s="2">
        <v>46107</v>
      </c>
      <c r="H18" s="1" t="s">
        <v>35</v>
      </c>
      <c r="I18" s="1" t="s">
        <v>13</v>
      </c>
      <c r="J18" s="3">
        <f ca="1">+TODAY()-cartera02[[#This Row],[fecha]]</f>
        <v>23</v>
      </c>
    </row>
    <row r="19" spans="1:10" x14ac:dyDescent="0.25">
      <c r="A19" s="1" t="s">
        <v>32</v>
      </c>
      <c r="B19" s="1" t="s">
        <v>33</v>
      </c>
      <c r="C19" s="1" t="s">
        <v>11</v>
      </c>
      <c r="D19" s="1" t="s">
        <v>40</v>
      </c>
      <c r="E19">
        <v>5599139</v>
      </c>
      <c r="F19" s="2">
        <v>46077</v>
      </c>
      <c r="G19" s="2">
        <v>46107</v>
      </c>
      <c r="H19" s="1" t="s">
        <v>35</v>
      </c>
      <c r="I19" s="1" t="s">
        <v>13</v>
      </c>
      <c r="J19" s="3">
        <f ca="1">+TODAY()-cartera02[[#This Row],[fecha]]</f>
        <v>23</v>
      </c>
    </row>
    <row r="20" spans="1:10" x14ac:dyDescent="0.25">
      <c r="A20" s="1" t="s">
        <v>32</v>
      </c>
      <c r="B20" s="1" t="s">
        <v>33</v>
      </c>
      <c r="C20" s="1" t="s">
        <v>11</v>
      </c>
      <c r="D20" s="1" t="s">
        <v>41</v>
      </c>
      <c r="E20">
        <v>2015892</v>
      </c>
      <c r="F20" s="2">
        <v>46084</v>
      </c>
      <c r="G20" s="2">
        <v>46114</v>
      </c>
      <c r="H20" s="1" t="s">
        <v>35</v>
      </c>
      <c r="I20" s="1" t="s">
        <v>13</v>
      </c>
      <c r="J20" s="3">
        <f ca="1">+TODAY()-cartera02[[#This Row],[fecha]]</f>
        <v>16</v>
      </c>
    </row>
    <row r="21" spans="1:10" x14ac:dyDescent="0.25">
      <c r="A21" s="1" t="s">
        <v>32</v>
      </c>
      <c r="B21" s="1" t="s">
        <v>33</v>
      </c>
      <c r="C21" s="1" t="s">
        <v>11</v>
      </c>
      <c r="D21" s="1" t="s">
        <v>42</v>
      </c>
      <c r="E21">
        <v>4091138</v>
      </c>
      <c r="F21" s="2">
        <v>46084</v>
      </c>
      <c r="G21" s="2">
        <v>46114</v>
      </c>
      <c r="H21" s="1" t="s">
        <v>35</v>
      </c>
      <c r="I21" s="1" t="s">
        <v>13</v>
      </c>
      <c r="J21" s="3">
        <f ca="1">+TODAY()-cartera02[[#This Row],[fecha]]</f>
        <v>16</v>
      </c>
    </row>
    <row r="22" spans="1:10" x14ac:dyDescent="0.25">
      <c r="A22" s="1" t="s">
        <v>32</v>
      </c>
      <c r="B22" s="1" t="s">
        <v>33</v>
      </c>
      <c r="C22" s="1" t="s">
        <v>11</v>
      </c>
      <c r="D22" s="1" t="s">
        <v>43</v>
      </c>
      <c r="E22">
        <v>824515</v>
      </c>
      <c r="F22" s="2">
        <v>46084</v>
      </c>
      <c r="G22" s="2">
        <v>46114</v>
      </c>
      <c r="H22" s="1" t="s">
        <v>35</v>
      </c>
      <c r="I22" s="1" t="s">
        <v>13</v>
      </c>
      <c r="J22" s="3">
        <f ca="1">+TODAY()-cartera02[[#This Row],[fecha]]</f>
        <v>16</v>
      </c>
    </row>
    <row r="23" spans="1:10" x14ac:dyDescent="0.25">
      <c r="A23" s="1" t="s">
        <v>32</v>
      </c>
      <c r="B23" s="1" t="s">
        <v>33</v>
      </c>
      <c r="C23" s="1" t="s">
        <v>11</v>
      </c>
      <c r="D23" s="1" t="s">
        <v>44</v>
      </c>
      <c r="E23">
        <v>2120000</v>
      </c>
      <c r="F23" s="2">
        <v>46087</v>
      </c>
      <c r="G23" s="2">
        <v>46117</v>
      </c>
      <c r="H23" s="1" t="s">
        <v>35</v>
      </c>
      <c r="I23" s="1" t="s">
        <v>13</v>
      </c>
      <c r="J23" s="3">
        <f ca="1">+TODAY()-cartera02[[#This Row],[fecha]]</f>
        <v>13</v>
      </c>
    </row>
    <row r="24" spans="1:10" x14ac:dyDescent="0.25">
      <c r="A24" s="1" t="s">
        <v>32</v>
      </c>
      <c r="B24" s="1" t="s">
        <v>33</v>
      </c>
      <c r="C24" s="1" t="s">
        <v>11</v>
      </c>
      <c r="D24" s="1" t="s">
        <v>45</v>
      </c>
      <c r="E24">
        <v>249652</v>
      </c>
      <c r="F24" s="2">
        <v>46087</v>
      </c>
      <c r="G24" s="2">
        <v>46117</v>
      </c>
      <c r="H24" s="1" t="s">
        <v>35</v>
      </c>
      <c r="I24" s="1" t="s">
        <v>13</v>
      </c>
      <c r="J24" s="3">
        <f ca="1">+TODAY()-cartera02[[#This Row],[fecha]]</f>
        <v>13</v>
      </c>
    </row>
    <row r="25" spans="1:10" x14ac:dyDescent="0.25">
      <c r="A25" s="1" t="s">
        <v>32</v>
      </c>
      <c r="B25" s="1" t="s">
        <v>33</v>
      </c>
      <c r="C25" s="1" t="s">
        <v>11</v>
      </c>
      <c r="D25" s="1" t="s">
        <v>46</v>
      </c>
      <c r="E25">
        <v>4122433</v>
      </c>
      <c r="F25" s="2">
        <v>46087</v>
      </c>
      <c r="G25" s="2">
        <v>46117</v>
      </c>
      <c r="H25" s="1" t="s">
        <v>35</v>
      </c>
      <c r="I25" s="1" t="s">
        <v>13</v>
      </c>
      <c r="J25" s="3">
        <f ca="1">+TODAY()-cartera02[[#This Row],[fecha]]</f>
        <v>13</v>
      </c>
    </row>
    <row r="26" spans="1:10" x14ac:dyDescent="0.25">
      <c r="A26" s="1" t="s">
        <v>32</v>
      </c>
      <c r="B26" s="1" t="s">
        <v>33</v>
      </c>
      <c r="C26" s="1" t="s">
        <v>11</v>
      </c>
      <c r="D26" s="1" t="s">
        <v>47</v>
      </c>
      <c r="E26">
        <v>528495</v>
      </c>
      <c r="F26" s="2">
        <v>46091</v>
      </c>
      <c r="G26" s="2">
        <v>46121</v>
      </c>
      <c r="H26" s="1" t="s">
        <v>35</v>
      </c>
      <c r="I26" s="1" t="s">
        <v>13</v>
      </c>
      <c r="J26" s="3">
        <f ca="1">+TODAY()-cartera02[[#This Row],[fecha]]</f>
        <v>9</v>
      </c>
    </row>
    <row r="27" spans="1:10" x14ac:dyDescent="0.25">
      <c r="A27" s="1" t="s">
        <v>32</v>
      </c>
      <c r="B27" s="1" t="s">
        <v>33</v>
      </c>
      <c r="C27" s="1" t="s">
        <v>11</v>
      </c>
      <c r="D27" s="1" t="s">
        <v>48</v>
      </c>
      <c r="E27">
        <v>980239</v>
      </c>
      <c r="F27" s="2">
        <v>46095</v>
      </c>
      <c r="G27" s="2">
        <v>46125</v>
      </c>
      <c r="H27" s="1" t="s">
        <v>35</v>
      </c>
      <c r="I27" s="1" t="s">
        <v>13</v>
      </c>
      <c r="J27" s="3">
        <f ca="1">+TODAY()-cartera02[[#This Row],[fecha]]</f>
        <v>5</v>
      </c>
    </row>
    <row r="28" spans="1:10" x14ac:dyDescent="0.25">
      <c r="A28" s="1" t="s">
        <v>32</v>
      </c>
      <c r="B28" s="1" t="s">
        <v>33</v>
      </c>
      <c r="C28" s="1" t="s">
        <v>11</v>
      </c>
      <c r="D28" s="1" t="s">
        <v>49</v>
      </c>
      <c r="E28">
        <v>2120000</v>
      </c>
      <c r="F28" s="2">
        <v>46097</v>
      </c>
      <c r="G28" s="2">
        <v>46127</v>
      </c>
      <c r="H28" s="1" t="s">
        <v>35</v>
      </c>
      <c r="I28" s="1" t="s">
        <v>13</v>
      </c>
      <c r="J28" s="3">
        <f ca="1">+TODAY()-cartera02[[#This Row],[fecha]]</f>
        <v>3</v>
      </c>
    </row>
    <row r="29" spans="1:10" x14ac:dyDescent="0.25">
      <c r="A29" s="1" t="s">
        <v>32</v>
      </c>
      <c r="B29" s="1" t="s">
        <v>33</v>
      </c>
      <c r="C29" s="1" t="s">
        <v>11</v>
      </c>
      <c r="D29" s="1" t="s">
        <v>50</v>
      </c>
      <c r="E29">
        <v>816245</v>
      </c>
      <c r="F29" s="2">
        <v>46097</v>
      </c>
      <c r="G29" s="2">
        <v>46127</v>
      </c>
      <c r="H29" s="1" t="s">
        <v>35</v>
      </c>
      <c r="I29" s="1" t="s">
        <v>13</v>
      </c>
      <c r="J29" s="3">
        <f ca="1">+TODAY()-cartera02[[#This Row],[fecha]]</f>
        <v>3</v>
      </c>
    </row>
    <row r="30" spans="1:10" x14ac:dyDescent="0.25">
      <c r="A30" s="1" t="s">
        <v>51</v>
      </c>
      <c r="B30" s="1" t="s">
        <v>52</v>
      </c>
      <c r="C30" s="1" t="s">
        <v>11</v>
      </c>
      <c r="D30" s="1" t="s">
        <v>53</v>
      </c>
      <c r="E30">
        <v>489761</v>
      </c>
      <c r="F30" s="2">
        <v>46070</v>
      </c>
      <c r="G30" s="2">
        <v>46100</v>
      </c>
      <c r="H30" s="1" t="s">
        <v>54</v>
      </c>
      <c r="I30" s="1" t="s">
        <v>13</v>
      </c>
      <c r="J30" s="3">
        <f ca="1">+TODAY()-cartera02[[#This Row],[fecha]]</f>
        <v>30</v>
      </c>
    </row>
    <row r="31" spans="1:10" x14ac:dyDescent="0.25">
      <c r="A31" s="1" t="s">
        <v>51</v>
      </c>
      <c r="B31" s="1" t="s">
        <v>52</v>
      </c>
      <c r="C31" s="1" t="s">
        <v>11</v>
      </c>
      <c r="D31" s="1" t="s">
        <v>55</v>
      </c>
      <c r="E31">
        <v>1395596</v>
      </c>
      <c r="F31" s="2">
        <v>46071</v>
      </c>
      <c r="G31" s="2">
        <v>46101</v>
      </c>
      <c r="H31" s="1" t="s">
        <v>54</v>
      </c>
      <c r="I31" s="1" t="s">
        <v>13</v>
      </c>
      <c r="J31" s="3">
        <f ca="1">+TODAY()-cartera02[[#This Row],[fecha]]</f>
        <v>29</v>
      </c>
    </row>
    <row r="32" spans="1:10" x14ac:dyDescent="0.25">
      <c r="A32" s="1" t="s">
        <v>51</v>
      </c>
      <c r="B32" s="1" t="s">
        <v>52</v>
      </c>
      <c r="C32" s="1" t="s">
        <v>11</v>
      </c>
      <c r="D32" s="1" t="s">
        <v>56</v>
      </c>
      <c r="E32">
        <v>463903</v>
      </c>
      <c r="F32" s="2">
        <v>46078</v>
      </c>
      <c r="G32" s="2">
        <v>46108</v>
      </c>
      <c r="H32" s="1" t="s">
        <v>54</v>
      </c>
      <c r="I32" s="1" t="s">
        <v>13</v>
      </c>
      <c r="J32" s="3">
        <f ca="1">+TODAY()-cartera02[[#This Row],[fecha]]</f>
        <v>22</v>
      </c>
    </row>
    <row r="33" spans="1:10" x14ac:dyDescent="0.25">
      <c r="A33" s="1" t="s">
        <v>51</v>
      </c>
      <c r="B33" s="1" t="s">
        <v>52</v>
      </c>
      <c r="C33" s="1" t="s">
        <v>11</v>
      </c>
      <c r="D33" s="1" t="s">
        <v>57</v>
      </c>
      <c r="E33">
        <v>423597</v>
      </c>
      <c r="F33" s="2">
        <v>46085</v>
      </c>
      <c r="G33" s="2">
        <v>46115</v>
      </c>
      <c r="H33" s="1" t="s">
        <v>54</v>
      </c>
      <c r="I33" s="1" t="s">
        <v>13</v>
      </c>
      <c r="J33" s="3">
        <f ca="1">+TODAY()-cartera02[[#This Row],[fecha]]</f>
        <v>15</v>
      </c>
    </row>
    <row r="34" spans="1:10" x14ac:dyDescent="0.25">
      <c r="A34" s="1" t="s">
        <v>51</v>
      </c>
      <c r="B34" s="1" t="s">
        <v>52</v>
      </c>
      <c r="C34" s="1" t="s">
        <v>11</v>
      </c>
      <c r="D34" s="1" t="s">
        <v>58</v>
      </c>
      <c r="E34">
        <v>4200000</v>
      </c>
      <c r="F34" s="2">
        <v>46094</v>
      </c>
      <c r="G34" s="2">
        <v>46104</v>
      </c>
      <c r="H34" s="1" t="s">
        <v>54</v>
      </c>
      <c r="I34" s="1" t="s">
        <v>13</v>
      </c>
      <c r="J34" s="3">
        <f ca="1">+TODAY()-cartera02[[#This Row],[fecha]]</f>
        <v>6</v>
      </c>
    </row>
    <row r="35" spans="1:10" x14ac:dyDescent="0.25">
      <c r="A35" s="1" t="s">
        <v>59</v>
      </c>
      <c r="B35" s="1" t="s">
        <v>60</v>
      </c>
      <c r="C35" s="1" t="s">
        <v>61</v>
      </c>
      <c r="D35" s="1" t="s">
        <v>62</v>
      </c>
      <c r="E35">
        <v>767980</v>
      </c>
      <c r="F35" s="2">
        <v>46084</v>
      </c>
      <c r="G35" s="2">
        <v>46114</v>
      </c>
      <c r="H35" s="1" t="s">
        <v>63</v>
      </c>
      <c r="I35" s="1" t="s">
        <v>13</v>
      </c>
      <c r="J35" s="3">
        <f ca="1">+TODAY()-cartera02[[#This Row],[fecha]]</f>
        <v>16</v>
      </c>
    </row>
    <row r="36" spans="1:10" x14ac:dyDescent="0.25">
      <c r="A36" s="1" t="s">
        <v>59</v>
      </c>
      <c r="B36" s="1" t="s">
        <v>60</v>
      </c>
      <c r="C36" s="1" t="s">
        <v>61</v>
      </c>
      <c r="D36" s="1" t="s">
        <v>64</v>
      </c>
      <c r="E36">
        <v>4728684</v>
      </c>
      <c r="F36" s="2">
        <v>46084</v>
      </c>
      <c r="G36" s="2">
        <v>46114</v>
      </c>
      <c r="H36" s="1" t="s">
        <v>63</v>
      </c>
      <c r="I36" s="1" t="s">
        <v>13</v>
      </c>
      <c r="J36" s="3">
        <f ca="1">+TODAY()-cartera02[[#This Row],[fecha]]</f>
        <v>16</v>
      </c>
    </row>
    <row r="37" spans="1:10" x14ac:dyDescent="0.25">
      <c r="A37" s="1" t="s">
        <v>59</v>
      </c>
      <c r="B37" s="1" t="s">
        <v>60</v>
      </c>
      <c r="C37" s="1" t="s">
        <v>61</v>
      </c>
      <c r="D37" s="1" t="s">
        <v>65</v>
      </c>
      <c r="E37">
        <v>482396</v>
      </c>
      <c r="F37" s="2">
        <v>46092</v>
      </c>
      <c r="G37" s="2">
        <v>46122</v>
      </c>
      <c r="H37" s="1" t="s">
        <v>63</v>
      </c>
      <c r="I37" s="1" t="s">
        <v>13</v>
      </c>
      <c r="J37" s="3">
        <f ca="1">+TODAY()-cartera02[[#This Row],[fecha]]</f>
        <v>8</v>
      </c>
    </row>
    <row r="38" spans="1:10" x14ac:dyDescent="0.25">
      <c r="A38" s="1" t="s">
        <v>59</v>
      </c>
      <c r="B38" s="1" t="s">
        <v>60</v>
      </c>
      <c r="C38" s="1" t="s">
        <v>61</v>
      </c>
      <c r="D38" s="1" t="s">
        <v>66</v>
      </c>
      <c r="E38">
        <v>1912116</v>
      </c>
      <c r="F38" s="2">
        <v>46092</v>
      </c>
      <c r="G38" s="2">
        <v>46122</v>
      </c>
      <c r="H38" s="1" t="s">
        <v>63</v>
      </c>
      <c r="I38" s="1" t="s">
        <v>13</v>
      </c>
      <c r="J38" s="3">
        <f ca="1">+TODAY()-cartera02[[#This Row],[fecha]]</f>
        <v>8</v>
      </c>
    </row>
    <row r="39" spans="1:10" x14ac:dyDescent="0.25">
      <c r="A39" s="1" t="s">
        <v>59</v>
      </c>
      <c r="B39" s="1" t="s">
        <v>60</v>
      </c>
      <c r="C39" s="1" t="s">
        <v>61</v>
      </c>
      <c r="D39" s="1" t="s">
        <v>67</v>
      </c>
      <c r="E39">
        <v>5757475</v>
      </c>
      <c r="F39" s="2">
        <v>46092</v>
      </c>
      <c r="G39" s="2">
        <v>46122</v>
      </c>
      <c r="H39" s="1" t="s">
        <v>63</v>
      </c>
      <c r="I39" s="1" t="s">
        <v>13</v>
      </c>
      <c r="J39" s="3">
        <f ca="1">+TODAY()-cartera02[[#This Row],[fecha]]</f>
        <v>8</v>
      </c>
    </row>
    <row r="40" spans="1:10" x14ac:dyDescent="0.25">
      <c r="A40" s="1" t="s">
        <v>59</v>
      </c>
      <c r="B40" s="1" t="s">
        <v>60</v>
      </c>
      <c r="C40" s="1" t="s">
        <v>61</v>
      </c>
      <c r="D40" s="1" t="s">
        <v>68</v>
      </c>
      <c r="E40">
        <v>1878388</v>
      </c>
      <c r="F40" s="2">
        <v>46097</v>
      </c>
      <c r="G40" s="2">
        <v>46127</v>
      </c>
      <c r="H40" s="1" t="s">
        <v>63</v>
      </c>
      <c r="I40" s="1" t="s">
        <v>13</v>
      </c>
      <c r="J40" s="3">
        <f ca="1">+TODAY()-cartera02[[#This Row],[fecha]]</f>
        <v>3</v>
      </c>
    </row>
    <row r="41" spans="1:10" x14ac:dyDescent="0.25">
      <c r="A41" s="1" t="s">
        <v>59</v>
      </c>
      <c r="B41" s="1" t="s">
        <v>60</v>
      </c>
      <c r="C41" s="1" t="s">
        <v>61</v>
      </c>
      <c r="D41" s="1" t="s">
        <v>69</v>
      </c>
      <c r="E41">
        <v>1</v>
      </c>
      <c r="F41" s="2">
        <v>46097</v>
      </c>
      <c r="G41" s="2">
        <v>46098</v>
      </c>
      <c r="H41" s="1" t="s">
        <v>63</v>
      </c>
      <c r="I41" s="1" t="s">
        <v>13</v>
      </c>
      <c r="J41" s="3">
        <f ca="1">+TODAY()-cartera02[[#This Row],[fecha]]</f>
        <v>3</v>
      </c>
    </row>
    <row r="42" spans="1:10" x14ac:dyDescent="0.25">
      <c r="A42" s="1" t="s">
        <v>70</v>
      </c>
      <c r="B42" s="1" t="s">
        <v>71</v>
      </c>
      <c r="C42" s="1" t="s">
        <v>11</v>
      </c>
      <c r="D42" s="1" t="s">
        <v>72</v>
      </c>
      <c r="E42">
        <v>547000</v>
      </c>
      <c r="F42" s="2">
        <v>46097</v>
      </c>
      <c r="G42" s="2">
        <v>46107</v>
      </c>
      <c r="H42" s="1" t="s">
        <v>73</v>
      </c>
      <c r="I42" s="1" t="s">
        <v>13</v>
      </c>
      <c r="J42" s="3">
        <f ca="1">+TODAY()-cartera02[[#This Row],[fecha]]</f>
        <v>3</v>
      </c>
    </row>
    <row r="43" spans="1:10" x14ac:dyDescent="0.25">
      <c r="A43" s="1" t="s">
        <v>70</v>
      </c>
      <c r="B43" s="1" t="s">
        <v>71</v>
      </c>
      <c r="C43" s="1" t="s">
        <v>11</v>
      </c>
      <c r="D43" s="1" t="s">
        <v>74</v>
      </c>
      <c r="E43">
        <v>226750</v>
      </c>
      <c r="F43" s="2">
        <v>46098</v>
      </c>
      <c r="G43" s="2">
        <v>46128</v>
      </c>
      <c r="H43" s="1" t="s">
        <v>73</v>
      </c>
      <c r="I43" s="1" t="s">
        <v>13</v>
      </c>
      <c r="J43" s="3">
        <f ca="1">+TODAY()-cartera02[[#This Row],[fecha]]</f>
        <v>2</v>
      </c>
    </row>
    <row r="44" spans="1:10" x14ac:dyDescent="0.25">
      <c r="A44" s="1" t="s">
        <v>70</v>
      </c>
      <c r="B44" s="1" t="s">
        <v>71</v>
      </c>
      <c r="C44" s="1" t="s">
        <v>11</v>
      </c>
      <c r="D44" s="1" t="s">
        <v>75</v>
      </c>
      <c r="E44">
        <v>121499</v>
      </c>
      <c r="F44" s="2">
        <v>46099</v>
      </c>
      <c r="G44" s="2">
        <v>46129</v>
      </c>
      <c r="H44" s="1" t="s">
        <v>73</v>
      </c>
      <c r="I44" s="1" t="s">
        <v>13</v>
      </c>
      <c r="J44" s="3">
        <f ca="1">+TODAY()-cartera02[[#This Row],[fecha]]</f>
        <v>1</v>
      </c>
    </row>
    <row r="45" spans="1:10" x14ac:dyDescent="0.25">
      <c r="A45" s="1" t="s">
        <v>70</v>
      </c>
      <c r="B45" s="1" t="s">
        <v>71</v>
      </c>
      <c r="C45" s="1" t="s">
        <v>11</v>
      </c>
      <c r="D45" s="1" t="s">
        <v>76</v>
      </c>
      <c r="E45">
        <v>109500</v>
      </c>
      <c r="F45" s="2">
        <v>46099</v>
      </c>
      <c r="G45" s="2">
        <v>46129</v>
      </c>
      <c r="H45" s="1" t="s">
        <v>73</v>
      </c>
      <c r="I45" s="1" t="s">
        <v>13</v>
      </c>
      <c r="J45" s="3">
        <f ca="1">+TODAY()-cartera02[[#This Row],[fecha]]</f>
        <v>1</v>
      </c>
    </row>
    <row r="46" spans="1:10" x14ac:dyDescent="0.25">
      <c r="A46" s="1" t="s">
        <v>77</v>
      </c>
      <c r="B46" s="1" t="s">
        <v>78</v>
      </c>
      <c r="C46" s="1" t="s">
        <v>11</v>
      </c>
      <c r="D46" s="1" t="s">
        <v>79</v>
      </c>
      <c r="E46">
        <v>276005</v>
      </c>
      <c r="F46" s="2">
        <v>46077</v>
      </c>
      <c r="G46" s="2">
        <v>46107</v>
      </c>
      <c r="H46" s="1" t="s">
        <v>80</v>
      </c>
      <c r="I46" s="1" t="s">
        <v>13</v>
      </c>
      <c r="J46" s="3">
        <f ca="1">+TODAY()-cartera02[[#This Row],[fecha]]</f>
        <v>23</v>
      </c>
    </row>
    <row r="47" spans="1:10" x14ac:dyDescent="0.25">
      <c r="A47" s="1" t="s">
        <v>77</v>
      </c>
      <c r="B47" s="1" t="s">
        <v>78</v>
      </c>
      <c r="C47" s="1" t="s">
        <v>11</v>
      </c>
      <c r="D47" s="1" t="s">
        <v>81</v>
      </c>
      <c r="E47">
        <v>780004</v>
      </c>
      <c r="F47" s="2">
        <v>46077</v>
      </c>
      <c r="G47" s="2">
        <v>46107</v>
      </c>
      <c r="H47" s="1" t="s">
        <v>80</v>
      </c>
      <c r="I47" s="1" t="s">
        <v>13</v>
      </c>
      <c r="J47" s="3">
        <f ca="1">+TODAY()-cartera02[[#This Row],[fecha]]</f>
        <v>23</v>
      </c>
    </row>
    <row r="48" spans="1:10" x14ac:dyDescent="0.25">
      <c r="A48" s="1" t="s">
        <v>77</v>
      </c>
      <c r="B48" s="1" t="s">
        <v>78</v>
      </c>
      <c r="C48" s="1" t="s">
        <v>11</v>
      </c>
      <c r="D48" s="1" t="s">
        <v>82</v>
      </c>
      <c r="E48">
        <v>963327</v>
      </c>
      <c r="F48" s="2">
        <v>46078</v>
      </c>
      <c r="G48" s="2">
        <v>46108</v>
      </c>
      <c r="H48" s="1" t="s">
        <v>80</v>
      </c>
      <c r="I48" s="1" t="s">
        <v>13</v>
      </c>
      <c r="J48" s="3">
        <f ca="1">+TODAY()-cartera02[[#This Row],[fecha]]</f>
        <v>22</v>
      </c>
    </row>
    <row r="49" spans="1:10" x14ac:dyDescent="0.25">
      <c r="A49" s="1" t="s">
        <v>77</v>
      </c>
      <c r="B49" s="1" t="s">
        <v>78</v>
      </c>
      <c r="C49" s="1" t="s">
        <v>11</v>
      </c>
      <c r="D49" s="1" t="s">
        <v>83</v>
      </c>
      <c r="E49">
        <v>1029418</v>
      </c>
      <c r="F49" s="2">
        <v>46087</v>
      </c>
      <c r="G49" s="2">
        <v>46117</v>
      </c>
      <c r="H49" s="1" t="s">
        <v>80</v>
      </c>
      <c r="I49" s="1" t="s">
        <v>13</v>
      </c>
      <c r="J49" s="3">
        <f ca="1">+TODAY()-cartera02[[#This Row],[fecha]]</f>
        <v>13</v>
      </c>
    </row>
    <row r="50" spans="1:10" x14ac:dyDescent="0.25">
      <c r="A50" s="1" t="s">
        <v>77</v>
      </c>
      <c r="B50" s="1" t="s">
        <v>78</v>
      </c>
      <c r="C50" s="1" t="s">
        <v>11</v>
      </c>
      <c r="D50" s="1" t="s">
        <v>84</v>
      </c>
      <c r="E50">
        <v>651200</v>
      </c>
      <c r="F50" s="2">
        <v>46095</v>
      </c>
      <c r="G50" s="2">
        <v>46105</v>
      </c>
      <c r="H50" s="1" t="s">
        <v>80</v>
      </c>
      <c r="I50" s="1" t="s">
        <v>13</v>
      </c>
      <c r="J50" s="3">
        <f ca="1">+TODAY()-cartera02[[#This Row],[fecha]]</f>
        <v>5</v>
      </c>
    </row>
    <row r="51" spans="1:10" x14ac:dyDescent="0.25">
      <c r="A51" s="1" t="s">
        <v>77</v>
      </c>
      <c r="B51" s="1" t="s">
        <v>78</v>
      </c>
      <c r="C51" s="1" t="s">
        <v>11</v>
      </c>
      <c r="D51" s="1" t="s">
        <v>85</v>
      </c>
      <c r="E51">
        <v>4200000</v>
      </c>
      <c r="F51" s="2">
        <v>46095</v>
      </c>
      <c r="G51" s="2">
        <v>46105</v>
      </c>
      <c r="H51" s="1" t="s">
        <v>80</v>
      </c>
      <c r="I51" s="1" t="s">
        <v>13</v>
      </c>
      <c r="J51" s="3">
        <f ca="1">+TODAY()-cartera02[[#This Row],[fecha]]</f>
        <v>5</v>
      </c>
    </row>
    <row r="52" spans="1:10" x14ac:dyDescent="0.25">
      <c r="A52" s="1" t="s">
        <v>77</v>
      </c>
      <c r="B52" s="1" t="s">
        <v>78</v>
      </c>
      <c r="C52" s="1" t="s">
        <v>11</v>
      </c>
      <c r="D52" s="1" t="s">
        <v>86</v>
      </c>
      <c r="E52">
        <v>4200000</v>
      </c>
      <c r="F52" s="2">
        <v>46097</v>
      </c>
      <c r="G52" s="2">
        <v>46107</v>
      </c>
      <c r="H52" s="1" t="s">
        <v>80</v>
      </c>
      <c r="I52" s="1" t="s">
        <v>13</v>
      </c>
      <c r="J52" s="3">
        <f ca="1">+TODAY()-cartera02[[#This Row],[fecha]]</f>
        <v>3</v>
      </c>
    </row>
    <row r="53" spans="1:10" x14ac:dyDescent="0.25">
      <c r="A53" s="1" t="s">
        <v>77</v>
      </c>
      <c r="B53" s="1" t="s">
        <v>78</v>
      </c>
      <c r="C53" s="1" t="s">
        <v>11</v>
      </c>
      <c r="D53" s="1" t="s">
        <v>87</v>
      </c>
      <c r="E53">
        <v>4001705</v>
      </c>
      <c r="F53" s="2">
        <v>46100</v>
      </c>
      <c r="G53" s="2">
        <v>46130</v>
      </c>
      <c r="H53" s="1" t="s">
        <v>80</v>
      </c>
      <c r="I53" s="1" t="s">
        <v>13</v>
      </c>
      <c r="J53" s="3">
        <f ca="1">+TODAY()-cartera02[[#This Row],[fecha]]</f>
        <v>0</v>
      </c>
    </row>
    <row r="54" spans="1:10" x14ac:dyDescent="0.25">
      <c r="A54" s="1" t="s">
        <v>77</v>
      </c>
      <c r="B54" s="1" t="s">
        <v>78</v>
      </c>
      <c r="C54" s="1" t="s">
        <v>11</v>
      </c>
      <c r="D54" s="1" t="s">
        <v>88</v>
      </c>
      <c r="E54">
        <v>894395</v>
      </c>
      <c r="F54" s="2">
        <v>46100</v>
      </c>
      <c r="G54" s="2">
        <v>46130</v>
      </c>
      <c r="H54" s="1" t="s">
        <v>80</v>
      </c>
      <c r="I54" s="1" t="s">
        <v>13</v>
      </c>
      <c r="J54" s="3">
        <f ca="1">+TODAY()-cartera02[[#This Row],[fecha]]</f>
        <v>0</v>
      </c>
    </row>
    <row r="55" spans="1:10" x14ac:dyDescent="0.25">
      <c r="A55" s="1" t="s">
        <v>89</v>
      </c>
      <c r="B55" s="1" t="s">
        <v>90</v>
      </c>
      <c r="C55" s="1" t="s">
        <v>11</v>
      </c>
      <c r="D55" s="1" t="s">
        <v>91</v>
      </c>
      <c r="E55">
        <v>6768</v>
      </c>
      <c r="F55" s="2">
        <v>46091</v>
      </c>
      <c r="G55" s="2">
        <v>46092</v>
      </c>
      <c r="H55" s="1" t="s">
        <v>92</v>
      </c>
      <c r="I55" s="1" t="s">
        <v>13</v>
      </c>
      <c r="J55" s="3">
        <f ca="1">+TODAY()-cartera02[[#This Row],[fecha]]</f>
        <v>9</v>
      </c>
    </row>
    <row r="56" spans="1:10" x14ac:dyDescent="0.25">
      <c r="A56" s="1" t="s">
        <v>89</v>
      </c>
      <c r="B56" s="1" t="s">
        <v>90</v>
      </c>
      <c r="C56" s="1" t="s">
        <v>11</v>
      </c>
      <c r="D56" s="1" t="s">
        <v>93</v>
      </c>
      <c r="E56">
        <v>229900</v>
      </c>
      <c r="F56" s="2">
        <v>46100</v>
      </c>
      <c r="G56" s="2">
        <v>46101</v>
      </c>
      <c r="H56" s="1" t="s">
        <v>92</v>
      </c>
      <c r="I56" s="1" t="s">
        <v>13</v>
      </c>
      <c r="J56" s="3">
        <f ca="1">+TODAY()-cartera02[[#This Row],[fecha]]</f>
        <v>0</v>
      </c>
    </row>
    <row r="57" spans="1:10" x14ac:dyDescent="0.25">
      <c r="A57" s="1" t="s">
        <v>94</v>
      </c>
      <c r="B57" s="1" t="s">
        <v>95</v>
      </c>
      <c r="C57" s="1" t="s">
        <v>11</v>
      </c>
      <c r="D57" s="1" t="s">
        <v>96</v>
      </c>
      <c r="E57">
        <v>2120000</v>
      </c>
      <c r="F57" s="2">
        <v>46064</v>
      </c>
      <c r="G57" s="2">
        <v>46094</v>
      </c>
      <c r="H57" s="1" t="s">
        <v>97</v>
      </c>
      <c r="I57" s="1" t="s">
        <v>13</v>
      </c>
      <c r="J57" s="3">
        <f ca="1">+TODAY()-cartera02[[#This Row],[fecha]]</f>
        <v>36</v>
      </c>
    </row>
    <row r="58" spans="1:10" x14ac:dyDescent="0.25">
      <c r="A58" s="1" t="s">
        <v>94</v>
      </c>
      <c r="B58" s="1" t="s">
        <v>95</v>
      </c>
      <c r="C58" s="1" t="s">
        <v>11</v>
      </c>
      <c r="D58" s="1" t="s">
        <v>98</v>
      </c>
      <c r="E58">
        <v>2120000</v>
      </c>
      <c r="F58" s="2">
        <v>46085</v>
      </c>
      <c r="G58" s="2">
        <v>46115</v>
      </c>
      <c r="H58" s="1" t="s">
        <v>97</v>
      </c>
      <c r="I58" s="1" t="s">
        <v>13</v>
      </c>
      <c r="J58" s="3">
        <f ca="1">+TODAY()-cartera02[[#This Row],[fecha]]</f>
        <v>15</v>
      </c>
    </row>
    <row r="59" spans="1:10" x14ac:dyDescent="0.25">
      <c r="A59" s="1" t="s">
        <v>94</v>
      </c>
      <c r="B59" s="1" t="s">
        <v>95</v>
      </c>
      <c r="C59" s="1" t="s">
        <v>11</v>
      </c>
      <c r="D59" s="1" t="s">
        <v>99</v>
      </c>
      <c r="E59">
        <v>734998</v>
      </c>
      <c r="F59" s="2">
        <v>46085</v>
      </c>
      <c r="G59" s="2">
        <v>46115</v>
      </c>
      <c r="H59" s="1" t="s">
        <v>97</v>
      </c>
      <c r="I59" s="1" t="s">
        <v>13</v>
      </c>
      <c r="J59" s="3">
        <f ca="1">+TODAY()-cartera02[[#This Row],[fecha]]</f>
        <v>15</v>
      </c>
    </row>
    <row r="60" spans="1:10" x14ac:dyDescent="0.25">
      <c r="A60" s="1" t="s">
        <v>94</v>
      </c>
      <c r="B60" s="1" t="s">
        <v>95</v>
      </c>
      <c r="C60" s="1" t="s">
        <v>11</v>
      </c>
      <c r="D60" s="1" t="s">
        <v>100</v>
      </c>
      <c r="E60">
        <v>961200</v>
      </c>
      <c r="F60" s="2">
        <v>46091</v>
      </c>
      <c r="G60" s="2">
        <v>46121</v>
      </c>
      <c r="H60" s="1" t="s">
        <v>97</v>
      </c>
      <c r="I60" s="1" t="s">
        <v>13</v>
      </c>
      <c r="J60" s="3">
        <f ca="1">+TODAY()-cartera02[[#This Row],[fecha]]</f>
        <v>9</v>
      </c>
    </row>
    <row r="61" spans="1:10" x14ac:dyDescent="0.25">
      <c r="A61" s="1" t="s">
        <v>94</v>
      </c>
      <c r="B61" s="1" t="s">
        <v>95</v>
      </c>
      <c r="C61" s="1" t="s">
        <v>11</v>
      </c>
      <c r="D61" s="1" t="s">
        <v>101</v>
      </c>
      <c r="E61">
        <v>2120000</v>
      </c>
      <c r="F61" s="2">
        <v>46100</v>
      </c>
      <c r="G61" s="2">
        <v>46130</v>
      </c>
      <c r="H61" s="1" t="s">
        <v>97</v>
      </c>
      <c r="I61" s="1" t="s">
        <v>13</v>
      </c>
      <c r="J61" s="3">
        <f ca="1">+TODAY()-cartera02[[#This Row],[fecha]]</f>
        <v>0</v>
      </c>
    </row>
    <row r="62" spans="1:10" x14ac:dyDescent="0.25">
      <c r="A62" s="1" t="s">
        <v>94</v>
      </c>
      <c r="B62" s="1" t="s">
        <v>95</v>
      </c>
      <c r="C62" s="1" t="s">
        <v>11</v>
      </c>
      <c r="D62" s="1" t="s">
        <v>102</v>
      </c>
      <c r="E62">
        <v>110248</v>
      </c>
      <c r="F62" s="2">
        <v>46100</v>
      </c>
      <c r="G62" s="2">
        <v>46130</v>
      </c>
      <c r="H62" s="1" t="s">
        <v>97</v>
      </c>
      <c r="I62" s="1" t="s">
        <v>13</v>
      </c>
      <c r="J62" s="3">
        <f ca="1">+TODAY()-cartera02[[#This Row],[fecha]]</f>
        <v>0</v>
      </c>
    </row>
    <row r="63" spans="1:10" x14ac:dyDescent="0.25">
      <c r="A63" s="1" t="s">
        <v>103</v>
      </c>
      <c r="B63" s="1" t="s">
        <v>104</v>
      </c>
      <c r="C63" s="1" t="s">
        <v>11</v>
      </c>
      <c r="D63" s="1" t="s">
        <v>105</v>
      </c>
      <c r="E63">
        <v>57</v>
      </c>
      <c r="F63" s="2">
        <v>46064</v>
      </c>
      <c r="G63" s="2">
        <v>46094</v>
      </c>
      <c r="H63" s="1" t="s">
        <v>106</v>
      </c>
      <c r="I63" s="1" t="s">
        <v>13</v>
      </c>
      <c r="J63" s="3">
        <f ca="1">+TODAY()-cartera02[[#This Row],[fecha]]</f>
        <v>36</v>
      </c>
    </row>
    <row r="64" spans="1:10" x14ac:dyDescent="0.25">
      <c r="A64" s="1" t="s">
        <v>103</v>
      </c>
      <c r="B64" s="1" t="s">
        <v>104</v>
      </c>
      <c r="C64" s="1" t="s">
        <v>11</v>
      </c>
      <c r="D64" s="1" t="s">
        <v>107</v>
      </c>
      <c r="E64">
        <v>2896017</v>
      </c>
      <c r="F64" s="2">
        <v>46064</v>
      </c>
      <c r="G64" s="2">
        <v>46094</v>
      </c>
      <c r="H64" s="1" t="s">
        <v>106</v>
      </c>
      <c r="I64" s="1" t="s">
        <v>13</v>
      </c>
      <c r="J64" s="3">
        <f ca="1">+TODAY()-cartera02[[#This Row],[fecha]]</f>
        <v>36</v>
      </c>
    </row>
    <row r="65" spans="1:10" x14ac:dyDescent="0.25">
      <c r="A65" s="1" t="s">
        <v>103</v>
      </c>
      <c r="B65" s="1" t="s">
        <v>104</v>
      </c>
      <c r="C65" s="1" t="s">
        <v>11</v>
      </c>
      <c r="D65" s="1" t="s">
        <v>108</v>
      </c>
      <c r="E65">
        <v>633764</v>
      </c>
      <c r="F65" s="2">
        <v>46065</v>
      </c>
      <c r="G65" s="2">
        <v>46095</v>
      </c>
      <c r="H65" s="1" t="s">
        <v>106</v>
      </c>
      <c r="I65" s="1" t="s">
        <v>13</v>
      </c>
      <c r="J65" s="3">
        <f ca="1">+TODAY()-cartera02[[#This Row],[fecha]]</f>
        <v>35</v>
      </c>
    </row>
    <row r="66" spans="1:10" x14ac:dyDescent="0.25">
      <c r="A66" s="1" t="s">
        <v>103</v>
      </c>
      <c r="B66" s="1" t="s">
        <v>104</v>
      </c>
      <c r="C66" s="1" t="s">
        <v>11</v>
      </c>
      <c r="D66" s="1" t="s">
        <v>109</v>
      </c>
      <c r="E66">
        <v>2556036</v>
      </c>
      <c r="F66" s="2">
        <v>46065</v>
      </c>
      <c r="G66" s="2">
        <v>46095</v>
      </c>
      <c r="H66" s="1" t="s">
        <v>106</v>
      </c>
      <c r="I66" s="1" t="s">
        <v>13</v>
      </c>
      <c r="J66" s="3">
        <f ca="1">+TODAY()-cartera02[[#This Row],[fecha]]</f>
        <v>35</v>
      </c>
    </row>
    <row r="67" spans="1:10" x14ac:dyDescent="0.25">
      <c r="A67" s="1" t="s">
        <v>103</v>
      </c>
      <c r="B67" s="1" t="s">
        <v>104</v>
      </c>
      <c r="C67" s="1" t="s">
        <v>11</v>
      </c>
      <c r="D67" s="1" t="s">
        <v>110</v>
      </c>
      <c r="E67">
        <v>735000</v>
      </c>
      <c r="F67" s="2">
        <v>46067</v>
      </c>
      <c r="G67" s="2">
        <v>46097</v>
      </c>
      <c r="H67" s="1" t="s">
        <v>106</v>
      </c>
      <c r="I67" s="1" t="s">
        <v>13</v>
      </c>
      <c r="J67" s="3">
        <f ca="1">+TODAY()-cartera02[[#This Row],[fecha]]</f>
        <v>33</v>
      </c>
    </row>
    <row r="68" spans="1:10" x14ac:dyDescent="0.25">
      <c r="A68" s="1" t="s">
        <v>103</v>
      </c>
      <c r="B68" s="1" t="s">
        <v>104</v>
      </c>
      <c r="C68" s="1" t="s">
        <v>11</v>
      </c>
      <c r="D68" s="1" t="s">
        <v>111</v>
      </c>
      <c r="E68">
        <v>363597</v>
      </c>
      <c r="F68" s="2">
        <v>46069</v>
      </c>
      <c r="G68" s="2">
        <v>46099</v>
      </c>
      <c r="H68" s="1" t="s">
        <v>106</v>
      </c>
      <c r="I68" s="1" t="s">
        <v>13</v>
      </c>
      <c r="J68" s="3">
        <f ca="1">+TODAY()-cartera02[[#This Row],[fecha]]</f>
        <v>31</v>
      </c>
    </row>
    <row r="69" spans="1:10" x14ac:dyDescent="0.25">
      <c r="A69" s="1" t="s">
        <v>103</v>
      </c>
      <c r="B69" s="1" t="s">
        <v>104</v>
      </c>
      <c r="C69" s="1" t="s">
        <v>11</v>
      </c>
      <c r="D69" s="1" t="s">
        <v>112</v>
      </c>
      <c r="E69">
        <v>6408020</v>
      </c>
      <c r="F69" s="2">
        <v>46069</v>
      </c>
      <c r="G69" s="2">
        <v>46099</v>
      </c>
      <c r="H69" s="1" t="s">
        <v>106</v>
      </c>
      <c r="I69" s="1" t="s">
        <v>13</v>
      </c>
      <c r="J69" s="3">
        <f ca="1">+TODAY()-cartera02[[#This Row],[fecha]]</f>
        <v>31</v>
      </c>
    </row>
    <row r="70" spans="1:10" x14ac:dyDescent="0.25">
      <c r="A70" s="1" t="s">
        <v>103</v>
      </c>
      <c r="B70" s="1" t="s">
        <v>104</v>
      </c>
      <c r="C70" s="1" t="s">
        <v>11</v>
      </c>
      <c r="D70" s="1" t="s">
        <v>113</v>
      </c>
      <c r="E70">
        <v>4485723</v>
      </c>
      <c r="F70" s="2">
        <v>46073</v>
      </c>
      <c r="G70" s="2">
        <v>46103</v>
      </c>
      <c r="H70" s="1" t="s">
        <v>106</v>
      </c>
      <c r="I70" s="1" t="s">
        <v>13</v>
      </c>
      <c r="J70" s="3">
        <f ca="1">+TODAY()-cartera02[[#This Row],[fecha]]</f>
        <v>27</v>
      </c>
    </row>
    <row r="71" spans="1:10" x14ac:dyDescent="0.25">
      <c r="A71" s="1" t="s">
        <v>103</v>
      </c>
      <c r="B71" s="1" t="s">
        <v>104</v>
      </c>
      <c r="C71" s="1" t="s">
        <v>11</v>
      </c>
      <c r="D71" s="1" t="s">
        <v>114</v>
      </c>
      <c r="E71">
        <v>284400</v>
      </c>
      <c r="F71" s="2">
        <v>46074</v>
      </c>
      <c r="G71" s="2">
        <v>46104</v>
      </c>
      <c r="H71" s="1" t="s">
        <v>106</v>
      </c>
      <c r="I71" s="1" t="s">
        <v>13</v>
      </c>
      <c r="J71" s="3">
        <f ca="1">+TODAY()-cartera02[[#This Row],[fecha]]</f>
        <v>26</v>
      </c>
    </row>
    <row r="72" spans="1:10" x14ac:dyDescent="0.25">
      <c r="A72" s="1" t="s">
        <v>103</v>
      </c>
      <c r="B72" s="1" t="s">
        <v>104</v>
      </c>
      <c r="C72" s="1" t="s">
        <v>11</v>
      </c>
      <c r="D72" s="1" t="s">
        <v>115</v>
      </c>
      <c r="E72">
        <v>1383605</v>
      </c>
      <c r="F72" s="2">
        <v>46078</v>
      </c>
      <c r="G72" s="2">
        <v>46108</v>
      </c>
      <c r="H72" s="1" t="s">
        <v>106</v>
      </c>
      <c r="I72" s="1" t="s">
        <v>13</v>
      </c>
      <c r="J72" s="3">
        <f ca="1">+TODAY()-cartera02[[#This Row],[fecha]]</f>
        <v>22</v>
      </c>
    </row>
    <row r="73" spans="1:10" x14ac:dyDescent="0.25">
      <c r="A73" s="1" t="s">
        <v>103</v>
      </c>
      <c r="B73" s="1" t="s">
        <v>104</v>
      </c>
      <c r="C73" s="1" t="s">
        <v>11</v>
      </c>
      <c r="D73" s="1" t="s">
        <v>116</v>
      </c>
      <c r="E73">
        <v>2258400</v>
      </c>
      <c r="F73" s="2">
        <v>46081</v>
      </c>
      <c r="G73" s="2">
        <v>46111</v>
      </c>
      <c r="H73" s="1" t="s">
        <v>106</v>
      </c>
      <c r="I73" s="1" t="s">
        <v>13</v>
      </c>
      <c r="J73" s="3">
        <f ca="1">+TODAY()-cartera02[[#This Row],[fecha]]</f>
        <v>19</v>
      </c>
    </row>
    <row r="74" spans="1:10" x14ac:dyDescent="0.25">
      <c r="A74" s="1" t="s">
        <v>103</v>
      </c>
      <c r="B74" s="1" t="s">
        <v>104</v>
      </c>
      <c r="C74" s="1" t="s">
        <v>11</v>
      </c>
      <c r="D74" s="1" t="s">
        <v>117</v>
      </c>
      <c r="E74">
        <v>3585183</v>
      </c>
      <c r="F74" s="2">
        <v>46085</v>
      </c>
      <c r="G74" s="2">
        <v>46115</v>
      </c>
      <c r="H74" s="1" t="s">
        <v>106</v>
      </c>
      <c r="I74" s="1" t="s">
        <v>13</v>
      </c>
      <c r="J74" s="3">
        <f ca="1">+TODAY()-cartera02[[#This Row],[fecha]]</f>
        <v>15</v>
      </c>
    </row>
    <row r="75" spans="1:10" x14ac:dyDescent="0.25">
      <c r="A75" s="1" t="s">
        <v>103</v>
      </c>
      <c r="B75" s="1" t="s">
        <v>104</v>
      </c>
      <c r="C75" s="1" t="s">
        <v>11</v>
      </c>
      <c r="D75" s="1" t="s">
        <v>118</v>
      </c>
      <c r="E75">
        <v>1884032</v>
      </c>
      <c r="F75" s="2">
        <v>46087</v>
      </c>
      <c r="G75" s="2">
        <v>46117</v>
      </c>
      <c r="H75" s="1" t="s">
        <v>106</v>
      </c>
      <c r="I75" s="1" t="s">
        <v>13</v>
      </c>
      <c r="J75" s="3">
        <f ca="1">+TODAY()-cartera02[[#This Row],[fecha]]</f>
        <v>13</v>
      </c>
    </row>
    <row r="76" spans="1:10" x14ac:dyDescent="0.25">
      <c r="A76" s="1" t="s">
        <v>103</v>
      </c>
      <c r="B76" s="1" t="s">
        <v>104</v>
      </c>
      <c r="C76" s="1" t="s">
        <v>11</v>
      </c>
      <c r="D76" s="1" t="s">
        <v>119</v>
      </c>
      <c r="E76">
        <v>206999</v>
      </c>
      <c r="F76" s="2">
        <v>46087</v>
      </c>
      <c r="G76" s="2">
        <v>46117</v>
      </c>
      <c r="H76" s="1" t="s">
        <v>106</v>
      </c>
      <c r="I76" s="1" t="s">
        <v>13</v>
      </c>
      <c r="J76" s="3">
        <f ca="1">+TODAY()-cartera02[[#This Row],[fecha]]</f>
        <v>13</v>
      </c>
    </row>
    <row r="77" spans="1:10" x14ac:dyDescent="0.25">
      <c r="A77" s="1" t="s">
        <v>103</v>
      </c>
      <c r="B77" s="1" t="s">
        <v>104</v>
      </c>
      <c r="C77" s="1" t="s">
        <v>11</v>
      </c>
      <c r="D77" s="1" t="s">
        <v>120</v>
      </c>
      <c r="E77">
        <v>48</v>
      </c>
      <c r="F77" s="2">
        <v>46087</v>
      </c>
      <c r="G77" s="2">
        <v>46117</v>
      </c>
      <c r="H77" s="1" t="s">
        <v>106</v>
      </c>
      <c r="I77" s="1" t="s">
        <v>13</v>
      </c>
      <c r="J77" s="3">
        <f ca="1">+TODAY()-cartera02[[#This Row],[fecha]]</f>
        <v>13</v>
      </c>
    </row>
    <row r="78" spans="1:10" x14ac:dyDescent="0.25">
      <c r="A78" s="1" t="s">
        <v>103</v>
      </c>
      <c r="B78" s="1" t="s">
        <v>104</v>
      </c>
      <c r="C78" s="1" t="s">
        <v>11</v>
      </c>
      <c r="D78" s="1" t="s">
        <v>121</v>
      </c>
      <c r="E78">
        <v>3263837</v>
      </c>
      <c r="F78" s="2">
        <v>46087</v>
      </c>
      <c r="G78" s="2">
        <v>46117</v>
      </c>
      <c r="H78" s="1" t="s">
        <v>106</v>
      </c>
      <c r="I78" s="1" t="s">
        <v>13</v>
      </c>
      <c r="J78" s="3">
        <f ca="1">+TODAY()-cartera02[[#This Row],[fecha]]</f>
        <v>13</v>
      </c>
    </row>
    <row r="79" spans="1:10" x14ac:dyDescent="0.25">
      <c r="A79" s="1" t="s">
        <v>103</v>
      </c>
      <c r="B79" s="1" t="s">
        <v>104</v>
      </c>
      <c r="C79" s="1" t="s">
        <v>11</v>
      </c>
      <c r="D79" s="1" t="s">
        <v>122</v>
      </c>
      <c r="E79">
        <v>887930</v>
      </c>
      <c r="F79" s="2">
        <v>46090</v>
      </c>
      <c r="G79" s="2">
        <v>46120</v>
      </c>
      <c r="H79" s="1" t="s">
        <v>106</v>
      </c>
      <c r="I79" s="1" t="s">
        <v>13</v>
      </c>
      <c r="J79" s="3">
        <f ca="1">+TODAY()-cartera02[[#This Row],[fecha]]</f>
        <v>10</v>
      </c>
    </row>
    <row r="80" spans="1:10" x14ac:dyDescent="0.25">
      <c r="A80" s="1" t="s">
        <v>103</v>
      </c>
      <c r="B80" s="1" t="s">
        <v>104</v>
      </c>
      <c r="C80" s="1" t="s">
        <v>11</v>
      </c>
      <c r="D80" s="1" t="s">
        <v>123</v>
      </c>
      <c r="E80">
        <v>2100000</v>
      </c>
      <c r="F80" s="2">
        <v>46092</v>
      </c>
      <c r="G80" s="2">
        <v>46102</v>
      </c>
      <c r="H80" s="1" t="s">
        <v>106</v>
      </c>
      <c r="I80" s="1" t="s">
        <v>13</v>
      </c>
      <c r="J80" s="3">
        <f ca="1">+TODAY()-cartera02[[#This Row],[fecha]]</f>
        <v>8</v>
      </c>
    </row>
    <row r="81" spans="1:10" x14ac:dyDescent="0.25">
      <c r="A81" s="1" t="s">
        <v>103</v>
      </c>
      <c r="B81" s="1" t="s">
        <v>104</v>
      </c>
      <c r="C81" s="1" t="s">
        <v>11</v>
      </c>
      <c r="D81" s="1" t="s">
        <v>124</v>
      </c>
      <c r="E81">
        <v>630000</v>
      </c>
      <c r="F81" s="2">
        <v>46092</v>
      </c>
      <c r="G81" s="2">
        <v>46102</v>
      </c>
      <c r="H81" s="1" t="s">
        <v>106</v>
      </c>
      <c r="I81" s="1" t="s">
        <v>13</v>
      </c>
      <c r="J81" s="3">
        <f ca="1">+TODAY()-cartera02[[#This Row],[fecha]]</f>
        <v>8</v>
      </c>
    </row>
    <row r="82" spans="1:10" x14ac:dyDescent="0.25">
      <c r="A82" s="1" t="s">
        <v>103</v>
      </c>
      <c r="B82" s="1" t="s">
        <v>104</v>
      </c>
      <c r="C82" s="1" t="s">
        <v>11</v>
      </c>
      <c r="D82" s="1" t="s">
        <v>125</v>
      </c>
      <c r="E82">
        <v>630000</v>
      </c>
      <c r="F82" s="2">
        <v>46092</v>
      </c>
      <c r="G82" s="2">
        <v>46102</v>
      </c>
      <c r="H82" s="1" t="s">
        <v>106</v>
      </c>
      <c r="I82" s="1" t="s">
        <v>13</v>
      </c>
      <c r="J82" s="3">
        <f ca="1">+TODAY()-cartera02[[#This Row],[fecha]]</f>
        <v>8</v>
      </c>
    </row>
    <row r="83" spans="1:10" x14ac:dyDescent="0.25">
      <c r="A83" s="1" t="s">
        <v>103</v>
      </c>
      <c r="B83" s="1" t="s">
        <v>104</v>
      </c>
      <c r="C83" s="1" t="s">
        <v>11</v>
      </c>
      <c r="D83" s="1" t="s">
        <v>126</v>
      </c>
      <c r="E83">
        <v>517205</v>
      </c>
      <c r="F83" s="2">
        <v>46094</v>
      </c>
      <c r="G83" s="2">
        <v>46124</v>
      </c>
      <c r="H83" s="1" t="s">
        <v>106</v>
      </c>
      <c r="I83" s="1" t="s">
        <v>13</v>
      </c>
      <c r="J83" s="3">
        <f ca="1">+TODAY()-cartera02[[#This Row],[fecha]]</f>
        <v>6</v>
      </c>
    </row>
    <row r="84" spans="1:10" x14ac:dyDescent="0.25">
      <c r="A84" s="1" t="s">
        <v>103</v>
      </c>
      <c r="B84" s="1" t="s">
        <v>104</v>
      </c>
      <c r="C84" s="1" t="s">
        <v>11</v>
      </c>
      <c r="D84" s="1" t="s">
        <v>127</v>
      </c>
      <c r="E84">
        <v>6377217</v>
      </c>
      <c r="F84" s="2">
        <v>46094</v>
      </c>
      <c r="G84" s="2">
        <v>46124</v>
      </c>
      <c r="H84" s="1" t="s">
        <v>106</v>
      </c>
      <c r="I84" s="1" t="s">
        <v>13</v>
      </c>
      <c r="J84" s="3">
        <f ca="1">+TODAY()-cartera02[[#This Row],[fecha]]</f>
        <v>6</v>
      </c>
    </row>
    <row r="85" spans="1:10" x14ac:dyDescent="0.25">
      <c r="A85" s="1" t="s">
        <v>103</v>
      </c>
      <c r="B85" s="1" t="s">
        <v>104</v>
      </c>
      <c r="C85" s="1" t="s">
        <v>11</v>
      </c>
      <c r="D85" s="1" t="s">
        <v>128</v>
      </c>
      <c r="E85">
        <v>2100000</v>
      </c>
      <c r="F85" s="2">
        <v>46098</v>
      </c>
      <c r="G85" s="2">
        <v>46108</v>
      </c>
      <c r="H85" s="1" t="s">
        <v>106</v>
      </c>
      <c r="I85" s="1" t="s">
        <v>13</v>
      </c>
      <c r="J85" s="3">
        <f ca="1">+TODAY()-cartera02[[#This Row],[fecha]]</f>
        <v>2</v>
      </c>
    </row>
    <row r="86" spans="1:10" x14ac:dyDescent="0.25">
      <c r="A86" s="1" t="s">
        <v>103</v>
      </c>
      <c r="B86" s="1" t="s">
        <v>104</v>
      </c>
      <c r="C86" s="1" t="s">
        <v>11</v>
      </c>
      <c r="D86" s="1" t="s">
        <v>129</v>
      </c>
      <c r="E86">
        <v>657810</v>
      </c>
      <c r="F86" s="2">
        <v>46098</v>
      </c>
      <c r="G86" s="2">
        <v>46128</v>
      </c>
      <c r="H86" s="1" t="s">
        <v>106</v>
      </c>
      <c r="I86" s="1" t="s">
        <v>13</v>
      </c>
      <c r="J86" s="3">
        <f ca="1">+TODAY()-cartera02[[#This Row],[fecha]]</f>
        <v>2</v>
      </c>
    </row>
    <row r="87" spans="1:10" x14ac:dyDescent="0.25">
      <c r="A87" s="1" t="s">
        <v>103</v>
      </c>
      <c r="B87" s="1" t="s">
        <v>104</v>
      </c>
      <c r="C87" s="1" t="s">
        <v>11</v>
      </c>
      <c r="D87" s="1" t="s">
        <v>130</v>
      </c>
      <c r="E87">
        <v>3209018</v>
      </c>
      <c r="F87" s="2">
        <v>46098</v>
      </c>
      <c r="G87" s="2">
        <v>46128</v>
      </c>
      <c r="H87" s="1" t="s">
        <v>106</v>
      </c>
      <c r="I87" s="1" t="s">
        <v>13</v>
      </c>
      <c r="J87" s="3">
        <f ca="1">+TODAY()-cartera02[[#This Row],[fecha]]</f>
        <v>2</v>
      </c>
    </row>
    <row r="88" spans="1:10" x14ac:dyDescent="0.25">
      <c r="A88" s="1" t="s">
        <v>131</v>
      </c>
      <c r="B88" s="1" t="s">
        <v>132</v>
      </c>
      <c r="C88" s="1" t="s">
        <v>11</v>
      </c>
      <c r="D88" s="1" t="s">
        <v>133</v>
      </c>
      <c r="E88">
        <v>1379265</v>
      </c>
      <c r="F88" s="2">
        <v>46066</v>
      </c>
      <c r="G88" s="2">
        <v>46096</v>
      </c>
      <c r="H88" s="1" t="s">
        <v>134</v>
      </c>
      <c r="I88" s="1" t="s">
        <v>13</v>
      </c>
      <c r="J88" s="3">
        <f ca="1">+TODAY()-cartera02[[#This Row],[fecha]]</f>
        <v>34</v>
      </c>
    </row>
    <row r="89" spans="1:10" x14ac:dyDescent="0.25">
      <c r="A89" s="1" t="s">
        <v>131</v>
      </c>
      <c r="B89" s="1" t="s">
        <v>132</v>
      </c>
      <c r="C89" s="1" t="s">
        <v>11</v>
      </c>
      <c r="D89" s="1" t="s">
        <v>135</v>
      </c>
      <c r="E89">
        <v>748951</v>
      </c>
      <c r="F89" s="2">
        <v>46073</v>
      </c>
      <c r="G89" s="2">
        <v>46103</v>
      </c>
      <c r="H89" s="1" t="s">
        <v>134</v>
      </c>
      <c r="I89" s="1" t="s">
        <v>13</v>
      </c>
      <c r="J89" s="3">
        <f ca="1">+TODAY()-cartera02[[#This Row],[fecha]]</f>
        <v>27</v>
      </c>
    </row>
    <row r="90" spans="1:10" x14ac:dyDescent="0.25">
      <c r="A90" s="1" t="s">
        <v>131</v>
      </c>
      <c r="B90" s="1" t="s">
        <v>132</v>
      </c>
      <c r="C90" s="1" t="s">
        <v>11</v>
      </c>
      <c r="D90" s="1" t="s">
        <v>136</v>
      </c>
      <c r="E90">
        <v>1117507</v>
      </c>
      <c r="F90" s="2">
        <v>46073</v>
      </c>
      <c r="G90" s="2">
        <v>46103</v>
      </c>
      <c r="H90" s="1" t="s">
        <v>134</v>
      </c>
      <c r="I90" s="1" t="s">
        <v>13</v>
      </c>
      <c r="J90" s="3">
        <f ca="1">+TODAY()-cartera02[[#This Row],[fecha]]</f>
        <v>27</v>
      </c>
    </row>
    <row r="91" spans="1:10" x14ac:dyDescent="0.25">
      <c r="A91" s="1" t="s">
        <v>131</v>
      </c>
      <c r="B91" s="1" t="s">
        <v>132</v>
      </c>
      <c r="C91" s="1" t="s">
        <v>11</v>
      </c>
      <c r="D91" s="1" t="s">
        <v>137</v>
      </c>
      <c r="E91">
        <v>198602</v>
      </c>
      <c r="F91" s="2">
        <v>46086</v>
      </c>
      <c r="G91" s="2">
        <v>46116</v>
      </c>
      <c r="H91" s="1" t="s">
        <v>134</v>
      </c>
      <c r="I91" s="1" t="s">
        <v>13</v>
      </c>
      <c r="J91" s="3">
        <f ca="1">+TODAY()-cartera02[[#This Row],[fecha]]</f>
        <v>14</v>
      </c>
    </row>
    <row r="92" spans="1:10" x14ac:dyDescent="0.25">
      <c r="A92" s="1" t="s">
        <v>131</v>
      </c>
      <c r="B92" s="1" t="s">
        <v>132</v>
      </c>
      <c r="C92" s="1" t="s">
        <v>11</v>
      </c>
      <c r="D92" s="1" t="s">
        <v>138</v>
      </c>
      <c r="E92">
        <v>1370584</v>
      </c>
      <c r="F92" s="2">
        <v>46086</v>
      </c>
      <c r="G92" s="2">
        <v>46116</v>
      </c>
      <c r="H92" s="1" t="s">
        <v>134</v>
      </c>
      <c r="I92" s="1" t="s">
        <v>13</v>
      </c>
      <c r="J92" s="3">
        <f ca="1">+TODAY()-cartera02[[#This Row],[fecha]]</f>
        <v>14</v>
      </c>
    </row>
    <row r="93" spans="1:10" x14ac:dyDescent="0.25">
      <c r="A93" s="1" t="s">
        <v>131</v>
      </c>
      <c r="B93" s="1" t="s">
        <v>132</v>
      </c>
      <c r="C93" s="1" t="s">
        <v>11</v>
      </c>
      <c r="D93" s="1" t="s">
        <v>139</v>
      </c>
      <c r="E93">
        <v>414106</v>
      </c>
      <c r="F93" s="2">
        <v>46100</v>
      </c>
      <c r="G93" s="2">
        <v>46130</v>
      </c>
      <c r="H93" s="1" t="s">
        <v>134</v>
      </c>
      <c r="I93" s="1" t="s">
        <v>13</v>
      </c>
      <c r="J93" s="3">
        <f ca="1">+TODAY()-cartera02[[#This Row],[fecha]]</f>
        <v>0</v>
      </c>
    </row>
    <row r="94" spans="1:10" x14ac:dyDescent="0.25">
      <c r="A94" s="1" t="s">
        <v>131</v>
      </c>
      <c r="B94" s="1" t="s">
        <v>132</v>
      </c>
      <c r="C94" s="1" t="s">
        <v>11</v>
      </c>
      <c r="D94" s="1" t="s">
        <v>140</v>
      </c>
      <c r="E94">
        <v>1009799</v>
      </c>
      <c r="F94" s="2">
        <v>46100</v>
      </c>
      <c r="G94" s="2">
        <v>46130</v>
      </c>
      <c r="H94" s="1" t="s">
        <v>134</v>
      </c>
      <c r="I94" s="1" t="s">
        <v>13</v>
      </c>
      <c r="J94" s="3">
        <f ca="1">+TODAY()-cartera02[[#This Row],[fecha]]</f>
        <v>0</v>
      </c>
    </row>
    <row r="95" spans="1:10" x14ac:dyDescent="0.25">
      <c r="A95" s="1" t="s">
        <v>141</v>
      </c>
      <c r="B95" s="1" t="s">
        <v>142</v>
      </c>
      <c r="C95" s="1" t="s">
        <v>11</v>
      </c>
      <c r="D95" s="1" t="s">
        <v>143</v>
      </c>
      <c r="E95">
        <v>109001</v>
      </c>
      <c r="F95" s="2">
        <v>46071</v>
      </c>
      <c r="G95" s="2">
        <v>46101</v>
      </c>
      <c r="H95" s="1" t="s">
        <v>144</v>
      </c>
      <c r="I95" s="1" t="s">
        <v>13</v>
      </c>
      <c r="J95" s="3">
        <f ca="1">+TODAY()-cartera02[[#This Row],[fecha]]</f>
        <v>29</v>
      </c>
    </row>
    <row r="96" spans="1:10" x14ac:dyDescent="0.25">
      <c r="A96" s="1" t="s">
        <v>141</v>
      </c>
      <c r="B96" s="1" t="s">
        <v>142</v>
      </c>
      <c r="C96" s="1" t="s">
        <v>11</v>
      </c>
      <c r="D96" s="1" t="s">
        <v>145</v>
      </c>
      <c r="E96">
        <v>117000</v>
      </c>
      <c r="F96" s="2">
        <v>46085</v>
      </c>
      <c r="G96" s="2">
        <v>46115</v>
      </c>
      <c r="H96" s="1" t="s">
        <v>144</v>
      </c>
      <c r="I96" s="1" t="s">
        <v>13</v>
      </c>
      <c r="J96" s="3">
        <f ca="1">+TODAY()-cartera02[[#This Row],[fecha]]</f>
        <v>15</v>
      </c>
    </row>
    <row r="97" spans="1:10" x14ac:dyDescent="0.25">
      <c r="A97" s="1" t="s">
        <v>141</v>
      </c>
      <c r="B97" s="1" t="s">
        <v>142</v>
      </c>
      <c r="C97" s="1" t="s">
        <v>11</v>
      </c>
      <c r="D97" s="1" t="s">
        <v>146</v>
      </c>
      <c r="E97">
        <v>504000</v>
      </c>
      <c r="F97" s="2">
        <v>46093</v>
      </c>
      <c r="G97" s="2">
        <v>46103</v>
      </c>
      <c r="H97" s="1" t="s">
        <v>144</v>
      </c>
      <c r="I97" s="1" t="s">
        <v>13</v>
      </c>
      <c r="J97" s="3">
        <f ca="1">+TODAY()-cartera02[[#This Row],[fecha]]</f>
        <v>7</v>
      </c>
    </row>
    <row r="98" spans="1:10" x14ac:dyDescent="0.25">
      <c r="A98" s="1" t="s">
        <v>141</v>
      </c>
      <c r="B98" s="1" t="s">
        <v>142</v>
      </c>
      <c r="C98" s="1" t="s">
        <v>11</v>
      </c>
      <c r="D98" s="1" t="s">
        <v>147</v>
      </c>
      <c r="E98">
        <v>263975</v>
      </c>
      <c r="F98" s="2">
        <v>46093</v>
      </c>
      <c r="G98" s="2">
        <v>46123</v>
      </c>
      <c r="H98" s="1" t="s">
        <v>144</v>
      </c>
      <c r="I98" s="1" t="s">
        <v>13</v>
      </c>
      <c r="J98" s="3">
        <f ca="1">+TODAY()-cartera02[[#This Row],[fecha]]</f>
        <v>7</v>
      </c>
    </row>
    <row r="99" spans="1:10" x14ac:dyDescent="0.25">
      <c r="A99" s="1" t="s">
        <v>141</v>
      </c>
      <c r="B99" s="1" t="s">
        <v>142</v>
      </c>
      <c r="C99" s="1" t="s">
        <v>11</v>
      </c>
      <c r="D99" s="1" t="s">
        <v>148</v>
      </c>
      <c r="E99">
        <v>504000</v>
      </c>
      <c r="F99" s="2">
        <v>46099</v>
      </c>
      <c r="G99" s="2">
        <v>46109</v>
      </c>
      <c r="H99" s="1" t="s">
        <v>144</v>
      </c>
      <c r="I99" s="1" t="s">
        <v>13</v>
      </c>
      <c r="J99" s="3">
        <f ca="1">+TODAY()-cartera02[[#This Row],[fecha]]</f>
        <v>1</v>
      </c>
    </row>
    <row r="100" spans="1:10" x14ac:dyDescent="0.25">
      <c r="A100" s="1" t="s">
        <v>141</v>
      </c>
      <c r="B100" s="1" t="s">
        <v>142</v>
      </c>
      <c r="C100" s="1" t="s">
        <v>11</v>
      </c>
      <c r="D100" s="1" t="s">
        <v>149</v>
      </c>
      <c r="E100">
        <v>507002</v>
      </c>
      <c r="F100" s="2">
        <v>46100</v>
      </c>
      <c r="G100" s="2">
        <v>46130</v>
      </c>
      <c r="H100" s="1" t="s">
        <v>144</v>
      </c>
      <c r="I100" s="1" t="s">
        <v>13</v>
      </c>
      <c r="J100" s="3">
        <f ca="1">+TODAY()-cartera02[[#This Row],[fecha]]</f>
        <v>0</v>
      </c>
    </row>
    <row r="101" spans="1:10" x14ac:dyDescent="0.25">
      <c r="A101" s="1" t="s">
        <v>150</v>
      </c>
      <c r="B101" s="1" t="s">
        <v>151</v>
      </c>
      <c r="C101" s="1" t="s">
        <v>11</v>
      </c>
      <c r="D101" s="1" t="s">
        <v>152</v>
      </c>
      <c r="E101">
        <v>1295256</v>
      </c>
      <c r="F101" s="2">
        <v>46081</v>
      </c>
      <c r="G101" s="2">
        <v>46111</v>
      </c>
      <c r="H101" s="1" t="s">
        <v>153</v>
      </c>
      <c r="I101" s="1" t="s">
        <v>13</v>
      </c>
      <c r="J101" s="3">
        <f ca="1">+TODAY()-cartera02[[#This Row],[fecha]]</f>
        <v>19</v>
      </c>
    </row>
    <row r="102" spans="1:10" x14ac:dyDescent="0.25">
      <c r="A102" s="1" t="s">
        <v>150</v>
      </c>
      <c r="B102" s="1" t="s">
        <v>151</v>
      </c>
      <c r="C102" s="1" t="s">
        <v>11</v>
      </c>
      <c r="D102" s="1" t="s">
        <v>154</v>
      </c>
      <c r="E102">
        <v>1247188</v>
      </c>
      <c r="F102" s="2">
        <v>46081</v>
      </c>
      <c r="G102" s="2">
        <v>46111</v>
      </c>
      <c r="H102" s="1" t="s">
        <v>153</v>
      </c>
      <c r="I102" s="1" t="s">
        <v>13</v>
      </c>
      <c r="J102" s="3">
        <f ca="1">+TODAY()-cartera02[[#This Row],[fecha]]</f>
        <v>19</v>
      </c>
    </row>
    <row r="103" spans="1:10" x14ac:dyDescent="0.25">
      <c r="A103" s="1" t="s">
        <v>150</v>
      </c>
      <c r="B103" s="1" t="s">
        <v>151</v>
      </c>
      <c r="C103" s="1" t="s">
        <v>11</v>
      </c>
      <c r="D103" s="1" t="s">
        <v>155</v>
      </c>
      <c r="E103">
        <v>2075283</v>
      </c>
      <c r="F103" s="2">
        <v>46081</v>
      </c>
      <c r="G103" s="2">
        <v>46111</v>
      </c>
      <c r="H103" s="1" t="s">
        <v>153</v>
      </c>
      <c r="I103" s="1" t="s">
        <v>13</v>
      </c>
      <c r="J103" s="3">
        <f ca="1">+TODAY()-cartera02[[#This Row],[fecha]]</f>
        <v>19</v>
      </c>
    </row>
    <row r="104" spans="1:10" x14ac:dyDescent="0.25">
      <c r="A104" s="1" t="s">
        <v>150</v>
      </c>
      <c r="B104" s="1" t="s">
        <v>151</v>
      </c>
      <c r="C104" s="1" t="s">
        <v>11</v>
      </c>
      <c r="D104" s="1" t="s">
        <v>156</v>
      </c>
      <c r="E104">
        <v>163192</v>
      </c>
      <c r="F104" s="2">
        <v>46090</v>
      </c>
      <c r="G104" s="2">
        <v>46120</v>
      </c>
      <c r="H104" s="1" t="s">
        <v>153</v>
      </c>
      <c r="I104" s="1" t="s">
        <v>13</v>
      </c>
      <c r="J104" s="3">
        <f ca="1">+TODAY()-cartera02[[#This Row],[fecha]]</f>
        <v>10</v>
      </c>
    </row>
    <row r="105" spans="1:10" x14ac:dyDescent="0.25">
      <c r="A105" s="1" t="s">
        <v>150</v>
      </c>
      <c r="B105" s="1" t="s">
        <v>151</v>
      </c>
      <c r="C105" s="1" t="s">
        <v>11</v>
      </c>
      <c r="D105" s="1" t="s">
        <v>157</v>
      </c>
      <c r="E105">
        <v>590501</v>
      </c>
      <c r="F105" s="2">
        <v>46093</v>
      </c>
      <c r="G105" s="2">
        <v>46123</v>
      </c>
      <c r="H105" s="1" t="s">
        <v>153</v>
      </c>
      <c r="I105" s="1" t="s">
        <v>13</v>
      </c>
      <c r="J105" s="3">
        <f ca="1">+TODAY()-cartera02[[#This Row],[fecha]]</f>
        <v>7</v>
      </c>
    </row>
    <row r="106" spans="1:10" x14ac:dyDescent="0.25">
      <c r="A106" s="1" t="s">
        <v>150</v>
      </c>
      <c r="B106" s="1" t="s">
        <v>151</v>
      </c>
      <c r="C106" s="1" t="s">
        <v>11</v>
      </c>
      <c r="D106" s="1" t="s">
        <v>158</v>
      </c>
      <c r="E106">
        <v>1260110</v>
      </c>
      <c r="F106" s="2">
        <v>46099</v>
      </c>
      <c r="G106" s="2">
        <v>46129</v>
      </c>
      <c r="H106" s="1" t="s">
        <v>153</v>
      </c>
      <c r="I106" s="1" t="s">
        <v>13</v>
      </c>
      <c r="J106" s="3">
        <f ca="1">+TODAY()-cartera02[[#This Row],[fecha]]</f>
        <v>1</v>
      </c>
    </row>
    <row r="107" spans="1:10" x14ac:dyDescent="0.25">
      <c r="A107" s="1" t="s">
        <v>159</v>
      </c>
      <c r="B107" s="1" t="s">
        <v>160</v>
      </c>
      <c r="C107" s="1" t="s">
        <v>11</v>
      </c>
      <c r="D107" s="1" t="s">
        <v>161</v>
      </c>
      <c r="E107">
        <v>431295</v>
      </c>
      <c r="F107" s="2">
        <v>46073</v>
      </c>
      <c r="G107" s="2">
        <v>46103</v>
      </c>
      <c r="H107" s="1" t="s">
        <v>162</v>
      </c>
      <c r="I107" s="1" t="s">
        <v>13</v>
      </c>
      <c r="J107" s="3">
        <f ca="1">+TODAY()-cartera02[[#This Row],[fecha]]</f>
        <v>27</v>
      </c>
    </row>
    <row r="108" spans="1:10" x14ac:dyDescent="0.25">
      <c r="A108" s="1" t="s">
        <v>159</v>
      </c>
      <c r="B108" s="1" t="s">
        <v>160</v>
      </c>
      <c r="C108" s="1" t="s">
        <v>11</v>
      </c>
      <c r="D108" s="1" t="s">
        <v>163</v>
      </c>
      <c r="E108">
        <v>1800739</v>
      </c>
      <c r="F108" s="2">
        <v>46094</v>
      </c>
      <c r="G108" s="2">
        <v>46124</v>
      </c>
      <c r="H108" s="1" t="s">
        <v>162</v>
      </c>
      <c r="I108" s="1" t="s">
        <v>13</v>
      </c>
      <c r="J108" s="3">
        <f ca="1">+TODAY()-cartera02[[#This Row],[fecha]]</f>
        <v>6</v>
      </c>
    </row>
    <row r="109" spans="1:10" x14ac:dyDescent="0.25">
      <c r="A109" s="1" t="s">
        <v>159</v>
      </c>
      <c r="B109" s="1" t="s">
        <v>160</v>
      </c>
      <c r="C109" s="1" t="s">
        <v>11</v>
      </c>
      <c r="D109" s="1" t="s">
        <v>164</v>
      </c>
      <c r="E109">
        <v>517205</v>
      </c>
      <c r="F109" s="2">
        <v>46095</v>
      </c>
      <c r="G109" s="2">
        <v>46125</v>
      </c>
      <c r="H109" s="1" t="s">
        <v>162</v>
      </c>
      <c r="I109" s="1" t="s">
        <v>13</v>
      </c>
      <c r="J109" s="3">
        <f ca="1">+TODAY()-cartera02[[#This Row],[fecha]]</f>
        <v>5</v>
      </c>
    </row>
    <row r="110" spans="1:10" x14ac:dyDescent="0.25">
      <c r="A110" s="1" t="s">
        <v>165</v>
      </c>
      <c r="B110" s="1" t="s">
        <v>166</v>
      </c>
      <c r="C110" s="1" t="s">
        <v>11</v>
      </c>
      <c r="D110" s="1" t="s">
        <v>167</v>
      </c>
      <c r="E110">
        <v>61799</v>
      </c>
      <c r="F110" s="2">
        <v>46071</v>
      </c>
      <c r="G110" s="2">
        <v>46101</v>
      </c>
      <c r="H110" s="1" t="s">
        <v>168</v>
      </c>
      <c r="I110" s="1" t="s">
        <v>13</v>
      </c>
      <c r="J110" s="3">
        <f ca="1">+TODAY()-cartera02[[#This Row],[fecha]]</f>
        <v>29</v>
      </c>
    </row>
    <row r="111" spans="1:10" x14ac:dyDescent="0.25">
      <c r="A111" s="1" t="s">
        <v>165</v>
      </c>
      <c r="B111" s="1" t="s">
        <v>166</v>
      </c>
      <c r="C111" s="1" t="s">
        <v>11</v>
      </c>
      <c r="D111" s="1" t="s">
        <v>169</v>
      </c>
      <c r="E111">
        <v>1231290</v>
      </c>
      <c r="F111" s="2">
        <v>46071</v>
      </c>
      <c r="G111" s="2">
        <v>46101</v>
      </c>
      <c r="H111" s="1" t="s">
        <v>168</v>
      </c>
      <c r="I111" s="1" t="s">
        <v>13</v>
      </c>
      <c r="J111" s="3">
        <f ca="1">+TODAY()-cartera02[[#This Row],[fecha]]</f>
        <v>29</v>
      </c>
    </row>
    <row r="112" spans="1:10" x14ac:dyDescent="0.25">
      <c r="A112" s="1" t="s">
        <v>165</v>
      </c>
      <c r="B112" s="1" t="s">
        <v>166</v>
      </c>
      <c r="C112" s="1" t="s">
        <v>11</v>
      </c>
      <c r="D112" s="1" t="s">
        <v>170</v>
      </c>
      <c r="E112">
        <v>381001</v>
      </c>
      <c r="F112" s="2">
        <v>46092</v>
      </c>
      <c r="G112" s="2">
        <v>46122</v>
      </c>
      <c r="H112" s="1" t="s">
        <v>168</v>
      </c>
      <c r="I112" s="1" t="s">
        <v>13</v>
      </c>
      <c r="J112" s="3">
        <f ca="1">+TODAY()-cartera02[[#This Row],[fecha]]</f>
        <v>8</v>
      </c>
    </row>
    <row r="113" spans="1:10" x14ac:dyDescent="0.25">
      <c r="A113" s="1" t="s">
        <v>165</v>
      </c>
      <c r="B113" s="1" t="s">
        <v>166</v>
      </c>
      <c r="C113" s="1" t="s">
        <v>11</v>
      </c>
      <c r="D113" s="1" t="s">
        <v>171</v>
      </c>
      <c r="E113">
        <v>1050000</v>
      </c>
      <c r="F113" s="2">
        <v>46097</v>
      </c>
      <c r="G113" s="2">
        <v>46107</v>
      </c>
      <c r="H113" s="1" t="s">
        <v>168</v>
      </c>
      <c r="I113" s="1" t="s">
        <v>13</v>
      </c>
      <c r="J113" s="3">
        <f ca="1">+TODAY()-cartera02[[#This Row],[fecha]]</f>
        <v>3</v>
      </c>
    </row>
    <row r="114" spans="1:10" x14ac:dyDescent="0.25">
      <c r="A114" s="1" t="s">
        <v>172</v>
      </c>
      <c r="B114" s="1" t="s">
        <v>173</v>
      </c>
      <c r="C114" s="1" t="s">
        <v>11</v>
      </c>
      <c r="D114" s="1" t="s">
        <v>174</v>
      </c>
      <c r="E114">
        <v>345005</v>
      </c>
      <c r="F114" s="2">
        <v>46067</v>
      </c>
      <c r="G114" s="2">
        <v>46097</v>
      </c>
      <c r="H114" s="1" t="s">
        <v>175</v>
      </c>
      <c r="I114" s="1" t="s">
        <v>13</v>
      </c>
      <c r="J114" s="3">
        <f ca="1">+TODAY()-cartera02[[#This Row],[fecha]]</f>
        <v>33</v>
      </c>
    </row>
    <row r="115" spans="1:10" x14ac:dyDescent="0.25">
      <c r="A115" s="1" t="s">
        <v>172</v>
      </c>
      <c r="B115" s="1" t="s">
        <v>173</v>
      </c>
      <c r="C115" s="1" t="s">
        <v>11</v>
      </c>
      <c r="D115" s="1" t="s">
        <v>176</v>
      </c>
      <c r="E115">
        <v>623979</v>
      </c>
      <c r="F115" s="2">
        <v>46087</v>
      </c>
      <c r="G115" s="2">
        <v>46117</v>
      </c>
      <c r="H115" s="1" t="s">
        <v>175</v>
      </c>
      <c r="I115" s="1" t="s">
        <v>13</v>
      </c>
      <c r="J115" s="3">
        <f ca="1">+TODAY()-cartera02[[#This Row],[fecha]]</f>
        <v>13</v>
      </c>
    </row>
    <row r="116" spans="1:10" x14ac:dyDescent="0.25">
      <c r="A116" s="1" t="s">
        <v>172</v>
      </c>
      <c r="B116" s="1" t="s">
        <v>173</v>
      </c>
      <c r="C116" s="1" t="s">
        <v>11</v>
      </c>
      <c r="D116" s="1" t="s">
        <v>177</v>
      </c>
      <c r="E116">
        <v>33001</v>
      </c>
      <c r="F116" s="2">
        <v>46092</v>
      </c>
      <c r="G116" s="2">
        <v>46122</v>
      </c>
      <c r="H116" s="1" t="s">
        <v>175</v>
      </c>
      <c r="I116" s="1" t="s">
        <v>13</v>
      </c>
      <c r="J116" s="3">
        <f ca="1">+TODAY()-cartera02[[#This Row],[fecha]]</f>
        <v>8</v>
      </c>
    </row>
    <row r="117" spans="1:10" x14ac:dyDescent="0.25">
      <c r="A117" s="1" t="s">
        <v>172</v>
      </c>
      <c r="B117" s="1" t="s">
        <v>173</v>
      </c>
      <c r="C117" s="1" t="s">
        <v>11</v>
      </c>
      <c r="D117" s="1" t="s">
        <v>178</v>
      </c>
      <c r="E117">
        <v>2100000</v>
      </c>
      <c r="F117" s="2">
        <v>46093</v>
      </c>
      <c r="G117" s="2">
        <v>46103</v>
      </c>
      <c r="H117" s="1" t="s">
        <v>175</v>
      </c>
      <c r="I117" s="1" t="s">
        <v>13</v>
      </c>
      <c r="J117" s="3">
        <f ca="1">+TODAY()-cartera02[[#This Row],[fecha]]</f>
        <v>7</v>
      </c>
    </row>
    <row r="118" spans="1:10" x14ac:dyDescent="0.25">
      <c r="A118" s="1" t="s">
        <v>172</v>
      </c>
      <c r="B118" s="1" t="s">
        <v>173</v>
      </c>
      <c r="C118" s="1" t="s">
        <v>11</v>
      </c>
      <c r="D118" s="1" t="s">
        <v>179</v>
      </c>
      <c r="E118">
        <v>1171800</v>
      </c>
      <c r="F118" s="2">
        <v>46097</v>
      </c>
      <c r="G118" s="2">
        <v>46127</v>
      </c>
      <c r="H118" s="1" t="s">
        <v>175</v>
      </c>
      <c r="I118" s="1" t="s">
        <v>13</v>
      </c>
      <c r="J118" s="3">
        <f ca="1">+TODAY()-cartera02[[#This Row],[fecha]]</f>
        <v>3</v>
      </c>
    </row>
    <row r="119" spans="1:10" x14ac:dyDescent="0.25">
      <c r="A119" s="1" t="s">
        <v>172</v>
      </c>
      <c r="B119" s="1" t="s">
        <v>173</v>
      </c>
      <c r="C119" s="1" t="s">
        <v>11</v>
      </c>
      <c r="D119" s="1" t="s">
        <v>180</v>
      </c>
      <c r="E119">
        <v>1260000</v>
      </c>
      <c r="F119" s="2">
        <v>46099</v>
      </c>
      <c r="G119" s="2">
        <v>46109</v>
      </c>
      <c r="H119" s="1" t="s">
        <v>175</v>
      </c>
      <c r="I119" s="1" t="s">
        <v>13</v>
      </c>
      <c r="J119" s="3">
        <f ca="1">+TODAY()-cartera02[[#This Row],[fecha]]</f>
        <v>1</v>
      </c>
    </row>
    <row r="120" spans="1:10" x14ac:dyDescent="0.25">
      <c r="A120" s="1" t="s">
        <v>172</v>
      </c>
      <c r="B120" s="1" t="s">
        <v>173</v>
      </c>
      <c r="C120" s="1" t="s">
        <v>11</v>
      </c>
      <c r="D120" s="1" t="s">
        <v>181</v>
      </c>
      <c r="E120">
        <v>338400</v>
      </c>
      <c r="F120" s="2">
        <v>46099</v>
      </c>
      <c r="G120" s="2">
        <v>46129</v>
      </c>
      <c r="H120" s="1" t="s">
        <v>175</v>
      </c>
      <c r="I120" s="1" t="s">
        <v>13</v>
      </c>
      <c r="J120" s="3">
        <f ca="1">+TODAY()-cartera02[[#This Row],[fecha]]</f>
        <v>1</v>
      </c>
    </row>
    <row r="121" spans="1:10" x14ac:dyDescent="0.25">
      <c r="A121" s="1" t="s">
        <v>182</v>
      </c>
      <c r="B121" s="1" t="s">
        <v>183</v>
      </c>
      <c r="C121" s="1" t="s">
        <v>11</v>
      </c>
      <c r="D121" s="1" t="s">
        <v>184</v>
      </c>
      <c r="E121">
        <v>420000</v>
      </c>
      <c r="F121" s="2">
        <v>46090</v>
      </c>
      <c r="G121" s="2">
        <v>46100</v>
      </c>
      <c r="H121" s="1" t="s">
        <v>185</v>
      </c>
      <c r="I121" s="1" t="s">
        <v>13</v>
      </c>
      <c r="J121" s="3">
        <f ca="1">+TODAY()-cartera02[[#This Row],[fecha]]</f>
        <v>10</v>
      </c>
    </row>
    <row r="122" spans="1:10" x14ac:dyDescent="0.25">
      <c r="A122" s="1" t="s">
        <v>182</v>
      </c>
      <c r="B122" s="1" t="s">
        <v>183</v>
      </c>
      <c r="C122" s="1" t="s">
        <v>11</v>
      </c>
      <c r="D122" s="1" t="s">
        <v>186</v>
      </c>
      <c r="E122">
        <v>380407</v>
      </c>
      <c r="F122" s="2">
        <v>46091</v>
      </c>
      <c r="G122" s="2">
        <v>46121</v>
      </c>
      <c r="H122" s="1" t="s">
        <v>185</v>
      </c>
      <c r="I122" s="1" t="s">
        <v>13</v>
      </c>
      <c r="J122" s="3">
        <f ca="1">+TODAY()-cartera02[[#This Row],[fecha]]</f>
        <v>9</v>
      </c>
    </row>
    <row r="123" spans="1:10" x14ac:dyDescent="0.25">
      <c r="A123" s="1" t="s">
        <v>182</v>
      </c>
      <c r="B123" s="1" t="s">
        <v>183</v>
      </c>
      <c r="C123" s="1" t="s">
        <v>11</v>
      </c>
      <c r="D123" s="1" t="s">
        <v>187</v>
      </c>
      <c r="E123">
        <v>420000</v>
      </c>
      <c r="F123" s="2">
        <v>46094</v>
      </c>
      <c r="G123" s="2">
        <v>46104</v>
      </c>
      <c r="H123" s="1" t="s">
        <v>185</v>
      </c>
      <c r="I123" s="1" t="s">
        <v>13</v>
      </c>
      <c r="J123" s="3">
        <f ca="1">+TODAY()-cartera02[[#This Row],[fecha]]</f>
        <v>6</v>
      </c>
    </row>
    <row r="124" spans="1:10" x14ac:dyDescent="0.25">
      <c r="A124" s="1" t="s">
        <v>182</v>
      </c>
      <c r="B124" s="1" t="s">
        <v>183</v>
      </c>
      <c r="C124" s="1" t="s">
        <v>11</v>
      </c>
      <c r="D124" s="1" t="s">
        <v>188</v>
      </c>
      <c r="E124">
        <v>252641</v>
      </c>
      <c r="F124" s="2">
        <v>46099</v>
      </c>
      <c r="G124" s="2">
        <v>46100</v>
      </c>
      <c r="H124" s="1" t="s">
        <v>185</v>
      </c>
      <c r="I124" s="1" t="s">
        <v>13</v>
      </c>
      <c r="J124" s="3">
        <f ca="1">+TODAY()-cartera02[[#This Row],[fecha]]</f>
        <v>1</v>
      </c>
    </row>
    <row r="125" spans="1:10" x14ac:dyDescent="0.25">
      <c r="A125" s="1" t="s">
        <v>189</v>
      </c>
      <c r="B125" s="1" t="s">
        <v>190</v>
      </c>
      <c r="C125" s="1" t="s">
        <v>11</v>
      </c>
      <c r="D125" s="1" t="s">
        <v>191</v>
      </c>
      <c r="E125">
        <v>22162</v>
      </c>
      <c r="F125" s="2">
        <v>46060</v>
      </c>
      <c r="G125" s="2">
        <v>46090</v>
      </c>
      <c r="H125" s="1" t="s">
        <v>192</v>
      </c>
      <c r="I125" s="1" t="s">
        <v>13</v>
      </c>
      <c r="J125" s="3">
        <f ca="1">+TODAY()-cartera02[[#This Row],[fecha]]</f>
        <v>40</v>
      </c>
    </row>
    <row r="126" spans="1:10" x14ac:dyDescent="0.25">
      <c r="A126" s="1" t="s">
        <v>189</v>
      </c>
      <c r="B126" s="1" t="s">
        <v>190</v>
      </c>
      <c r="C126" s="1" t="s">
        <v>11</v>
      </c>
      <c r="D126" s="1" t="s">
        <v>193</v>
      </c>
      <c r="E126">
        <v>790568</v>
      </c>
      <c r="F126" s="2">
        <v>46064</v>
      </c>
      <c r="G126" s="2">
        <v>46094</v>
      </c>
      <c r="H126" s="1" t="s">
        <v>192</v>
      </c>
      <c r="I126" s="1" t="s">
        <v>13</v>
      </c>
      <c r="J126" s="3">
        <f ca="1">+TODAY()-cartera02[[#This Row],[fecha]]</f>
        <v>36</v>
      </c>
    </row>
    <row r="127" spans="1:10" x14ac:dyDescent="0.25">
      <c r="A127" s="1" t="s">
        <v>189</v>
      </c>
      <c r="B127" s="1" t="s">
        <v>190</v>
      </c>
      <c r="C127" s="1" t="s">
        <v>11</v>
      </c>
      <c r="D127" s="1" t="s">
        <v>194</v>
      </c>
      <c r="E127">
        <v>138000</v>
      </c>
      <c r="F127" s="2">
        <v>46067</v>
      </c>
      <c r="G127" s="2">
        <v>46097</v>
      </c>
      <c r="H127" s="1" t="s">
        <v>192</v>
      </c>
      <c r="I127" s="1" t="s">
        <v>13</v>
      </c>
      <c r="J127" s="3">
        <f ca="1">+TODAY()-cartera02[[#This Row],[fecha]]</f>
        <v>33</v>
      </c>
    </row>
    <row r="128" spans="1:10" x14ac:dyDescent="0.25">
      <c r="A128" s="1" t="s">
        <v>189</v>
      </c>
      <c r="B128" s="1" t="s">
        <v>190</v>
      </c>
      <c r="C128" s="1" t="s">
        <v>11</v>
      </c>
      <c r="D128" s="1" t="s">
        <v>195</v>
      </c>
      <c r="E128">
        <v>8400000</v>
      </c>
      <c r="F128" s="2">
        <v>46076</v>
      </c>
      <c r="G128" s="2">
        <v>46106</v>
      </c>
      <c r="H128" s="1" t="s">
        <v>192</v>
      </c>
      <c r="I128" s="1" t="s">
        <v>13</v>
      </c>
      <c r="J128" s="3">
        <f ca="1">+TODAY()-cartera02[[#This Row],[fecha]]</f>
        <v>24</v>
      </c>
    </row>
    <row r="129" spans="1:10" x14ac:dyDescent="0.25">
      <c r="A129" s="1" t="s">
        <v>189</v>
      </c>
      <c r="B129" s="1" t="s">
        <v>190</v>
      </c>
      <c r="C129" s="1" t="s">
        <v>11</v>
      </c>
      <c r="D129" s="1" t="s">
        <v>196</v>
      </c>
      <c r="E129">
        <v>1450000</v>
      </c>
      <c r="F129" s="2">
        <v>46078</v>
      </c>
      <c r="G129" s="2">
        <v>46108</v>
      </c>
      <c r="H129" s="1" t="s">
        <v>192</v>
      </c>
      <c r="I129" s="1" t="s">
        <v>13</v>
      </c>
      <c r="J129" s="3">
        <f ca="1">+TODAY()-cartera02[[#This Row],[fecha]]</f>
        <v>22</v>
      </c>
    </row>
    <row r="130" spans="1:10" x14ac:dyDescent="0.25">
      <c r="A130" s="1" t="s">
        <v>189</v>
      </c>
      <c r="B130" s="1" t="s">
        <v>190</v>
      </c>
      <c r="C130" s="1" t="s">
        <v>11</v>
      </c>
      <c r="D130" s="1" t="s">
        <v>197</v>
      </c>
      <c r="E130">
        <v>525561</v>
      </c>
      <c r="F130" s="2">
        <v>46083</v>
      </c>
      <c r="G130" s="2">
        <v>46113</v>
      </c>
      <c r="H130" s="1" t="s">
        <v>192</v>
      </c>
      <c r="I130" s="1" t="s">
        <v>13</v>
      </c>
      <c r="J130" s="3">
        <f ca="1">+TODAY()-cartera02[[#This Row],[fecha]]</f>
        <v>17</v>
      </c>
    </row>
    <row r="131" spans="1:10" x14ac:dyDescent="0.25">
      <c r="A131" s="1" t="s">
        <v>189</v>
      </c>
      <c r="B131" s="1" t="s">
        <v>190</v>
      </c>
      <c r="C131" s="1" t="s">
        <v>11</v>
      </c>
      <c r="D131" s="1" t="s">
        <v>198</v>
      </c>
      <c r="E131">
        <v>675514</v>
      </c>
      <c r="F131" s="2">
        <v>46084</v>
      </c>
      <c r="G131" s="2">
        <v>46114</v>
      </c>
      <c r="H131" s="1" t="s">
        <v>192</v>
      </c>
      <c r="I131" s="1" t="s">
        <v>13</v>
      </c>
      <c r="J131" s="3">
        <f ca="1">+TODAY()-cartera02[[#This Row],[fecha]]</f>
        <v>16</v>
      </c>
    </row>
    <row r="132" spans="1:10" x14ac:dyDescent="0.25">
      <c r="A132" s="1" t="s">
        <v>189</v>
      </c>
      <c r="B132" s="1" t="s">
        <v>190</v>
      </c>
      <c r="C132" s="1" t="s">
        <v>11</v>
      </c>
      <c r="D132" s="1" t="s">
        <v>199</v>
      </c>
      <c r="E132">
        <v>734742</v>
      </c>
      <c r="F132" s="2">
        <v>46087</v>
      </c>
      <c r="G132" s="2">
        <v>46117</v>
      </c>
      <c r="H132" s="1" t="s">
        <v>192</v>
      </c>
      <c r="I132" s="1" t="s">
        <v>13</v>
      </c>
      <c r="J132" s="3">
        <f ca="1">+TODAY()-cartera02[[#This Row],[fecha]]</f>
        <v>13</v>
      </c>
    </row>
    <row r="133" spans="1:10" x14ac:dyDescent="0.25">
      <c r="A133" s="1" t="s">
        <v>189</v>
      </c>
      <c r="B133" s="1" t="s">
        <v>190</v>
      </c>
      <c r="C133" s="1" t="s">
        <v>11</v>
      </c>
      <c r="D133" s="1" t="s">
        <v>200</v>
      </c>
      <c r="E133">
        <v>2763629</v>
      </c>
      <c r="F133" s="2">
        <v>46088</v>
      </c>
      <c r="G133" s="2">
        <v>46118</v>
      </c>
      <c r="H133" s="1" t="s">
        <v>192</v>
      </c>
      <c r="I133" s="1" t="s">
        <v>13</v>
      </c>
      <c r="J133" s="3">
        <f ca="1">+TODAY()-cartera02[[#This Row],[fecha]]</f>
        <v>12</v>
      </c>
    </row>
    <row r="134" spans="1:10" x14ac:dyDescent="0.25">
      <c r="A134" s="1" t="s">
        <v>189</v>
      </c>
      <c r="B134" s="1" t="s">
        <v>190</v>
      </c>
      <c r="C134" s="1" t="s">
        <v>11</v>
      </c>
      <c r="D134" s="1" t="s">
        <v>201</v>
      </c>
      <c r="E134">
        <v>3953571</v>
      </c>
      <c r="F134" s="2">
        <v>46088</v>
      </c>
      <c r="G134" s="2">
        <v>46118</v>
      </c>
      <c r="H134" s="1" t="s">
        <v>192</v>
      </c>
      <c r="I134" s="1" t="s">
        <v>13</v>
      </c>
      <c r="J134" s="3">
        <f ca="1">+TODAY()-cartera02[[#This Row],[fecha]]</f>
        <v>12</v>
      </c>
    </row>
    <row r="135" spans="1:10" x14ac:dyDescent="0.25">
      <c r="A135" s="1" t="s">
        <v>189</v>
      </c>
      <c r="B135" s="1" t="s">
        <v>190</v>
      </c>
      <c r="C135" s="1" t="s">
        <v>11</v>
      </c>
      <c r="D135" s="1" t="s">
        <v>202</v>
      </c>
      <c r="E135">
        <v>8400000</v>
      </c>
      <c r="F135" s="2">
        <v>46091</v>
      </c>
      <c r="G135" s="2">
        <v>46121</v>
      </c>
      <c r="H135" s="1" t="s">
        <v>192</v>
      </c>
      <c r="I135" s="1" t="s">
        <v>13</v>
      </c>
      <c r="J135" s="3">
        <f ca="1">+TODAY()-cartera02[[#This Row],[fecha]]</f>
        <v>9</v>
      </c>
    </row>
    <row r="136" spans="1:10" x14ac:dyDescent="0.25">
      <c r="A136" s="1" t="s">
        <v>189</v>
      </c>
      <c r="B136" s="1" t="s">
        <v>190</v>
      </c>
      <c r="C136" s="1" t="s">
        <v>11</v>
      </c>
      <c r="D136" s="1" t="s">
        <v>203</v>
      </c>
      <c r="E136">
        <v>641448</v>
      </c>
      <c r="F136" s="2">
        <v>46093</v>
      </c>
      <c r="G136" s="2">
        <v>46123</v>
      </c>
      <c r="H136" s="1" t="s">
        <v>192</v>
      </c>
      <c r="I136" s="1" t="s">
        <v>13</v>
      </c>
      <c r="J136" s="3">
        <f ca="1">+TODAY()-cartera02[[#This Row],[fecha]]</f>
        <v>7</v>
      </c>
    </row>
    <row r="137" spans="1:10" x14ac:dyDescent="0.25">
      <c r="A137" s="1" t="s">
        <v>189</v>
      </c>
      <c r="B137" s="1" t="s">
        <v>190</v>
      </c>
      <c r="C137" s="1" t="s">
        <v>11</v>
      </c>
      <c r="D137" s="1" t="s">
        <v>204</v>
      </c>
      <c r="E137">
        <v>297605</v>
      </c>
      <c r="F137" s="2">
        <v>46094</v>
      </c>
      <c r="G137" s="2">
        <v>46124</v>
      </c>
      <c r="H137" s="1" t="s">
        <v>192</v>
      </c>
      <c r="I137" s="1" t="s">
        <v>13</v>
      </c>
      <c r="J137" s="3">
        <f ca="1">+TODAY()-cartera02[[#This Row],[fecha]]</f>
        <v>6</v>
      </c>
    </row>
    <row r="138" spans="1:10" x14ac:dyDescent="0.25">
      <c r="A138" s="1" t="s">
        <v>189</v>
      </c>
      <c r="B138" s="1" t="s">
        <v>190</v>
      </c>
      <c r="C138" s="1" t="s">
        <v>11</v>
      </c>
      <c r="D138" s="1" t="s">
        <v>205</v>
      </c>
      <c r="E138">
        <v>8400000</v>
      </c>
      <c r="F138" s="2">
        <v>46098</v>
      </c>
      <c r="G138" s="2">
        <v>46128</v>
      </c>
      <c r="H138" s="1" t="s">
        <v>192</v>
      </c>
      <c r="I138" s="1" t="s">
        <v>13</v>
      </c>
      <c r="J138" s="3">
        <f ca="1">+TODAY()-cartera02[[#This Row],[fecha]]</f>
        <v>2</v>
      </c>
    </row>
    <row r="139" spans="1:10" x14ac:dyDescent="0.25">
      <c r="A139" s="1" t="s">
        <v>189</v>
      </c>
      <c r="B139" s="1" t="s">
        <v>190</v>
      </c>
      <c r="C139" s="1" t="s">
        <v>11</v>
      </c>
      <c r="D139" s="1" t="s">
        <v>206</v>
      </c>
      <c r="E139">
        <v>1398653</v>
      </c>
      <c r="F139" s="2">
        <v>46100</v>
      </c>
      <c r="G139" s="2">
        <v>46130</v>
      </c>
      <c r="H139" s="1" t="s">
        <v>192</v>
      </c>
      <c r="I139" s="1" t="s">
        <v>13</v>
      </c>
      <c r="J139" s="3">
        <f ca="1">+TODAY()-cartera02[[#This Row],[fecha]]</f>
        <v>0</v>
      </c>
    </row>
    <row r="140" spans="1:10" x14ac:dyDescent="0.25">
      <c r="A140" s="1" t="s">
        <v>207</v>
      </c>
      <c r="B140" s="1" t="s">
        <v>208</v>
      </c>
      <c r="C140" s="1" t="s">
        <v>11</v>
      </c>
      <c r="D140" s="1" t="s">
        <v>209</v>
      </c>
      <c r="E140">
        <v>571798</v>
      </c>
      <c r="F140" s="2">
        <v>46070</v>
      </c>
      <c r="G140" s="2">
        <v>46100</v>
      </c>
      <c r="H140" s="1" t="s">
        <v>210</v>
      </c>
      <c r="I140" s="1" t="s">
        <v>13</v>
      </c>
      <c r="J140" s="3">
        <f ca="1">+TODAY()-cartera02[[#This Row],[fecha]]</f>
        <v>30</v>
      </c>
    </row>
    <row r="141" spans="1:10" x14ac:dyDescent="0.25">
      <c r="A141" s="1" t="s">
        <v>211</v>
      </c>
      <c r="B141" s="1" t="s">
        <v>212</v>
      </c>
      <c r="C141" s="1" t="s">
        <v>11</v>
      </c>
      <c r="D141" s="1" t="s">
        <v>213</v>
      </c>
      <c r="E141">
        <v>505503</v>
      </c>
      <c r="F141" s="2">
        <v>46070</v>
      </c>
      <c r="G141" s="2">
        <v>46100</v>
      </c>
      <c r="H141" s="1" t="s">
        <v>214</v>
      </c>
      <c r="I141" s="1" t="s">
        <v>13</v>
      </c>
      <c r="J141" s="3">
        <f ca="1">+TODAY()-cartera02[[#This Row],[fecha]]</f>
        <v>30</v>
      </c>
    </row>
    <row r="142" spans="1:10" x14ac:dyDescent="0.25">
      <c r="A142" s="1" t="s">
        <v>211</v>
      </c>
      <c r="B142" s="1" t="s">
        <v>212</v>
      </c>
      <c r="C142" s="1" t="s">
        <v>11</v>
      </c>
      <c r="D142" s="1" t="s">
        <v>215</v>
      </c>
      <c r="E142">
        <v>926504</v>
      </c>
      <c r="F142" s="2">
        <v>46078</v>
      </c>
      <c r="G142" s="2">
        <v>46108</v>
      </c>
      <c r="H142" s="1" t="s">
        <v>214</v>
      </c>
      <c r="I142" s="1" t="s">
        <v>13</v>
      </c>
      <c r="J142" s="3">
        <f ca="1">+TODAY()-cartera02[[#This Row],[fecha]]</f>
        <v>22</v>
      </c>
    </row>
    <row r="143" spans="1:10" x14ac:dyDescent="0.25">
      <c r="A143" s="1" t="s">
        <v>211</v>
      </c>
      <c r="B143" s="1" t="s">
        <v>212</v>
      </c>
      <c r="C143" s="1" t="s">
        <v>11</v>
      </c>
      <c r="D143" s="1" t="s">
        <v>216</v>
      </c>
      <c r="E143">
        <v>117596</v>
      </c>
      <c r="F143" s="2">
        <v>46085</v>
      </c>
      <c r="G143" s="2">
        <v>46115</v>
      </c>
      <c r="H143" s="1" t="s">
        <v>214</v>
      </c>
      <c r="I143" s="1" t="s">
        <v>13</v>
      </c>
      <c r="J143" s="3">
        <f ca="1">+TODAY()-cartera02[[#This Row],[fecha]]</f>
        <v>15</v>
      </c>
    </row>
    <row r="144" spans="1:10" x14ac:dyDescent="0.25">
      <c r="A144" s="1" t="s">
        <v>211</v>
      </c>
      <c r="B144" s="1" t="s">
        <v>212</v>
      </c>
      <c r="C144" s="1" t="s">
        <v>11</v>
      </c>
      <c r="D144" s="1" t="s">
        <v>217</v>
      </c>
      <c r="E144">
        <v>630000</v>
      </c>
      <c r="F144" s="2">
        <v>46093</v>
      </c>
      <c r="G144" s="2">
        <v>46103</v>
      </c>
      <c r="H144" s="1" t="s">
        <v>214</v>
      </c>
      <c r="I144" s="1" t="s">
        <v>13</v>
      </c>
      <c r="J144" s="3">
        <f ca="1">+TODAY()-cartera02[[#This Row],[fecha]]</f>
        <v>7</v>
      </c>
    </row>
    <row r="145" spans="1:10" x14ac:dyDescent="0.25">
      <c r="A145" s="1" t="s">
        <v>211</v>
      </c>
      <c r="B145" s="1" t="s">
        <v>212</v>
      </c>
      <c r="C145" s="1" t="s">
        <v>11</v>
      </c>
      <c r="D145" s="1" t="s">
        <v>218</v>
      </c>
      <c r="E145">
        <v>104100</v>
      </c>
      <c r="F145" s="2">
        <v>46093</v>
      </c>
      <c r="G145" s="2">
        <v>46123</v>
      </c>
      <c r="H145" s="1" t="s">
        <v>214</v>
      </c>
      <c r="I145" s="1" t="s">
        <v>13</v>
      </c>
      <c r="J145" s="3">
        <f ca="1">+TODAY()-cartera02[[#This Row],[fecha]]</f>
        <v>7</v>
      </c>
    </row>
    <row r="146" spans="1:10" x14ac:dyDescent="0.25">
      <c r="A146" s="1" t="s">
        <v>211</v>
      </c>
      <c r="B146" s="1" t="s">
        <v>212</v>
      </c>
      <c r="C146" s="1" t="s">
        <v>11</v>
      </c>
      <c r="D146" s="1" t="s">
        <v>219</v>
      </c>
      <c r="E146">
        <v>1680000</v>
      </c>
      <c r="F146" s="2">
        <v>46097</v>
      </c>
      <c r="G146" s="2">
        <v>46107</v>
      </c>
      <c r="H146" s="1" t="s">
        <v>214</v>
      </c>
      <c r="I146" s="1" t="s">
        <v>13</v>
      </c>
      <c r="J146" s="3">
        <f ca="1">+TODAY()-cartera02[[#This Row],[fecha]]</f>
        <v>3</v>
      </c>
    </row>
    <row r="147" spans="1:10" x14ac:dyDescent="0.25">
      <c r="A147" s="1" t="s">
        <v>220</v>
      </c>
      <c r="B147" s="1" t="s">
        <v>221</v>
      </c>
      <c r="C147" s="1" t="s">
        <v>61</v>
      </c>
      <c r="D147" s="1" t="s">
        <v>222</v>
      </c>
      <c r="E147">
        <v>1449741</v>
      </c>
      <c r="F147" s="2">
        <v>46064</v>
      </c>
      <c r="G147" s="2">
        <v>46094</v>
      </c>
      <c r="H147" s="1" t="s">
        <v>223</v>
      </c>
      <c r="I147" s="1" t="s">
        <v>13</v>
      </c>
      <c r="J147" s="3">
        <f ca="1">+TODAY()-cartera02[[#This Row],[fecha]]</f>
        <v>36</v>
      </c>
    </row>
    <row r="148" spans="1:10" x14ac:dyDescent="0.25">
      <c r="A148" s="1" t="s">
        <v>220</v>
      </c>
      <c r="B148" s="1" t="s">
        <v>221</v>
      </c>
      <c r="C148" s="1" t="s">
        <v>61</v>
      </c>
      <c r="D148" s="1" t="s">
        <v>224</v>
      </c>
      <c r="E148">
        <v>1300799</v>
      </c>
      <c r="F148" s="2">
        <v>46064</v>
      </c>
      <c r="G148" s="2">
        <v>46094</v>
      </c>
      <c r="H148" s="1" t="s">
        <v>223</v>
      </c>
      <c r="I148" s="1" t="s">
        <v>13</v>
      </c>
      <c r="J148" s="3">
        <f ca="1">+TODAY()-cartera02[[#This Row],[fecha]]</f>
        <v>36</v>
      </c>
    </row>
    <row r="149" spans="1:10" x14ac:dyDescent="0.25">
      <c r="A149" s="1" t="s">
        <v>220</v>
      </c>
      <c r="B149" s="1" t="s">
        <v>221</v>
      </c>
      <c r="C149" s="1" t="s">
        <v>61</v>
      </c>
      <c r="D149" s="1" t="s">
        <v>225</v>
      </c>
      <c r="E149">
        <v>1601937</v>
      </c>
      <c r="F149" s="2">
        <v>46064</v>
      </c>
      <c r="G149" s="2">
        <v>46094</v>
      </c>
      <c r="H149" s="1" t="s">
        <v>223</v>
      </c>
      <c r="I149" s="1" t="s">
        <v>13</v>
      </c>
      <c r="J149" s="3">
        <f ca="1">+TODAY()-cartera02[[#This Row],[fecha]]</f>
        <v>36</v>
      </c>
    </row>
    <row r="150" spans="1:10" x14ac:dyDescent="0.25">
      <c r="A150" s="1" t="s">
        <v>220</v>
      </c>
      <c r="B150" s="1" t="s">
        <v>221</v>
      </c>
      <c r="C150" s="1" t="s">
        <v>61</v>
      </c>
      <c r="D150" s="1" t="s">
        <v>226</v>
      </c>
      <c r="E150">
        <v>640800</v>
      </c>
      <c r="F150" s="2">
        <v>46069</v>
      </c>
      <c r="G150" s="2">
        <v>46099</v>
      </c>
      <c r="H150" s="1" t="s">
        <v>223</v>
      </c>
      <c r="I150" s="1" t="s">
        <v>13</v>
      </c>
      <c r="J150" s="3">
        <f ca="1">+TODAY()-cartera02[[#This Row],[fecha]]</f>
        <v>31</v>
      </c>
    </row>
    <row r="151" spans="1:10" x14ac:dyDescent="0.25">
      <c r="A151" s="1" t="s">
        <v>220</v>
      </c>
      <c r="B151" s="1" t="s">
        <v>221</v>
      </c>
      <c r="C151" s="1" t="s">
        <v>61</v>
      </c>
      <c r="D151" s="1" t="s">
        <v>227</v>
      </c>
      <c r="E151">
        <v>1596261</v>
      </c>
      <c r="F151" s="2">
        <v>46070</v>
      </c>
      <c r="G151" s="2">
        <v>46100</v>
      </c>
      <c r="H151" s="1" t="s">
        <v>223</v>
      </c>
      <c r="I151" s="1" t="s">
        <v>13</v>
      </c>
      <c r="J151" s="3">
        <f ca="1">+TODAY()-cartera02[[#This Row],[fecha]]</f>
        <v>30</v>
      </c>
    </row>
    <row r="152" spans="1:10" x14ac:dyDescent="0.25">
      <c r="A152" s="1" t="s">
        <v>220</v>
      </c>
      <c r="B152" s="1" t="s">
        <v>221</v>
      </c>
      <c r="C152" s="1" t="s">
        <v>61</v>
      </c>
      <c r="D152" s="1" t="s">
        <v>228</v>
      </c>
      <c r="E152">
        <v>1954761</v>
      </c>
      <c r="F152" s="2">
        <v>46070</v>
      </c>
      <c r="G152" s="2">
        <v>46100</v>
      </c>
      <c r="H152" s="1" t="s">
        <v>223</v>
      </c>
      <c r="I152" s="1" t="s">
        <v>13</v>
      </c>
      <c r="J152" s="3">
        <f ca="1">+TODAY()-cartera02[[#This Row],[fecha]]</f>
        <v>30</v>
      </c>
    </row>
    <row r="153" spans="1:10" x14ac:dyDescent="0.25">
      <c r="A153" s="1" t="s">
        <v>220</v>
      </c>
      <c r="B153" s="1" t="s">
        <v>221</v>
      </c>
      <c r="C153" s="1" t="s">
        <v>61</v>
      </c>
      <c r="D153" s="1" t="s">
        <v>229</v>
      </c>
      <c r="E153">
        <v>1562390</v>
      </c>
      <c r="F153" s="2">
        <v>46072</v>
      </c>
      <c r="G153" s="2">
        <v>46102</v>
      </c>
      <c r="H153" s="1" t="s">
        <v>223</v>
      </c>
      <c r="I153" s="1" t="s">
        <v>13</v>
      </c>
      <c r="J153" s="3">
        <f ca="1">+TODAY()-cartera02[[#This Row],[fecha]]</f>
        <v>28</v>
      </c>
    </row>
    <row r="154" spans="1:10" x14ac:dyDescent="0.25">
      <c r="A154" s="1" t="s">
        <v>220</v>
      </c>
      <c r="B154" s="1" t="s">
        <v>221</v>
      </c>
      <c r="C154" s="1" t="s">
        <v>61</v>
      </c>
      <c r="D154" s="1" t="s">
        <v>230</v>
      </c>
      <c r="E154">
        <v>755997</v>
      </c>
      <c r="F154" s="2">
        <v>46072</v>
      </c>
      <c r="G154" s="2">
        <v>46102</v>
      </c>
      <c r="H154" s="1" t="s">
        <v>223</v>
      </c>
      <c r="I154" s="1" t="s">
        <v>13</v>
      </c>
      <c r="J154" s="3">
        <f ca="1">+TODAY()-cartera02[[#This Row],[fecha]]</f>
        <v>28</v>
      </c>
    </row>
    <row r="155" spans="1:10" x14ac:dyDescent="0.25">
      <c r="A155" s="1" t="s">
        <v>220</v>
      </c>
      <c r="B155" s="1" t="s">
        <v>221</v>
      </c>
      <c r="C155" s="1" t="s">
        <v>61</v>
      </c>
      <c r="D155" s="1" t="s">
        <v>231</v>
      </c>
      <c r="E155">
        <v>478000</v>
      </c>
      <c r="F155" s="2">
        <v>46073</v>
      </c>
      <c r="G155" s="2">
        <v>46103</v>
      </c>
      <c r="H155" s="1" t="s">
        <v>223</v>
      </c>
      <c r="I155" s="1" t="s">
        <v>13</v>
      </c>
      <c r="J155" s="3">
        <f ca="1">+TODAY()-cartera02[[#This Row],[fecha]]</f>
        <v>27</v>
      </c>
    </row>
    <row r="156" spans="1:10" x14ac:dyDescent="0.25">
      <c r="A156" s="1" t="s">
        <v>220</v>
      </c>
      <c r="B156" s="1" t="s">
        <v>221</v>
      </c>
      <c r="C156" s="1" t="s">
        <v>61</v>
      </c>
      <c r="D156" s="1" t="s">
        <v>232</v>
      </c>
      <c r="E156">
        <v>1611153</v>
      </c>
      <c r="F156" s="2">
        <v>46074</v>
      </c>
      <c r="G156" s="2">
        <v>46104</v>
      </c>
      <c r="H156" s="1" t="s">
        <v>223</v>
      </c>
      <c r="I156" s="1" t="s">
        <v>13</v>
      </c>
      <c r="J156" s="3">
        <f ca="1">+TODAY()-cartera02[[#This Row],[fecha]]</f>
        <v>26</v>
      </c>
    </row>
    <row r="157" spans="1:10" x14ac:dyDescent="0.25">
      <c r="A157" s="1" t="s">
        <v>220</v>
      </c>
      <c r="B157" s="1" t="s">
        <v>221</v>
      </c>
      <c r="C157" s="1" t="s">
        <v>61</v>
      </c>
      <c r="D157" s="1" t="s">
        <v>233</v>
      </c>
      <c r="E157">
        <v>7428253</v>
      </c>
      <c r="F157" s="2">
        <v>46077</v>
      </c>
      <c r="G157" s="2">
        <v>46107</v>
      </c>
      <c r="H157" s="1" t="s">
        <v>223</v>
      </c>
      <c r="I157" s="1" t="s">
        <v>13</v>
      </c>
      <c r="J157" s="3">
        <f ca="1">+TODAY()-cartera02[[#This Row],[fecha]]</f>
        <v>23</v>
      </c>
    </row>
    <row r="158" spans="1:10" x14ac:dyDescent="0.25">
      <c r="A158" s="1" t="s">
        <v>220</v>
      </c>
      <c r="B158" s="1" t="s">
        <v>221</v>
      </c>
      <c r="C158" s="1" t="s">
        <v>61</v>
      </c>
      <c r="D158" s="1" t="s">
        <v>234</v>
      </c>
      <c r="E158">
        <v>870000</v>
      </c>
      <c r="F158" s="2">
        <v>46078</v>
      </c>
      <c r="G158" s="2">
        <v>46108</v>
      </c>
      <c r="H158" s="1" t="s">
        <v>223</v>
      </c>
      <c r="I158" s="1" t="s">
        <v>13</v>
      </c>
      <c r="J158" s="3">
        <f ca="1">+TODAY()-cartera02[[#This Row],[fecha]]</f>
        <v>22</v>
      </c>
    </row>
    <row r="159" spans="1:10" x14ac:dyDescent="0.25">
      <c r="A159" s="1" t="s">
        <v>220</v>
      </c>
      <c r="B159" s="1" t="s">
        <v>221</v>
      </c>
      <c r="C159" s="1" t="s">
        <v>61</v>
      </c>
      <c r="D159" s="1" t="s">
        <v>235</v>
      </c>
      <c r="E159">
        <v>2037137</v>
      </c>
      <c r="F159" s="2">
        <v>46078</v>
      </c>
      <c r="G159" s="2">
        <v>46108</v>
      </c>
      <c r="H159" s="1" t="s">
        <v>223</v>
      </c>
      <c r="I159" s="1" t="s">
        <v>13</v>
      </c>
      <c r="J159" s="3">
        <f ca="1">+TODAY()-cartera02[[#This Row],[fecha]]</f>
        <v>22</v>
      </c>
    </row>
    <row r="160" spans="1:10" x14ac:dyDescent="0.25">
      <c r="A160" s="1" t="s">
        <v>220</v>
      </c>
      <c r="B160" s="1" t="s">
        <v>221</v>
      </c>
      <c r="C160" s="1" t="s">
        <v>61</v>
      </c>
      <c r="D160" s="1" t="s">
        <v>236</v>
      </c>
      <c r="E160">
        <v>549000</v>
      </c>
      <c r="F160" s="2">
        <v>46078</v>
      </c>
      <c r="G160" s="2">
        <v>46108</v>
      </c>
      <c r="H160" s="1" t="s">
        <v>223</v>
      </c>
      <c r="I160" s="1" t="s">
        <v>13</v>
      </c>
      <c r="J160" s="3">
        <f ca="1">+TODAY()-cartera02[[#This Row],[fecha]]</f>
        <v>22</v>
      </c>
    </row>
    <row r="161" spans="1:10" x14ac:dyDescent="0.25">
      <c r="A161" s="1" t="s">
        <v>220</v>
      </c>
      <c r="B161" s="1" t="s">
        <v>221</v>
      </c>
      <c r="C161" s="1" t="s">
        <v>61</v>
      </c>
      <c r="D161" s="1" t="s">
        <v>237</v>
      </c>
      <c r="E161">
        <v>1007994</v>
      </c>
      <c r="F161" s="2">
        <v>46079</v>
      </c>
      <c r="G161" s="2">
        <v>46109</v>
      </c>
      <c r="H161" s="1" t="s">
        <v>223</v>
      </c>
      <c r="I161" s="1" t="s">
        <v>13</v>
      </c>
      <c r="J161" s="3">
        <f ca="1">+TODAY()-cartera02[[#This Row],[fecha]]</f>
        <v>21</v>
      </c>
    </row>
    <row r="162" spans="1:10" x14ac:dyDescent="0.25">
      <c r="A162" s="1" t="s">
        <v>220</v>
      </c>
      <c r="B162" s="1" t="s">
        <v>221</v>
      </c>
      <c r="C162" s="1" t="s">
        <v>61</v>
      </c>
      <c r="D162" s="1" t="s">
        <v>238</v>
      </c>
      <c r="E162">
        <v>235200</v>
      </c>
      <c r="F162" s="2">
        <v>46081</v>
      </c>
      <c r="G162" s="2">
        <v>46111</v>
      </c>
      <c r="H162" s="1" t="s">
        <v>223</v>
      </c>
      <c r="I162" s="1" t="s">
        <v>13</v>
      </c>
      <c r="J162" s="3">
        <f ca="1">+TODAY()-cartera02[[#This Row],[fecha]]</f>
        <v>19</v>
      </c>
    </row>
    <row r="163" spans="1:10" x14ac:dyDescent="0.25">
      <c r="A163" s="1" t="s">
        <v>220</v>
      </c>
      <c r="B163" s="1" t="s">
        <v>221</v>
      </c>
      <c r="C163" s="1" t="s">
        <v>61</v>
      </c>
      <c r="D163" s="1" t="s">
        <v>239</v>
      </c>
      <c r="E163">
        <v>1079996</v>
      </c>
      <c r="F163" s="2">
        <v>46083</v>
      </c>
      <c r="G163" s="2">
        <v>46113</v>
      </c>
      <c r="H163" s="1" t="s">
        <v>223</v>
      </c>
      <c r="I163" s="1" t="s">
        <v>13</v>
      </c>
      <c r="J163" s="3">
        <f ca="1">+TODAY()-cartera02[[#This Row],[fecha]]</f>
        <v>17</v>
      </c>
    </row>
    <row r="164" spans="1:10" x14ac:dyDescent="0.25">
      <c r="A164" s="1" t="s">
        <v>220</v>
      </c>
      <c r="B164" s="1" t="s">
        <v>221</v>
      </c>
      <c r="C164" s="1" t="s">
        <v>61</v>
      </c>
      <c r="D164" s="1" t="s">
        <v>240</v>
      </c>
      <c r="E164">
        <v>728994</v>
      </c>
      <c r="F164" s="2">
        <v>46084</v>
      </c>
      <c r="G164" s="2">
        <v>46114</v>
      </c>
      <c r="H164" s="1" t="s">
        <v>223</v>
      </c>
      <c r="I164" s="1" t="s">
        <v>13</v>
      </c>
      <c r="J164" s="3">
        <f ca="1">+TODAY()-cartera02[[#This Row],[fecha]]</f>
        <v>16</v>
      </c>
    </row>
    <row r="165" spans="1:10" x14ac:dyDescent="0.25">
      <c r="A165" s="1" t="s">
        <v>220</v>
      </c>
      <c r="B165" s="1" t="s">
        <v>221</v>
      </c>
      <c r="C165" s="1" t="s">
        <v>61</v>
      </c>
      <c r="D165" s="1" t="s">
        <v>241</v>
      </c>
      <c r="E165">
        <v>1281606</v>
      </c>
      <c r="F165" s="2">
        <v>46084</v>
      </c>
      <c r="G165" s="2">
        <v>46114</v>
      </c>
      <c r="H165" s="1" t="s">
        <v>223</v>
      </c>
      <c r="I165" s="1" t="s">
        <v>13</v>
      </c>
      <c r="J165" s="3">
        <f ca="1">+TODAY()-cartera02[[#This Row],[fecha]]</f>
        <v>16</v>
      </c>
    </row>
    <row r="166" spans="1:10" x14ac:dyDescent="0.25">
      <c r="A166" s="1" t="s">
        <v>220</v>
      </c>
      <c r="B166" s="1" t="s">
        <v>221</v>
      </c>
      <c r="C166" s="1" t="s">
        <v>61</v>
      </c>
      <c r="D166" s="1" t="s">
        <v>242</v>
      </c>
      <c r="E166">
        <v>643986</v>
      </c>
      <c r="F166" s="2">
        <v>46085</v>
      </c>
      <c r="G166" s="2">
        <v>46115</v>
      </c>
      <c r="H166" s="1" t="s">
        <v>223</v>
      </c>
      <c r="I166" s="1" t="s">
        <v>13</v>
      </c>
      <c r="J166" s="3">
        <f ca="1">+TODAY()-cartera02[[#This Row],[fecha]]</f>
        <v>15</v>
      </c>
    </row>
    <row r="167" spans="1:10" x14ac:dyDescent="0.25">
      <c r="A167" s="1" t="s">
        <v>220</v>
      </c>
      <c r="B167" s="1" t="s">
        <v>221</v>
      </c>
      <c r="C167" s="1" t="s">
        <v>61</v>
      </c>
      <c r="D167" s="1" t="s">
        <v>243</v>
      </c>
      <c r="E167">
        <v>86394</v>
      </c>
      <c r="F167" s="2">
        <v>46085</v>
      </c>
      <c r="G167" s="2">
        <v>46115</v>
      </c>
      <c r="H167" s="1" t="s">
        <v>223</v>
      </c>
      <c r="I167" s="1" t="s">
        <v>13</v>
      </c>
      <c r="J167" s="3">
        <f ca="1">+TODAY()-cartera02[[#This Row],[fecha]]</f>
        <v>15</v>
      </c>
    </row>
    <row r="168" spans="1:10" x14ac:dyDescent="0.25">
      <c r="A168" s="1" t="s">
        <v>220</v>
      </c>
      <c r="B168" s="1" t="s">
        <v>221</v>
      </c>
      <c r="C168" s="1" t="s">
        <v>61</v>
      </c>
      <c r="D168" s="1" t="s">
        <v>244</v>
      </c>
      <c r="E168">
        <v>2496207</v>
      </c>
      <c r="F168" s="2">
        <v>46085</v>
      </c>
      <c r="G168" s="2">
        <v>46115</v>
      </c>
      <c r="H168" s="1" t="s">
        <v>223</v>
      </c>
      <c r="I168" s="1" t="s">
        <v>13</v>
      </c>
      <c r="J168" s="3">
        <f ca="1">+TODAY()-cartera02[[#This Row],[fecha]]</f>
        <v>15</v>
      </c>
    </row>
    <row r="169" spans="1:10" x14ac:dyDescent="0.25">
      <c r="A169" s="1" t="s">
        <v>220</v>
      </c>
      <c r="B169" s="1" t="s">
        <v>221</v>
      </c>
      <c r="C169" s="1" t="s">
        <v>61</v>
      </c>
      <c r="D169" s="1" t="s">
        <v>245</v>
      </c>
      <c r="E169">
        <v>220495</v>
      </c>
      <c r="F169" s="2">
        <v>46085</v>
      </c>
      <c r="G169" s="2">
        <v>46115</v>
      </c>
      <c r="H169" s="1" t="s">
        <v>223</v>
      </c>
      <c r="I169" s="1" t="s">
        <v>13</v>
      </c>
      <c r="J169" s="3">
        <f ca="1">+TODAY()-cartera02[[#This Row],[fecha]]</f>
        <v>15</v>
      </c>
    </row>
    <row r="170" spans="1:10" x14ac:dyDescent="0.25">
      <c r="A170" s="1" t="s">
        <v>220</v>
      </c>
      <c r="B170" s="1" t="s">
        <v>221</v>
      </c>
      <c r="C170" s="1" t="s">
        <v>61</v>
      </c>
      <c r="D170" s="1" t="s">
        <v>246</v>
      </c>
      <c r="E170">
        <v>1214987</v>
      </c>
      <c r="F170" s="2">
        <v>46085</v>
      </c>
      <c r="G170" s="2">
        <v>46115</v>
      </c>
      <c r="H170" s="1" t="s">
        <v>223</v>
      </c>
      <c r="I170" s="1" t="s">
        <v>13</v>
      </c>
      <c r="J170" s="3">
        <f ca="1">+TODAY()-cartera02[[#This Row],[fecha]]</f>
        <v>15</v>
      </c>
    </row>
    <row r="171" spans="1:10" x14ac:dyDescent="0.25">
      <c r="A171" s="1" t="s">
        <v>220</v>
      </c>
      <c r="B171" s="1" t="s">
        <v>221</v>
      </c>
      <c r="C171" s="1" t="s">
        <v>61</v>
      </c>
      <c r="D171" s="1" t="s">
        <v>247</v>
      </c>
      <c r="E171">
        <v>546991</v>
      </c>
      <c r="F171" s="2">
        <v>46085</v>
      </c>
      <c r="G171" s="2">
        <v>46115</v>
      </c>
      <c r="H171" s="1" t="s">
        <v>223</v>
      </c>
      <c r="I171" s="1" t="s">
        <v>13</v>
      </c>
      <c r="J171" s="3">
        <f ca="1">+TODAY()-cartera02[[#This Row],[fecha]]</f>
        <v>15</v>
      </c>
    </row>
    <row r="172" spans="1:10" x14ac:dyDescent="0.25">
      <c r="A172" s="1" t="s">
        <v>220</v>
      </c>
      <c r="B172" s="1" t="s">
        <v>221</v>
      </c>
      <c r="C172" s="1" t="s">
        <v>61</v>
      </c>
      <c r="D172" s="1" t="s">
        <v>248</v>
      </c>
      <c r="E172">
        <v>330000</v>
      </c>
      <c r="F172" s="2">
        <v>46085</v>
      </c>
      <c r="G172" s="2">
        <v>46115</v>
      </c>
      <c r="H172" s="1" t="s">
        <v>223</v>
      </c>
      <c r="I172" s="1" t="s">
        <v>13</v>
      </c>
      <c r="J172" s="3">
        <f ca="1">+TODAY()-cartera02[[#This Row],[fecha]]</f>
        <v>15</v>
      </c>
    </row>
    <row r="173" spans="1:10" x14ac:dyDescent="0.25">
      <c r="A173" s="1" t="s">
        <v>220</v>
      </c>
      <c r="B173" s="1" t="s">
        <v>221</v>
      </c>
      <c r="C173" s="1" t="s">
        <v>61</v>
      </c>
      <c r="D173" s="1" t="s">
        <v>249</v>
      </c>
      <c r="E173">
        <v>475238</v>
      </c>
      <c r="F173" s="2">
        <v>46086</v>
      </c>
      <c r="G173" s="2">
        <v>46116</v>
      </c>
      <c r="H173" s="1" t="s">
        <v>223</v>
      </c>
      <c r="I173" s="1" t="s">
        <v>13</v>
      </c>
      <c r="J173" s="3">
        <f ca="1">+TODAY()-cartera02[[#This Row],[fecha]]</f>
        <v>14</v>
      </c>
    </row>
    <row r="174" spans="1:10" x14ac:dyDescent="0.25">
      <c r="A174" s="1" t="s">
        <v>220</v>
      </c>
      <c r="B174" s="1" t="s">
        <v>221</v>
      </c>
      <c r="C174" s="1" t="s">
        <v>61</v>
      </c>
      <c r="D174" s="1" t="s">
        <v>250</v>
      </c>
      <c r="E174">
        <v>747500</v>
      </c>
      <c r="F174" s="2">
        <v>46086</v>
      </c>
      <c r="G174" s="2">
        <v>46116</v>
      </c>
      <c r="H174" s="1" t="s">
        <v>223</v>
      </c>
      <c r="I174" s="1" t="s">
        <v>13</v>
      </c>
      <c r="J174" s="3">
        <f ca="1">+TODAY()-cartera02[[#This Row],[fecha]]</f>
        <v>14</v>
      </c>
    </row>
    <row r="175" spans="1:10" x14ac:dyDescent="0.25">
      <c r="A175" s="1" t="s">
        <v>220</v>
      </c>
      <c r="B175" s="1" t="s">
        <v>221</v>
      </c>
      <c r="C175" s="1" t="s">
        <v>61</v>
      </c>
      <c r="D175" s="1" t="s">
        <v>251</v>
      </c>
      <c r="E175">
        <v>2192516</v>
      </c>
      <c r="F175" s="2">
        <v>46087</v>
      </c>
      <c r="G175" s="2">
        <v>46117</v>
      </c>
      <c r="H175" s="1" t="s">
        <v>223</v>
      </c>
      <c r="I175" s="1" t="s">
        <v>13</v>
      </c>
      <c r="J175" s="3">
        <f ca="1">+TODAY()-cartera02[[#This Row],[fecha]]</f>
        <v>13</v>
      </c>
    </row>
    <row r="176" spans="1:10" x14ac:dyDescent="0.25">
      <c r="A176" s="1" t="s">
        <v>220</v>
      </c>
      <c r="B176" s="1" t="s">
        <v>221</v>
      </c>
      <c r="C176" s="1" t="s">
        <v>61</v>
      </c>
      <c r="D176" s="1" t="s">
        <v>252</v>
      </c>
      <c r="E176">
        <v>2100000</v>
      </c>
      <c r="F176" s="2">
        <v>46088</v>
      </c>
      <c r="G176" s="2">
        <v>46098</v>
      </c>
      <c r="H176" s="1" t="s">
        <v>223</v>
      </c>
      <c r="I176" s="1" t="s">
        <v>13</v>
      </c>
      <c r="J176" s="3">
        <f ca="1">+TODAY()-cartera02[[#This Row],[fecha]]</f>
        <v>12</v>
      </c>
    </row>
    <row r="177" spans="1:10" x14ac:dyDescent="0.25">
      <c r="A177" s="1" t="s">
        <v>220</v>
      </c>
      <c r="B177" s="1" t="s">
        <v>221</v>
      </c>
      <c r="C177" s="1" t="s">
        <v>61</v>
      </c>
      <c r="D177" s="1" t="s">
        <v>253</v>
      </c>
      <c r="E177">
        <v>517200</v>
      </c>
      <c r="F177" s="2">
        <v>46092</v>
      </c>
      <c r="G177" s="2">
        <v>46122</v>
      </c>
      <c r="H177" s="1" t="s">
        <v>223</v>
      </c>
      <c r="I177" s="1" t="s">
        <v>13</v>
      </c>
      <c r="J177" s="3">
        <f ca="1">+TODAY()-cartera02[[#This Row],[fecha]]</f>
        <v>8</v>
      </c>
    </row>
    <row r="178" spans="1:10" x14ac:dyDescent="0.25">
      <c r="A178" s="1" t="s">
        <v>220</v>
      </c>
      <c r="B178" s="1" t="s">
        <v>221</v>
      </c>
      <c r="C178" s="1" t="s">
        <v>61</v>
      </c>
      <c r="D178" s="1" t="s">
        <v>254</v>
      </c>
      <c r="E178">
        <v>494076</v>
      </c>
      <c r="F178" s="2">
        <v>46093</v>
      </c>
      <c r="G178" s="2">
        <v>46123</v>
      </c>
      <c r="H178" s="1" t="s">
        <v>223</v>
      </c>
      <c r="I178" s="1" t="s">
        <v>13</v>
      </c>
      <c r="J178" s="3">
        <f ca="1">+TODAY()-cartera02[[#This Row],[fecha]]</f>
        <v>7</v>
      </c>
    </row>
    <row r="179" spans="1:10" x14ac:dyDescent="0.25">
      <c r="A179" s="1" t="s">
        <v>220</v>
      </c>
      <c r="B179" s="1" t="s">
        <v>221</v>
      </c>
      <c r="C179" s="1" t="s">
        <v>61</v>
      </c>
      <c r="D179" s="1" t="s">
        <v>255</v>
      </c>
      <c r="E179">
        <v>1569790</v>
      </c>
      <c r="F179" s="2">
        <v>46093</v>
      </c>
      <c r="G179" s="2">
        <v>46123</v>
      </c>
      <c r="H179" s="1" t="s">
        <v>223</v>
      </c>
      <c r="I179" s="1" t="s">
        <v>13</v>
      </c>
      <c r="J179" s="3">
        <f ca="1">+TODAY()-cartera02[[#This Row],[fecha]]</f>
        <v>7</v>
      </c>
    </row>
    <row r="180" spans="1:10" x14ac:dyDescent="0.25">
      <c r="A180" s="1" t="s">
        <v>220</v>
      </c>
      <c r="B180" s="1" t="s">
        <v>221</v>
      </c>
      <c r="C180" s="1" t="s">
        <v>61</v>
      </c>
      <c r="D180" s="1" t="s">
        <v>256</v>
      </c>
      <c r="E180">
        <v>508801</v>
      </c>
      <c r="F180" s="2">
        <v>46093</v>
      </c>
      <c r="G180" s="2">
        <v>46123</v>
      </c>
      <c r="H180" s="1" t="s">
        <v>223</v>
      </c>
      <c r="I180" s="1" t="s">
        <v>13</v>
      </c>
      <c r="J180" s="3">
        <f ca="1">+TODAY()-cartera02[[#This Row],[fecha]]</f>
        <v>7</v>
      </c>
    </row>
    <row r="181" spans="1:10" x14ac:dyDescent="0.25">
      <c r="A181" s="1" t="s">
        <v>220</v>
      </c>
      <c r="B181" s="1" t="s">
        <v>221</v>
      </c>
      <c r="C181" s="1" t="s">
        <v>61</v>
      </c>
      <c r="D181" s="1" t="s">
        <v>257</v>
      </c>
      <c r="E181">
        <v>315000</v>
      </c>
      <c r="F181" s="2">
        <v>46093</v>
      </c>
      <c r="G181" s="2">
        <v>46123</v>
      </c>
      <c r="H181" s="1" t="s">
        <v>223</v>
      </c>
      <c r="I181" s="1" t="s">
        <v>13</v>
      </c>
      <c r="J181" s="3">
        <f ca="1">+TODAY()-cartera02[[#This Row],[fecha]]</f>
        <v>7</v>
      </c>
    </row>
    <row r="182" spans="1:10" x14ac:dyDescent="0.25">
      <c r="A182" s="1" t="s">
        <v>220</v>
      </c>
      <c r="B182" s="1" t="s">
        <v>221</v>
      </c>
      <c r="C182" s="1" t="s">
        <v>61</v>
      </c>
      <c r="D182" s="1" t="s">
        <v>258</v>
      </c>
      <c r="E182">
        <v>1017010</v>
      </c>
      <c r="F182" s="2">
        <v>46094</v>
      </c>
      <c r="G182" s="2">
        <v>46124</v>
      </c>
      <c r="H182" s="1" t="s">
        <v>223</v>
      </c>
      <c r="I182" s="1" t="s">
        <v>13</v>
      </c>
      <c r="J182" s="3">
        <f ca="1">+TODAY()-cartera02[[#This Row],[fecha]]</f>
        <v>6</v>
      </c>
    </row>
    <row r="183" spans="1:10" x14ac:dyDescent="0.25">
      <c r="A183" s="1" t="s">
        <v>220</v>
      </c>
      <c r="B183" s="1" t="s">
        <v>221</v>
      </c>
      <c r="C183" s="1" t="s">
        <v>61</v>
      </c>
      <c r="D183" s="1" t="s">
        <v>259</v>
      </c>
      <c r="E183">
        <v>2100000</v>
      </c>
      <c r="F183" s="2">
        <v>46094</v>
      </c>
      <c r="G183" s="2">
        <v>46104</v>
      </c>
      <c r="H183" s="1" t="s">
        <v>223</v>
      </c>
      <c r="I183" s="1" t="s">
        <v>13</v>
      </c>
      <c r="J183" s="3">
        <f ca="1">+TODAY()-cartera02[[#This Row],[fecha]]</f>
        <v>6</v>
      </c>
    </row>
    <row r="184" spans="1:10" x14ac:dyDescent="0.25">
      <c r="A184" s="1" t="s">
        <v>220</v>
      </c>
      <c r="B184" s="1" t="s">
        <v>221</v>
      </c>
      <c r="C184" s="1" t="s">
        <v>61</v>
      </c>
      <c r="D184" s="1" t="s">
        <v>260</v>
      </c>
      <c r="E184">
        <v>2100000</v>
      </c>
      <c r="F184" s="2">
        <v>46097</v>
      </c>
      <c r="G184" s="2">
        <v>46107</v>
      </c>
      <c r="H184" s="1" t="s">
        <v>223</v>
      </c>
      <c r="I184" s="1" t="s">
        <v>13</v>
      </c>
      <c r="J184" s="3">
        <f ca="1">+TODAY()-cartera02[[#This Row],[fecha]]</f>
        <v>3</v>
      </c>
    </row>
    <row r="185" spans="1:10" x14ac:dyDescent="0.25">
      <c r="A185" s="1" t="s">
        <v>220</v>
      </c>
      <c r="B185" s="1" t="s">
        <v>221</v>
      </c>
      <c r="C185" s="1" t="s">
        <v>61</v>
      </c>
      <c r="D185" s="1" t="s">
        <v>261</v>
      </c>
      <c r="E185">
        <v>840000</v>
      </c>
      <c r="F185" s="2">
        <v>46097</v>
      </c>
      <c r="G185" s="2">
        <v>46107</v>
      </c>
      <c r="H185" s="1" t="s">
        <v>223</v>
      </c>
      <c r="I185" s="1" t="s">
        <v>13</v>
      </c>
      <c r="J185" s="3">
        <f ca="1">+TODAY()-cartera02[[#This Row],[fecha]]</f>
        <v>3</v>
      </c>
    </row>
    <row r="186" spans="1:10" x14ac:dyDescent="0.25">
      <c r="A186" s="1" t="s">
        <v>220</v>
      </c>
      <c r="B186" s="1" t="s">
        <v>221</v>
      </c>
      <c r="C186" s="1" t="s">
        <v>61</v>
      </c>
      <c r="D186" s="1" t="s">
        <v>262</v>
      </c>
      <c r="E186">
        <v>1034410</v>
      </c>
      <c r="F186" s="2">
        <v>46098</v>
      </c>
      <c r="G186" s="2">
        <v>46128</v>
      </c>
      <c r="H186" s="1" t="s">
        <v>223</v>
      </c>
      <c r="I186" s="1" t="s">
        <v>13</v>
      </c>
      <c r="J186" s="3">
        <f ca="1">+TODAY()-cartera02[[#This Row],[fecha]]</f>
        <v>2</v>
      </c>
    </row>
    <row r="187" spans="1:10" x14ac:dyDescent="0.25">
      <c r="A187" s="1" t="s">
        <v>220</v>
      </c>
      <c r="B187" s="1" t="s">
        <v>221</v>
      </c>
      <c r="C187" s="1" t="s">
        <v>61</v>
      </c>
      <c r="D187" s="1" t="s">
        <v>263</v>
      </c>
      <c r="E187">
        <v>174806</v>
      </c>
      <c r="F187" s="2">
        <v>46098</v>
      </c>
      <c r="G187" s="2">
        <v>46128</v>
      </c>
      <c r="H187" s="1" t="s">
        <v>223</v>
      </c>
      <c r="I187" s="1" t="s">
        <v>13</v>
      </c>
      <c r="J187" s="3">
        <f ca="1">+TODAY()-cartera02[[#This Row],[fecha]]</f>
        <v>2</v>
      </c>
    </row>
    <row r="188" spans="1:10" x14ac:dyDescent="0.25">
      <c r="A188" s="1" t="s">
        <v>220</v>
      </c>
      <c r="B188" s="1" t="s">
        <v>221</v>
      </c>
      <c r="C188" s="1" t="s">
        <v>61</v>
      </c>
      <c r="D188" s="1" t="s">
        <v>264</v>
      </c>
      <c r="E188">
        <v>349611</v>
      </c>
      <c r="F188" s="2">
        <v>46098</v>
      </c>
      <c r="G188" s="2">
        <v>46128</v>
      </c>
      <c r="H188" s="1" t="s">
        <v>223</v>
      </c>
      <c r="I188" s="1" t="s">
        <v>13</v>
      </c>
      <c r="J188" s="3">
        <f ca="1">+TODAY()-cartera02[[#This Row],[fecha]]</f>
        <v>2</v>
      </c>
    </row>
    <row r="189" spans="1:10" x14ac:dyDescent="0.25">
      <c r="A189" s="1" t="s">
        <v>220</v>
      </c>
      <c r="B189" s="1" t="s">
        <v>221</v>
      </c>
      <c r="C189" s="1" t="s">
        <v>61</v>
      </c>
      <c r="D189" s="1" t="s">
        <v>265</v>
      </c>
      <c r="E189">
        <v>1366942</v>
      </c>
      <c r="F189" s="2">
        <v>46099</v>
      </c>
      <c r="G189" s="2">
        <v>46129</v>
      </c>
      <c r="H189" s="1" t="s">
        <v>223</v>
      </c>
      <c r="I189" s="1" t="s">
        <v>13</v>
      </c>
      <c r="J189" s="3">
        <f ca="1">+TODAY()-cartera02[[#This Row],[fecha]]</f>
        <v>1</v>
      </c>
    </row>
    <row r="190" spans="1:10" x14ac:dyDescent="0.25">
      <c r="A190" s="1" t="s">
        <v>220</v>
      </c>
      <c r="B190" s="1" t="s">
        <v>221</v>
      </c>
      <c r="C190" s="1" t="s">
        <v>61</v>
      </c>
      <c r="D190" s="1" t="s">
        <v>266</v>
      </c>
      <c r="E190">
        <v>1203188</v>
      </c>
      <c r="F190" s="2">
        <v>46099</v>
      </c>
      <c r="G190" s="2">
        <v>46129</v>
      </c>
      <c r="H190" s="1" t="s">
        <v>223</v>
      </c>
      <c r="I190" s="1" t="s">
        <v>13</v>
      </c>
      <c r="J190" s="3">
        <f ca="1">+TODAY()-cartera02[[#This Row],[fecha]]</f>
        <v>1</v>
      </c>
    </row>
    <row r="191" spans="1:10" x14ac:dyDescent="0.25">
      <c r="A191" s="1" t="s">
        <v>220</v>
      </c>
      <c r="B191" s="1" t="s">
        <v>221</v>
      </c>
      <c r="C191" s="1" t="s">
        <v>61</v>
      </c>
      <c r="D191" s="1" t="s">
        <v>267</v>
      </c>
      <c r="E191">
        <v>394500</v>
      </c>
      <c r="F191" s="2">
        <v>46099</v>
      </c>
      <c r="G191" s="2">
        <v>46129</v>
      </c>
      <c r="H191" s="1" t="s">
        <v>223</v>
      </c>
      <c r="I191" s="1" t="s">
        <v>13</v>
      </c>
      <c r="J191" s="3">
        <f ca="1">+TODAY()-cartera02[[#This Row],[fecha]]</f>
        <v>1</v>
      </c>
    </row>
    <row r="192" spans="1:10" x14ac:dyDescent="0.25">
      <c r="A192" s="1" t="s">
        <v>220</v>
      </c>
      <c r="B192" s="1" t="s">
        <v>221</v>
      </c>
      <c r="C192" s="1" t="s">
        <v>61</v>
      </c>
      <c r="D192" s="1" t="s">
        <v>645</v>
      </c>
      <c r="E192">
        <v>70000</v>
      </c>
      <c r="F192" s="2">
        <v>46100</v>
      </c>
      <c r="G192" s="2">
        <v>46101</v>
      </c>
      <c r="H192" s="1" t="s">
        <v>223</v>
      </c>
      <c r="I192" s="1" t="s">
        <v>13</v>
      </c>
      <c r="J192" s="3">
        <f ca="1">+TODAY()-cartera02[[#This Row],[fecha]]</f>
        <v>0</v>
      </c>
    </row>
    <row r="193" spans="1:10" x14ac:dyDescent="0.25">
      <c r="A193" s="1" t="s">
        <v>268</v>
      </c>
      <c r="B193" s="1" t="s">
        <v>269</v>
      </c>
      <c r="C193" s="1" t="s">
        <v>61</v>
      </c>
      <c r="D193" s="1" t="s">
        <v>270</v>
      </c>
      <c r="E193">
        <v>9150152</v>
      </c>
      <c r="F193" s="2">
        <v>46063</v>
      </c>
      <c r="G193" s="2">
        <v>46093</v>
      </c>
      <c r="H193" s="1" t="s">
        <v>271</v>
      </c>
      <c r="I193" s="1" t="s">
        <v>13</v>
      </c>
      <c r="J193" s="3">
        <f ca="1">+TODAY()-cartera02[[#This Row],[fecha]]</f>
        <v>37</v>
      </c>
    </row>
    <row r="194" spans="1:10" x14ac:dyDescent="0.25">
      <c r="A194" s="1" t="s">
        <v>268</v>
      </c>
      <c r="B194" s="1" t="s">
        <v>269</v>
      </c>
      <c r="C194" s="1" t="s">
        <v>61</v>
      </c>
      <c r="D194" s="1" t="s">
        <v>272</v>
      </c>
      <c r="E194">
        <v>3251178</v>
      </c>
      <c r="F194" s="2">
        <v>46070</v>
      </c>
      <c r="G194" s="2">
        <v>46100</v>
      </c>
      <c r="H194" s="1" t="s">
        <v>271</v>
      </c>
      <c r="I194" s="1" t="s">
        <v>13</v>
      </c>
      <c r="J194" s="3">
        <f ca="1">+TODAY()-cartera02[[#This Row],[fecha]]</f>
        <v>30</v>
      </c>
    </row>
    <row r="195" spans="1:10" x14ac:dyDescent="0.25">
      <c r="A195" s="1" t="s">
        <v>268</v>
      </c>
      <c r="B195" s="1" t="s">
        <v>269</v>
      </c>
      <c r="C195" s="1" t="s">
        <v>61</v>
      </c>
      <c r="D195" s="1" t="s">
        <v>273</v>
      </c>
      <c r="E195">
        <v>179999</v>
      </c>
      <c r="F195" s="2">
        <v>46070</v>
      </c>
      <c r="G195" s="2">
        <v>46100</v>
      </c>
      <c r="H195" s="1" t="s">
        <v>271</v>
      </c>
      <c r="I195" s="1" t="s">
        <v>13</v>
      </c>
      <c r="J195" s="3">
        <f ca="1">+TODAY()-cartera02[[#This Row],[fecha]]</f>
        <v>30</v>
      </c>
    </row>
    <row r="196" spans="1:10" x14ac:dyDescent="0.25">
      <c r="A196" s="1" t="s">
        <v>268</v>
      </c>
      <c r="B196" s="1" t="s">
        <v>269</v>
      </c>
      <c r="C196" s="1" t="s">
        <v>61</v>
      </c>
      <c r="D196" s="1" t="s">
        <v>274</v>
      </c>
      <c r="E196">
        <v>263700</v>
      </c>
      <c r="F196" s="2">
        <v>46070</v>
      </c>
      <c r="G196" s="2">
        <v>46100</v>
      </c>
      <c r="H196" s="1" t="s">
        <v>271</v>
      </c>
      <c r="I196" s="1" t="s">
        <v>13</v>
      </c>
      <c r="J196" s="3">
        <f ca="1">+TODAY()-cartera02[[#This Row],[fecha]]</f>
        <v>30</v>
      </c>
    </row>
    <row r="197" spans="1:10" x14ac:dyDescent="0.25">
      <c r="A197" s="1" t="s">
        <v>268</v>
      </c>
      <c r="B197" s="1" t="s">
        <v>269</v>
      </c>
      <c r="C197" s="1" t="s">
        <v>61</v>
      </c>
      <c r="D197" s="1" t="s">
        <v>275</v>
      </c>
      <c r="E197">
        <v>361498</v>
      </c>
      <c r="F197" s="2">
        <v>46072</v>
      </c>
      <c r="G197" s="2">
        <v>46102</v>
      </c>
      <c r="H197" s="1" t="s">
        <v>271</v>
      </c>
      <c r="I197" s="1" t="s">
        <v>13</v>
      </c>
      <c r="J197" s="3">
        <f ca="1">+TODAY()-cartera02[[#This Row],[fecha]]</f>
        <v>28</v>
      </c>
    </row>
    <row r="198" spans="1:10" x14ac:dyDescent="0.25">
      <c r="A198" s="1" t="s">
        <v>268</v>
      </c>
      <c r="B198" s="1" t="s">
        <v>269</v>
      </c>
      <c r="C198" s="1" t="s">
        <v>61</v>
      </c>
      <c r="D198" s="1" t="s">
        <v>276</v>
      </c>
      <c r="E198">
        <v>5773761</v>
      </c>
      <c r="F198" s="2">
        <v>46072</v>
      </c>
      <c r="G198" s="2">
        <v>46102</v>
      </c>
      <c r="H198" s="1" t="s">
        <v>271</v>
      </c>
      <c r="I198" s="1" t="s">
        <v>13</v>
      </c>
      <c r="J198" s="3">
        <f ca="1">+TODAY()-cartera02[[#This Row],[fecha]]</f>
        <v>28</v>
      </c>
    </row>
    <row r="199" spans="1:10" x14ac:dyDescent="0.25">
      <c r="A199" s="1" t="s">
        <v>268</v>
      </c>
      <c r="B199" s="1" t="s">
        <v>269</v>
      </c>
      <c r="C199" s="1" t="s">
        <v>61</v>
      </c>
      <c r="D199" s="1" t="s">
        <v>277</v>
      </c>
      <c r="E199">
        <v>260400</v>
      </c>
      <c r="F199" s="2">
        <v>46072</v>
      </c>
      <c r="G199" s="2">
        <v>46102</v>
      </c>
      <c r="H199" s="1" t="s">
        <v>271</v>
      </c>
      <c r="I199" s="1" t="s">
        <v>13</v>
      </c>
      <c r="J199" s="3">
        <f ca="1">+TODAY()-cartera02[[#This Row],[fecha]]</f>
        <v>28</v>
      </c>
    </row>
    <row r="200" spans="1:10" x14ac:dyDescent="0.25">
      <c r="A200" s="1" t="s">
        <v>268</v>
      </c>
      <c r="B200" s="1" t="s">
        <v>269</v>
      </c>
      <c r="C200" s="1" t="s">
        <v>61</v>
      </c>
      <c r="D200" s="1" t="s">
        <v>278</v>
      </c>
      <c r="E200">
        <v>214798</v>
      </c>
      <c r="F200" s="2">
        <v>46073</v>
      </c>
      <c r="G200" s="2">
        <v>46103</v>
      </c>
      <c r="H200" s="1" t="s">
        <v>271</v>
      </c>
      <c r="I200" s="1" t="s">
        <v>13</v>
      </c>
      <c r="J200" s="3">
        <f ca="1">+TODAY()-cartera02[[#This Row],[fecha]]</f>
        <v>27</v>
      </c>
    </row>
    <row r="201" spans="1:10" x14ac:dyDescent="0.25">
      <c r="A201" s="1" t="s">
        <v>268</v>
      </c>
      <c r="B201" s="1" t="s">
        <v>269</v>
      </c>
      <c r="C201" s="1" t="s">
        <v>61</v>
      </c>
      <c r="D201" s="1" t="s">
        <v>279</v>
      </c>
      <c r="E201">
        <v>2895000</v>
      </c>
      <c r="F201" s="2">
        <v>46078</v>
      </c>
      <c r="G201" s="2">
        <v>46108</v>
      </c>
      <c r="H201" s="1" t="s">
        <v>271</v>
      </c>
      <c r="I201" s="1" t="s">
        <v>13</v>
      </c>
      <c r="J201" s="3">
        <f ca="1">+TODAY()-cartera02[[#This Row],[fecha]]</f>
        <v>22</v>
      </c>
    </row>
    <row r="202" spans="1:10" x14ac:dyDescent="0.25">
      <c r="A202" s="1" t="s">
        <v>268</v>
      </c>
      <c r="B202" s="1" t="s">
        <v>269</v>
      </c>
      <c r="C202" s="1" t="s">
        <v>61</v>
      </c>
      <c r="D202" s="1" t="s">
        <v>280</v>
      </c>
      <c r="E202">
        <v>144000</v>
      </c>
      <c r="F202" s="2">
        <v>46080</v>
      </c>
      <c r="G202" s="2">
        <v>46110</v>
      </c>
      <c r="H202" s="1" t="s">
        <v>271</v>
      </c>
      <c r="I202" s="1" t="s">
        <v>13</v>
      </c>
      <c r="J202" s="3">
        <f ca="1">+TODAY()-cartera02[[#This Row],[fecha]]</f>
        <v>20</v>
      </c>
    </row>
    <row r="203" spans="1:10" x14ac:dyDescent="0.25">
      <c r="A203" s="1" t="s">
        <v>268</v>
      </c>
      <c r="B203" s="1" t="s">
        <v>269</v>
      </c>
      <c r="C203" s="1" t="s">
        <v>61</v>
      </c>
      <c r="D203" s="1" t="s">
        <v>281</v>
      </c>
      <c r="E203">
        <v>87400</v>
      </c>
      <c r="F203" s="2">
        <v>46083</v>
      </c>
      <c r="G203" s="2">
        <v>46113</v>
      </c>
      <c r="H203" s="1" t="s">
        <v>271</v>
      </c>
      <c r="I203" s="1" t="s">
        <v>13</v>
      </c>
      <c r="J203" s="3">
        <f ca="1">+TODAY()-cartera02[[#This Row],[fecha]]</f>
        <v>17</v>
      </c>
    </row>
    <row r="204" spans="1:10" x14ac:dyDescent="0.25">
      <c r="A204" s="1" t="s">
        <v>268</v>
      </c>
      <c r="B204" s="1" t="s">
        <v>269</v>
      </c>
      <c r="C204" s="1" t="s">
        <v>61</v>
      </c>
      <c r="D204" s="1" t="s">
        <v>282</v>
      </c>
      <c r="E204">
        <v>1184995</v>
      </c>
      <c r="F204" s="2">
        <v>46084</v>
      </c>
      <c r="G204" s="2">
        <v>46114</v>
      </c>
      <c r="H204" s="1" t="s">
        <v>271</v>
      </c>
      <c r="I204" s="1" t="s">
        <v>13</v>
      </c>
      <c r="J204" s="3">
        <f ca="1">+TODAY()-cartera02[[#This Row],[fecha]]</f>
        <v>16</v>
      </c>
    </row>
    <row r="205" spans="1:10" x14ac:dyDescent="0.25">
      <c r="A205" s="1" t="s">
        <v>268</v>
      </c>
      <c r="B205" s="1" t="s">
        <v>269</v>
      </c>
      <c r="C205" s="1" t="s">
        <v>61</v>
      </c>
      <c r="D205" s="1" t="s">
        <v>283</v>
      </c>
      <c r="E205">
        <v>194408</v>
      </c>
      <c r="F205" s="2">
        <v>46085</v>
      </c>
      <c r="G205" s="2">
        <v>46115</v>
      </c>
      <c r="H205" s="1" t="s">
        <v>271</v>
      </c>
      <c r="I205" s="1" t="s">
        <v>13</v>
      </c>
      <c r="J205" s="3">
        <f ca="1">+TODAY()-cartera02[[#This Row],[fecha]]</f>
        <v>15</v>
      </c>
    </row>
    <row r="206" spans="1:10" x14ac:dyDescent="0.25">
      <c r="A206" s="1" t="s">
        <v>268</v>
      </c>
      <c r="B206" s="1" t="s">
        <v>269</v>
      </c>
      <c r="C206" s="1" t="s">
        <v>61</v>
      </c>
      <c r="D206" s="1" t="s">
        <v>284</v>
      </c>
      <c r="E206">
        <v>3908694</v>
      </c>
      <c r="F206" s="2">
        <v>46085</v>
      </c>
      <c r="G206" s="2">
        <v>46115</v>
      </c>
      <c r="H206" s="1" t="s">
        <v>271</v>
      </c>
      <c r="I206" s="1" t="s">
        <v>13</v>
      </c>
      <c r="J206" s="3">
        <f ca="1">+TODAY()-cartera02[[#This Row],[fecha]]</f>
        <v>15</v>
      </c>
    </row>
    <row r="207" spans="1:10" x14ac:dyDescent="0.25">
      <c r="A207" s="1" t="s">
        <v>268</v>
      </c>
      <c r="B207" s="1" t="s">
        <v>269</v>
      </c>
      <c r="C207" s="1" t="s">
        <v>61</v>
      </c>
      <c r="D207" s="1" t="s">
        <v>285</v>
      </c>
      <c r="E207">
        <v>3792770</v>
      </c>
      <c r="F207" s="2">
        <v>46085</v>
      </c>
      <c r="G207" s="2">
        <v>46115</v>
      </c>
      <c r="H207" s="1" t="s">
        <v>271</v>
      </c>
      <c r="I207" s="1" t="s">
        <v>13</v>
      </c>
      <c r="J207" s="3">
        <f ca="1">+TODAY()-cartera02[[#This Row],[fecha]]</f>
        <v>15</v>
      </c>
    </row>
    <row r="208" spans="1:10" x14ac:dyDescent="0.25">
      <c r="A208" s="1" t="s">
        <v>268</v>
      </c>
      <c r="B208" s="1" t="s">
        <v>269</v>
      </c>
      <c r="C208" s="1" t="s">
        <v>61</v>
      </c>
      <c r="D208" s="1" t="s">
        <v>286</v>
      </c>
      <c r="E208">
        <v>11742568</v>
      </c>
      <c r="F208" s="2">
        <v>46087</v>
      </c>
      <c r="G208" s="2">
        <v>46117</v>
      </c>
      <c r="H208" s="1" t="s">
        <v>271</v>
      </c>
      <c r="I208" s="1" t="s">
        <v>13</v>
      </c>
      <c r="J208" s="3">
        <f ca="1">+TODAY()-cartera02[[#This Row],[fecha]]</f>
        <v>13</v>
      </c>
    </row>
    <row r="209" spans="1:10" x14ac:dyDescent="0.25">
      <c r="A209" s="1" t="s">
        <v>268</v>
      </c>
      <c r="B209" s="1" t="s">
        <v>269</v>
      </c>
      <c r="C209" s="1" t="s">
        <v>61</v>
      </c>
      <c r="D209" s="1" t="s">
        <v>287</v>
      </c>
      <c r="E209">
        <v>6148232</v>
      </c>
      <c r="F209" s="2">
        <v>46087</v>
      </c>
      <c r="G209" s="2">
        <v>46117</v>
      </c>
      <c r="H209" s="1" t="s">
        <v>271</v>
      </c>
      <c r="I209" s="1" t="s">
        <v>13</v>
      </c>
      <c r="J209" s="3">
        <f ca="1">+TODAY()-cartera02[[#This Row],[fecha]]</f>
        <v>13</v>
      </c>
    </row>
    <row r="210" spans="1:10" x14ac:dyDescent="0.25">
      <c r="A210" s="1" t="s">
        <v>268</v>
      </c>
      <c r="B210" s="1" t="s">
        <v>269</v>
      </c>
      <c r="C210" s="1" t="s">
        <v>61</v>
      </c>
      <c r="D210" s="1" t="s">
        <v>288</v>
      </c>
      <c r="E210">
        <v>5817758</v>
      </c>
      <c r="F210" s="2">
        <v>46088</v>
      </c>
      <c r="G210" s="2">
        <v>46118</v>
      </c>
      <c r="H210" s="1" t="s">
        <v>271</v>
      </c>
      <c r="I210" s="1" t="s">
        <v>13</v>
      </c>
      <c r="J210" s="3">
        <f ca="1">+TODAY()-cartera02[[#This Row],[fecha]]</f>
        <v>12</v>
      </c>
    </row>
    <row r="211" spans="1:10" x14ac:dyDescent="0.25">
      <c r="A211" s="1" t="s">
        <v>268</v>
      </c>
      <c r="B211" s="1" t="s">
        <v>269</v>
      </c>
      <c r="C211" s="1" t="s">
        <v>61</v>
      </c>
      <c r="D211" s="1" t="s">
        <v>289</v>
      </c>
      <c r="E211">
        <v>4200000</v>
      </c>
      <c r="F211" s="2">
        <v>46088</v>
      </c>
      <c r="G211" s="2">
        <v>46098</v>
      </c>
      <c r="H211" s="1" t="s">
        <v>271</v>
      </c>
      <c r="I211" s="1" t="s">
        <v>13</v>
      </c>
      <c r="J211" s="3">
        <f ca="1">+TODAY()-cartera02[[#This Row],[fecha]]</f>
        <v>12</v>
      </c>
    </row>
    <row r="212" spans="1:10" x14ac:dyDescent="0.25">
      <c r="A212" s="1" t="s">
        <v>268</v>
      </c>
      <c r="B212" s="1" t="s">
        <v>269</v>
      </c>
      <c r="C212" s="1" t="s">
        <v>61</v>
      </c>
      <c r="D212" s="1" t="s">
        <v>290</v>
      </c>
      <c r="E212">
        <v>145200</v>
      </c>
      <c r="F212" s="2">
        <v>46088</v>
      </c>
      <c r="G212" s="2">
        <v>46118</v>
      </c>
      <c r="H212" s="1" t="s">
        <v>271</v>
      </c>
      <c r="I212" s="1" t="s">
        <v>13</v>
      </c>
      <c r="J212" s="3">
        <f ca="1">+TODAY()-cartera02[[#This Row],[fecha]]</f>
        <v>12</v>
      </c>
    </row>
    <row r="213" spans="1:10" x14ac:dyDescent="0.25">
      <c r="A213" s="1" t="s">
        <v>268</v>
      </c>
      <c r="B213" s="1" t="s">
        <v>269</v>
      </c>
      <c r="C213" s="1" t="s">
        <v>61</v>
      </c>
      <c r="D213" s="1" t="s">
        <v>291</v>
      </c>
      <c r="E213">
        <v>3</v>
      </c>
      <c r="F213" s="2">
        <v>46091</v>
      </c>
      <c r="G213" s="2">
        <v>46101</v>
      </c>
      <c r="H213" s="1" t="s">
        <v>271</v>
      </c>
      <c r="I213" s="1" t="s">
        <v>13</v>
      </c>
      <c r="J213" s="3">
        <f ca="1">+TODAY()-cartera02[[#This Row],[fecha]]</f>
        <v>9</v>
      </c>
    </row>
    <row r="214" spans="1:10" x14ac:dyDescent="0.25">
      <c r="A214" s="1" t="s">
        <v>268</v>
      </c>
      <c r="B214" s="1" t="s">
        <v>269</v>
      </c>
      <c r="C214" s="1" t="s">
        <v>61</v>
      </c>
      <c r="D214" s="1" t="s">
        <v>292</v>
      </c>
      <c r="E214">
        <v>2197500</v>
      </c>
      <c r="F214" s="2">
        <v>46091</v>
      </c>
      <c r="G214" s="2">
        <v>46121</v>
      </c>
      <c r="H214" s="1" t="s">
        <v>271</v>
      </c>
      <c r="I214" s="1" t="s">
        <v>13</v>
      </c>
      <c r="J214" s="3">
        <f ca="1">+TODAY()-cartera02[[#This Row],[fecha]]</f>
        <v>9</v>
      </c>
    </row>
    <row r="215" spans="1:10" x14ac:dyDescent="0.25">
      <c r="A215" s="1" t="s">
        <v>268</v>
      </c>
      <c r="B215" s="1" t="s">
        <v>269</v>
      </c>
      <c r="C215" s="1" t="s">
        <v>61</v>
      </c>
      <c r="D215" s="1" t="s">
        <v>293</v>
      </c>
      <c r="E215">
        <v>307822</v>
      </c>
      <c r="F215" s="2">
        <v>46092</v>
      </c>
      <c r="G215" s="2">
        <v>46122</v>
      </c>
      <c r="H215" s="1" t="s">
        <v>271</v>
      </c>
      <c r="I215" s="1" t="s">
        <v>13</v>
      </c>
      <c r="J215" s="3">
        <f ca="1">+TODAY()-cartera02[[#This Row],[fecha]]</f>
        <v>8</v>
      </c>
    </row>
    <row r="216" spans="1:10" x14ac:dyDescent="0.25">
      <c r="A216" s="1" t="s">
        <v>268</v>
      </c>
      <c r="B216" s="1" t="s">
        <v>269</v>
      </c>
      <c r="C216" s="1" t="s">
        <v>61</v>
      </c>
      <c r="D216" s="1" t="s">
        <v>294</v>
      </c>
      <c r="E216">
        <v>220495</v>
      </c>
      <c r="F216" s="2">
        <v>46092</v>
      </c>
      <c r="G216" s="2">
        <v>46122</v>
      </c>
      <c r="H216" s="1" t="s">
        <v>271</v>
      </c>
      <c r="I216" s="1" t="s">
        <v>13</v>
      </c>
      <c r="J216" s="3">
        <f ca="1">+TODAY()-cartera02[[#This Row],[fecha]]</f>
        <v>8</v>
      </c>
    </row>
    <row r="217" spans="1:10" x14ac:dyDescent="0.25">
      <c r="A217" s="1" t="s">
        <v>268</v>
      </c>
      <c r="B217" s="1" t="s">
        <v>269</v>
      </c>
      <c r="C217" s="1" t="s">
        <v>61</v>
      </c>
      <c r="D217" s="1" t="s">
        <v>295</v>
      </c>
      <c r="E217">
        <v>4800373</v>
      </c>
      <c r="F217" s="2">
        <v>46093</v>
      </c>
      <c r="G217" s="2">
        <v>46123</v>
      </c>
      <c r="H217" s="1" t="s">
        <v>271</v>
      </c>
      <c r="I217" s="1" t="s">
        <v>13</v>
      </c>
      <c r="J217" s="3">
        <f ca="1">+TODAY()-cartera02[[#This Row],[fecha]]</f>
        <v>7</v>
      </c>
    </row>
    <row r="218" spans="1:10" x14ac:dyDescent="0.25">
      <c r="A218" s="1" t="s">
        <v>268</v>
      </c>
      <c r="B218" s="1" t="s">
        <v>269</v>
      </c>
      <c r="C218" s="1" t="s">
        <v>61</v>
      </c>
      <c r="D218" s="1" t="s">
        <v>296</v>
      </c>
      <c r="E218">
        <v>1414796</v>
      </c>
      <c r="F218" s="2">
        <v>46093</v>
      </c>
      <c r="G218" s="2">
        <v>46123</v>
      </c>
      <c r="H218" s="1" t="s">
        <v>271</v>
      </c>
      <c r="I218" s="1" t="s">
        <v>13</v>
      </c>
      <c r="J218" s="3">
        <f ca="1">+TODAY()-cartera02[[#This Row],[fecha]]</f>
        <v>7</v>
      </c>
    </row>
    <row r="219" spans="1:10" x14ac:dyDescent="0.25">
      <c r="A219" s="1" t="s">
        <v>268</v>
      </c>
      <c r="B219" s="1" t="s">
        <v>269</v>
      </c>
      <c r="C219" s="1" t="s">
        <v>61</v>
      </c>
      <c r="D219" s="1" t="s">
        <v>297</v>
      </c>
      <c r="E219">
        <v>237500</v>
      </c>
      <c r="F219" s="2">
        <v>46093</v>
      </c>
      <c r="G219" s="2">
        <v>46123</v>
      </c>
      <c r="H219" s="1" t="s">
        <v>271</v>
      </c>
      <c r="I219" s="1" t="s">
        <v>13</v>
      </c>
      <c r="J219" s="3">
        <f ca="1">+TODAY()-cartera02[[#This Row],[fecha]]</f>
        <v>7</v>
      </c>
    </row>
    <row r="220" spans="1:10" x14ac:dyDescent="0.25">
      <c r="A220" s="1" t="s">
        <v>268</v>
      </c>
      <c r="B220" s="1" t="s">
        <v>269</v>
      </c>
      <c r="C220" s="1" t="s">
        <v>61</v>
      </c>
      <c r="D220" s="1" t="s">
        <v>298</v>
      </c>
      <c r="E220">
        <v>637336</v>
      </c>
      <c r="F220" s="2">
        <v>46094</v>
      </c>
      <c r="G220" s="2">
        <v>46124</v>
      </c>
      <c r="H220" s="1" t="s">
        <v>271</v>
      </c>
      <c r="I220" s="1" t="s">
        <v>13</v>
      </c>
      <c r="J220" s="3">
        <f ca="1">+TODAY()-cartera02[[#This Row],[fecha]]</f>
        <v>6</v>
      </c>
    </row>
    <row r="221" spans="1:10" x14ac:dyDescent="0.25">
      <c r="A221" s="1" t="s">
        <v>268</v>
      </c>
      <c r="B221" s="1" t="s">
        <v>269</v>
      </c>
      <c r="C221" s="1" t="s">
        <v>61</v>
      </c>
      <c r="D221" s="1" t="s">
        <v>299</v>
      </c>
      <c r="E221">
        <v>210059</v>
      </c>
      <c r="F221" s="2">
        <v>46094</v>
      </c>
      <c r="G221" s="2">
        <v>46124</v>
      </c>
      <c r="H221" s="1" t="s">
        <v>271</v>
      </c>
      <c r="I221" s="1" t="s">
        <v>13</v>
      </c>
      <c r="J221" s="3">
        <f ca="1">+TODAY()-cartera02[[#This Row],[fecha]]</f>
        <v>6</v>
      </c>
    </row>
    <row r="222" spans="1:10" x14ac:dyDescent="0.25">
      <c r="A222" s="1" t="s">
        <v>268</v>
      </c>
      <c r="B222" s="1" t="s">
        <v>269</v>
      </c>
      <c r="C222" s="1" t="s">
        <v>61</v>
      </c>
      <c r="D222" s="1" t="s">
        <v>300</v>
      </c>
      <c r="E222">
        <v>4816635</v>
      </c>
      <c r="F222" s="2">
        <v>46095</v>
      </c>
      <c r="G222" s="2">
        <v>46125</v>
      </c>
      <c r="H222" s="1" t="s">
        <v>271</v>
      </c>
      <c r="I222" s="1" t="s">
        <v>13</v>
      </c>
      <c r="J222" s="3">
        <f ca="1">+TODAY()-cartera02[[#This Row],[fecha]]</f>
        <v>5</v>
      </c>
    </row>
    <row r="223" spans="1:10" x14ac:dyDescent="0.25">
      <c r="A223" s="1" t="s">
        <v>268</v>
      </c>
      <c r="B223" s="1" t="s">
        <v>269</v>
      </c>
      <c r="C223" s="1" t="s">
        <v>61</v>
      </c>
      <c r="D223" s="1" t="s">
        <v>301</v>
      </c>
      <c r="E223">
        <v>5048857</v>
      </c>
      <c r="F223" s="2">
        <v>46095</v>
      </c>
      <c r="G223" s="2">
        <v>46125</v>
      </c>
      <c r="H223" s="1" t="s">
        <v>271</v>
      </c>
      <c r="I223" s="1" t="s">
        <v>13</v>
      </c>
      <c r="J223" s="3">
        <f ca="1">+TODAY()-cartera02[[#This Row],[fecha]]</f>
        <v>5</v>
      </c>
    </row>
    <row r="224" spans="1:10" x14ac:dyDescent="0.25">
      <c r="A224" s="1" t="s">
        <v>268</v>
      </c>
      <c r="B224" s="1" t="s">
        <v>269</v>
      </c>
      <c r="C224" s="1" t="s">
        <v>61</v>
      </c>
      <c r="D224" s="1" t="s">
        <v>302</v>
      </c>
      <c r="E224">
        <v>2584537</v>
      </c>
      <c r="F224" s="2">
        <v>46095</v>
      </c>
      <c r="G224" s="2">
        <v>46125</v>
      </c>
      <c r="H224" s="1" t="s">
        <v>271</v>
      </c>
      <c r="I224" s="1" t="s">
        <v>13</v>
      </c>
      <c r="J224" s="3">
        <f ca="1">+TODAY()-cartera02[[#This Row],[fecha]]</f>
        <v>5</v>
      </c>
    </row>
    <row r="225" spans="1:10" x14ac:dyDescent="0.25">
      <c r="A225" s="1" t="s">
        <v>268</v>
      </c>
      <c r="B225" s="1" t="s">
        <v>269</v>
      </c>
      <c r="C225" s="1" t="s">
        <v>61</v>
      </c>
      <c r="D225" s="1" t="s">
        <v>303</v>
      </c>
      <c r="E225">
        <v>2312380</v>
      </c>
      <c r="F225" s="2">
        <v>46097</v>
      </c>
      <c r="G225" s="2">
        <v>46127</v>
      </c>
      <c r="H225" s="1" t="s">
        <v>271</v>
      </c>
      <c r="I225" s="1" t="s">
        <v>13</v>
      </c>
      <c r="J225" s="3">
        <f ca="1">+TODAY()-cartera02[[#This Row],[fecha]]</f>
        <v>3</v>
      </c>
    </row>
    <row r="226" spans="1:10" x14ac:dyDescent="0.25">
      <c r="A226" s="1" t="s">
        <v>268</v>
      </c>
      <c r="B226" s="1" t="s">
        <v>269</v>
      </c>
      <c r="C226" s="1" t="s">
        <v>61</v>
      </c>
      <c r="D226" s="1" t="s">
        <v>304</v>
      </c>
      <c r="E226">
        <v>3120012</v>
      </c>
      <c r="F226" s="2">
        <v>46097</v>
      </c>
      <c r="G226" s="2">
        <v>46127</v>
      </c>
      <c r="H226" s="1" t="s">
        <v>271</v>
      </c>
      <c r="I226" s="1" t="s">
        <v>13</v>
      </c>
      <c r="J226" s="3">
        <f ca="1">+TODAY()-cartera02[[#This Row],[fecha]]</f>
        <v>3</v>
      </c>
    </row>
    <row r="227" spans="1:10" x14ac:dyDescent="0.25">
      <c r="A227" s="1" t="s">
        <v>268</v>
      </c>
      <c r="B227" s="1" t="s">
        <v>269</v>
      </c>
      <c r="C227" s="1" t="s">
        <v>61</v>
      </c>
      <c r="D227" s="1" t="s">
        <v>305</v>
      </c>
      <c r="E227">
        <v>3</v>
      </c>
      <c r="F227" s="2">
        <v>46097</v>
      </c>
      <c r="G227" s="2">
        <v>46107</v>
      </c>
      <c r="H227" s="1" t="s">
        <v>271</v>
      </c>
      <c r="I227" s="1" t="s">
        <v>13</v>
      </c>
      <c r="J227" s="3">
        <f ca="1">+TODAY()-cartera02[[#This Row],[fecha]]</f>
        <v>3</v>
      </c>
    </row>
    <row r="228" spans="1:10" x14ac:dyDescent="0.25">
      <c r="A228" s="1" t="s">
        <v>268</v>
      </c>
      <c r="B228" s="1" t="s">
        <v>269</v>
      </c>
      <c r="C228" s="1" t="s">
        <v>61</v>
      </c>
      <c r="D228" s="1" t="s">
        <v>306</v>
      </c>
      <c r="E228">
        <v>12600000</v>
      </c>
      <c r="F228" s="2">
        <v>46097</v>
      </c>
      <c r="G228" s="2">
        <v>46107</v>
      </c>
      <c r="H228" s="1" t="s">
        <v>271</v>
      </c>
      <c r="I228" s="1" t="s">
        <v>13</v>
      </c>
      <c r="J228" s="3">
        <f ca="1">+TODAY()-cartera02[[#This Row],[fecha]]</f>
        <v>3</v>
      </c>
    </row>
    <row r="229" spans="1:10" x14ac:dyDescent="0.25">
      <c r="A229" s="1" t="s">
        <v>268</v>
      </c>
      <c r="B229" s="1" t="s">
        <v>269</v>
      </c>
      <c r="C229" s="1" t="s">
        <v>61</v>
      </c>
      <c r="D229" s="1" t="s">
        <v>307</v>
      </c>
      <c r="E229">
        <v>787198</v>
      </c>
      <c r="F229" s="2">
        <v>46074</v>
      </c>
      <c r="G229" s="2">
        <v>46104</v>
      </c>
      <c r="H229" s="1" t="s">
        <v>271</v>
      </c>
      <c r="I229" s="1" t="s">
        <v>13</v>
      </c>
      <c r="J229" s="3">
        <f ca="1">+TODAY()-cartera02[[#This Row],[fecha]]</f>
        <v>26</v>
      </c>
    </row>
    <row r="230" spans="1:10" x14ac:dyDescent="0.25">
      <c r="A230" s="1" t="s">
        <v>308</v>
      </c>
      <c r="B230" s="1" t="s">
        <v>309</v>
      </c>
      <c r="C230" s="1" t="s">
        <v>61</v>
      </c>
      <c r="D230" s="1" t="s">
        <v>310</v>
      </c>
      <c r="E230">
        <v>397588</v>
      </c>
      <c r="F230" s="2">
        <v>46087</v>
      </c>
      <c r="G230" s="2">
        <v>46117</v>
      </c>
      <c r="H230" s="1" t="s">
        <v>311</v>
      </c>
      <c r="I230" s="1" t="s">
        <v>13</v>
      </c>
      <c r="J230" s="3">
        <f ca="1">+TODAY()-cartera02[[#This Row],[fecha]]</f>
        <v>13</v>
      </c>
    </row>
    <row r="231" spans="1:10" x14ac:dyDescent="0.25">
      <c r="A231" s="1" t="s">
        <v>312</v>
      </c>
      <c r="B231" s="1" t="s">
        <v>313</v>
      </c>
      <c r="C231" s="1" t="s">
        <v>61</v>
      </c>
      <c r="D231" s="1" t="s">
        <v>314</v>
      </c>
      <c r="E231">
        <v>2197500</v>
      </c>
      <c r="F231" s="2">
        <v>46077</v>
      </c>
      <c r="G231" s="2">
        <v>46107</v>
      </c>
      <c r="H231" s="1" t="s">
        <v>315</v>
      </c>
      <c r="I231" s="1" t="s">
        <v>13</v>
      </c>
      <c r="J231" s="3">
        <f ca="1">+TODAY()-cartera02[[#This Row],[fecha]]</f>
        <v>23</v>
      </c>
    </row>
    <row r="232" spans="1:10" x14ac:dyDescent="0.25">
      <c r="A232" s="1" t="s">
        <v>312</v>
      </c>
      <c r="B232" s="1" t="s">
        <v>313</v>
      </c>
      <c r="C232" s="1" t="s">
        <v>61</v>
      </c>
      <c r="D232" s="1" t="s">
        <v>316</v>
      </c>
      <c r="E232">
        <v>2895000</v>
      </c>
      <c r="F232" s="2">
        <v>46078</v>
      </c>
      <c r="G232" s="2">
        <v>46108</v>
      </c>
      <c r="H232" s="1" t="s">
        <v>315</v>
      </c>
      <c r="I232" s="1" t="s">
        <v>13</v>
      </c>
      <c r="J232" s="3">
        <f ca="1">+TODAY()-cartera02[[#This Row],[fecha]]</f>
        <v>22</v>
      </c>
    </row>
    <row r="233" spans="1:10" x14ac:dyDescent="0.25">
      <c r="A233" s="1" t="s">
        <v>312</v>
      </c>
      <c r="B233" s="1" t="s">
        <v>313</v>
      </c>
      <c r="C233" s="1" t="s">
        <v>61</v>
      </c>
      <c r="D233" s="1" t="s">
        <v>317</v>
      </c>
      <c r="E233">
        <v>1231505</v>
      </c>
      <c r="F233" s="2">
        <v>46079</v>
      </c>
      <c r="G233" s="2">
        <v>46109</v>
      </c>
      <c r="H233" s="1" t="s">
        <v>315</v>
      </c>
      <c r="I233" s="1" t="s">
        <v>13</v>
      </c>
      <c r="J233" s="3">
        <f ca="1">+TODAY()-cartera02[[#This Row],[fecha]]</f>
        <v>21</v>
      </c>
    </row>
    <row r="234" spans="1:10" x14ac:dyDescent="0.25">
      <c r="A234" s="1" t="s">
        <v>312</v>
      </c>
      <c r="B234" s="1" t="s">
        <v>313</v>
      </c>
      <c r="C234" s="1" t="s">
        <v>61</v>
      </c>
      <c r="D234" s="1" t="s">
        <v>318</v>
      </c>
      <c r="E234">
        <v>4200000</v>
      </c>
      <c r="F234" s="2">
        <v>46098</v>
      </c>
      <c r="G234" s="2">
        <v>46108</v>
      </c>
      <c r="H234" s="1" t="s">
        <v>315</v>
      </c>
      <c r="I234" s="1" t="s">
        <v>13</v>
      </c>
      <c r="J234" s="3">
        <f ca="1">+TODAY()-cartera02[[#This Row],[fecha]]</f>
        <v>2</v>
      </c>
    </row>
    <row r="235" spans="1:10" x14ac:dyDescent="0.25">
      <c r="A235" s="1" t="s">
        <v>319</v>
      </c>
      <c r="B235" s="1" t="s">
        <v>320</v>
      </c>
      <c r="C235" s="1" t="s">
        <v>61</v>
      </c>
      <c r="D235" s="1" t="s">
        <v>321</v>
      </c>
      <c r="E235">
        <v>840000</v>
      </c>
      <c r="F235" s="2">
        <v>46095</v>
      </c>
      <c r="G235" s="2">
        <v>46105</v>
      </c>
      <c r="H235" s="1" t="s">
        <v>322</v>
      </c>
      <c r="I235" s="1" t="s">
        <v>13</v>
      </c>
      <c r="J235" s="3">
        <f ca="1">+TODAY()-cartera02[[#This Row],[fecha]]</f>
        <v>5</v>
      </c>
    </row>
    <row r="236" spans="1:10" x14ac:dyDescent="0.25">
      <c r="A236" s="1" t="s">
        <v>323</v>
      </c>
      <c r="B236" s="1" t="s">
        <v>324</v>
      </c>
      <c r="C236" s="1" t="s">
        <v>11</v>
      </c>
      <c r="D236" s="1" t="s">
        <v>325</v>
      </c>
      <c r="E236">
        <v>542051</v>
      </c>
      <c r="F236" s="2">
        <v>46085</v>
      </c>
      <c r="G236" s="2">
        <v>46115</v>
      </c>
      <c r="H236" s="1" t="s">
        <v>326</v>
      </c>
      <c r="I236" s="1" t="s">
        <v>13</v>
      </c>
      <c r="J236" s="3">
        <f ca="1">+TODAY()-cartera02[[#This Row],[fecha]]</f>
        <v>15</v>
      </c>
    </row>
    <row r="237" spans="1:10" x14ac:dyDescent="0.25">
      <c r="A237" s="1" t="s">
        <v>323</v>
      </c>
      <c r="B237" s="1" t="s">
        <v>324</v>
      </c>
      <c r="C237" s="1" t="s">
        <v>11</v>
      </c>
      <c r="D237" s="1" t="s">
        <v>327</v>
      </c>
      <c r="E237">
        <v>839912</v>
      </c>
      <c r="F237" s="2">
        <v>46094</v>
      </c>
      <c r="G237" s="2">
        <v>46124</v>
      </c>
      <c r="H237" s="1" t="s">
        <v>326</v>
      </c>
      <c r="I237" s="1" t="s">
        <v>13</v>
      </c>
      <c r="J237" s="3">
        <f ca="1">+TODAY()-cartera02[[#This Row],[fecha]]</f>
        <v>6</v>
      </c>
    </row>
    <row r="238" spans="1:10" x14ac:dyDescent="0.25">
      <c r="A238" s="1" t="s">
        <v>328</v>
      </c>
      <c r="B238" s="1" t="s">
        <v>329</v>
      </c>
      <c r="C238" s="1" t="s">
        <v>61</v>
      </c>
      <c r="D238" s="1" t="s">
        <v>330</v>
      </c>
      <c r="E238">
        <v>1253139</v>
      </c>
      <c r="F238" s="2">
        <v>46091</v>
      </c>
      <c r="G238" s="2">
        <v>46121</v>
      </c>
      <c r="H238" s="1" t="s">
        <v>331</v>
      </c>
      <c r="I238" s="1" t="s">
        <v>13</v>
      </c>
      <c r="J238" s="3">
        <f ca="1">+TODAY()-cartera02[[#This Row],[fecha]]</f>
        <v>9</v>
      </c>
    </row>
    <row r="239" spans="1:10" x14ac:dyDescent="0.25">
      <c r="A239" s="1" t="s">
        <v>328</v>
      </c>
      <c r="B239" s="1" t="s">
        <v>329</v>
      </c>
      <c r="C239" s="1" t="s">
        <v>61</v>
      </c>
      <c r="D239" s="1" t="s">
        <v>332</v>
      </c>
      <c r="E239">
        <v>866699</v>
      </c>
      <c r="F239" s="2">
        <v>46098</v>
      </c>
      <c r="G239" s="2">
        <v>46128</v>
      </c>
      <c r="H239" s="1" t="s">
        <v>331</v>
      </c>
      <c r="I239" s="1" t="s">
        <v>13</v>
      </c>
      <c r="J239" s="3">
        <f ca="1">+TODAY()-cartera02[[#This Row],[fecha]]</f>
        <v>2</v>
      </c>
    </row>
    <row r="240" spans="1:10" x14ac:dyDescent="0.25">
      <c r="A240" s="1" t="s">
        <v>333</v>
      </c>
      <c r="B240" s="1" t="s">
        <v>334</v>
      </c>
      <c r="C240" s="1" t="s">
        <v>61</v>
      </c>
      <c r="D240" s="1" t="s">
        <v>335</v>
      </c>
      <c r="E240">
        <v>1590867</v>
      </c>
      <c r="F240" s="2">
        <v>46063</v>
      </c>
      <c r="G240" s="2">
        <v>46093</v>
      </c>
      <c r="H240" s="1" t="s">
        <v>336</v>
      </c>
      <c r="I240" s="1" t="s">
        <v>13</v>
      </c>
      <c r="J240" s="3">
        <f ca="1">+TODAY()-cartera02[[#This Row],[fecha]]</f>
        <v>37</v>
      </c>
    </row>
    <row r="241" spans="1:10" x14ac:dyDescent="0.25">
      <c r="A241" s="1" t="s">
        <v>333</v>
      </c>
      <c r="B241" s="1" t="s">
        <v>334</v>
      </c>
      <c r="C241" s="1" t="s">
        <v>61</v>
      </c>
      <c r="D241" s="1" t="s">
        <v>337</v>
      </c>
      <c r="E241">
        <v>291500</v>
      </c>
      <c r="F241" s="2">
        <v>46064</v>
      </c>
      <c r="G241" s="2">
        <v>46094</v>
      </c>
      <c r="H241" s="1" t="s">
        <v>336</v>
      </c>
      <c r="I241" s="1" t="s">
        <v>13</v>
      </c>
      <c r="J241" s="3">
        <f ca="1">+TODAY()-cartera02[[#This Row],[fecha]]</f>
        <v>36</v>
      </c>
    </row>
    <row r="242" spans="1:10" x14ac:dyDescent="0.25">
      <c r="A242" s="1" t="s">
        <v>333</v>
      </c>
      <c r="B242" s="1" t="s">
        <v>334</v>
      </c>
      <c r="C242" s="1" t="s">
        <v>61</v>
      </c>
      <c r="D242" s="1" t="s">
        <v>338</v>
      </c>
      <c r="E242">
        <v>420000</v>
      </c>
      <c r="F242" s="2">
        <v>46064</v>
      </c>
      <c r="G242" s="2">
        <v>46094</v>
      </c>
      <c r="H242" s="1" t="s">
        <v>336</v>
      </c>
      <c r="I242" s="1" t="s">
        <v>13</v>
      </c>
      <c r="J242" s="3">
        <f ca="1">+TODAY()-cartera02[[#This Row],[fecha]]</f>
        <v>36</v>
      </c>
    </row>
    <row r="243" spans="1:10" x14ac:dyDescent="0.25">
      <c r="A243" s="1" t="s">
        <v>333</v>
      </c>
      <c r="B243" s="1" t="s">
        <v>334</v>
      </c>
      <c r="C243" s="1" t="s">
        <v>61</v>
      </c>
      <c r="D243" s="1" t="s">
        <v>339</v>
      </c>
      <c r="E243">
        <v>508396</v>
      </c>
      <c r="F243" s="2">
        <v>46071</v>
      </c>
      <c r="G243" s="2">
        <v>46101</v>
      </c>
      <c r="H243" s="1" t="s">
        <v>336</v>
      </c>
      <c r="I243" s="1" t="s">
        <v>13</v>
      </c>
      <c r="J243" s="3">
        <f ca="1">+TODAY()-cartera02[[#This Row],[fecha]]</f>
        <v>29</v>
      </c>
    </row>
    <row r="244" spans="1:10" x14ac:dyDescent="0.25">
      <c r="A244" s="1" t="s">
        <v>333</v>
      </c>
      <c r="B244" s="1" t="s">
        <v>334</v>
      </c>
      <c r="C244" s="1" t="s">
        <v>61</v>
      </c>
      <c r="D244" s="1" t="s">
        <v>340</v>
      </c>
      <c r="E244">
        <v>138000</v>
      </c>
      <c r="F244" s="2">
        <v>46071</v>
      </c>
      <c r="G244" s="2">
        <v>46101</v>
      </c>
      <c r="H244" s="1" t="s">
        <v>336</v>
      </c>
      <c r="I244" s="1" t="s">
        <v>13</v>
      </c>
      <c r="J244" s="3">
        <f ca="1">+TODAY()-cartera02[[#This Row],[fecha]]</f>
        <v>29</v>
      </c>
    </row>
    <row r="245" spans="1:10" x14ac:dyDescent="0.25">
      <c r="A245" s="1" t="s">
        <v>333</v>
      </c>
      <c r="B245" s="1" t="s">
        <v>334</v>
      </c>
      <c r="C245" s="1" t="s">
        <v>61</v>
      </c>
      <c r="D245" s="1" t="s">
        <v>341</v>
      </c>
      <c r="E245">
        <v>808161</v>
      </c>
      <c r="F245" s="2">
        <v>46076</v>
      </c>
      <c r="G245" s="2">
        <v>46106</v>
      </c>
      <c r="H245" s="1" t="s">
        <v>336</v>
      </c>
      <c r="I245" s="1" t="s">
        <v>13</v>
      </c>
      <c r="J245" s="3">
        <f ca="1">+TODAY()-cartera02[[#This Row],[fecha]]</f>
        <v>24</v>
      </c>
    </row>
    <row r="246" spans="1:10" x14ac:dyDescent="0.25">
      <c r="A246" s="1" t="s">
        <v>333</v>
      </c>
      <c r="B246" s="1" t="s">
        <v>334</v>
      </c>
      <c r="C246" s="1" t="s">
        <v>61</v>
      </c>
      <c r="D246" s="1" t="s">
        <v>342</v>
      </c>
      <c r="E246">
        <v>420000</v>
      </c>
      <c r="F246" s="2">
        <v>46078</v>
      </c>
      <c r="G246" s="2">
        <v>46108</v>
      </c>
      <c r="H246" s="1" t="s">
        <v>336</v>
      </c>
      <c r="I246" s="1" t="s">
        <v>13</v>
      </c>
      <c r="J246" s="3">
        <f ca="1">+TODAY()-cartera02[[#This Row],[fecha]]</f>
        <v>22</v>
      </c>
    </row>
    <row r="247" spans="1:10" x14ac:dyDescent="0.25">
      <c r="A247" s="1" t="s">
        <v>333</v>
      </c>
      <c r="B247" s="1" t="s">
        <v>334</v>
      </c>
      <c r="C247" s="1" t="s">
        <v>61</v>
      </c>
      <c r="D247" s="1" t="s">
        <v>343</v>
      </c>
      <c r="E247">
        <v>174000</v>
      </c>
      <c r="F247" s="2">
        <v>46079</v>
      </c>
      <c r="G247" s="2">
        <v>46109</v>
      </c>
      <c r="H247" s="1" t="s">
        <v>336</v>
      </c>
      <c r="I247" s="1" t="s">
        <v>13</v>
      </c>
      <c r="J247" s="3">
        <f ca="1">+TODAY()-cartera02[[#This Row],[fecha]]</f>
        <v>21</v>
      </c>
    </row>
    <row r="248" spans="1:10" x14ac:dyDescent="0.25">
      <c r="A248" s="1" t="s">
        <v>333</v>
      </c>
      <c r="B248" s="1" t="s">
        <v>334</v>
      </c>
      <c r="C248" s="1" t="s">
        <v>61</v>
      </c>
      <c r="D248" s="1" t="s">
        <v>344</v>
      </c>
      <c r="E248">
        <v>1039102</v>
      </c>
      <c r="F248" s="2">
        <v>46085</v>
      </c>
      <c r="G248" s="2">
        <v>46115</v>
      </c>
      <c r="H248" s="1" t="s">
        <v>336</v>
      </c>
      <c r="I248" s="1" t="s">
        <v>13</v>
      </c>
      <c r="J248" s="3">
        <f ca="1">+TODAY()-cartera02[[#This Row],[fecha]]</f>
        <v>15</v>
      </c>
    </row>
    <row r="249" spans="1:10" x14ac:dyDescent="0.25">
      <c r="A249" s="1" t="s">
        <v>333</v>
      </c>
      <c r="B249" s="1" t="s">
        <v>334</v>
      </c>
      <c r="C249" s="1" t="s">
        <v>61</v>
      </c>
      <c r="D249" s="1" t="s">
        <v>345</v>
      </c>
      <c r="E249">
        <v>167209</v>
      </c>
      <c r="F249" s="2">
        <v>46086</v>
      </c>
      <c r="G249" s="2">
        <v>46116</v>
      </c>
      <c r="H249" s="1" t="s">
        <v>336</v>
      </c>
      <c r="I249" s="1" t="s">
        <v>13</v>
      </c>
      <c r="J249" s="3">
        <f ca="1">+TODAY()-cartera02[[#This Row],[fecha]]</f>
        <v>14</v>
      </c>
    </row>
    <row r="250" spans="1:10" x14ac:dyDescent="0.25">
      <c r="A250" s="1" t="s">
        <v>333</v>
      </c>
      <c r="B250" s="1" t="s">
        <v>334</v>
      </c>
      <c r="C250" s="1" t="s">
        <v>61</v>
      </c>
      <c r="D250" s="1" t="s">
        <v>346</v>
      </c>
      <c r="E250">
        <v>1887241</v>
      </c>
      <c r="F250" s="2">
        <v>46092</v>
      </c>
      <c r="G250" s="2">
        <v>46122</v>
      </c>
      <c r="H250" s="1" t="s">
        <v>336</v>
      </c>
      <c r="I250" s="1" t="s">
        <v>13</v>
      </c>
      <c r="J250" s="3">
        <f ca="1">+TODAY()-cartera02[[#This Row],[fecha]]</f>
        <v>8</v>
      </c>
    </row>
    <row r="251" spans="1:10" x14ac:dyDescent="0.25">
      <c r="A251" s="1" t="s">
        <v>333</v>
      </c>
      <c r="B251" s="1" t="s">
        <v>334</v>
      </c>
      <c r="C251" s="1" t="s">
        <v>61</v>
      </c>
      <c r="D251" s="1" t="s">
        <v>347</v>
      </c>
      <c r="E251">
        <v>898737</v>
      </c>
      <c r="F251" s="2">
        <v>46100</v>
      </c>
      <c r="G251" s="2">
        <v>46130</v>
      </c>
      <c r="H251" s="1" t="s">
        <v>336</v>
      </c>
      <c r="I251" s="1" t="s">
        <v>13</v>
      </c>
      <c r="J251" s="3">
        <f ca="1">+TODAY()-cartera02[[#This Row],[fecha]]</f>
        <v>0</v>
      </c>
    </row>
    <row r="252" spans="1:10" x14ac:dyDescent="0.25">
      <c r="A252" s="1" t="s">
        <v>348</v>
      </c>
      <c r="B252" s="1" t="s">
        <v>349</v>
      </c>
      <c r="C252" s="1" t="s">
        <v>61</v>
      </c>
      <c r="D252" s="1" t="s">
        <v>350</v>
      </c>
      <c r="E252">
        <v>2242705</v>
      </c>
      <c r="F252" s="2">
        <v>46084</v>
      </c>
      <c r="G252" s="2">
        <v>46114</v>
      </c>
      <c r="H252" s="1" t="s">
        <v>351</v>
      </c>
      <c r="I252" s="1" t="s">
        <v>13</v>
      </c>
      <c r="J252" s="3">
        <f ca="1">+TODAY()-cartera02[[#This Row],[fecha]]</f>
        <v>16</v>
      </c>
    </row>
    <row r="253" spans="1:10" x14ac:dyDescent="0.25">
      <c r="A253" s="1" t="s">
        <v>348</v>
      </c>
      <c r="B253" s="1" t="s">
        <v>349</v>
      </c>
      <c r="C253" s="1" t="s">
        <v>61</v>
      </c>
      <c r="D253" s="1" t="s">
        <v>352</v>
      </c>
      <c r="E253">
        <v>1172221</v>
      </c>
      <c r="F253" s="2">
        <v>46084</v>
      </c>
      <c r="G253" s="2">
        <v>46114</v>
      </c>
      <c r="H253" s="1" t="s">
        <v>351</v>
      </c>
      <c r="I253" s="1" t="s">
        <v>13</v>
      </c>
      <c r="J253" s="3">
        <f ca="1">+TODAY()-cartera02[[#This Row],[fecha]]</f>
        <v>16</v>
      </c>
    </row>
    <row r="254" spans="1:10" x14ac:dyDescent="0.25">
      <c r="A254" s="1" t="s">
        <v>348</v>
      </c>
      <c r="B254" s="1" t="s">
        <v>349</v>
      </c>
      <c r="C254" s="1" t="s">
        <v>61</v>
      </c>
      <c r="D254" s="1" t="s">
        <v>353</v>
      </c>
      <c r="E254">
        <v>1875272</v>
      </c>
      <c r="F254" s="2">
        <v>46097</v>
      </c>
      <c r="G254" s="2">
        <v>46127</v>
      </c>
      <c r="H254" s="1" t="s">
        <v>351</v>
      </c>
      <c r="I254" s="1" t="s">
        <v>13</v>
      </c>
      <c r="J254" s="3">
        <f ca="1">+TODAY()-cartera02[[#This Row],[fecha]]</f>
        <v>3</v>
      </c>
    </row>
    <row r="255" spans="1:10" x14ac:dyDescent="0.25">
      <c r="A255" s="1" t="s">
        <v>348</v>
      </c>
      <c r="B255" s="1" t="s">
        <v>349</v>
      </c>
      <c r="C255" s="1" t="s">
        <v>61</v>
      </c>
      <c r="D255" s="1" t="s">
        <v>354</v>
      </c>
      <c r="E255">
        <v>630000</v>
      </c>
      <c r="F255" s="2">
        <v>46097</v>
      </c>
      <c r="G255" s="2">
        <v>46107</v>
      </c>
      <c r="H255" s="1" t="s">
        <v>351</v>
      </c>
      <c r="I255" s="1" t="s">
        <v>13</v>
      </c>
      <c r="J255" s="3">
        <f ca="1">+TODAY()-cartera02[[#This Row],[fecha]]</f>
        <v>3</v>
      </c>
    </row>
    <row r="256" spans="1:10" x14ac:dyDescent="0.25">
      <c r="A256" s="1" t="s">
        <v>348</v>
      </c>
      <c r="B256" s="1" t="s">
        <v>349</v>
      </c>
      <c r="C256" s="1" t="s">
        <v>61</v>
      </c>
      <c r="D256" s="1" t="s">
        <v>355</v>
      </c>
      <c r="E256">
        <v>1475602</v>
      </c>
      <c r="F256" s="2">
        <v>46097</v>
      </c>
      <c r="G256" s="2">
        <v>46127</v>
      </c>
      <c r="H256" s="1" t="s">
        <v>351</v>
      </c>
      <c r="I256" s="1" t="s">
        <v>13</v>
      </c>
      <c r="J256" s="3">
        <f ca="1">+TODAY()-cartera02[[#This Row],[fecha]]</f>
        <v>3</v>
      </c>
    </row>
    <row r="257" spans="1:10" x14ac:dyDescent="0.25">
      <c r="A257" s="1" t="s">
        <v>356</v>
      </c>
      <c r="B257" s="1" t="s">
        <v>357</v>
      </c>
      <c r="C257" s="1" t="s">
        <v>61</v>
      </c>
      <c r="D257" s="1" t="s">
        <v>358</v>
      </c>
      <c r="E257">
        <v>1295757</v>
      </c>
      <c r="F257" s="2">
        <v>46091</v>
      </c>
      <c r="G257" s="2">
        <v>46121</v>
      </c>
      <c r="H257" s="1" t="s">
        <v>311</v>
      </c>
      <c r="I257" s="1" t="s">
        <v>13</v>
      </c>
      <c r="J257" s="3">
        <f ca="1">+TODAY()-cartera02[[#This Row],[fecha]]</f>
        <v>9</v>
      </c>
    </row>
    <row r="258" spans="1:10" x14ac:dyDescent="0.25">
      <c r="A258" s="1" t="s">
        <v>359</v>
      </c>
      <c r="B258" s="1" t="s">
        <v>360</v>
      </c>
      <c r="C258" s="1" t="s">
        <v>61</v>
      </c>
      <c r="D258" s="1" t="s">
        <v>361</v>
      </c>
      <c r="E258">
        <v>313600</v>
      </c>
      <c r="F258" s="2">
        <v>46083</v>
      </c>
      <c r="G258" s="2">
        <v>46113</v>
      </c>
      <c r="H258" s="1" t="s">
        <v>362</v>
      </c>
      <c r="I258" s="1" t="s">
        <v>13</v>
      </c>
      <c r="J258" s="3">
        <f ca="1">+TODAY()-cartera02[[#This Row],[fecha]]</f>
        <v>17</v>
      </c>
    </row>
    <row r="259" spans="1:10" x14ac:dyDescent="0.25">
      <c r="A259" s="1" t="s">
        <v>363</v>
      </c>
      <c r="B259" s="1" t="s">
        <v>364</v>
      </c>
      <c r="C259" s="1" t="s">
        <v>11</v>
      </c>
      <c r="D259" s="1" t="s">
        <v>365</v>
      </c>
      <c r="E259">
        <v>694148</v>
      </c>
      <c r="F259" s="2">
        <v>46066</v>
      </c>
      <c r="G259" s="2">
        <v>46096</v>
      </c>
      <c r="H259" s="1" t="s">
        <v>366</v>
      </c>
      <c r="I259" s="1" t="s">
        <v>13</v>
      </c>
      <c r="J259" s="3">
        <f ca="1">+TODAY()-cartera02[[#This Row],[fecha]]</f>
        <v>34</v>
      </c>
    </row>
    <row r="260" spans="1:10" x14ac:dyDescent="0.25">
      <c r="A260" s="1" t="s">
        <v>367</v>
      </c>
      <c r="B260" s="1" t="s">
        <v>368</v>
      </c>
      <c r="C260" s="1" t="s">
        <v>61</v>
      </c>
      <c r="D260" s="1" t="s">
        <v>369</v>
      </c>
      <c r="E260">
        <v>767816</v>
      </c>
      <c r="F260" s="2">
        <v>46084</v>
      </c>
      <c r="G260" s="2">
        <v>46114</v>
      </c>
      <c r="H260" s="1" t="s">
        <v>370</v>
      </c>
      <c r="I260" s="1" t="s">
        <v>13</v>
      </c>
      <c r="J260" s="3">
        <f ca="1">+TODAY()-cartera02[[#This Row],[fecha]]</f>
        <v>16</v>
      </c>
    </row>
    <row r="261" spans="1:10" x14ac:dyDescent="0.25">
      <c r="A261" s="1" t="s">
        <v>367</v>
      </c>
      <c r="B261" s="1" t="s">
        <v>368</v>
      </c>
      <c r="C261" s="1" t="s">
        <v>61</v>
      </c>
      <c r="D261" s="1" t="s">
        <v>371</v>
      </c>
      <c r="E261">
        <v>212000</v>
      </c>
      <c r="F261" s="2">
        <v>46090</v>
      </c>
      <c r="G261" s="2">
        <v>46100</v>
      </c>
      <c r="H261" s="1" t="s">
        <v>370</v>
      </c>
      <c r="I261" s="1" t="s">
        <v>13</v>
      </c>
      <c r="J261" s="3">
        <f ca="1">+TODAY()-cartera02[[#This Row],[fecha]]</f>
        <v>10</v>
      </c>
    </row>
    <row r="262" spans="1:10" x14ac:dyDescent="0.25">
      <c r="A262" s="1" t="s">
        <v>372</v>
      </c>
      <c r="B262" s="1" t="s">
        <v>373</v>
      </c>
      <c r="C262" s="1" t="s">
        <v>61</v>
      </c>
      <c r="D262" s="1" t="s">
        <v>374</v>
      </c>
      <c r="E262">
        <v>462554</v>
      </c>
      <c r="F262" s="2">
        <v>46073</v>
      </c>
      <c r="G262" s="2">
        <v>46103</v>
      </c>
      <c r="H262" s="1" t="s">
        <v>375</v>
      </c>
      <c r="I262" s="1" t="s">
        <v>13</v>
      </c>
      <c r="J262" s="3">
        <f ca="1">+TODAY()-cartera02[[#This Row],[fecha]]</f>
        <v>27</v>
      </c>
    </row>
    <row r="263" spans="1:10" x14ac:dyDescent="0.25">
      <c r="A263" s="1" t="s">
        <v>376</v>
      </c>
      <c r="B263" s="1" t="s">
        <v>377</v>
      </c>
      <c r="C263" s="1" t="s">
        <v>11</v>
      </c>
      <c r="D263" s="1" t="s">
        <v>378</v>
      </c>
      <c r="E263">
        <v>420000</v>
      </c>
      <c r="F263" s="2">
        <v>46092</v>
      </c>
      <c r="G263" s="2">
        <v>46102</v>
      </c>
      <c r="H263" s="1" t="s">
        <v>379</v>
      </c>
      <c r="I263" s="1" t="s">
        <v>13</v>
      </c>
      <c r="J263" s="3">
        <f ca="1">+TODAY()-cartera02[[#This Row],[fecha]]</f>
        <v>8</v>
      </c>
    </row>
    <row r="264" spans="1:10" x14ac:dyDescent="0.25">
      <c r="A264" s="1" t="s">
        <v>376</v>
      </c>
      <c r="B264" s="1" t="s">
        <v>377</v>
      </c>
      <c r="C264" s="1" t="s">
        <v>11</v>
      </c>
      <c r="D264" s="1" t="s">
        <v>380</v>
      </c>
      <c r="E264">
        <v>594012</v>
      </c>
      <c r="F264" s="2">
        <v>46097</v>
      </c>
      <c r="G264" s="2">
        <v>46127</v>
      </c>
      <c r="H264" s="1" t="s">
        <v>379</v>
      </c>
      <c r="I264" s="1" t="s">
        <v>13</v>
      </c>
      <c r="J264" s="3">
        <f ca="1">+TODAY()-cartera02[[#This Row],[fecha]]</f>
        <v>3</v>
      </c>
    </row>
    <row r="265" spans="1:10" x14ac:dyDescent="0.25">
      <c r="A265" s="1" t="s">
        <v>381</v>
      </c>
      <c r="B265" s="1" t="s">
        <v>382</v>
      </c>
      <c r="C265" s="1" t="s">
        <v>61</v>
      </c>
      <c r="D265" s="1" t="s">
        <v>383</v>
      </c>
      <c r="E265">
        <v>283400</v>
      </c>
      <c r="F265" s="2">
        <v>46077</v>
      </c>
      <c r="G265" s="2">
        <v>46107</v>
      </c>
      <c r="H265" s="1" t="s">
        <v>384</v>
      </c>
      <c r="I265" s="1" t="s">
        <v>13</v>
      </c>
      <c r="J265" s="3">
        <f ca="1">+TODAY()-cartera02[[#This Row],[fecha]]</f>
        <v>23</v>
      </c>
    </row>
    <row r="266" spans="1:10" x14ac:dyDescent="0.25">
      <c r="A266" s="1" t="s">
        <v>381</v>
      </c>
      <c r="B266" s="1" t="s">
        <v>382</v>
      </c>
      <c r="C266" s="1" t="s">
        <v>61</v>
      </c>
      <c r="D266" s="1" t="s">
        <v>385</v>
      </c>
      <c r="E266">
        <v>1454837</v>
      </c>
      <c r="F266" s="2">
        <v>46087</v>
      </c>
      <c r="G266" s="2">
        <v>46117</v>
      </c>
      <c r="H266" s="1" t="s">
        <v>384</v>
      </c>
      <c r="I266" s="1" t="s">
        <v>13</v>
      </c>
      <c r="J266" s="3">
        <f ca="1">+TODAY()-cartera02[[#This Row],[fecha]]</f>
        <v>13</v>
      </c>
    </row>
    <row r="267" spans="1:10" x14ac:dyDescent="0.25">
      <c r="A267" s="1" t="s">
        <v>381</v>
      </c>
      <c r="B267" s="1" t="s">
        <v>382</v>
      </c>
      <c r="C267" s="1" t="s">
        <v>61</v>
      </c>
      <c r="D267" s="1" t="s">
        <v>386</v>
      </c>
      <c r="E267">
        <v>840000</v>
      </c>
      <c r="F267" s="2">
        <v>46094</v>
      </c>
      <c r="G267" s="2">
        <v>46104</v>
      </c>
      <c r="H267" s="1" t="s">
        <v>384</v>
      </c>
      <c r="I267" s="1" t="s">
        <v>13</v>
      </c>
      <c r="J267" s="3">
        <f ca="1">+TODAY()-cartera02[[#This Row],[fecha]]</f>
        <v>6</v>
      </c>
    </row>
    <row r="268" spans="1:10" x14ac:dyDescent="0.25">
      <c r="A268" s="1" t="s">
        <v>381</v>
      </c>
      <c r="B268" s="1" t="s">
        <v>382</v>
      </c>
      <c r="C268" s="1" t="s">
        <v>61</v>
      </c>
      <c r="D268" s="1" t="s">
        <v>387</v>
      </c>
      <c r="E268">
        <v>831643</v>
      </c>
      <c r="F268" s="2">
        <v>46094</v>
      </c>
      <c r="G268" s="2">
        <v>46124</v>
      </c>
      <c r="H268" s="1" t="s">
        <v>384</v>
      </c>
      <c r="I268" s="1" t="s">
        <v>13</v>
      </c>
      <c r="J268" s="3">
        <f ca="1">+TODAY()-cartera02[[#This Row],[fecha]]</f>
        <v>6</v>
      </c>
    </row>
    <row r="269" spans="1:10" x14ac:dyDescent="0.25">
      <c r="A269" s="1" t="s">
        <v>388</v>
      </c>
      <c r="B269" s="1" t="s">
        <v>389</v>
      </c>
      <c r="C269" s="1" t="s">
        <v>61</v>
      </c>
      <c r="D269" s="1" t="s">
        <v>390</v>
      </c>
      <c r="E269">
        <v>1166994</v>
      </c>
      <c r="F269" s="2">
        <v>46079</v>
      </c>
      <c r="G269" s="2">
        <v>46109</v>
      </c>
      <c r="H269" s="1" t="s">
        <v>391</v>
      </c>
      <c r="I269" s="1" t="s">
        <v>13</v>
      </c>
      <c r="J269" s="3">
        <f ca="1">+TODAY()-cartera02[[#This Row],[fecha]]</f>
        <v>21</v>
      </c>
    </row>
    <row r="270" spans="1:10" x14ac:dyDescent="0.25">
      <c r="A270" s="1" t="s">
        <v>388</v>
      </c>
      <c r="B270" s="1" t="s">
        <v>389</v>
      </c>
      <c r="C270" s="1" t="s">
        <v>61</v>
      </c>
      <c r="D270" s="1" t="s">
        <v>392</v>
      </c>
      <c r="E270">
        <v>1126964</v>
      </c>
      <c r="F270" s="2">
        <v>46097</v>
      </c>
      <c r="G270" s="2">
        <v>46127</v>
      </c>
      <c r="H270" s="1" t="s">
        <v>391</v>
      </c>
      <c r="I270" s="1" t="s">
        <v>13</v>
      </c>
      <c r="J270" s="3">
        <f ca="1">+TODAY()-cartera02[[#This Row],[fecha]]</f>
        <v>3</v>
      </c>
    </row>
    <row r="271" spans="1:10" x14ac:dyDescent="0.25">
      <c r="A271" s="1" t="s">
        <v>388</v>
      </c>
      <c r="B271" s="1" t="s">
        <v>389</v>
      </c>
      <c r="C271" s="1" t="s">
        <v>61</v>
      </c>
      <c r="D271" s="1" t="s">
        <v>393</v>
      </c>
      <c r="E271">
        <v>32000</v>
      </c>
      <c r="F271" s="2">
        <v>46098</v>
      </c>
      <c r="G271" s="2">
        <v>46128</v>
      </c>
      <c r="H271" s="1" t="s">
        <v>391</v>
      </c>
      <c r="I271" s="1" t="s">
        <v>13</v>
      </c>
      <c r="J271" s="3">
        <f ca="1">+TODAY()-cartera02[[#This Row],[fecha]]</f>
        <v>2</v>
      </c>
    </row>
    <row r="272" spans="1:10" x14ac:dyDescent="0.25">
      <c r="A272" s="1" t="s">
        <v>394</v>
      </c>
      <c r="B272" s="1" t="s">
        <v>395</v>
      </c>
      <c r="C272" s="1" t="s">
        <v>11</v>
      </c>
      <c r="D272" s="1" t="s">
        <v>396</v>
      </c>
      <c r="E272">
        <v>827547</v>
      </c>
      <c r="F272" s="2">
        <v>46098</v>
      </c>
      <c r="G272" s="2">
        <v>46099</v>
      </c>
      <c r="H272" s="1" t="s">
        <v>397</v>
      </c>
      <c r="I272" s="1" t="s">
        <v>13</v>
      </c>
      <c r="J272" s="3">
        <f ca="1">+TODAY()-cartera02[[#This Row],[fecha]]</f>
        <v>2</v>
      </c>
    </row>
    <row r="273" spans="1:10" x14ac:dyDescent="0.25">
      <c r="A273" s="1" t="s">
        <v>398</v>
      </c>
      <c r="B273" s="1" t="s">
        <v>399</v>
      </c>
      <c r="C273" s="1" t="s">
        <v>61</v>
      </c>
      <c r="D273" s="1" t="s">
        <v>400</v>
      </c>
      <c r="E273">
        <v>1369662</v>
      </c>
      <c r="F273" s="2">
        <v>46087</v>
      </c>
      <c r="G273" s="2">
        <v>46117</v>
      </c>
      <c r="H273" s="1" t="s">
        <v>401</v>
      </c>
      <c r="I273" s="1" t="s">
        <v>13</v>
      </c>
      <c r="J273" s="3">
        <f ca="1">+TODAY()-cartera02[[#This Row],[fecha]]</f>
        <v>13</v>
      </c>
    </row>
    <row r="274" spans="1:10" x14ac:dyDescent="0.25">
      <c r="A274" s="1" t="s">
        <v>398</v>
      </c>
      <c r="B274" s="1" t="s">
        <v>399</v>
      </c>
      <c r="C274" s="1" t="s">
        <v>61</v>
      </c>
      <c r="D274" s="1" t="s">
        <v>402</v>
      </c>
      <c r="E274">
        <v>1260000</v>
      </c>
      <c r="F274" s="2">
        <v>46094</v>
      </c>
      <c r="G274" s="2">
        <v>46104</v>
      </c>
      <c r="H274" s="1" t="s">
        <v>401</v>
      </c>
      <c r="I274" s="1" t="s">
        <v>13</v>
      </c>
      <c r="J274" s="3">
        <f ca="1">+TODAY()-cartera02[[#This Row],[fecha]]</f>
        <v>6</v>
      </c>
    </row>
    <row r="275" spans="1:10" x14ac:dyDescent="0.25">
      <c r="A275" s="1" t="s">
        <v>398</v>
      </c>
      <c r="B275" s="1" t="s">
        <v>399</v>
      </c>
      <c r="C275" s="1" t="s">
        <v>61</v>
      </c>
      <c r="D275" s="1" t="s">
        <v>403</v>
      </c>
      <c r="E275">
        <v>1177277</v>
      </c>
      <c r="F275" s="2">
        <v>46094</v>
      </c>
      <c r="G275" s="2">
        <v>46124</v>
      </c>
      <c r="H275" s="1" t="s">
        <v>401</v>
      </c>
      <c r="I275" s="1" t="s">
        <v>13</v>
      </c>
      <c r="J275" s="3">
        <f ca="1">+TODAY()-cartera02[[#This Row],[fecha]]</f>
        <v>6</v>
      </c>
    </row>
    <row r="276" spans="1:10" x14ac:dyDescent="0.25">
      <c r="A276" s="1" t="s">
        <v>404</v>
      </c>
      <c r="B276" s="1" t="s">
        <v>405</v>
      </c>
      <c r="C276" s="1" t="s">
        <v>11</v>
      </c>
      <c r="D276" s="1" t="s">
        <v>406</v>
      </c>
      <c r="E276">
        <v>707255</v>
      </c>
      <c r="F276" s="2">
        <v>46067</v>
      </c>
      <c r="G276" s="2">
        <v>46097</v>
      </c>
      <c r="H276" s="1" t="s">
        <v>407</v>
      </c>
      <c r="I276" s="1" t="s">
        <v>13</v>
      </c>
      <c r="J276" s="3">
        <f ca="1">+TODAY()-cartera02[[#This Row],[fecha]]</f>
        <v>33</v>
      </c>
    </row>
    <row r="277" spans="1:10" x14ac:dyDescent="0.25">
      <c r="A277" s="1" t="s">
        <v>404</v>
      </c>
      <c r="B277" s="1" t="s">
        <v>405</v>
      </c>
      <c r="C277" s="1" t="s">
        <v>11</v>
      </c>
      <c r="D277" s="1" t="s">
        <v>408</v>
      </c>
      <c r="E277">
        <v>390406</v>
      </c>
      <c r="F277" s="2">
        <v>46072</v>
      </c>
      <c r="G277" s="2">
        <v>46102</v>
      </c>
      <c r="H277" s="1" t="s">
        <v>407</v>
      </c>
      <c r="I277" s="1" t="s">
        <v>13</v>
      </c>
      <c r="J277" s="3">
        <f ca="1">+TODAY()-cartera02[[#This Row],[fecha]]</f>
        <v>28</v>
      </c>
    </row>
    <row r="278" spans="1:10" x14ac:dyDescent="0.25">
      <c r="A278" s="1" t="s">
        <v>404</v>
      </c>
      <c r="B278" s="1" t="s">
        <v>405</v>
      </c>
      <c r="C278" s="1" t="s">
        <v>11</v>
      </c>
      <c r="D278" s="1" t="s">
        <v>409</v>
      </c>
      <c r="E278">
        <v>870000</v>
      </c>
      <c r="F278" s="2">
        <v>46078</v>
      </c>
      <c r="G278" s="2">
        <v>46108</v>
      </c>
      <c r="H278" s="1" t="s">
        <v>407</v>
      </c>
      <c r="I278" s="1" t="s">
        <v>13</v>
      </c>
      <c r="J278" s="3">
        <f ca="1">+TODAY()-cartera02[[#This Row],[fecha]]</f>
        <v>22</v>
      </c>
    </row>
    <row r="279" spans="1:10" x14ac:dyDescent="0.25">
      <c r="A279" s="1" t="s">
        <v>404</v>
      </c>
      <c r="B279" s="1" t="s">
        <v>405</v>
      </c>
      <c r="C279" s="1" t="s">
        <v>11</v>
      </c>
      <c r="D279" s="1" t="s">
        <v>410</v>
      </c>
      <c r="E279">
        <v>702005</v>
      </c>
      <c r="F279" s="2">
        <v>46079</v>
      </c>
      <c r="G279" s="2">
        <v>46109</v>
      </c>
      <c r="H279" s="1" t="s">
        <v>407</v>
      </c>
      <c r="I279" s="1" t="s">
        <v>13</v>
      </c>
      <c r="J279" s="3">
        <f ca="1">+TODAY()-cartera02[[#This Row],[fecha]]</f>
        <v>21</v>
      </c>
    </row>
    <row r="280" spans="1:10" x14ac:dyDescent="0.25">
      <c r="A280" s="1" t="s">
        <v>404</v>
      </c>
      <c r="B280" s="1" t="s">
        <v>405</v>
      </c>
      <c r="C280" s="1" t="s">
        <v>11</v>
      </c>
      <c r="D280" s="1" t="s">
        <v>411</v>
      </c>
      <c r="E280">
        <v>468003</v>
      </c>
      <c r="F280" s="2">
        <v>46084</v>
      </c>
      <c r="G280" s="2">
        <v>46114</v>
      </c>
      <c r="H280" s="1" t="s">
        <v>407</v>
      </c>
      <c r="I280" s="1" t="s">
        <v>13</v>
      </c>
      <c r="J280" s="3">
        <f ca="1">+TODAY()-cartera02[[#This Row],[fecha]]</f>
        <v>16</v>
      </c>
    </row>
    <row r="281" spans="1:10" x14ac:dyDescent="0.25">
      <c r="A281" s="1" t="s">
        <v>404</v>
      </c>
      <c r="B281" s="1" t="s">
        <v>405</v>
      </c>
      <c r="C281" s="1" t="s">
        <v>11</v>
      </c>
      <c r="D281" s="1" t="s">
        <v>412</v>
      </c>
      <c r="E281">
        <v>2167454</v>
      </c>
      <c r="F281" s="2">
        <v>46087</v>
      </c>
      <c r="G281" s="2">
        <v>46117</v>
      </c>
      <c r="H281" s="1" t="s">
        <v>407</v>
      </c>
      <c r="I281" s="1" t="s">
        <v>13</v>
      </c>
      <c r="J281" s="3">
        <f ca="1">+TODAY()-cartera02[[#This Row],[fecha]]</f>
        <v>13</v>
      </c>
    </row>
    <row r="282" spans="1:10" x14ac:dyDescent="0.25">
      <c r="A282" s="1" t="s">
        <v>404</v>
      </c>
      <c r="B282" s="1" t="s">
        <v>405</v>
      </c>
      <c r="C282" s="1" t="s">
        <v>11</v>
      </c>
      <c r="D282" s="1" t="s">
        <v>413</v>
      </c>
      <c r="E282">
        <v>162800</v>
      </c>
      <c r="F282" s="2">
        <v>46087</v>
      </c>
      <c r="G282" s="2">
        <v>46097</v>
      </c>
      <c r="H282" s="1" t="s">
        <v>407</v>
      </c>
      <c r="I282" s="1" t="s">
        <v>13</v>
      </c>
      <c r="J282" s="3">
        <f ca="1">+TODAY()-cartera02[[#This Row],[fecha]]</f>
        <v>13</v>
      </c>
    </row>
    <row r="283" spans="1:10" x14ac:dyDescent="0.25">
      <c r="A283" s="1" t="s">
        <v>404</v>
      </c>
      <c r="B283" s="1" t="s">
        <v>405</v>
      </c>
      <c r="C283" s="1" t="s">
        <v>11</v>
      </c>
      <c r="D283" s="1" t="s">
        <v>414</v>
      </c>
      <c r="E283">
        <v>2100000</v>
      </c>
      <c r="F283" s="2">
        <v>46087</v>
      </c>
      <c r="G283" s="2">
        <v>46097</v>
      </c>
      <c r="H283" s="1" t="s">
        <v>407</v>
      </c>
      <c r="I283" s="1" t="s">
        <v>13</v>
      </c>
      <c r="J283" s="3">
        <f ca="1">+TODAY()-cartera02[[#This Row],[fecha]]</f>
        <v>13</v>
      </c>
    </row>
    <row r="284" spans="1:10" x14ac:dyDescent="0.25">
      <c r="A284" s="1" t="s">
        <v>404</v>
      </c>
      <c r="B284" s="1" t="s">
        <v>405</v>
      </c>
      <c r="C284" s="1" t="s">
        <v>11</v>
      </c>
      <c r="D284" s="1" t="s">
        <v>415</v>
      </c>
      <c r="E284">
        <v>2100000</v>
      </c>
      <c r="F284" s="2">
        <v>46091</v>
      </c>
      <c r="G284" s="2">
        <v>46101</v>
      </c>
      <c r="H284" s="1" t="s">
        <v>407</v>
      </c>
      <c r="I284" s="1" t="s">
        <v>13</v>
      </c>
      <c r="J284" s="3">
        <f ca="1">+TODAY()-cartera02[[#This Row],[fecha]]</f>
        <v>9</v>
      </c>
    </row>
    <row r="285" spans="1:10" x14ac:dyDescent="0.25">
      <c r="A285" s="1" t="s">
        <v>404</v>
      </c>
      <c r="B285" s="1" t="s">
        <v>405</v>
      </c>
      <c r="C285" s="1" t="s">
        <v>11</v>
      </c>
      <c r="D285" s="1" t="s">
        <v>416</v>
      </c>
      <c r="E285">
        <v>314003</v>
      </c>
      <c r="F285" s="2">
        <v>46094</v>
      </c>
      <c r="G285" s="2">
        <v>46124</v>
      </c>
      <c r="H285" s="1" t="s">
        <v>407</v>
      </c>
      <c r="I285" s="1" t="s">
        <v>13</v>
      </c>
      <c r="J285" s="3">
        <f ca="1">+TODAY()-cartera02[[#This Row],[fecha]]</f>
        <v>6</v>
      </c>
    </row>
    <row r="286" spans="1:10" x14ac:dyDescent="0.25">
      <c r="A286" s="1" t="s">
        <v>404</v>
      </c>
      <c r="B286" s="1" t="s">
        <v>405</v>
      </c>
      <c r="C286" s="1" t="s">
        <v>11</v>
      </c>
      <c r="D286" s="1" t="s">
        <v>417</v>
      </c>
      <c r="E286">
        <v>2100000</v>
      </c>
      <c r="F286" s="2">
        <v>46095</v>
      </c>
      <c r="G286" s="2">
        <v>46105</v>
      </c>
      <c r="H286" s="1" t="s">
        <v>407</v>
      </c>
      <c r="I286" s="1" t="s">
        <v>13</v>
      </c>
      <c r="J286" s="3">
        <f ca="1">+TODAY()-cartera02[[#This Row],[fecha]]</f>
        <v>5</v>
      </c>
    </row>
    <row r="287" spans="1:10" x14ac:dyDescent="0.25">
      <c r="A287" s="1" t="s">
        <v>418</v>
      </c>
      <c r="B287" s="1" t="s">
        <v>419</v>
      </c>
      <c r="C287" s="1" t="s">
        <v>11</v>
      </c>
      <c r="D287" s="1" t="s">
        <v>420</v>
      </c>
      <c r="E287">
        <v>2756903</v>
      </c>
      <c r="F287" s="2">
        <v>46081</v>
      </c>
      <c r="G287" s="2">
        <v>46111</v>
      </c>
      <c r="H287" s="1" t="s">
        <v>421</v>
      </c>
      <c r="I287" s="1" t="s">
        <v>13</v>
      </c>
      <c r="J287" s="3">
        <f ca="1">+TODAY()-cartera02[[#This Row],[fecha]]</f>
        <v>19</v>
      </c>
    </row>
    <row r="288" spans="1:10" x14ac:dyDescent="0.25">
      <c r="A288" s="1" t="s">
        <v>418</v>
      </c>
      <c r="B288" s="1" t="s">
        <v>419</v>
      </c>
      <c r="C288" s="1" t="s">
        <v>11</v>
      </c>
      <c r="D288" s="1" t="s">
        <v>422</v>
      </c>
      <c r="E288">
        <v>2100000</v>
      </c>
      <c r="F288" s="2">
        <v>46093</v>
      </c>
      <c r="G288" s="2">
        <v>46103</v>
      </c>
      <c r="H288" s="1" t="s">
        <v>421</v>
      </c>
      <c r="I288" s="1" t="s">
        <v>13</v>
      </c>
      <c r="J288" s="3">
        <f ca="1">+TODAY()-cartera02[[#This Row],[fecha]]</f>
        <v>7</v>
      </c>
    </row>
    <row r="289" spans="1:10" x14ac:dyDescent="0.25">
      <c r="A289" s="1" t="s">
        <v>418</v>
      </c>
      <c r="B289" s="1" t="s">
        <v>419</v>
      </c>
      <c r="C289" s="1" t="s">
        <v>11</v>
      </c>
      <c r="D289" s="1" t="s">
        <v>423</v>
      </c>
      <c r="E289">
        <v>2100000</v>
      </c>
      <c r="F289" s="2">
        <v>46094</v>
      </c>
      <c r="G289" s="2">
        <v>46104</v>
      </c>
      <c r="H289" s="1" t="s">
        <v>421</v>
      </c>
      <c r="I289" s="1" t="s">
        <v>13</v>
      </c>
      <c r="J289" s="3">
        <f ca="1">+TODAY()-cartera02[[#This Row],[fecha]]</f>
        <v>6</v>
      </c>
    </row>
    <row r="290" spans="1:10" x14ac:dyDescent="0.25">
      <c r="A290" s="1" t="s">
        <v>424</v>
      </c>
      <c r="B290" s="1" t="s">
        <v>425</v>
      </c>
      <c r="C290" s="1" t="s">
        <v>11</v>
      </c>
      <c r="D290" s="1" t="s">
        <v>426</v>
      </c>
      <c r="E290">
        <v>51601</v>
      </c>
      <c r="F290" s="2">
        <v>46086</v>
      </c>
      <c r="G290" s="2">
        <v>46116</v>
      </c>
      <c r="H290" s="1" t="s">
        <v>427</v>
      </c>
      <c r="I290" s="1" t="s">
        <v>13</v>
      </c>
      <c r="J290" s="3">
        <f ca="1">+TODAY()-cartera02[[#This Row],[fecha]]</f>
        <v>14</v>
      </c>
    </row>
    <row r="291" spans="1:10" x14ac:dyDescent="0.25">
      <c r="A291" s="1" t="s">
        <v>424</v>
      </c>
      <c r="B291" s="1" t="s">
        <v>425</v>
      </c>
      <c r="C291" s="1" t="s">
        <v>11</v>
      </c>
      <c r="D291" s="1" t="s">
        <v>428</v>
      </c>
      <c r="E291">
        <v>840000</v>
      </c>
      <c r="F291" s="2">
        <v>46094</v>
      </c>
      <c r="G291" s="2">
        <v>46104</v>
      </c>
      <c r="H291" s="1" t="s">
        <v>427</v>
      </c>
      <c r="I291" s="1" t="s">
        <v>13</v>
      </c>
      <c r="J291" s="3">
        <f ca="1">+TODAY()-cartera02[[#This Row],[fecha]]</f>
        <v>6</v>
      </c>
    </row>
    <row r="292" spans="1:10" x14ac:dyDescent="0.25">
      <c r="A292" s="1" t="s">
        <v>429</v>
      </c>
      <c r="B292" s="1" t="s">
        <v>430</v>
      </c>
      <c r="C292" s="1" t="s">
        <v>11</v>
      </c>
      <c r="D292" s="1" t="s">
        <v>431</v>
      </c>
      <c r="E292">
        <v>1097989</v>
      </c>
      <c r="F292" s="2">
        <v>46090</v>
      </c>
      <c r="G292" s="2">
        <v>46120</v>
      </c>
      <c r="H292" s="1" t="s">
        <v>432</v>
      </c>
      <c r="I292" s="1" t="s">
        <v>13</v>
      </c>
      <c r="J292" s="3">
        <f ca="1">+TODAY()-cartera02[[#This Row],[fecha]]</f>
        <v>10</v>
      </c>
    </row>
    <row r="293" spans="1:10" x14ac:dyDescent="0.25">
      <c r="A293" s="1" t="s">
        <v>429</v>
      </c>
      <c r="B293" s="1" t="s">
        <v>430</v>
      </c>
      <c r="C293" s="1" t="s">
        <v>11</v>
      </c>
      <c r="D293" s="1" t="s">
        <v>433</v>
      </c>
      <c r="E293">
        <v>2100000</v>
      </c>
      <c r="F293" s="2">
        <v>46095</v>
      </c>
      <c r="G293" s="2">
        <v>46105</v>
      </c>
      <c r="H293" s="1" t="s">
        <v>432</v>
      </c>
      <c r="I293" s="1" t="s">
        <v>13</v>
      </c>
      <c r="J293" s="3">
        <f ca="1">+TODAY()-cartera02[[#This Row],[fecha]]</f>
        <v>5</v>
      </c>
    </row>
    <row r="294" spans="1:10" x14ac:dyDescent="0.25">
      <c r="A294" s="1" t="s">
        <v>434</v>
      </c>
      <c r="B294" s="1" t="s">
        <v>435</v>
      </c>
      <c r="C294" s="1" t="s">
        <v>11</v>
      </c>
      <c r="D294" s="1" t="s">
        <v>436</v>
      </c>
      <c r="E294">
        <v>1002800</v>
      </c>
      <c r="F294" s="2">
        <v>46094</v>
      </c>
      <c r="G294" s="2">
        <v>46104</v>
      </c>
      <c r="H294" s="1" t="s">
        <v>437</v>
      </c>
      <c r="I294" s="1" t="s">
        <v>13</v>
      </c>
      <c r="J294" s="3">
        <f ca="1">+TODAY()-cartera02[[#This Row],[fecha]]</f>
        <v>6</v>
      </c>
    </row>
    <row r="295" spans="1:10" x14ac:dyDescent="0.25">
      <c r="A295" s="1" t="s">
        <v>434</v>
      </c>
      <c r="B295" s="1" t="s">
        <v>435</v>
      </c>
      <c r="C295" s="1" t="s">
        <v>11</v>
      </c>
      <c r="D295" s="1" t="s">
        <v>438</v>
      </c>
      <c r="E295">
        <v>399202</v>
      </c>
      <c r="F295" s="2">
        <v>46094</v>
      </c>
      <c r="G295" s="2">
        <v>46124</v>
      </c>
      <c r="H295" s="1" t="s">
        <v>437</v>
      </c>
      <c r="I295" s="1" t="s">
        <v>13</v>
      </c>
      <c r="J295" s="3">
        <f ca="1">+TODAY()-cartera02[[#This Row],[fecha]]</f>
        <v>6</v>
      </c>
    </row>
    <row r="296" spans="1:10" x14ac:dyDescent="0.25">
      <c r="A296" s="1" t="s">
        <v>439</v>
      </c>
      <c r="B296" s="1" t="s">
        <v>440</v>
      </c>
      <c r="C296" s="1" t="s">
        <v>11</v>
      </c>
      <c r="D296" s="1" t="s">
        <v>441</v>
      </c>
      <c r="E296">
        <v>420000</v>
      </c>
      <c r="F296" s="2">
        <v>46094</v>
      </c>
      <c r="G296" s="2">
        <v>46104</v>
      </c>
      <c r="H296" s="1" t="s">
        <v>442</v>
      </c>
      <c r="I296" s="1" t="s">
        <v>13</v>
      </c>
      <c r="J296" s="3">
        <f ca="1">+TODAY()-cartera02[[#This Row],[fecha]]</f>
        <v>6</v>
      </c>
    </row>
    <row r="297" spans="1:10" x14ac:dyDescent="0.25">
      <c r="A297" s="1" t="s">
        <v>439</v>
      </c>
      <c r="B297" s="1" t="s">
        <v>440</v>
      </c>
      <c r="C297" s="1" t="s">
        <v>11</v>
      </c>
      <c r="D297" s="1" t="s">
        <v>443</v>
      </c>
      <c r="E297">
        <v>158197</v>
      </c>
      <c r="F297" s="2">
        <v>46100</v>
      </c>
      <c r="G297" s="2">
        <v>46101</v>
      </c>
      <c r="H297" s="1" t="s">
        <v>442</v>
      </c>
      <c r="I297" s="1" t="s">
        <v>13</v>
      </c>
      <c r="J297" s="3">
        <f ca="1">+TODAY()-cartera02[[#This Row],[fecha]]</f>
        <v>0</v>
      </c>
    </row>
    <row r="298" spans="1:10" x14ac:dyDescent="0.25">
      <c r="A298" s="1" t="s">
        <v>444</v>
      </c>
      <c r="B298" s="1" t="s">
        <v>445</v>
      </c>
      <c r="C298" s="1" t="s">
        <v>11</v>
      </c>
      <c r="D298" s="1" t="s">
        <v>446</v>
      </c>
      <c r="E298">
        <v>118000</v>
      </c>
      <c r="F298" s="2">
        <v>46065</v>
      </c>
      <c r="G298" s="2">
        <v>46095</v>
      </c>
      <c r="H298" s="1" t="s">
        <v>447</v>
      </c>
      <c r="I298" s="1" t="s">
        <v>13</v>
      </c>
      <c r="J298" s="3">
        <f ca="1">+TODAY()-cartera02[[#This Row],[fecha]]</f>
        <v>35</v>
      </c>
    </row>
    <row r="299" spans="1:10" x14ac:dyDescent="0.25">
      <c r="A299" s="1" t="s">
        <v>444</v>
      </c>
      <c r="B299" s="1" t="s">
        <v>445</v>
      </c>
      <c r="C299" s="1" t="s">
        <v>11</v>
      </c>
      <c r="D299" s="1" t="s">
        <v>448</v>
      </c>
      <c r="E299">
        <v>1380654</v>
      </c>
      <c r="F299" s="2">
        <v>46065</v>
      </c>
      <c r="G299" s="2">
        <v>46095</v>
      </c>
      <c r="H299" s="1" t="s">
        <v>447</v>
      </c>
      <c r="I299" s="1" t="s">
        <v>13</v>
      </c>
      <c r="J299" s="3">
        <f ca="1">+TODAY()-cartera02[[#This Row],[fecha]]</f>
        <v>35</v>
      </c>
    </row>
    <row r="300" spans="1:10" x14ac:dyDescent="0.25">
      <c r="A300" s="1" t="s">
        <v>444</v>
      </c>
      <c r="B300" s="1" t="s">
        <v>445</v>
      </c>
      <c r="C300" s="1" t="s">
        <v>11</v>
      </c>
      <c r="D300" s="1" t="s">
        <v>449</v>
      </c>
      <c r="E300">
        <v>1571703</v>
      </c>
      <c r="F300" s="2">
        <v>46085</v>
      </c>
      <c r="G300" s="2">
        <v>46115</v>
      </c>
      <c r="H300" s="1" t="s">
        <v>447</v>
      </c>
      <c r="I300" s="1" t="s">
        <v>13</v>
      </c>
      <c r="J300" s="3">
        <f ca="1">+TODAY()-cartera02[[#This Row],[fecha]]</f>
        <v>15</v>
      </c>
    </row>
    <row r="301" spans="1:10" x14ac:dyDescent="0.25">
      <c r="A301" s="1" t="s">
        <v>444</v>
      </c>
      <c r="B301" s="1" t="s">
        <v>445</v>
      </c>
      <c r="C301" s="1" t="s">
        <v>11</v>
      </c>
      <c r="D301" s="1" t="s">
        <v>450</v>
      </c>
      <c r="E301">
        <v>1335485</v>
      </c>
      <c r="F301" s="2">
        <v>46085</v>
      </c>
      <c r="G301" s="2">
        <v>46115</v>
      </c>
      <c r="H301" s="1" t="s">
        <v>447</v>
      </c>
      <c r="I301" s="1" t="s">
        <v>13</v>
      </c>
      <c r="J301" s="3">
        <f ca="1">+TODAY()-cartera02[[#This Row],[fecha]]</f>
        <v>15</v>
      </c>
    </row>
    <row r="302" spans="1:10" x14ac:dyDescent="0.25">
      <c r="A302" s="1" t="s">
        <v>444</v>
      </c>
      <c r="B302" s="1" t="s">
        <v>445</v>
      </c>
      <c r="C302" s="1" t="s">
        <v>11</v>
      </c>
      <c r="D302" s="1" t="s">
        <v>451</v>
      </c>
      <c r="E302">
        <v>904844</v>
      </c>
      <c r="F302" s="2">
        <v>46094</v>
      </c>
      <c r="G302" s="2">
        <v>46124</v>
      </c>
      <c r="H302" s="1" t="s">
        <v>447</v>
      </c>
      <c r="I302" s="1" t="s">
        <v>13</v>
      </c>
      <c r="J302" s="3">
        <f ca="1">+TODAY()-cartera02[[#This Row],[fecha]]</f>
        <v>6</v>
      </c>
    </row>
    <row r="303" spans="1:10" x14ac:dyDescent="0.25">
      <c r="A303" s="1" t="s">
        <v>444</v>
      </c>
      <c r="B303" s="1" t="s">
        <v>445</v>
      </c>
      <c r="C303" s="1" t="s">
        <v>11</v>
      </c>
      <c r="D303" s="1" t="s">
        <v>452</v>
      </c>
      <c r="E303">
        <v>2346587</v>
      </c>
      <c r="F303" s="2">
        <v>46094</v>
      </c>
      <c r="G303" s="2">
        <v>46124</v>
      </c>
      <c r="H303" s="1" t="s">
        <v>447</v>
      </c>
      <c r="I303" s="1" t="s">
        <v>13</v>
      </c>
      <c r="J303" s="3">
        <f ca="1">+TODAY()-cartera02[[#This Row],[fecha]]</f>
        <v>6</v>
      </c>
    </row>
    <row r="304" spans="1:10" x14ac:dyDescent="0.25">
      <c r="A304" s="1" t="s">
        <v>453</v>
      </c>
      <c r="B304" s="1" t="s">
        <v>454</v>
      </c>
      <c r="C304" s="1" t="s">
        <v>61</v>
      </c>
      <c r="D304" s="1" t="s">
        <v>455</v>
      </c>
      <c r="E304">
        <v>2120000</v>
      </c>
      <c r="F304" s="2">
        <v>46063</v>
      </c>
      <c r="G304" s="2">
        <v>46093</v>
      </c>
      <c r="H304" s="1" t="s">
        <v>456</v>
      </c>
      <c r="I304" s="1" t="s">
        <v>13</v>
      </c>
      <c r="J304" s="3">
        <f ca="1">+TODAY()-cartera02[[#This Row],[fecha]]</f>
        <v>37</v>
      </c>
    </row>
    <row r="305" spans="1:10" x14ac:dyDescent="0.25">
      <c r="A305" s="1" t="s">
        <v>453</v>
      </c>
      <c r="B305" s="1" t="s">
        <v>454</v>
      </c>
      <c r="C305" s="1" t="s">
        <v>61</v>
      </c>
      <c r="D305" s="1" t="s">
        <v>457</v>
      </c>
      <c r="E305">
        <v>2120000</v>
      </c>
      <c r="F305" s="2">
        <v>46072</v>
      </c>
      <c r="G305" s="2">
        <v>46102</v>
      </c>
      <c r="H305" s="1" t="s">
        <v>456</v>
      </c>
      <c r="I305" s="1" t="s">
        <v>13</v>
      </c>
      <c r="J305" s="3">
        <f ca="1">+TODAY()-cartera02[[#This Row],[fecha]]</f>
        <v>28</v>
      </c>
    </row>
    <row r="306" spans="1:10" x14ac:dyDescent="0.25">
      <c r="A306" s="1" t="s">
        <v>453</v>
      </c>
      <c r="B306" s="1" t="s">
        <v>454</v>
      </c>
      <c r="C306" s="1" t="s">
        <v>61</v>
      </c>
      <c r="D306" s="1" t="s">
        <v>458</v>
      </c>
      <c r="E306">
        <v>215997</v>
      </c>
      <c r="F306" s="2">
        <v>46072</v>
      </c>
      <c r="G306" s="2">
        <v>46102</v>
      </c>
      <c r="H306" s="1" t="s">
        <v>456</v>
      </c>
      <c r="I306" s="1" t="s">
        <v>13</v>
      </c>
      <c r="J306" s="3">
        <f ca="1">+TODAY()-cartera02[[#This Row],[fecha]]</f>
        <v>28</v>
      </c>
    </row>
    <row r="307" spans="1:10" x14ac:dyDescent="0.25">
      <c r="A307" s="1" t="s">
        <v>453</v>
      </c>
      <c r="B307" s="1" t="s">
        <v>454</v>
      </c>
      <c r="C307" s="1" t="s">
        <v>61</v>
      </c>
      <c r="D307" s="1" t="s">
        <v>459</v>
      </c>
      <c r="E307">
        <v>968978</v>
      </c>
      <c r="F307" s="2">
        <v>46077</v>
      </c>
      <c r="G307" s="2">
        <v>46107</v>
      </c>
      <c r="H307" s="1" t="s">
        <v>456</v>
      </c>
      <c r="I307" s="1" t="s">
        <v>13</v>
      </c>
      <c r="J307" s="3">
        <f ca="1">+TODAY()-cartera02[[#This Row],[fecha]]</f>
        <v>23</v>
      </c>
    </row>
    <row r="308" spans="1:10" x14ac:dyDescent="0.25">
      <c r="A308" s="1" t="s">
        <v>453</v>
      </c>
      <c r="B308" s="1" t="s">
        <v>454</v>
      </c>
      <c r="C308" s="1" t="s">
        <v>61</v>
      </c>
      <c r="D308" s="1" t="s">
        <v>460</v>
      </c>
      <c r="E308">
        <v>305980</v>
      </c>
      <c r="F308" s="2">
        <v>46077</v>
      </c>
      <c r="G308" s="2">
        <v>46107</v>
      </c>
      <c r="H308" s="1" t="s">
        <v>456</v>
      </c>
      <c r="I308" s="1" t="s">
        <v>13</v>
      </c>
      <c r="J308" s="3">
        <f ca="1">+TODAY()-cartera02[[#This Row],[fecha]]</f>
        <v>23</v>
      </c>
    </row>
    <row r="309" spans="1:10" x14ac:dyDescent="0.25">
      <c r="A309" s="1" t="s">
        <v>453</v>
      </c>
      <c r="B309" s="1" t="s">
        <v>454</v>
      </c>
      <c r="C309" s="1" t="s">
        <v>61</v>
      </c>
      <c r="D309" s="1" t="s">
        <v>461</v>
      </c>
      <c r="E309">
        <v>2120000</v>
      </c>
      <c r="F309" s="2">
        <v>46085</v>
      </c>
      <c r="G309" s="2">
        <v>46115</v>
      </c>
      <c r="H309" s="1" t="s">
        <v>456</v>
      </c>
      <c r="I309" s="1" t="s">
        <v>13</v>
      </c>
      <c r="J309" s="3">
        <f ca="1">+TODAY()-cartera02[[#This Row],[fecha]]</f>
        <v>15</v>
      </c>
    </row>
    <row r="310" spans="1:10" x14ac:dyDescent="0.25">
      <c r="A310" s="1" t="s">
        <v>453</v>
      </c>
      <c r="B310" s="1" t="s">
        <v>454</v>
      </c>
      <c r="C310" s="1" t="s">
        <v>61</v>
      </c>
      <c r="D310" s="1" t="s">
        <v>462</v>
      </c>
      <c r="E310">
        <v>2120000</v>
      </c>
      <c r="F310" s="2">
        <v>46092</v>
      </c>
      <c r="G310" s="2">
        <v>46122</v>
      </c>
      <c r="H310" s="1" t="s">
        <v>456</v>
      </c>
      <c r="I310" s="1" t="s">
        <v>13</v>
      </c>
      <c r="J310" s="3">
        <f ca="1">+TODAY()-cartera02[[#This Row],[fecha]]</f>
        <v>8</v>
      </c>
    </row>
    <row r="311" spans="1:10" x14ac:dyDescent="0.25">
      <c r="A311" s="1" t="s">
        <v>453</v>
      </c>
      <c r="B311" s="1" t="s">
        <v>454</v>
      </c>
      <c r="C311" s="1" t="s">
        <v>61</v>
      </c>
      <c r="D311" s="1" t="s">
        <v>463</v>
      </c>
      <c r="E311">
        <v>1238526</v>
      </c>
      <c r="F311" s="2">
        <v>46092</v>
      </c>
      <c r="G311" s="2">
        <v>46122</v>
      </c>
      <c r="H311" s="1" t="s">
        <v>456</v>
      </c>
      <c r="I311" s="1" t="s">
        <v>13</v>
      </c>
      <c r="J311" s="3">
        <f ca="1">+TODAY()-cartera02[[#This Row],[fecha]]</f>
        <v>8</v>
      </c>
    </row>
    <row r="312" spans="1:10" x14ac:dyDescent="0.25">
      <c r="A312" s="1" t="s">
        <v>464</v>
      </c>
      <c r="B312" s="1" t="s">
        <v>465</v>
      </c>
      <c r="C312" s="1" t="s">
        <v>61</v>
      </c>
      <c r="D312" s="1" t="s">
        <v>466</v>
      </c>
      <c r="E312">
        <v>1061386</v>
      </c>
      <c r="F312" s="2">
        <v>46077</v>
      </c>
      <c r="G312" s="2">
        <v>46107</v>
      </c>
      <c r="H312" s="1" t="s">
        <v>467</v>
      </c>
      <c r="I312" s="1" t="s">
        <v>13</v>
      </c>
      <c r="J312" s="3">
        <f ca="1">+TODAY()-cartera02[[#This Row],[fecha]]</f>
        <v>23</v>
      </c>
    </row>
    <row r="313" spans="1:10" x14ac:dyDescent="0.25">
      <c r="A313" s="1" t="s">
        <v>464</v>
      </c>
      <c r="B313" s="1" t="s">
        <v>465</v>
      </c>
      <c r="C313" s="1" t="s">
        <v>61</v>
      </c>
      <c r="D313" s="1" t="s">
        <v>468</v>
      </c>
      <c r="E313">
        <v>596176</v>
      </c>
      <c r="F313" s="2">
        <v>46080</v>
      </c>
      <c r="G313" s="2">
        <v>46110</v>
      </c>
      <c r="H313" s="1" t="s">
        <v>467</v>
      </c>
      <c r="I313" s="1" t="s">
        <v>13</v>
      </c>
      <c r="J313" s="3">
        <f ca="1">+TODAY()-cartera02[[#This Row],[fecha]]</f>
        <v>20</v>
      </c>
    </row>
    <row r="314" spans="1:10" x14ac:dyDescent="0.25">
      <c r="A314" s="1" t="s">
        <v>464</v>
      </c>
      <c r="B314" s="1" t="s">
        <v>465</v>
      </c>
      <c r="C314" s="1" t="s">
        <v>61</v>
      </c>
      <c r="D314" s="1" t="s">
        <v>469</v>
      </c>
      <c r="E314">
        <v>894210</v>
      </c>
      <c r="F314" s="2">
        <v>46087</v>
      </c>
      <c r="G314" s="2">
        <v>46117</v>
      </c>
      <c r="H314" s="1" t="s">
        <v>467</v>
      </c>
      <c r="I314" s="1" t="s">
        <v>13</v>
      </c>
      <c r="J314" s="3">
        <f ca="1">+TODAY()-cartera02[[#This Row],[fecha]]</f>
        <v>13</v>
      </c>
    </row>
    <row r="315" spans="1:10" x14ac:dyDescent="0.25">
      <c r="A315" s="1" t="s">
        <v>464</v>
      </c>
      <c r="B315" s="1" t="s">
        <v>465</v>
      </c>
      <c r="C315" s="1" t="s">
        <v>61</v>
      </c>
      <c r="D315" s="1" t="s">
        <v>470</v>
      </c>
      <c r="E315">
        <v>1260000</v>
      </c>
      <c r="F315" s="2">
        <v>46091</v>
      </c>
      <c r="G315" s="2">
        <v>46101</v>
      </c>
      <c r="H315" s="1" t="s">
        <v>467</v>
      </c>
      <c r="I315" s="1" t="s">
        <v>13</v>
      </c>
      <c r="J315" s="3">
        <f ca="1">+TODAY()-cartera02[[#This Row],[fecha]]</f>
        <v>9</v>
      </c>
    </row>
    <row r="316" spans="1:10" x14ac:dyDescent="0.25">
      <c r="A316" s="1" t="s">
        <v>464</v>
      </c>
      <c r="B316" s="1" t="s">
        <v>465</v>
      </c>
      <c r="C316" s="1" t="s">
        <v>61</v>
      </c>
      <c r="D316" s="1" t="s">
        <v>471</v>
      </c>
      <c r="E316">
        <v>819252</v>
      </c>
      <c r="F316" s="2">
        <v>46092</v>
      </c>
      <c r="G316" s="2">
        <v>46122</v>
      </c>
      <c r="H316" s="1" t="s">
        <v>467</v>
      </c>
      <c r="I316" s="1" t="s">
        <v>13</v>
      </c>
      <c r="J316" s="3">
        <f ca="1">+TODAY()-cartera02[[#This Row],[fecha]]</f>
        <v>8</v>
      </c>
    </row>
    <row r="317" spans="1:10" x14ac:dyDescent="0.25">
      <c r="A317" s="1" t="s">
        <v>464</v>
      </c>
      <c r="B317" s="1" t="s">
        <v>465</v>
      </c>
      <c r="C317" s="1" t="s">
        <v>61</v>
      </c>
      <c r="D317" s="1" t="s">
        <v>472</v>
      </c>
      <c r="E317">
        <v>1680000</v>
      </c>
      <c r="F317" s="2">
        <v>46094</v>
      </c>
      <c r="G317" s="2">
        <v>46104</v>
      </c>
      <c r="H317" s="1" t="s">
        <v>467</v>
      </c>
      <c r="I317" s="1" t="s">
        <v>13</v>
      </c>
      <c r="J317" s="3">
        <f ca="1">+TODAY()-cartera02[[#This Row],[fecha]]</f>
        <v>6</v>
      </c>
    </row>
    <row r="318" spans="1:10" x14ac:dyDescent="0.25">
      <c r="A318" s="1" t="s">
        <v>464</v>
      </c>
      <c r="B318" s="1" t="s">
        <v>465</v>
      </c>
      <c r="C318" s="1" t="s">
        <v>61</v>
      </c>
      <c r="D318" s="1" t="s">
        <v>473</v>
      </c>
      <c r="E318">
        <v>1680000</v>
      </c>
      <c r="F318" s="2">
        <v>46097</v>
      </c>
      <c r="G318" s="2">
        <v>46107</v>
      </c>
      <c r="H318" s="1" t="s">
        <v>467</v>
      </c>
      <c r="I318" s="1" t="s">
        <v>13</v>
      </c>
      <c r="J318" s="3">
        <f ca="1">+TODAY()-cartera02[[#This Row],[fecha]]</f>
        <v>3</v>
      </c>
    </row>
    <row r="319" spans="1:10" x14ac:dyDescent="0.25">
      <c r="A319" s="1" t="s">
        <v>474</v>
      </c>
      <c r="B319" s="1" t="s">
        <v>475</v>
      </c>
      <c r="C319" s="1" t="s">
        <v>11</v>
      </c>
      <c r="D319" s="1" t="s">
        <v>476</v>
      </c>
      <c r="E319">
        <v>969005</v>
      </c>
      <c r="F319" s="2">
        <v>46071</v>
      </c>
      <c r="G319" s="2">
        <v>46101</v>
      </c>
      <c r="H319" s="1" t="s">
        <v>477</v>
      </c>
      <c r="I319" s="1" t="s">
        <v>13</v>
      </c>
      <c r="J319" s="3">
        <f ca="1">+TODAY()-cartera02[[#This Row],[fecha]]</f>
        <v>29</v>
      </c>
    </row>
    <row r="320" spans="1:10" x14ac:dyDescent="0.25">
      <c r="A320" s="1" t="s">
        <v>474</v>
      </c>
      <c r="B320" s="1" t="s">
        <v>475</v>
      </c>
      <c r="C320" s="1" t="s">
        <v>11</v>
      </c>
      <c r="D320" s="1" t="s">
        <v>478</v>
      </c>
      <c r="E320">
        <v>95000</v>
      </c>
      <c r="F320" s="2">
        <v>46073</v>
      </c>
      <c r="G320" s="2">
        <v>46103</v>
      </c>
      <c r="H320" s="1" t="s">
        <v>477</v>
      </c>
      <c r="I320" s="1" t="s">
        <v>13</v>
      </c>
      <c r="J320" s="3">
        <f ca="1">+TODAY()-cartera02[[#This Row],[fecha]]</f>
        <v>27</v>
      </c>
    </row>
    <row r="321" spans="1:10" x14ac:dyDescent="0.25">
      <c r="A321" s="1" t="s">
        <v>474</v>
      </c>
      <c r="B321" s="1" t="s">
        <v>475</v>
      </c>
      <c r="C321" s="1" t="s">
        <v>11</v>
      </c>
      <c r="D321" s="1" t="s">
        <v>479</v>
      </c>
      <c r="E321">
        <v>1382598</v>
      </c>
      <c r="F321" s="2">
        <v>46073</v>
      </c>
      <c r="G321" s="2">
        <v>46103</v>
      </c>
      <c r="H321" s="1" t="s">
        <v>477</v>
      </c>
      <c r="I321" s="1" t="s">
        <v>13</v>
      </c>
      <c r="J321" s="3">
        <f ca="1">+TODAY()-cartera02[[#This Row],[fecha]]</f>
        <v>27</v>
      </c>
    </row>
    <row r="322" spans="1:10" x14ac:dyDescent="0.25">
      <c r="A322" s="1" t="s">
        <v>474</v>
      </c>
      <c r="B322" s="1" t="s">
        <v>475</v>
      </c>
      <c r="C322" s="1" t="s">
        <v>11</v>
      </c>
      <c r="D322" s="1" t="s">
        <v>480</v>
      </c>
      <c r="E322">
        <v>419998</v>
      </c>
      <c r="F322" s="2">
        <v>46079</v>
      </c>
      <c r="G322" s="2">
        <v>46109</v>
      </c>
      <c r="H322" s="1" t="s">
        <v>477</v>
      </c>
      <c r="I322" s="1" t="s">
        <v>13</v>
      </c>
      <c r="J322" s="3">
        <f ca="1">+TODAY()-cartera02[[#This Row],[fecha]]</f>
        <v>21</v>
      </c>
    </row>
    <row r="323" spans="1:10" x14ac:dyDescent="0.25">
      <c r="A323" s="1" t="s">
        <v>474</v>
      </c>
      <c r="B323" s="1" t="s">
        <v>475</v>
      </c>
      <c r="C323" s="1" t="s">
        <v>11</v>
      </c>
      <c r="D323" s="1" t="s">
        <v>481</v>
      </c>
      <c r="E323">
        <v>4525600</v>
      </c>
      <c r="F323" s="2">
        <v>46091</v>
      </c>
      <c r="G323" s="2">
        <v>46101</v>
      </c>
      <c r="H323" s="1" t="s">
        <v>477</v>
      </c>
      <c r="I323" s="1" t="s">
        <v>13</v>
      </c>
      <c r="J323" s="3">
        <f ca="1">+TODAY()-cartera02[[#This Row],[fecha]]</f>
        <v>9</v>
      </c>
    </row>
    <row r="324" spans="1:10" x14ac:dyDescent="0.25">
      <c r="A324" s="1" t="s">
        <v>474</v>
      </c>
      <c r="B324" s="1" t="s">
        <v>475</v>
      </c>
      <c r="C324" s="1" t="s">
        <v>11</v>
      </c>
      <c r="D324" s="1" t="s">
        <v>482</v>
      </c>
      <c r="E324">
        <v>3862409</v>
      </c>
      <c r="F324" s="2">
        <v>46093</v>
      </c>
      <c r="G324" s="2">
        <v>46123</v>
      </c>
      <c r="H324" s="1" t="s">
        <v>477</v>
      </c>
      <c r="I324" s="1" t="s">
        <v>13</v>
      </c>
      <c r="J324" s="3">
        <f ca="1">+TODAY()-cartera02[[#This Row],[fecha]]</f>
        <v>7</v>
      </c>
    </row>
    <row r="325" spans="1:10" x14ac:dyDescent="0.25">
      <c r="A325" s="1" t="s">
        <v>474</v>
      </c>
      <c r="B325" s="1" t="s">
        <v>475</v>
      </c>
      <c r="C325" s="1" t="s">
        <v>11</v>
      </c>
      <c r="D325" s="1" t="s">
        <v>483</v>
      </c>
      <c r="E325">
        <v>4200000</v>
      </c>
      <c r="F325" s="2">
        <v>46097</v>
      </c>
      <c r="G325" s="2">
        <v>46107</v>
      </c>
      <c r="H325" s="1" t="s">
        <v>477</v>
      </c>
      <c r="I325" s="1" t="s">
        <v>13</v>
      </c>
      <c r="J325" s="3">
        <f ca="1">+TODAY()-cartera02[[#This Row],[fecha]]</f>
        <v>3</v>
      </c>
    </row>
    <row r="326" spans="1:10" x14ac:dyDescent="0.25">
      <c r="A326" s="1" t="s">
        <v>484</v>
      </c>
      <c r="B326" s="1" t="s">
        <v>485</v>
      </c>
      <c r="C326" s="1" t="s">
        <v>61</v>
      </c>
      <c r="D326" s="1" t="s">
        <v>486</v>
      </c>
      <c r="E326">
        <v>420000</v>
      </c>
      <c r="F326" s="2">
        <v>46091</v>
      </c>
      <c r="G326" s="2">
        <v>46101</v>
      </c>
      <c r="H326" s="1" t="s">
        <v>487</v>
      </c>
      <c r="I326" s="1" t="s">
        <v>13</v>
      </c>
      <c r="J326" s="3">
        <f ca="1">+TODAY()-cartera02[[#This Row],[fecha]]</f>
        <v>9</v>
      </c>
    </row>
    <row r="327" spans="1:10" x14ac:dyDescent="0.25">
      <c r="A327" s="1" t="s">
        <v>484</v>
      </c>
      <c r="B327" s="1" t="s">
        <v>485</v>
      </c>
      <c r="C327" s="1" t="s">
        <v>61</v>
      </c>
      <c r="D327" s="1" t="s">
        <v>488</v>
      </c>
      <c r="E327">
        <v>158747</v>
      </c>
      <c r="F327" s="2">
        <v>46099</v>
      </c>
      <c r="G327" s="2">
        <v>46100</v>
      </c>
      <c r="H327" s="1" t="s">
        <v>487</v>
      </c>
      <c r="I327" s="1" t="s">
        <v>13</v>
      </c>
      <c r="J327" s="3">
        <f ca="1">+TODAY()-cartera02[[#This Row],[fecha]]</f>
        <v>1</v>
      </c>
    </row>
    <row r="328" spans="1:10" x14ac:dyDescent="0.25">
      <c r="A328" s="1" t="s">
        <v>489</v>
      </c>
      <c r="B328" s="1" t="s">
        <v>490</v>
      </c>
      <c r="C328" s="1" t="s">
        <v>11</v>
      </c>
      <c r="D328" s="1" t="s">
        <v>491</v>
      </c>
      <c r="E328">
        <v>272201</v>
      </c>
      <c r="F328" s="2">
        <v>46072</v>
      </c>
      <c r="G328" s="2">
        <v>46102</v>
      </c>
      <c r="H328" s="1" t="s">
        <v>492</v>
      </c>
      <c r="I328" s="1" t="s">
        <v>13</v>
      </c>
      <c r="J328" s="3">
        <f ca="1">+TODAY()-cartera02[[#This Row],[fecha]]</f>
        <v>28</v>
      </c>
    </row>
    <row r="329" spans="1:10" x14ac:dyDescent="0.25">
      <c r="A329" s="1" t="s">
        <v>489</v>
      </c>
      <c r="B329" s="1" t="s">
        <v>490</v>
      </c>
      <c r="C329" s="1" t="s">
        <v>11</v>
      </c>
      <c r="D329" s="1" t="s">
        <v>493</v>
      </c>
      <c r="E329">
        <v>563709</v>
      </c>
      <c r="F329" s="2">
        <v>46095</v>
      </c>
      <c r="G329" s="2">
        <v>46125</v>
      </c>
      <c r="H329" s="1" t="s">
        <v>492</v>
      </c>
      <c r="I329" s="1" t="s">
        <v>13</v>
      </c>
      <c r="J329" s="3">
        <f ca="1">+TODAY()-cartera02[[#This Row],[fecha]]</f>
        <v>5</v>
      </c>
    </row>
    <row r="330" spans="1:10" x14ac:dyDescent="0.25">
      <c r="A330" s="1" t="s">
        <v>489</v>
      </c>
      <c r="B330" s="1" t="s">
        <v>490</v>
      </c>
      <c r="C330" s="1" t="s">
        <v>11</v>
      </c>
      <c r="D330" s="1" t="s">
        <v>494</v>
      </c>
      <c r="E330">
        <v>192537</v>
      </c>
      <c r="F330" s="2">
        <v>46098</v>
      </c>
      <c r="G330" s="2">
        <v>46099</v>
      </c>
      <c r="H330" s="1" t="s">
        <v>492</v>
      </c>
      <c r="I330" s="1" t="s">
        <v>13</v>
      </c>
      <c r="J330" s="3">
        <f ca="1">+TODAY()-cartera02[[#This Row],[fecha]]</f>
        <v>2</v>
      </c>
    </row>
    <row r="331" spans="1:10" x14ac:dyDescent="0.25">
      <c r="A331" s="1" t="s">
        <v>495</v>
      </c>
      <c r="B331" s="1" t="s">
        <v>496</v>
      </c>
      <c r="C331" s="1" t="s">
        <v>61</v>
      </c>
      <c r="D331" s="1" t="s">
        <v>497</v>
      </c>
      <c r="E331">
        <v>341317</v>
      </c>
      <c r="F331" s="2">
        <v>46074</v>
      </c>
      <c r="G331" s="2">
        <v>46104</v>
      </c>
      <c r="H331" s="1" t="s">
        <v>498</v>
      </c>
      <c r="I331" s="1" t="s">
        <v>13</v>
      </c>
      <c r="J331" s="3">
        <f ca="1">+TODAY()-cartera02[[#This Row],[fecha]]</f>
        <v>26</v>
      </c>
    </row>
    <row r="332" spans="1:10" x14ac:dyDescent="0.25">
      <c r="A332" s="1" t="s">
        <v>495</v>
      </c>
      <c r="B332" s="1" t="s">
        <v>496</v>
      </c>
      <c r="C332" s="1" t="s">
        <v>61</v>
      </c>
      <c r="D332" s="1" t="s">
        <v>499</v>
      </c>
      <c r="E332">
        <v>4200000</v>
      </c>
      <c r="F332" s="2">
        <v>46097</v>
      </c>
      <c r="G332" s="2">
        <v>46107</v>
      </c>
      <c r="H332" s="1" t="s">
        <v>498</v>
      </c>
      <c r="I332" s="1" t="s">
        <v>13</v>
      </c>
      <c r="J332" s="3">
        <f ca="1">+TODAY()-cartera02[[#This Row],[fecha]]</f>
        <v>3</v>
      </c>
    </row>
    <row r="333" spans="1:10" x14ac:dyDescent="0.25">
      <c r="A333" s="1" t="s">
        <v>500</v>
      </c>
      <c r="B333" s="1" t="s">
        <v>501</v>
      </c>
      <c r="C333" s="1" t="s">
        <v>61</v>
      </c>
      <c r="D333" s="1" t="s">
        <v>502</v>
      </c>
      <c r="E333">
        <v>420000</v>
      </c>
      <c r="F333" s="2">
        <v>46093</v>
      </c>
      <c r="G333" s="2">
        <v>46103</v>
      </c>
      <c r="H333" s="1" t="s">
        <v>503</v>
      </c>
      <c r="I333" s="1" t="s">
        <v>13</v>
      </c>
      <c r="J333" s="3">
        <f ca="1">+TODAY()-cartera02[[#This Row],[fecha]]</f>
        <v>7</v>
      </c>
    </row>
    <row r="334" spans="1:10" x14ac:dyDescent="0.25">
      <c r="A334" s="1" t="s">
        <v>504</v>
      </c>
      <c r="B334" s="1" t="s">
        <v>505</v>
      </c>
      <c r="C334" s="1" t="s">
        <v>11</v>
      </c>
      <c r="D334" s="1" t="s">
        <v>506</v>
      </c>
      <c r="E334">
        <v>1432296</v>
      </c>
      <c r="F334" s="2">
        <v>45714</v>
      </c>
      <c r="G334" s="2">
        <v>45744</v>
      </c>
      <c r="H334" s="1" t="s">
        <v>507</v>
      </c>
      <c r="I334" s="1" t="s">
        <v>13</v>
      </c>
      <c r="J334" s="3">
        <f ca="1">+TODAY()-cartera02[[#This Row],[fecha]]</f>
        <v>386</v>
      </c>
    </row>
    <row r="335" spans="1:10" x14ac:dyDescent="0.25">
      <c r="A335" s="1" t="s">
        <v>504</v>
      </c>
      <c r="B335" s="1" t="s">
        <v>505</v>
      </c>
      <c r="C335" s="1" t="s">
        <v>11</v>
      </c>
      <c r="D335" s="1" t="s">
        <v>508</v>
      </c>
      <c r="E335">
        <v>748439</v>
      </c>
      <c r="F335" s="2">
        <v>45736</v>
      </c>
      <c r="G335" s="2">
        <v>45766</v>
      </c>
      <c r="H335" s="1" t="s">
        <v>507</v>
      </c>
      <c r="I335" s="1" t="s">
        <v>13</v>
      </c>
      <c r="J335" s="3">
        <f ca="1">+TODAY()-cartera02[[#This Row],[fecha]]</f>
        <v>364</v>
      </c>
    </row>
    <row r="336" spans="1:10" x14ac:dyDescent="0.25">
      <c r="A336" s="1" t="s">
        <v>509</v>
      </c>
      <c r="B336" s="1" t="s">
        <v>510</v>
      </c>
      <c r="C336" s="1" t="s">
        <v>11</v>
      </c>
      <c r="D336" s="1" t="s">
        <v>511</v>
      </c>
      <c r="E336">
        <v>145000</v>
      </c>
      <c r="F336" s="2">
        <v>46070</v>
      </c>
      <c r="G336" s="2">
        <v>46100</v>
      </c>
      <c r="H336" s="1" t="s">
        <v>512</v>
      </c>
      <c r="I336" s="1" t="s">
        <v>13</v>
      </c>
      <c r="J336" s="3">
        <f ca="1">+TODAY()-cartera02[[#This Row],[fecha]]</f>
        <v>30</v>
      </c>
    </row>
    <row r="337" spans="1:10" x14ac:dyDescent="0.25">
      <c r="A337" s="1" t="s">
        <v>509</v>
      </c>
      <c r="B337" s="1" t="s">
        <v>510</v>
      </c>
      <c r="C337" s="1" t="s">
        <v>11</v>
      </c>
      <c r="D337" s="1" t="s">
        <v>513</v>
      </c>
      <c r="E337">
        <v>1347698</v>
      </c>
      <c r="F337" s="2">
        <v>46076</v>
      </c>
      <c r="G337" s="2">
        <v>46106</v>
      </c>
      <c r="H337" s="1" t="s">
        <v>512</v>
      </c>
      <c r="I337" s="1" t="s">
        <v>13</v>
      </c>
      <c r="J337" s="3">
        <f ca="1">+TODAY()-cartera02[[#This Row],[fecha]]</f>
        <v>24</v>
      </c>
    </row>
    <row r="338" spans="1:10" x14ac:dyDescent="0.25">
      <c r="A338" s="1" t="s">
        <v>509</v>
      </c>
      <c r="B338" s="1" t="s">
        <v>510</v>
      </c>
      <c r="C338" s="1" t="s">
        <v>11</v>
      </c>
      <c r="D338" s="1" t="s">
        <v>514</v>
      </c>
      <c r="E338">
        <v>762000</v>
      </c>
      <c r="F338" s="2">
        <v>46078</v>
      </c>
      <c r="G338" s="2">
        <v>46108</v>
      </c>
      <c r="H338" s="1" t="s">
        <v>512</v>
      </c>
      <c r="I338" s="1" t="s">
        <v>13</v>
      </c>
      <c r="J338" s="3">
        <f ca="1">+TODAY()-cartera02[[#This Row],[fecha]]</f>
        <v>22</v>
      </c>
    </row>
    <row r="339" spans="1:10" x14ac:dyDescent="0.25">
      <c r="A339" s="1" t="s">
        <v>509</v>
      </c>
      <c r="B339" s="1" t="s">
        <v>510</v>
      </c>
      <c r="C339" s="1" t="s">
        <v>11</v>
      </c>
      <c r="D339" s="1" t="s">
        <v>515</v>
      </c>
      <c r="E339">
        <v>532203</v>
      </c>
      <c r="F339" s="2">
        <v>46079</v>
      </c>
      <c r="G339" s="2">
        <v>46109</v>
      </c>
      <c r="H339" s="1" t="s">
        <v>512</v>
      </c>
      <c r="I339" s="1" t="s">
        <v>13</v>
      </c>
      <c r="J339" s="3">
        <f ca="1">+TODAY()-cartera02[[#This Row],[fecha]]</f>
        <v>21</v>
      </c>
    </row>
    <row r="340" spans="1:10" x14ac:dyDescent="0.25">
      <c r="A340" s="1" t="s">
        <v>509</v>
      </c>
      <c r="B340" s="1" t="s">
        <v>510</v>
      </c>
      <c r="C340" s="1" t="s">
        <v>11</v>
      </c>
      <c r="D340" s="1" t="s">
        <v>516</v>
      </c>
      <c r="E340">
        <v>762000</v>
      </c>
      <c r="F340" s="2">
        <v>46087</v>
      </c>
      <c r="G340" s="2">
        <v>46117</v>
      </c>
      <c r="H340" s="1" t="s">
        <v>512</v>
      </c>
      <c r="I340" s="1" t="s">
        <v>13</v>
      </c>
      <c r="J340" s="3">
        <f ca="1">+TODAY()-cartera02[[#This Row],[fecha]]</f>
        <v>13</v>
      </c>
    </row>
    <row r="341" spans="1:10" x14ac:dyDescent="0.25">
      <c r="A341" s="1" t="s">
        <v>509</v>
      </c>
      <c r="B341" s="1" t="s">
        <v>510</v>
      </c>
      <c r="C341" s="1" t="s">
        <v>11</v>
      </c>
      <c r="D341" s="1" t="s">
        <v>517</v>
      </c>
      <c r="E341">
        <v>1680000</v>
      </c>
      <c r="F341" s="2">
        <v>46094</v>
      </c>
      <c r="G341" s="2">
        <v>46104</v>
      </c>
      <c r="H341" s="1" t="s">
        <v>512</v>
      </c>
      <c r="I341" s="1" t="s">
        <v>13</v>
      </c>
      <c r="J341" s="3">
        <f ca="1">+TODAY()-cartera02[[#This Row],[fecha]]</f>
        <v>6</v>
      </c>
    </row>
    <row r="342" spans="1:10" x14ac:dyDescent="0.25">
      <c r="A342" s="1" t="s">
        <v>509</v>
      </c>
      <c r="B342" s="1" t="s">
        <v>510</v>
      </c>
      <c r="C342" s="1" t="s">
        <v>11</v>
      </c>
      <c r="D342" s="1" t="s">
        <v>518</v>
      </c>
      <c r="E342">
        <v>1270000</v>
      </c>
      <c r="F342" s="2">
        <v>46097</v>
      </c>
      <c r="G342" s="2">
        <v>46127</v>
      </c>
      <c r="H342" s="1" t="s">
        <v>512</v>
      </c>
      <c r="I342" s="1" t="s">
        <v>13</v>
      </c>
      <c r="J342" s="3">
        <f ca="1">+TODAY()-cartera02[[#This Row],[fecha]]</f>
        <v>3</v>
      </c>
    </row>
    <row r="343" spans="1:10" x14ac:dyDescent="0.25">
      <c r="A343" s="1" t="s">
        <v>509</v>
      </c>
      <c r="B343" s="1" t="s">
        <v>510</v>
      </c>
      <c r="C343" s="1" t="s">
        <v>11</v>
      </c>
      <c r="D343" s="1" t="s">
        <v>519</v>
      </c>
      <c r="E343">
        <v>1680000</v>
      </c>
      <c r="F343" s="2">
        <v>46099</v>
      </c>
      <c r="G343" s="2">
        <v>46109</v>
      </c>
      <c r="H343" s="1" t="s">
        <v>512</v>
      </c>
      <c r="I343" s="1" t="s">
        <v>13</v>
      </c>
      <c r="J343" s="3">
        <f ca="1">+TODAY()-cartera02[[#This Row],[fecha]]</f>
        <v>1</v>
      </c>
    </row>
    <row r="344" spans="1:10" x14ac:dyDescent="0.25">
      <c r="A344" s="1" t="s">
        <v>509</v>
      </c>
      <c r="B344" s="1" t="s">
        <v>510</v>
      </c>
      <c r="C344" s="1" t="s">
        <v>11</v>
      </c>
      <c r="D344" s="1" t="s">
        <v>520</v>
      </c>
      <c r="E344">
        <v>259785</v>
      </c>
      <c r="F344" s="2">
        <v>46100</v>
      </c>
      <c r="G344" s="2">
        <v>46130</v>
      </c>
      <c r="H344" s="1" t="s">
        <v>512</v>
      </c>
      <c r="I344" s="1" t="s">
        <v>13</v>
      </c>
      <c r="J344" s="3">
        <f ca="1">+TODAY()-cartera02[[#This Row],[fecha]]</f>
        <v>0</v>
      </c>
    </row>
    <row r="345" spans="1:10" x14ac:dyDescent="0.25">
      <c r="A345" s="1" t="s">
        <v>521</v>
      </c>
      <c r="B345" s="1" t="s">
        <v>522</v>
      </c>
      <c r="C345" s="1" t="s">
        <v>61</v>
      </c>
      <c r="D345" s="1" t="s">
        <v>523</v>
      </c>
      <c r="E345">
        <v>630000</v>
      </c>
      <c r="F345" s="2">
        <v>46094</v>
      </c>
      <c r="G345" s="2">
        <v>46104</v>
      </c>
      <c r="H345" s="1" t="s">
        <v>524</v>
      </c>
      <c r="I345" s="1" t="s">
        <v>13</v>
      </c>
      <c r="J345" s="3">
        <f ca="1">+TODAY()-cartera02[[#This Row],[fecha]]</f>
        <v>6</v>
      </c>
    </row>
    <row r="346" spans="1:10" x14ac:dyDescent="0.25">
      <c r="A346" s="1" t="s">
        <v>521</v>
      </c>
      <c r="B346" s="1" t="s">
        <v>522</v>
      </c>
      <c r="C346" s="1" t="s">
        <v>61</v>
      </c>
      <c r="D346" s="1" t="s">
        <v>525</v>
      </c>
      <c r="E346">
        <v>399202</v>
      </c>
      <c r="F346" s="2">
        <v>46094</v>
      </c>
      <c r="G346" s="2">
        <v>46124</v>
      </c>
      <c r="H346" s="1" t="s">
        <v>524</v>
      </c>
      <c r="I346" s="1" t="s">
        <v>13</v>
      </c>
      <c r="J346" s="3">
        <f ca="1">+TODAY()-cartera02[[#This Row],[fecha]]</f>
        <v>6</v>
      </c>
    </row>
    <row r="347" spans="1:10" x14ac:dyDescent="0.25">
      <c r="A347" s="1" t="s">
        <v>521</v>
      </c>
      <c r="B347" s="1" t="s">
        <v>522</v>
      </c>
      <c r="C347" s="1" t="s">
        <v>61</v>
      </c>
      <c r="D347" s="1" t="s">
        <v>526</v>
      </c>
      <c r="E347">
        <v>1165600</v>
      </c>
      <c r="F347" s="2">
        <v>46098</v>
      </c>
      <c r="G347" s="2">
        <v>46108</v>
      </c>
      <c r="H347" s="1" t="s">
        <v>524</v>
      </c>
      <c r="I347" s="1" t="s">
        <v>13</v>
      </c>
      <c r="J347" s="3">
        <f ca="1">+TODAY()-cartera02[[#This Row],[fecha]]</f>
        <v>2</v>
      </c>
    </row>
    <row r="348" spans="1:10" x14ac:dyDescent="0.25">
      <c r="A348" s="1" t="s">
        <v>521</v>
      </c>
      <c r="B348" s="1" t="s">
        <v>522</v>
      </c>
      <c r="C348" s="1" t="s">
        <v>61</v>
      </c>
      <c r="D348" s="1" t="s">
        <v>527</v>
      </c>
      <c r="E348">
        <v>404996</v>
      </c>
      <c r="F348" s="2">
        <v>46098</v>
      </c>
      <c r="G348" s="2">
        <v>46128</v>
      </c>
      <c r="H348" s="1" t="s">
        <v>524</v>
      </c>
      <c r="I348" s="1" t="s">
        <v>13</v>
      </c>
      <c r="J348" s="3">
        <f ca="1">+TODAY()-cartera02[[#This Row],[fecha]]</f>
        <v>2</v>
      </c>
    </row>
    <row r="349" spans="1:10" x14ac:dyDescent="0.25">
      <c r="A349" s="1" t="s">
        <v>521</v>
      </c>
      <c r="B349" s="1" t="s">
        <v>522</v>
      </c>
      <c r="C349" s="1" t="s">
        <v>61</v>
      </c>
      <c r="D349" s="1" t="s">
        <v>528</v>
      </c>
      <c r="E349">
        <v>1034410</v>
      </c>
      <c r="F349" s="2">
        <v>46098</v>
      </c>
      <c r="G349" s="2">
        <v>46128</v>
      </c>
      <c r="H349" s="1" t="s">
        <v>524</v>
      </c>
      <c r="I349" s="1" t="s">
        <v>13</v>
      </c>
      <c r="J349" s="3">
        <f ca="1">+TODAY()-cartera02[[#This Row],[fecha]]</f>
        <v>2</v>
      </c>
    </row>
    <row r="350" spans="1:10" x14ac:dyDescent="0.25">
      <c r="A350" s="1" t="s">
        <v>529</v>
      </c>
      <c r="B350" s="1" t="s">
        <v>530</v>
      </c>
      <c r="C350" s="1" t="s">
        <v>61</v>
      </c>
      <c r="D350" s="1" t="s">
        <v>531</v>
      </c>
      <c r="E350">
        <v>225600</v>
      </c>
      <c r="F350" s="2">
        <v>46083</v>
      </c>
      <c r="G350" s="2">
        <v>46113</v>
      </c>
      <c r="H350" s="1" t="s">
        <v>311</v>
      </c>
      <c r="I350" s="1" t="s">
        <v>13</v>
      </c>
      <c r="J350" s="3">
        <f ca="1">+TODAY()-cartera02[[#This Row],[fecha]]</f>
        <v>17</v>
      </c>
    </row>
    <row r="351" spans="1:10" x14ac:dyDescent="0.25">
      <c r="A351" s="1" t="s">
        <v>529</v>
      </c>
      <c r="B351" s="1" t="s">
        <v>530</v>
      </c>
      <c r="C351" s="1" t="s">
        <v>61</v>
      </c>
      <c r="D351" s="1" t="s">
        <v>532</v>
      </c>
      <c r="E351">
        <v>1067884</v>
      </c>
      <c r="F351" s="2">
        <v>46086</v>
      </c>
      <c r="G351" s="2">
        <v>46116</v>
      </c>
      <c r="H351" s="1" t="s">
        <v>311</v>
      </c>
      <c r="I351" s="1" t="s">
        <v>13</v>
      </c>
      <c r="J351" s="3">
        <f ca="1">+TODAY()-cartera02[[#This Row],[fecha]]</f>
        <v>14</v>
      </c>
    </row>
    <row r="352" spans="1:10" x14ac:dyDescent="0.25">
      <c r="A352" s="1" t="s">
        <v>529</v>
      </c>
      <c r="B352" s="1" t="s">
        <v>530</v>
      </c>
      <c r="C352" s="1" t="s">
        <v>61</v>
      </c>
      <c r="D352" s="1" t="s">
        <v>533</v>
      </c>
      <c r="E352">
        <v>589980</v>
      </c>
      <c r="F352" s="2">
        <v>46086</v>
      </c>
      <c r="G352" s="2">
        <v>46116</v>
      </c>
      <c r="H352" s="1" t="s">
        <v>311</v>
      </c>
      <c r="I352" s="1" t="s">
        <v>13</v>
      </c>
      <c r="J352" s="3">
        <f ca="1">+TODAY()-cartera02[[#This Row],[fecha]]</f>
        <v>14</v>
      </c>
    </row>
    <row r="353" spans="1:10" x14ac:dyDescent="0.25">
      <c r="A353" s="1" t="s">
        <v>529</v>
      </c>
      <c r="B353" s="1" t="s">
        <v>530</v>
      </c>
      <c r="C353" s="1" t="s">
        <v>61</v>
      </c>
      <c r="D353" s="1" t="s">
        <v>534</v>
      </c>
      <c r="E353">
        <v>1795702</v>
      </c>
      <c r="F353" s="2">
        <v>46086</v>
      </c>
      <c r="G353" s="2">
        <v>46116</v>
      </c>
      <c r="H353" s="1" t="s">
        <v>311</v>
      </c>
      <c r="I353" s="1" t="s">
        <v>13</v>
      </c>
      <c r="J353" s="3">
        <f ca="1">+TODAY()-cartera02[[#This Row],[fecha]]</f>
        <v>14</v>
      </c>
    </row>
    <row r="354" spans="1:10" x14ac:dyDescent="0.25">
      <c r="A354" s="1" t="s">
        <v>529</v>
      </c>
      <c r="B354" s="1" t="s">
        <v>530</v>
      </c>
      <c r="C354" s="1" t="s">
        <v>61</v>
      </c>
      <c r="D354" s="1" t="s">
        <v>535</v>
      </c>
      <c r="E354">
        <v>508291</v>
      </c>
      <c r="F354" s="2">
        <v>46090</v>
      </c>
      <c r="G354" s="2">
        <v>46120</v>
      </c>
      <c r="H354" s="1" t="s">
        <v>311</v>
      </c>
      <c r="I354" s="1" t="s">
        <v>13</v>
      </c>
      <c r="J354" s="3">
        <f ca="1">+TODAY()-cartera02[[#This Row],[fecha]]</f>
        <v>10</v>
      </c>
    </row>
    <row r="355" spans="1:10" x14ac:dyDescent="0.25">
      <c r="A355" s="1" t="s">
        <v>529</v>
      </c>
      <c r="B355" s="1" t="s">
        <v>530</v>
      </c>
      <c r="C355" s="1" t="s">
        <v>61</v>
      </c>
      <c r="D355" s="1" t="s">
        <v>536</v>
      </c>
      <c r="E355">
        <v>2515052</v>
      </c>
      <c r="F355" s="2">
        <v>46092</v>
      </c>
      <c r="G355" s="2">
        <v>46122</v>
      </c>
      <c r="H355" s="1" t="s">
        <v>311</v>
      </c>
      <c r="I355" s="1" t="s">
        <v>13</v>
      </c>
      <c r="J355" s="3">
        <f ca="1">+TODAY()-cartera02[[#This Row],[fecha]]</f>
        <v>8</v>
      </c>
    </row>
    <row r="356" spans="1:10" x14ac:dyDescent="0.25">
      <c r="A356" s="1" t="s">
        <v>529</v>
      </c>
      <c r="B356" s="1" t="s">
        <v>530</v>
      </c>
      <c r="C356" s="1" t="s">
        <v>61</v>
      </c>
      <c r="D356" s="1" t="s">
        <v>537</v>
      </c>
      <c r="E356">
        <v>649169</v>
      </c>
      <c r="F356" s="2">
        <v>46092</v>
      </c>
      <c r="G356" s="2">
        <v>46122</v>
      </c>
      <c r="H356" s="1" t="s">
        <v>311</v>
      </c>
      <c r="I356" s="1" t="s">
        <v>13</v>
      </c>
      <c r="J356" s="3">
        <f ca="1">+TODAY()-cartera02[[#This Row],[fecha]]</f>
        <v>8</v>
      </c>
    </row>
    <row r="357" spans="1:10" x14ac:dyDescent="0.25">
      <c r="A357" s="1" t="s">
        <v>529</v>
      </c>
      <c r="B357" s="1" t="s">
        <v>530</v>
      </c>
      <c r="C357" s="1" t="s">
        <v>61</v>
      </c>
      <c r="D357" s="1" t="s">
        <v>538</v>
      </c>
      <c r="E357">
        <v>2100000</v>
      </c>
      <c r="F357" s="2">
        <v>46093</v>
      </c>
      <c r="G357" s="2">
        <v>46123</v>
      </c>
      <c r="H357" s="1" t="s">
        <v>311</v>
      </c>
      <c r="I357" s="1" t="s">
        <v>13</v>
      </c>
      <c r="J357" s="3">
        <f ca="1">+TODAY()-cartera02[[#This Row],[fecha]]</f>
        <v>7</v>
      </c>
    </row>
    <row r="358" spans="1:10" x14ac:dyDescent="0.25">
      <c r="A358" s="1" t="s">
        <v>529</v>
      </c>
      <c r="B358" s="1" t="s">
        <v>530</v>
      </c>
      <c r="C358" s="1" t="s">
        <v>61</v>
      </c>
      <c r="D358" s="1" t="s">
        <v>539</v>
      </c>
      <c r="E358">
        <v>3248000</v>
      </c>
      <c r="F358" s="2">
        <v>46093</v>
      </c>
      <c r="G358" s="2">
        <v>46123</v>
      </c>
      <c r="H358" s="1" t="s">
        <v>311</v>
      </c>
      <c r="I358" s="1" t="s">
        <v>13</v>
      </c>
      <c r="J358" s="3">
        <f ca="1">+TODAY()-cartera02[[#This Row],[fecha]]</f>
        <v>7</v>
      </c>
    </row>
    <row r="359" spans="1:10" x14ac:dyDescent="0.25">
      <c r="A359" s="1" t="s">
        <v>529</v>
      </c>
      <c r="B359" s="1" t="s">
        <v>530</v>
      </c>
      <c r="C359" s="1" t="s">
        <v>61</v>
      </c>
      <c r="D359" s="1" t="s">
        <v>540</v>
      </c>
      <c r="E359">
        <v>1927000</v>
      </c>
      <c r="F359" s="2">
        <v>46099</v>
      </c>
      <c r="G359" s="2">
        <v>46129</v>
      </c>
      <c r="H359" s="1" t="s">
        <v>311</v>
      </c>
      <c r="I359" s="1" t="s">
        <v>13</v>
      </c>
      <c r="J359" s="3">
        <f ca="1">+TODAY()-cartera02[[#This Row],[fecha]]</f>
        <v>1</v>
      </c>
    </row>
    <row r="360" spans="1:10" x14ac:dyDescent="0.25">
      <c r="A360" s="1" t="s">
        <v>529</v>
      </c>
      <c r="B360" s="1" t="s">
        <v>530</v>
      </c>
      <c r="C360" s="1" t="s">
        <v>61</v>
      </c>
      <c r="D360" s="1" t="s">
        <v>541</v>
      </c>
      <c r="E360">
        <v>175000</v>
      </c>
      <c r="F360" s="2">
        <v>46099</v>
      </c>
      <c r="G360" s="2">
        <v>46129</v>
      </c>
      <c r="H360" s="1" t="s">
        <v>311</v>
      </c>
      <c r="I360" s="1" t="s">
        <v>13</v>
      </c>
      <c r="J360" s="3">
        <f ca="1">+TODAY()-cartera02[[#This Row],[fecha]]</f>
        <v>1</v>
      </c>
    </row>
    <row r="361" spans="1:10" x14ac:dyDescent="0.25">
      <c r="A361" s="1" t="s">
        <v>542</v>
      </c>
      <c r="B361" s="1" t="s">
        <v>543</v>
      </c>
      <c r="C361" s="1" t="s">
        <v>11</v>
      </c>
      <c r="D361" s="1" t="s">
        <v>544</v>
      </c>
      <c r="E361">
        <v>3263837</v>
      </c>
      <c r="F361" s="2">
        <v>46073</v>
      </c>
      <c r="G361" s="2">
        <v>46103</v>
      </c>
      <c r="H361" s="1" t="s">
        <v>545</v>
      </c>
      <c r="I361" s="1" t="s">
        <v>13</v>
      </c>
      <c r="J361" s="3">
        <f ca="1">+TODAY()-cartera02[[#This Row],[fecha]]</f>
        <v>27</v>
      </c>
    </row>
    <row r="362" spans="1:10" x14ac:dyDescent="0.25">
      <c r="A362" s="1" t="s">
        <v>542</v>
      </c>
      <c r="B362" s="1" t="s">
        <v>543</v>
      </c>
      <c r="C362" s="1" t="s">
        <v>11</v>
      </c>
      <c r="D362" s="1" t="s">
        <v>546</v>
      </c>
      <c r="E362">
        <v>295288</v>
      </c>
      <c r="F362" s="2">
        <v>46079</v>
      </c>
      <c r="G362" s="2">
        <v>46109</v>
      </c>
      <c r="H362" s="1" t="s">
        <v>545</v>
      </c>
      <c r="I362" s="1" t="s">
        <v>13</v>
      </c>
      <c r="J362" s="3">
        <f ca="1">+TODAY()-cartera02[[#This Row],[fecha]]</f>
        <v>21</v>
      </c>
    </row>
    <row r="363" spans="1:10" x14ac:dyDescent="0.25">
      <c r="A363" s="1" t="s">
        <v>547</v>
      </c>
      <c r="B363" s="1" t="s">
        <v>548</v>
      </c>
      <c r="C363" s="1" t="s">
        <v>11</v>
      </c>
      <c r="D363" s="1" t="s">
        <v>549</v>
      </c>
      <c r="E363">
        <v>503997</v>
      </c>
      <c r="F363" s="2">
        <v>46072</v>
      </c>
      <c r="G363" s="2">
        <v>46102</v>
      </c>
      <c r="H363" s="1" t="s">
        <v>550</v>
      </c>
      <c r="I363" s="1" t="s">
        <v>13</v>
      </c>
      <c r="J363" s="3">
        <f ca="1">+TODAY()-cartera02[[#This Row],[fecha]]</f>
        <v>28</v>
      </c>
    </row>
    <row r="364" spans="1:10" x14ac:dyDescent="0.25">
      <c r="A364" s="1" t="s">
        <v>547</v>
      </c>
      <c r="B364" s="1" t="s">
        <v>548</v>
      </c>
      <c r="C364" s="1" t="s">
        <v>11</v>
      </c>
      <c r="D364" s="1" t="s">
        <v>551</v>
      </c>
      <c r="E364">
        <v>142500</v>
      </c>
      <c r="F364" s="2">
        <v>46074</v>
      </c>
      <c r="G364" s="2">
        <v>46104</v>
      </c>
      <c r="H364" s="1" t="s">
        <v>550</v>
      </c>
      <c r="I364" s="1" t="s">
        <v>13</v>
      </c>
      <c r="J364" s="3">
        <f ca="1">+TODAY()-cartera02[[#This Row],[fecha]]</f>
        <v>26</v>
      </c>
    </row>
    <row r="365" spans="1:10" x14ac:dyDescent="0.25">
      <c r="A365" s="1" t="s">
        <v>547</v>
      </c>
      <c r="B365" s="1" t="s">
        <v>548</v>
      </c>
      <c r="C365" s="1" t="s">
        <v>11</v>
      </c>
      <c r="D365" s="1" t="s">
        <v>552</v>
      </c>
      <c r="E365">
        <v>3204010</v>
      </c>
      <c r="F365" s="2">
        <v>46074</v>
      </c>
      <c r="G365" s="2">
        <v>46104</v>
      </c>
      <c r="H365" s="1" t="s">
        <v>550</v>
      </c>
      <c r="I365" s="1" t="s">
        <v>13</v>
      </c>
      <c r="J365" s="3">
        <f ca="1">+TODAY()-cartera02[[#This Row],[fecha]]</f>
        <v>26</v>
      </c>
    </row>
    <row r="366" spans="1:10" x14ac:dyDescent="0.25">
      <c r="A366" s="1" t="s">
        <v>547</v>
      </c>
      <c r="B366" s="1" t="s">
        <v>548</v>
      </c>
      <c r="C366" s="1" t="s">
        <v>11</v>
      </c>
      <c r="D366" s="1" t="s">
        <v>553</v>
      </c>
      <c r="E366">
        <v>669800</v>
      </c>
      <c r="F366" s="2">
        <v>46078</v>
      </c>
      <c r="G366" s="2">
        <v>46108</v>
      </c>
      <c r="H366" s="1" t="s">
        <v>550</v>
      </c>
      <c r="I366" s="1" t="s">
        <v>13</v>
      </c>
      <c r="J366" s="3">
        <f ca="1">+TODAY()-cartera02[[#This Row],[fecha]]</f>
        <v>22</v>
      </c>
    </row>
    <row r="367" spans="1:10" x14ac:dyDescent="0.25">
      <c r="A367" s="1" t="s">
        <v>547</v>
      </c>
      <c r="B367" s="1" t="s">
        <v>548</v>
      </c>
      <c r="C367" s="1" t="s">
        <v>11</v>
      </c>
      <c r="D367" s="1" t="s">
        <v>554</v>
      </c>
      <c r="E367">
        <v>586101</v>
      </c>
      <c r="F367" s="2">
        <v>46078</v>
      </c>
      <c r="G367" s="2">
        <v>46108</v>
      </c>
      <c r="H367" s="1" t="s">
        <v>550</v>
      </c>
      <c r="I367" s="1" t="s">
        <v>13</v>
      </c>
      <c r="J367" s="3">
        <f ca="1">+TODAY()-cartera02[[#This Row],[fecha]]</f>
        <v>22</v>
      </c>
    </row>
    <row r="368" spans="1:10" x14ac:dyDescent="0.25">
      <c r="A368" s="1" t="s">
        <v>547</v>
      </c>
      <c r="B368" s="1" t="s">
        <v>548</v>
      </c>
      <c r="C368" s="1" t="s">
        <v>11</v>
      </c>
      <c r="D368" s="1" t="s">
        <v>555</v>
      </c>
      <c r="E368">
        <v>393600</v>
      </c>
      <c r="F368" s="2">
        <v>46078</v>
      </c>
      <c r="G368" s="2">
        <v>46108</v>
      </c>
      <c r="H368" s="1" t="s">
        <v>550</v>
      </c>
      <c r="I368" s="1" t="s">
        <v>13</v>
      </c>
      <c r="J368" s="3">
        <f ca="1">+TODAY()-cartera02[[#This Row],[fecha]]</f>
        <v>22</v>
      </c>
    </row>
    <row r="369" spans="1:10" x14ac:dyDescent="0.25">
      <c r="A369" s="1" t="s">
        <v>547</v>
      </c>
      <c r="B369" s="1" t="s">
        <v>548</v>
      </c>
      <c r="C369" s="1" t="s">
        <v>11</v>
      </c>
      <c r="D369" s="1" t="s">
        <v>556</v>
      </c>
      <c r="E369">
        <v>689146</v>
      </c>
      <c r="F369" s="2">
        <v>46079</v>
      </c>
      <c r="G369" s="2">
        <v>46109</v>
      </c>
      <c r="H369" s="1" t="s">
        <v>550</v>
      </c>
      <c r="I369" s="1" t="s">
        <v>13</v>
      </c>
      <c r="J369" s="3">
        <f ca="1">+TODAY()-cartera02[[#This Row],[fecha]]</f>
        <v>21</v>
      </c>
    </row>
    <row r="370" spans="1:10" x14ac:dyDescent="0.25">
      <c r="A370" s="1" t="s">
        <v>547</v>
      </c>
      <c r="B370" s="1" t="s">
        <v>548</v>
      </c>
      <c r="C370" s="1" t="s">
        <v>11</v>
      </c>
      <c r="D370" s="1" t="s">
        <v>557</v>
      </c>
      <c r="E370">
        <v>700175</v>
      </c>
      <c r="F370" s="2">
        <v>46079</v>
      </c>
      <c r="G370" s="2">
        <v>46109</v>
      </c>
      <c r="H370" s="1" t="s">
        <v>550</v>
      </c>
      <c r="I370" s="1" t="s">
        <v>13</v>
      </c>
      <c r="J370" s="3">
        <f ca="1">+TODAY()-cartera02[[#This Row],[fecha]]</f>
        <v>21</v>
      </c>
    </row>
    <row r="371" spans="1:10" x14ac:dyDescent="0.25">
      <c r="A371" s="1" t="s">
        <v>547</v>
      </c>
      <c r="B371" s="1" t="s">
        <v>548</v>
      </c>
      <c r="C371" s="1" t="s">
        <v>11</v>
      </c>
      <c r="D371" s="1" t="s">
        <v>558</v>
      </c>
      <c r="E371">
        <v>315000</v>
      </c>
      <c r="F371" s="2">
        <v>46079</v>
      </c>
      <c r="G371" s="2">
        <v>46109</v>
      </c>
      <c r="H371" s="1" t="s">
        <v>550</v>
      </c>
      <c r="I371" s="1" t="s">
        <v>13</v>
      </c>
      <c r="J371" s="3">
        <f ca="1">+TODAY()-cartera02[[#This Row],[fecha]]</f>
        <v>21</v>
      </c>
    </row>
    <row r="372" spans="1:10" x14ac:dyDescent="0.25">
      <c r="A372" s="1" t="s">
        <v>547</v>
      </c>
      <c r="B372" s="1" t="s">
        <v>548</v>
      </c>
      <c r="C372" s="1" t="s">
        <v>11</v>
      </c>
      <c r="D372" s="1" t="s">
        <v>559</v>
      </c>
      <c r="E372">
        <v>858958</v>
      </c>
      <c r="F372" s="2">
        <v>46080</v>
      </c>
      <c r="G372" s="2">
        <v>46110</v>
      </c>
      <c r="H372" s="1" t="s">
        <v>550</v>
      </c>
      <c r="I372" s="1" t="s">
        <v>13</v>
      </c>
      <c r="J372" s="3">
        <f ca="1">+TODAY()-cartera02[[#This Row],[fecha]]</f>
        <v>20</v>
      </c>
    </row>
    <row r="373" spans="1:10" x14ac:dyDescent="0.25">
      <c r="A373" s="1" t="s">
        <v>547</v>
      </c>
      <c r="B373" s="1" t="s">
        <v>548</v>
      </c>
      <c r="C373" s="1" t="s">
        <v>11</v>
      </c>
      <c r="D373" s="1" t="s">
        <v>560</v>
      </c>
      <c r="E373">
        <v>5882413</v>
      </c>
      <c r="F373" s="2">
        <v>46080</v>
      </c>
      <c r="G373" s="2">
        <v>46110</v>
      </c>
      <c r="H373" s="1" t="s">
        <v>550</v>
      </c>
      <c r="I373" s="1" t="s">
        <v>13</v>
      </c>
      <c r="J373" s="3">
        <f ca="1">+TODAY()-cartera02[[#This Row],[fecha]]</f>
        <v>20</v>
      </c>
    </row>
    <row r="374" spans="1:10" x14ac:dyDescent="0.25">
      <c r="A374" s="1" t="s">
        <v>547</v>
      </c>
      <c r="B374" s="1" t="s">
        <v>548</v>
      </c>
      <c r="C374" s="1" t="s">
        <v>11</v>
      </c>
      <c r="D374" s="1" t="s">
        <v>561</v>
      </c>
      <c r="E374">
        <v>1450000</v>
      </c>
      <c r="F374" s="2">
        <v>46081</v>
      </c>
      <c r="G374" s="2">
        <v>46111</v>
      </c>
      <c r="H374" s="1" t="s">
        <v>550</v>
      </c>
      <c r="I374" s="1" t="s">
        <v>13</v>
      </c>
      <c r="J374" s="3">
        <f ca="1">+TODAY()-cartera02[[#This Row],[fecha]]</f>
        <v>19</v>
      </c>
    </row>
    <row r="375" spans="1:10" x14ac:dyDescent="0.25">
      <c r="A375" s="1" t="s">
        <v>547</v>
      </c>
      <c r="B375" s="1" t="s">
        <v>548</v>
      </c>
      <c r="C375" s="1" t="s">
        <v>11</v>
      </c>
      <c r="D375" s="1" t="s">
        <v>562</v>
      </c>
      <c r="E375">
        <v>1007994</v>
      </c>
      <c r="F375" s="2">
        <v>46084</v>
      </c>
      <c r="G375" s="2">
        <v>46114</v>
      </c>
      <c r="H375" s="1" t="s">
        <v>550</v>
      </c>
      <c r="I375" s="1" t="s">
        <v>13</v>
      </c>
      <c r="J375" s="3">
        <f ca="1">+TODAY()-cartera02[[#This Row],[fecha]]</f>
        <v>16</v>
      </c>
    </row>
    <row r="376" spans="1:10" x14ac:dyDescent="0.25">
      <c r="A376" s="1" t="s">
        <v>547</v>
      </c>
      <c r="B376" s="1" t="s">
        <v>548</v>
      </c>
      <c r="C376" s="1" t="s">
        <v>11</v>
      </c>
      <c r="D376" s="1" t="s">
        <v>563</v>
      </c>
      <c r="E376">
        <v>36</v>
      </c>
      <c r="F376" s="2">
        <v>46088</v>
      </c>
      <c r="G376" s="2">
        <v>46118</v>
      </c>
      <c r="H376" s="1" t="s">
        <v>550</v>
      </c>
      <c r="I376" s="1" t="s">
        <v>13</v>
      </c>
      <c r="J376" s="3">
        <f ca="1">+TODAY()-cartera02[[#This Row],[fecha]]</f>
        <v>12</v>
      </c>
    </row>
    <row r="377" spans="1:10" x14ac:dyDescent="0.25">
      <c r="A377" s="1" t="s">
        <v>547</v>
      </c>
      <c r="B377" s="1" t="s">
        <v>548</v>
      </c>
      <c r="C377" s="1" t="s">
        <v>11</v>
      </c>
      <c r="D377" s="1" t="s">
        <v>564</v>
      </c>
      <c r="E377">
        <v>1224367</v>
      </c>
      <c r="F377" s="2">
        <v>46088</v>
      </c>
      <c r="G377" s="2">
        <v>46118</v>
      </c>
      <c r="H377" s="1" t="s">
        <v>550</v>
      </c>
      <c r="I377" s="1" t="s">
        <v>13</v>
      </c>
      <c r="J377" s="3">
        <f ca="1">+TODAY()-cartera02[[#This Row],[fecha]]</f>
        <v>12</v>
      </c>
    </row>
    <row r="378" spans="1:10" x14ac:dyDescent="0.25">
      <c r="A378" s="1" t="s">
        <v>547</v>
      </c>
      <c r="B378" s="1" t="s">
        <v>548</v>
      </c>
      <c r="C378" s="1" t="s">
        <v>11</v>
      </c>
      <c r="D378" s="1" t="s">
        <v>565</v>
      </c>
      <c r="E378">
        <v>497602</v>
      </c>
      <c r="F378" s="2">
        <v>46090</v>
      </c>
      <c r="G378" s="2">
        <v>46120</v>
      </c>
      <c r="H378" s="1" t="s">
        <v>550</v>
      </c>
      <c r="I378" s="1" t="s">
        <v>13</v>
      </c>
      <c r="J378" s="3">
        <f ca="1">+TODAY()-cartera02[[#This Row],[fecha]]</f>
        <v>10</v>
      </c>
    </row>
    <row r="379" spans="1:10" x14ac:dyDescent="0.25">
      <c r="A379" s="1" t="s">
        <v>547</v>
      </c>
      <c r="B379" s="1" t="s">
        <v>548</v>
      </c>
      <c r="C379" s="1" t="s">
        <v>11</v>
      </c>
      <c r="D379" s="1" t="s">
        <v>566</v>
      </c>
      <c r="E379">
        <v>2100000</v>
      </c>
      <c r="F379" s="2">
        <v>46091</v>
      </c>
      <c r="G379" s="2">
        <v>46101</v>
      </c>
      <c r="H379" s="1" t="s">
        <v>550</v>
      </c>
      <c r="I379" s="1" t="s">
        <v>13</v>
      </c>
      <c r="J379" s="3">
        <f ca="1">+TODAY()-cartera02[[#This Row],[fecha]]</f>
        <v>9</v>
      </c>
    </row>
    <row r="380" spans="1:10" x14ac:dyDescent="0.25">
      <c r="A380" s="1" t="s">
        <v>547</v>
      </c>
      <c r="B380" s="1" t="s">
        <v>548</v>
      </c>
      <c r="C380" s="1" t="s">
        <v>11</v>
      </c>
      <c r="D380" s="1" t="s">
        <v>567</v>
      </c>
      <c r="E380">
        <v>2100000</v>
      </c>
      <c r="F380" s="2">
        <v>46098</v>
      </c>
      <c r="G380" s="2">
        <v>46108</v>
      </c>
      <c r="H380" s="1" t="s">
        <v>550</v>
      </c>
      <c r="I380" s="1" t="s">
        <v>13</v>
      </c>
      <c r="J380" s="3">
        <f ca="1">+TODAY()-cartera02[[#This Row],[fecha]]</f>
        <v>2</v>
      </c>
    </row>
    <row r="381" spans="1:10" x14ac:dyDescent="0.25">
      <c r="A381" s="1" t="s">
        <v>568</v>
      </c>
      <c r="B381" s="1" t="s">
        <v>569</v>
      </c>
      <c r="C381" s="1" t="s">
        <v>11</v>
      </c>
      <c r="D381" s="1" t="s">
        <v>570</v>
      </c>
      <c r="E381">
        <v>2599204</v>
      </c>
      <c r="F381" s="2">
        <v>46065</v>
      </c>
      <c r="G381" s="2">
        <v>46095</v>
      </c>
      <c r="H381" s="1" t="s">
        <v>571</v>
      </c>
      <c r="I381" s="1" t="s">
        <v>13</v>
      </c>
      <c r="J381" s="3">
        <f ca="1">+TODAY()-cartera02[[#This Row],[fecha]]</f>
        <v>35</v>
      </c>
    </row>
    <row r="382" spans="1:10" x14ac:dyDescent="0.25">
      <c r="A382" s="1" t="s">
        <v>568</v>
      </c>
      <c r="B382" s="1" t="s">
        <v>569</v>
      </c>
      <c r="C382" s="1" t="s">
        <v>11</v>
      </c>
      <c r="D382" s="1" t="s">
        <v>572</v>
      </c>
      <c r="E382">
        <v>262500</v>
      </c>
      <c r="F382" s="2">
        <v>46073</v>
      </c>
      <c r="G382" s="2">
        <v>46103</v>
      </c>
      <c r="H382" s="1" t="s">
        <v>571</v>
      </c>
      <c r="I382" s="1" t="s">
        <v>13</v>
      </c>
      <c r="J382" s="3">
        <f ca="1">+TODAY()-cartera02[[#This Row],[fecha]]</f>
        <v>27</v>
      </c>
    </row>
    <row r="383" spans="1:10" x14ac:dyDescent="0.25">
      <c r="A383" s="1" t="s">
        <v>568</v>
      </c>
      <c r="B383" s="1" t="s">
        <v>569</v>
      </c>
      <c r="C383" s="1" t="s">
        <v>11</v>
      </c>
      <c r="D383" s="1" t="s">
        <v>573</v>
      </c>
      <c r="E383">
        <v>942012</v>
      </c>
      <c r="F383" s="2">
        <v>46074</v>
      </c>
      <c r="G383" s="2">
        <v>46104</v>
      </c>
      <c r="H383" s="1" t="s">
        <v>571</v>
      </c>
      <c r="I383" s="1" t="s">
        <v>13</v>
      </c>
      <c r="J383" s="3">
        <f ca="1">+TODAY()-cartera02[[#This Row],[fecha]]</f>
        <v>26</v>
      </c>
    </row>
    <row r="384" spans="1:10" x14ac:dyDescent="0.25">
      <c r="A384" s="1" t="s">
        <v>568</v>
      </c>
      <c r="B384" s="1" t="s">
        <v>569</v>
      </c>
      <c r="C384" s="1" t="s">
        <v>11</v>
      </c>
      <c r="D384" s="1" t="s">
        <v>574</v>
      </c>
      <c r="E384">
        <v>1739108</v>
      </c>
      <c r="F384" s="2">
        <v>46074</v>
      </c>
      <c r="G384" s="2">
        <v>46104</v>
      </c>
      <c r="H384" s="1" t="s">
        <v>571</v>
      </c>
      <c r="I384" s="1" t="s">
        <v>13</v>
      </c>
      <c r="J384" s="3">
        <f ca="1">+TODAY()-cartera02[[#This Row],[fecha]]</f>
        <v>26</v>
      </c>
    </row>
    <row r="385" spans="1:10" x14ac:dyDescent="0.25">
      <c r="A385" s="1" t="s">
        <v>568</v>
      </c>
      <c r="B385" s="1" t="s">
        <v>569</v>
      </c>
      <c r="C385" s="1" t="s">
        <v>11</v>
      </c>
      <c r="D385" s="1" t="s">
        <v>575</v>
      </c>
      <c r="E385">
        <v>524220</v>
      </c>
      <c r="F385" s="2">
        <v>46099</v>
      </c>
      <c r="G385" s="2">
        <v>46129</v>
      </c>
      <c r="H385" s="1" t="s">
        <v>571</v>
      </c>
      <c r="I385" s="1" t="s">
        <v>13</v>
      </c>
      <c r="J385" s="3">
        <f ca="1">+TODAY()-cartera02[[#This Row],[fecha]]</f>
        <v>1</v>
      </c>
    </row>
    <row r="386" spans="1:10" x14ac:dyDescent="0.25">
      <c r="A386" s="1" t="s">
        <v>568</v>
      </c>
      <c r="B386" s="1" t="s">
        <v>569</v>
      </c>
      <c r="C386" s="1" t="s">
        <v>11</v>
      </c>
      <c r="D386" s="1" t="s">
        <v>576</v>
      </c>
      <c r="E386">
        <v>2576886</v>
      </c>
      <c r="F386" s="2">
        <v>46099</v>
      </c>
      <c r="G386" s="2">
        <v>46129</v>
      </c>
      <c r="H386" s="1" t="s">
        <v>571</v>
      </c>
      <c r="I386" s="1" t="s">
        <v>13</v>
      </c>
      <c r="J386" s="3">
        <f ca="1">+TODAY()-cartera02[[#This Row],[fecha]]</f>
        <v>1</v>
      </c>
    </row>
    <row r="387" spans="1:10" x14ac:dyDescent="0.25">
      <c r="A387" s="1" t="s">
        <v>568</v>
      </c>
      <c r="B387" s="1" t="s">
        <v>569</v>
      </c>
      <c r="C387" s="1" t="s">
        <v>11</v>
      </c>
      <c r="D387" s="1" t="s">
        <v>577</v>
      </c>
      <c r="E387">
        <v>438467</v>
      </c>
      <c r="F387" s="2">
        <v>46099</v>
      </c>
      <c r="G387" s="2">
        <v>46129</v>
      </c>
      <c r="H387" s="1" t="s">
        <v>571</v>
      </c>
      <c r="I387" s="1" t="s">
        <v>13</v>
      </c>
      <c r="J387" s="3">
        <f ca="1">+TODAY()-cartera02[[#This Row],[fecha]]</f>
        <v>1</v>
      </c>
    </row>
    <row r="388" spans="1:10" x14ac:dyDescent="0.25">
      <c r="A388" s="1" t="s">
        <v>578</v>
      </c>
      <c r="B388" s="1" t="s">
        <v>579</v>
      </c>
      <c r="C388" s="1" t="s">
        <v>11</v>
      </c>
      <c r="D388" s="1" t="s">
        <v>580</v>
      </c>
      <c r="E388">
        <v>272600</v>
      </c>
      <c r="F388" s="2">
        <v>46071</v>
      </c>
      <c r="G388" s="2">
        <v>46101</v>
      </c>
      <c r="H388" s="1" t="s">
        <v>581</v>
      </c>
      <c r="I388" s="1" t="s">
        <v>13</v>
      </c>
      <c r="J388" s="3">
        <f ca="1">+TODAY()-cartera02[[#This Row],[fecha]]</f>
        <v>29</v>
      </c>
    </row>
    <row r="389" spans="1:10" x14ac:dyDescent="0.25">
      <c r="A389" s="1" t="s">
        <v>578</v>
      </c>
      <c r="B389" s="1" t="s">
        <v>579</v>
      </c>
      <c r="C389" s="1" t="s">
        <v>11</v>
      </c>
      <c r="D389" s="1" t="s">
        <v>582</v>
      </c>
      <c r="E389">
        <v>173402</v>
      </c>
      <c r="F389" s="2">
        <v>46084</v>
      </c>
      <c r="G389" s="2">
        <v>46114</v>
      </c>
      <c r="H389" s="1" t="s">
        <v>581</v>
      </c>
      <c r="I389" s="1" t="s">
        <v>13</v>
      </c>
      <c r="J389" s="3">
        <f ca="1">+TODAY()-cartera02[[#This Row],[fecha]]</f>
        <v>16</v>
      </c>
    </row>
    <row r="390" spans="1:10" x14ac:dyDescent="0.25">
      <c r="A390" s="1" t="s">
        <v>578</v>
      </c>
      <c r="B390" s="1" t="s">
        <v>579</v>
      </c>
      <c r="C390" s="1" t="s">
        <v>11</v>
      </c>
      <c r="D390" s="1" t="s">
        <v>583</v>
      </c>
      <c r="E390">
        <v>157102</v>
      </c>
      <c r="F390" s="2">
        <v>46100</v>
      </c>
      <c r="G390" s="2">
        <v>46130</v>
      </c>
      <c r="H390" s="1" t="s">
        <v>581</v>
      </c>
      <c r="I390" s="1" t="s">
        <v>13</v>
      </c>
      <c r="J390" s="3">
        <f ca="1">+TODAY()-cartera02[[#This Row],[fecha]]</f>
        <v>0</v>
      </c>
    </row>
    <row r="391" spans="1:10" x14ac:dyDescent="0.25">
      <c r="A391" s="1" t="s">
        <v>584</v>
      </c>
      <c r="B391" s="1" t="s">
        <v>585</v>
      </c>
      <c r="C391" s="1" t="s">
        <v>11</v>
      </c>
      <c r="D391" s="1" t="s">
        <v>586</v>
      </c>
      <c r="E391">
        <v>4259303</v>
      </c>
      <c r="F391" s="2">
        <v>46062</v>
      </c>
      <c r="G391" s="2">
        <v>46092</v>
      </c>
      <c r="H391" s="1" t="s">
        <v>587</v>
      </c>
      <c r="I391" s="1" t="s">
        <v>13</v>
      </c>
      <c r="J391" s="3">
        <f ca="1">+TODAY()-cartera02[[#This Row],[fecha]]</f>
        <v>38</v>
      </c>
    </row>
    <row r="392" spans="1:10" x14ac:dyDescent="0.25">
      <c r="A392" s="1" t="s">
        <v>584</v>
      </c>
      <c r="B392" s="1" t="s">
        <v>585</v>
      </c>
      <c r="C392" s="1" t="s">
        <v>11</v>
      </c>
      <c r="D392" s="1" t="s">
        <v>588</v>
      </c>
      <c r="E392">
        <v>3195482</v>
      </c>
      <c r="F392" s="2">
        <v>46063</v>
      </c>
      <c r="G392" s="2">
        <v>46093</v>
      </c>
      <c r="H392" s="1" t="s">
        <v>587</v>
      </c>
      <c r="I392" s="1" t="s">
        <v>13</v>
      </c>
      <c r="J392" s="3">
        <f ca="1">+TODAY()-cartera02[[#This Row],[fecha]]</f>
        <v>37</v>
      </c>
    </row>
    <row r="393" spans="1:10" x14ac:dyDescent="0.25">
      <c r="A393" s="1" t="s">
        <v>584</v>
      </c>
      <c r="B393" s="1" t="s">
        <v>585</v>
      </c>
      <c r="C393" s="1" t="s">
        <v>11</v>
      </c>
      <c r="D393" s="1" t="s">
        <v>589</v>
      </c>
      <c r="E393">
        <v>1445000</v>
      </c>
      <c r="F393" s="2">
        <v>46069</v>
      </c>
      <c r="G393" s="2">
        <v>46099</v>
      </c>
      <c r="H393" s="1" t="s">
        <v>587</v>
      </c>
      <c r="I393" s="1" t="s">
        <v>13</v>
      </c>
      <c r="J393" s="3">
        <f ca="1">+TODAY()-cartera02[[#This Row],[fecha]]</f>
        <v>31</v>
      </c>
    </row>
    <row r="394" spans="1:10" x14ac:dyDescent="0.25">
      <c r="A394" s="1" t="s">
        <v>584</v>
      </c>
      <c r="B394" s="1" t="s">
        <v>585</v>
      </c>
      <c r="C394" s="1" t="s">
        <v>11</v>
      </c>
      <c r="D394" s="1" t="s">
        <v>590</v>
      </c>
      <c r="E394">
        <v>6236175</v>
      </c>
      <c r="F394" s="2">
        <v>46070</v>
      </c>
      <c r="G394" s="2">
        <v>46100</v>
      </c>
      <c r="H394" s="1" t="s">
        <v>587</v>
      </c>
      <c r="I394" s="1" t="s">
        <v>13</v>
      </c>
      <c r="J394" s="3">
        <f ca="1">+TODAY()-cartera02[[#This Row],[fecha]]</f>
        <v>30</v>
      </c>
    </row>
    <row r="395" spans="1:10" x14ac:dyDescent="0.25">
      <c r="A395" s="1" t="s">
        <v>584</v>
      </c>
      <c r="B395" s="1" t="s">
        <v>585</v>
      </c>
      <c r="C395" s="1" t="s">
        <v>11</v>
      </c>
      <c r="D395" s="1" t="s">
        <v>591</v>
      </c>
      <c r="E395">
        <v>560981</v>
      </c>
      <c r="F395" s="2">
        <v>46078</v>
      </c>
      <c r="G395" s="2">
        <v>46108</v>
      </c>
      <c r="H395" s="1" t="s">
        <v>587</v>
      </c>
      <c r="I395" s="1" t="s">
        <v>13</v>
      </c>
      <c r="J395" s="3">
        <f ca="1">+TODAY()-cartera02[[#This Row],[fecha]]</f>
        <v>22</v>
      </c>
    </row>
    <row r="396" spans="1:10" x14ac:dyDescent="0.25">
      <c r="A396" s="1" t="s">
        <v>584</v>
      </c>
      <c r="B396" s="1" t="s">
        <v>585</v>
      </c>
      <c r="C396" s="1" t="s">
        <v>11</v>
      </c>
      <c r="D396" s="1" t="s">
        <v>592</v>
      </c>
      <c r="E396">
        <v>4335000</v>
      </c>
      <c r="F396" s="2">
        <v>46078</v>
      </c>
      <c r="G396" s="2">
        <v>46108</v>
      </c>
      <c r="H396" s="1" t="s">
        <v>587</v>
      </c>
      <c r="I396" s="1" t="s">
        <v>13</v>
      </c>
      <c r="J396" s="3">
        <f ca="1">+TODAY()-cartera02[[#This Row],[fecha]]</f>
        <v>22</v>
      </c>
    </row>
    <row r="397" spans="1:10" x14ac:dyDescent="0.25">
      <c r="A397" s="1" t="s">
        <v>584</v>
      </c>
      <c r="B397" s="1" t="s">
        <v>585</v>
      </c>
      <c r="C397" s="1" t="s">
        <v>11</v>
      </c>
      <c r="D397" s="1" t="s">
        <v>593</v>
      </c>
      <c r="E397">
        <v>673242</v>
      </c>
      <c r="F397" s="2">
        <v>46079</v>
      </c>
      <c r="G397" s="2">
        <v>46109</v>
      </c>
      <c r="H397" s="1" t="s">
        <v>587</v>
      </c>
      <c r="I397" s="1" t="s">
        <v>13</v>
      </c>
      <c r="J397" s="3">
        <f ca="1">+TODAY()-cartera02[[#This Row],[fecha]]</f>
        <v>21</v>
      </c>
    </row>
    <row r="398" spans="1:10" x14ac:dyDescent="0.25">
      <c r="A398" s="1" t="s">
        <v>584</v>
      </c>
      <c r="B398" s="1" t="s">
        <v>585</v>
      </c>
      <c r="C398" s="1" t="s">
        <v>11</v>
      </c>
      <c r="D398" s="1" t="s">
        <v>594</v>
      </c>
      <c r="E398">
        <v>157701</v>
      </c>
      <c r="F398" s="2">
        <v>46080</v>
      </c>
      <c r="G398" s="2">
        <v>46110</v>
      </c>
      <c r="H398" s="1" t="s">
        <v>587</v>
      </c>
      <c r="I398" s="1" t="s">
        <v>13</v>
      </c>
      <c r="J398" s="3">
        <f ca="1">+TODAY()-cartera02[[#This Row],[fecha]]</f>
        <v>20</v>
      </c>
    </row>
    <row r="399" spans="1:10" x14ac:dyDescent="0.25">
      <c r="A399" s="1" t="s">
        <v>584</v>
      </c>
      <c r="B399" s="1" t="s">
        <v>585</v>
      </c>
      <c r="C399" s="1" t="s">
        <v>11</v>
      </c>
      <c r="D399" s="1" t="s">
        <v>595</v>
      </c>
      <c r="E399">
        <v>12600000</v>
      </c>
      <c r="F399" s="2">
        <v>46080</v>
      </c>
      <c r="G399" s="2">
        <v>46110</v>
      </c>
      <c r="H399" s="1" t="s">
        <v>587</v>
      </c>
      <c r="I399" s="1" t="s">
        <v>13</v>
      </c>
      <c r="J399" s="3">
        <f ca="1">+TODAY()-cartera02[[#This Row],[fecha]]</f>
        <v>20</v>
      </c>
    </row>
    <row r="400" spans="1:10" x14ac:dyDescent="0.25">
      <c r="A400" s="1" t="s">
        <v>584</v>
      </c>
      <c r="B400" s="1" t="s">
        <v>585</v>
      </c>
      <c r="C400" s="1" t="s">
        <v>11</v>
      </c>
      <c r="D400" s="1" t="s">
        <v>596</v>
      </c>
      <c r="E400">
        <v>451001</v>
      </c>
      <c r="F400" s="2">
        <v>46085</v>
      </c>
      <c r="G400" s="2">
        <v>46115</v>
      </c>
      <c r="H400" s="1" t="s">
        <v>587</v>
      </c>
      <c r="I400" s="1" t="s">
        <v>13</v>
      </c>
      <c r="J400" s="3">
        <f ca="1">+TODAY()-cartera02[[#This Row],[fecha]]</f>
        <v>15</v>
      </c>
    </row>
    <row r="401" spans="1:10" x14ac:dyDescent="0.25">
      <c r="A401" s="1" t="s">
        <v>584</v>
      </c>
      <c r="B401" s="1" t="s">
        <v>585</v>
      </c>
      <c r="C401" s="1" t="s">
        <v>11</v>
      </c>
      <c r="D401" s="1" t="s">
        <v>597</v>
      </c>
      <c r="E401">
        <v>3310131</v>
      </c>
      <c r="F401" s="2">
        <v>46091</v>
      </c>
      <c r="G401" s="2">
        <v>46121</v>
      </c>
      <c r="H401" s="1" t="s">
        <v>587</v>
      </c>
      <c r="I401" s="1" t="s">
        <v>13</v>
      </c>
      <c r="J401" s="3">
        <f ca="1">+TODAY()-cartera02[[#This Row],[fecha]]</f>
        <v>9</v>
      </c>
    </row>
    <row r="402" spans="1:10" x14ac:dyDescent="0.25">
      <c r="A402" s="1" t="s">
        <v>584</v>
      </c>
      <c r="B402" s="1" t="s">
        <v>585</v>
      </c>
      <c r="C402" s="1" t="s">
        <v>11</v>
      </c>
      <c r="D402" s="1" t="s">
        <v>598</v>
      </c>
      <c r="E402">
        <v>1257210</v>
      </c>
      <c r="F402" s="2">
        <v>46091</v>
      </c>
      <c r="G402" s="2">
        <v>46121</v>
      </c>
      <c r="H402" s="1" t="s">
        <v>587</v>
      </c>
      <c r="I402" s="1" t="s">
        <v>13</v>
      </c>
      <c r="J402" s="3">
        <f ca="1">+TODAY()-cartera02[[#This Row],[fecha]]</f>
        <v>9</v>
      </c>
    </row>
    <row r="403" spans="1:10" x14ac:dyDescent="0.25">
      <c r="A403" s="1" t="s">
        <v>584</v>
      </c>
      <c r="B403" s="1" t="s">
        <v>585</v>
      </c>
      <c r="C403" s="1" t="s">
        <v>11</v>
      </c>
      <c r="D403" s="1" t="s">
        <v>599</v>
      </c>
      <c r="E403">
        <v>7358606</v>
      </c>
      <c r="F403" s="2">
        <v>46091</v>
      </c>
      <c r="G403" s="2">
        <v>46121</v>
      </c>
      <c r="H403" s="1" t="s">
        <v>587</v>
      </c>
      <c r="I403" s="1" t="s">
        <v>13</v>
      </c>
      <c r="J403" s="3">
        <f ca="1">+TODAY()-cartera02[[#This Row],[fecha]]</f>
        <v>9</v>
      </c>
    </row>
    <row r="404" spans="1:10" x14ac:dyDescent="0.25">
      <c r="A404" s="1" t="s">
        <v>584</v>
      </c>
      <c r="B404" s="1" t="s">
        <v>585</v>
      </c>
      <c r="C404" s="1" t="s">
        <v>11</v>
      </c>
      <c r="D404" s="1" t="s">
        <v>600</v>
      </c>
      <c r="E404">
        <v>324004</v>
      </c>
      <c r="F404" s="2">
        <v>46092</v>
      </c>
      <c r="G404" s="2">
        <v>46122</v>
      </c>
      <c r="H404" s="1" t="s">
        <v>587</v>
      </c>
      <c r="I404" s="1" t="s">
        <v>13</v>
      </c>
      <c r="J404" s="3">
        <f ca="1">+TODAY()-cartera02[[#This Row],[fecha]]</f>
        <v>8</v>
      </c>
    </row>
    <row r="405" spans="1:10" x14ac:dyDescent="0.25">
      <c r="A405" s="1" t="s">
        <v>584</v>
      </c>
      <c r="B405" s="1" t="s">
        <v>585</v>
      </c>
      <c r="C405" s="1" t="s">
        <v>11</v>
      </c>
      <c r="D405" s="1" t="s">
        <v>601</v>
      </c>
      <c r="E405">
        <v>4200000</v>
      </c>
      <c r="F405" s="2">
        <v>46095</v>
      </c>
      <c r="G405" s="2">
        <v>46125</v>
      </c>
      <c r="H405" s="1" t="s">
        <v>587</v>
      </c>
      <c r="I405" s="1" t="s">
        <v>13</v>
      </c>
      <c r="J405" s="3">
        <f ca="1">+TODAY()-cartera02[[#This Row],[fecha]]</f>
        <v>5</v>
      </c>
    </row>
    <row r="406" spans="1:10" x14ac:dyDescent="0.25">
      <c r="A406" s="1" t="s">
        <v>584</v>
      </c>
      <c r="B406" s="1" t="s">
        <v>585</v>
      </c>
      <c r="C406" s="1" t="s">
        <v>11</v>
      </c>
      <c r="D406" s="1" t="s">
        <v>602</v>
      </c>
      <c r="E406">
        <v>2763235</v>
      </c>
      <c r="F406" s="2">
        <v>46099</v>
      </c>
      <c r="G406" s="2">
        <v>46129</v>
      </c>
      <c r="H406" s="1" t="s">
        <v>587</v>
      </c>
      <c r="I406" s="1" t="s">
        <v>13</v>
      </c>
      <c r="J406" s="3">
        <f ca="1">+TODAY()-cartera02[[#This Row],[fecha]]</f>
        <v>1</v>
      </c>
    </row>
    <row r="407" spans="1:10" x14ac:dyDescent="0.25">
      <c r="A407" s="1" t="s">
        <v>603</v>
      </c>
      <c r="B407" s="1" t="s">
        <v>604</v>
      </c>
      <c r="C407" s="1" t="s">
        <v>61</v>
      </c>
      <c r="D407" s="1" t="s">
        <v>605</v>
      </c>
      <c r="E407">
        <v>1515178</v>
      </c>
      <c r="F407" s="2">
        <v>46063</v>
      </c>
      <c r="G407" s="2">
        <v>46093</v>
      </c>
      <c r="H407" s="1" t="s">
        <v>606</v>
      </c>
      <c r="I407" s="1" t="s">
        <v>13</v>
      </c>
      <c r="J407" s="3">
        <f ca="1">+TODAY()-cartera02[[#This Row],[fecha]]</f>
        <v>37</v>
      </c>
    </row>
    <row r="408" spans="1:10" x14ac:dyDescent="0.25">
      <c r="A408" s="1" t="s">
        <v>603</v>
      </c>
      <c r="B408" s="1" t="s">
        <v>604</v>
      </c>
      <c r="C408" s="1" t="s">
        <v>61</v>
      </c>
      <c r="D408" s="1" t="s">
        <v>607</v>
      </c>
      <c r="E408">
        <v>667385</v>
      </c>
      <c r="F408" s="2">
        <v>46074</v>
      </c>
      <c r="G408" s="2">
        <v>46104</v>
      </c>
      <c r="H408" s="1" t="s">
        <v>606</v>
      </c>
      <c r="I408" s="1" t="s">
        <v>13</v>
      </c>
      <c r="J408" s="3">
        <f ca="1">+TODAY()-cartera02[[#This Row],[fecha]]</f>
        <v>26</v>
      </c>
    </row>
    <row r="409" spans="1:10" x14ac:dyDescent="0.25">
      <c r="A409" s="1" t="s">
        <v>603</v>
      </c>
      <c r="B409" s="1" t="s">
        <v>604</v>
      </c>
      <c r="C409" s="1" t="s">
        <v>61</v>
      </c>
      <c r="D409" s="1" t="s">
        <v>608</v>
      </c>
      <c r="E409">
        <v>1130583</v>
      </c>
      <c r="F409" s="2">
        <v>46081</v>
      </c>
      <c r="G409" s="2">
        <v>46111</v>
      </c>
      <c r="H409" s="1" t="s">
        <v>606</v>
      </c>
      <c r="I409" s="1" t="s">
        <v>13</v>
      </c>
      <c r="J409" s="3">
        <f ca="1">+TODAY()-cartera02[[#This Row],[fecha]]</f>
        <v>19</v>
      </c>
    </row>
    <row r="410" spans="1:10" x14ac:dyDescent="0.25">
      <c r="A410" s="1" t="s">
        <v>603</v>
      </c>
      <c r="B410" s="1" t="s">
        <v>604</v>
      </c>
      <c r="C410" s="1" t="s">
        <v>61</v>
      </c>
      <c r="D410" s="1" t="s">
        <v>609</v>
      </c>
      <c r="E410">
        <v>1050000</v>
      </c>
      <c r="F410" s="2">
        <v>46086</v>
      </c>
      <c r="G410" s="2">
        <v>46096</v>
      </c>
      <c r="H410" s="1" t="s">
        <v>606</v>
      </c>
      <c r="I410" s="1" t="s">
        <v>13</v>
      </c>
      <c r="J410" s="3">
        <f ca="1">+TODAY()-cartera02[[#This Row],[fecha]]</f>
        <v>14</v>
      </c>
    </row>
    <row r="411" spans="1:10" x14ac:dyDescent="0.25">
      <c r="A411" s="1" t="s">
        <v>603</v>
      </c>
      <c r="B411" s="1" t="s">
        <v>604</v>
      </c>
      <c r="C411" s="1" t="s">
        <v>61</v>
      </c>
      <c r="D411" s="1" t="s">
        <v>610</v>
      </c>
      <c r="E411">
        <v>321502</v>
      </c>
      <c r="F411" s="2">
        <v>46099</v>
      </c>
      <c r="G411" s="2">
        <v>46129</v>
      </c>
      <c r="H411" s="1" t="s">
        <v>606</v>
      </c>
      <c r="I411" s="1" t="s">
        <v>13</v>
      </c>
      <c r="J411" s="3">
        <f ca="1">+TODAY()-cartera02[[#This Row],[fecha]]</f>
        <v>1</v>
      </c>
    </row>
    <row r="412" spans="1:10" x14ac:dyDescent="0.25">
      <c r="A412" s="1" t="s">
        <v>603</v>
      </c>
      <c r="B412" s="1" t="s">
        <v>604</v>
      </c>
      <c r="C412" s="1" t="s">
        <v>61</v>
      </c>
      <c r="D412" s="1" t="s">
        <v>611</v>
      </c>
      <c r="E412">
        <v>1320320</v>
      </c>
      <c r="F412" s="2">
        <v>46099</v>
      </c>
      <c r="G412" s="2">
        <v>46129</v>
      </c>
      <c r="H412" s="1" t="s">
        <v>606</v>
      </c>
      <c r="I412" s="1" t="s">
        <v>13</v>
      </c>
      <c r="J412" s="3">
        <f ca="1">+TODAY()-cartera02[[#This Row],[fecha]]</f>
        <v>1</v>
      </c>
    </row>
    <row r="413" spans="1:10" x14ac:dyDescent="0.25">
      <c r="A413" s="1" t="s">
        <v>603</v>
      </c>
      <c r="B413" s="1" t="s">
        <v>604</v>
      </c>
      <c r="C413" s="1" t="s">
        <v>61</v>
      </c>
      <c r="D413" s="1" t="s">
        <v>612</v>
      </c>
      <c r="E413">
        <v>35000</v>
      </c>
      <c r="F413" s="2">
        <v>46100</v>
      </c>
      <c r="G413" s="2">
        <v>46101</v>
      </c>
      <c r="H413" s="1" t="s">
        <v>606</v>
      </c>
      <c r="I413" s="1" t="s">
        <v>13</v>
      </c>
      <c r="J413" s="3">
        <f ca="1">+TODAY()-cartera02[[#This Row],[fecha]]</f>
        <v>0</v>
      </c>
    </row>
    <row r="414" spans="1:10" x14ac:dyDescent="0.25">
      <c r="A414" s="1" t="s">
        <v>603</v>
      </c>
      <c r="B414" s="1" t="s">
        <v>604</v>
      </c>
      <c r="C414" s="1" t="s">
        <v>61</v>
      </c>
      <c r="D414" s="1" t="s">
        <v>613</v>
      </c>
      <c r="E414">
        <v>240208</v>
      </c>
      <c r="F414" s="2">
        <v>46098</v>
      </c>
      <c r="G414" s="2">
        <v>46113</v>
      </c>
      <c r="H414" s="1" t="s">
        <v>606</v>
      </c>
      <c r="I414" s="1" t="s">
        <v>13</v>
      </c>
      <c r="J414" s="3">
        <f ca="1">+TODAY()-cartera02[[#This Row],[fecha]]</f>
        <v>2</v>
      </c>
    </row>
    <row r="415" spans="1:10" x14ac:dyDescent="0.25">
      <c r="A415" s="1" t="s">
        <v>614</v>
      </c>
      <c r="B415" s="1" t="s">
        <v>615</v>
      </c>
      <c r="C415" s="1" t="s">
        <v>61</v>
      </c>
      <c r="D415" s="1" t="s">
        <v>616</v>
      </c>
      <c r="E415">
        <v>507899</v>
      </c>
      <c r="F415" s="2">
        <v>46076</v>
      </c>
      <c r="G415" s="2">
        <v>46106</v>
      </c>
      <c r="H415" s="1" t="s">
        <v>617</v>
      </c>
      <c r="I415" s="1" t="s">
        <v>13</v>
      </c>
      <c r="J415" s="3">
        <f ca="1">+TODAY()-cartera02[[#This Row],[fecha]]</f>
        <v>24</v>
      </c>
    </row>
    <row r="416" spans="1:10" x14ac:dyDescent="0.25">
      <c r="A416" s="1" t="s">
        <v>614</v>
      </c>
      <c r="B416" s="1" t="s">
        <v>615</v>
      </c>
      <c r="C416" s="1" t="s">
        <v>61</v>
      </c>
      <c r="D416" s="1" t="s">
        <v>618</v>
      </c>
      <c r="E416">
        <v>132000</v>
      </c>
      <c r="F416" s="2">
        <v>46081</v>
      </c>
      <c r="G416" s="2">
        <v>46111</v>
      </c>
      <c r="H416" s="1" t="s">
        <v>617</v>
      </c>
      <c r="I416" s="1" t="s">
        <v>13</v>
      </c>
      <c r="J416" s="3">
        <f ca="1">+TODAY()-cartera02[[#This Row],[fecha]]</f>
        <v>19</v>
      </c>
    </row>
    <row r="417" spans="1:10" x14ac:dyDescent="0.25">
      <c r="A417" s="1" t="s">
        <v>614</v>
      </c>
      <c r="B417" s="1" t="s">
        <v>615</v>
      </c>
      <c r="C417" s="1" t="s">
        <v>61</v>
      </c>
      <c r="D417" s="1" t="s">
        <v>619</v>
      </c>
      <c r="E417">
        <v>840000</v>
      </c>
      <c r="F417" s="2">
        <v>46083</v>
      </c>
      <c r="G417" s="2">
        <v>46093</v>
      </c>
      <c r="H417" s="1" t="s">
        <v>617</v>
      </c>
      <c r="I417" s="1" t="s">
        <v>13</v>
      </c>
      <c r="J417" s="3">
        <f ca="1">+TODAY()-cartera02[[#This Row],[fecha]]</f>
        <v>17</v>
      </c>
    </row>
    <row r="418" spans="1:10" x14ac:dyDescent="0.25">
      <c r="A418" s="1" t="s">
        <v>614</v>
      </c>
      <c r="B418" s="1" t="s">
        <v>615</v>
      </c>
      <c r="C418" s="1" t="s">
        <v>61</v>
      </c>
      <c r="D418" s="1" t="s">
        <v>620</v>
      </c>
      <c r="E418">
        <v>455699</v>
      </c>
      <c r="F418" s="2">
        <v>46084</v>
      </c>
      <c r="G418" s="2">
        <v>46114</v>
      </c>
      <c r="H418" s="1" t="s">
        <v>617</v>
      </c>
      <c r="I418" s="1" t="s">
        <v>13</v>
      </c>
      <c r="J418" s="3">
        <f ca="1">+TODAY()-cartera02[[#This Row],[fecha]]</f>
        <v>16</v>
      </c>
    </row>
    <row r="419" spans="1:10" x14ac:dyDescent="0.25">
      <c r="A419" s="1" t="s">
        <v>614</v>
      </c>
      <c r="B419" s="1" t="s">
        <v>615</v>
      </c>
      <c r="C419" s="1" t="s">
        <v>61</v>
      </c>
      <c r="D419" s="1" t="s">
        <v>621</v>
      </c>
      <c r="E419">
        <v>880451</v>
      </c>
      <c r="F419" s="2">
        <v>46091</v>
      </c>
      <c r="G419" s="2">
        <v>46121</v>
      </c>
      <c r="H419" s="1" t="s">
        <v>617</v>
      </c>
      <c r="I419" s="1" t="s">
        <v>13</v>
      </c>
      <c r="J419" s="3">
        <f ca="1">+TODAY()-cartera02[[#This Row],[fecha]]</f>
        <v>9</v>
      </c>
    </row>
    <row r="420" spans="1:10" x14ac:dyDescent="0.25">
      <c r="A420" s="1" t="s">
        <v>614</v>
      </c>
      <c r="B420" s="1" t="s">
        <v>615</v>
      </c>
      <c r="C420" s="1" t="s">
        <v>61</v>
      </c>
      <c r="D420" s="1" t="s">
        <v>622</v>
      </c>
      <c r="E420">
        <v>840000</v>
      </c>
      <c r="F420" s="2">
        <v>46094</v>
      </c>
      <c r="G420" s="2">
        <v>46104</v>
      </c>
      <c r="H420" s="1" t="s">
        <v>617</v>
      </c>
      <c r="I420" s="1" t="s">
        <v>13</v>
      </c>
      <c r="J420" s="3">
        <f ca="1">+TODAY()-cartera02[[#This Row],[fecha]]</f>
        <v>6</v>
      </c>
    </row>
    <row r="421" spans="1:10" x14ac:dyDescent="0.25">
      <c r="A421" s="1" t="s">
        <v>614</v>
      </c>
      <c r="B421" s="1" t="s">
        <v>615</v>
      </c>
      <c r="C421" s="1" t="s">
        <v>61</v>
      </c>
      <c r="D421" s="1" t="s">
        <v>623</v>
      </c>
      <c r="E421">
        <v>72802</v>
      </c>
      <c r="F421" s="2">
        <v>46100</v>
      </c>
      <c r="G421" s="2">
        <v>46130</v>
      </c>
      <c r="H421" s="1" t="s">
        <v>617</v>
      </c>
      <c r="I421" s="1" t="s">
        <v>13</v>
      </c>
      <c r="J421" s="3">
        <f ca="1">+TODAY()-cartera02[[#This Row],[fecha]]</f>
        <v>0</v>
      </c>
    </row>
    <row r="422" spans="1:10" x14ac:dyDescent="0.25">
      <c r="A422" s="1" t="s">
        <v>624</v>
      </c>
      <c r="B422" s="1" t="s">
        <v>625</v>
      </c>
      <c r="C422" s="1" t="s">
        <v>11</v>
      </c>
      <c r="D422" s="1" t="s">
        <v>626</v>
      </c>
      <c r="E422">
        <v>1726522</v>
      </c>
      <c r="F422" s="2">
        <v>46071</v>
      </c>
      <c r="G422" s="2">
        <v>46101</v>
      </c>
      <c r="H422" s="1" t="s">
        <v>627</v>
      </c>
      <c r="I422" s="1" t="s">
        <v>13</v>
      </c>
      <c r="J422" s="3">
        <f ca="1">+TODAY()-cartera02[[#This Row],[fecha]]</f>
        <v>29</v>
      </c>
    </row>
    <row r="423" spans="1:10" x14ac:dyDescent="0.25">
      <c r="A423" s="1" t="s">
        <v>624</v>
      </c>
      <c r="B423" s="1" t="s">
        <v>625</v>
      </c>
      <c r="C423" s="1" t="s">
        <v>11</v>
      </c>
      <c r="D423" s="1" t="s">
        <v>628</v>
      </c>
      <c r="E423">
        <v>2333213</v>
      </c>
      <c r="F423" s="2">
        <v>46071</v>
      </c>
      <c r="G423" s="2">
        <v>46101</v>
      </c>
      <c r="H423" s="1" t="s">
        <v>627</v>
      </c>
      <c r="I423" s="1" t="s">
        <v>13</v>
      </c>
      <c r="J423" s="3">
        <f ca="1">+TODAY()-cartera02[[#This Row],[fecha]]</f>
        <v>29</v>
      </c>
    </row>
    <row r="424" spans="1:10" x14ac:dyDescent="0.25">
      <c r="A424" s="1" t="s">
        <v>624</v>
      </c>
      <c r="B424" s="1" t="s">
        <v>625</v>
      </c>
      <c r="C424" s="1" t="s">
        <v>11</v>
      </c>
      <c r="D424" s="1" t="s">
        <v>629</v>
      </c>
      <c r="E424">
        <v>540004</v>
      </c>
      <c r="F424" s="2">
        <v>46078</v>
      </c>
      <c r="G424" s="2">
        <v>46108</v>
      </c>
      <c r="H424" s="1" t="s">
        <v>627</v>
      </c>
      <c r="I424" s="1" t="s">
        <v>13</v>
      </c>
      <c r="J424" s="3">
        <f ca="1">+TODAY()-cartera02[[#This Row],[fecha]]</f>
        <v>22</v>
      </c>
    </row>
    <row r="425" spans="1:10" x14ac:dyDescent="0.25">
      <c r="A425" s="1" t="s">
        <v>624</v>
      </c>
      <c r="B425" s="1" t="s">
        <v>625</v>
      </c>
      <c r="C425" s="1" t="s">
        <v>11</v>
      </c>
      <c r="D425" s="1" t="s">
        <v>630</v>
      </c>
      <c r="E425">
        <v>113800</v>
      </c>
      <c r="F425" s="2">
        <v>46087</v>
      </c>
      <c r="G425" s="2">
        <v>46117</v>
      </c>
      <c r="H425" s="1" t="s">
        <v>627</v>
      </c>
      <c r="I425" s="1" t="s">
        <v>13</v>
      </c>
      <c r="J425" s="3">
        <f ca="1">+TODAY()-cartera02[[#This Row],[fecha]]</f>
        <v>13</v>
      </c>
    </row>
    <row r="426" spans="1:10" x14ac:dyDescent="0.25">
      <c r="A426" s="1" t="s">
        <v>624</v>
      </c>
      <c r="B426" s="1" t="s">
        <v>625</v>
      </c>
      <c r="C426" s="1" t="s">
        <v>11</v>
      </c>
      <c r="D426" s="1" t="s">
        <v>631</v>
      </c>
      <c r="E426">
        <v>1066508</v>
      </c>
      <c r="F426" s="2">
        <v>46094</v>
      </c>
      <c r="G426" s="2">
        <v>46124</v>
      </c>
      <c r="H426" s="1" t="s">
        <v>627</v>
      </c>
      <c r="I426" s="1" t="s">
        <v>13</v>
      </c>
      <c r="J426" s="3">
        <f ca="1">+TODAY()-cartera02[[#This Row],[fecha]]</f>
        <v>6</v>
      </c>
    </row>
    <row r="427" spans="1:10" x14ac:dyDescent="0.25">
      <c r="A427" s="1" t="s">
        <v>624</v>
      </c>
      <c r="B427" s="1" t="s">
        <v>625</v>
      </c>
      <c r="C427" s="1" t="s">
        <v>11</v>
      </c>
      <c r="D427" s="1" t="s">
        <v>632</v>
      </c>
      <c r="E427">
        <v>1599112</v>
      </c>
      <c r="F427" s="2">
        <v>46094</v>
      </c>
      <c r="G427" s="2">
        <v>46124</v>
      </c>
      <c r="H427" s="1" t="s">
        <v>627</v>
      </c>
      <c r="I427" s="1" t="s">
        <v>13</v>
      </c>
      <c r="J427" s="3">
        <f ca="1">+TODAY()-cartera02[[#This Row],[fecha]]</f>
        <v>6</v>
      </c>
    </row>
    <row r="428" spans="1:10" x14ac:dyDescent="0.25">
      <c r="A428" s="1" t="s">
        <v>624</v>
      </c>
      <c r="B428" s="1" t="s">
        <v>625</v>
      </c>
      <c r="C428" s="1" t="s">
        <v>11</v>
      </c>
      <c r="D428" s="1" t="s">
        <v>633</v>
      </c>
      <c r="E428">
        <v>302400</v>
      </c>
      <c r="F428" s="2">
        <v>46095</v>
      </c>
      <c r="G428" s="2">
        <v>46125</v>
      </c>
      <c r="H428" s="1" t="s">
        <v>627</v>
      </c>
      <c r="I428" s="1" t="s">
        <v>13</v>
      </c>
      <c r="J428" s="3">
        <f ca="1">+TODAY()-cartera02[[#This Row],[fecha]]</f>
        <v>5</v>
      </c>
    </row>
    <row r="429" spans="1:10" x14ac:dyDescent="0.25">
      <c r="A429" s="1" t="s">
        <v>624</v>
      </c>
      <c r="B429" s="1" t="s">
        <v>625</v>
      </c>
      <c r="C429" s="1" t="s">
        <v>11</v>
      </c>
      <c r="D429" s="1" t="s">
        <v>634</v>
      </c>
      <c r="E429">
        <v>126400</v>
      </c>
      <c r="F429" s="2">
        <v>46097</v>
      </c>
      <c r="G429" s="2">
        <v>46127</v>
      </c>
      <c r="H429" s="1" t="s">
        <v>627</v>
      </c>
      <c r="I429" s="1" t="s">
        <v>13</v>
      </c>
      <c r="J429" s="3">
        <f ca="1">+TODAY()-cartera02[[#This Row],[fecha]]</f>
        <v>3</v>
      </c>
    </row>
    <row r="430" spans="1:10" x14ac:dyDescent="0.25">
      <c r="A430" s="1" t="s">
        <v>624</v>
      </c>
      <c r="B430" s="1" t="s">
        <v>625</v>
      </c>
      <c r="C430" s="1" t="s">
        <v>11</v>
      </c>
      <c r="D430" s="1" t="s">
        <v>635</v>
      </c>
      <c r="E430">
        <v>2100000</v>
      </c>
      <c r="F430" s="2">
        <v>46098</v>
      </c>
      <c r="G430" s="2">
        <v>46108</v>
      </c>
      <c r="H430" s="1" t="s">
        <v>627</v>
      </c>
      <c r="I430" s="1" t="s">
        <v>13</v>
      </c>
      <c r="J430" s="3">
        <f ca="1">+TODAY()-cartera02[[#This Row],[fecha]]</f>
        <v>2</v>
      </c>
    </row>
    <row r="431" spans="1:10" x14ac:dyDescent="0.25">
      <c r="A431" s="1" t="s">
        <v>624</v>
      </c>
      <c r="B431" s="1" t="s">
        <v>625</v>
      </c>
      <c r="C431" s="1" t="s">
        <v>11</v>
      </c>
      <c r="D431" s="1" t="s">
        <v>636</v>
      </c>
      <c r="E431">
        <v>1513381</v>
      </c>
      <c r="F431" s="2">
        <v>46098</v>
      </c>
      <c r="G431" s="2">
        <v>46128</v>
      </c>
      <c r="H431" s="1" t="s">
        <v>627</v>
      </c>
      <c r="I431" s="1" t="s">
        <v>13</v>
      </c>
      <c r="J431" s="3">
        <f ca="1">+TODAY()-cartera02[[#This Row],[fecha]]</f>
        <v>2</v>
      </c>
    </row>
    <row r="432" spans="1:10" x14ac:dyDescent="0.25">
      <c r="A432" s="1" t="s">
        <v>637</v>
      </c>
      <c r="B432" s="1" t="s">
        <v>638</v>
      </c>
      <c r="C432" s="1" t="s">
        <v>11</v>
      </c>
      <c r="D432" s="1" t="s">
        <v>639</v>
      </c>
      <c r="E432">
        <v>637000</v>
      </c>
      <c r="F432" s="2">
        <v>46072</v>
      </c>
      <c r="G432" s="2">
        <v>46102</v>
      </c>
      <c r="H432" s="1" t="s">
        <v>640</v>
      </c>
      <c r="I432" s="1" t="s">
        <v>13</v>
      </c>
      <c r="J432" s="3">
        <f ca="1">+TODAY()-cartera02[[#This Row],[fecha]]</f>
        <v>28</v>
      </c>
    </row>
    <row r="433" spans="1:10" x14ac:dyDescent="0.25">
      <c r="A433" s="1" t="s">
        <v>637</v>
      </c>
      <c r="B433" s="1" t="s">
        <v>638</v>
      </c>
      <c r="C433" s="1" t="s">
        <v>11</v>
      </c>
      <c r="D433" s="1" t="s">
        <v>641</v>
      </c>
      <c r="E433">
        <v>1180799</v>
      </c>
      <c r="F433" s="2">
        <v>46085</v>
      </c>
      <c r="G433" s="2">
        <v>46115</v>
      </c>
      <c r="H433" s="1" t="s">
        <v>640</v>
      </c>
      <c r="I433" s="1" t="s">
        <v>13</v>
      </c>
      <c r="J433" s="3">
        <f ca="1">+TODAY()-cartera02[[#This Row],[fecha]]</f>
        <v>15</v>
      </c>
    </row>
    <row r="434" spans="1:10" x14ac:dyDescent="0.25">
      <c r="A434" s="1" t="s">
        <v>637</v>
      </c>
      <c r="B434" s="1" t="s">
        <v>638</v>
      </c>
      <c r="C434" s="1" t="s">
        <v>11</v>
      </c>
      <c r="D434" s="1" t="s">
        <v>642</v>
      </c>
      <c r="E434">
        <v>281100</v>
      </c>
      <c r="F434" s="2">
        <v>46085</v>
      </c>
      <c r="G434" s="2">
        <v>46115</v>
      </c>
      <c r="H434" s="1" t="s">
        <v>640</v>
      </c>
      <c r="I434" s="1" t="s">
        <v>13</v>
      </c>
      <c r="J434" s="3">
        <f ca="1">+TODAY()-cartera02[[#This Row],[fecha]]</f>
        <v>15</v>
      </c>
    </row>
    <row r="435" spans="1:10" x14ac:dyDescent="0.25">
      <c r="A435" s="1" t="s">
        <v>637</v>
      </c>
      <c r="B435" s="1" t="s">
        <v>638</v>
      </c>
      <c r="C435" s="1" t="s">
        <v>11</v>
      </c>
      <c r="D435" s="1" t="s">
        <v>643</v>
      </c>
      <c r="E435">
        <v>4200000</v>
      </c>
      <c r="F435" s="2">
        <v>46097</v>
      </c>
      <c r="G435" s="2">
        <v>46107</v>
      </c>
      <c r="H435" s="1" t="s">
        <v>640</v>
      </c>
      <c r="I435" s="1" t="s">
        <v>13</v>
      </c>
      <c r="J435" s="3">
        <f ca="1">+TODAY()-cartera02[[#This Row],[fecha]]</f>
        <v>3</v>
      </c>
    </row>
    <row r="436" spans="1:10" x14ac:dyDescent="0.25">
      <c r="A436" s="1"/>
      <c r="B436" s="1"/>
      <c r="C436" s="1"/>
      <c r="D436" s="1"/>
      <c r="F436" s="2"/>
      <c r="G436" s="2"/>
      <c r="H436" s="1"/>
      <c r="I436" s="1"/>
      <c r="J436" s="3"/>
    </row>
  </sheetData>
  <pageMargins left="0.7" right="0.7" top="0.75" bottom="0.75" header="0.3" footer="0.3"/>
  <pageSetup scale="6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716194C-F0EA-4EC9-B679-D091062A54B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cartera02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Distrileco ventas</dc:creator>
  <cp:lastModifiedBy>Distrileco ventas</cp:lastModifiedBy>
  <cp:lastPrinted>2026-03-19T15:25:24Z</cp:lastPrinted>
  <dcterms:created xsi:type="dcterms:W3CDTF">2026-03-19T14:37:55Z</dcterms:created>
  <dcterms:modified xsi:type="dcterms:W3CDTF">2026-03-19T16:23:34Z</dcterms:modified>
</cp:coreProperties>
</file>